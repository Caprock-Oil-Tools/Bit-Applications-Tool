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cot-dc01.cot-i.com\CapRockDocuments\Engineering\01_Designs\4720\"/>
    </mc:Choice>
  </mc:AlternateContent>
  <xr:revisionPtr revIDLastSave="0" documentId="13_ncr:1_{84D27111-6DA4-449F-AE58-0AE50F6255B9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heet1" sheetId="11" r:id="rId4"/>
    <sheet name="SN#.Run#" sheetId="7" r:id="rId5"/>
    <sheet name="MassProp" sheetId="10" r:id="rId6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4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4" hidden="1">'SN#.Run#'!$BF$4:$BK$4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ng" localSheetId="4" hidden="1">1</definedName>
    <definedName name="solver_est" localSheetId="2" hidden="1">1</definedName>
    <definedName name="solver_est" localSheetId="4" hidden="1">1</definedName>
    <definedName name="solver_itr" localSheetId="2" hidden="1">100</definedName>
    <definedName name="solver_itr" localSheetId="4" hidden="1">2147483647</definedName>
    <definedName name="solver_lin" localSheetId="2" hidden="1">2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2" hidden="1">2</definedName>
    <definedName name="solver_neg" localSheetId="4" hidden="1">2</definedName>
    <definedName name="solver_nod" localSheetId="4" hidden="1">2147483647</definedName>
    <definedName name="solver_num" localSheetId="2" hidden="1">0</definedName>
    <definedName name="solver_num" localSheetId="4" hidden="1">0</definedName>
    <definedName name="solver_nwt" localSheetId="2" hidden="1">1</definedName>
    <definedName name="solver_nwt" localSheetId="4" hidden="1">1</definedName>
    <definedName name="solver_opt" localSheetId="2" hidden="1">Assy.Model!$GX$2</definedName>
    <definedName name="solver_opt" localSheetId="4" hidden="1">'SN#.Run#'!$BF$6</definedName>
    <definedName name="solver_pre" localSheetId="2" hidden="1">0.000001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2" hidden="1">2</definedName>
    <definedName name="solver_scl" localSheetId="4" hidden="1">1</definedName>
    <definedName name="solver_sho" localSheetId="2" hidden="1">2</definedName>
    <definedName name="solver_sho" localSheetId="4" hidden="1">2</definedName>
    <definedName name="solver_ssz" localSheetId="4" hidden="1">100</definedName>
    <definedName name="solver_tim" localSheetId="2" hidden="1">100</definedName>
    <definedName name="solver_tim" localSheetId="4" hidden="1">2147483647</definedName>
    <definedName name="solver_tol" localSheetId="2" hidden="1">0.05</definedName>
    <definedName name="solver_tol" localSheetId="4" hidden="1">0.01</definedName>
    <definedName name="solver_typ" localSheetId="2" hidden="1">3</definedName>
    <definedName name="solver_typ" localSheetId="4" hidden="1">2</definedName>
    <definedName name="solver_val" localSheetId="2" hidden="1">15000</definedName>
    <definedName name="solver_val" localSheetId="4" hidden="1">0</definedName>
    <definedName name="solver_ver" localSheetId="4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T17" i="4" l="1"/>
  <c r="AS17" i="4"/>
  <c r="AR17" i="4"/>
  <c r="AP17" i="4"/>
  <c r="AV17" i="4" s="1"/>
  <c r="AX17" i="4" s="1"/>
  <c r="AN17" i="4"/>
  <c r="AQ17" i="4" s="1"/>
  <c r="AI17" i="4" s="1"/>
  <c r="AL17" i="4"/>
  <c r="AJ17" i="4"/>
  <c r="AT37" i="4"/>
  <c r="AS37" i="4"/>
  <c r="AP37" i="4"/>
  <c r="AV37" i="4" s="1"/>
  <c r="AX37" i="4" s="1"/>
  <c r="AO37" i="4"/>
  <c r="AR37" i="4" s="1"/>
  <c r="AJ37" i="4"/>
  <c r="AT36" i="4"/>
  <c r="AS36" i="4"/>
  <c r="AP36" i="4"/>
  <c r="AV36" i="4" s="1"/>
  <c r="AX36" i="4" s="1"/>
  <c r="AO36" i="4"/>
  <c r="AR36" i="4" s="1"/>
  <c r="AJ36" i="4"/>
  <c r="AT35" i="4"/>
  <c r="AS35" i="4"/>
  <c r="AP35" i="4"/>
  <c r="AV35" i="4" s="1"/>
  <c r="AX35" i="4" s="1"/>
  <c r="AO35" i="4"/>
  <c r="AR35" i="4" s="1"/>
  <c r="AJ35" i="4"/>
  <c r="AT34" i="4"/>
  <c r="AS34" i="4"/>
  <c r="AQ34" i="4"/>
  <c r="AP34" i="4"/>
  <c r="AV34" i="4" s="1"/>
  <c r="AX34" i="4" s="1"/>
  <c r="AO34" i="4"/>
  <c r="AR34" i="4" s="1"/>
  <c r="AJ34" i="4"/>
  <c r="AT33" i="4"/>
  <c r="AS33" i="4"/>
  <c r="AP33" i="4"/>
  <c r="AV33" i="4" s="1"/>
  <c r="AX33" i="4" s="1"/>
  <c r="AO33" i="4"/>
  <c r="AR33" i="4" s="1"/>
  <c r="AJ33" i="4"/>
  <c r="AT32" i="4"/>
  <c r="AS32" i="4"/>
  <c r="AQ32" i="4"/>
  <c r="AP32" i="4"/>
  <c r="AV32" i="4" s="1"/>
  <c r="AX32" i="4" s="1"/>
  <c r="AO32" i="4"/>
  <c r="AR32" i="4" s="1"/>
  <c r="AW31" i="4"/>
  <c r="AV31" i="4"/>
  <c r="AX31" i="4" s="1"/>
  <c r="AU31" i="4"/>
  <c r="AT31" i="4"/>
  <c r="AS31" i="4"/>
  <c r="AR31" i="4"/>
  <c r="AP31" i="4"/>
  <c r="AO31" i="4"/>
  <c r="AQ31" i="4" s="1"/>
  <c r="AI31" i="4" s="1"/>
  <c r="AU30" i="4"/>
  <c r="AW30" i="4" s="1"/>
  <c r="AT30" i="4"/>
  <c r="AS30" i="4"/>
  <c r="AR30" i="4"/>
  <c r="AQ30" i="4"/>
  <c r="AP30" i="4"/>
  <c r="AV30" i="4" s="1"/>
  <c r="AX30" i="4" s="1"/>
  <c r="AO30" i="4"/>
  <c r="AJ30" i="4"/>
  <c r="AI30" i="4"/>
  <c r="AV29" i="4"/>
  <c r="AX29" i="4" s="1"/>
  <c r="AU29" i="4"/>
  <c r="AW29" i="4" s="1"/>
  <c r="AT29" i="4"/>
  <c r="AS29" i="4"/>
  <c r="AR29" i="4"/>
  <c r="AQ29" i="4"/>
  <c r="AI29" i="4" s="1"/>
  <c r="AP29" i="4"/>
  <c r="AO29" i="4"/>
  <c r="AU28" i="4"/>
  <c r="AW28" i="4" s="1"/>
  <c r="AT28" i="4"/>
  <c r="AS28" i="4"/>
  <c r="AR28" i="4"/>
  <c r="AP28" i="4"/>
  <c r="AV28" i="4" s="1"/>
  <c r="AX28" i="4" s="1"/>
  <c r="AN28" i="4"/>
  <c r="AQ28" i="4" s="1"/>
  <c r="AI28" i="4" s="1"/>
  <c r="AL28" i="4"/>
  <c r="AJ28" i="4"/>
  <c r="AV27" i="4"/>
  <c r="AX27" i="4" s="1"/>
  <c r="AU27" i="4"/>
  <c r="AW27" i="4" s="1"/>
  <c r="AT27" i="4"/>
  <c r="AS27" i="4"/>
  <c r="AR27" i="4"/>
  <c r="AQ27" i="4"/>
  <c r="AI27" i="4" s="1"/>
  <c r="AP27" i="4"/>
  <c r="AN27" i="4"/>
  <c r="AL27" i="4"/>
  <c r="AJ27" i="4"/>
  <c r="AV26" i="4"/>
  <c r="AX26" i="4" s="1"/>
  <c r="AT26" i="4"/>
  <c r="AS26" i="4"/>
  <c r="AR26" i="4"/>
  <c r="AQ26" i="4"/>
  <c r="AI26" i="4" s="1"/>
  <c r="AP26" i="4"/>
  <c r="AU26" i="4" s="1"/>
  <c r="AW26" i="4" s="1"/>
  <c r="AN26" i="4"/>
  <c r="AL26" i="4"/>
  <c r="AJ26" i="4"/>
  <c r="AV25" i="4"/>
  <c r="AX25" i="4" s="1"/>
  <c r="AT25" i="4"/>
  <c r="AS25" i="4"/>
  <c r="AR25" i="4"/>
  <c r="AQ25" i="4"/>
  <c r="AI25" i="4" s="1"/>
  <c r="AP25" i="4"/>
  <c r="AU25" i="4" s="1"/>
  <c r="AW25" i="4" s="1"/>
  <c r="AN25" i="4"/>
  <c r="AL25" i="4"/>
  <c r="AJ25" i="4"/>
  <c r="AT24" i="4"/>
  <c r="AS24" i="4"/>
  <c r="AR24" i="4"/>
  <c r="AQ24" i="4"/>
  <c r="AP24" i="4"/>
  <c r="AU24" i="4" s="1"/>
  <c r="AW24" i="4" s="1"/>
  <c r="AN24" i="4"/>
  <c r="AL24" i="4"/>
  <c r="AJ24" i="4"/>
  <c r="AU23" i="4"/>
  <c r="AW23" i="4" s="1"/>
  <c r="AT23" i="4"/>
  <c r="AS23" i="4"/>
  <c r="AR23" i="4"/>
  <c r="AQ23" i="4"/>
  <c r="AP23" i="4"/>
  <c r="AV23" i="4" s="1"/>
  <c r="AX23" i="4" s="1"/>
  <c r="AN23" i="4"/>
  <c r="AL23" i="4"/>
  <c r="AJ23" i="4"/>
  <c r="AU22" i="4"/>
  <c r="AW22" i="4" s="1"/>
  <c r="AT22" i="4"/>
  <c r="AS22" i="4"/>
  <c r="AR22" i="4"/>
  <c r="AQ22" i="4"/>
  <c r="AP22" i="4"/>
  <c r="AV22" i="4" s="1"/>
  <c r="AX22" i="4" s="1"/>
  <c r="AN22" i="4"/>
  <c r="AL22" i="4"/>
  <c r="AJ22" i="4"/>
  <c r="AW21" i="4"/>
  <c r="AU21" i="4"/>
  <c r="AT21" i="4"/>
  <c r="AS21" i="4"/>
  <c r="AR21" i="4"/>
  <c r="AP21" i="4"/>
  <c r="AN21" i="4"/>
  <c r="AQ21" i="4" s="1"/>
  <c r="AL21" i="4"/>
  <c r="AJ21" i="4"/>
  <c r="AT20" i="4"/>
  <c r="AS20" i="4"/>
  <c r="AR20" i="4"/>
  <c r="AP20" i="4"/>
  <c r="AV20" i="4" s="1"/>
  <c r="AX20" i="4" s="1"/>
  <c r="AN20" i="4"/>
  <c r="AQ20" i="4" s="1"/>
  <c r="AI20" i="4" s="1"/>
  <c r="AL20" i="4"/>
  <c r="AJ20" i="4"/>
  <c r="AU19" i="4"/>
  <c r="AT19" i="4"/>
  <c r="AW19" i="4" s="1"/>
  <c r="AS19" i="4"/>
  <c r="AR19" i="4"/>
  <c r="AQ19" i="4"/>
  <c r="AI19" i="4" s="1"/>
  <c r="AP19" i="4"/>
  <c r="AV19" i="4" s="1"/>
  <c r="AX19" i="4" s="1"/>
  <c r="AN19" i="4"/>
  <c r="AL19" i="4"/>
  <c r="AJ19" i="4"/>
  <c r="AV18" i="4"/>
  <c r="AX18" i="4" s="1"/>
  <c r="AU18" i="4"/>
  <c r="AT18" i="4"/>
  <c r="AW18" i="4" s="1"/>
  <c r="AS18" i="4"/>
  <c r="AR18" i="4"/>
  <c r="AQ18" i="4"/>
  <c r="AI18" i="4" s="1"/>
  <c r="AP18" i="4"/>
  <c r="AN18" i="4"/>
  <c r="AL18" i="4"/>
  <c r="AJ18" i="4"/>
  <c r="C1" i="1"/>
  <c r="N290" i="1"/>
  <c r="N289" i="1"/>
  <c r="N288" i="1"/>
  <c r="N287" i="1"/>
  <c r="N286" i="1"/>
  <c r="N285" i="1"/>
  <c r="N284" i="1"/>
  <c r="N283" i="1"/>
  <c r="N282" i="1"/>
  <c r="N281" i="1"/>
  <c r="N280" i="1"/>
  <c r="N279" i="1"/>
  <c r="N278" i="1"/>
  <c r="N277" i="1"/>
  <c r="N276" i="1"/>
  <c r="N275" i="1"/>
  <c r="N274" i="1"/>
  <c r="N273" i="1"/>
  <c r="N272" i="1"/>
  <c r="N271" i="1"/>
  <c r="N270" i="1"/>
  <c r="N269" i="1"/>
  <c r="N268" i="1"/>
  <c r="N267" i="1"/>
  <c r="N266" i="1"/>
  <c r="N265" i="1"/>
  <c r="N264" i="1"/>
  <c r="N263" i="1"/>
  <c r="N262" i="1"/>
  <c r="N261" i="1"/>
  <c r="N260" i="1"/>
  <c r="N259" i="1"/>
  <c r="N258" i="1"/>
  <c r="N257" i="1"/>
  <c r="N256" i="1"/>
  <c r="N255" i="1"/>
  <c r="N254" i="1"/>
  <c r="N253" i="1"/>
  <c r="N252" i="1"/>
  <c r="N251" i="1"/>
  <c r="N250" i="1"/>
  <c r="N249" i="1"/>
  <c r="N248" i="1"/>
  <c r="KA48" i="1"/>
  <c r="KA47" i="1"/>
  <c r="KA46" i="1"/>
  <c r="KA45" i="1"/>
  <c r="KA44" i="1"/>
  <c r="KA43" i="1"/>
  <c r="KA42" i="1"/>
  <c r="KA41" i="1"/>
  <c r="KA40" i="1"/>
  <c r="KA39" i="1"/>
  <c r="KA38" i="1"/>
  <c r="KA37" i="1"/>
  <c r="KA36" i="1"/>
  <c r="KA35" i="1"/>
  <c r="KA34" i="1"/>
  <c r="KA33" i="1"/>
  <c r="KA32" i="1"/>
  <c r="KA31" i="1"/>
  <c r="KA30" i="1"/>
  <c r="KA29" i="1"/>
  <c r="KA28" i="1"/>
  <c r="KA27" i="1"/>
  <c r="KA26" i="1"/>
  <c r="KA25" i="1"/>
  <c r="KA24" i="1"/>
  <c r="KA23" i="1"/>
  <c r="KA22" i="1"/>
  <c r="KA21" i="1"/>
  <c r="KA20" i="1"/>
  <c r="KA19" i="1"/>
  <c r="KG11" i="1"/>
  <c r="KG48" i="1"/>
  <c r="KG47" i="1"/>
  <c r="KG46" i="1"/>
  <c r="KG45" i="1"/>
  <c r="KG44" i="1"/>
  <c r="KG43" i="1"/>
  <c r="KG42" i="1"/>
  <c r="KG41" i="1"/>
  <c r="KG40" i="1"/>
  <c r="KG39" i="1"/>
  <c r="KG38" i="1"/>
  <c r="KG37" i="1"/>
  <c r="KG36" i="1"/>
  <c r="KG35" i="1"/>
  <c r="KG34" i="1"/>
  <c r="KG33" i="1"/>
  <c r="KG32" i="1"/>
  <c r="KG31" i="1"/>
  <c r="KG30" i="1"/>
  <c r="KG29" i="1"/>
  <c r="KG28" i="1"/>
  <c r="KG27" i="1"/>
  <c r="KG26" i="1"/>
  <c r="KG25" i="1"/>
  <c r="KG24" i="1"/>
  <c r="KG23" i="1"/>
  <c r="KG22" i="1"/>
  <c r="KG21" i="1"/>
  <c r="KG20" i="1"/>
  <c r="KG19" i="1"/>
  <c r="KG18" i="1"/>
  <c r="KG17" i="1"/>
  <c r="KG16" i="1"/>
  <c r="KG15" i="1"/>
  <c r="KH45" i="1"/>
  <c r="KH48" i="1"/>
  <c r="KH47" i="1"/>
  <c r="KH46" i="1"/>
  <c r="KH21" i="1"/>
  <c r="KH20" i="1"/>
  <c r="KH19" i="1"/>
  <c r="KH18" i="1"/>
  <c r="KH17" i="1"/>
  <c r="KH16" i="1"/>
  <c r="KH15" i="1"/>
  <c r="KH14" i="1"/>
  <c r="KH13" i="1"/>
  <c r="KH12" i="1"/>
  <c r="KH11" i="1"/>
  <c r="KH10" i="1"/>
  <c r="JY48" i="1"/>
  <c r="JY47" i="1"/>
  <c r="JY46" i="1"/>
  <c r="JY45" i="1"/>
  <c r="JY44" i="1"/>
  <c r="JY43" i="1"/>
  <c r="JY42" i="1"/>
  <c r="JY41" i="1"/>
  <c r="JY40" i="1"/>
  <c r="JY39" i="1"/>
  <c r="JY38" i="1"/>
  <c r="JY37" i="1"/>
  <c r="JY36" i="1"/>
  <c r="JY35" i="1"/>
  <c r="JY34" i="1"/>
  <c r="JY33" i="1"/>
  <c r="JY32" i="1"/>
  <c r="JY31" i="1"/>
  <c r="JY30" i="1"/>
  <c r="JY29" i="1"/>
  <c r="JY28" i="1"/>
  <c r="JY27" i="1"/>
  <c r="JY26" i="1"/>
  <c r="JY25" i="1"/>
  <c r="JY24" i="1"/>
  <c r="JY23" i="1"/>
  <c r="JY22" i="1"/>
  <c r="JY21" i="1"/>
  <c r="JY20" i="1"/>
  <c r="JY19" i="1"/>
  <c r="JY18" i="1"/>
  <c r="JY17" i="1"/>
  <c r="JY16" i="1"/>
  <c r="JY15" i="1"/>
  <c r="JY14" i="1"/>
  <c r="JY13" i="1"/>
  <c r="JY12" i="1"/>
  <c r="JY11" i="1"/>
  <c r="JY10" i="1"/>
  <c r="JY9" i="1"/>
  <c r="KE48" i="1"/>
  <c r="KE47" i="1"/>
  <c r="KB10" i="1"/>
  <c r="KB11" i="1" s="1"/>
  <c r="KB12" i="1" s="1"/>
  <c r="KB13" i="1" s="1"/>
  <c r="KB14" i="1" s="1"/>
  <c r="KB15" i="1" s="1"/>
  <c r="KB16" i="1" s="1"/>
  <c r="KB17" i="1" s="1"/>
  <c r="KB18" i="1" s="1"/>
  <c r="KB19" i="1" s="1"/>
  <c r="KB20" i="1" s="1"/>
  <c r="KB21" i="1" s="1"/>
  <c r="KB22" i="1" s="1"/>
  <c r="KB23" i="1" s="1"/>
  <c r="KB24" i="1" s="1"/>
  <c r="KB25" i="1" s="1"/>
  <c r="KB26" i="1" s="1"/>
  <c r="KB27" i="1" s="1"/>
  <c r="KB28" i="1" s="1"/>
  <c r="KB29" i="1" s="1"/>
  <c r="KB30" i="1" s="1"/>
  <c r="KB31" i="1" s="1"/>
  <c r="KB32" i="1" s="1"/>
  <c r="KB33" i="1" s="1"/>
  <c r="KB34" i="1" s="1"/>
  <c r="KB35" i="1" s="1"/>
  <c r="KB36" i="1" s="1"/>
  <c r="KB37" i="1" s="1"/>
  <c r="KB38" i="1" s="1"/>
  <c r="KB39" i="1" s="1"/>
  <c r="KB40" i="1" s="1"/>
  <c r="KB41" i="1" s="1"/>
  <c r="KB42" i="1" s="1"/>
  <c r="KB43" i="1" s="1"/>
  <c r="KB44" i="1" s="1"/>
  <c r="KB45" i="1" s="1"/>
  <c r="KB46" i="1" s="1"/>
  <c r="KB47" i="1" s="1"/>
  <c r="KB48" i="1" s="1"/>
  <c r="AU17" i="4" l="1"/>
  <c r="AW17" i="4" s="1"/>
  <c r="AI21" i="4"/>
  <c r="AV24" i="4"/>
  <c r="AX24" i="4" s="1"/>
  <c r="AU32" i="4"/>
  <c r="AW32" i="4" s="1"/>
  <c r="AQ33" i="4"/>
  <c r="AI34" i="4"/>
  <c r="AU34" i="4"/>
  <c r="AW34" i="4" s="1"/>
  <c r="AQ35" i="4"/>
  <c r="AI35" i="4" s="1"/>
  <c r="AI36" i="4"/>
  <c r="AU36" i="4"/>
  <c r="AW36" i="4" s="1"/>
  <c r="AQ37" i="4"/>
  <c r="AV21" i="4"/>
  <c r="AX21" i="4" s="1"/>
  <c r="AI23" i="4"/>
  <c r="AI32" i="4"/>
  <c r="AU20" i="4"/>
  <c r="AW20" i="4" s="1"/>
  <c r="AI22" i="4"/>
  <c r="AI33" i="4"/>
  <c r="AU33" i="4"/>
  <c r="AW33" i="4" s="1"/>
  <c r="AU35" i="4"/>
  <c r="AW35" i="4" s="1"/>
  <c r="AQ36" i="4"/>
  <c r="AI37" i="4"/>
  <c r="AU37" i="4"/>
  <c r="AW37" i="4" s="1"/>
  <c r="AI24" i="4"/>
  <c r="KG14" i="1"/>
  <c r="KG10" i="1"/>
  <c r="KE46" i="1"/>
  <c r="KE45" i="1"/>
  <c r="KE44" i="1"/>
  <c r="KE43" i="1"/>
  <c r="KE42" i="1"/>
  <c r="KG13" i="1" l="1"/>
  <c r="KG12" i="1"/>
  <c r="N164" i="1" l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W164" i="1" a="1"/>
  <c r="P303" i="1" s="1"/>
  <c r="AS5" i="1"/>
  <c r="P305" i="1" l="1"/>
  <c r="P304" i="1"/>
  <c r="P301" i="1"/>
  <c r="P302" i="1"/>
  <c r="W164" i="1"/>
  <c r="P300" i="1"/>
  <c r="P299" i="1"/>
  <c r="P298" i="1"/>
  <c r="P297" i="1"/>
  <c r="P296" i="1"/>
  <c r="P295" i="1"/>
  <c r="P294" i="1"/>
  <c r="P293" i="1"/>
  <c r="P292" i="1"/>
  <c r="P291" i="1"/>
  <c r="P290" i="1"/>
  <c r="P289" i="1"/>
  <c r="P288" i="1"/>
  <c r="P287" i="1"/>
  <c r="P286" i="1"/>
  <c r="P285" i="1"/>
  <c r="P284" i="1"/>
  <c r="P283" i="1"/>
  <c r="P282" i="1"/>
  <c r="P281" i="1"/>
  <c r="P280" i="1"/>
  <c r="P279" i="1"/>
  <c r="P278" i="1"/>
  <c r="P277" i="1"/>
  <c r="P276" i="1"/>
  <c r="P275" i="1"/>
  <c r="P274" i="1"/>
  <c r="P273" i="1"/>
  <c r="P272" i="1"/>
  <c r="P271" i="1"/>
  <c r="P270" i="1"/>
  <c r="P269" i="1"/>
  <c r="P268" i="1"/>
  <c r="P267" i="1"/>
  <c r="P266" i="1"/>
  <c r="P265" i="1"/>
  <c r="P264" i="1"/>
  <c r="P263" i="1"/>
  <c r="P262" i="1"/>
  <c r="P261" i="1"/>
  <c r="P260" i="1"/>
  <c r="P259" i="1"/>
  <c r="P258" i="1"/>
  <c r="P257" i="1"/>
  <c r="P256" i="1"/>
  <c r="P255" i="1"/>
  <c r="P254" i="1"/>
  <c r="P253" i="1"/>
  <c r="P252" i="1"/>
  <c r="P251" i="1"/>
  <c r="P250" i="1"/>
  <c r="P249" i="1"/>
  <c r="P248" i="1"/>
  <c r="P247" i="1"/>
  <c r="P246" i="1"/>
  <c r="AK256" i="1"/>
  <c r="AK255" i="1"/>
  <c r="AK254" i="1"/>
  <c r="AK253" i="1"/>
  <c r="AK252" i="1"/>
  <c r="AK251" i="1"/>
  <c r="AK250" i="1"/>
  <c r="AK249" i="1"/>
  <c r="AK248" i="1"/>
  <c r="AK247" i="1"/>
  <c r="AK246" i="1"/>
  <c r="AK245" i="1"/>
  <c r="AK244" i="1"/>
  <c r="AK243" i="1"/>
  <c r="AK242" i="1"/>
  <c r="AK241" i="1"/>
  <c r="AK240" i="1"/>
  <c r="AK239" i="1"/>
  <c r="AK238" i="1"/>
  <c r="AK237" i="1"/>
  <c r="AK236" i="1"/>
  <c r="AK235" i="1"/>
  <c r="AK234" i="1"/>
  <c r="AK233" i="1"/>
  <c r="AK232" i="1"/>
  <c r="AK231" i="1"/>
  <c r="AK230" i="1"/>
  <c r="AK229" i="1"/>
  <c r="AK228" i="1"/>
  <c r="AK227" i="1"/>
  <c r="AK226" i="1"/>
  <c r="AK225" i="1"/>
  <c r="AK224" i="1"/>
  <c r="AK223" i="1"/>
  <c r="AK222" i="1"/>
  <c r="AK221" i="1"/>
  <c r="AK220" i="1"/>
  <c r="AK219" i="1"/>
  <c r="AK218" i="1"/>
  <c r="AK217" i="1"/>
  <c r="AK216" i="1"/>
  <c r="AK215" i="1"/>
  <c r="AK214" i="1"/>
  <c r="AK213" i="1"/>
  <c r="AK212" i="1"/>
  <c r="AK211" i="1"/>
  <c r="AK210" i="1"/>
  <c r="AK209" i="1"/>
  <c r="AK208" i="1"/>
  <c r="AK207" i="1"/>
  <c r="AK206" i="1"/>
  <c r="AK205" i="1"/>
  <c r="AK204" i="1"/>
  <c r="AK203" i="1"/>
  <c r="AK202" i="1"/>
  <c r="AK201" i="1"/>
  <c r="AK200" i="1"/>
  <c r="AK199" i="1"/>
  <c r="AK198" i="1"/>
  <c r="AK197" i="1"/>
  <c r="AK196" i="1"/>
  <c r="AK195" i="1"/>
  <c r="AK194" i="1"/>
  <c r="AK193" i="1"/>
  <c r="AK192" i="1"/>
  <c r="AK191" i="1"/>
  <c r="AK190" i="1"/>
  <c r="AK189" i="1"/>
  <c r="AK188" i="1"/>
  <c r="AK187" i="1"/>
  <c r="AK186" i="1"/>
  <c r="AK185" i="1"/>
  <c r="AK184" i="1"/>
  <c r="AK183" i="1"/>
  <c r="AK182" i="1"/>
  <c r="AK181" i="1"/>
  <c r="AK180" i="1"/>
  <c r="AK179" i="1"/>
  <c r="AK178" i="1"/>
  <c r="AK177" i="1"/>
  <c r="AK176" i="1"/>
  <c r="AK175" i="1"/>
  <c r="AK174" i="1"/>
  <c r="AK173" i="1"/>
  <c r="AK172" i="1"/>
  <c r="AK171" i="1"/>
  <c r="AK170" i="1"/>
  <c r="AK169" i="1"/>
  <c r="AK168" i="1"/>
  <c r="AK167" i="1"/>
  <c r="AK166" i="1"/>
  <c r="AK165" i="1"/>
  <c r="AK164" i="1"/>
  <c r="J150" i="1" l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T305" i="1"/>
  <c r="G150" i="1" s="1"/>
  <c r="S305" i="1"/>
  <c r="F150" i="1" s="1"/>
  <c r="R305" i="1"/>
  <c r="E150" i="1" s="1"/>
  <c r="T304" i="1"/>
  <c r="G149" i="1" s="1"/>
  <c r="S304" i="1"/>
  <c r="F149" i="1" s="1"/>
  <c r="R304" i="1"/>
  <c r="E149" i="1" s="1"/>
  <c r="T303" i="1"/>
  <c r="G148" i="1" s="1"/>
  <c r="S303" i="1"/>
  <c r="F148" i="1" s="1"/>
  <c r="R303" i="1"/>
  <c r="E148" i="1" s="1"/>
  <c r="T302" i="1"/>
  <c r="G147" i="1" s="1"/>
  <c r="S302" i="1"/>
  <c r="F147" i="1" s="1"/>
  <c r="R302" i="1"/>
  <c r="E147" i="1" s="1"/>
  <c r="T301" i="1"/>
  <c r="G146" i="1" s="1"/>
  <c r="S301" i="1"/>
  <c r="F146" i="1" s="1"/>
  <c r="R301" i="1"/>
  <c r="E146" i="1" s="1"/>
  <c r="T300" i="1"/>
  <c r="G145" i="1" s="1"/>
  <c r="S300" i="1"/>
  <c r="F145" i="1" s="1"/>
  <c r="R300" i="1"/>
  <c r="E145" i="1" s="1"/>
  <c r="T299" i="1"/>
  <c r="G144" i="1" s="1"/>
  <c r="S299" i="1"/>
  <c r="F144" i="1" s="1"/>
  <c r="R299" i="1"/>
  <c r="E144" i="1" s="1"/>
  <c r="T298" i="1"/>
  <c r="G143" i="1" s="1"/>
  <c r="S298" i="1"/>
  <c r="F143" i="1" s="1"/>
  <c r="R298" i="1"/>
  <c r="E143" i="1" s="1"/>
  <c r="T297" i="1"/>
  <c r="G142" i="1" s="1"/>
  <c r="S297" i="1"/>
  <c r="F142" i="1" s="1"/>
  <c r="R297" i="1"/>
  <c r="E142" i="1" s="1"/>
  <c r="T296" i="1"/>
  <c r="G141" i="1" s="1"/>
  <c r="S296" i="1"/>
  <c r="F141" i="1" s="1"/>
  <c r="R296" i="1"/>
  <c r="E141" i="1" s="1"/>
  <c r="T295" i="1"/>
  <c r="G140" i="1" s="1"/>
  <c r="S295" i="1"/>
  <c r="F140" i="1" s="1"/>
  <c r="R295" i="1"/>
  <c r="E140" i="1" s="1"/>
  <c r="T294" i="1"/>
  <c r="G139" i="1" s="1"/>
  <c r="S294" i="1"/>
  <c r="F139" i="1" s="1"/>
  <c r="R294" i="1"/>
  <c r="E139" i="1" s="1"/>
  <c r="T293" i="1"/>
  <c r="G138" i="1" s="1"/>
  <c r="S293" i="1"/>
  <c r="F138" i="1" s="1"/>
  <c r="R293" i="1"/>
  <c r="E138" i="1" s="1"/>
  <c r="T292" i="1"/>
  <c r="G137" i="1" s="1"/>
  <c r="S292" i="1"/>
  <c r="F137" i="1" s="1"/>
  <c r="R292" i="1"/>
  <c r="E137" i="1" s="1"/>
  <c r="T291" i="1"/>
  <c r="G136" i="1" s="1"/>
  <c r="S291" i="1"/>
  <c r="F136" i="1" s="1"/>
  <c r="R291" i="1"/>
  <c r="E136" i="1" s="1"/>
  <c r="T290" i="1"/>
  <c r="G135" i="1" s="1"/>
  <c r="S290" i="1"/>
  <c r="F135" i="1" s="1"/>
  <c r="R290" i="1"/>
  <c r="E135" i="1" s="1"/>
  <c r="T289" i="1"/>
  <c r="G134" i="1" s="1"/>
  <c r="S289" i="1"/>
  <c r="F134" i="1" s="1"/>
  <c r="R289" i="1"/>
  <c r="E134" i="1" s="1"/>
  <c r="T288" i="1"/>
  <c r="G133" i="1" s="1"/>
  <c r="S288" i="1"/>
  <c r="F133" i="1" s="1"/>
  <c r="R288" i="1"/>
  <c r="E133" i="1" s="1"/>
  <c r="T287" i="1"/>
  <c r="G132" i="1" s="1"/>
  <c r="S287" i="1"/>
  <c r="F132" i="1" s="1"/>
  <c r="R287" i="1"/>
  <c r="E132" i="1" s="1"/>
  <c r="T286" i="1"/>
  <c r="G131" i="1" s="1"/>
  <c r="S286" i="1"/>
  <c r="F131" i="1" s="1"/>
  <c r="R286" i="1"/>
  <c r="E131" i="1" s="1"/>
  <c r="T285" i="1"/>
  <c r="G130" i="1" s="1"/>
  <c r="S285" i="1"/>
  <c r="F130" i="1" s="1"/>
  <c r="R285" i="1"/>
  <c r="E130" i="1" s="1"/>
  <c r="T284" i="1"/>
  <c r="G129" i="1" s="1"/>
  <c r="S284" i="1"/>
  <c r="F129" i="1" s="1"/>
  <c r="R284" i="1"/>
  <c r="E129" i="1" s="1"/>
  <c r="T283" i="1"/>
  <c r="G128" i="1" s="1"/>
  <c r="S283" i="1"/>
  <c r="F128" i="1" s="1"/>
  <c r="R283" i="1"/>
  <c r="E128" i="1" s="1"/>
  <c r="T282" i="1"/>
  <c r="G127" i="1" s="1"/>
  <c r="S282" i="1"/>
  <c r="F127" i="1" s="1"/>
  <c r="R282" i="1"/>
  <c r="E127" i="1" s="1"/>
  <c r="T281" i="1"/>
  <c r="G126" i="1" s="1"/>
  <c r="S281" i="1"/>
  <c r="F126" i="1" s="1"/>
  <c r="R281" i="1"/>
  <c r="E126" i="1" s="1"/>
  <c r="T280" i="1"/>
  <c r="G125" i="1" s="1"/>
  <c r="S280" i="1"/>
  <c r="F125" i="1" s="1"/>
  <c r="R280" i="1"/>
  <c r="E125" i="1" s="1"/>
  <c r="T279" i="1"/>
  <c r="G124" i="1" s="1"/>
  <c r="S279" i="1"/>
  <c r="F124" i="1" s="1"/>
  <c r="R279" i="1"/>
  <c r="E124" i="1" s="1"/>
  <c r="T278" i="1"/>
  <c r="G123" i="1" s="1"/>
  <c r="S278" i="1"/>
  <c r="F123" i="1" s="1"/>
  <c r="R278" i="1"/>
  <c r="E123" i="1" s="1"/>
  <c r="T277" i="1"/>
  <c r="G122" i="1" s="1"/>
  <c r="S277" i="1"/>
  <c r="F122" i="1" s="1"/>
  <c r="R277" i="1"/>
  <c r="E122" i="1" s="1"/>
  <c r="T276" i="1"/>
  <c r="G121" i="1" s="1"/>
  <c r="S276" i="1"/>
  <c r="F121" i="1" s="1"/>
  <c r="R276" i="1"/>
  <c r="E121" i="1" s="1"/>
  <c r="T275" i="1"/>
  <c r="G120" i="1" s="1"/>
  <c r="S275" i="1"/>
  <c r="F120" i="1" s="1"/>
  <c r="R275" i="1"/>
  <c r="E120" i="1" s="1"/>
  <c r="T274" i="1"/>
  <c r="G119" i="1" s="1"/>
  <c r="S274" i="1"/>
  <c r="F119" i="1" s="1"/>
  <c r="R274" i="1"/>
  <c r="E119" i="1" s="1"/>
  <c r="T273" i="1"/>
  <c r="G118" i="1" s="1"/>
  <c r="S273" i="1"/>
  <c r="F118" i="1" s="1"/>
  <c r="R273" i="1"/>
  <c r="E118" i="1" s="1"/>
  <c r="T272" i="1"/>
  <c r="G117" i="1" s="1"/>
  <c r="S272" i="1"/>
  <c r="F117" i="1" s="1"/>
  <c r="R272" i="1"/>
  <c r="E117" i="1" s="1"/>
  <c r="T271" i="1"/>
  <c r="G116" i="1" s="1"/>
  <c r="S271" i="1"/>
  <c r="F116" i="1" s="1"/>
  <c r="R271" i="1"/>
  <c r="E116" i="1" s="1"/>
  <c r="T270" i="1"/>
  <c r="G115" i="1" s="1"/>
  <c r="S270" i="1"/>
  <c r="F115" i="1" s="1"/>
  <c r="R270" i="1"/>
  <c r="E115" i="1" s="1"/>
  <c r="T269" i="1"/>
  <c r="G114" i="1" s="1"/>
  <c r="S269" i="1"/>
  <c r="F114" i="1" s="1"/>
  <c r="R269" i="1"/>
  <c r="E114" i="1" s="1"/>
  <c r="T268" i="1"/>
  <c r="G113" i="1" s="1"/>
  <c r="S268" i="1"/>
  <c r="F113" i="1" s="1"/>
  <c r="R268" i="1"/>
  <c r="E113" i="1" s="1"/>
  <c r="T267" i="1"/>
  <c r="G112" i="1" s="1"/>
  <c r="S267" i="1"/>
  <c r="F112" i="1" s="1"/>
  <c r="R267" i="1"/>
  <c r="E112" i="1" s="1"/>
  <c r="T266" i="1"/>
  <c r="G111" i="1" s="1"/>
  <c r="S266" i="1"/>
  <c r="F111" i="1" s="1"/>
  <c r="R266" i="1"/>
  <c r="E111" i="1" s="1"/>
  <c r="T265" i="1"/>
  <c r="G110" i="1" s="1"/>
  <c r="S265" i="1"/>
  <c r="F110" i="1" s="1"/>
  <c r="R265" i="1"/>
  <c r="E110" i="1" s="1"/>
  <c r="T264" i="1"/>
  <c r="G109" i="1" s="1"/>
  <c r="S264" i="1"/>
  <c r="F109" i="1" s="1"/>
  <c r="R264" i="1"/>
  <c r="E109" i="1" s="1"/>
  <c r="T263" i="1"/>
  <c r="G108" i="1" s="1"/>
  <c r="S263" i="1"/>
  <c r="F108" i="1" s="1"/>
  <c r="R263" i="1"/>
  <c r="E108" i="1" s="1"/>
  <c r="V305" i="1"/>
  <c r="I150" i="1" s="1"/>
  <c r="Q305" i="1"/>
  <c r="O305" i="1"/>
  <c r="V304" i="1"/>
  <c r="I149" i="1" s="1"/>
  <c r="Q304" i="1"/>
  <c r="O304" i="1"/>
  <c r="V303" i="1"/>
  <c r="I148" i="1" s="1"/>
  <c r="Q303" i="1"/>
  <c r="O303" i="1"/>
  <c r="V302" i="1"/>
  <c r="I147" i="1" s="1"/>
  <c r="Q302" i="1"/>
  <c r="O302" i="1"/>
  <c r="V301" i="1"/>
  <c r="I146" i="1" s="1"/>
  <c r="Q301" i="1"/>
  <c r="O301" i="1"/>
  <c r="V300" i="1"/>
  <c r="I145" i="1" s="1"/>
  <c r="Q300" i="1"/>
  <c r="O300" i="1"/>
  <c r="V299" i="1"/>
  <c r="I144" i="1" s="1"/>
  <c r="Q299" i="1"/>
  <c r="O299" i="1"/>
  <c r="V298" i="1"/>
  <c r="I143" i="1" s="1"/>
  <c r="Q298" i="1"/>
  <c r="O298" i="1"/>
  <c r="V297" i="1"/>
  <c r="I142" i="1" s="1"/>
  <c r="Q297" i="1"/>
  <c r="O297" i="1"/>
  <c r="V296" i="1"/>
  <c r="I141" i="1" s="1"/>
  <c r="Q296" i="1"/>
  <c r="O296" i="1"/>
  <c r="V295" i="1"/>
  <c r="I140" i="1" s="1"/>
  <c r="Q295" i="1"/>
  <c r="O295" i="1"/>
  <c r="V294" i="1"/>
  <c r="I139" i="1" s="1"/>
  <c r="Q294" i="1"/>
  <c r="O294" i="1"/>
  <c r="V293" i="1"/>
  <c r="I138" i="1" s="1"/>
  <c r="Q293" i="1"/>
  <c r="O293" i="1"/>
  <c r="V292" i="1"/>
  <c r="I137" i="1" s="1"/>
  <c r="Q292" i="1"/>
  <c r="O292" i="1"/>
  <c r="V291" i="1"/>
  <c r="I136" i="1" s="1"/>
  <c r="Q291" i="1"/>
  <c r="O291" i="1"/>
  <c r="V290" i="1"/>
  <c r="I135" i="1" s="1"/>
  <c r="Q290" i="1"/>
  <c r="O290" i="1"/>
  <c r="V289" i="1"/>
  <c r="I134" i="1" s="1"/>
  <c r="Q289" i="1"/>
  <c r="O289" i="1"/>
  <c r="V288" i="1"/>
  <c r="I133" i="1" s="1"/>
  <c r="Q288" i="1"/>
  <c r="O288" i="1"/>
  <c r="V287" i="1"/>
  <c r="I132" i="1" s="1"/>
  <c r="Q287" i="1"/>
  <c r="O287" i="1"/>
  <c r="V286" i="1"/>
  <c r="I131" i="1" s="1"/>
  <c r="Q286" i="1"/>
  <c r="O286" i="1"/>
  <c r="V285" i="1"/>
  <c r="I130" i="1" s="1"/>
  <c r="Q285" i="1"/>
  <c r="O285" i="1"/>
  <c r="V284" i="1"/>
  <c r="I129" i="1" s="1"/>
  <c r="Q284" i="1"/>
  <c r="O284" i="1"/>
  <c r="V283" i="1"/>
  <c r="I128" i="1" s="1"/>
  <c r="Q283" i="1"/>
  <c r="O283" i="1"/>
  <c r="V282" i="1"/>
  <c r="I127" i="1" s="1"/>
  <c r="Q282" i="1"/>
  <c r="O282" i="1"/>
  <c r="V281" i="1"/>
  <c r="I126" i="1" s="1"/>
  <c r="Q281" i="1"/>
  <c r="O281" i="1"/>
  <c r="V280" i="1"/>
  <c r="I125" i="1" s="1"/>
  <c r="Q280" i="1"/>
  <c r="O280" i="1"/>
  <c r="V279" i="1"/>
  <c r="I124" i="1" s="1"/>
  <c r="Q279" i="1"/>
  <c r="O279" i="1"/>
  <c r="V278" i="1"/>
  <c r="I123" i="1" s="1"/>
  <c r="Q278" i="1"/>
  <c r="O278" i="1"/>
  <c r="V277" i="1"/>
  <c r="I122" i="1" s="1"/>
  <c r="Q277" i="1"/>
  <c r="O277" i="1"/>
  <c r="V276" i="1"/>
  <c r="I121" i="1" s="1"/>
  <c r="Q276" i="1"/>
  <c r="O276" i="1"/>
  <c r="V275" i="1"/>
  <c r="I120" i="1" s="1"/>
  <c r="Q275" i="1"/>
  <c r="O275" i="1"/>
  <c r="V274" i="1"/>
  <c r="I119" i="1" s="1"/>
  <c r="Q274" i="1"/>
  <c r="O274" i="1"/>
  <c r="V273" i="1"/>
  <c r="I118" i="1" s="1"/>
  <c r="Q273" i="1"/>
  <c r="O273" i="1"/>
  <c r="V272" i="1"/>
  <c r="I117" i="1" s="1"/>
  <c r="Q272" i="1"/>
  <c r="O272" i="1"/>
  <c r="V271" i="1"/>
  <c r="I116" i="1" s="1"/>
  <c r="Q271" i="1"/>
  <c r="O271" i="1"/>
  <c r="V270" i="1"/>
  <c r="I115" i="1" s="1"/>
  <c r="Q270" i="1"/>
  <c r="O270" i="1"/>
  <c r="V269" i="1"/>
  <c r="I114" i="1" s="1"/>
  <c r="Q269" i="1"/>
  <c r="O269" i="1"/>
  <c r="V268" i="1"/>
  <c r="I113" i="1" s="1"/>
  <c r="Q268" i="1"/>
  <c r="O268" i="1"/>
  <c r="V267" i="1"/>
  <c r="I112" i="1" s="1"/>
  <c r="Q267" i="1"/>
  <c r="O267" i="1"/>
  <c r="V266" i="1"/>
  <c r="I111" i="1" s="1"/>
  <c r="Q266" i="1"/>
  <c r="O266" i="1"/>
  <c r="V265" i="1"/>
  <c r="I110" i="1" s="1"/>
  <c r="Q265" i="1"/>
  <c r="O265" i="1"/>
  <c r="V264" i="1"/>
  <c r="I109" i="1" s="1"/>
  <c r="Q264" i="1"/>
  <c r="O264" i="1"/>
  <c r="V263" i="1"/>
  <c r="I108" i="1" s="1"/>
  <c r="Q263" i="1"/>
  <c r="O263" i="1"/>
  <c r="K305" i="1"/>
  <c r="X305" i="1" s="1"/>
  <c r="K150" i="1" s="1"/>
  <c r="A150" i="1" s="1"/>
  <c r="K304" i="1"/>
  <c r="X304" i="1" s="1"/>
  <c r="K149" i="1" s="1"/>
  <c r="A149" i="1" s="1"/>
  <c r="K303" i="1"/>
  <c r="X303" i="1" s="1"/>
  <c r="K148" i="1" s="1"/>
  <c r="A148" i="1" s="1"/>
  <c r="K302" i="1"/>
  <c r="X302" i="1" s="1"/>
  <c r="K147" i="1" s="1"/>
  <c r="A147" i="1" s="1"/>
  <c r="K301" i="1"/>
  <c r="X301" i="1" s="1"/>
  <c r="K146" i="1" s="1"/>
  <c r="A146" i="1" s="1"/>
  <c r="K300" i="1"/>
  <c r="X300" i="1" s="1"/>
  <c r="K145" i="1" s="1"/>
  <c r="A145" i="1" s="1"/>
  <c r="K299" i="1"/>
  <c r="X299" i="1" s="1"/>
  <c r="K298" i="1"/>
  <c r="X298" i="1" s="1"/>
  <c r="K143" i="1" s="1"/>
  <c r="A143" i="1" s="1"/>
  <c r="K297" i="1"/>
  <c r="X297" i="1" s="1"/>
  <c r="K142" i="1" s="1"/>
  <c r="A142" i="1" s="1"/>
  <c r="K296" i="1"/>
  <c r="X296" i="1" s="1"/>
  <c r="K141" i="1" s="1"/>
  <c r="A141" i="1" s="1"/>
  <c r="K295" i="1"/>
  <c r="X295" i="1" s="1"/>
  <c r="K140" i="1" s="1"/>
  <c r="A140" i="1" s="1"/>
  <c r="K294" i="1"/>
  <c r="X294" i="1" s="1"/>
  <c r="K139" i="1" s="1"/>
  <c r="A139" i="1" s="1"/>
  <c r="K293" i="1"/>
  <c r="X293" i="1" s="1"/>
  <c r="K138" i="1" s="1"/>
  <c r="A138" i="1" s="1"/>
  <c r="K292" i="1"/>
  <c r="X292" i="1" s="1"/>
  <c r="K137" i="1" s="1"/>
  <c r="A137" i="1" s="1"/>
  <c r="K291" i="1"/>
  <c r="X291" i="1" s="1"/>
  <c r="K290" i="1"/>
  <c r="X290" i="1" s="1"/>
  <c r="K135" i="1" s="1"/>
  <c r="A135" i="1" s="1"/>
  <c r="K289" i="1"/>
  <c r="X289" i="1" s="1"/>
  <c r="K134" i="1" s="1"/>
  <c r="A134" i="1" s="1"/>
  <c r="K288" i="1"/>
  <c r="X288" i="1" s="1"/>
  <c r="U288" i="1" s="1"/>
  <c r="H133" i="1" s="1"/>
  <c r="K287" i="1"/>
  <c r="X287" i="1" s="1"/>
  <c r="K132" i="1" s="1"/>
  <c r="A132" i="1" s="1"/>
  <c r="K286" i="1"/>
  <c r="X286" i="1" s="1"/>
  <c r="K131" i="1" s="1"/>
  <c r="A131" i="1" s="1"/>
  <c r="K285" i="1"/>
  <c r="X285" i="1" s="1"/>
  <c r="K130" i="1" s="1"/>
  <c r="A130" i="1" s="1"/>
  <c r="K284" i="1"/>
  <c r="X284" i="1" s="1"/>
  <c r="K129" i="1" s="1"/>
  <c r="A129" i="1" s="1"/>
  <c r="K283" i="1"/>
  <c r="X283" i="1" s="1"/>
  <c r="K282" i="1"/>
  <c r="X282" i="1" s="1"/>
  <c r="K127" i="1" s="1"/>
  <c r="A127" i="1" s="1"/>
  <c r="K281" i="1"/>
  <c r="X281" i="1" s="1"/>
  <c r="K126" i="1" s="1"/>
  <c r="A126" i="1" s="1"/>
  <c r="K280" i="1"/>
  <c r="X280" i="1" s="1"/>
  <c r="K125" i="1" s="1"/>
  <c r="A125" i="1" s="1"/>
  <c r="K279" i="1"/>
  <c r="X279" i="1" s="1"/>
  <c r="K124" i="1" s="1"/>
  <c r="A124" i="1" s="1"/>
  <c r="K278" i="1"/>
  <c r="X278" i="1" s="1"/>
  <c r="K123" i="1" s="1"/>
  <c r="A123" i="1" s="1"/>
  <c r="K277" i="1"/>
  <c r="X277" i="1" s="1"/>
  <c r="K122" i="1" s="1"/>
  <c r="A122" i="1" s="1"/>
  <c r="K276" i="1"/>
  <c r="X276" i="1" s="1"/>
  <c r="K121" i="1" s="1"/>
  <c r="A121" i="1" s="1"/>
  <c r="K275" i="1"/>
  <c r="X275" i="1" s="1"/>
  <c r="K274" i="1"/>
  <c r="X274" i="1" s="1"/>
  <c r="K119" i="1" s="1"/>
  <c r="A119" i="1" s="1"/>
  <c r="K273" i="1"/>
  <c r="X273" i="1" s="1"/>
  <c r="K118" i="1" s="1"/>
  <c r="A118" i="1" s="1"/>
  <c r="K272" i="1"/>
  <c r="X272" i="1" s="1"/>
  <c r="K117" i="1" s="1"/>
  <c r="A117" i="1" s="1"/>
  <c r="K271" i="1"/>
  <c r="X271" i="1" s="1"/>
  <c r="K116" i="1" s="1"/>
  <c r="A116" i="1" s="1"/>
  <c r="K270" i="1"/>
  <c r="X270" i="1" s="1"/>
  <c r="K115" i="1" s="1"/>
  <c r="A115" i="1" s="1"/>
  <c r="K269" i="1"/>
  <c r="X269" i="1" s="1"/>
  <c r="K114" i="1" s="1"/>
  <c r="A114" i="1" s="1"/>
  <c r="K268" i="1"/>
  <c r="X268" i="1" s="1"/>
  <c r="K113" i="1" s="1"/>
  <c r="A113" i="1" s="1"/>
  <c r="K267" i="1"/>
  <c r="X267" i="1" s="1"/>
  <c r="K266" i="1"/>
  <c r="X266" i="1" s="1"/>
  <c r="K111" i="1" s="1"/>
  <c r="A111" i="1" s="1"/>
  <c r="K265" i="1"/>
  <c r="X265" i="1" s="1"/>
  <c r="K110" i="1" s="1"/>
  <c r="A110" i="1" s="1"/>
  <c r="K264" i="1"/>
  <c r="X264" i="1" s="1"/>
  <c r="K109" i="1" s="1"/>
  <c r="A109" i="1" s="1"/>
  <c r="K263" i="1"/>
  <c r="X263" i="1" s="1"/>
  <c r="K108" i="1" s="1"/>
  <c r="A108" i="1" s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B160" i="1"/>
  <c r="HN8" i="1"/>
  <c r="HM8" i="1"/>
  <c r="HP8" i="1"/>
  <c r="HO8" i="1"/>
  <c r="HR8" i="1"/>
  <c r="HQ8" i="1"/>
  <c r="L305" i="7"/>
  <c r="L304" i="7"/>
  <c r="L303" i="7"/>
  <c r="L302" i="7"/>
  <c r="L301" i="7"/>
  <c r="L300" i="7"/>
  <c r="L299" i="7"/>
  <c r="L298" i="7"/>
  <c r="L297" i="7"/>
  <c r="L296" i="7"/>
  <c r="L295" i="7"/>
  <c r="L294" i="7"/>
  <c r="L293" i="7"/>
  <c r="L292" i="7"/>
  <c r="L291" i="7"/>
  <c r="L290" i="7"/>
  <c r="L289" i="7"/>
  <c r="L288" i="7"/>
  <c r="L287" i="7"/>
  <c r="L286" i="7"/>
  <c r="L285" i="7"/>
  <c r="L284" i="7"/>
  <c r="L283" i="7"/>
  <c r="L270" i="7"/>
  <c r="L267" i="7"/>
  <c r="L266" i="7"/>
  <c r="L263" i="7"/>
  <c r="L241" i="7"/>
  <c r="L240" i="7"/>
  <c r="L226" i="7"/>
  <c r="L224" i="7"/>
  <c r="L223" i="7"/>
  <c r="L222" i="7"/>
  <c r="L221" i="7"/>
  <c r="L220" i="7"/>
  <c r="L203" i="7"/>
  <c r="L202" i="7"/>
  <c r="L201" i="7"/>
  <c r="L200" i="7"/>
  <c r="L199" i="7"/>
  <c r="L198" i="7"/>
  <c r="L196" i="7"/>
  <c r="L185" i="7"/>
  <c r="L184" i="7"/>
  <c r="L183" i="7"/>
  <c r="L182" i="7"/>
  <c r="L181" i="7"/>
  <c r="L180" i="7"/>
  <c r="L179" i="7"/>
  <c r="C145" i="1" l="1"/>
  <c r="C113" i="1"/>
  <c r="C121" i="1"/>
  <c r="C129" i="1"/>
  <c r="C137" i="1"/>
  <c r="C119" i="1"/>
  <c r="C127" i="1"/>
  <c r="C135" i="1"/>
  <c r="C143" i="1"/>
  <c r="C111" i="1"/>
  <c r="D150" i="1"/>
  <c r="D126" i="1"/>
  <c r="D134" i="1"/>
  <c r="D142" i="1"/>
  <c r="D111" i="1"/>
  <c r="D119" i="1"/>
  <c r="D127" i="1"/>
  <c r="D135" i="1"/>
  <c r="D143" i="1"/>
  <c r="C110" i="1"/>
  <c r="C114" i="1"/>
  <c r="C118" i="1"/>
  <c r="C122" i="1"/>
  <c r="C126" i="1"/>
  <c r="C130" i="1"/>
  <c r="C134" i="1"/>
  <c r="C138" i="1"/>
  <c r="C142" i="1"/>
  <c r="C146" i="1"/>
  <c r="C150" i="1"/>
  <c r="B113" i="1"/>
  <c r="B121" i="1"/>
  <c r="B129" i="1"/>
  <c r="B137" i="1"/>
  <c r="B141" i="1"/>
  <c r="B145" i="1"/>
  <c r="B149" i="1"/>
  <c r="B110" i="1"/>
  <c r="B114" i="1"/>
  <c r="B118" i="1"/>
  <c r="B122" i="1"/>
  <c r="B126" i="1"/>
  <c r="B130" i="1"/>
  <c r="B134" i="1"/>
  <c r="B138" i="1"/>
  <c r="B142" i="1"/>
  <c r="B146" i="1"/>
  <c r="B109" i="1"/>
  <c r="D118" i="1"/>
  <c r="D110" i="1"/>
  <c r="B150" i="1"/>
  <c r="D148" i="1"/>
  <c r="C124" i="1"/>
  <c r="C132" i="1"/>
  <c r="C140" i="1"/>
  <c r="C115" i="1"/>
  <c r="C117" i="1"/>
  <c r="C125" i="1"/>
  <c r="C131" i="1"/>
  <c r="C139" i="1"/>
  <c r="C141" i="1"/>
  <c r="C147" i="1"/>
  <c r="C149" i="1"/>
  <c r="B117" i="1"/>
  <c r="B125" i="1"/>
  <c r="D141" i="1"/>
  <c r="D149" i="1"/>
  <c r="B115" i="1"/>
  <c r="B123" i="1"/>
  <c r="B139" i="1"/>
  <c r="B147" i="1"/>
  <c r="C123" i="1"/>
  <c r="D109" i="1"/>
  <c r="D115" i="1"/>
  <c r="D117" i="1"/>
  <c r="D123" i="1"/>
  <c r="D125" i="1"/>
  <c r="D131" i="1"/>
  <c r="D139" i="1"/>
  <c r="D147" i="1"/>
  <c r="B111" i="1"/>
  <c r="B119" i="1"/>
  <c r="B127" i="1"/>
  <c r="B135" i="1"/>
  <c r="B143" i="1"/>
  <c r="B116" i="1"/>
  <c r="B124" i="1"/>
  <c r="B132" i="1"/>
  <c r="B140" i="1"/>
  <c r="B148" i="1"/>
  <c r="C109" i="1"/>
  <c r="C108" i="1"/>
  <c r="C116" i="1"/>
  <c r="C148" i="1"/>
  <c r="D113" i="1"/>
  <c r="D121" i="1"/>
  <c r="D129" i="1"/>
  <c r="D137" i="1"/>
  <c r="D145" i="1"/>
  <c r="B131" i="1"/>
  <c r="B108" i="1"/>
  <c r="D108" i="1"/>
  <c r="D114" i="1"/>
  <c r="D116" i="1"/>
  <c r="D122" i="1"/>
  <c r="D124" i="1"/>
  <c r="D130" i="1"/>
  <c r="D132" i="1"/>
  <c r="D138" i="1"/>
  <c r="D140" i="1"/>
  <c r="D146" i="1"/>
  <c r="R178" i="1"/>
  <c r="E23" i="1" s="1"/>
  <c r="R171" i="1"/>
  <c r="E16" i="1" s="1"/>
  <c r="O175" i="1"/>
  <c r="O171" i="1"/>
  <c r="O174" i="1"/>
  <c r="R179" i="1"/>
  <c r="E24" i="1" s="1"/>
  <c r="R167" i="1"/>
  <c r="E12" i="1" s="1"/>
  <c r="O179" i="1"/>
  <c r="R166" i="1"/>
  <c r="E11" i="1" s="1"/>
  <c r="V262" i="1"/>
  <c r="I107" i="1" s="1"/>
  <c r="Q262" i="1"/>
  <c r="J107" i="1"/>
  <c r="X262" i="1"/>
  <c r="K107" i="1" s="1"/>
  <c r="A107" i="1" s="1"/>
  <c r="O262" i="1"/>
  <c r="R262" i="1"/>
  <c r="E107" i="1" s="1"/>
  <c r="S262" i="1"/>
  <c r="F107" i="1" s="1"/>
  <c r="T262" i="1"/>
  <c r="G107" i="1" s="1"/>
  <c r="X261" i="1"/>
  <c r="K106" i="1" s="1"/>
  <c r="A106" i="1" s="1"/>
  <c r="T261" i="1"/>
  <c r="G106" i="1" s="1"/>
  <c r="V261" i="1"/>
  <c r="I106" i="1" s="1"/>
  <c r="S261" i="1"/>
  <c r="F106" i="1" s="1"/>
  <c r="Q261" i="1"/>
  <c r="R261" i="1"/>
  <c r="E106" i="1" s="1"/>
  <c r="O261" i="1"/>
  <c r="J106" i="1"/>
  <c r="V260" i="1"/>
  <c r="I105" i="1" s="1"/>
  <c r="Q260" i="1"/>
  <c r="R260" i="1"/>
  <c r="E105" i="1" s="1"/>
  <c r="S260" i="1"/>
  <c r="F105" i="1" s="1"/>
  <c r="O260" i="1"/>
  <c r="X260" i="1"/>
  <c r="K105" i="1" s="1"/>
  <c r="A105" i="1" s="1"/>
  <c r="T260" i="1"/>
  <c r="G105" i="1" s="1"/>
  <c r="J105" i="1"/>
  <c r="V258" i="1"/>
  <c r="I103" i="1" s="1"/>
  <c r="T259" i="1"/>
  <c r="G104" i="1" s="1"/>
  <c r="S259" i="1"/>
  <c r="F104" i="1" s="1"/>
  <c r="X259" i="1"/>
  <c r="U259" i="1" s="1"/>
  <c r="H104" i="1" s="1"/>
  <c r="R259" i="1"/>
  <c r="E104" i="1" s="1"/>
  <c r="V259" i="1"/>
  <c r="I104" i="1" s="1"/>
  <c r="Q259" i="1"/>
  <c r="J104" i="1"/>
  <c r="O259" i="1"/>
  <c r="O258" i="1"/>
  <c r="X258" i="1"/>
  <c r="K103" i="1" s="1"/>
  <c r="A103" i="1" s="1"/>
  <c r="R258" i="1"/>
  <c r="E103" i="1" s="1"/>
  <c r="J103" i="1"/>
  <c r="S258" i="1"/>
  <c r="F103" i="1" s="1"/>
  <c r="Q258" i="1"/>
  <c r="T258" i="1"/>
  <c r="G103" i="1" s="1"/>
  <c r="J102" i="1"/>
  <c r="O257" i="1"/>
  <c r="Q257" i="1"/>
  <c r="V257" i="1"/>
  <c r="I102" i="1" s="1"/>
  <c r="X257" i="1"/>
  <c r="K102" i="1" s="1"/>
  <c r="A102" i="1" s="1"/>
  <c r="R257" i="1"/>
  <c r="E102" i="1" s="1"/>
  <c r="S257" i="1"/>
  <c r="F102" i="1" s="1"/>
  <c r="T257" i="1"/>
  <c r="G102" i="1" s="1"/>
  <c r="R255" i="1"/>
  <c r="E100" i="1" s="1"/>
  <c r="S252" i="1"/>
  <c r="F97" i="1" s="1"/>
  <c r="V255" i="1"/>
  <c r="I100" i="1" s="1"/>
  <c r="V253" i="1"/>
  <c r="I98" i="1" s="1"/>
  <c r="V251" i="1"/>
  <c r="I96" i="1" s="1"/>
  <c r="O254" i="1"/>
  <c r="X250" i="1"/>
  <c r="K95" i="1" s="1"/>
  <c r="A95" i="1" s="1"/>
  <c r="T252" i="1"/>
  <c r="G97" i="1" s="1"/>
  <c r="J95" i="1"/>
  <c r="X251" i="1"/>
  <c r="K96" i="1" s="1"/>
  <c r="A96" i="1" s="1"/>
  <c r="S250" i="1"/>
  <c r="F95" i="1" s="1"/>
  <c r="R253" i="1"/>
  <c r="E98" i="1" s="1"/>
  <c r="T255" i="1"/>
  <c r="G100" i="1" s="1"/>
  <c r="J96" i="1"/>
  <c r="O252" i="1"/>
  <c r="S255" i="1"/>
  <c r="F100" i="1" s="1"/>
  <c r="Q250" i="1"/>
  <c r="Q252" i="1"/>
  <c r="Q254" i="1"/>
  <c r="Q256" i="1"/>
  <c r="X252" i="1"/>
  <c r="K97" i="1" s="1"/>
  <c r="A97" i="1" s="1"/>
  <c r="T250" i="1"/>
  <c r="G95" i="1" s="1"/>
  <c r="S253" i="1"/>
  <c r="F98" i="1" s="1"/>
  <c r="R256" i="1"/>
  <c r="E101" i="1" s="1"/>
  <c r="J97" i="1"/>
  <c r="O256" i="1"/>
  <c r="R250" i="1"/>
  <c r="E95" i="1" s="1"/>
  <c r="V250" i="1"/>
  <c r="I95" i="1" s="1"/>
  <c r="V252" i="1"/>
  <c r="I97" i="1" s="1"/>
  <c r="V254" i="1"/>
  <c r="I99" i="1" s="1"/>
  <c r="V256" i="1"/>
  <c r="I101" i="1" s="1"/>
  <c r="X253" i="1"/>
  <c r="K98" i="1" s="1"/>
  <c r="A98" i="1" s="1"/>
  <c r="R251" i="1"/>
  <c r="E96" i="1" s="1"/>
  <c r="T253" i="1"/>
  <c r="G98" i="1" s="1"/>
  <c r="S256" i="1"/>
  <c r="F101" i="1" s="1"/>
  <c r="J98" i="1"/>
  <c r="O250" i="1"/>
  <c r="O251" i="1"/>
  <c r="O253" i="1"/>
  <c r="O255" i="1"/>
  <c r="X254" i="1"/>
  <c r="K99" i="1" s="1"/>
  <c r="A99" i="1" s="1"/>
  <c r="S251" i="1"/>
  <c r="F96" i="1" s="1"/>
  <c r="R254" i="1"/>
  <c r="E99" i="1" s="1"/>
  <c r="T256" i="1"/>
  <c r="G101" i="1" s="1"/>
  <c r="J99" i="1"/>
  <c r="X255" i="1"/>
  <c r="K100" i="1" s="1"/>
  <c r="A100" i="1" s="1"/>
  <c r="T251" i="1"/>
  <c r="G96" i="1" s="1"/>
  <c r="S254" i="1"/>
  <c r="F99" i="1" s="1"/>
  <c r="J100" i="1"/>
  <c r="Q251" i="1"/>
  <c r="Q253" i="1"/>
  <c r="Q255" i="1"/>
  <c r="X256" i="1"/>
  <c r="K101" i="1" s="1"/>
  <c r="A101" i="1" s="1"/>
  <c r="R252" i="1"/>
  <c r="E97" i="1" s="1"/>
  <c r="T254" i="1"/>
  <c r="G99" i="1" s="1"/>
  <c r="J101" i="1"/>
  <c r="O248" i="1"/>
  <c r="J94" i="1"/>
  <c r="O249" i="1"/>
  <c r="T249" i="1"/>
  <c r="G94" i="1" s="1"/>
  <c r="Q249" i="1"/>
  <c r="X249" i="1"/>
  <c r="K94" i="1" s="1"/>
  <c r="A94" i="1" s="1"/>
  <c r="V249" i="1"/>
  <c r="I94" i="1" s="1"/>
  <c r="R249" i="1"/>
  <c r="E94" i="1" s="1"/>
  <c r="S249" i="1"/>
  <c r="F94" i="1" s="1"/>
  <c r="Q248" i="1"/>
  <c r="R248" i="1"/>
  <c r="E93" i="1" s="1"/>
  <c r="V248" i="1"/>
  <c r="I93" i="1" s="1"/>
  <c r="S248" i="1"/>
  <c r="F93" i="1" s="1"/>
  <c r="T248" i="1"/>
  <c r="G93" i="1" s="1"/>
  <c r="X248" i="1"/>
  <c r="K93" i="1" s="1"/>
  <c r="A93" i="1" s="1"/>
  <c r="J93" i="1"/>
  <c r="Q247" i="1"/>
  <c r="T247" i="1"/>
  <c r="G92" i="1" s="1"/>
  <c r="J92" i="1"/>
  <c r="S247" i="1"/>
  <c r="F92" i="1" s="1"/>
  <c r="O247" i="1"/>
  <c r="R247" i="1"/>
  <c r="E92" i="1" s="1"/>
  <c r="V247" i="1"/>
  <c r="I92" i="1" s="1"/>
  <c r="X247" i="1"/>
  <c r="K92" i="1" s="1"/>
  <c r="A92" i="1" s="1"/>
  <c r="V246" i="1"/>
  <c r="I91" i="1" s="1"/>
  <c r="Q246" i="1"/>
  <c r="J91" i="1"/>
  <c r="X246" i="1"/>
  <c r="K91" i="1" s="1"/>
  <c r="A91" i="1" s="1"/>
  <c r="O246" i="1"/>
  <c r="S246" i="1"/>
  <c r="F91" i="1" s="1"/>
  <c r="R246" i="1"/>
  <c r="E91" i="1" s="1"/>
  <c r="T246" i="1"/>
  <c r="G91" i="1" s="1"/>
  <c r="X245" i="1"/>
  <c r="K90" i="1" s="1"/>
  <c r="A90" i="1" s="1"/>
  <c r="T245" i="1"/>
  <c r="G90" i="1" s="1"/>
  <c r="V245" i="1"/>
  <c r="I90" i="1" s="1"/>
  <c r="S245" i="1"/>
  <c r="F90" i="1" s="1"/>
  <c r="Q245" i="1"/>
  <c r="R245" i="1"/>
  <c r="E90" i="1" s="1"/>
  <c r="P245" i="1"/>
  <c r="J90" i="1"/>
  <c r="O245" i="1"/>
  <c r="J89" i="1"/>
  <c r="X244" i="1"/>
  <c r="K89" i="1" s="1"/>
  <c r="A89" i="1" s="1"/>
  <c r="O244" i="1"/>
  <c r="V244" i="1"/>
  <c r="I89" i="1" s="1"/>
  <c r="T244" i="1"/>
  <c r="G89" i="1" s="1"/>
  <c r="Q244" i="1"/>
  <c r="P244" i="1"/>
  <c r="S244" i="1"/>
  <c r="F89" i="1" s="1"/>
  <c r="R244" i="1"/>
  <c r="E89" i="1" s="1"/>
  <c r="T243" i="1"/>
  <c r="G88" i="1" s="1"/>
  <c r="S243" i="1"/>
  <c r="F88" i="1" s="1"/>
  <c r="X243" i="1"/>
  <c r="K88" i="1" s="1"/>
  <c r="A88" i="1" s="1"/>
  <c r="R243" i="1"/>
  <c r="E88" i="1" s="1"/>
  <c r="V243" i="1"/>
  <c r="I88" i="1" s="1"/>
  <c r="Q243" i="1"/>
  <c r="P243" i="1"/>
  <c r="J88" i="1"/>
  <c r="O243" i="1"/>
  <c r="V242" i="1"/>
  <c r="I87" i="1" s="1"/>
  <c r="Q242" i="1"/>
  <c r="T242" i="1"/>
  <c r="G87" i="1" s="1"/>
  <c r="S242" i="1"/>
  <c r="F87" i="1" s="1"/>
  <c r="P242" i="1"/>
  <c r="J87" i="1"/>
  <c r="R242" i="1"/>
  <c r="E87" i="1" s="1"/>
  <c r="X242" i="1"/>
  <c r="K87" i="1" s="1"/>
  <c r="A87" i="1" s="1"/>
  <c r="O242" i="1"/>
  <c r="J86" i="1"/>
  <c r="O241" i="1"/>
  <c r="T241" i="1"/>
  <c r="G86" i="1" s="1"/>
  <c r="P241" i="1"/>
  <c r="Q241" i="1"/>
  <c r="X241" i="1"/>
  <c r="K86" i="1" s="1"/>
  <c r="A86" i="1" s="1"/>
  <c r="V241" i="1"/>
  <c r="I86" i="1" s="1"/>
  <c r="R241" i="1"/>
  <c r="E86" i="1" s="1"/>
  <c r="S241" i="1"/>
  <c r="F86" i="1" s="1"/>
  <c r="P240" i="1"/>
  <c r="O240" i="1"/>
  <c r="Q240" i="1"/>
  <c r="R240" i="1"/>
  <c r="E85" i="1" s="1"/>
  <c r="V240" i="1"/>
  <c r="I85" i="1" s="1"/>
  <c r="S240" i="1"/>
  <c r="F85" i="1" s="1"/>
  <c r="T240" i="1"/>
  <c r="G85" i="1" s="1"/>
  <c r="X240" i="1"/>
  <c r="K85" i="1" s="1"/>
  <c r="A85" i="1" s="1"/>
  <c r="J85" i="1"/>
  <c r="T239" i="1"/>
  <c r="G84" i="1" s="1"/>
  <c r="J84" i="1"/>
  <c r="S239" i="1"/>
  <c r="F84" i="1" s="1"/>
  <c r="O239" i="1"/>
  <c r="R239" i="1"/>
  <c r="E84" i="1" s="1"/>
  <c r="P239" i="1"/>
  <c r="Q239" i="1"/>
  <c r="V239" i="1"/>
  <c r="I84" i="1" s="1"/>
  <c r="X239" i="1"/>
  <c r="K84" i="1" s="1"/>
  <c r="A84" i="1" s="1"/>
  <c r="V238" i="1"/>
  <c r="I83" i="1" s="1"/>
  <c r="P238" i="1"/>
  <c r="J83" i="1"/>
  <c r="X238" i="1"/>
  <c r="K83" i="1" s="1"/>
  <c r="A83" i="1" s="1"/>
  <c r="O238" i="1"/>
  <c r="Q238" i="1"/>
  <c r="R238" i="1"/>
  <c r="E83" i="1" s="1"/>
  <c r="S238" i="1"/>
  <c r="F83" i="1" s="1"/>
  <c r="T238" i="1"/>
  <c r="G83" i="1" s="1"/>
  <c r="X237" i="1"/>
  <c r="K82" i="1" s="1"/>
  <c r="A82" i="1" s="1"/>
  <c r="T237" i="1"/>
  <c r="G82" i="1" s="1"/>
  <c r="V237" i="1"/>
  <c r="I82" i="1" s="1"/>
  <c r="S237" i="1"/>
  <c r="F82" i="1" s="1"/>
  <c r="Q237" i="1"/>
  <c r="R237" i="1"/>
  <c r="E82" i="1" s="1"/>
  <c r="P237" i="1"/>
  <c r="O237" i="1"/>
  <c r="J82" i="1"/>
  <c r="V236" i="1"/>
  <c r="I81" i="1" s="1"/>
  <c r="Q236" i="1"/>
  <c r="P236" i="1"/>
  <c r="J81" i="1"/>
  <c r="T236" i="1"/>
  <c r="G81" i="1" s="1"/>
  <c r="X236" i="1"/>
  <c r="K81" i="1" s="1"/>
  <c r="A81" i="1" s="1"/>
  <c r="O236" i="1"/>
  <c r="S236" i="1"/>
  <c r="F81" i="1" s="1"/>
  <c r="R236" i="1"/>
  <c r="E81" i="1" s="1"/>
  <c r="V234" i="1"/>
  <c r="I79" i="1" s="1"/>
  <c r="T235" i="1"/>
  <c r="G80" i="1" s="1"/>
  <c r="S235" i="1"/>
  <c r="F80" i="1" s="1"/>
  <c r="X235" i="1"/>
  <c r="U235" i="1" s="1"/>
  <c r="H80" i="1" s="1"/>
  <c r="R235" i="1"/>
  <c r="E80" i="1" s="1"/>
  <c r="V235" i="1"/>
  <c r="I80" i="1" s="1"/>
  <c r="Q235" i="1"/>
  <c r="P235" i="1"/>
  <c r="O235" i="1"/>
  <c r="J80" i="1"/>
  <c r="O234" i="1"/>
  <c r="X234" i="1"/>
  <c r="K79" i="1" s="1"/>
  <c r="A79" i="1" s="1"/>
  <c r="R234" i="1"/>
  <c r="E79" i="1" s="1"/>
  <c r="J79" i="1"/>
  <c r="P234" i="1"/>
  <c r="S234" i="1"/>
  <c r="F79" i="1" s="1"/>
  <c r="Q234" i="1"/>
  <c r="T234" i="1"/>
  <c r="G79" i="1" s="1"/>
  <c r="J78" i="1"/>
  <c r="O233" i="1"/>
  <c r="T233" i="1"/>
  <c r="G78" i="1" s="1"/>
  <c r="S233" i="1"/>
  <c r="F78" i="1" s="1"/>
  <c r="R233" i="1"/>
  <c r="E78" i="1" s="1"/>
  <c r="X233" i="1"/>
  <c r="K78" i="1" s="1"/>
  <c r="A78" i="1" s="1"/>
  <c r="V233" i="1"/>
  <c r="I78" i="1" s="1"/>
  <c r="Q233" i="1"/>
  <c r="P233" i="1"/>
  <c r="J77" i="1"/>
  <c r="X232" i="1"/>
  <c r="K77" i="1" s="1"/>
  <c r="A77" i="1" s="1"/>
  <c r="O232" i="1"/>
  <c r="P232" i="1"/>
  <c r="Q232" i="1"/>
  <c r="R232" i="1"/>
  <c r="E77" i="1" s="1"/>
  <c r="V232" i="1"/>
  <c r="I77" i="1" s="1"/>
  <c r="S232" i="1"/>
  <c r="F77" i="1" s="1"/>
  <c r="T232" i="1"/>
  <c r="G77" i="1" s="1"/>
  <c r="Q231" i="1"/>
  <c r="P231" i="1"/>
  <c r="T231" i="1"/>
  <c r="G76" i="1" s="1"/>
  <c r="J76" i="1"/>
  <c r="S231" i="1"/>
  <c r="F76" i="1" s="1"/>
  <c r="O231" i="1"/>
  <c r="R231" i="1"/>
  <c r="E76" i="1" s="1"/>
  <c r="V231" i="1"/>
  <c r="I76" i="1" s="1"/>
  <c r="X231" i="1"/>
  <c r="K76" i="1" s="1"/>
  <c r="A76" i="1" s="1"/>
  <c r="Q230" i="1"/>
  <c r="P230" i="1"/>
  <c r="J75" i="1"/>
  <c r="X230" i="1"/>
  <c r="K75" i="1" s="1"/>
  <c r="A75" i="1" s="1"/>
  <c r="O230" i="1"/>
  <c r="V230" i="1"/>
  <c r="I75" i="1" s="1"/>
  <c r="R230" i="1"/>
  <c r="E75" i="1" s="1"/>
  <c r="S230" i="1"/>
  <c r="F75" i="1" s="1"/>
  <c r="T230" i="1"/>
  <c r="G75" i="1" s="1"/>
  <c r="X229" i="1"/>
  <c r="K74" i="1" s="1"/>
  <c r="A74" i="1" s="1"/>
  <c r="T229" i="1"/>
  <c r="G74" i="1" s="1"/>
  <c r="V229" i="1"/>
  <c r="I74" i="1" s="1"/>
  <c r="S229" i="1"/>
  <c r="F74" i="1" s="1"/>
  <c r="Q229" i="1"/>
  <c r="R229" i="1"/>
  <c r="E74" i="1" s="1"/>
  <c r="P229" i="1"/>
  <c r="O229" i="1"/>
  <c r="J74" i="1"/>
  <c r="Q228" i="1"/>
  <c r="P228" i="1"/>
  <c r="O228" i="1"/>
  <c r="J73" i="1"/>
  <c r="T228" i="1"/>
  <c r="G73" i="1" s="1"/>
  <c r="X228" i="1"/>
  <c r="K73" i="1" s="1"/>
  <c r="A73" i="1" s="1"/>
  <c r="S228" i="1"/>
  <c r="F73" i="1" s="1"/>
  <c r="V228" i="1"/>
  <c r="I73" i="1" s="1"/>
  <c r="R228" i="1"/>
  <c r="E73" i="1" s="1"/>
  <c r="T227" i="1"/>
  <c r="G72" i="1" s="1"/>
  <c r="S227" i="1"/>
  <c r="F72" i="1" s="1"/>
  <c r="O227" i="1"/>
  <c r="R227" i="1"/>
  <c r="E72" i="1" s="1"/>
  <c r="V227" i="1"/>
  <c r="I72" i="1" s="1"/>
  <c r="Q227" i="1"/>
  <c r="P227" i="1"/>
  <c r="J72" i="1"/>
  <c r="V226" i="1"/>
  <c r="I71" i="1" s="1"/>
  <c r="T226" i="1"/>
  <c r="G71" i="1" s="1"/>
  <c r="Q226" i="1"/>
  <c r="S226" i="1"/>
  <c r="F71" i="1" s="1"/>
  <c r="P226" i="1"/>
  <c r="J71" i="1"/>
  <c r="R226" i="1"/>
  <c r="E71" i="1" s="1"/>
  <c r="O226" i="1"/>
  <c r="J69" i="1"/>
  <c r="J70" i="1"/>
  <c r="O225" i="1"/>
  <c r="T225" i="1"/>
  <c r="G70" i="1" s="1"/>
  <c r="P225" i="1"/>
  <c r="Q225" i="1"/>
  <c r="V225" i="1"/>
  <c r="I70" i="1" s="1"/>
  <c r="R225" i="1"/>
  <c r="E70" i="1" s="1"/>
  <c r="S225" i="1"/>
  <c r="F70" i="1" s="1"/>
  <c r="O224" i="1"/>
  <c r="P224" i="1"/>
  <c r="Q224" i="1"/>
  <c r="R224" i="1"/>
  <c r="E69" i="1" s="1"/>
  <c r="V224" i="1"/>
  <c r="I69" i="1" s="1"/>
  <c r="S224" i="1"/>
  <c r="F69" i="1" s="1"/>
  <c r="T224" i="1"/>
  <c r="G69" i="1" s="1"/>
  <c r="Q223" i="1"/>
  <c r="T223" i="1"/>
  <c r="G68" i="1" s="1"/>
  <c r="P223" i="1"/>
  <c r="J68" i="1"/>
  <c r="S223" i="1"/>
  <c r="F68" i="1" s="1"/>
  <c r="O223" i="1"/>
  <c r="R223" i="1"/>
  <c r="E68" i="1" s="1"/>
  <c r="V223" i="1"/>
  <c r="I68" i="1" s="1"/>
  <c r="Q222" i="1"/>
  <c r="P222" i="1"/>
  <c r="J67" i="1"/>
  <c r="O222" i="1"/>
  <c r="V222" i="1"/>
  <c r="I67" i="1" s="1"/>
  <c r="R222" i="1"/>
  <c r="E67" i="1" s="1"/>
  <c r="S222" i="1"/>
  <c r="F67" i="1" s="1"/>
  <c r="T222" i="1"/>
  <c r="G67" i="1" s="1"/>
  <c r="T221" i="1"/>
  <c r="G66" i="1" s="1"/>
  <c r="V221" i="1"/>
  <c r="I66" i="1" s="1"/>
  <c r="S221" i="1"/>
  <c r="F66" i="1" s="1"/>
  <c r="Q221" i="1"/>
  <c r="O221" i="1"/>
  <c r="R221" i="1"/>
  <c r="E66" i="1" s="1"/>
  <c r="P221" i="1"/>
  <c r="J66" i="1"/>
  <c r="R220" i="1"/>
  <c r="E65" i="1" s="1"/>
  <c r="V220" i="1"/>
  <c r="I65" i="1" s="1"/>
  <c r="Q220" i="1"/>
  <c r="P220" i="1"/>
  <c r="J65" i="1"/>
  <c r="T220" i="1"/>
  <c r="G65" i="1" s="1"/>
  <c r="O220" i="1"/>
  <c r="S220" i="1"/>
  <c r="F65" i="1" s="1"/>
  <c r="Q218" i="1"/>
  <c r="T219" i="1"/>
  <c r="G64" i="1" s="1"/>
  <c r="S219" i="1"/>
  <c r="F64" i="1" s="1"/>
  <c r="R219" i="1"/>
  <c r="E64" i="1" s="1"/>
  <c r="V219" i="1"/>
  <c r="I64" i="1" s="1"/>
  <c r="P219" i="1"/>
  <c r="Q219" i="1"/>
  <c r="O219" i="1"/>
  <c r="J64" i="1"/>
  <c r="O218" i="1"/>
  <c r="R218" i="1"/>
  <c r="E63" i="1" s="1"/>
  <c r="J63" i="1"/>
  <c r="S218" i="1"/>
  <c r="F63" i="1" s="1"/>
  <c r="T218" i="1"/>
  <c r="G63" i="1" s="1"/>
  <c r="V218" i="1"/>
  <c r="I63" i="1" s="1"/>
  <c r="P218" i="1"/>
  <c r="J62" i="1"/>
  <c r="O217" i="1"/>
  <c r="T217" i="1"/>
  <c r="G62" i="1" s="1"/>
  <c r="P217" i="1"/>
  <c r="Q217" i="1"/>
  <c r="V217" i="1"/>
  <c r="I62" i="1" s="1"/>
  <c r="R217" i="1"/>
  <c r="E62" i="1" s="1"/>
  <c r="S217" i="1"/>
  <c r="F62" i="1" s="1"/>
  <c r="U266" i="1"/>
  <c r="H111" i="1" s="1"/>
  <c r="U274" i="1"/>
  <c r="H119" i="1" s="1"/>
  <c r="U282" i="1"/>
  <c r="H127" i="1" s="1"/>
  <c r="U290" i="1"/>
  <c r="H135" i="1" s="1"/>
  <c r="U298" i="1"/>
  <c r="H143" i="1" s="1"/>
  <c r="K133" i="1"/>
  <c r="A133" i="1" s="1"/>
  <c r="D133" i="1" s="1"/>
  <c r="K112" i="1"/>
  <c r="A112" i="1" s="1"/>
  <c r="B112" i="1" s="1"/>
  <c r="U267" i="1"/>
  <c r="H112" i="1" s="1"/>
  <c r="K120" i="1"/>
  <c r="A120" i="1" s="1"/>
  <c r="D120" i="1" s="1"/>
  <c r="U275" i="1"/>
  <c r="H120" i="1" s="1"/>
  <c r="K128" i="1"/>
  <c r="A128" i="1" s="1"/>
  <c r="D128" i="1" s="1"/>
  <c r="U283" i="1"/>
  <c r="H128" i="1" s="1"/>
  <c r="K144" i="1"/>
  <c r="A144" i="1" s="1"/>
  <c r="B144" i="1" s="1"/>
  <c r="U299" i="1"/>
  <c r="H144" i="1" s="1"/>
  <c r="K136" i="1"/>
  <c r="A136" i="1" s="1"/>
  <c r="B136" i="1" s="1"/>
  <c r="U291" i="1"/>
  <c r="H136" i="1" s="1"/>
  <c r="J54" i="1"/>
  <c r="J46" i="1"/>
  <c r="J38" i="1"/>
  <c r="J30" i="1"/>
  <c r="J22" i="1"/>
  <c r="J14" i="1"/>
  <c r="J61" i="1"/>
  <c r="J53" i="1"/>
  <c r="J45" i="1"/>
  <c r="J37" i="1"/>
  <c r="J29" i="1"/>
  <c r="J21" i="1"/>
  <c r="J13" i="1"/>
  <c r="J60" i="1"/>
  <c r="J52" i="1"/>
  <c r="J44" i="1"/>
  <c r="J36" i="1"/>
  <c r="J28" i="1"/>
  <c r="J20" i="1"/>
  <c r="J12" i="1"/>
  <c r="J55" i="1"/>
  <c r="J47" i="1"/>
  <c r="J39" i="1"/>
  <c r="J31" i="1"/>
  <c r="J23" i="1"/>
  <c r="J15" i="1"/>
  <c r="J48" i="1"/>
  <c r="J32" i="1"/>
  <c r="J16" i="1"/>
  <c r="J59" i="1"/>
  <c r="J43" i="1"/>
  <c r="J27" i="1"/>
  <c r="J11" i="1"/>
  <c r="J58" i="1"/>
  <c r="J42" i="1"/>
  <c r="J26" i="1"/>
  <c r="J10" i="1"/>
  <c r="J57" i="1"/>
  <c r="J41" i="1"/>
  <c r="J25" i="1"/>
  <c r="J56" i="1"/>
  <c r="J40" i="1"/>
  <c r="J24" i="1"/>
  <c r="J50" i="1"/>
  <c r="J34" i="1"/>
  <c r="J18" i="1"/>
  <c r="J49" i="1"/>
  <c r="J33" i="1"/>
  <c r="J17" i="1"/>
  <c r="J51" i="1"/>
  <c r="J35" i="1"/>
  <c r="J19" i="1"/>
  <c r="U268" i="1"/>
  <c r="H113" i="1" s="1"/>
  <c r="U276" i="1"/>
  <c r="H121" i="1" s="1"/>
  <c r="U284" i="1"/>
  <c r="H129" i="1" s="1"/>
  <c r="U292" i="1"/>
  <c r="H137" i="1" s="1"/>
  <c r="U300" i="1"/>
  <c r="H145" i="1" s="1"/>
  <c r="U269" i="1"/>
  <c r="H114" i="1" s="1"/>
  <c r="U277" i="1"/>
  <c r="H122" i="1" s="1"/>
  <c r="U285" i="1"/>
  <c r="H130" i="1" s="1"/>
  <c r="U293" i="1"/>
  <c r="H138" i="1" s="1"/>
  <c r="U301" i="1"/>
  <c r="H146" i="1" s="1"/>
  <c r="U270" i="1"/>
  <c r="H115" i="1" s="1"/>
  <c r="U278" i="1"/>
  <c r="H123" i="1" s="1"/>
  <c r="U286" i="1"/>
  <c r="H131" i="1" s="1"/>
  <c r="U294" i="1"/>
  <c r="H139" i="1" s="1"/>
  <c r="U302" i="1"/>
  <c r="H147" i="1" s="1"/>
  <c r="U263" i="1"/>
  <c r="H108" i="1" s="1"/>
  <c r="U271" i="1"/>
  <c r="H116" i="1" s="1"/>
  <c r="U279" i="1"/>
  <c r="H124" i="1" s="1"/>
  <c r="U287" i="1"/>
  <c r="H132" i="1" s="1"/>
  <c r="U295" i="1"/>
  <c r="H140" i="1" s="1"/>
  <c r="U303" i="1"/>
  <c r="H148" i="1" s="1"/>
  <c r="U264" i="1"/>
  <c r="H109" i="1" s="1"/>
  <c r="U272" i="1"/>
  <c r="H117" i="1" s="1"/>
  <c r="U280" i="1"/>
  <c r="H125" i="1" s="1"/>
  <c r="U296" i="1"/>
  <c r="H141" i="1" s="1"/>
  <c r="U304" i="1"/>
  <c r="H149" i="1" s="1"/>
  <c r="U265" i="1"/>
  <c r="H110" i="1" s="1"/>
  <c r="U273" i="1"/>
  <c r="H118" i="1" s="1"/>
  <c r="U281" i="1"/>
  <c r="H126" i="1" s="1"/>
  <c r="U289" i="1"/>
  <c r="H134" i="1" s="1"/>
  <c r="U297" i="1"/>
  <c r="H142" i="1" s="1"/>
  <c r="U305" i="1"/>
  <c r="H150" i="1" s="1"/>
  <c r="R215" i="1"/>
  <c r="E60" i="1" s="1"/>
  <c r="T209" i="1"/>
  <c r="G54" i="1" s="1"/>
  <c r="R207" i="1"/>
  <c r="E52" i="1" s="1"/>
  <c r="S204" i="1"/>
  <c r="F49" i="1" s="1"/>
  <c r="T201" i="1"/>
  <c r="G46" i="1" s="1"/>
  <c r="R199" i="1"/>
  <c r="E44" i="1" s="1"/>
  <c r="S196" i="1"/>
  <c r="F41" i="1" s="1"/>
  <c r="T193" i="1"/>
  <c r="G38" i="1" s="1"/>
  <c r="S188" i="1"/>
  <c r="F33" i="1" s="1"/>
  <c r="R183" i="1"/>
  <c r="E28" i="1" s="1"/>
  <c r="T177" i="1"/>
  <c r="G22" i="1" s="1"/>
  <c r="S172" i="1"/>
  <c r="F17" i="1" s="1"/>
  <c r="T214" i="1"/>
  <c r="G59" i="1" s="1"/>
  <c r="R212" i="1"/>
  <c r="E57" i="1" s="1"/>
  <c r="S209" i="1"/>
  <c r="F54" i="1" s="1"/>
  <c r="T206" i="1"/>
  <c r="G51" i="1" s="1"/>
  <c r="R204" i="1"/>
  <c r="E49" i="1" s="1"/>
  <c r="S201" i="1"/>
  <c r="F46" i="1" s="1"/>
  <c r="T198" i="1"/>
  <c r="G43" i="1" s="1"/>
  <c r="R196" i="1"/>
  <c r="E41" i="1" s="1"/>
  <c r="S193" i="1"/>
  <c r="F38" i="1" s="1"/>
  <c r="T190" i="1"/>
  <c r="G35" i="1" s="1"/>
  <c r="R188" i="1"/>
  <c r="E33" i="1" s="1"/>
  <c r="S185" i="1"/>
  <c r="F30" i="1" s="1"/>
  <c r="T182" i="1"/>
  <c r="G27" i="1" s="1"/>
  <c r="R180" i="1"/>
  <c r="E25" i="1" s="1"/>
  <c r="S177" i="1"/>
  <c r="F22" i="1" s="1"/>
  <c r="T174" i="1"/>
  <c r="G19" i="1" s="1"/>
  <c r="R172" i="1"/>
  <c r="E17" i="1" s="1"/>
  <c r="S169" i="1"/>
  <c r="F14" i="1" s="1"/>
  <c r="T166" i="1"/>
  <c r="G11" i="1" s="1"/>
  <c r="S214" i="1"/>
  <c r="F59" i="1" s="1"/>
  <c r="T211" i="1"/>
  <c r="G56" i="1" s="1"/>
  <c r="R209" i="1"/>
  <c r="E54" i="1" s="1"/>
  <c r="S206" i="1"/>
  <c r="F51" i="1" s="1"/>
  <c r="T203" i="1"/>
  <c r="G48" i="1" s="1"/>
  <c r="R201" i="1"/>
  <c r="E46" i="1" s="1"/>
  <c r="S198" i="1"/>
  <c r="F43" i="1" s="1"/>
  <c r="T195" i="1"/>
  <c r="G40" i="1" s="1"/>
  <c r="R193" i="1"/>
  <c r="E38" i="1" s="1"/>
  <c r="S190" i="1"/>
  <c r="F35" i="1" s="1"/>
  <c r="T187" i="1"/>
  <c r="G32" i="1" s="1"/>
  <c r="R185" i="1"/>
  <c r="E30" i="1" s="1"/>
  <c r="S182" i="1"/>
  <c r="F27" i="1" s="1"/>
  <c r="T179" i="1"/>
  <c r="G24" i="1" s="1"/>
  <c r="R177" i="1"/>
  <c r="E22" i="1" s="1"/>
  <c r="S174" i="1"/>
  <c r="F19" i="1" s="1"/>
  <c r="T171" i="1"/>
  <c r="G16" i="1" s="1"/>
  <c r="R169" i="1"/>
  <c r="E14" i="1" s="1"/>
  <c r="S166" i="1"/>
  <c r="F11" i="1" s="1"/>
  <c r="T216" i="1"/>
  <c r="G61" i="1" s="1"/>
  <c r="R214" i="1"/>
  <c r="E59" i="1" s="1"/>
  <c r="S211" i="1"/>
  <c r="F56" i="1" s="1"/>
  <c r="T208" i="1"/>
  <c r="G53" i="1" s="1"/>
  <c r="R206" i="1"/>
  <c r="E51" i="1" s="1"/>
  <c r="S203" i="1"/>
  <c r="F48" i="1" s="1"/>
  <c r="T200" i="1"/>
  <c r="G45" i="1" s="1"/>
  <c r="R198" i="1"/>
  <c r="E43" i="1" s="1"/>
  <c r="S195" i="1"/>
  <c r="F40" i="1" s="1"/>
  <c r="T192" i="1"/>
  <c r="G37" i="1" s="1"/>
  <c r="R190" i="1"/>
  <c r="E35" i="1" s="1"/>
  <c r="S187" i="1"/>
  <c r="F32" i="1" s="1"/>
  <c r="T184" i="1"/>
  <c r="G29" i="1" s="1"/>
  <c r="R182" i="1"/>
  <c r="E27" i="1" s="1"/>
  <c r="S179" i="1"/>
  <c r="F24" i="1" s="1"/>
  <c r="T176" i="1"/>
  <c r="G21" i="1" s="1"/>
  <c r="R174" i="1"/>
  <c r="E19" i="1" s="1"/>
  <c r="S171" i="1"/>
  <c r="F16" i="1" s="1"/>
  <c r="T168" i="1"/>
  <c r="G13" i="1" s="1"/>
  <c r="S216" i="1"/>
  <c r="F61" i="1" s="1"/>
  <c r="T213" i="1"/>
  <c r="G58" i="1" s="1"/>
  <c r="R211" i="1"/>
  <c r="E56" i="1" s="1"/>
  <c r="S208" i="1"/>
  <c r="F53" i="1" s="1"/>
  <c r="T205" i="1"/>
  <c r="G50" i="1" s="1"/>
  <c r="R203" i="1"/>
  <c r="E48" i="1" s="1"/>
  <c r="S200" i="1"/>
  <c r="F45" i="1" s="1"/>
  <c r="T197" i="1"/>
  <c r="G42" i="1" s="1"/>
  <c r="R195" i="1"/>
  <c r="E40" i="1" s="1"/>
  <c r="S192" i="1"/>
  <c r="F37" i="1" s="1"/>
  <c r="T189" i="1"/>
  <c r="G34" i="1" s="1"/>
  <c r="R187" i="1"/>
  <c r="E32" i="1" s="1"/>
  <c r="S184" i="1"/>
  <c r="F29" i="1" s="1"/>
  <c r="T181" i="1"/>
  <c r="G26" i="1" s="1"/>
  <c r="S176" i="1"/>
  <c r="F21" i="1" s="1"/>
  <c r="T173" i="1"/>
  <c r="G18" i="1" s="1"/>
  <c r="S168" i="1"/>
  <c r="F13" i="1" s="1"/>
  <c r="T165" i="1"/>
  <c r="G10" i="1" s="1"/>
  <c r="R216" i="1"/>
  <c r="E61" i="1" s="1"/>
  <c r="S213" i="1"/>
  <c r="F58" i="1" s="1"/>
  <c r="T210" i="1"/>
  <c r="G55" i="1" s="1"/>
  <c r="R208" i="1"/>
  <c r="E53" i="1" s="1"/>
  <c r="S205" i="1"/>
  <c r="F50" i="1" s="1"/>
  <c r="T202" i="1"/>
  <c r="G47" i="1" s="1"/>
  <c r="R200" i="1"/>
  <c r="E45" i="1" s="1"/>
  <c r="S197" i="1"/>
  <c r="F42" i="1" s="1"/>
  <c r="T194" i="1"/>
  <c r="G39" i="1" s="1"/>
  <c r="R192" i="1"/>
  <c r="E37" i="1" s="1"/>
  <c r="S189" i="1"/>
  <c r="F34" i="1" s="1"/>
  <c r="T186" i="1"/>
  <c r="G31" i="1" s="1"/>
  <c r="R184" i="1"/>
  <c r="E29" i="1" s="1"/>
  <c r="S181" i="1"/>
  <c r="F26" i="1" s="1"/>
  <c r="T178" i="1"/>
  <c r="G23" i="1" s="1"/>
  <c r="R176" i="1"/>
  <c r="E21" i="1" s="1"/>
  <c r="S173" i="1"/>
  <c r="F18" i="1" s="1"/>
  <c r="T170" i="1"/>
  <c r="G15" i="1" s="1"/>
  <c r="R168" i="1"/>
  <c r="E13" i="1" s="1"/>
  <c r="S165" i="1"/>
  <c r="F10" i="1" s="1"/>
  <c r="T169" i="1"/>
  <c r="G14" i="1" s="1"/>
  <c r="R175" i="1"/>
  <c r="E20" i="1" s="1"/>
  <c r="S180" i="1"/>
  <c r="F25" i="1" s="1"/>
  <c r="R191" i="1"/>
  <c r="E36" i="1" s="1"/>
  <c r="S212" i="1"/>
  <c r="F57" i="1" s="1"/>
  <c r="S167" i="1"/>
  <c r="F12" i="1" s="1"/>
  <c r="R170" i="1"/>
  <c r="E15" i="1" s="1"/>
  <c r="T172" i="1"/>
  <c r="G17" i="1" s="1"/>
  <c r="S175" i="1"/>
  <c r="F20" i="1" s="1"/>
  <c r="T180" i="1"/>
  <c r="G25" i="1" s="1"/>
  <c r="S183" i="1"/>
  <c r="F28" i="1" s="1"/>
  <c r="R186" i="1"/>
  <c r="E31" i="1" s="1"/>
  <c r="T188" i="1"/>
  <c r="G33" i="1" s="1"/>
  <c r="S191" i="1"/>
  <c r="F36" i="1" s="1"/>
  <c r="R194" i="1"/>
  <c r="E39" i="1" s="1"/>
  <c r="T196" i="1"/>
  <c r="G41" i="1" s="1"/>
  <c r="S199" i="1"/>
  <c r="F44" i="1" s="1"/>
  <c r="R202" i="1"/>
  <c r="E47" i="1" s="1"/>
  <c r="T204" i="1"/>
  <c r="G49" i="1" s="1"/>
  <c r="S207" i="1"/>
  <c r="F52" i="1" s="1"/>
  <c r="R210" i="1"/>
  <c r="E55" i="1" s="1"/>
  <c r="T212" i="1"/>
  <c r="G57" i="1" s="1"/>
  <c r="S215" i="1"/>
  <c r="F60" i="1" s="1"/>
  <c r="T185" i="1"/>
  <c r="G30" i="1" s="1"/>
  <c r="R165" i="1"/>
  <c r="E10" i="1" s="1"/>
  <c r="T167" i="1"/>
  <c r="G12" i="1" s="1"/>
  <c r="S170" i="1"/>
  <c r="F15" i="1" s="1"/>
  <c r="R173" i="1"/>
  <c r="E18" i="1" s="1"/>
  <c r="T175" i="1"/>
  <c r="G20" i="1" s="1"/>
  <c r="S178" i="1"/>
  <c r="F23" i="1" s="1"/>
  <c r="R181" i="1"/>
  <c r="E26" i="1" s="1"/>
  <c r="T183" i="1"/>
  <c r="G28" i="1" s="1"/>
  <c r="S186" i="1"/>
  <c r="F31" i="1" s="1"/>
  <c r="R189" i="1"/>
  <c r="E34" i="1" s="1"/>
  <c r="T191" i="1"/>
  <c r="G36" i="1" s="1"/>
  <c r="S194" i="1"/>
  <c r="F39" i="1" s="1"/>
  <c r="R197" i="1"/>
  <c r="E42" i="1" s="1"/>
  <c r="T199" i="1"/>
  <c r="G44" i="1" s="1"/>
  <c r="S202" i="1"/>
  <c r="F47" i="1" s="1"/>
  <c r="R205" i="1"/>
  <c r="E50" i="1" s="1"/>
  <c r="T207" i="1"/>
  <c r="G52" i="1" s="1"/>
  <c r="S210" i="1"/>
  <c r="F55" i="1" s="1"/>
  <c r="R213" i="1"/>
  <c r="E58" i="1" s="1"/>
  <c r="T215" i="1"/>
  <c r="G60" i="1" s="1"/>
  <c r="O166" i="1"/>
  <c r="O170" i="1"/>
  <c r="O176" i="1"/>
  <c r="O180" i="1"/>
  <c r="O185" i="1"/>
  <c r="O192" i="1"/>
  <c r="O197" i="1"/>
  <c r="O199" i="1"/>
  <c r="O203" i="1"/>
  <c r="O207" i="1"/>
  <c r="O211" i="1"/>
  <c r="O215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O165" i="1"/>
  <c r="O168" i="1"/>
  <c r="O178" i="1"/>
  <c r="O184" i="1"/>
  <c r="O188" i="1"/>
  <c r="O193" i="1"/>
  <c r="O198" i="1"/>
  <c r="O202" i="1"/>
  <c r="O208" i="1"/>
  <c r="O213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O167" i="1"/>
  <c r="O177" i="1"/>
  <c r="O182" i="1"/>
  <c r="O190" i="1"/>
  <c r="O194" i="1"/>
  <c r="O200" i="1"/>
  <c r="O204" i="1"/>
  <c r="O209" i="1"/>
  <c r="O212" i="1"/>
  <c r="O216" i="1"/>
  <c r="O169" i="1"/>
  <c r="O183" i="1"/>
  <c r="O186" i="1"/>
  <c r="O191" i="1"/>
  <c r="O195" i="1"/>
  <c r="O201" i="1"/>
  <c r="O206" i="1"/>
  <c r="O210" i="1"/>
  <c r="O214" i="1"/>
  <c r="O172" i="1"/>
  <c r="O187" i="1"/>
  <c r="O173" i="1"/>
  <c r="O181" i="1"/>
  <c r="O189" i="1"/>
  <c r="O196" i="1"/>
  <c r="O205" i="1"/>
  <c r="V165" i="1"/>
  <c r="I10" i="1" s="1"/>
  <c r="V166" i="1"/>
  <c r="I11" i="1" s="1"/>
  <c r="V167" i="1"/>
  <c r="I12" i="1" s="1"/>
  <c r="V168" i="1"/>
  <c r="I13" i="1" s="1"/>
  <c r="V169" i="1"/>
  <c r="I14" i="1" s="1"/>
  <c r="V170" i="1"/>
  <c r="I15" i="1" s="1"/>
  <c r="V171" i="1"/>
  <c r="I16" i="1" s="1"/>
  <c r="V172" i="1"/>
  <c r="I17" i="1" s="1"/>
  <c r="V173" i="1"/>
  <c r="I18" i="1" s="1"/>
  <c r="V174" i="1"/>
  <c r="I19" i="1" s="1"/>
  <c r="V175" i="1"/>
  <c r="I20" i="1" s="1"/>
  <c r="V176" i="1"/>
  <c r="I21" i="1" s="1"/>
  <c r="V177" i="1"/>
  <c r="I22" i="1" s="1"/>
  <c r="V178" i="1"/>
  <c r="I23" i="1" s="1"/>
  <c r="V179" i="1"/>
  <c r="I24" i="1" s="1"/>
  <c r="V180" i="1"/>
  <c r="I25" i="1" s="1"/>
  <c r="V181" i="1"/>
  <c r="I26" i="1" s="1"/>
  <c r="V182" i="1"/>
  <c r="I27" i="1" s="1"/>
  <c r="V183" i="1"/>
  <c r="I28" i="1" s="1"/>
  <c r="V184" i="1"/>
  <c r="I29" i="1" s="1"/>
  <c r="V185" i="1"/>
  <c r="I30" i="1" s="1"/>
  <c r="V186" i="1"/>
  <c r="I31" i="1" s="1"/>
  <c r="V187" i="1"/>
  <c r="I32" i="1" s="1"/>
  <c r="V188" i="1"/>
  <c r="I33" i="1" s="1"/>
  <c r="V189" i="1"/>
  <c r="I34" i="1" s="1"/>
  <c r="V190" i="1"/>
  <c r="I35" i="1" s="1"/>
  <c r="V191" i="1"/>
  <c r="I36" i="1" s="1"/>
  <c r="V192" i="1"/>
  <c r="I37" i="1" s="1"/>
  <c r="V193" i="1"/>
  <c r="I38" i="1" s="1"/>
  <c r="V194" i="1"/>
  <c r="I39" i="1" s="1"/>
  <c r="V195" i="1"/>
  <c r="I40" i="1" s="1"/>
  <c r="V196" i="1"/>
  <c r="I41" i="1" s="1"/>
  <c r="V197" i="1"/>
  <c r="I42" i="1" s="1"/>
  <c r="V198" i="1"/>
  <c r="I43" i="1" s="1"/>
  <c r="V199" i="1"/>
  <c r="I44" i="1" s="1"/>
  <c r="V200" i="1"/>
  <c r="I45" i="1" s="1"/>
  <c r="V201" i="1"/>
  <c r="I46" i="1" s="1"/>
  <c r="V202" i="1"/>
  <c r="I47" i="1" s="1"/>
  <c r="V203" i="1"/>
  <c r="I48" i="1" s="1"/>
  <c r="V204" i="1"/>
  <c r="I49" i="1" s="1"/>
  <c r="V205" i="1"/>
  <c r="I50" i="1" s="1"/>
  <c r="V206" i="1"/>
  <c r="I51" i="1" s="1"/>
  <c r="V207" i="1"/>
  <c r="I52" i="1" s="1"/>
  <c r="V208" i="1"/>
  <c r="I53" i="1" s="1"/>
  <c r="V209" i="1"/>
  <c r="I54" i="1" s="1"/>
  <c r="V210" i="1"/>
  <c r="I55" i="1" s="1"/>
  <c r="V211" i="1"/>
  <c r="I56" i="1" s="1"/>
  <c r="V212" i="1"/>
  <c r="I57" i="1" s="1"/>
  <c r="V213" i="1"/>
  <c r="I58" i="1" s="1"/>
  <c r="V214" i="1"/>
  <c r="I59" i="1" s="1"/>
  <c r="V215" i="1"/>
  <c r="I60" i="1" s="1"/>
  <c r="V216" i="1"/>
  <c r="I61" i="1" s="1"/>
  <c r="AQ55" i="4"/>
  <c r="AT55" i="4"/>
  <c r="AS55" i="4"/>
  <c r="AP55" i="4"/>
  <c r="AV55" i="4" s="1"/>
  <c r="AX55" i="4" s="1"/>
  <c r="AO55" i="4"/>
  <c r="AR55" i="4" s="1"/>
  <c r="AQ57" i="4"/>
  <c r="AT57" i="4"/>
  <c r="AS57" i="4"/>
  <c r="AP57" i="4"/>
  <c r="AV57" i="4" s="1"/>
  <c r="AO57" i="4"/>
  <c r="AR57" i="4" s="1"/>
  <c r="AJ57" i="4"/>
  <c r="U258" i="1" l="1"/>
  <c r="H103" i="1" s="1"/>
  <c r="C92" i="1"/>
  <c r="B89" i="1"/>
  <c r="C75" i="1"/>
  <c r="C83" i="1"/>
  <c r="D86" i="1"/>
  <c r="D91" i="1"/>
  <c r="D96" i="1"/>
  <c r="B102" i="1"/>
  <c r="C76" i="1"/>
  <c r="C96" i="1"/>
  <c r="C79" i="1"/>
  <c r="C100" i="1"/>
  <c r="D107" i="1"/>
  <c r="D85" i="1"/>
  <c r="D88" i="1"/>
  <c r="C93" i="1"/>
  <c r="D93" i="1"/>
  <c r="D100" i="1"/>
  <c r="D102" i="1"/>
  <c r="D81" i="1"/>
  <c r="D97" i="1"/>
  <c r="C88" i="1"/>
  <c r="C94" i="1"/>
  <c r="C103" i="1"/>
  <c r="C86" i="1"/>
  <c r="C95" i="1"/>
  <c r="C102" i="1"/>
  <c r="B75" i="1"/>
  <c r="B90" i="1"/>
  <c r="B100" i="1"/>
  <c r="B94" i="1"/>
  <c r="B96" i="1"/>
  <c r="B105" i="1"/>
  <c r="B83" i="1"/>
  <c r="D73" i="1"/>
  <c r="C99" i="1"/>
  <c r="C144" i="1"/>
  <c r="B133" i="1"/>
  <c r="B74" i="1"/>
  <c r="D75" i="1"/>
  <c r="B77" i="1"/>
  <c r="B81" i="1"/>
  <c r="B82" i="1"/>
  <c r="C87" i="1"/>
  <c r="C89" i="1"/>
  <c r="C98" i="1"/>
  <c r="B98" i="1"/>
  <c r="B97" i="1"/>
  <c r="C97" i="1"/>
  <c r="D105" i="1"/>
  <c r="B106" i="1"/>
  <c r="C136" i="1"/>
  <c r="C74" i="1"/>
  <c r="D76" i="1"/>
  <c r="C77" i="1"/>
  <c r="C82" i="1"/>
  <c r="B85" i="1"/>
  <c r="C90" i="1"/>
  <c r="D92" i="1"/>
  <c r="D98" i="1"/>
  <c r="C106" i="1"/>
  <c r="C128" i="1"/>
  <c r="B78" i="1"/>
  <c r="B79" i="1"/>
  <c r="C85" i="1"/>
  <c r="B86" i="1"/>
  <c r="B103" i="1"/>
  <c r="C120" i="1"/>
  <c r="B128" i="1"/>
  <c r="C133" i="1"/>
  <c r="D74" i="1"/>
  <c r="C78" i="1"/>
  <c r="D82" i="1"/>
  <c r="D83" i="1"/>
  <c r="D84" i="1"/>
  <c r="D87" i="1"/>
  <c r="D90" i="1"/>
  <c r="B91" i="1"/>
  <c r="B93" i="1"/>
  <c r="D101" i="1"/>
  <c r="D106" i="1"/>
  <c r="B107" i="1"/>
  <c r="D144" i="1"/>
  <c r="B73" i="1"/>
  <c r="B76" i="1"/>
  <c r="D78" i="1"/>
  <c r="C81" i="1"/>
  <c r="C84" i="1"/>
  <c r="B92" i="1"/>
  <c r="D99" i="1"/>
  <c r="B95" i="1"/>
  <c r="C105" i="1"/>
  <c r="C112" i="1"/>
  <c r="B120" i="1"/>
  <c r="C73" i="1"/>
  <c r="D79" i="1"/>
  <c r="B87" i="1"/>
  <c r="B88" i="1"/>
  <c r="D89" i="1"/>
  <c r="B101" i="1"/>
  <c r="B99" i="1"/>
  <c r="D103" i="1"/>
  <c r="D112" i="1"/>
  <c r="D77" i="1"/>
  <c r="B84" i="1"/>
  <c r="C91" i="1"/>
  <c r="D94" i="1"/>
  <c r="D95" i="1"/>
  <c r="C101" i="1"/>
  <c r="C107" i="1"/>
  <c r="D136" i="1"/>
  <c r="O161" i="1"/>
  <c r="J9" i="1"/>
  <c r="R164" i="1"/>
  <c r="E9" i="1" s="1"/>
  <c r="U262" i="1"/>
  <c r="H107" i="1" s="1"/>
  <c r="U261" i="1"/>
  <c r="H106" i="1" s="1"/>
  <c r="K104" i="1"/>
  <c r="A104" i="1" s="1"/>
  <c r="C104" i="1" s="1"/>
  <c r="U257" i="1"/>
  <c r="H102" i="1" s="1"/>
  <c r="U260" i="1"/>
  <c r="H105" i="1" s="1"/>
  <c r="U256" i="1"/>
  <c r="H101" i="1" s="1"/>
  <c r="U246" i="1"/>
  <c r="H91" i="1" s="1"/>
  <c r="U247" i="1"/>
  <c r="H92" i="1" s="1"/>
  <c r="U252" i="1"/>
  <c r="H97" i="1" s="1"/>
  <c r="U255" i="1"/>
  <c r="H100" i="1" s="1"/>
  <c r="U254" i="1"/>
  <c r="H99" i="1" s="1"/>
  <c r="U253" i="1"/>
  <c r="H98" i="1" s="1"/>
  <c r="U250" i="1"/>
  <c r="H95" i="1" s="1"/>
  <c r="U249" i="1"/>
  <c r="H94" i="1" s="1"/>
  <c r="U244" i="1"/>
  <c r="H89" i="1" s="1"/>
  <c r="U251" i="1"/>
  <c r="H96" i="1" s="1"/>
  <c r="Q164" i="1"/>
  <c r="P164" i="1"/>
  <c r="O164" i="1"/>
  <c r="U248" i="1"/>
  <c r="H93" i="1" s="1"/>
  <c r="U245" i="1"/>
  <c r="H90" i="1" s="1"/>
  <c r="U241" i="1"/>
  <c r="H86" i="1" s="1"/>
  <c r="U238" i="1"/>
  <c r="H83" i="1" s="1"/>
  <c r="U240" i="1"/>
  <c r="H85" i="1" s="1"/>
  <c r="U243" i="1"/>
  <c r="H88" i="1" s="1"/>
  <c r="U242" i="1"/>
  <c r="H87" i="1" s="1"/>
  <c r="U239" i="1"/>
  <c r="H84" i="1" s="1"/>
  <c r="K80" i="1"/>
  <c r="A80" i="1" s="1"/>
  <c r="C80" i="1" s="1"/>
  <c r="U237" i="1"/>
  <c r="H82" i="1" s="1"/>
  <c r="U234" i="1"/>
  <c r="H79" i="1" s="1"/>
  <c r="U236" i="1"/>
  <c r="H81" i="1" s="1"/>
  <c r="U232" i="1"/>
  <c r="H77" i="1" s="1"/>
  <c r="U233" i="1"/>
  <c r="H78" i="1" s="1"/>
  <c r="U230" i="1"/>
  <c r="H75" i="1" s="1"/>
  <c r="U231" i="1"/>
  <c r="H76" i="1" s="1"/>
  <c r="U228" i="1"/>
  <c r="H73" i="1" s="1"/>
  <c r="U229" i="1"/>
  <c r="H74" i="1" s="1"/>
  <c r="V164" i="1"/>
  <c r="I9" i="1" s="1"/>
  <c r="T164" i="1"/>
  <c r="G9" i="1" s="1"/>
  <c r="S164" i="1"/>
  <c r="F9" i="1" s="1"/>
  <c r="AU55" i="4"/>
  <c r="AW55" i="4" s="1"/>
  <c r="AI55" i="4"/>
  <c r="AX57" i="4"/>
  <c r="AI57" i="4"/>
  <c r="AU57" i="4"/>
  <c r="AW57" i="4" s="1"/>
  <c r="B80" i="1" l="1"/>
  <c r="B104" i="1"/>
  <c r="D104" i="1"/>
  <c r="D80" i="1"/>
  <c r="AT58" i="4"/>
  <c r="AS58" i="4"/>
  <c r="AP58" i="4"/>
  <c r="AV58" i="4" s="1"/>
  <c r="AX58" i="4" s="1"/>
  <c r="AO58" i="4"/>
  <c r="AR58" i="4" s="1"/>
  <c r="AJ58" i="4"/>
  <c r="AQ58" i="4" l="1"/>
  <c r="AI58" i="4" s="1"/>
  <c r="AU58" i="4"/>
  <c r="AW58" i="4" s="1"/>
  <c r="AJ53" i="4" l="1"/>
  <c r="AQ53" i="4"/>
  <c r="AT53" i="4"/>
  <c r="AS53" i="4"/>
  <c r="AP53" i="4"/>
  <c r="AV53" i="4" s="1"/>
  <c r="AX53" i="4" s="1"/>
  <c r="AO53" i="4"/>
  <c r="AR53" i="4" s="1"/>
  <c r="AU53" i="4" l="1"/>
  <c r="AW53" i="4" s="1"/>
  <c r="AI53" i="4"/>
  <c r="AJ60" i="4" l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D14" i="1" a="1"/>
  <c r="JD14" i="1" s="1"/>
  <c r="JD13" i="1" a="1"/>
  <c r="JD13" i="1" s="1"/>
  <c r="JD28" i="1" a="1"/>
  <c r="JD28" i="1" s="1"/>
  <c r="JD27" i="1" a="1"/>
  <c r="JD27" i="1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44" i="4"/>
  <c r="AJ59" i="4"/>
  <c r="AJ56" i="4"/>
  <c r="AJ51" i="4"/>
  <c r="AJ50" i="4"/>
  <c r="AJ49" i="4"/>
  <c r="AJ48" i="4"/>
  <c r="AJ47" i="4"/>
  <c r="AJ46" i="4"/>
  <c r="AJ45" i="4"/>
  <c r="AJ43" i="4"/>
  <c r="AJ42" i="4"/>
  <c r="AJ41" i="4"/>
  <c r="AJ16" i="4"/>
  <c r="AJ15" i="4"/>
  <c r="AJ14" i="4"/>
  <c r="AL15" i="4"/>
  <c r="AP60" i="4"/>
  <c r="JB25" i="7" l="1" a="1"/>
  <c r="JB25" i="7" s="1"/>
  <c r="BC14" i="4" a="1"/>
  <c r="BC14" i="4" s="1"/>
  <c r="AP15" i="4"/>
  <c r="AP14" i="4"/>
  <c r="AV15" i="4" l="1"/>
  <c r="AV14" i="4"/>
  <c r="AU15" i="4"/>
  <c r="AU14" i="4"/>
  <c r="AT60" i="4"/>
  <c r="AT59" i="4"/>
  <c r="AT56" i="4"/>
  <c r="AT54" i="4"/>
  <c r="AT52" i="4"/>
  <c r="AT51" i="4"/>
  <c r="AT50" i="4"/>
  <c r="AT49" i="4"/>
  <c r="AT48" i="4"/>
  <c r="AT47" i="4"/>
  <c r="AT46" i="4"/>
  <c r="AT45" i="4"/>
  <c r="AT44" i="4"/>
  <c r="AT43" i="4"/>
  <c r="AT42" i="4"/>
  <c r="AT41" i="4"/>
  <c r="AT16" i="4"/>
  <c r="AT15" i="4"/>
  <c r="AT14" i="4"/>
  <c r="AS60" i="4"/>
  <c r="AS59" i="4"/>
  <c r="AS56" i="4"/>
  <c r="AS54" i="4"/>
  <c r="AS52" i="4"/>
  <c r="AS51" i="4"/>
  <c r="AS50" i="4"/>
  <c r="AS49" i="4"/>
  <c r="AS48" i="4"/>
  <c r="AS47" i="4"/>
  <c r="AS46" i="4"/>
  <c r="AS45" i="4"/>
  <c r="AS44" i="4"/>
  <c r="AS43" i="4"/>
  <c r="AS42" i="4"/>
  <c r="AS41" i="4"/>
  <c r="AS16" i="4"/>
  <c r="AS15" i="4"/>
  <c r="AS14" i="4"/>
  <c r="AR46" i="4"/>
  <c r="AU60" i="4"/>
  <c r="AP59" i="4"/>
  <c r="AU59" i="4" s="1"/>
  <c r="AP56" i="4"/>
  <c r="AP54" i="4"/>
  <c r="AP52" i="4"/>
  <c r="AP51" i="4"/>
  <c r="AP50" i="4"/>
  <c r="AP49" i="4"/>
  <c r="AP48" i="4"/>
  <c r="AV48" i="4" s="1"/>
  <c r="AP47" i="4"/>
  <c r="AV47" i="4" s="1"/>
  <c r="AP46" i="4"/>
  <c r="AP45" i="4"/>
  <c r="AV45" i="4" s="1"/>
  <c r="AP44" i="4"/>
  <c r="AV44" i="4" s="1"/>
  <c r="AP43" i="4"/>
  <c r="AV43" i="4" s="1"/>
  <c r="AP42" i="4"/>
  <c r="AV42" i="4" s="1"/>
  <c r="AP41" i="4"/>
  <c r="AP16" i="4"/>
  <c r="AR14" i="4"/>
  <c r="AR51" i="4"/>
  <c r="AR50" i="4"/>
  <c r="AR49" i="4"/>
  <c r="AR48" i="4"/>
  <c r="AR47" i="4"/>
  <c r="AR45" i="4"/>
  <c r="AR43" i="4"/>
  <c r="AR42" i="4"/>
  <c r="AR41" i="4"/>
  <c r="AR16" i="4"/>
  <c r="AR15" i="4"/>
  <c r="AR44" i="4"/>
  <c r="AN48" i="4"/>
  <c r="AQ48" i="4" s="1"/>
  <c r="AL48" i="4"/>
  <c r="AN47" i="4"/>
  <c r="AQ47" i="4" s="1"/>
  <c r="AL47" i="4"/>
  <c r="AN43" i="4"/>
  <c r="AQ43" i="4" s="1"/>
  <c r="AL43" i="4"/>
  <c r="AL51" i="4"/>
  <c r="AL50" i="4"/>
  <c r="AL49" i="4"/>
  <c r="AL46" i="4"/>
  <c r="AN51" i="4"/>
  <c r="AQ51" i="4" s="1"/>
  <c r="AN50" i="4"/>
  <c r="AQ50" i="4" s="1"/>
  <c r="AN49" i="4"/>
  <c r="AQ49" i="4" s="1"/>
  <c r="AN46" i="4"/>
  <c r="AQ46" i="4" s="1"/>
  <c r="AN45" i="4"/>
  <c r="AQ45" i="4" s="1"/>
  <c r="AL45" i="4"/>
  <c r="AN44" i="4"/>
  <c r="AQ44" i="4" s="1"/>
  <c r="AL44" i="4"/>
  <c r="AL42" i="4"/>
  <c r="AL41" i="4"/>
  <c r="AL16" i="4"/>
  <c r="AL14" i="4"/>
  <c r="AN41" i="4"/>
  <c r="AQ41" i="4" s="1"/>
  <c r="AN42" i="4"/>
  <c r="AQ42" i="4" s="1"/>
  <c r="AN16" i="4"/>
  <c r="AQ16" i="4" s="1"/>
  <c r="AN15" i="4"/>
  <c r="AQ15" i="4" s="1"/>
  <c r="AI15" i="4" s="1"/>
  <c r="AN14" i="4"/>
  <c r="AQ14" i="4" s="1"/>
  <c r="AI14" i="4" s="1"/>
  <c r="AU46" i="4" l="1"/>
  <c r="AV46" i="4"/>
  <c r="K188" i="1"/>
  <c r="K226" i="1"/>
  <c r="X226" i="1" s="1"/>
  <c r="K199" i="1"/>
  <c r="K169" i="1"/>
  <c r="X169" i="1" s="1"/>
  <c r="K168" i="1"/>
  <c r="X168" i="1" s="1"/>
  <c r="AI43" i="4"/>
  <c r="AI51" i="4"/>
  <c r="JE25" i="7" a="1"/>
  <c r="JE25" i="7" s="1"/>
  <c r="JC25" i="7" a="1"/>
  <c r="JC25" i="7" s="1"/>
  <c r="JD25" i="7" a="1"/>
  <c r="JD25" i="7" s="1"/>
  <c r="AU49" i="4"/>
  <c r="AW49" i="4" s="1"/>
  <c r="AI49" i="4"/>
  <c r="AU42" i="4"/>
  <c r="AI42" i="4"/>
  <c r="AU50" i="4"/>
  <c r="AW50" i="4" s="1"/>
  <c r="AI50" i="4"/>
  <c r="AI44" i="4"/>
  <c r="AV52" i="4"/>
  <c r="AU45" i="4"/>
  <c r="AW45" i="4" s="1"/>
  <c r="AI45" i="4"/>
  <c r="AV49" i="4"/>
  <c r="AU41" i="4"/>
  <c r="AW41" i="4" s="1"/>
  <c r="AI41" i="4"/>
  <c r="AI46" i="4"/>
  <c r="AU47" i="4"/>
  <c r="AW47" i="4" s="1"/>
  <c r="AI47" i="4"/>
  <c r="AU54" i="4"/>
  <c r="AU16" i="4"/>
  <c r="AW16" i="4" s="1"/>
  <c r="AI16" i="4"/>
  <c r="K174" i="1" s="1"/>
  <c r="AU56" i="4"/>
  <c r="AU48" i="4"/>
  <c r="AW48" i="4" s="1"/>
  <c r="AI48" i="4"/>
  <c r="AX48" i="4"/>
  <c r="AV51" i="4"/>
  <c r="AX51" i="4" s="1"/>
  <c r="AV54" i="4"/>
  <c r="AV50" i="4"/>
  <c r="AX50" i="4" s="1"/>
  <c r="AX42" i="4"/>
  <c r="AV56" i="4"/>
  <c r="AX43" i="4"/>
  <c r="AV59" i="4"/>
  <c r="AU43" i="4"/>
  <c r="AW43" i="4" s="1"/>
  <c r="AU51" i="4"/>
  <c r="AW51" i="4" s="1"/>
  <c r="AV16" i="4"/>
  <c r="AX16" i="4" s="1"/>
  <c r="AX44" i="4"/>
  <c r="AV60" i="4"/>
  <c r="AU44" i="4"/>
  <c r="AW44" i="4" s="1"/>
  <c r="AU52" i="4"/>
  <c r="AV41" i="4"/>
  <c r="AX41" i="4" s="1"/>
  <c r="AX46" i="4"/>
  <c r="AW60" i="4"/>
  <c r="AX14" i="4"/>
  <c r="AW14" i="4"/>
  <c r="AX47" i="4"/>
  <c r="AX15" i="4"/>
  <c r="AX49" i="4"/>
  <c r="AX45" i="4"/>
  <c r="AW15" i="4"/>
  <c r="AW42" i="4"/>
  <c r="AW46" i="4"/>
  <c r="K223" i="1" l="1"/>
  <c r="X223" i="1" s="1"/>
  <c r="K183" i="1"/>
  <c r="K219" i="1"/>
  <c r="K196" i="1"/>
  <c r="K197" i="1"/>
  <c r="K190" i="1"/>
  <c r="K14" i="1"/>
  <c r="A14" i="1" s="1"/>
  <c r="U169" i="1"/>
  <c r="H14" i="1" s="1"/>
  <c r="K184" i="1"/>
  <c r="K185" i="1"/>
  <c r="K170" i="1"/>
  <c r="X170" i="1" s="1"/>
  <c r="K227" i="1"/>
  <c r="X227" i="1" s="1"/>
  <c r="K204" i="1"/>
  <c r="K205" i="1"/>
  <c r="K198" i="1"/>
  <c r="K186" i="1"/>
  <c r="K171" i="1"/>
  <c r="X171" i="1" s="1"/>
  <c r="K175" i="1"/>
  <c r="K213" i="1"/>
  <c r="K206" i="1"/>
  <c r="K71" i="1"/>
  <c r="A71" i="1" s="1"/>
  <c r="U226" i="1"/>
  <c r="H71" i="1" s="1"/>
  <c r="K201" i="1"/>
  <c r="K215" i="1"/>
  <c r="K220" i="1"/>
  <c r="X220" i="1" s="1"/>
  <c r="K221" i="1"/>
  <c r="X221" i="1" s="1"/>
  <c r="K214" i="1"/>
  <c r="K208" i="1"/>
  <c r="K202" i="1"/>
  <c r="K187" i="1"/>
  <c r="K191" i="1"/>
  <c r="K222" i="1"/>
  <c r="X222" i="1" s="1"/>
  <c r="K216" i="1"/>
  <c r="K172" i="1"/>
  <c r="X172" i="1" s="1"/>
  <c r="K13" i="1"/>
  <c r="A13" i="1" s="1"/>
  <c r="U168" i="1"/>
  <c r="H13" i="1" s="1"/>
  <c r="K207" i="1"/>
  <c r="K224" i="1"/>
  <c r="X224" i="1" s="1"/>
  <c r="K218" i="1"/>
  <c r="X218" i="1" s="1"/>
  <c r="K203" i="1"/>
  <c r="AS6" i="1"/>
  <c r="AS5" i="7"/>
  <c r="AS6" i="7" s="1"/>
  <c r="C1" i="7"/>
  <c r="X219" i="1" l="1"/>
  <c r="K64" i="1" s="1"/>
  <c r="A64" i="1" s="1"/>
  <c r="X216" i="1"/>
  <c r="U216" i="1" s="1"/>
  <c r="H61" i="1" s="1"/>
  <c r="X215" i="1"/>
  <c r="K60" i="1" s="1"/>
  <c r="A60" i="1" s="1"/>
  <c r="X214" i="1"/>
  <c r="K59" i="1" s="1"/>
  <c r="A59" i="1" s="1"/>
  <c r="X213" i="1"/>
  <c r="K58" i="1" s="1"/>
  <c r="A58" i="1" s="1"/>
  <c r="X208" i="1"/>
  <c r="K53" i="1" s="1"/>
  <c r="A53" i="1" s="1"/>
  <c r="X206" i="1"/>
  <c r="U206" i="1" s="1"/>
  <c r="H51" i="1" s="1"/>
  <c r="X205" i="1"/>
  <c r="U205" i="1" s="1"/>
  <c r="H50" i="1" s="1"/>
  <c r="K67" i="1"/>
  <c r="A67" i="1" s="1"/>
  <c r="U222" i="1"/>
  <c r="H67" i="1" s="1"/>
  <c r="K69" i="1"/>
  <c r="A69" i="1" s="1"/>
  <c r="U224" i="1"/>
  <c r="H69" i="1" s="1"/>
  <c r="K65" i="1"/>
  <c r="A65" i="1" s="1"/>
  <c r="U220" i="1"/>
  <c r="H65" i="1" s="1"/>
  <c r="B14" i="1"/>
  <c r="C14" i="1"/>
  <c r="D14" i="1"/>
  <c r="K63" i="1"/>
  <c r="A63" i="1" s="1"/>
  <c r="U218" i="1"/>
  <c r="H63" i="1" s="1"/>
  <c r="K66" i="1"/>
  <c r="A66" i="1" s="1"/>
  <c r="U221" i="1"/>
  <c r="H66" i="1" s="1"/>
  <c r="K17" i="1"/>
  <c r="A17" i="1" s="1"/>
  <c r="U172" i="1"/>
  <c r="H17" i="1" s="1"/>
  <c r="K72" i="1"/>
  <c r="A72" i="1" s="1"/>
  <c r="U227" i="1"/>
  <c r="H72" i="1" s="1"/>
  <c r="U223" i="1"/>
  <c r="H68" i="1" s="1"/>
  <c r="K68" i="1"/>
  <c r="A68" i="1" s="1"/>
  <c r="C13" i="1"/>
  <c r="D13" i="1"/>
  <c r="B13" i="1"/>
  <c r="U171" i="1"/>
  <c r="H16" i="1" s="1"/>
  <c r="K16" i="1"/>
  <c r="A16" i="1" s="1"/>
  <c r="B71" i="1"/>
  <c r="D71" i="1"/>
  <c r="C71" i="1"/>
  <c r="U170" i="1"/>
  <c r="H15" i="1" s="1"/>
  <c r="K15" i="1"/>
  <c r="A15" i="1" s="1"/>
  <c r="AO60" i="4"/>
  <c r="AQ60" i="4" s="1"/>
  <c r="AO59" i="4"/>
  <c r="AO56" i="4"/>
  <c r="AO54" i="4"/>
  <c r="AO52" i="4"/>
  <c r="U219" i="1" l="1"/>
  <c r="H64" i="1" s="1"/>
  <c r="K61" i="1"/>
  <c r="A61" i="1" s="1"/>
  <c r="D61" i="1" s="1"/>
  <c r="U215" i="1"/>
  <c r="H60" i="1" s="1"/>
  <c r="U214" i="1"/>
  <c r="H59" i="1" s="1"/>
  <c r="U213" i="1"/>
  <c r="H58" i="1" s="1"/>
  <c r="U208" i="1"/>
  <c r="H53" i="1" s="1"/>
  <c r="K51" i="1"/>
  <c r="A51" i="1" s="1"/>
  <c r="D51" i="1" s="1"/>
  <c r="K50" i="1"/>
  <c r="A50" i="1" s="1"/>
  <c r="B50" i="1" s="1"/>
  <c r="D65" i="1"/>
  <c r="C65" i="1"/>
  <c r="B65" i="1"/>
  <c r="C64" i="1"/>
  <c r="D64" i="1"/>
  <c r="B64" i="1"/>
  <c r="D53" i="1"/>
  <c r="B53" i="1"/>
  <c r="C53" i="1"/>
  <c r="D68" i="1"/>
  <c r="C68" i="1"/>
  <c r="B68" i="1"/>
  <c r="C59" i="1"/>
  <c r="B59" i="1"/>
  <c r="D59" i="1"/>
  <c r="B15" i="1"/>
  <c r="D15" i="1"/>
  <c r="C15" i="1"/>
  <c r="C66" i="1"/>
  <c r="D66" i="1"/>
  <c r="B66" i="1"/>
  <c r="D58" i="1"/>
  <c r="B58" i="1"/>
  <c r="C58" i="1"/>
  <c r="B69" i="1"/>
  <c r="C69" i="1"/>
  <c r="D69" i="1"/>
  <c r="D16" i="1"/>
  <c r="C16" i="1"/>
  <c r="B16" i="1"/>
  <c r="C63" i="1"/>
  <c r="B63" i="1"/>
  <c r="D63" i="1"/>
  <c r="C60" i="1"/>
  <c r="B60" i="1"/>
  <c r="D60" i="1"/>
  <c r="B72" i="1"/>
  <c r="C72" i="1"/>
  <c r="D72" i="1"/>
  <c r="D17" i="1"/>
  <c r="B17" i="1"/>
  <c r="C17" i="1"/>
  <c r="B67" i="1"/>
  <c r="D67" i="1"/>
  <c r="C67" i="1"/>
  <c r="AQ52" i="4"/>
  <c r="AI52" i="4" s="1"/>
  <c r="AR52" i="4"/>
  <c r="AR54" i="4"/>
  <c r="AQ54" i="4"/>
  <c r="AI54" i="4" s="1"/>
  <c r="AQ56" i="4"/>
  <c r="AI56" i="4" s="1"/>
  <c r="AR56" i="4"/>
  <c r="AQ59" i="4"/>
  <c r="AI59" i="4" s="1"/>
  <c r="AR59" i="4"/>
  <c r="AI60" i="4"/>
  <c r="AR60" i="4"/>
  <c r="AX56" i="4"/>
  <c r="AX60" i="4"/>
  <c r="AX54" i="4"/>
  <c r="AW54" i="4"/>
  <c r="AX52" i="4"/>
  <c r="AW52" i="4"/>
  <c r="AX59" i="4"/>
  <c r="AW59" i="4"/>
  <c r="AW56" i="4"/>
  <c r="B51" i="1" l="1"/>
  <c r="C61" i="1"/>
  <c r="B61" i="1"/>
  <c r="C51" i="1"/>
  <c r="D50" i="1"/>
  <c r="C50" i="1"/>
  <c r="K189" i="1"/>
  <c r="K211" i="1"/>
  <c r="K182" i="1"/>
  <c r="K200" i="1"/>
  <c r="K165" i="1"/>
  <c r="X165" i="1" s="1"/>
  <c r="K173" i="1"/>
  <c r="X173" i="1" s="1"/>
  <c r="K178" i="1"/>
  <c r="K209" i="1"/>
  <c r="X196" i="1" s="1"/>
  <c r="K166" i="1"/>
  <c r="X166" i="1" s="1"/>
  <c r="K180" i="1"/>
  <c r="K194" i="1"/>
  <c r="K167" i="1"/>
  <c r="X167" i="1" s="1"/>
  <c r="K181" i="1"/>
  <c r="K212" i="1"/>
  <c r="K179" i="1"/>
  <c r="K176" i="1"/>
  <c r="K164" i="1"/>
  <c r="X164" i="1" s="1"/>
  <c r="K217" i="1"/>
  <c r="X207" i="1" s="1"/>
  <c r="K192" i="1"/>
  <c r="K195" i="1"/>
  <c r="K177" i="1"/>
  <c r="X177" i="1" s="1"/>
  <c r="K210" i="1"/>
  <c r="X197" i="1" s="1"/>
  <c r="K225" i="1"/>
  <c r="X225" i="1" s="1"/>
  <c r="K193" i="1"/>
  <c r="Q8" i="7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JM88" i="1" s="1"/>
  <c r="M87" i="1"/>
  <c r="JM87" i="1" s="1"/>
  <c r="M86" i="1"/>
  <c r="JM86" i="1" s="1"/>
  <c r="M85" i="1"/>
  <c r="JM85" i="1" s="1"/>
  <c r="M84" i="1"/>
  <c r="JM84" i="1" s="1"/>
  <c r="M83" i="1"/>
  <c r="JM83" i="1" s="1"/>
  <c r="M82" i="1"/>
  <c r="JM82" i="1" s="1"/>
  <c r="M81" i="1"/>
  <c r="JM81" i="1" s="1"/>
  <c r="M80" i="1"/>
  <c r="JM80" i="1" s="1"/>
  <c r="M79" i="1"/>
  <c r="JM79" i="1" s="1"/>
  <c r="M78" i="1"/>
  <c r="JM78" i="1" s="1"/>
  <c r="M77" i="1"/>
  <c r="JM77" i="1" s="1"/>
  <c r="M76" i="1"/>
  <c r="JM76" i="1" s="1"/>
  <c r="M75" i="1"/>
  <c r="JM75" i="1" s="1"/>
  <c r="M74" i="1"/>
  <c r="JM74" i="1" s="1"/>
  <c r="M73" i="1"/>
  <c r="JM73" i="1" s="1"/>
  <c r="M72" i="1"/>
  <c r="JM72" i="1" s="1"/>
  <c r="M71" i="1"/>
  <c r="JM71" i="1" s="1"/>
  <c r="M70" i="1"/>
  <c r="JM70" i="1" s="1"/>
  <c r="M69" i="1"/>
  <c r="JM69" i="1" s="1"/>
  <c r="M68" i="1"/>
  <c r="JM68" i="1" s="1"/>
  <c r="M67" i="1"/>
  <c r="JM67" i="1" s="1"/>
  <c r="M66" i="1"/>
  <c r="JM66" i="1" s="1"/>
  <c r="M65" i="1"/>
  <c r="JM65" i="1" s="1"/>
  <c r="M64" i="1"/>
  <c r="JM64" i="1" s="1"/>
  <c r="M63" i="1"/>
  <c r="JM63" i="1" s="1"/>
  <c r="M62" i="1"/>
  <c r="JM62" i="1" s="1"/>
  <c r="M61" i="1"/>
  <c r="JM61" i="1" s="1"/>
  <c r="M60" i="1"/>
  <c r="JM60" i="1" s="1"/>
  <c r="M59" i="1"/>
  <c r="JM59" i="1" s="1"/>
  <c r="M58" i="1"/>
  <c r="JM58" i="1" s="1"/>
  <c r="M57" i="1"/>
  <c r="JM57" i="1" s="1"/>
  <c r="M56" i="1"/>
  <c r="JM56" i="1" s="1"/>
  <c r="M55" i="1"/>
  <c r="JM55" i="1" s="1"/>
  <c r="M54" i="1"/>
  <c r="JM54" i="1" s="1"/>
  <c r="M53" i="1"/>
  <c r="JM53" i="1" s="1"/>
  <c r="M52" i="1"/>
  <c r="JM52" i="1" s="1"/>
  <c r="M51" i="1"/>
  <c r="JM51" i="1" s="1"/>
  <c r="M50" i="1"/>
  <c r="JM50" i="1" s="1"/>
  <c r="M49" i="1"/>
  <c r="JM49" i="1" s="1"/>
  <c r="M48" i="1"/>
  <c r="JM48" i="1" s="1"/>
  <c r="M47" i="1"/>
  <c r="JM47" i="1" s="1"/>
  <c r="M46" i="1"/>
  <c r="JM46" i="1" s="1"/>
  <c r="M45" i="1"/>
  <c r="JM45" i="1" s="1"/>
  <c r="M44" i="1"/>
  <c r="JM44" i="1" s="1"/>
  <c r="M43" i="1"/>
  <c r="JM43" i="1" s="1"/>
  <c r="M42" i="1"/>
  <c r="JM42" i="1" s="1"/>
  <c r="M41" i="1"/>
  <c r="JM41" i="1" s="1"/>
  <c r="M40" i="1"/>
  <c r="JM40" i="1" s="1"/>
  <c r="M39" i="1"/>
  <c r="JM39" i="1" s="1"/>
  <c r="M38" i="1"/>
  <c r="JM38" i="1" s="1"/>
  <c r="M37" i="1"/>
  <c r="JM37" i="1" s="1"/>
  <c r="M36" i="1"/>
  <c r="JM36" i="1" s="1"/>
  <c r="M35" i="1"/>
  <c r="JM35" i="1" s="1"/>
  <c r="M34" i="1"/>
  <c r="JM34" i="1" s="1"/>
  <c r="M33" i="1"/>
  <c r="JM33" i="1" s="1"/>
  <c r="M32" i="1"/>
  <c r="JM32" i="1" s="1"/>
  <c r="M31" i="1"/>
  <c r="JM31" i="1" s="1"/>
  <c r="M30" i="1"/>
  <c r="JM30" i="1" s="1"/>
  <c r="M29" i="1"/>
  <c r="JM29" i="1" s="1"/>
  <c r="M28" i="1"/>
  <c r="JM28" i="1" s="1"/>
  <c r="M27" i="1"/>
  <c r="JM27" i="1" s="1"/>
  <c r="M26" i="1"/>
  <c r="JM26" i="1" s="1"/>
  <c r="M25" i="1"/>
  <c r="JM25" i="1" s="1"/>
  <c r="M24" i="1"/>
  <c r="JM24" i="1" s="1"/>
  <c r="M23" i="1"/>
  <c r="JM23" i="1" s="1"/>
  <c r="M22" i="1"/>
  <c r="JM22" i="1" s="1"/>
  <c r="M21" i="1"/>
  <c r="JM21" i="1" s="1"/>
  <c r="M20" i="1"/>
  <c r="JM20" i="1" s="1"/>
  <c r="M19" i="1"/>
  <c r="JM19" i="1" s="1"/>
  <c r="M18" i="1"/>
  <c r="JM18" i="1" s="1"/>
  <c r="M17" i="1"/>
  <c r="JM17" i="1" s="1"/>
  <c r="M16" i="1"/>
  <c r="JM16" i="1" s="1"/>
  <c r="M14" i="1"/>
  <c r="JM14" i="1" s="1"/>
  <c r="M13" i="1"/>
  <c r="JM13" i="1" s="1"/>
  <c r="M12" i="1"/>
  <c r="JM12" i="1" s="1"/>
  <c r="M11" i="1"/>
  <c r="JM11" i="1" s="1"/>
  <c r="M10" i="1"/>
  <c r="M9" i="1"/>
  <c r="JM9" i="1" s="1"/>
  <c r="M15" i="1"/>
  <c r="JM15" i="1" s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N304" i="7"/>
  <c r="N299" i="7"/>
  <c r="X198" i="1" l="1"/>
  <c r="U198" i="1" s="1"/>
  <c r="H43" i="1" s="1"/>
  <c r="X199" i="1"/>
  <c r="U199" i="1" s="1"/>
  <c r="H44" i="1" s="1"/>
  <c r="X190" i="1"/>
  <c r="X188" i="1"/>
  <c r="U188" i="1" s="1"/>
  <c r="H33" i="1" s="1"/>
  <c r="X179" i="1"/>
  <c r="U179" i="1" s="1"/>
  <c r="H24" i="1" s="1"/>
  <c r="X178" i="1"/>
  <c r="K23" i="1" s="1"/>
  <c r="A23" i="1" s="1"/>
  <c r="U197" i="1"/>
  <c r="H42" i="1" s="1"/>
  <c r="K42" i="1"/>
  <c r="A42" i="1" s="1"/>
  <c r="K41" i="1"/>
  <c r="A41" i="1" s="1"/>
  <c r="U196" i="1"/>
  <c r="H41" i="1" s="1"/>
  <c r="X200" i="1"/>
  <c r="U200" i="1" s="1"/>
  <c r="H45" i="1" s="1"/>
  <c r="X191" i="1"/>
  <c r="X182" i="1"/>
  <c r="U182" i="1" s="1"/>
  <c r="H27" i="1" s="1"/>
  <c r="X175" i="1"/>
  <c r="K20" i="1" s="1"/>
  <c r="A20" i="1" s="1"/>
  <c r="K52" i="1"/>
  <c r="A52" i="1" s="1"/>
  <c r="U207" i="1"/>
  <c r="H52" i="1" s="1"/>
  <c r="X189" i="1"/>
  <c r="U189" i="1" s="1"/>
  <c r="H34" i="1" s="1"/>
  <c r="X183" i="1"/>
  <c r="X176" i="1"/>
  <c r="K21" i="1" s="1"/>
  <c r="A21" i="1" s="1"/>
  <c r="X180" i="1"/>
  <c r="K25" i="1" s="1"/>
  <c r="A25" i="1" s="1"/>
  <c r="X174" i="1"/>
  <c r="X217" i="1"/>
  <c r="U217" i="1" s="1"/>
  <c r="H62" i="1" s="1"/>
  <c r="X212" i="1"/>
  <c r="K57" i="1" s="1"/>
  <c r="A57" i="1" s="1"/>
  <c r="X204" i="1"/>
  <c r="X211" i="1"/>
  <c r="K56" i="1" s="1"/>
  <c r="A56" i="1" s="1"/>
  <c r="X203" i="1"/>
  <c r="X210" i="1"/>
  <c r="U210" i="1" s="1"/>
  <c r="H55" i="1" s="1"/>
  <c r="X202" i="1"/>
  <c r="X209" i="1"/>
  <c r="K54" i="1" s="1"/>
  <c r="A54" i="1" s="1"/>
  <c r="X201" i="1"/>
  <c r="X195" i="1"/>
  <c r="U195" i="1" s="1"/>
  <c r="H40" i="1" s="1"/>
  <c r="X187" i="1"/>
  <c r="X194" i="1"/>
  <c r="K39" i="1" s="1"/>
  <c r="A39" i="1" s="1"/>
  <c r="X186" i="1"/>
  <c r="X193" i="1"/>
  <c r="U193" i="1" s="1"/>
  <c r="H38" i="1" s="1"/>
  <c r="X185" i="1"/>
  <c r="X192" i="1"/>
  <c r="K37" i="1" s="1"/>
  <c r="A37" i="1" s="1"/>
  <c r="X184" i="1"/>
  <c r="X181" i="1"/>
  <c r="U181" i="1" s="1"/>
  <c r="H26" i="1" s="1"/>
  <c r="K70" i="1"/>
  <c r="A70" i="1" s="1"/>
  <c r="U225" i="1"/>
  <c r="H70" i="1" s="1"/>
  <c r="U173" i="1"/>
  <c r="H18" i="1" s="1"/>
  <c r="K18" i="1"/>
  <c r="A18" i="1" s="1"/>
  <c r="U177" i="1"/>
  <c r="H22" i="1" s="1"/>
  <c r="K22" i="1"/>
  <c r="A22" i="1" s="1"/>
  <c r="K10" i="1"/>
  <c r="A10" i="1" s="1"/>
  <c r="U165" i="1"/>
  <c r="H10" i="1" s="1"/>
  <c r="U167" i="1"/>
  <c r="H12" i="1" s="1"/>
  <c r="K12" i="1"/>
  <c r="A12" i="1" s="1"/>
  <c r="U164" i="1"/>
  <c r="H9" i="1" s="1"/>
  <c r="K9" i="1"/>
  <c r="K11" i="1"/>
  <c r="A11" i="1" s="1"/>
  <c r="U166" i="1"/>
  <c r="H11" i="1" s="1"/>
  <c r="Z10" i="1"/>
  <c r="JM10" i="1"/>
  <c r="JS9" i="1" s="1" a="1"/>
  <c r="M1" i="1"/>
  <c r="AX24" i="1"/>
  <c r="AY24" i="1"/>
  <c r="AW24" i="1"/>
  <c r="AY88" i="1"/>
  <c r="AX88" i="1"/>
  <c r="AW88" i="1"/>
  <c r="AY25" i="1"/>
  <c r="AX25" i="1"/>
  <c r="AW25" i="1"/>
  <c r="AY65" i="1"/>
  <c r="AX65" i="1"/>
  <c r="AW65" i="1"/>
  <c r="AY97" i="1"/>
  <c r="AX97" i="1"/>
  <c r="AW97" i="1"/>
  <c r="AY129" i="1"/>
  <c r="AX129" i="1"/>
  <c r="AW129" i="1"/>
  <c r="AW26" i="1"/>
  <c r="AY26" i="1"/>
  <c r="AX26" i="1"/>
  <c r="AW58" i="1"/>
  <c r="AY58" i="1"/>
  <c r="AX58" i="1"/>
  <c r="AY106" i="1"/>
  <c r="AW106" i="1"/>
  <c r="AX106" i="1"/>
  <c r="AY130" i="1"/>
  <c r="AX130" i="1"/>
  <c r="AW130" i="1"/>
  <c r="AY43" i="1"/>
  <c r="AX43" i="1"/>
  <c r="AW43" i="1"/>
  <c r="AY75" i="1"/>
  <c r="AX75" i="1"/>
  <c r="AW75" i="1"/>
  <c r="AY107" i="1"/>
  <c r="AX107" i="1"/>
  <c r="AW107" i="1"/>
  <c r="AY131" i="1"/>
  <c r="AX131" i="1"/>
  <c r="AW131" i="1"/>
  <c r="AY147" i="1"/>
  <c r="AX147" i="1"/>
  <c r="AW147" i="1"/>
  <c r="AY11" i="1"/>
  <c r="AX11" i="1"/>
  <c r="AW11" i="1"/>
  <c r="AX20" i="1"/>
  <c r="AW20" i="1"/>
  <c r="AY20" i="1"/>
  <c r="AX28" i="1"/>
  <c r="AW28" i="1"/>
  <c r="AY28" i="1"/>
  <c r="AX36" i="1"/>
  <c r="AW36" i="1"/>
  <c r="AY36" i="1"/>
  <c r="AX44" i="1"/>
  <c r="AW44" i="1"/>
  <c r="AY44" i="1"/>
  <c r="AX52" i="1"/>
  <c r="AW52" i="1"/>
  <c r="AY52" i="1"/>
  <c r="AX60" i="1"/>
  <c r="AW60" i="1"/>
  <c r="AY60" i="1"/>
  <c r="AX68" i="1"/>
  <c r="AW68" i="1"/>
  <c r="AY68" i="1"/>
  <c r="AX76" i="1"/>
  <c r="AW76" i="1"/>
  <c r="AY76" i="1"/>
  <c r="AX84" i="1"/>
  <c r="AW84" i="1"/>
  <c r="AY84" i="1"/>
  <c r="AX92" i="1"/>
  <c r="AW92" i="1"/>
  <c r="AY92" i="1"/>
  <c r="AX100" i="1"/>
  <c r="AW100" i="1"/>
  <c r="AY100" i="1"/>
  <c r="AX108" i="1"/>
  <c r="AW108" i="1"/>
  <c r="AY108" i="1"/>
  <c r="AX116" i="1"/>
  <c r="AW116" i="1"/>
  <c r="AY116" i="1"/>
  <c r="AX124" i="1"/>
  <c r="AW124" i="1"/>
  <c r="AY124" i="1"/>
  <c r="AX132" i="1"/>
  <c r="AW132" i="1"/>
  <c r="AY132" i="1"/>
  <c r="AX140" i="1"/>
  <c r="AW140" i="1"/>
  <c r="AY140" i="1"/>
  <c r="AX148" i="1"/>
  <c r="AW148" i="1"/>
  <c r="AY148" i="1"/>
  <c r="AX32" i="1"/>
  <c r="AY32" i="1"/>
  <c r="AW32" i="1"/>
  <c r="AY72" i="1"/>
  <c r="AX72" i="1"/>
  <c r="AW72" i="1"/>
  <c r="AY17" i="1"/>
  <c r="AX17" i="1"/>
  <c r="AW17" i="1"/>
  <c r="AY57" i="1"/>
  <c r="AX57" i="1"/>
  <c r="AW57" i="1"/>
  <c r="AY73" i="1"/>
  <c r="AX73" i="1"/>
  <c r="AW73" i="1"/>
  <c r="AY121" i="1"/>
  <c r="AX121" i="1"/>
  <c r="AW121" i="1"/>
  <c r="AW9" i="1"/>
  <c r="AY9" i="1"/>
  <c r="AX9" i="1"/>
  <c r="AW42" i="1"/>
  <c r="AY42" i="1"/>
  <c r="AX42" i="1"/>
  <c r="AW66" i="1"/>
  <c r="AY66" i="1"/>
  <c r="AX66" i="1"/>
  <c r="AY98" i="1"/>
  <c r="AW98" i="1"/>
  <c r="AX98" i="1"/>
  <c r="AY146" i="1"/>
  <c r="AW146" i="1"/>
  <c r="AX146" i="1"/>
  <c r="AY35" i="1"/>
  <c r="AX35" i="1"/>
  <c r="AW35" i="1"/>
  <c r="AY67" i="1"/>
  <c r="AX67" i="1"/>
  <c r="AW67" i="1"/>
  <c r="AY91" i="1"/>
  <c r="AX91" i="1"/>
  <c r="AW91" i="1"/>
  <c r="AY99" i="1"/>
  <c r="AX99" i="1"/>
  <c r="AW99" i="1"/>
  <c r="AY139" i="1"/>
  <c r="AX139" i="1"/>
  <c r="AW139" i="1"/>
  <c r="AX12" i="1"/>
  <c r="AW12" i="1"/>
  <c r="AY12" i="1"/>
  <c r="AY45" i="1"/>
  <c r="AX45" i="1"/>
  <c r="AW45" i="1"/>
  <c r="AY69" i="1"/>
  <c r="AX69" i="1"/>
  <c r="AW69" i="1"/>
  <c r="AY77" i="1"/>
  <c r="AX77" i="1"/>
  <c r="AW77" i="1"/>
  <c r="AY93" i="1"/>
  <c r="AX93" i="1"/>
  <c r="AW93" i="1"/>
  <c r="AY117" i="1"/>
  <c r="AX117" i="1"/>
  <c r="AW117" i="1"/>
  <c r="AY125" i="1"/>
  <c r="AX125" i="1"/>
  <c r="AW125" i="1"/>
  <c r="AY133" i="1"/>
  <c r="AX133" i="1"/>
  <c r="AW133" i="1"/>
  <c r="AY141" i="1"/>
  <c r="AX141" i="1"/>
  <c r="AW141" i="1"/>
  <c r="AY149" i="1"/>
  <c r="AX149" i="1"/>
  <c r="AW149" i="1"/>
  <c r="AY48" i="1"/>
  <c r="AX48" i="1"/>
  <c r="AW48" i="1"/>
  <c r="AW15" i="1"/>
  <c r="AX15" i="1"/>
  <c r="AY15" i="1"/>
  <c r="AY49" i="1"/>
  <c r="AX49" i="1"/>
  <c r="AW49" i="1"/>
  <c r="AY105" i="1"/>
  <c r="AX105" i="1"/>
  <c r="AW105" i="1"/>
  <c r="AY34" i="1"/>
  <c r="AW34" i="1"/>
  <c r="AX34" i="1"/>
  <c r="AW82" i="1"/>
  <c r="AY82" i="1"/>
  <c r="AX82" i="1"/>
  <c r="AY114" i="1"/>
  <c r="AX114" i="1"/>
  <c r="AW114" i="1"/>
  <c r="AY122" i="1"/>
  <c r="AW122" i="1"/>
  <c r="AX122" i="1"/>
  <c r="AY19" i="1"/>
  <c r="AW19" i="1"/>
  <c r="AX19" i="1"/>
  <c r="AY51" i="1"/>
  <c r="AX51" i="1"/>
  <c r="AW51" i="1"/>
  <c r="AY83" i="1"/>
  <c r="AX83" i="1"/>
  <c r="AW83" i="1"/>
  <c r="AY123" i="1"/>
  <c r="AX123" i="1"/>
  <c r="AW123" i="1"/>
  <c r="AY21" i="1"/>
  <c r="AX21" i="1"/>
  <c r="AW21" i="1"/>
  <c r="AY37" i="1"/>
  <c r="AX37" i="1"/>
  <c r="AW37" i="1"/>
  <c r="AY61" i="1"/>
  <c r="AX61" i="1"/>
  <c r="AW61" i="1"/>
  <c r="AY85" i="1"/>
  <c r="AX85" i="1"/>
  <c r="AW85" i="1"/>
  <c r="AY101" i="1"/>
  <c r="AX101" i="1"/>
  <c r="AW101" i="1"/>
  <c r="AY13" i="1"/>
  <c r="AX13" i="1"/>
  <c r="AW13" i="1"/>
  <c r="AY22" i="1"/>
  <c r="AX22" i="1"/>
  <c r="AW22" i="1"/>
  <c r="AY30" i="1"/>
  <c r="AX30" i="1"/>
  <c r="AW30" i="1"/>
  <c r="AY38" i="1"/>
  <c r="AX38" i="1"/>
  <c r="AW38" i="1"/>
  <c r="AY46" i="1"/>
  <c r="AX46" i="1"/>
  <c r="AW46" i="1"/>
  <c r="AY54" i="1"/>
  <c r="AX54" i="1"/>
  <c r="AW54" i="1"/>
  <c r="AY62" i="1"/>
  <c r="AX62" i="1"/>
  <c r="AW62" i="1"/>
  <c r="AY70" i="1"/>
  <c r="AX70" i="1"/>
  <c r="AW70" i="1"/>
  <c r="AY78" i="1"/>
  <c r="AX78" i="1"/>
  <c r="AW78" i="1"/>
  <c r="AY86" i="1"/>
  <c r="AX86" i="1"/>
  <c r="AW86" i="1"/>
  <c r="AY94" i="1"/>
  <c r="AX94" i="1"/>
  <c r="AW94" i="1"/>
  <c r="AY102" i="1"/>
  <c r="AX102" i="1"/>
  <c r="AW102" i="1"/>
  <c r="AY110" i="1"/>
  <c r="AX110" i="1"/>
  <c r="AW110" i="1"/>
  <c r="AY118" i="1"/>
  <c r="AX118" i="1"/>
  <c r="AW118" i="1"/>
  <c r="AY126" i="1"/>
  <c r="AX126" i="1"/>
  <c r="AW126" i="1"/>
  <c r="AY134" i="1"/>
  <c r="AX134" i="1"/>
  <c r="AW134" i="1"/>
  <c r="AY142" i="1"/>
  <c r="AX142" i="1"/>
  <c r="AW142" i="1"/>
  <c r="AY150" i="1"/>
  <c r="AX150" i="1"/>
  <c r="AW150" i="1"/>
  <c r="AY80" i="1"/>
  <c r="AX80" i="1"/>
  <c r="AW80" i="1"/>
  <c r="AY33" i="1"/>
  <c r="AX33" i="1"/>
  <c r="AW33" i="1"/>
  <c r="AY81" i="1"/>
  <c r="AX81" i="1"/>
  <c r="AW81" i="1"/>
  <c r="AY137" i="1"/>
  <c r="AX137" i="1"/>
  <c r="AW137" i="1"/>
  <c r="AW18" i="1"/>
  <c r="AY18" i="1"/>
  <c r="AX18" i="1"/>
  <c r="AW50" i="1"/>
  <c r="AY50" i="1"/>
  <c r="AX50" i="1"/>
  <c r="AY74" i="1"/>
  <c r="AX74" i="1"/>
  <c r="AW74" i="1"/>
  <c r="AY90" i="1"/>
  <c r="AW90" i="1"/>
  <c r="AX90" i="1"/>
  <c r="AY138" i="1"/>
  <c r="AW138" i="1"/>
  <c r="AX138" i="1"/>
  <c r="AY27" i="1"/>
  <c r="AX27" i="1"/>
  <c r="AW27" i="1"/>
  <c r="AY59" i="1"/>
  <c r="AX59" i="1"/>
  <c r="AW59" i="1"/>
  <c r="AY115" i="1"/>
  <c r="AX115" i="1"/>
  <c r="AW115" i="1"/>
  <c r="AY29" i="1"/>
  <c r="AX29" i="1"/>
  <c r="AW29" i="1"/>
  <c r="AY53" i="1"/>
  <c r="AX53" i="1"/>
  <c r="AW53" i="1"/>
  <c r="AY109" i="1"/>
  <c r="AX109" i="1"/>
  <c r="AW109" i="1"/>
  <c r="AY14" i="1"/>
  <c r="AX14" i="1"/>
  <c r="AW14" i="1"/>
  <c r="AW23" i="1"/>
  <c r="AX23" i="1"/>
  <c r="AY23" i="1"/>
  <c r="AW31" i="1"/>
  <c r="AX31" i="1"/>
  <c r="AY31" i="1"/>
  <c r="AW39" i="1"/>
  <c r="AX39" i="1"/>
  <c r="AY39" i="1"/>
  <c r="II47" i="1"/>
  <c r="AW47" i="1"/>
  <c r="AY47" i="1"/>
  <c r="AX47" i="1"/>
  <c r="AW55" i="1"/>
  <c r="AX55" i="1"/>
  <c r="AY55" i="1"/>
  <c r="AW63" i="1"/>
  <c r="AX63" i="1"/>
  <c r="AY63" i="1"/>
  <c r="AW71" i="1"/>
  <c r="AX71" i="1"/>
  <c r="AY71" i="1"/>
  <c r="AW79" i="1"/>
  <c r="AX79" i="1"/>
  <c r="AY79" i="1"/>
  <c r="AW87" i="1"/>
  <c r="AY87" i="1"/>
  <c r="AX87" i="1"/>
  <c r="AW95" i="1"/>
  <c r="AY95" i="1"/>
  <c r="AX95" i="1"/>
  <c r="AW103" i="1"/>
  <c r="AY103" i="1"/>
  <c r="AX103" i="1"/>
  <c r="AW111" i="1"/>
  <c r="AX111" i="1"/>
  <c r="AY111" i="1"/>
  <c r="AW119" i="1"/>
  <c r="AY119" i="1"/>
  <c r="AX119" i="1"/>
  <c r="AW127" i="1"/>
  <c r="AX127" i="1"/>
  <c r="AY127" i="1"/>
  <c r="AW135" i="1"/>
  <c r="AY135" i="1"/>
  <c r="AX135" i="1"/>
  <c r="AW143" i="1"/>
  <c r="AX143" i="1"/>
  <c r="AY143" i="1"/>
  <c r="AX40" i="1"/>
  <c r="AY40" i="1"/>
  <c r="AW40" i="1"/>
  <c r="AY56" i="1"/>
  <c r="AX56" i="1"/>
  <c r="AW56" i="1"/>
  <c r="AY96" i="1"/>
  <c r="AX96" i="1"/>
  <c r="AW96" i="1"/>
  <c r="AY104" i="1"/>
  <c r="AX104" i="1"/>
  <c r="AW104" i="1"/>
  <c r="AY112" i="1"/>
  <c r="AX112" i="1"/>
  <c r="AW112" i="1"/>
  <c r="AY120" i="1"/>
  <c r="AX120" i="1"/>
  <c r="AW120" i="1"/>
  <c r="AY128" i="1"/>
  <c r="AX128" i="1"/>
  <c r="AW128" i="1"/>
  <c r="AY136" i="1"/>
  <c r="AX136" i="1"/>
  <c r="AW136" i="1"/>
  <c r="AY144" i="1"/>
  <c r="AX144" i="1"/>
  <c r="AW144" i="1"/>
  <c r="AY16" i="1"/>
  <c r="AX16" i="1"/>
  <c r="AW16" i="1"/>
  <c r="AY64" i="1"/>
  <c r="AX64" i="1"/>
  <c r="AW64" i="1"/>
  <c r="AY41" i="1"/>
  <c r="AX41" i="1"/>
  <c r="AW41" i="1"/>
  <c r="AY89" i="1"/>
  <c r="AX89" i="1"/>
  <c r="AW89" i="1"/>
  <c r="AY113" i="1"/>
  <c r="AX113" i="1"/>
  <c r="AW113" i="1"/>
  <c r="AY145" i="1"/>
  <c r="AX145" i="1"/>
  <c r="AW145" i="1"/>
  <c r="II9" i="1"/>
  <c r="II42" i="1"/>
  <c r="II82" i="1"/>
  <c r="II122" i="1"/>
  <c r="II27" i="1"/>
  <c r="II59" i="1"/>
  <c r="II91" i="1"/>
  <c r="II115" i="1"/>
  <c r="II147" i="1"/>
  <c r="II11" i="1"/>
  <c r="II20" i="1"/>
  <c r="II28" i="1"/>
  <c r="II36" i="1"/>
  <c r="II44" i="1"/>
  <c r="II52" i="1"/>
  <c r="II60" i="1"/>
  <c r="II68" i="1"/>
  <c r="II76" i="1"/>
  <c r="II84" i="1"/>
  <c r="II92" i="1"/>
  <c r="II100" i="1"/>
  <c r="II108" i="1"/>
  <c r="II116" i="1"/>
  <c r="II124" i="1"/>
  <c r="II132" i="1"/>
  <c r="II140" i="1"/>
  <c r="II148" i="1"/>
  <c r="II25" i="1"/>
  <c r="II34" i="1"/>
  <c r="II58" i="1"/>
  <c r="II90" i="1"/>
  <c r="II114" i="1"/>
  <c r="II138" i="1"/>
  <c r="II10" i="1"/>
  <c r="AY10" i="1"/>
  <c r="AX10" i="1"/>
  <c r="AW10" i="1"/>
  <c r="II43" i="1"/>
  <c r="II67" i="1"/>
  <c r="II99" i="1"/>
  <c r="II131" i="1"/>
  <c r="II12" i="1"/>
  <c r="II21" i="1"/>
  <c r="II29" i="1"/>
  <c r="II37" i="1"/>
  <c r="II45" i="1"/>
  <c r="II53" i="1"/>
  <c r="II61" i="1"/>
  <c r="II69" i="1"/>
  <c r="II77" i="1"/>
  <c r="II85" i="1"/>
  <c r="II93" i="1"/>
  <c r="II101" i="1"/>
  <c r="II109" i="1"/>
  <c r="II117" i="1"/>
  <c r="II125" i="1"/>
  <c r="II133" i="1"/>
  <c r="II141" i="1"/>
  <c r="II149" i="1"/>
  <c r="II17" i="1"/>
  <c r="II26" i="1"/>
  <c r="II66" i="1"/>
  <c r="II98" i="1"/>
  <c r="II146" i="1"/>
  <c r="II19" i="1"/>
  <c r="II51" i="1"/>
  <c r="II83" i="1"/>
  <c r="II107" i="1"/>
  <c r="II139" i="1"/>
  <c r="II13" i="1"/>
  <c r="II22" i="1"/>
  <c r="II30" i="1"/>
  <c r="II38" i="1"/>
  <c r="II46" i="1"/>
  <c r="II54" i="1"/>
  <c r="II62" i="1"/>
  <c r="II70" i="1"/>
  <c r="II78" i="1"/>
  <c r="II86" i="1"/>
  <c r="II94" i="1"/>
  <c r="II102" i="1"/>
  <c r="II110" i="1"/>
  <c r="II118" i="1"/>
  <c r="II126" i="1"/>
  <c r="II134" i="1"/>
  <c r="II142" i="1"/>
  <c r="II150" i="1"/>
  <c r="II18" i="1"/>
  <c r="II50" i="1"/>
  <c r="II74" i="1"/>
  <c r="II106" i="1"/>
  <c r="II130" i="1"/>
  <c r="II35" i="1"/>
  <c r="II75" i="1"/>
  <c r="II123" i="1"/>
  <c r="II14" i="1"/>
  <c r="II23" i="1"/>
  <c r="II31" i="1"/>
  <c r="II39" i="1"/>
  <c r="II55" i="1"/>
  <c r="II63" i="1"/>
  <c r="II71" i="1"/>
  <c r="II79" i="1"/>
  <c r="II87" i="1"/>
  <c r="II95" i="1"/>
  <c r="II103" i="1"/>
  <c r="II111" i="1"/>
  <c r="II119" i="1"/>
  <c r="II127" i="1"/>
  <c r="II135" i="1"/>
  <c r="II143" i="1"/>
  <c r="II16" i="1"/>
  <c r="II24" i="1"/>
  <c r="II32" i="1"/>
  <c r="II40" i="1"/>
  <c r="II48" i="1"/>
  <c r="II56" i="1"/>
  <c r="II64" i="1"/>
  <c r="II72" i="1"/>
  <c r="II80" i="1"/>
  <c r="II88" i="1"/>
  <c r="II96" i="1"/>
  <c r="II104" i="1"/>
  <c r="II112" i="1"/>
  <c r="II120" i="1"/>
  <c r="II128" i="1"/>
  <c r="II136" i="1"/>
  <c r="II144" i="1"/>
  <c r="II15" i="1"/>
  <c r="II33" i="1"/>
  <c r="II41" i="1"/>
  <c r="II49" i="1"/>
  <c r="II57" i="1"/>
  <c r="II65" i="1"/>
  <c r="II73" i="1"/>
  <c r="II81" i="1"/>
  <c r="II89" i="1"/>
  <c r="II97" i="1"/>
  <c r="II105" i="1"/>
  <c r="II113" i="1"/>
  <c r="II121" i="1"/>
  <c r="II129" i="1"/>
  <c r="II137" i="1"/>
  <c r="II145" i="1"/>
  <c r="IJ16" i="1" a="1"/>
  <c r="IJ16" i="1" s="1"/>
  <c r="IJ61" i="1" a="1"/>
  <c r="IJ61" i="1" s="1"/>
  <c r="O16" i="1"/>
  <c r="N16" i="1"/>
  <c r="IJ12" i="1" a="1"/>
  <c r="IJ12" i="1" s="1"/>
  <c r="IJ117" i="1" a="1"/>
  <c r="IJ117" i="1" s="1"/>
  <c r="IJ13" i="1" a="1"/>
  <c r="IJ13" i="1" s="1"/>
  <c r="Z13" i="1"/>
  <c r="IJ30" i="1" a="1"/>
  <c r="IJ30" i="1" s="1"/>
  <c r="IJ38" i="1" a="1"/>
  <c r="IJ38" i="1" s="1"/>
  <c r="IJ78" i="1" a="1"/>
  <c r="IJ78" i="1" s="1"/>
  <c r="IJ86" i="1" a="1"/>
  <c r="IJ86" i="1" s="1"/>
  <c r="IJ94" i="1" a="1"/>
  <c r="IJ94" i="1" s="1"/>
  <c r="IJ118" i="1" a="1"/>
  <c r="IJ118" i="1" s="1"/>
  <c r="IJ134" i="1" a="1"/>
  <c r="IJ134" i="1" s="1"/>
  <c r="IJ142" i="1" a="1"/>
  <c r="IJ142" i="1" s="1"/>
  <c r="IJ150" i="1" a="1"/>
  <c r="IJ150" i="1" s="1"/>
  <c r="IJ83" i="1" a="1"/>
  <c r="IJ83" i="1" s="1"/>
  <c r="IJ93" i="1" a="1"/>
  <c r="IJ93" i="1" s="1"/>
  <c r="IJ141" i="1" a="1"/>
  <c r="IJ141" i="1" s="1"/>
  <c r="IJ14" i="1" a="1"/>
  <c r="IJ14" i="1" s="1"/>
  <c r="IJ23" i="1" a="1"/>
  <c r="IJ23" i="1" s="1"/>
  <c r="IJ31" i="1" a="1"/>
  <c r="IJ31" i="1" s="1"/>
  <c r="IJ39" i="1" a="1"/>
  <c r="IJ39" i="1" s="1"/>
  <c r="IJ63" i="1" a="1"/>
  <c r="IJ63" i="1" s="1"/>
  <c r="IJ79" i="1" a="1"/>
  <c r="IJ79" i="1" s="1"/>
  <c r="IJ87" i="1" a="1"/>
  <c r="IJ87" i="1" s="1"/>
  <c r="IJ95" i="1" a="1"/>
  <c r="IJ95" i="1" s="1"/>
  <c r="IJ127" i="1" a="1"/>
  <c r="IJ127" i="1" s="1"/>
  <c r="IJ135" i="1" a="1"/>
  <c r="IJ135" i="1" s="1"/>
  <c r="IJ143" i="1" a="1"/>
  <c r="IJ143" i="1" s="1"/>
  <c r="IJ29" i="1" a="1"/>
  <c r="IJ29" i="1" s="1"/>
  <c r="IJ85" i="1" a="1"/>
  <c r="IJ85" i="1" s="1"/>
  <c r="IJ133" i="1" a="1"/>
  <c r="IJ133" i="1" s="1"/>
  <c r="IJ24" i="1" a="1"/>
  <c r="IJ24" i="1" s="1"/>
  <c r="IJ32" i="1" a="1"/>
  <c r="IJ32" i="1" s="1"/>
  <c r="IJ40" i="1" a="1"/>
  <c r="IJ40" i="1" s="1"/>
  <c r="IJ64" i="1" a="1"/>
  <c r="IJ64" i="1" s="1"/>
  <c r="IJ80" i="1" a="1"/>
  <c r="IJ80" i="1" s="1"/>
  <c r="IJ88" i="1" a="1"/>
  <c r="IJ88" i="1" s="1"/>
  <c r="IJ96" i="1" a="1"/>
  <c r="IJ96" i="1" s="1"/>
  <c r="IJ128" i="1" a="1"/>
  <c r="IJ128" i="1" s="1"/>
  <c r="IJ136" i="1" a="1"/>
  <c r="IJ136" i="1" s="1"/>
  <c r="IJ144" i="1" a="1"/>
  <c r="IJ144" i="1" s="1"/>
  <c r="IJ67" i="1" a="1"/>
  <c r="IJ67" i="1" s="1"/>
  <c r="IJ149" i="1" a="1"/>
  <c r="IJ149" i="1" s="1"/>
  <c r="IJ15" i="1" a="1"/>
  <c r="IJ15" i="1" s="1"/>
  <c r="IJ25" i="1" a="1"/>
  <c r="IJ25" i="1" s="1"/>
  <c r="IJ33" i="1" a="1"/>
  <c r="IJ33" i="1" s="1"/>
  <c r="IJ41" i="1" a="1"/>
  <c r="IJ41" i="1" s="1"/>
  <c r="IJ65" i="1" a="1"/>
  <c r="IJ65" i="1" s="1"/>
  <c r="IJ81" i="1" a="1"/>
  <c r="IJ81" i="1" s="1"/>
  <c r="IJ97" i="1" a="1"/>
  <c r="IJ97" i="1" s="1"/>
  <c r="IJ129" i="1" a="1"/>
  <c r="IJ129" i="1" s="1"/>
  <c r="IJ137" i="1" a="1"/>
  <c r="IJ137" i="1" s="1"/>
  <c r="IJ145" i="1" a="1"/>
  <c r="IJ145" i="1" s="1"/>
  <c r="IJ10" i="1" a="1"/>
  <c r="IJ10" i="1" s="1"/>
  <c r="AA10" i="1"/>
  <c r="AB10" i="1"/>
  <c r="IJ35" i="1" a="1"/>
  <c r="IJ35" i="1" s="1"/>
  <c r="IJ37" i="1" a="1"/>
  <c r="IJ37" i="1" s="1"/>
  <c r="IJ9" i="1" a="1"/>
  <c r="IJ9" i="1" s="1"/>
  <c r="IK9" i="1" s="1" a="1"/>
  <c r="IK9" i="1" s="1"/>
  <c r="M8" i="1" a="1"/>
  <c r="M8" i="1" s="1"/>
  <c r="IJ26" i="1" a="1"/>
  <c r="IJ26" i="1" s="1"/>
  <c r="IJ34" i="1" a="1"/>
  <c r="IJ34" i="1" s="1"/>
  <c r="IJ42" i="1" a="1"/>
  <c r="IJ42" i="1" s="1"/>
  <c r="IJ66" i="1" a="1"/>
  <c r="IJ66" i="1" s="1"/>
  <c r="IJ82" i="1" a="1"/>
  <c r="IJ82" i="1" s="1"/>
  <c r="IJ98" i="1" a="1"/>
  <c r="IJ98" i="1" s="1"/>
  <c r="IJ114" i="1" a="1"/>
  <c r="IJ114" i="1" s="1"/>
  <c r="IJ130" i="1" a="1"/>
  <c r="IJ130" i="1" s="1"/>
  <c r="IJ138" i="1" a="1"/>
  <c r="IJ138" i="1" s="1"/>
  <c r="IJ146" i="1" a="1"/>
  <c r="IJ146" i="1" s="1"/>
  <c r="IJ27" i="1" a="1"/>
  <c r="IJ27" i="1" s="1"/>
  <c r="IJ99" i="1" a="1"/>
  <c r="IJ99" i="1" s="1"/>
  <c r="IJ115" i="1" a="1"/>
  <c r="IJ115" i="1" s="1"/>
  <c r="IJ131" i="1" a="1"/>
  <c r="IJ131" i="1" s="1"/>
  <c r="IJ139" i="1" a="1"/>
  <c r="IJ139" i="1" s="1"/>
  <c r="IJ147" i="1" a="1"/>
  <c r="IJ147" i="1" s="1"/>
  <c r="IJ11" i="1" a="1"/>
  <c r="IJ11" i="1" s="1"/>
  <c r="IJ28" i="1" a="1"/>
  <c r="IJ28" i="1" s="1"/>
  <c r="IJ36" i="1" a="1"/>
  <c r="IJ36" i="1" s="1"/>
  <c r="IJ84" i="1" a="1"/>
  <c r="IJ84" i="1" s="1"/>
  <c r="IJ92" i="1" a="1"/>
  <c r="IJ92" i="1" s="1"/>
  <c r="IJ100" i="1" a="1"/>
  <c r="IJ100" i="1" s="1"/>
  <c r="IJ116" i="1" a="1"/>
  <c r="IJ116" i="1" s="1"/>
  <c r="IJ132" i="1" a="1"/>
  <c r="IJ132" i="1" s="1"/>
  <c r="IJ140" i="1" a="1"/>
  <c r="IJ140" i="1" s="1"/>
  <c r="IJ148" i="1" a="1"/>
  <c r="IJ148" i="1" s="1"/>
  <c r="IJ101" i="1" a="1"/>
  <c r="IJ101" i="1" s="1"/>
  <c r="IJ102" i="1" a="1"/>
  <c r="IJ102" i="1" s="1"/>
  <c r="IJ69" i="1" a="1"/>
  <c r="IJ69" i="1" s="1"/>
  <c r="IJ68" i="1" a="1"/>
  <c r="IJ68" i="1" s="1"/>
  <c r="IJ70" i="1" a="1"/>
  <c r="IJ70" i="1" s="1"/>
  <c r="IJ103" i="1" a="1"/>
  <c r="IJ103" i="1" s="1"/>
  <c r="IJ104" i="1" a="1"/>
  <c r="IJ104" i="1" s="1"/>
  <c r="IJ71" i="1" a="1"/>
  <c r="IJ71" i="1" s="1"/>
  <c r="IJ105" i="1" a="1"/>
  <c r="IJ105" i="1" s="1"/>
  <c r="IJ106" i="1" a="1"/>
  <c r="IJ106" i="1" s="1"/>
  <c r="IJ111" i="1" a="1"/>
  <c r="IJ111" i="1" s="1"/>
  <c r="IJ72" i="1" a="1"/>
  <c r="IJ72" i="1" s="1"/>
  <c r="IJ113" i="1" a="1"/>
  <c r="IJ113" i="1" s="1"/>
  <c r="IJ89" i="1" a="1"/>
  <c r="IJ89" i="1" s="1"/>
  <c r="IJ107" i="1" a="1"/>
  <c r="IJ107" i="1" s="1"/>
  <c r="IJ110" i="1" a="1"/>
  <c r="IJ110" i="1" s="1"/>
  <c r="IJ112" i="1" a="1"/>
  <c r="IJ112" i="1" s="1"/>
  <c r="IJ108" i="1" a="1"/>
  <c r="IJ108" i="1" s="1"/>
  <c r="IJ109" i="1" a="1"/>
  <c r="IJ109" i="1" s="1"/>
  <c r="IJ90" i="1" a="1"/>
  <c r="IJ90" i="1" s="1"/>
  <c r="IJ91" i="1" a="1"/>
  <c r="IJ91" i="1" s="1"/>
  <c r="IJ74" i="1" a="1"/>
  <c r="IJ74" i="1" s="1"/>
  <c r="IJ75" i="1" a="1"/>
  <c r="IJ75" i="1" s="1"/>
  <c r="IJ77" i="1" a="1"/>
  <c r="IJ77" i="1" s="1"/>
  <c r="IJ76" i="1" a="1"/>
  <c r="IJ76" i="1" s="1"/>
  <c r="IJ73" i="1" a="1"/>
  <c r="IJ73" i="1" s="1"/>
  <c r="IJ125" i="1" a="1"/>
  <c r="IJ125" i="1" s="1"/>
  <c r="IJ126" i="1" a="1"/>
  <c r="IJ126" i="1" s="1"/>
  <c r="IJ124" i="1" a="1"/>
  <c r="IJ124" i="1" s="1"/>
  <c r="IJ119" i="1" a="1"/>
  <c r="IJ119" i="1" s="1"/>
  <c r="IJ120" i="1" a="1"/>
  <c r="IJ120" i="1" s="1"/>
  <c r="IJ121" i="1" a="1"/>
  <c r="IJ121" i="1" s="1"/>
  <c r="IJ122" i="1" a="1"/>
  <c r="IJ122" i="1" s="1"/>
  <c r="IJ123" i="1" a="1"/>
  <c r="IJ123" i="1" s="1"/>
  <c r="IJ44" i="1" a="1"/>
  <c r="IJ44" i="1" s="1"/>
  <c r="IJ21" i="1" a="1"/>
  <c r="IJ21" i="1" s="1"/>
  <c r="IK21" i="1" s="1" a="1"/>
  <c r="IK21" i="1" s="1"/>
  <c r="IM21" i="1" s="1"/>
  <c r="IJ45" i="1" a="1"/>
  <c r="IJ45" i="1" s="1"/>
  <c r="IJ53" i="1" a="1"/>
  <c r="IJ53" i="1" s="1"/>
  <c r="IJ22" i="1" a="1"/>
  <c r="IJ22" i="1" s="1"/>
  <c r="IJ46" i="1" a="1"/>
  <c r="IJ46" i="1" s="1"/>
  <c r="IJ54" i="1" a="1"/>
  <c r="IJ54" i="1" s="1"/>
  <c r="IJ62" i="1" a="1"/>
  <c r="IJ62" i="1" s="1"/>
  <c r="IJ52" i="1" a="1"/>
  <c r="IJ52" i="1" s="1"/>
  <c r="IJ60" i="1" a="1"/>
  <c r="IJ60" i="1" s="1"/>
  <c r="IJ47" i="1" a="1"/>
  <c r="IJ47" i="1" s="1"/>
  <c r="IJ55" i="1" a="1"/>
  <c r="IJ55" i="1" s="1"/>
  <c r="IJ48" i="1" a="1"/>
  <c r="IJ48" i="1" s="1"/>
  <c r="IJ56" i="1" a="1"/>
  <c r="IJ56" i="1" s="1"/>
  <c r="IJ20" i="1" a="1"/>
  <c r="IJ20" i="1" s="1"/>
  <c r="IJ17" i="1" a="1"/>
  <c r="IJ17" i="1" s="1"/>
  <c r="IJ49" i="1" a="1"/>
  <c r="IJ49" i="1" s="1"/>
  <c r="IJ57" i="1" a="1"/>
  <c r="IJ57" i="1" s="1"/>
  <c r="IJ18" i="1" a="1"/>
  <c r="IJ18" i="1" s="1"/>
  <c r="IJ50" i="1" a="1"/>
  <c r="IJ50" i="1" s="1"/>
  <c r="IJ58" i="1" a="1"/>
  <c r="IJ58" i="1" s="1"/>
  <c r="IJ19" i="1" a="1"/>
  <c r="IJ19" i="1" s="1"/>
  <c r="IJ43" i="1" a="1"/>
  <c r="IJ43" i="1" s="1"/>
  <c r="IJ51" i="1" a="1"/>
  <c r="IJ51" i="1" s="1"/>
  <c r="IJ59" i="1" a="1"/>
  <c r="IJ59" i="1" s="1"/>
  <c r="IK59" i="1" s="1" a="1"/>
  <c r="IK59" i="1" s="1"/>
  <c r="IM59" i="1" s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N149" i="1"/>
  <c r="P147" i="1"/>
  <c r="O144" i="1"/>
  <c r="Z143" i="1"/>
  <c r="P140" i="1"/>
  <c r="N291" i="7"/>
  <c r="DM2" i="7"/>
  <c r="DN2" i="7" s="1"/>
  <c r="K43" i="1" l="1"/>
  <c r="A43" i="1" s="1"/>
  <c r="D43" i="1" s="1"/>
  <c r="K44" i="1"/>
  <c r="A44" i="1" s="1"/>
  <c r="D44" i="1" s="1"/>
  <c r="K35" i="1"/>
  <c r="A35" i="1" s="1"/>
  <c r="U190" i="1"/>
  <c r="H35" i="1" s="1"/>
  <c r="K33" i="1"/>
  <c r="A33" i="1" s="1"/>
  <c r="D33" i="1" s="1"/>
  <c r="K24" i="1"/>
  <c r="A24" i="1" s="1"/>
  <c r="B24" i="1" s="1"/>
  <c r="U178" i="1"/>
  <c r="H23" i="1" s="1"/>
  <c r="U175" i="1"/>
  <c r="H20" i="1" s="1"/>
  <c r="B42" i="1"/>
  <c r="D42" i="1"/>
  <c r="C42" i="1"/>
  <c r="D41" i="1"/>
  <c r="B41" i="1"/>
  <c r="C41" i="1"/>
  <c r="K45" i="1"/>
  <c r="A45" i="1" s="1"/>
  <c r="D45" i="1" s="1"/>
  <c r="K36" i="1"/>
  <c r="A36" i="1" s="1"/>
  <c r="U191" i="1"/>
  <c r="H36" i="1" s="1"/>
  <c r="K27" i="1"/>
  <c r="A27" i="1" s="1"/>
  <c r="B27" i="1" s="1"/>
  <c r="B52" i="1"/>
  <c r="C52" i="1"/>
  <c r="D52" i="1"/>
  <c r="K34" i="1"/>
  <c r="A34" i="1" s="1"/>
  <c r="D34" i="1" s="1"/>
  <c r="U180" i="1"/>
  <c r="H25" i="1" s="1"/>
  <c r="U183" i="1"/>
  <c r="H28" i="1" s="1"/>
  <c r="K28" i="1"/>
  <c r="A28" i="1" s="1"/>
  <c r="U176" i="1"/>
  <c r="H21" i="1" s="1"/>
  <c r="IY21" i="1" s="1"/>
  <c r="C20" i="1"/>
  <c r="D20" i="1"/>
  <c r="B20" i="1"/>
  <c r="U174" i="1"/>
  <c r="H19" i="1" s="1"/>
  <c r="K19" i="1"/>
  <c r="A19" i="1" s="1"/>
  <c r="K62" i="1"/>
  <c r="A62" i="1" s="1"/>
  <c r="D62" i="1" s="1"/>
  <c r="U212" i="1"/>
  <c r="H57" i="1" s="1"/>
  <c r="U211" i="1"/>
  <c r="H56" i="1" s="1"/>
  <c r="K49" i="1"/>
  <c r="A49" i="1" s="1"/>
  <c r="U204" i="1"/>
  <c r="H49" i="1" s="1"/>
  <c r="U203" i="1"/>
  <c r="H48" i="1" s="1"/>
  <c r="K48" i="1"/>
  <c r="A48" i="1" s="1"/>
  <c r="K55" i="1"/>
  <c r="A55" i="1" s="1"/>
  <c r="D55" i="1" s="1"/>
  <c r="U202" i="1"/>
  <c r="H47" i="1" s="1"/>
  <c r="K47" i="1"/>
  <c r="A47" i="1" s="1"/>
  <c r="U209" i="1"/>
  <c r="H54" i="1" s="1"/>
  <c r="K46" i="1"/>
  <c r="A46" i="1" s="1"/>
  <c r="U201" i="1"/>
  <c r="H46" i="1" s="1"/>
  <c r="U194" i="1"/>
  <c r="H39" i="1" s="1"/>
  <c r="K40" i="1"/>
  <c r="A40" i="1" s="1"/>
  <c r="D40" i="1" s="1"/>
  <c r="U187" i="1"/>
  <c r="H32" i="1" s="1"/>
  <c r="K32" i="1"/>
  <c r="A32" i="1" s="1"/>
  <c r="K38" i="1"/>
  <c r="A38" i="1" s="1"/>
  <c r="B38" i="1" s="1"/>
  <c r="K31" i="1"/>
  <c r="A31" i="1" s="1"/>
  <c r="U186" i="1"/>
  <c r="H31" i="1" s="1"/>
  <c r="U185" i="1"/>
  <c r="H30" i="1" s="1"/>
  <c r="K30" i="1"/>
  <c r="A30" i="1" s="1"/>
  <c r="U192" i="1"/>
  <c r="H37" i="1" s="1"/>
  <c r="U184" i="1"/>
  <c r="H29" i="1" s="1"/>
  <c r="K29" i="1"/>
  <c r="A29" i="1" s="1"/>
  <c r="K26" i="1"/>
  <c r="A26" i="1" s="1"/>
  <c r="C26" i="1" s="1"/>
  <c r="C37" i="1"/>
  <c r="D37" i="1"/>
  <c r="B37" i="1"/>
  <c r="C54" i="1"/>
  <c r="D54" i="1"/>
  <c r="B54" i="1"/>
  <c r="D25" i="1"/>
  <c r="C25" i="1"/>
  <c r="B25" i="1"/>
  <c r="D18" i="1"/>
  <c r="C18" i="1"/>
  <c r="B18" i="1"/>
  <c r="B11" i="1"/>
  <c r="C11" i="1"/>
  <c r="D11" i="1"/>
  <c r="B10" i="1"/>
  <c r="D10" i="1"/>
  <c r="C10" i="1"/>
  <c r="B23" i="1"/>
  <c r="D23" i="1"/>
  <c r="C23" i="1"/>
  <c r="A9" i="1"/>
  <c r="D12" i="1"/>
  <c r="C12" i="1"/>
  <c r="B12" i="1"/>
  <c r="D57" i="1"/>
  <c r="B57" i="1"/>
  <c r="C57" i="1"/>
  <c r="B22" i="1"/>
  <c r="D22" i="1"/>
  <c r="C22" i="1"/>
  <c r="B21" i="1"/>
  <c r="C21" i="1"/>
  <c r="D21" i="1"/>
  <c r="C56" i="1"/>
  <c r="D56" i="1"/>
  <c r="B56" i="1"/>
  <c r="B39" i="1"/>
  <c r="D39" i="1"/>
  <c r="C39" i="1"/>
  <c r="C70" i="1"/>
  <c r="B70" i="1"/>
  <c r="D70" i="1"/>
  <c r="JS9" i="1"/>
  <c r="IM9" i="1"/>
  <c r="IK103" i="1" a="1"/>
  <c r="IK103" i="1" s="1"/>
  <c r="IK29" i="1" a="1"/>
  <c r="IK29" i="1" s="1"/>
  <c r="IK18" i="1" a="1"/>
  <c r="IK18" i="1" s="1"/>
  <c r="IK47" i="1" a="1"/>
  <c r="IK47" i="1" s="1"/>
  <c r="IK45" i="1" a="1"/>
  <c r="IK45" i="1" s="1"/>
  <c r="IK124" i="1" a="1"/>
  <c r="IK124" i="1" s="1"/>
  <c r="IK91" i="1" a="1"/>
  <c r="IK91" i="1" s="1"/>
  <c r="IK113" i="1" a="1"/>
  <c r="IK113" i="1" s="1"/>
  <c r="IM113" i="1" s="1"/>
  <c r="IK70" i="1" a="1"/>
  <c r="IK70" i="1" s="1"/>
  <c r="IK116" i="1" a="1"/>
  <c r="IK116" i="1" s="1"/>
  <c r="IK139" i="1" a="1"/>
  <c r="IK139" i="1" s="1"/>
  <c r="IK114" i="1" a="1"/>
  <c r="IK114" i="1" s="1"/>
  <c r="IK137" i="1" a="1"/>
  <c r="IK137" i="1" s="1"/>
  <c r="IK15" i="1" a="1"/>
  <c r="IK15" i="1" s="1"/>
  <c r="IK80" i="1" a="1"/>
  <c r="IK80" i="1" s="1"/>
  <c r="IK143" i="1" a="1"/>
  <c r="IK143" i="1" s="1"/>
  <c r="IM143" i="1" s="1"/>
  <c r="IK31" i="1" a="1"/>
  <c r="IK31" i="1" s="1"/>
  <c r="IK134" i="1" a="1"/>
  <c r="IK134" i="1" s="1"/>
  <c r="IK13" i="1" a="1"/>
  <c r="IK13" i="1" s="1"/>
  <c r="IK55" i="1" a="1"/>
  <c r="IK55" i="1" s="1"/>
  <c r="IK89" i="1" a="1"/>
  <c r="IK89" i="1" s="1"/>
  <c r="IK142" i="1" a="1"/>
  <c r="IK142" i="1" s="1"/>
  <c r="IK57" i="1" a="1"/>
  <c r="IK57" i="1" s="1"/>
  <c r="IK126" i="1" a="1"/>
  <c r="IK126" i="1" s="1"/>
  <c r="IM126" i="1" s="1"/>
  <c r="IK90" i="1" a="1"/>
  <c r="IK90" i="1" s="1"/>
  <c r="IK72" i="1" a="1"/>
  <c r="IK72" i="1" s="1"/>
  <c r="IK68" i="1" a="1"/>
  <c r="IK68" i="1" s="1"/>
  <c r="IK100" i="1" a="1"/>
  <c r="IK100" i="1" s="1"/>
  <c r="IK131" i="1" a="1"/>
  <c r="IK131" i="1" s="1"/>
  <c r="IK98" i="1" a="1"/>
  <c r="IK98" i="1" s="1"/>
  <c r="IK37" i="1" a="1"/>
  <c r="IK37" i="1" s="1"/>
  <c r="IK129" i="1" a="1"/>
  <c r="IK129" i="1" s="1"/>
  <c r="IM129" i="1" s="1"/>
  <c r="IK149" i="1" a="1"/>
  <c r="IK149" i="1" s="1"/>
  <c r="IK64" i="1" a="1"/>
  <c r="IK64" i="1" s="1"/>
  <c r="IK135" i="1" a="1"/>
  <c r="IK135" i="1" s="1"/>
  <c r="IK23" i="1" a="1"/>
  <c r="IK23" i="1" s="1"/>
  <c r="IK118" i="1" a="1"/>
  <c r="IK118" i="1" s="1"/>
  <c r="IK117" i="1" a="1"/>
  <c r="IK117" i="1" s="1"/>
  <c r="IK119" i="1" a="1"/>
  <c r="IK119" i="1" s="1"/>
  <c r="IK130" i="1" a="1"/>
  <c r="IK130" i="1" s="1"/>
  <c r="IM130" i="1" s="1"/>
  <c r="IK39" i="1" a="1"/>
  <c r="IK39" i="1" s="1"/>
  <c r="IK60" i="1" a="1"/>
  <c r="IK60" i="1" s="1"/>
  <c r="IK52" i="1" a="1"/>
  <c r="IK52" i="1" s="1"/>
  <c r="IK44" i="1" a="1"/>
  <c r="IK44" i="1" s="1"/>
  <c r="IK125" i="1" a="1"/>
  <c r="IK125" i="1" s="1"/>
  <c r="IK109" i="1" a="1"/>
  <c r="IK109" i="1" s="1"/>
  <c r="IK111" i="1" a="1"/>
  <c r="IK111" i="1" s="1"/>
  <c r="IK69" i="1" a="1"/>
  <c r="IK69" i="1" s="1"/>
  <c r="IM69" i="1" s="1"/>
  <c r="IK92" i="1" a="1"/>
  <c r="IK92" i="1" s="1"/>
  <c r="IK115" i="1" a="1"/>
  <c r="IK115" i="1" s="1"/>
  <c r="IK82" i="1" a="1"/>
  <c r="IK82" i="1" s="1"/>
  <c r="IK35" i="1" a="1"/>
  <c r="IK35" i="1" s="1"/>
  <c r="IK97" i="1" a="1"/>
  <c r="IK97" i="1" s="1"/>
  <c r="IK67" i="1" a="1"/>
  <c r="IK67" i="1" s="1"/>
  <c r="IK40" i="1" a="1"/>
  <c r="IK40" i="1" s="1"/>
  <c r="IK127" i="1" a="1"/>
  <c r="IK127" i="1" s="1"/>
  <c r="IK14" i="1" a="1"/>
  <c r="IK14" i="1" s="1"/>
  <c r="IK94" i="1" a="1"/>
  <c r="IK94" i="1" s="1"/>
  <c r="IK12" i="1" a="1"/>
  <c r="IK12" i="1" s="1"/>
  <c r="IK74" i="1" a="1"/>
  <c r="IK74" i="1" s="1"/>
  <c r="IK25" i="1" a="1"/>
  <c r="IK25" i="1" s="1"/>
  <c r="IK49" i="1" a="1"/>
  <c r="IK49" i="1" s="1"/>
  <c r="IK51" i="1" a="1"/>
  <c r="IK51" i="1" s="1"/>
  <c r="IK17" i="1" a="1"/>
  <c r="IK17" i="1" s="1"/>
  <c r="IM17" i="1" s="1"/>
  <c r="IK62" i="1" a="1"/>
  <c r="IK62" i="1" s="1"/>
  <c r="IK123" i="1" a="1"/>
  <c r="IK123" i="1" s="1"/>
  <c r="IK73" i="1" a="1"/>
  <c r="IK73" i="1" s="1"/>
  <c r="IK108" i="1" a="1"/>
  <c r="IK108" i="1" s="1"/>
  <c r="IK106" i="1" a="1"/>
  <c r="IK106" i="1" s="1"/>
  <c r="IK102" i="1" a="1"/>
  <c r="IK102" i="1" s="1"/>
  <c r="IM102" i="1" s="1"/>
  <c r="IK84" i="1" a="1"/>
  <c r="IK84" i="1" s="1"/>
  <c r="IK99" i="1" a="1"/>
  <c r="IK99" i="1" s="1"/>
  <c r="IK66" i="1" a="1"/>
  <c r="IK66" i="1" s="1"/>
  <c r="IK81" i="1" a="1"/>
  <c r="IK81" i="1" s="1"/>
  <c r="IK144" i="1" a="1"/>
  <c r="IK144" i="1" s="1"/>
  <c r="IK32" i="1" a="1"/>
  <c r="IK32" i="1" s="1"/>
  <c r="IK95" i="1" a="1"/>
  <c r="IK95" i="1" s="1"/>
  <c r="IK141" i="1" a="1"/>
  <c r="IK141" i="1" s="1"/>
  <c r="IK86" i="1" a="1"/>
  <c r="IK86" i="1" s="1"/>
  <c r="IK43" i="1" a="1"/>
  <c r="IK43" i="1" s="1"/>
  <c r="IM43" i="1" s="1"/>
  <c r="IK20" i="1" a="1"/>
  <c r="IK20" i="1" s="1"/>
  <c r="IK54" i="1" a="1"/>
  <c r="IK54" i="1" s="1"/>
  <c r="IK122" i="1" a="1"/>
  <c r="IK122" i="1" s="1"/>
  <c r="IK76" i="1" a="1"/>
  <c r="IK76" i="1" s="1"/>
  <c r="IK112" i="1" a="1"/>
  <c r="IK112" i="1" s="1"/>
  <c r="IK105" i="1" a="1"/>
  <c r="IK105" i="1" s="1"/>
  <c r="IM105" i="1" s="1"/>
  <c r="IK101" i="1" a="1"/>
  <c r="IK101" i="1" s="1"/>
  <c r="IM101" i="1" s="1"/>
  <c r="IK36" i="1" a="1"/>
  <c r="IK36" i="1" s="1"/>
  <c r="IM36" i="1" s="1"/>
  <c r="IK27" i="1" a="1"/>
  <c r="IK27" i="1" s="1"/>
  <c r="IK42" i="1" a="1"/>
  <c r="IK42" i="1" s="1"/>
  <c r="IK65" i="1" a="1"/>
  <c r="IK65" i="1" s="1"/>
  <c r="IK136" i="1" a="1"/>
  <c r="IK136" i="1" s="1"/>
  <c r="IK24" i="1" a="1"/>
  <c r="IK24" i="1" s="1"/>
  <c r="IK87" i="1" a="1"/>
  <c r="IK87" i="1" s="1"/>
  <c r="IK93" i="1" a="1"/>
  <c r="IK93" i="1" s="1"/>
  <c r="IK78" i="1" a="1"/>
  <c r="IK78" i="1" s="1"/>
  <c r="IK50" i="1" a="1"/>
  <c r="IK50" i="1" s="1"/>
  <c r="IK132" i="1" a="1"/>
  <c r="IK132" i="1" s="1"/>
  <c r="IK145" i="1" a="1"/>
  <c r="IK145" i="1" s="1"/>
  <c r="IK56" i="1" a="1"/>
  <c r="IK56" i="1" s="1"/>
  <c r="IK121" i="1" a="1"/>
  <c r="IK121" i="1" s="1"/>
  <c r="IK77" i="1" a="1"/>
  <c r="IK77" i="1" s="1"/>
  <c r="IK110" i="1" a="1"/>
  <c r="IK110" i="1" s="1"/>
  <c r="IK71" i="1" a="1"/>
  <c r="IK71" i="1" s="1"/>
  <c r="IM71" i="1" s="1"/>
  <c r="IK148" i="1" a="1"/>
  <c r="IK148" i="1" s="1"/>
  <c r="IK28" i="1" a="1"/>
  <c r="IK28" i="1" s="1"/>
  <c r="IK146" i="1" a="1"/>
  <c r="IK146" i="1" s="1"/>
  <c r="IK34" i="1" a="1"/>
  <c r="IK34" i="1" s="1"/>
  <c r="IK41" i="1" a="1"/>
  <c r="IK41" i="1" s="1"/>
  <c r="IK128" i="1" a="1"/>
  <c r="IK128" i="1" s="1"/>
  <c r="IM128" i="1" s="1"/>
  <c r="IK133" i="1" a="1"/>
  <c r="IK133" i="1" s="1"/>
  <c r="IK79" i="1" a="1"/>
  <c r="IK79" i="1" s="1"/>
  <c r="IK83" i="1" a="1"/>
  <c r="IK83" i="1" s="1"/>
  <c r="IK38" i="1" a="1"/>
  <c r="IK38" i="1" s="1"/>
  <c r="IK61" i="1" a="1"/>
  <c r="IK61" i="1" s="1"/>
  <c r="IK53" i="1" a="1"/>
  <c r="IK53" i="1" s="1"/>
  <c r="IK147" i="1" a="1"/>
  <c r="IK147" i="1" s="1"/>
  <c r="IK88" i="1" a="1"/>
  <c r="IK88" i="1" s="1"/>
  <c r="IK19" i="1" a="1"/>
  <c r="IK19" i="1" s="1"/>
  <c r="IK46" i="1" a="1"/>
  <c r="IK46" i="1" s="1"/>
  <c r="IK58" i="1" a="1"/>
  <c r="IK58" i="1" s="1"/>
  <c r="IK48" i="1" a="1"/>
  <c r="IK48" i="1" s="1"/>
  <c r="IK22" i="1" a="1"/>
  <c r="IK22" i="1" s="1"/>
  <c r="IK120" i="1" a="1"/>
  <c r="IK120" i="1" s="1"/>
  <c r="IK75" i="1" a="1"/>
  <c r="IK75" i="1" s="1"/>
  <c r="IK107" i="1" a="1"/>
  <c r="IK107" i="1" s="1"/>
  <c r="IK104" i="1" a="1"/>
  <c r="IK104" i="1" s="1"/>
  <c r="IK140" i="1" a="1"/>
  <c r="IK140" i="1" s="1"/>
  <c r="IM140" i="1" s="1"/>
  <c r="IK11" i="1" a="1"/>
  <c r="IK11" i="1" s="1"/>
  <c r="IK138" i="1" a="1"/>
  <c r="IK138" i="1" s="1"/>
  <c r="IK26" i="1" a="1"/>
  <c r="IK26" i="1" s="1"/>
  <c r="IK10" i="1" a="1"/>
  <c r="IK10" i="1" s="1"/>
  <c r="IK33" i="1" a="1"/>
  <c r="IK33" i="1" s="1"/>
  <c r="IK96" i="1" a="1"/>
  <c r="IK96" i="1" s="1"/>
  <c r="IK85" i="1" a="1"/>
  <c r="IK85" i="1" s="1"/>
  <c r="IK63" i="1" a="1"/>
  <c r="IK63" i="1" s="1"/>
  <c r="IM63" i="1" s="1"/>
  <c r="IK150" i="1" a="1"/>
  <c r="IK150" i="1" s="1"/>
  <c r="IK30" i="1" a="1"/>
  <c r="IK30" i="1" s="1"/>
  <c r="IK16" i="1" a="1"/>
  <c r="IK16" i="1" s="1"/>
  <c r="II4" i="1" a="1"/>
  <c r="II4" i="1" s="1"/>
  <c r="AV150" i="1"/>
  <c r="DC150" i="1" s="1"/>
  <c r="AV149" i="1"/>
  <c r="DW149" i="1" s="1"/>
  <c r="AV148" i="1"/>
  <c r="CC148" i="1" s="1"/>
  <c r="AV147" i="1"/>
  <c r="HE147" i="1" s="1"/>
  <c r="AV144" i="1"/>
  <c r="FP144" i="1" s="1"/>
  <c r="AV145" i="1"/>
  <c r="EN145" i="1" s="1"/>
  <c r="AV146" i="1"/>
  <c r="FJ146" i="1" s="1"/>
  <c r="IL9" i="1"/>
  <c r="IL21" i="1"/>
  <c r="Q16" i="1"/>
  <c r="IY59" i="1"/>
  <c r="IP59" i="1"/>
  <c r="IT59" i="1"/>
  <c r="IP21" i="1"/>
  <c r="IT21" i="1"/>
  <c r="IP9" i="1"/>
  <c r="IY9" i="1"/>
  <c r="IT9" i="1"/>
  <c r="AD10" i="1"/>
  <c r="M294" i="7"/>
  <c r="Z144" i="1"/>
  <c r="AA137" i="1"/>
  <c r="N135" i="1"/>
  <c r="Z145" i="1"/>
  <c r="O150" i="1"/>
  <c r="AV134" i="1"/>
  <c r="GY134" i="1" s="1"/>
  <c r="N289" i="7"/>
  <c r="AV138" i="1"/>
  <c r="CU138" i="1" s="1"/>
  <c r="N293" i="7"/>
  <c r="AV130" i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AV132" i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A140" i="1"/>
  <c r="S147" i="1"/>
  <c r="Y147" i="1" s="1"/>
  <c r="M291" i="7"/>
  <c r="M299" i="7"/>
  <c r="P136" i="1"/>
  <c r="S136" i="1" s="1"/>
  <c r="Y136" i="1" s="1"/>
  <c r="N140" i="1"/>
  <c r="O143" i="1"/>
  <c r="AA147" i="1"/>
  <c r="N136" i="1"/>
  <c r="O147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AA136" i="1"/>
  <c r="O139" i="1"/>
  <c r="O140" i="1"/>
  <c r="Z140" i="1"/>
  <c r="AA141" i="1"/>
  <c r="P144" i="1"/>
  <c r="S144" i="1" s="1"/>
  <c r="Y144" i="1" s="1"/>
  <c r="M298" i="7"/>
  <c r="N148" i="1"/>
  <c r="M297" i="7"/>
  <c r="M305" i="7"/>
  <c r="AB140" i="1"/>
  <c r="P143" i="1"/>
  <c r="S143" i="1" s="1"/>
  <c r="Y143" i="1" s="1"/>
  <c r="AB143" i="1"/>
  <c r="AA144" i="1"/>
  <c r="O148" i="1"/>
  <c r="M296" i="7"/>
  <c r="M304" i="7"/>
  <c r="S140" i="1"/>
  <c r="Y140" i="1" s="1"/>
  <c r="AB144" i="1"/>
  <c r="N147" i="1"/>
  <c r="M295" i="7"/>
  <c r="M303" i="7"/>
  <c r="M302" i="7"/>
  <c r="M301" i="7"/>
  <c r="N144" i="1"/>
  <c r="Q144" i="1" s="1"/>
  <c r="AB147" i="1"/>
  <c r="M300" i="7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S137" i="1" s="1"/>
  <c r="Y137" i="1" s="1"/>
  <c r="Z137" i="1"/>
  <c r="O137" i="1"/>
  <c r="N137" i="1"/>
  <c r="AB138" i="1"/>
  <c r="Z139" i="1"/>
  <c r="N139" i="1"/>
  <c r="AB139" i="1"/>
  <c r="AA139" i="1"/>
  <c r="P139" i="1"/>
  <c r="S139" i="1" s="1"/>
  <c r="Y139" i="1" s="1"/>
  <c r="AA138" i="1"/>
  <c r="O138" i="1"/>
  <c r="Z138" i="1"/>
  <c r="P138" i="1"/>
  <c r="S138" i="1" s="1"/>
  <c r="Y138" i="1" s="1"/>
  <c r="Z136" i="1"/>
  <c r="N138" i="1"/>
  <c r="AB136" i="1"/>
  <c r="P141" i="1"/>
  <c r="S141" i="1" s="1"/>
  <c r="Y141" i="1" s="1"/>
  <c r="Z141" i="1"/>
  <c r="O141" i="1"/>
  <c r="AB141" i="1"/>
  <c r="O142" i="1"/>
  <c r="AB142" i="1"/>
  <c r="AA142" i="1"/>
  <c r="Z142" i="1"/>
  <c r="P142" i="1"/>
  <c r="S142" i="1" s="1"/>
  <c r="Y142" i="1" s="1"/>
  <c r="N141" i="1"/>
  <c r="N142" i="1"/>
  <c r="O145" i="1"/>
  <c r="AB145" i="1"/>
  <c r="N145" i="1"/>
  <c r="AA145" i="1"/>
  <c r="P145" i="1"/>
  <c r="S145" i="1" s="1"/>
  <c r="Y145" i="1" s="1"/>
  <c r="AA143" i="1"/>
  <c r="AE143" i="1" s="1"/>
  <c r="O146" i="1"/>
  <c r="N146" i="1"/>
  <c r="AA146" i="1"/>
  <c r="Z146" i="1"/>
  <c r="P146" i="1"/>
  <c r="S146" i="1" s="1"/>
  <c r="Y146" i="1" s="1"/>
  <c r="V146" i="1" s="1"/>
  <c r="AB146" i="1"/>
  <c r="N143" i="1"/>
  <c r="Z147" i="1"/>
  <c r="AB148" i="1"/>
  <c r="AA148" i="1"/>
  <c r="Z148" i="1"/>
  <c r="P148" i="1"/>
  <c r="S148" i="1" s="1"/>
  <c r="Y148" i="1" s="1"/>
  <c r="P149" i="1"/>
  <c r="S149" i="1" s="1"/>
  <c r="Y149" i="1" s="1"/>
  <c r="AB150" i="1"/>
  <c r="AA150" i="1"/>
  <c r="AE150" i="1" s="1"/>
  <c r="Z150" i="1"/>
  <c r="P150" i="1"/>
  <c r="S150" i="1" s="1"/>
  <c r="Y150" i="1" s="1"/>
  <c r="N150" i="1"/>
  <c r="R150" i="1" s="1"/>
  <c r="X150" i="1" s="1"/>
  <c r="AB149" i="1"/>
  <c r="AA149" i="1"/>
  <c r="Z149" i="1"/>
  <c r="O149" i="1"/>
  <c r="Q149" i="1" s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B43" i="1" l="1"/>
  <c r="C43" i="1"/>
  <c r="C44" i="1"/>
  <c r="B44" i="1"/>
  <c r="C33" i="1"/>
  <c r="D35" i="1"/>
  <c r="B35" i="1"/>
  <c r="C35" i="1"/>
  <c r="B33" i="1"/>
  <c r="D24" i="1"/>
  <c r="C24" i="1"/>
  <c r="C45" i="1"/>
  <c r="B45" i="1"/>
  <c r="B36" i="1"/>
  <c r="D36" i="1"/>
  <c r="P36" i="1" s="1"/>
  <c r="S36" i="1" s="1"/>
  <c r="Y36" i="1" s="1"/>
  <c r="C36" i="1"/>
  <c r="O36" i="1" s="1"/>
  <c r="IL28" i="1"/>
  <c r="D27" i="1"/>
  <c r="C27" i="1"/>
  <c r="IL59" i="1"/>
  <c r="B34" i="1"/>
  <c r="C34" i="1"/>
  <c r="C28" i="1"/>
  <c r="D28" i="1"/>
  <c r="B28" i="1"/>
  <c r="D19" i="1"/>
  <c r="B19" i="1"/>
  <c r="N19" i="1" s="1"/>
  <c r="C19" i="1"/>
  <c r="IM46" i="1"/>
  <c r="B62" i="1"/>
  <c r="C62" i="1"/>
  <c r="C55" i="1"/>
  <c r="B55" i="1"/>
  <c r="B49" i="1"/>
  <c r="D49" i="1"/>
  <c r="C49" i="1"/>
  <c r="AV47" i="1"/>
  <c r="D48" i="1"/>
  <c r="B48" i="1"/>
  <c r="C48" i="1"/>
  <c r="B47" i="1"/>
  <c r="C47" i="1"/>
  <c r="D47" i="1"/>
  <c r="D46" i="1"/>
  <c r="C46" i="1"/>
  <c r="B46" i="1"/>
  <c r="B40" i="1"/>
  <c r="C38" i="1"/>
  <c r="C40" i="1"/>
  <c r="D38" i="1"/>
  <c r="C32" i="1"/>
  <c r="B32" i="1"/>
  <c r="N32" i="1" s="1"/>
  <c r="D32" i="1"/>
  <c r="D26" i="1"/>
  <c r="D31" i="1"/>
  <c r="B31" i="1"/>
  <c r="C31" i="1"/>
  <c r="B26" i="1"/>
  <c r="L2" i="1" a="1"/>
  <c r="L2" i="1" s="1"/>
  <c r="L5" i="1" a="1"/>
  <c r="L5" i="1" s="1"/>
  <c r="C30" i="1"/>
  <c r="B30" i="1"/>
  <c r="D30" i="1"/>
  <c r="B29" i="1"/>
  <c r="C29" i="1"/>
  <c r="D29" i="1"/>
  <c r="L6" i="1" a="1"/>
  <c r="L6" i="1" s="1"/>
  <c r="B9" i="1"/>
  <c r="N9" i="1" s="1"/>
  <c r="D9" i="1"/>
  <c r="C9" i="1"/>
  <c r="O9" i="1" s="1"/>
  <c r="AD150" i="1"/>
  <c r="AH150" i="1" s="1"/>
  <c r="AC149" i="1"/>
  <c r="AF149" i="1"/>
  <c r="R149" i="1"/>
  <c r="X149" i="1" s="1"/>
  <c r="AE149" i="1"/>
  <c r="R148" i="1"/>
  <c r="X148" i="1" s="1"/>
  <c r="IW148" i="1" s="1"/>
  <c r="IG148" i="1" s="1"/>
  <c r="Q148" i="1"/>
  <c r="AF147" i="1"/>
  <c r="AC148" i="1"/>
  <c r="AF148" i="1"/>
  <c r="AC147" i="1"/>
  <c r="AE147" i="1"/>
  <c r="V147" i="1"/>
  <c r="AE146" i="1"/>
  <c r="AD147" i="1"/>
  <c r="AH147" i="1" s="1"/>
  <c r="Q147" i="1"/>
  <c r="R146" i="1"/>
  <c r="X146" i="1" s="1"/>
  <c r="IW146" i="1" s="1"/>
  <c r="IG146" i="1" s="1"/>
  <c r="AC143" i="1"/>
  <c r="AF146" i="1"/>
  <c r="AD146" i="1"/>
  <c r="AH146" i="1" s="1"/>
  <c r="Q146" i="1"/>
  <c r="AC146" i="1"/>
  <c r="R145" i="1"/>
  <c r="X145" i="1" s="1"/>
  <c r="IW145" i="1" s="1"/>
  <c r="IG145" i="1" s="1"/>
  <c r="AD145" i="1"/>
  <c r="AH145" i="1" s="1"/>
  <c r="AF145" i="1"/>
  <c r="AM145" i="1" s="1"/>
  <c r="Q145" i="1"/>
  <c r="AE145" i="1"/>
  <c r="Q143" i="1"/>
  <c r="AF144" i="1"/>
  <c r="AM144" i="1" s="1"/>
  <c r="AE144" i="1"/>
  <c r="AC144" i="1"/>
  <c r="AD144" i="1"/>
  <c r="AH144" i="1" s="1"/>
  <c r="AF143" i="1"/>
  <c r="AG143" i="1" s="1"/>
  <c r="AE142" i="1"/>
  <c r="R142" i="1"/>
  <c r="X142" i="1" s="1"/>
  <c r="IW142" i="1" s="1"/>
  <c r="IG142" i="1" s="1"/>
  <c r="AD142" i="1"/>
  <c r="AH142" i="1" s="1"/>
  <c r="AF142" i="1"/>
  <c r="AI142" i="1" s="1"/>
  <c r="Q142" i="1"/>
  <c r="AD141" i="1"/>
  <c r="AH141" i="1" s="1"/>
  <c r="Q140" i="1"/>
  <c r="Q141" i="1"/>
  <c r="R141" i="1"/>
  <c r="X141" i="1" s="1"/>
  <c r="IW141" i="1" s="1"/>
  <c r="IG141" i="1" s="1"/>
  <c r="AF140" i="1"/>
  <c r="AE141" i="1"/>
  <c r="AD139" i="1"/>
  <c r="AH139" i="1" s="1"/>
  <c r="R140" i="1"/>
  <c r="X140" i="1" s="1"/>
  <c r="AQ140" i="1" s="1"/>
  <c r="AC140" i="1"/>
  <c r="Q139" i="1"/>
  <c r="AE139" i="1"/>
  <c r="AC139" i="1"/>
  <c r="Q138" i="1"/>
  <c r="Q136" i="1"/>
  <c r="R136" i="1"/>
  <c r="X136" i="1" s="1"/>
  <c r="AQ136" i="1" s="1"/>
  <c r="IT133" i="1"/>
  <c r="IM133" i="1"/>
  <c r="IP77" i="1"/>
  <c r="IM77" i="1"/>
  <c r="IY141" i="1"/>
  <c r="IM141" i="1"/>
  <c r="IL49" i="1"/>
  <c r="IM49" i="1"/>
  <c r="IL117" i="1"/>
  <c r="IM117" i="1"/>
  <c r="IY147" i="1"/>
  <c r="IM147" i="1"/>
  <c r="IL138" i="1"/>
  <c r="IM138" i="1"/>
  <c r="IP38" i="1"/>
  <c r="IM38" i="1"/>
  <c r="IP132" i="1"/>
  <c r="IM132" i="1"/>
  <c r="IY54" i="1"/>
  <c r="IM54" i="1"/>
  <c r="IP123" i="1"/>
  <c r="IM123" i="1"/>
  <c r="IL79" i="1"/>
  <c r="IM79" i="1"/>
  <c r="IL78" i="1"/>
  <c r="IM78" i="1"/>
  <c r="IY99" i="1"/>
  <c r="IM99" i="1"/>
  <c r="IM127" i="1"/>
  <c r="IY85" i="1"/>
  <c r="IM85" i="1"/>
  <c r="IY19" i="1"/>
  <c r="IM19" i="1"/>
  <c r="IL110" i="1"/>
  <c r="IM110" i="1"/>
  <c r="IP93" i="1"/>
  <c r="IM93" i="1"/>
  <c r="IL86" i="1"/>
  <c r="IM86" i="1"/>
  <c r="IT84" i="1"/>
  <c r="IM84" i="1"/>
  <c r="IP51" i="1"/>
  <c r="IM51" i="1"/>
  <c r="IY40" i="1"/>
  <c r="IM40" i="1"/>
  <c r="IY111" i="1"/>
  <c r="IM111" i="1"/>
  <c r="IL119" i="1"/>
  <c r="IM119" i="1"/>
  <c r="IT37" i="1"/>
  <c r="IM37" i="1"/>
  <c r="IP57" i="1"/>
  <c r="IM57" i="1"/>
  <c r="IY80" i="1"/>
  <c r="IM80" i="1"/>
  <c r="IL91" i="1"/>
  <c r="IM91" i="1"/>
  <c r="IY104" i="1"/>
  <c r="IM104" i="1"/>
  <c r="IP107" i="1"/>
  <c r="IM107" i="1"/>
  <c r="IL98" i="1"/>
  <c r="IM98" i="1"/>
  <c r="IL142" i="1"/>
  <c r="IM142" i="1"/>
  <c r="IL15" i="1"/>
  <c r="IM15" i="1"/>
  <c r="IL124" i="1"/>
  <c r="IM124" i="1"/>
  <c r="IT97" i="1"/>
  <c r="IM97" i="1"/>
  <c r="IM125" i="1"/>
  <c r="IL118" i="1"/>
  <c r="IM118" i="1"/>
  <c r="IL131" i="1"/>
  <c r="IM131" i="1"/>
  <c r="IL89" i="1"/>
  <c r="IM89" i="1"/>
  <c r="IL137" i="1"/>
  <c r="IM137" i="1"/>
  <c r="IL45" i="1"/>
  <c r="IM45" i="1"/>
  <c r="IY33" i="1"/>
  <c r="IM33" i="1"/>
  <c r="IP41" i="1"/>
  <c r="IM41" i="1"/>
  <c r="IT121" i="1"/>
  <c r="IM121" i="1"/>
  <c r="IP24" i="1"/>
  <c r="IM24" i="1"/>
  <c r="IY112" i="1"/>
  <c r="IM112" i="1"/>
  <c r="IY106" i="1"/>
  <c r="IM106" i="1"/>
  <c r="IM10" i="1"/>
  <c r="IL53" i="1"/>
  <c r="IM53" i="1"/>
  <c r="IT34" i="1"/>
  <c r="IM34" i="1"/>
  <c r="IP136" i="1"/>
  <c r="IM136" i="1"/>
  <c r="IP76" i="1"/>
  <c r="IM76" i="1"/>
  <c r="IL32" i="1"/>
  <c r="IM32" i="1"/>
  <c r="IL108" i="1"/>
  <c r="IM108" i="1"/>
  <c r="IL74" i="1"/>
  <c r="IM74" i="1"/>
  <c r="IL35" i="1"/>
  <c r="IM35" i="1"/>
  <c r="IL44" i="1"/>
  <c r="IM44" i="1"/>
  <c r="IL23" i="1"/>
  <c r="IM23" i="1"/>
  <c r="IL100" i="1"/>
  <c r="IM100" i="1"/>
  <c r="IL55" i="1"/>
  <c r="IM55" i="1"/>
  <c r="IL114" i="1"/>
  <c r="IM114" i="1"/>
  <c r="IL47" i="1"/>
  <c r="IM47" i="1"/>
  <c r="IL95" i="1"/>
  <c r="IM95" i="1"/>
  <c r="IL25" i="1"/>
  <c r="IM25" i="1"/>
  <c r="IT120" i="1"/>
  <c r="IM120" i="1"/>
  <c r="IY56" i="1"/>
  <c r="IM56" i="1"/>
  <c r="IP16" i="1"/>
  <c r="IM16" i="1"/>
  <c r="IL26" i="1"/>
  <c r="IM26" i="1"/>
  <c r="IY22" i="1"/>
  <c r="IM22" i="1"/>
  <c r="IP61" i="1"/>
  <c r="IM61" i="1"/>
  <c r="IM146" i="1"/>
  <c r="IT145" i="1"/>
  <c r="IM145" i="1"/>
  <c r="IP65" i="1"/>
  <c r="IM65" i="1"/>
  <c r="IL122" i="1"/>
  <c r="IM122" i="1"/>
  <c r="IL144" i="1"/>
  <c r="IM144" i="1"/>
  <c r="IY73" i="1"/>
  <c r="IM73" i="1"/>
  <c r="IM12" i="1"/>
  <c r="IY82" i="1"/>
  <c r="IM82" i="1"/>
  <c r="IP52" i="1"/>
  <c r="IM52" i="1"/>
  <c r="IY135" i="1"/>
  <c r="IM135" i="1"/>
  <c r="IY68" i="1"/>
  <c r="IM68" i="1"/>
  <c r="IM13" i="1"/>
  <c r="IT139" i="1"/>
  <c r="IM139" i="1"/>
  <c r="IL18" i="1"/>
  <c r="IM18" i="1"/>
  <c r="IY94" i="1"/>
  <c r="IM94" i="1"/>
  <c r="IL115" i="1"/>
  <c r="IM115" i="1"/>
  <c r="IL60" i="1"/>
  <c r="IM60" i="1"/>
  <c r="IL64" i="1"/>
  <c r="IM64" i="1"/>
  <c r="IL72" i="1"/>
  <c r="IM72" i="1"/>
  <c r="IL134" i="1"/>
  <c r="IM134" i="1"/>
  <c r="IL116" i="1"/>
  <c r="IM116" i="1"/>
  <c r="IL29" i="1"/>
  <c r="IM29" i="1"/>
  <c r="IY96" i="1"/>
  <c r="IM96" i="1"/>
  <c r="IY88" i="1"/>
  <c r="IM88" i="1"/>
  <c r="IY87" i="1"/>
  <c r="IM87" i="1"/>
  <c r="IL67" i="1"/>
  <c r="IM67" i="1"/>
  <c r="IL109" i="1"/>
  <c r="IM109" i="1"/>
  <c r="IT75" i="1"/>
  <c r="IM75" i="1"/>
  <c r="IT30" i="1"/>
  <c r="IM30" i="1"/>
  <c r="IT48" i="1"/>
  <c r="IM48" i="1"/>
  <c r="IY28" i="1"/>
  <c r="IM28" i="1"/>
  <c r="IT42" i="1"/>
  <c r="IM42" i="1"/>
  <c r="IL81" i="1"/>
  <c r="IM81" i="1"/>
  <c r="IM150" i="1"/>
  <c r="IY11" i="1"/>
  <c r="IM11" i="1"/>
  <c r="IY58" i="1"/>
  <c r="IM58" i="1"/>
  <c r="IT83" i="1"/>
  <c r="IM83" i="1"/>
  <c r="IY148" i="1"/>
  <c r="IM148" i="1"/>
  <c r="IL50" i="1"/>
  <c r="IM50" i="1"/>
  <c r="IY27" i="1"/>
  <c r="IM27" i="1"/>
  <c r="IY20" i="1"/>
  <c r="IM20" i="1"/>
  <c r="IT66" i="1"/>
  <c r="IM66" i="1"/>
  <c r="IY62" i="1"/>
  <c r="IM62" i="1"/>
  <c r="IT14" i="1"/>
  <c r="IM14" i="1"/>
  <c r="IT92" i="1"/>
  <c r="IM92" i="1"/>
  <c r="IL39" i="1"/>
  <c r="IM39" i="1"/>
  <c r="IL149" i="1"/>
  <c r="IM149" i="1"/>
  <c r="IL90" i="1"/>
  <c r="IM90" i="1"/>
  <c r="IL31" i="1"/>
  <c r="IM31" i="1"/>
  <c r="IL70" i="1"/>
  <c r="IM70" i="1"/>
  <c r="IL103" i="1"/>
  <c r="IM103" i="1"/>
  <c r="IX134" i="1"/>
  <c r="IX137" i="1"/>
  <c r="IX131" i="1"/>
  <c r="IY45" i="1"/>
  <c r="IT45" i="1"/>
  <c r="IT29" i="1"/>
  <c r="IP45" i="1"/>
  <c r="IT114" i="1"/>
  <c r="IP35" i="1"/>
  <c r="IY29" i="1"/>
  <c r="IT103" i="1"/>
  <c r="IP70" i="1"/>
  <c r="IP131" i="1"/>
  <c r="IY137" i="1"/>
  <c r="IY31" i="1"/>
  <c r="IT70" i="1"/>
  <c r="IX135" i="1"/>
  <c r="IY18" i="1"/>
  <c r="IT137" i="1"/>
  <c r="IY131" i="1"/>
  <c r="IT142" i="1"/>
  <c r="IT55" i="1"/>
  <c r="IY114" i="1"/>
  <c r="IY47" i="1"/>
  <c r="IT23" i="1"/>
  <c r="IY100" i="1"/>
  <c r="IP74" i="1"/>
  <c r="IP100" i="1"/>
  <c r="IP114" i="1"/>
  <c r="IP47" i="1"/>
  <c r="IY55" i="1"/>
  <c r="IY108" i="1"/>
  <c r="IT124" i="1"/>
  <c r="IP124" i="1"/>
  <c r="IP18" i="1"/>
  <c r="IY124" i="1"/>
  <c r="IP39" i="1"/>
  <c r="IP72" i="1"/>
  <c r="IP116" i="1"/>
  <c r="IT116" i="1"/>
  <c r="IP29" i="1"/>
  <c r="IY139" i="1"/>
  <c r="IT89" i="1"/>
  <c r="IY89" i="1"/>
  <c r="IT74" i="1"/>
  <c r="IS142" i="1"/>
  <c r="IT39" i="1"/>
  <c r="IY15" i="1"/>
  <c r="IY142" i="1"/>
  <c r="IY116" i="1"/>
  <c r="IY115" i="1"/>
  <c r="IP117" i="1"/>
  <c r="IP89" i="1"/>
  <c r="IP137" i="1"/>
  <c r="IY13" i="1"/>
  <c r="IT123" i="1"/>
  <c r="IT131" i="1"/>
  <c r="IY49" i="1"/>
  <c r="IP25" i="1"/>
  <c r="IP134" i="1"/>
  <c r="IX138" i="1"/>
  <c r="IP60" i="1"/>
  <c r="IT109" i="1"/>
  <c r="IX132" i="1"/>
  <c r="IP142" i="1"/>
  <c r="IY72" i="1"/>
  <c r="IS149" i="1"/>
  <c r="IT134" i="1"/>
  <c r="IT49" i="1"/>
  <c r="IT94" i="1"/>
  <c r="IT68" i="1"/>
  <c r="IT38" i="1"/>
  <c r="IT132" i="1"/>
  <c r="IT52" i="1"/>
  <c r="IP23" i="1"/>
  <c r="IY23" i="1"/>
  <c r="IY74" i="1"/>
  <c r="IT35" i="1"/>
  <c r="IP55" i="1"/>
  <c r="IT47" i="1"/>
  <c r="IP118" i="1"/>
  <c r="IY95" i="1"/>
  <c r="IT115" i="1"/>
  <c r="IX136" i="1"/>
  <c r="IP64" i="1"/>
  <c r="IY53" i="1"/>
  <c r="IY81" i="1"/>
  <c r="IP32" i="1"/>
  <c r="IT81" i="1"/>
  <c r="IP34" i="1"/>
  <c r="IT32" i="1"/>
  <c r="IY42" i="1"/>
  <c r="IP138" i="1"/>
  <c r="IT138" i="1"/>
  <c r="IP81" i="1"/>
  <c r="IT72" i="1"/>
  <c r="IY25" i="1"/>
  <c r="IT60" i="1"/>
  <c r="IP115" i="1"/>
  <c r="IT67" i="1"/>
  <c r="IT64" i="1"/>
  <c r="IP15" i="1"/>
  <c r="IY109" i="1"/>
  <c r="IY65" i="1"/>
  <c r="IT122" i="1"/>
  <c r="IP119" i="1"/>
  <c r="IP13" i="1"/>
  <c r="IY149" i="1"/>
  <c r="IX147" i="1"/>
  <c r="IP95" i="1"/>
  <c r="IT25" i="1"/>
  <c r="IY97" i="1"/>
  <c r="IT125" i="1"/>
  <c r="IY125" i="1"/>
  <c r="IT80" i="1"/>
  <c r="IY103" i="1"/>
  <c r="IP31" i="1"/>
  <c r="IP103" i="1"/>
  <c r="IT31" i="1"/>
  <c r="IY90" i="1"/>
  <c r="IP14" i="1"/>
  <c r="IP22" i="1"/>
  <c r="IY39" i="1"/>
  <c r="IP149" i="1"/>
  <c r="IS144" i="1"/>
  <c r="IY118" i="1"/>
  <c r="IT82" i="1"/>
  <c r="IT95" i="1"/>
  <c r="IP75" i="1"/>
  <c r="IY26" i="1"/>
  <c r="HF147" i="1"/>
  <c r="IX146" i="1"/>
  <c r="IS146" i="1"/>
  <c r="IY12" i="1"/>
  <c r="IT144" i="1"/>
  <c r="IP145" i="1"/>
  <c r="IP139" i="1"/>
  <c r="IT18" i="1"/>
  <c r="IP144" i="1"/>
  <c r="FL149" i="1"/>
  <c r="IP150" i="1"/>
  <c r="IT20" i="1"/>
  <c r="IT24" i="1"/>
  <c r="IP50" i="1"/>
  <c r="IP121" i="1"/>
  <c r="IP27" i="1"/>
  <c r="IS148" i="1"/>
  <c r="IT33" i="1"/>
  <c r="IP112" i="1"/>
  <c r="IP147" i="1"/>
  <c r="IY138" i="1"/>
  <c r="IT28" i="1"/>
  <c r="EX147" i="1"/>
  <c r="IP58" i="1"/>
  <c r="IY41" i="1"/>
  <c r="IP11" i="1"/>
  <c r="BR147" i="1"/>
  <c r="EC147" i="1"/>
  <c r="HC147" i="1"/>
  <c r="EI147" i="1"/>
  <c r="IY150" i="1"/>
  <c r="IT12" i="1"/>
  <c r="IT16" i="1"/>
  <c r="IP122" i="1"/>
  <c r="IT26" i="1"/>
  <c r="IY144" i="1"/>
  <c r="IY145" i="1"/>
  <c r="IP146" i="1"/>
  <c r="IT93" i="1"/>
  <c r="IY122" i="1"/>
  <c r="IS147" i="1"/>
  <c r="IP26" i="1"/>
  <c r="HI148" i="1"/>
  <c r="CW149" i="1"/>
  <c r="EV149" i="1"/>
  <c r="IT57" i="1"/>
  <c r="IT119" i="1"/>
  <c r="DI149" i="1"/>
  <c r="DM149" i="1"/>
  <c r="DY149" i="1"/>
  <c r="IY119" i="1"/>
  <c r="IT86" i="1"/>
  <c r="BV149" i="1"/>
  <c r="CA149" i="1"/>
  <c r="CL149" i="1"/>
  <c r="DK150" i="1"/>
  <c r="IP86" i="1"/>
  <c r="IP53" i="1"/>
  <c r="IP37" i="1"/>
  <c r="IP85" i="1"/>
  <c r="IT19" i="1"/>
  <c r="IP91" i="1"/>
  <c r="IP108" i="1"/>
  <c r="BK149" i="1"/>
  <c r="GI149" i="1"/>
  <c r="GT149" i="1"/>
  <c r="IY86" i="1"/>
  <c r="IT53" i="1"/>
  <c r="IT96" i="1"/>
  <c r="IY10" i="1"/>
  <c r="IT91" i="1"/>
  <c r="GY149" i="1"/>
  <c r="FW149" i="1"/>
  <c r="IY91" i="1"/>
  <c r="IT111" i="1"/>
  <c r="GG148" i="1"/>
  <c r="BP148" i="1"/>
  <c r="IP127" i="1"/>
  <c r="FO148" i="1"/>
  <c r="FB148" i="1"/>
  <c r="CY148" i="1"/>
  <c r="DP148" i="1"/>
  <c r="ES148" i="1"/>
  <c r="IT17" i="1"/>
  <c r="IY17" i="1"/>
  <c r="IL69" i="1"/>
  <c r="IT69" i="1"/>
  <c r="IY69" i="1"/>
  <c r="IP101" i="1"/>
  <c r="IT101" i="1"/>
  <c r="BO148" i="1"/>
  <c r="CI148" i="1"/>
  <c r="EX148" i="1"/>
  <c r="CL148" i="1"/>
  <c r="GK148" i="1"/>
  <c r="DY148" i="1"/>
  <c r="BM148" i="1"/>
  <c r="FL148" i="1"/>
  <c r="CZ148" i="1"/>
  <c r="GX148" i="1"/>
  <c r="EL148" i="1"/>
  <c r="BZ148" i="1"/>
  <c r="EI148" i="1"/>
  <c r="GA148" i="1"/>
  <c r="DM148" i="1"/>
  <c r="FH148" i="1"/>
  <c r="GM148" i="1"/>
  <c r="DW148" i="1"/>
  <c r="FA148" i="1"/>
  <c r="CU148" i="1"/>
  <c r="EA148" i="1"/>
  <c r="HB148" i="1"/>
  <c r="EP148" i="1"/>
  <c r="CD148" i="1"/>
  <c r="DQ148" i="1"/>
  <c r="BE148" i="1"/>
  <c r="FD148" i="1"/>
  <c r="GP148" i="1"/>
  <c r="ED148" i="1"/>
  <c r="DS148" i="1"/>
  <c r="FK148" i="1"/>
  <c r="ER148" i="1"/>
  <c r="FW148" i="1"/>
  <c r="EK148" i="1"/>
  <c r="EJ148" i="1"/>
  <c r="DZ148" i="1"/>
  <c r="FM148" i="1"/>
  <c r="GC148" i="1"/>
  <c r="CR148" i="1"/>
  <c r="BR148" i="1"/>
  <c r="CW148" i="1"/>
  <c r="DG148" i="1"/>
  <c r="GT148" i="1"/>
  <c r="EH148" i="1"/>
  <c r="BV148" i="1"/>
  <c r="FU148" i="1"/>
  <c r="DI148" i="1"/>
  <c r="HH148" i="1"/>
  <c r="EV148" i="1"/>
  <c r="CJ148" i="1"/>
  <c r="GH148" i="1"/>
  <c r="DV148" i="1"/>
  <c r="BJ148" i="1"/>
  <c r="DC148" i="1"/>
  <c r="HE148" i="1"/>
  <c r="CG148" i="1"/>
  <c r="EB148" i="1"/>
  <c r="FG148" i="1"/>
  <c r="CQ148" i="1"/>
  <c r="DU148" i="1"/>
  <c r="GL148" i="1"/>
  <c r="BN148" i="1"/>
  <c r="GD148" i="1"/>
  <c r="DR148" i="1"/>
  <c r="BF148" i="1"/>
  <c r="FE148" i="1"/>
  <c r="CS148" i="1"/>
  <c r="GR148" i="1"/>
  <c r="EF148" i="1"/>
  <c r="BT148" i="1"/>
  <c r="FR148" i="1"/>
  <c r="DF148" i="1"/>
  <c r="GU148" i="1"/>
  <c r="BW148" i="1"/>
  <c r="FY148" i="1"/>
  <c r="AZ148" i="1"/>
  <c r="CV148" i="1"/>
  <c r="GI148" i="1"/>
  <c r="BK148" i="1"/>
  <c r="CO148" i="1"/>
  <c r="BH148" i="1"/>
  <c r="IL143" i="1"/>
  <c r="IY143" i="1"/>
  <c r="IP143" i="1"/>
  <c r="IT143" i="1"/>
  <c r="IS143" i="1"/>
  <c r="FI148" i="1"/>
  <c r="CK148" i="1"/>
  <c r="FO150" i="1"/>
  <c r="DH150" i="1"/>
  <c r="GF150" i="1"/>
  <c r="EU150" i="1"/>
  <c r="BH150" i="1"/>
  <c r="IL88" i="1"/>
  <c r="IT88" i="1"/>
  <c r="IT128" i="1"/>
  <c r="IY128" i="1"/>
  <c r="IP105" i="1"/>
  <c r="IY105" i="1"/>
  <c r="IL141" i="1"/>
  <c r="IS141" i="1"/>
  <c r="IP141" i="1"/>
  <c r="IT141" i="1"/>
  <c r="IT102" i="1"/>
  <c r="IY102" i="1"/>
  <c r="GW148" i="1"/>
  <c r="CF148" i="1"/>
  <c r="FJ148" i="1"/>
  <c r="CT148" i="1"/>
  <c r="BT149" i="1"/>
  <c r="DL148" i="1"/>
  <c r="FZ148" i="1"/>
  <c r="DA148" i="1"/>
  <c r="DB148" i="1"/>
  <c r="DO149" i="1"/>
  <c r="FM149" i="1"/>
  <c r="FX148" i="1"/>
  <c r="EG148" i="1"/>
  <c r="IP104" i="1"/>
  <c r="IP110" i="1"/>
  <c r="IY140" i="1"/>
  <c r="IL130" i="1"/>
  <c r="IY130" i="1"/>
  <c r="ES149" i="1"/>
  <c r="DR149" i="1"/>
  <c r="BA148" i="1"/>
  <c r="GZ149" i="1"/>
  <c r="BB148" i="1"/>
  <c r="CH148" i="1"/>
  <c r="DJ148" i="1"/>
  <c r="BI148" i="1"/>
  <c r="GN148" i="1"/>
  <c r="CP148" i="1"/>
  <c r="FF148" i="1"/>
  <c r="IT107" i="1"/>
  <c r="IT110" i="1"/>
  <c r="IP129" i="1"/>
  <c r="IT129" i="1"/>
  <c r="DX148" i="1"/>
  <c r="GP149" i="1"/>
  <c r="CF149" i="1"/>
  <c r="DK149" i="1"/>
  <c r="FV149" i="1"/>
  <c r="DJ149" i="1"/>
  <c r="HI149" i="1"/>
  <c r="EW149" i="1"/>
  <c r="CK149" i="1"/>
  <c r="GJ149" i="1"/>
  <c r="DX149" i="1"/>
  <c r="BL149" i="1"/>
  <c r="FK149" i="1"/>
  <c r="CY149" i="1"/>
  <c r="GW149" i="1"/>
  <c r="EK149" i="1"/>
  <c r="BY149" i="1"/>
  <c r="FB149" i="1"/>
  <c r="DC149" i="1"/>
  <c r="DB149" i="1"/>
  <c r="EO149" i="1"/>
  <c r="GB149" i="1"/>
  <c r="BD149" i="1"/>
  <c r="CQ149" i="1"/>
  <c r="EC149" i="1"/>
  <c r="FX149" i="1"/>
  <c r="ED149" i="1"/>
  <c r="FN149" i="1"/>
  <c r="HA149" i="1"/>
  <c r="CC149" i="1"/>
  <c r="DP149" i="1"/>
  <c r="FC149" i="1"/>
  <c r="GO149" i="1"/>
  <c r="BQ149" i="1"/>
  <c r="DV149" i="1"/>
  <c r="EZ149" i="1"/>
  <c r="FF149" i="1"/>
  <c r="CT149" i="1"/>
  <c r="GS149" i="1"/>
  <c r="EG149" i="1"/>
  <c r="BU149" i="1"/>
  <c r="FT149" i="1"/>
  <c r="DH149" i="1"/>
  <c r="HG149" i="1"/>
  <c r="EU149" i="1"/>
  <c r="CI149" i="1"/>
  <c r="GG149" i="1"/>
  <c r="DU149" i="1"/>
  <c r="BI149" i="1"/>
  <c r="GU149" i="1"/>
  <c r="CU149" i="1"/>
  <c r="FO149" i="1"/>
  <c r="HB149" i="1"/>
  <c r="EP149" i="1"/>
  <c r="CD149" i="1"/>
  <c r="GC149" i="1"/>
  <c r="DQ149" i="1"/>
  <c r="BE149" i="1"/>
  <c r="FD149" i="1"/>
  <c r="CR149" i="1"/>
  <c r="GQ149" i="1"/>
  <c r="EE149" i="1"/>
  <c r="BS149" i="1"/>
  <c r="FQ149" i="1"/>
  <c r="DE149" i="1"/>
  <c r="BW149" i="1"/>
  <c r="FE149" i="1"/>
  <c r="DZ149" i="1"/>
  <c r="EM148" i="1"/>
  <c r="FT148" i="1"/>
  <c r="CP149" i="1"/>
  <c r="FI149" i="1"/>
  <c r="CJ149" i="1"/>
  <c r="HH149" i="1"/>
  <c r="FU149" i="1"/>
  <c r="EH149" i="1"/>
  <c r="GH149" i="1"/>
  <c r="FC148" i="1"/>
  <c r="HG148" i="1"/>
  <c r="BD148" i="1"/>
  <c r="GB148" i="1"/>
  <c r="EO148" i="1"/>
  <c r="AZ149" i="1"/>
  <c r="FY149" i="1"/>
  <c r="EM149" i="1"/>
  <c r="CZ149" i="1"/>
  <c r="BM149" i="1"/>
  <c r="GK149" i="1"/>
  <c r="EX149" i="1"/>
  <c r="ER149" i="1"/>
  <c r="BY148" i="1"/>
  <c r="FS148" i="1"/>
  <c r="HD148" i="1"/>
  <c r="BG148" i="1"/>
  <c r="CX148" i="1"/>
  <c r="BL148" i="1"/>
  <c r="GJ148" i="1"/>
  <c r="EW148" i="1"/>
  <c r="FN148" i="1"/>
  <c r="IP88" i="1"/>
  <c r="IT130" i="1"/>
  <c r="IY110" i="1"/>
  <c r="IP113" i="1"/>
  <c r="IT113" i="1"/>
  <c r="IY113" i="1"/>
  <c r="GE148" i="1"/>
  <c r="FA149" i="1"/>
  <c r="BR149" i="1"/>
  <c r="HF148" i="1"/>
  <c r="BJ149" i="1"/>
  <c r="DE148" i="1"/>
  <c r="BQ148" i="1"/>
  <c r="DN148" i="1"/>
  <c r="GZ148" i="1"/>
  <c r="FV148" i="1"/>
  <c r="IP130" i="1"/>
  <c r="IY129" i="1"/>
  <c r="EI149" i="1"/>
  <c r="DG149" i="1"/>
  <c r="GR149" i="1"/>
  <c r="CN149" i="1"/>
  <c r="CA148" i="1"/>
  <c r="GO148" i="1"/>
  <c r="EN148" i="1"/>
  <c r="DL149" i="1"/>
  <c r="CB149" i="1"/>
  <c r="HD149" i="1"/>
  <c r="GQ148" i="1"/>
  <c r="CG149" i="1"/>
  <c r="HE149" i="1"/>
  <c r="FS149" i="1"/>
  <c r="EF149" i="1"/>
  <c r="CS149" i="1"/>
  <c r="BF149" i="1"/>
  <c r="GD149" i="1"/>
  <c r="GY148" i="1"/>
  <c r="CM148" i="1"/>
  <c r="CB148" i="1"/>
  <c r="GS148" i="1"/>
  <c r="CO149" i="1"/>
  <c r="BB149" i="1"/>
  <c r="GA149" i="1"/>
  <c r="EN149" i="1"/>
  <c r="DA149" i="1"/>
  <c r="BN149" i="1"/>
  <c r="GL149" i="1"/>
  <c r="EQ148" i="1"/>
  <c r="FQ148" i="1"/>
  <c r="HC148" i="1"/>
  <c r="EC148" i="1"/>
  <c r="EY148" i="1"/>
  <c r="ET148" i="1"/>
  <c r="DH148" i="1"/>
  <c r="BU148" i="1"/>
  <c r="HA148" i="1"/>
  <c r="IT127" i="1"/>
  <c r="IT126" i="1"/>
  <c r="IP17" i="1"/>
  <c r="IY67" i="1"/>
  <c r="IP40" i="1"/>
  <c r="IY51" i="1"/>
  <c r="IX133" i="1"/>
  <c r="IY32" i="1"/>
  <c r="IY98" i="1"/>
  <c r="IT100" i="1"/>
  <c r="IY120" i="1"/>
  <c r="IP98" i="1"/>
  <c r="IP56" i="1"/>
  <c r="IT44" i="1"/>
  <c r="IX130" i="1"/>
  <c r="IY35" i="1"/>
  <c r="IP49" i="1"/>
  <c r="IT98" i="1"/>
  <c r="IT108" i="1"/>
  <c r="IY44" i="1"/>
  <c r="IY63" i="1"/>
  <c r="IL63" i="1"/>
  <c r="IP63" i="1"/>
  <c r="IL46" i="1"/>
  <c r="IT46" i="1"/>
  <c r="IP71" i="1"/>
  <c r="IT71" i="1"/>
  <c r="IL71" i="1"/>
  <c r="IT36" i="1"/>
  <c r="IL36" i="1"/>
  <c r="IT43" i="1"/>
  <c r="IL43" i="1"/>
  <c r="IT150" i="1"/>
  <c r="IT85" i="1"/>
  <c r="IL85" i="1"/>
  <c r="IT104" i="1"/>
  <c r="IL104" i="1"/>
  <c r="IL19" i="1"/>
  <c r="IP19" i="1"/>
  <c r="IL133" i="1"/>
  <c r="IP133" i="1"/>
  <c r="IY133" i="1"/>
  <c r="IL93" i="1"/>
  <c r="IY93" i="1"/>
  <c r="IL101" i="1"/>
  <c r="IY101" i="1"/>
  <c r="IL84" i="1"/>
  <c r="IP84" i="1"/>
  <c r="IY84" i="1"/>
  <c r="IL51" i="1"/>
  <c r="IT51" i="1"/>
  <c r="IL40" i="1"/>
  <c r="IT40" i="1"/>
  <c r="IL111" i="1"/>
  <c r="IP111" i="1"/>
  <c r="IL37" i="1"/>
  <c r="IY37" i="1"/>
  <c r="IL57" i="1"/>
  <c r="IY57" i="1"/>
  <c r="IP80" i="1"/>
  <c r="IL80" i="1"/>
  <c r="IT140" i="1"/>
  <c r="IL140" i="1"/>
  <c r="IL99" i="1"/>
  <c r="IT99" i="1"/>
  <c r="IT50" i="1"/>
  <c r="IY36" i="1"/>
  <c r="IL96" i="1"/>
  <c r="IP96" i="1"/>
  <c r="IL107" i="1"/>
  <c r="IY107" i="1"/>
  <c r="IL128" i="1"/>
  <c r="IP128" i="1"/>
  <c r="IL77" i="1"/>
  <c r="IY77" i="1"/>
  <c r="IT77" i="1"/>
  <c r="IL87" i="1"/>
  <c r="IP87" i="1"/>
  <c r="IT87" i="1"/>
  <c r="IL105" i="1"/>
  <c r="IT105" i="1"/>
  <c r="IL102" i="1"/>
  <c r="IP102" i="1"/>
  <c r="IL33" i="1"/>
  <c r="IP33" i="1"/>
  <c r="IL75" i="1"/>
  <c r="IY75" i="1"/>
  <c r="IL147" i="1"/>
  <c r="IT147" i="1"/>
  <c r="IL41" i="1"/>
  <c r="IT41" i="1"/>
  <c r="IL121" i="1"/>
  <c r="IY121" i="1"/>
  <c r="IL24" i="1"/>
  <c r="IY24" i="1"/>
  <c r="IL112" i="1"/>
  <c r="IT112" i="1"/>
  <c r="IL106" i="1"/>
  <c r="IT106" i="1"/>
  <c r="IP106" i="1"/>
  <c r="IL97" i="1"/>
  <c r="IP97" i="1"/>
  <c r="IL125" i="1"/>
  <c r="IP125" i="1"/>
  <c r="IP148" i="1"/>
  <c r="IY50" i="1"/>
  <c r="IY46" i="1"/>
  <c r="IP62" i="1"/>
  <c r="IY78" i="1"/>
  <c r="JC9" i="1" a="1"/>
  <c r="IP10" i="1"/>
  <c r="IL10" i="1"/>
  <c r="IT10" i="1"/>
  <c r="IP120" i="1"/>
  <c r="IL120" i="1"/>
  <c r="IL34" i="1"/>
  <c r="IY34" i="1"/>
  <c r="IT56" i="1"/>
  <c r="IL56" i="1"/>
  <c r="IY136" i="1"/>
  <c r="IL136" i="1"/>
  <c r="IT136" i="1"/>
  <c r="IT76" i="1"/>
  <c r="IY76" i="1"/>
  <c r="IL76" i="1"/>
  <c r="IT78" i="1"/>
  <c r="IT148" i="1"/>
  <c r="IY71" i="1"/>
  <c r="IP46" i="1"/>
  <c r="IP79" i="1"/>
  <c r="IP66" i="1"/>
  <c r="IP78" i="1"/>
  <c r="IL16" i="1"/>
  <c r="IY16" i="1"/>
  <c r="IL22" i="1"/>
  <c r="IT22" i="1"/>
  <c r="IT61" i="1"/>
  <c r="IL61" i="1"/>
  <c r="IY61" i="1"/>
  <c r="IT146" i="1"/>
  <c r="IL146" i="1"/>
  <c r="IY146" i="1"/>
  <c r="IL145" i="1"/>
  <c r="IS145" i="1"/>
  <c r="IT65" i="1"/>
  <c r="IL65" i="1"/>
  <c r="IL73" i="1"/>
  <c r="IT73" i="1"/>
  <c r="IP73" i="1"/>
  <c r="IL12" i="1"/>
  <c r="IP12" i="1"/>
  <c r="IL82" i="1"/>
  <c r="IP82" i="1"/>
  <c r="IL52" i="1"/>
  <c r="IY52" i="1"/>
  <c r="IL135" i="1"/>
  <c r="IT135" i="1"/>
  <c r="IP135" i="1"/>
  <c r="IL68" i="1"/>
  <c r="IP68" i="1"/>
  <c r="IT13" i="1"/>
  <c r="IL13" i="1"/>
  <c r="IL139" i="1"/>
  <c r="IS139" i="1"/>
  <c r="IT63" i="1"/>
  <c r="IP36" i="1"/>
  <c r="GQ147" i="1"/>
  <c r="IS140" i="1"/>
  <c r="IT79" i="1"/>
  <c r="IP43" i="1"/>
  <c r="IL30" i="1"/>
  <c r="IY30" i="1"/>
  <c r="IP30" i="1"/>
  <c r="IL48" i="1"/>
  <c r="IY48" i="1"/>
  <c r="IP48" i="1"/>
  <c r="IL38" i="1"/>
  <c r="IY38" i="1"/>
  <c r="IP28" i="1"/>
  <c r="IL132" i="1"/>
  <c r="IY132" i="1"/>
  <c r="IL42" i="1"/>
  <c r="IP42" i="1"/>
  <c r="IL54" i="1"/>
  <c r="IT54" i="1"/>
  <c r="IP54" i="1"/>
  <c r="IL123" i="1"/>
  <c r="IY123" i="1"/>
  <c r="IL94" i="1"/>
  <c r="IP94" i="1"/>
  <c r="IP140" i="1"/>
  <c r="IY79" i="1"/>
  <c r="IY43" i="1"/>
  <c r="IP99" i="1"/>
  <c r="IL150" i="1"/>
  <c r="IS150" i="1"/>
  <c r="IL11" i="1"/>
  <c r="IT11" i="1"/>
  <c r="IL58" i="1"/>
  <c r="IT58" i="1"/>
  <c r="IL83" i="1"/>
  <c r="IP83" i="1"/>
  <c r="IY83" i="1"/>
  <c r="IL148" i="1"/>
  <c r="IL27" i="1"/>
  <c r="IT27" i="1"/>
  <c r="IL20" i="1"/>
  <c r="IP20" i="1"/>
  <c r="IL66" i="1"/>
  <c r="IY66" i="1"/>
  <c r="IL62" i="1"/>
  <c r="IT62" i="1"/>
  <c r="IL14" i="1"/>
  <c r="IY14" i="1"/>
  <c r="IL92" i="1"/>
  <c r="IP92" i="1"/>
  <c r="IY92" i="1"/>
  <c r="IY127" i="1"/>
  <c r="IP126" i="1"/>
  <c r="IT118" i="1"/>
  <c r="IT149" i="1"/>
  <c r="IY134" i="1"/>
  <c r="IP69" i="1"/>
  <c r="IP44" i="1"/>
  <c r="IL17" i="1"/>
  <c r="IL127" i="1"/>
  <c r="IL129" i="1"/>
  <c r="IL126" i="1"/>
  <c r="IL113" i="1"/>
  <c r="IY60" i="1"/>
  <c r="IP67" i="1"/>
  <c r="IP90" i="1"/>
  <c r="IY70" i="1"/>
  <c r="IY126" i="1"/>
  <c r="IT117" i="1"/>
  <c r="IT90" i="1"/>
  <c r="IY64" i="1"/>
  <c r="IT15" i="1"/>
  <c r="IY117" i="1"/>
  <c r="IP109" i="1"/>
  <c r="GC147" i="1"/>
  <c r="EL147" i="1"/>
  <c r="DI147" i="1"/>
  <c r="BZ147" i="1"/>
  <c r="BW147" i="1"/>
  <c r="GY147" i="1"/>
  <c r="CJ147" i="1"/>
  <c r="BH147" i="1"/>
  <c r="EK147" i="1"/>
  <c r="GR147" i="1"/>
  <c r="DT147" i="1"/>
  <c r="DM150" i="1"/>
  <c r="GV150" i="1"/>
  <c r="GJ150" i="1"/>
  <c r="FY150" i="1"/>
  <c r="CH150" i="1"/>
  <c r="CS150" i="1"/>
  <c r="GE150" i="1"/>
  <c r="FB150" i="1"/>
  <c r="FM150" i="1"/>
  <c r="CO150" i="1"/>
  <c r="BK150" i="1"/>
  <c r="BV150" i="1"/>
  <c r="EA150" i="1"/>
  <c r="EE150" i="1"/>
  <c r="EP150" i="1"/>
  <c r="GW150" i="1"/>
  <c r="DT150" i="1"/>
  <c r="GY150" i="1"/>
  <c r="CX150" i="1"/>
  <c r="EF150" i="1"/>
  <c r="FF150" i="1"/>
  <c r="GM150" i="1"/>
  <c r="FR150" i="1"/>
  <c r="DI150" i="1"/>
  <c r="EQ150" i="1"/>
  <c r="HE150" i="1"/>
  <c r="DU150" i="1"/>
  <c r="BQ150" i="1"/>
  <c r="CF150" i="1"/>
  <c r="ER150" i="1"/>
  <c r="HD150" i="1"/>
  <c r="DF150" i="1"/>
  <c r="FZ150" i="1"/>
  <c r="CI150" i="1"/>
  <c r="FK150" i="1"/>
  <c r="BT150" i="1"/>
  <c r="EN150" i="1"/>
  <c r="HH150" i="1"/>
  <c r="DQ150" i="1"/>
  <c r="GK150" i="1"/>
  <c r="CT150" i="1"/>
  <c r="FV150" i="1"/>
  <c r="BX150" i="1"/>
  <c r="CA150" i="1"/>
  <c r="GZ150" i="1"/>
  <c r="CL150" i="1"/>
  <c r="BY150" i="1"/>
  <c r="FW150" i="1"/>
  <c r="BG150" i="1"/>
  <c r="FA150" i="1"/>
  <c r="CW150" i="1"/>
  <c r="CN150" i="1"/>
  <c r="EZ150" i="1"/>
  <c r="BA150" i="1"/>
  <c r="DN150" i="1"/>
  <c r="GH150" i="1"/>
  <c r="CY150" i="1"/>
  <c r="FS150" i="1"/>
  <c r="CB150" i="1"/>
  <c r="EV150" i="1"/>
  <c r="BE150" i="1"/>
  <c r="DY150" i="1"/>
  <c r="GS150" i="1"/>
  <c r="DJ150" i="1"/>
  <c r="GD150" i="1"/>
  <c r="EJ150" i="1"/>
  <c r="BL150" i="1"/>
  <c r="GC150" i="1"/>
  <c r="DE150" i="1"/>
  <c r="HC150" i="1"/>
  <c r="CM150" i="1"/>
  <c r="GG150" i="1"/>
  <c r="EC150" i="1"/>
  <c r="CV150" i="1"/>
  <c r="FH150" i="1"/>
  <c r="BJ150" i="1"/>
  <c r="DV150" i="1"/>
  <c r="GX150" i="1"/>
  <c r="DG150" i="1"/>
  <c r="GA150" i="1"/>
  <c r="CJ150" i="1"/>
  <c r="FD150" i="1"/>
  <c r="BM150" i="1"/>
  <c r="EG150" i="1"/>
  <c r="HI150" i="1"/>
  <c r="DR150" i="1"/>
  <c r="GL150" i="1"/>
  <c r="EK150" i="1"/>
  <c r="AZ150" i="1"/>
  <c r="DS150" i="1"/>
  <c r="BO150" i="1"/>
  <c r="FI150" i="1"/>
  <c r="DD150" i="1"/>
  <c r="FP150" i="1"/>
  <c r="BR150" i="1"/>
  <c r="EL150" i="1"/>
  <c r="HF150" i="1"/>
  <c r="DO150" i="1"/>
  <c r="GI150" i="1"/>
  <c r="CR150" i="1"/>
  <c r="FL150" i="1"/>
  <c r="BU150" i="1"/>
  <c r="EW150" i="1"/>
  <c r="BF150" i="1"/>
  <c r="DZ150" i="1"/>
  <c r="GT150" i="1"/>
  <c r="GU150" i="1"/>
  <c r="BW150" i="1"/>
  <c r="FQ150" i="1"/>
  <c r="CG150" i="1"/>
  <c r="EY150" i="1"/>
  <c r="CU150" i="1"/>
  <c r="GO150" i="1"/>
  <c r="DL150" i="1"/>
  <c r="FX150" i="1"/>
  <c r="BZ150" i="1"/>
  <c r="ET150" i="1"/>
  <c r="BB150" i="1"/>
  <c r="DW150" i="1"/>
  <c r="GQ150" i="1"/>
  <c r="CZ150" i="1"/>
  <c r="FT150" i="1"/>
  <c r="CK150" i="1"/>
  <c r="FE150" i="1"/>
  <c r="BN150" i="1"/>
  <c r="EH150" i="1"/>
  <c r="HB150" i="1"/>
  <c r="CE150" i="1"/>
  <c r="ES150" i="1"/>
  <c r="BI150" i="1"/>
  <c r="FG150" i="1"/>
  <c r="BP150" i="1"/>
  <c r="EB150" i="1"/>
  <c r="GN150" i="1"/>
  <c r="CP150" i="1"/>
  <c r="FJ150" i="1"/>
  <c r="BS150" i="1"/>
  <c r="EM150" i="1"/>
  <c r="HG150" i="1"/>
  <c r="DX150" i="1"/>
  <c r="GR150" i="1"/>
  <c r="DA150" i="1"/>
  <c r="FU150" i="1"/>
  <c r="CD150" i="1"/>
  <c r="EX150" i="1"/>
  <c r="ED150" i="1"/>
  <c r="GP150" i="1"/>
  <c r="CQ150" i="1"/>
  <c r="FC150" i="1"/>
  <c r="BD150" i="1"/>
  <c r="DP150" i="1"/>
  <c r="GB150" i="1"/>
  <c r="CC150" i="1"/>
  <c r="EO150" i="1"/>
  <c r="HA150" i="1"/>
  <c r="DB150" i="1"/>
  <c r="FN150" i="1"/>
  <c r="EI150" i="1"/>
  <c r="CT147" i="1"/>
  <c r="EN147" i="1"/>
  <c r="FM147" i="1"/>
  <c r="EY147" i="1"/>
  <c r="FX147" i="1"/>
  <c r="GP147" i="1"/>
  <c r="DU147" i="1"/>
  <c r="FC147" i="1"/>
  <c r="FS147" i="1"/>
  <c r="EV147" i="1"/>
  <c r="FU147" i="1"/>
  <c r="GU147" i="1"/>
  <c r="GF147" i="1"/>
  <c r="GX147" i="1"/>
  <c r="BN147" i="1"/>
  <c r="BT147" i="1"/>
  <c r="BE147" i="1"/>
  <c r="CE147" i="1"/>
  <c r="DD147" i="1"/>
  <c r="CH147" i="1"/>
  <c r="FK147" i="1"/>
  <c r="CB147" i="1"/>
  <c r="DA147" i="1"/>
  <c r="CM147" i="1"/>
  <c r="DL147" i="1"/>
  <c r="ED147" i="1"/>
  <c r="DE147" i="1"/>
  <c r="CA147" i="1"/>
  <c r="EP147" i="1"/>
  <c r="DO147" i="1"/>
  <c r="EF147" i="1"/>
  <c r="DQ147" i="1"/>
  <c r="EQ147" i="1"/>
  <c r="FP147" i="1"/>
  <c r="ET147" i="1"/>
  <c r="FV147" i="1"/>
  <c r="EB144" i="1"/>
  <c r="CB144" i="1"/>
  <c r="HG144" i="1"/>
  <c r="EM144" i="1"/>
  <c r="EY144" i="1"/>
  <c r="DM146" i="1"/>
  <c r="BD146" i="1"/>
  <c r="BM146" i="1"/>
  <c r="FM146" i="1"/>
  <c r="HG146" i="1"/>
  <c r="GK146" i="1"/>
  <c r="EB146" i="1"/>
  <c r="FT146" i="1"/>
  <c r="EZ146" i="1"/>
  <c r="CO146" i="1"/>
  <c r="DV146" i="1"/>
  <c r="HF146" i="1"/>
  <c r="FO146" i="1"/>
  <c r="CS146" i="1"/>
  <c r="BH146" i="1"/>
  <c r="GF146" i="1"/>
  <c r="ES146" i="1"/>
  <c r="DH146" i="1"/>
  <c r="GE146" i="1"/>
  <c r="FC146" i="1"/>
  <c r="DA146" i="1"/>
  <c r="BP146" i="1"/>
  <c r="GN146" i="1"/>
  <c r="FA146" i="1"/>
  <c r="CU146" i="1"/>
  <c r="EP146" i="1"/>
  <c r="DI146" i="1"/>
  <c r="BX146" i="1"/>
  <c r="GV146" i="1"/>
  <c r="FI146" i="1"/>
  <c r="BV146" i="1"/>
  <c r="DP146" i="1"/>
  <c r="DY146" i="1"/>
  <c r="CN146" i="1"/>
  <c r="AZ146" i="1"/>
  <c r="FY146" i="1"/>
  <c r="BR146" i="1"/>
  <c r="FE146" i="1"/>
  <c r="DT146" i="1"/>
  <c r="CG146" i="1"/>
  <c r="HE146" i="1"/>
  <c r="GT146" i="1"/>
  <c r="FU146" i="1"/>
  <c r="EJ146" i="1"/>
  <c r="CW146" i="1"/>
  <c r="CH146" i="1"/>
  <c r="GH146" i="1"/>
  <c r="CI146" i="1"/>
  <c r="GR146" i="1"/>
  <c r="ED146" i="1"/>
  <c r="BE146" i="1"/>
  <c r="DQ146" i="1"/>
  <c r="GC146" i="1"/>
  <c r="CF146" i="1"/>
  <c r="ER146" i="1"/>
  <c r="HD146" i="1"/>
  <c r="DE146" i="1"/>
  <c r="FQ146" i="1"/>
  <c r="AZ144" i="1"/>
  <c r="BZ144" i="1"/>
  <c r="FG146" i="1"/>
  <c r="BJ146" i="1"/>
  <c r="FS146" i="1"/>
  <c r="HB146" i="1"/>
  <c r="DC146" i="1"/>
  <c r="BU146" i="1"/>
  <c r="EG146" i="1"/>
  <c r="GS146" i="1"/>
  <c r="CV146" i="1"/>
  <c r="FH146" i="1"/>
  <c r="BI146" i="1"/>
  <c r="DU146" i="1"/>
  <c r="GG146" i="1"/>
  <c r="GC144" i="1"/>
  <c r="ET144" i="1"/>
  <c r="EU146" i="1"/>
  <c r="FF146" i="1"/>
  <c r="GP146" i="1"/>
  <c r="CQ146" i="1"/>
  <c r="CC146" i="1"/>
  <c r="EO146" i="1"/>
  <c r="HA146" i="1"/>
  <c r="DD146" i="1"/>
  <c r="FP146" i="1"/>
  <c r="BQ146" i="1"/>
  <c r="EC146" i="1"/>
  <c r="GO146" i="1"/>
  <c r="CS144" i="1"/>
  <c r="DD144" i="1"/>
  <c r="EH146" i="1"/>
  <c r="GB146" i="1"/>
  <c r="CD146" i="1"/>
  <c r="CK146" i="1"/>
  <c r="EW146" i="1"/>
  <c r="HI146" i="1"/>
  <c r="DL146" i="1"/>
  <c r="FX146" i="1"/>
  <c r="BY146" i="1"/>
  <c r="EK146" i="1"/>
  <c r="GW146" i="1"/>
  <c r="GM144" i="1"/>
  <c r="GL144" i="1"/>
  <c r="BW144" i="1"/>
  <c r="FZ144" i="1"/>
  <c r="BS144" i="1"/>
  <c r="BE144" i="1"/>
  <c r="BV144" i="1"/>
  <c r="DC144" i="1"/>
  <c r="DF144" i="1"/>
  <c r="GH144" i="1"/>
  <c r="BD144" i="1"/>
  <c r="CK144" i="1"/>
  <c r="CT144" i="1"/>
  <c r="DK144" i="1"/>
  <c r="EP144" i="1"/>
  <c r="HF144" i="1"/>
  <c r="DH144" i="1"/>
  <c r="DR144" i="1"/>
  <c r="EK144" i="1"/>
  <c r="FW144" i="1"/>
  <c r="GA144" i="1"/>
  <c r="CG144" i="1"/>
  <c r="HI144" i="1"/>
  <c r="DQ144" i="1"/>
  <c r="FC144" i="1"/>
  <c r="FM144" i="1"/>
  <c r="GF144" i="1"/>
  <c r="DN144" i="1"/>
  <c r="EQ144" i="1"/>
  <c r="EN144" i="1"/>
  <c r="ER144" i="1"/>
  <c r="FL144" i="1"/>
  <c r="GW144" i="1"/>
  <c r="HH144" i="1"/>
  <c r="DV144" i="1"/>
  <c r="FG144" i="1"/>
  <c r="BN144" i="1"/>
  <c r="CH144" i="1"/>
  <c r="V141" i="1"/>
  <c r="IX141" i="1"/>
  <c r="AG149" i="1"/>
  <c r="IX148" i="1"/>
  <c r="V148" i="1"/>
  <c r="IX144" i="1"/>
  <c r="V144" i="1"/>
  <c r="IX149" i="1"/>
  <c r="V149" i="1"/>
  <c r="AQ148" i="1"/>
  <c r="IW150" i="1"/>
  <c r="IG150" i="1" s="1"/>
  <c r="AQ150" i="1"/>
  <c r="V140" i="1"/>
  <c r="IX140" i="1"/>
  <c r="IX143" i="1"/>
  <c r="V143" i="1"/>
  <c r="AI148" i="1"/>
  <c r="AM148" i="1"/>
  <c r="IX150" i="1"/>
  <c r="V150" i="1"/>
  <c r="IX142" i="1"/>
  <c r="V142" i="1"/>
  <c r="AI140" i="1"/>
  <c r="AM140" i="1"/>
  <c r="AG146" i="1"/>
  <c r="AM146" i="1"/>
  <c r="AI146" i="1"/>
  <c r="AJ150" i="1"/>
  <c r="AQ149" i="1"/>
  <c r="IW149" i="1"/>
  <c r="IG149" i="1" s="1"/>
  <c r="V145" i="1"/>
  <c r="IX145" i="1"/>
  <c r="IX139" i="1"/>
  <c r="V139" i="1"/>
  <c r="AF150" i="1"/>
  <c r="AD143" i="1"/>
  <c r="AH143" i="1" s="1"/>
  <c r="AC141" i="1"/>
  <c r="AF141" i="1"/>
  <c r="AF139" i="1"/>
  <c r="AC142" i="1"/>
  <c r="AE140" i="1"/>
  <c r="AG140" i="1" s="1"/>
  <c r="Q137" i="1"/>
  <c r="AD140" i="1"/>
  <c r="AH140" i="1" s="1"/>
  <c r="AD149" i="1"/>
  <c r="AH149" i="1" s="1"/>
  <c r="R147" i="1"/>
  <c r="X147" i="1" s="1"/>
  <c r="R143" i="1"/>
  <c r="X143" i="1" s="1"/>
  <c r="AQ141" i="1"/>
  <c r="AE148" i="1"/>
  <c r="AG148" i="1" s="1"/>
  <c r="AC145" i="1"/>
  <c r="R138" i="1"/>
  <c r="X138" i="1" s="1"/>
  <c r="IR149" i="1" s="1"/>
  <c r="R139" i="1"/>
  <c r="X139" i="1" s="1"/>
  <c r="IR150" i="1" s="1"/>
  <c r="R144" i="1"/>
  <c r="X144" i="1" s="1"/>
  <c r="AC150" i="1"/>
  <c r="Q150" i="1"/>
  <c r="AD148" i="1"/>
  <c r="AH148" i="1" s="1"/>
  <c r="GI144" i="1"/>
  <c r="HC144" i="1"/>
  <c r="BL144" i="1"/>
  <c r="DZ144" i="1"/>
  <c r="GU144" i="1"/>
  <c r="DA144" i="1"/>
  <c r="FU144" i="1"/>
  <c r="CD144" i="1"/>
  <c r="EU144" i="1"/>
  <c r="BG144" i="1"/>
  <c r="DT144" i="1"/>
  <c r="GO144" i="1"/>
  <c r="CP144" i="1"/>
  <c r="FH144" i="1"/>
  <c r="ED144" i="1"/>
  <c r="GP144" i="1"/>
  <c r="BK144" i="1"/>
  <c r="FI144" i="1"/>
  <c r="GG144" i="1"/>
  <c r="BT144" i="1"/>
  <c r="EI144" i="1"/>
  <c r="HD144" i="1"/>
  <c r="DI144" i="1"/>
  <c r="GD144" i="1"/>
  <c r="CL144" i="1"/>
  <c r="FD144" i="1"/>
  <c r="BO144" i="1"/>
  <c r="EC144" i="1"/>
  <c r="GY144" i="1"/>
  <c r="CX144" i="1"/>
  <c r="FQ144" i="1"/>
  <c r="EL144" i="1"/>
  <c r="GX144" i="1"/>
  <c r="BQ144" i="1"/>
  <c r="DM144" i="1"/>
  <c r="EH144" i="1"/>
  <c r="CJ144" i="1"/>
  <c r="FA144" i="1"/>
  <c r="BM144" i="1"/>
  <c r="EA144" i="1"/>
  <c r="GV144" i="1"/>
  <c r="DB144" i="1"/>
  <c r="FV144" i="1"/>
  <c r="CE144" i="1"/>
  <c r="EV144" i="1"/>
  <c r="BA144" i="1"/>
  <c r="DO144" i="1"/>
  <c r="GJ144" i="1"/>
  <c r="FB144" i="1"/>
  <c r="FX144" i="1"/>
  <c r="CQ144" i="1"/>
  <c r="DL144" i="1"/>
  <c r="CR144" i="1"/>
  <c r="FK144" i="1"/>
  <c r="BU144" i="1"/>
  <c r="EJ144" i="1"/>
  <c r="HE144" i="1"/>
  <c r="DJ144" i="1"/>
  <c r="GE144" i="1"/>
  <c r="CM144" i="1"/>
  <c r="FE144" i="1"/>
  <c r="BJ144" i="1"/>
  <c r="DX144" i="1"/>
  <c r="GS144" i="1"/>
  <c r="FJ144" i="1"/>
  <c r="EX144" i="1"/>
  <c r="BX144" i="1"/>
  <c r="CO144" i="1"/>
  <c r="CZ144" i="1"/>
  <c r="FT144" i="1"/>
  <c r="CC144" i="1"/>
  <c r="ES144" i="1"/>
  <c r="BF144" i="1"/>
  <c r="DS144" i="1"/>
  <c r="GN144" i="1"/>
  <c r="CU144" i="1"/>
  <c r="FN144" i="1"/>
  <c r="BR144" i="1"/>
  <c r="EG144" i="1"/>
  <c r="HB144" i="1"/>
  <c r="FR144" i="1"/>
  <c r="DY144" i="1"/>
  <c r="GA147" i="1"/>
  <c r="BD147" i="1"/>
  <c r="DP147" i="1"/>
  <c r="GB147" i="1"/>
  <c r="CK147" i="1"/>
  <c r="EW147" i="1"/>
  <c r="BG147" i="1"/>
  <c r="DS147" i="1"/>
  <c r="GE147" i="1"/>
  <c r="CN147" i="1"/>
  <c r="EZ147" i="1"/>
  <c r="BA147" i="1"/>
  <c r="DN147" i="1"/>
  <c r="FZ147" i="1"/>
  <c r="HB147" i="1"/>
  <c r="FY147" i="1"/>
  <c r="BK147" i="1"/>
  <c r="CG147" i="1"/>
  <c r="EE147" i="1"/>
  <c r="FF147" i="1"/>
  <c r="GO147" i="1"/>
  <c r="BL147" i="1"/>
  <c r="DX147" i="1"/>
  <c r="GJ147" i="1"/>
  <c r="CS147" i="1"/>
  <c r="FE147" i="1"/>
  <c r="BO147" i="1"/>
  <c r="EA147" i="1"/>
  <c r="GM147" i="1"/>
  <c r="CV147" i="1"/>
  <c r="FH147" i="1"/>
  <c r="BJ147" i="1"/>
  <c r="DV147" i="1"/>
  <c r="GH147" i="1"/>
  <c r="EU147" i="1"/>
  <c r="BF147" i="1"/>
  <c r="GL147" i="1"/>
  <c r="DB147" i="1"/>
  <c r="CQ147" i="1"/>
  <c r="GZ147" i="1"/>
  <c r="EH147" i="1"/>
  <c r="GG147" i="1"/>
  <c r="FQ147" i="1"/>
  <c r="BY147" i="1"/>
  <c r="DG147" i="1"/>
  <c r="CR147" i="1"/>
  <c r="FD147" i="1"/>
  <c r="BM147" i="1"/>
  <c r="DY147" i="1"/>
  <c r="GK147" i="1"/>
  <c r="CU147" i="1"/>
  <c r="FG147" i="1"/>
  <c r="BP147" i="1"/>
  <c r="EB147" i="1"/>
  <c r="GN147" i="1"/>
  <c r="CP147" i="1"/>
  <c r="FB147" i="1"/>
  <c r="HG147" i="1"/>
  <c r="ES147" i="1"/>
  <c r="FN147" i="1"/>
  <c r="CD147" i="1"/>
  <c r="DZ147" i="1"/>
  <c r="DM147" i="1"/>
  <c r="BS147" i="1"/>
  <c r="BB147" i="1"/>
  <c r="CL147" i="1"/>
  <c r="CZ147" i="1"/>
  <c r="FL147" i="1"/>
  <c r="BU147" i="1"/>
  <c r="EG147" i="1"/>
  <c r="GS147" i="1"/>
  <c r="DC147" i="1"/>
  <c r="FO147" i="1"/>
  <c r="BX147" i="1"/>
  <c r="EJ147" i="1"/>
  <c r="GV147" i="1"/>
  <c r="CX147" i="1"/>
  <c r="FJ147" i="1"/>
  <c r="HA147" i="1"/>
  <c r="DR147" i="1"/>
  <c r="EM147" i="1"/>
  <c r="AZ147" i="1"/>
  <c r="GI147" i="1"/>
  <c r="CY147" i="1"/>
  <c r="CW147" i="1"/>
  <c r="CI147" i="1"/>
  <c r="GW147" i="1"/>
  <c r="BQ147" i="1"/>
  <c r="DH147" i="1"/>
  <c r="FT147" i="1"/>
  <c r="CC147" i="1"/>
  <c r="EO147" i="1"/>
  <c r="HD147" i="1"/>
  <c r="DK147" i="1"/>
  <c r="FW147" i="1"/>
  <c r="CF147" i="1"/>
  <c r="ER147" i="1"/>
  <c r="HH147" i="1"/>
  <c r="DF147" i="1"/>
  <c r="FR147" i="1"/>
  <c r="HI147" i="1"/>
  <c r="CO147" i="1"/>
  <c r="DJ147" i="1"/>
  <c r="FI147" i="1"/>
  <c r="BV147" i="1"/>
  <c r="DW147" i="1"/>
  <c r="EQ149" i="1"/>
  <c r="ET149" i="1"/>
  <c r="CM149" i="1"/>
  <c r="GV149" i="1"/>
  <c r="CX149" i="1"/>
  <c r="FR149" i="1"/>
  <c r="DS149" i="1"/>
  <c r="DR145" i="1"/>
  <c r="CH145" i="1"/>
  <c r="CS145" i="1"/>
  <c r="DV145" i="1"/>
  <c r="FG149" i="1"/>
  <c r="GF149" i="1"/>
  <c r="HF149" i="1"/>
  <c r="BO149" i="1"/>
  <c r="DT149" i="1"/>
  <c r="EY149" i="1"/>
  <c r="GE149" i="1"/>
  <c r="FZ149" i="1"/>
  <c r="HC149" i="1"/>
  <c r="BG149" i="1"/>
  <c r="CH149" i="1"/>
  <c r="DN149" i="1"/>
  <c r="DF149" i="1"/>
  <c r="EL149" i="1"/>
  <c r="GX149" i="1"/>
  <c r="BA149" i="1"/>
  <c r="CE149" i="1"/>
  <c r="BZ149" i="1"/>
  <c r="DD149" i="1"/>
  <c r="FP149" i="1"/>
  <c r="BX149" i="1"/>
  <c r="EJ149" i="1"/>
  <c r="GM149" i="1"/>
  <c r="BP149" i="1"/>
  <c r="EB149" i="1"/>
  <c r="FJ149" i="1"/>
  <c r="CV149" i="1"/>
  <c r="DU144" i="1"/>
  <c r="GT144" i="1"/>
  <c r="DD148" i="1"/>
  <c r="FD146" i="1"/>
  <c r="CN144" i="1"/>
  <c r="CV144" i="1"/>
  <c r="BP144" i="1"/>
  <c r="HA144" i="1"/>
  <c r="EW144" i="1"/>
  <c r="EZ144" i="1"/>
  <c r="GM146" i="1"/>
  <c r="FO145" i="1"/>
  <c r="BF145" i="1"/>
  <c r="GC145" i="1"/>
  <c r="GD145" i="1"/>
  <c r="CQ145" i="1"/>
  <c r="DF145" i="1"/>
  <c r="CG145" i="1"/>
  <c r="FC145" i="1"/>
  <c r="GR145" i="1"/>
  <c r="ES145" i="1"/>
  <c r="DQ145" i="1"/>
  <c r="HE145" i="1"/>
  <c r="CX145" i="1"/>
  <c r="GU145" i="1"/>
  <c r="HG145" i="1"/>
  <c r="EE145" i="1"/>
  <c r="DE144" i="1"/>
  <c r="GK144" i="1"/>
  <c r="FF144" i="1"/>
  <c r="CW144" i="1"/>
  <c r="BI144" i="1"/>
  <c r="CF144" i="1"/>
  <c r="GR144" i="1"/>
  <c r="EF144" i="1"/>
  <c r="EE144" i="1"/>
  <c r="DP144" i="1"/>
  <c r="BH144" i="1"/>
  <c r="FS144" i="1"/>
  <c r="BY144" i="1"/>
  <c r="GB144" i="1"/>
  <c r="GQ144" i="1"/>
  <c r="DW144" i="1"/>
  <c r="CY144" i="1"/>
  <c r="CA144" i="1"/>
  <c r="BB144" i="1"/>
  <c r="FO144" i="1"/>
  <c r="EO144" i="1"/>
  <c r="DG144" i="1"/>
  <c r="CI144" i="1"/>
  <c r="GZ144" i="1"/>
  <c r="FY144" i="1"/>
  <c r="CM146" i="1"/>
  <c r="CE148" i="1"/>
  <c r="EX146" i="1"/>
  <c r="CA146" i="1"/>
  <c r="BA146" i="1"/>
  <c r="EQ146" i="1"/>
  <c r="CE146" i="1"/>
  <c r="DR146" i="1"/>
  <c r="GZ146" i="1"/>
  <c r="DB146" i="1"/>
  <c r="FW146" i="1"/>
  <c r="BS148" i="1"/>
  <c r="BL145" i="1"/>
  <c r="ET145" i="1"/>
  <c r="BX145" i="1"/>
  <c r="FE145" i="1"/>
  <c r="CJ145" i="1"/>
  <c r="FS145" i="1"/>
  <c r="CV145" i="1"/>
  <c r="GF145" i="1"/>
  <c r="CZ145" i="1"/>
  <c r="GK145" i="1"/>
  <c r="DB145" i="1"/>
  <c r="FN145" i="1"/>
  <c r="BQ145" i="1"/>
  <c r="EC145" i="1"/>
  <c r="GO145" i="1"/>
  <c r="HF145" i="1"/>
  <c r="EZ145" i="1"/>
  <c r="CN145" i="1"/>
  <c r="CM145" i="1"/>
  <c r="GZ145" i="1"/>
  <c r="BW145" i="1"/>
  <c r="FD145" i="1"/>
  <c r="CI145" i="1"/>
  <c r="FP145" i="1"/>
  <c r="CU145" i="1"/>
  <c r="GE145" i="1"/>
  <c r="DG145" i="1"/>
  <c r="GS145" i="1"/>
  <c r="DK145" i="1"/>
  <c r="GY145" i="1"/>
  <c r="DJ145" i="1"/>
  <c r="FV145" i="1"/>
  <c r="BY145" i="1"/>
  <c r="EK145" i="1"/>
  <c r="GW145" i="1"/>
  <c r="FJ145" i="1"/>
  <c r="GJ145" i="1"/>
  <c r="DW145" i="1"/>
  <c r="BK145" i="1"/>
  <c r="FM145" i="1"/>
  <c r="GM145" i="1"/>
  <c r="FK145" i="1"/>
  <c r="CR145" i="1"/>
  <c r="GB145" i="1"/>
  <c r="DD145" i="1"/>
  <c r="GQ145" i="1"/>
  <c r="DP145" i="1"/>
  <c r="HD145" i="1"/>
  <c r="EB145" i="1"/>
  <c r="HI145" i="1"/>
  <c r="EF145" i="1"/>
  <c r="BN145" i="1"/>
  <c r="DZ145" i="1"/>
  <c r="GL145" i="1"/>
  <c r="CO145" i="1"/>
  <c r="FA145" i="1"/>
  <c r="FR145" i="1"/>
  <c r="DA145" i="1"/>
  <c r="ED145" i="1"/>
  <c r="BS145" i="1"/>
  <c r="GA145" i="1"/>
  <c r="FU145" i="1"/>
  <c r="DI145" i="1"/>
  <c r="EG145" i="1"/>
  <c r="DC145" i="1"/>
  <c r="GN145" i="1"/>
  <c r="DO145" i="1"/>
  <c r="HC145" i="1"/>
  <c r="EA145" i="1"/>
  <c r="BE145" i="1"/>
  <c r="EM145" i="1"/>
  <c r="BJ145" i="1"/>
  <c r="EQ145" i="1"/>
  <c r="BV145" i="1"/>
  <c r="EH145" i="1"/>
  <c r="GT145" i="1"/>
  <c r="CW145" i="1"/>
  <c r="FI145" i="1"/>
  <c r="FZ145" i="1"/>
  <c r="CB145" i="1"/>
  <c r="CY145" i="1"/>
  <c r="HH145" i="1"/>
  <c r="BR145" i="1"/>
  <c r="DL145" i="1"/>
  <c r="DH145" i="1"/>
  <c r="DN145" i="1"/>
  <c r="HA145" i="1"/>
  <c r="DY145" i="1"/>
  <c r="BD145" i="1"/>
  <c r="EL145" i="1"/>
  <c r="BP145" i="1"/>
  <c r="EW145" i="1"/>
  <c r="BT145" i="1"/>
  <c r="FB145" i="1"/>
  <c r="CD145" i="1"/>
  <c r="EP145" i="1"/>
  <c r="HB145" i="1"/>
  <c r="DE145" i="1"/>
  <c r="FQ145" i="1"/>
  <c r="GH145" i="1"/>
  <c r="BU145" i="1"/>
  <c r="FW145" i="1"/>
  <c r="EO145" i="1"/>
  <c r="GV145" i="1"/>
  <c r="CC145" i="1"/>
  <c r="DX145" i="1"/>
  <c r="BB145" i="1"/>
  <c r="EJ145" i="1"/>
  <c r="BO145" i="1"/>
  <c r="EV145" i="1"/>
  <c r="CA145" i="1"/>
  <c r="FH145" i="1"/>
  <c r="CE145" i="1"/>
  <c r="FL145" i="1"/>
  <c r="CL145" i="1"/>
  <c r="EX145" i="1"/>
  <c r="AZ145" i="1"/>
  <c r="DM145" i="1"/>
  <c r="FY145" i="1"/>
  <c r="GP145" i="1"/>
  <c r="ER145" i="1"/>
  <c r="CF145" i="1"/>
  <c r="BG145" i="1"/>
  <c r="BA145" i="1"/>
  <c r="EI145" i="1"/>
  <c r="BM145" i="1"/>
  <c r="EU145" i="1"/>
  <c r="BZ145" i="1"/>
  <c r="FG145" i="1"/>
  <c r="CK145" i="1"/>
  <c r="FT145" i="1"/>
  <c r="CP145" i="1"/>
  <c r="FX145" i="1"/>
  <c r="CT145" i="1"/>
  <c r="FF145" i="1"/>
  <c r="BI145" i="1"/>
  <c r="DU145" i="1"/>
  <c r="GG145" i="1"/>
  <c r="GX145" i="1"/>
  <c r="GI145" i="1"/>
  <c r="DS145" i="1"/>
  <c r="EY145" i="1"/>
  <c r="DT145" i="1"/>
  <c r="BH149" i="1"/>
  <c r="EA149" i="1"/>
  <c r="FH149" i="1"/>
  <c r="GN149" i="1"/>
  <c r="FN146" i="1"/>
  <c r="BL146" i="1"/>
  <c r="GV148" i="1"/>
  <c r="BG146" i="1"/>
  <c r="BN146" i="1"/>
  <c r="EA146" i="1"/>
  <c r="EF146" i="1"/>
  <c r="CZ146" i="1"/>
  <c r="CL146" i="1"/>
  <c r="BW146" i="1"/>
  <c r="BK146" i="1"/>
  <c r="GY146" i="1"/>
  <c r="GI146" i="1"/>
  <c r="EU148" i="1"/>
  <c r="DO148" i="1"/>
  <c r="CX146" i="1"/>
  <c r="EN146" i="1"/>
  <c r="FR146" i="1"/>
  <c r="EI146" i="1"/>
  <c r="DS146" i="1"/>
  <c r="DF146" i="1"/>
  <c r="CR146" i="1"/>
  <c r="CB146" i="1"/>
  <c r="EZ148" i="1"/>
  <c r="GA146" i="1"/>
  <c r="GJ146" i="1"/>
  <c r="BZ146" i="1"/>
  <c r="GL146" i="1"/>
  <c r="EY146" i="1"/>
  <c r="EL146" i="1"/>
  <c r="DW146" i="1"/>
  <c r="DJ146" i="1"/>
  <c r="CT146" i="1"/>
  <c r="CN148" i="1"/>
  <c r="GX146" i="1"/>
  <c r="CP146" i="1"/>
  <c r="DN146" i="1"/>
  <c r="EV146" i="1"/>
  <c r="BO146" i="1"/>
  <c r="HH146" i="1"/>
  <c r="FV146" i="1"/>
  <c r="FB146" i="1"/>
  <c r="EM146" i="1"/>
  <c r="DZ146" i="1"/>
  <c r="DK146" i="1"/>
  <c r="DT148" i="1"/>
  <c r="FP148" i="1"/>
  <c r="DG146" i="1"/>
  <c r="HC146" i="1"/>
  <c r="CY146" i="1"/>
  <c r="BS146" i="1"/>
  <c r="BB146" i="1"/>
  <c r="GQ146" i="1"/>
  <c r="FZ146" i="1"/>
  <c r="FK146" i="1"/>
  <c r="ET146" i="1"/>
  <c r="EE148" i="1"/>
  <c r="GF148" i="1"/>
  <c r="EE146" i="1"/>
  <c r="DO146" i="1"/>
  <c r="CJ146" i="1"/>
  <c r="BT146" i="1"/>
  <c r="BF146" i="1"/>
  <c r="GU146" i="1"/>
  <c r="GD146" i="1"/>
  <c r="FL146" i="1"/>
  <c r="BX148" i="1"/>
  <c r="DK148" i="1"/>
  <c r="DX146" i="1"/>
  <c r="BH145" i="1"/>
  <c r="GT147" i="1"/>
  <c r="FA147" i="1"/>
  <c r="GD147" i="1"/>
  <c r="BI147" i="1"/>
  <c r="DQ143" i="1"/>
  <c r="FR143" i="1"/>
  <c r="BH131" i="1"/>
  <c r="DZ141" i="1"/>
  <c r="EH141" i="1"/>
  <c r="BF141" i="1"/>
  <c r="DS141" i="1"/>
  <c r="HF141" i="1"/>
  <c r="GB141" i="1"/>
  <c r="BR141" i="1"/>
  <c r="FV141" i="1"/>
  <c r="FN141" i="1"/>
  <c r="EJ141" i="1"/>
  <c r="EE141" i="1"/>
  <c r="ET141" i="1"/>
  <c r="CU141" i="1"/>
  <c r="DC141" i="1"/>
  <c r="GV141" i="1"/>
  <c r="GQ141" i="1"/>
  <c r="GP141" i="1"/>
  <c r="HD141" i="1"/>
  <c r="BE141" i="1"/>
  <c r="CB141" i="1"/>
  <c r="DI141" i="1"/>
  <c r="FO141" i="1"/>
  <c r="CJ141" i="1"/>
  <c r="DD141" i="1"/>
  <c r="EC141" i="1"/>
  <c r="GE141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IW135" i="1" s="1"/>
  <c r="IG135" i="1" s="1"/>
  <c r="AE133" i="1"/>
  <c r="R133" i="1"/>
  <c r="X133" i="1" s="1"/>
  <c r="IW133" i="1" s="1"/>
  <c r="IG133" i="1" s="1"/>
  <c r="Q133" i="1"/>
  <c r="Q132" i="1"/>
  <c r="R131" i="1"/>
  <c r="X131" i="1" s="1"/>
  <c r="IW131" i="1" s="1"/>
  <c r="IG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IW132" i="1" s="1"/>
  <c r="IG132" i="1" s="1"/>
  <c r="Q130" i="1"/>
  <c r="DD130" i="1"/>
  <c r="CI130" i="1"/>
  <c r="DG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CL138" i="1"/>
  <c r="DQ138" i="1"/>
  <c r="GC138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GA142" i="1"/>
  <c r="FU142" i="1"/>
  <c r="EO142" i="1"/>
  <c r="EH139" i="1"/>
  <c r="FV138" i="1"/>
  <c r="FS138" i="1"/>
  <c r="GB138" i="1"/>
  <c r="BQ142" i="1"/>
  <c r="GN142" i="1"/>
  <c r="GF139" i="1"/>
  <c r="EF139" i="1"/>
  <c r="CQ138" i="1"/>
  <c r="DB138" i="1"/>
  <c r="EH138" i="1"/>
  <c r="FA138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DQ142" i="1"/>
  <c r="DK142" i="1"/>
  <c r="FN139" i="1"/>
  <c r="BZ138" i="1"/>
  <c r="FZ138" i="1"/>
  <c r="GP138" i="1"/>
  <c r="DY138" i="1"/>
  <c r="AZ132" i="1"/>
  <c r="GM132" i="1" s="1"/>
  <c r="BD132" i="1"/>
  <c r="DH132" i="1" s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DU136" i="1"/>
  <c r="BL136" i="1"/>
  <c r="BS136" i="1"/>
  <c r="GM136" i="1"/>
  <c r="DP138" i="1"/>
  <c r="GD138" i="1"/>
  <c r="FI138" i="1"/>
  <c r="DE132" i="1"/>
  <c r="BJ136" i="1"/>
  <c r="DO136" i="1"/>
  <c r="CY136" i="1"/>
  <c r="GL138" i="1"/>
  <c r="CH138" i="1"/>
  <c r="CX138" i="1"/>
  <c r="BE138" i="1"/>
  <c r="FN138" i="1"/>
  <c r="BV132" i="1"/>
  <c r="BS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BZ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DF132" i="1"/>
  <c r="BY132" i="1"/>
  <c r="GW132" i="1"/>
  <c r="BH132" i="1"/>
  <c r="CI132" i="1"/>
  <c r="DB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CO132" i="1"/>
  <c r="DG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F132" i="1"/>
  <c r="HI132" i="1"/>
  <c r="GL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DC132" i="1"/>
  <c r="GJ132" i="1"/>
  <c r="GK132" i="1" s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CO130" i="1"/>
  <c r="GJ130" i="1"/>
  <c r="GK130" i="1" s="1"/>
  <c r="GL130" i="1"/>
  <c r="DC130" i="1"/>
  <c r="DB130" i="1"/>
  <c r="DE130" i="1"/>
  <c r="BG130" i="1"/>
  <c r="AZ130" i="1"/>
  <c r="GM130" i="1" s="1"/>
  <c r="BH130" i="1"/>
  <c r="BS130" i="1"/>
  <c r="BD130" i="1"/>
  <c r="DH130" i="1" s="1"/>
  <c r="BW130" i="1"/>
  <c r="BY130" i="1"/>
  <c r="GW130" i="1"/>
  <c r="DF130" i="1"/>
  <c r="HI130" i="1"/>
  <c r="BF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H136" i="1" s="1"/>
  <c r="AF138" i="1"/>
  <c r="AI138" i="1" s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V136" i="1"/>
  <c r="V138" i="1"/>
  <c r="V137" i="1"/>
  <c r="AD137" i="1"/>
  <c r="AH137" i="1" s="1"/>
  <c r="R137" i="1"/>
  <c r="X137" i="1" s="1"/>
  <c r="IR148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IW134" i="1" s="1"/>
  <c r="IG134" i="1" s="1"/>
  <c r="R130" i="1"/>
  <c r="X130" i="1" s="1"/>
  <c r="IW130" i="1" s="1"/>
  <c r="IG130" i="1" s="1"/>
  <c r="AC135" i="1"/>
  <c r="AF131" i="1"/>
  <c r="AE130" i="1"/>
  <c r="ET130" i="1" s="1"/>
  <c r="AC131" i="1"/>
  <c r="AE132" i="1"/>
  <c r="ET132" i="1" s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EU130" i="1" s="1"/>
  <c r="EY130" i="1" s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AC168" i="1"/>
  <c r="AB168" i="1"/>
  <c r="AC167" i="1"/>
  <c r="AB167" i="1"/>
  <c r="AC166" i="1"/>
  <c r="AB166" i="1"/>
  <c r="AC165" i="1"/>
  <c r="AB165" i="1"/>
  <c r="AC164" i="1"/>
  <c r="AB164" i="1"/>
  <c r="AC163" i="1"/>
  <c r="AB163" i="1"/>
  <c r="AC162" i="1"/>
  <c r="AB162" i="1"/>
  <c r="AC161" i="1"/>
  <c r="AB161" i="1"/>
  <c r="BD7" i="1"/>
  <c r="BC7" i="1"/>
  <c r="BE6" i="1"/>
  <c r="BC6" i="1"/>
  <c r="BC4" i="1"/>
  <c r="W4" i="1"/>
  <c r="Y6" i="1"/>
  <c r="X7" i="1"/>
  <c r="W7" i="1"/>
  <c r="W6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X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AB33" i="1"/>
  <c r="M190" i="7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X106" i="1" s="1"/>
  <c r="Z107" i="1"/>
  <c r="N109" i="1"/>
  <c r="AB110" i="1"/>
  <c r="O111" i="1"/>
  <c r="P113" i="1"/>
  <c r="S113" i="1" s="1"/>
  <c r="Y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AB102" i="1"/>
  <c r="AB47" i="1"/>
  <c r="N54" i="1"/>
  <c r="AB23" i="1"/>
  <c r="AV21" i="1"/>
  <c r="DC21" i="1" s="1"/>
  <c r="AV51" i="1"/>
  <c r="HI51" i="1" s="1"/>
  <c r="AV45" i="1"/>
  <c r="AV43" i="1"/>
  <c r="GL43" i="1" s="1"/>
  <c r="AV40" i="1"/>
  <c r="DD40" i="1" s="1"/>
  <c r="AV29" i="1"/>
  <c r="AV27" i="1"/>
  <c r="AV25" i="1"/>
  <c r="BJ25" i="1" s="1"/>
  <c r="AV19" i="1"/>
  <c r="GD19" i="1" s="1"/>
  <c r="AV16" i="1"/>
  <c r="ET16" i="1" s="1"/>
  <c r="AV12" i="1"/>
  <c r="Z29" i="1"/>
  <c r="AV37" i="1"/>
  <c r="DF37" i="1" s="1"/>
  <c r="O59" i="1"/>
  <c r="IW140" i="1" l="1"/>
  <c r="IG140" i="1" s="1"/>
  <c r="IW136" i="1"/>
  <c r="IG136" i="1" s="1"/>
  <c r="EU132" i="1"/>
  <c r="EY132" i="1" s="1"/>
  <c r="ES132" i="1"/>
  <c r="DK130" i="1"/>
  <c r="ES130" i="1"/>
  <c r="FK130" i="1" s="1"/>
  <c r="JC9" i="1"/>
  <c r="JD15" i="1" s="1" a="1"/>
  <c r="JD15" i="1" s="1"/>
  <c r="JD12" i="1" a="1"/>
  <c r="JD12" i="1" s="1"/>
  <c r="DJ132" i="1"/>
  <c r="DI132" i="1"/>
  <c r="DK132" i="1"/>
  <c r="FK132" i="1"/>
  <c r="GV132" i="1"/>
  <c r="GU132" i="1" s="1"/>
  <c r="CD132" i="1"/>
  <c r="BI132" i="1"/>
  <c r="BL132" i="1"/>
  <c r="DI130" i="1"/>
  <c r="GV130" i="1"/>
  <c r="GU130" i="1" s="1"/>
  <c r="DJ130" i="1"/>
  <c r="CD130" i="1"/>
  <c r="BI130" i="1"/>
  <c r="BL130" i="1"/>
  <c r="IR140" i="1"/>
  <c r="IR139" i="1"/>
  <c r="AG147" i="1"/>
  <c r="AM147" i="1"/>
  <c r="AI147" i="1"/>
  <c r="AQ146" i="1"/>
  <c r="AM143" i="1"/>
  <c r="AG145" i="1"/>
  <c r="AM149" i="1"/>
  <c r="AI149" i="1"/>
  <c r="AJ147" i="1"/>
  <c r="AQ142" i="1"/>
  <c r="AJ139" i="1"/>
  <c r="AG142" i="1"/>
  <c r="AI143" i="1"/>
  <c r="AI144" i="1"/>
  <c r="AI145" i="1"/>
  <c r="AM142" i="1"/>
  <c r="AQ145" i="1"/>
  <c r="IR147" i="1"/>
  <c r="AG144" i="1"/>
  <c r="AJ146" i="1"/>
  <c r="IR146" i="1"/>
  <c r="AJ145" i="1"/>
  <c r="IR145" i="1"/>
  <c r="IR144" i="1"/>
  <c r="AJ142" i="1"/>
  <c r="AJ144" i="1"/>
  <c r="AJ143" i="1"/>
  <c r="IR143" i="1"/>
  <c r="AJ141" i="1"/>
  <c r="IR142" i="1"/>
  <c r="IR141" i="1"/>
  <c r="AQ131" i="1"/>
  <c r="AM138" i="1"/>
  <c r="AG137" i="1"/>
  <c r="AJ136" i="1"/>
  <c r="JC23" i="1" a="1"/>
  <c r="JD11" i="1" a="1"/>
  <c r="JD11" i="1" s="1"/>
  <c r="JD10" i="1" a="1"/>
  <c r="JD10" i="1" s="1"/>
  <c r="IX69" i="1"/>
  <c r="IX52" i="1"/>
  <c r="IW139" i="1"/>
  <c r="IG139" i="1" s="1"/>
  <c r="AQ139" i="1"/>
  <c r="AQ137" i="1"/>
  <c r="IW137" i="1"/>
  <c r="IG137" i="1" s="1"/>
  <c r="AQ138" i="1"/>
  <c r="IW138" i="1"/>
  <c r="IG138" i="1" s="1"/>
  <c r="AM141" i="1"/>
  <c r="AI141" i="1"/>
  <c r="AG141" i="1"/>
  <c r="AJ149" i="1"/>
  <c r="AM136" i="1"/>
  <c r="AJ148" i="1"/>
  <c r="AM150" i="1"/>
  <c r="AG150" i="1"/>
  <c r="AI150" i="1"/>
  <c r="IW143" i="1"/>
  <c r="IG143" i="1" s="1"/>
  <c r="AQ143" i="1"/>
  <c r="AJ140" i="1"/>
  <c r="AQ144" i="1"/>
  <c r="IW144" i="1"/>
  <c r="IG144" i="1" s="1"/>
  <c r="IW147" i="1"/>
  <c r="IG147" i="1" s="1"/>
  <c r="AQ147" i="1"/>
  <c r="AI139" i="1"/>
  <c r="AM139" i="1"/>
  <c r="AG139" i="1"/>
  <c r="BZ12" i="1"/>
  <c r="IX111" i="1"/>
  <c r="IX119" i="1"/>
  <c r="IS130" i="1"/>
  <c r="IX121" i="1"/>
  <c r="IX113" i="1"/>
  <c r="R273" i="7"/>
  <c r="R272" i="7"/>
  <c r="S272" i="7"/>
  <c r="S273" i="7"/>
  <c r="T272" i="7"/>
  <c r="T273" i="7"/>
  <c r="IX90" i="1"/>
  <c r="IX81" i="1"/>
  <c r="IX62" i="1"/>
  <c r="IX71" i="1"/>
  <c r="IX36" i="1"/>
  <c r="T245" i="7"/>
  <c r="Q245" i="7"/>
  <c r="R245" i="7"/>
  <c r="O245" i="7"/>
  <c r="S245" i="7"/>
  <c r="P245" i="7"/>
  <c r="IX58" i="1"/>
  <c r="AW152" i="7"/>
  <c r="AF7" i="7"/>
  <c r="AJ135" i="1"/>
  <c r="AJ134" i="1"/>
  <c r="AJ130" i="1"/>
  <c r="AQ134" i="1"/>
  <c r="AQ132" i="1"/>
  <c r="AQ130" i="1"/>
  <c r="AQ133" i="1"/>
  <c r="AQ135" i="1"/>
  <c r="AG132" i="1"/>
  <c r="BK132" i="1" s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BF40" i="1" s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BG21" i="1" s="1"/>
  <c r="P110" i="1"/>
  <c r="S110" i="1" s="1"/>
  <c r="Y110" i="1" s="1"/>
  <c r="IX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AB59" i="1"/>
  <c r="O53" i="1"/>
  <c r="Z47" i="1"/>
  <c r="AB45" i="1"/>
  <c r="O45" i="1"/>
  <c r="BG45" i="1" s="1"/>
  <c r="N38" i="1"/>
  <c r="O38" i="1"/>
  <c r="AB36" i="1"/>
  <c r="AA36" i="1"/>
  <c r="N27" i="1"/>
  <c r="BF27" i="1" s="1"/>
  <c r="BI27" i="1" s="1"/>
  <c r="N15" i="1"/>
  <c r="O12" i="1"/>
  <c r="BG12" i="1" s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N91" i="1"/>
  <c r="Q91" i="1" s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O27" i="1"/>
  <c r="BG27" i="1" s="1"/>
  <c r="Z21" i="1"/>
  <c r="AB19" i="1"/>
  <c r="P19" i="1"/>
  <c r="S19" i="1" s="1"/>
  <c r="Y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P45" i="1"/>
  <c r="S45" i="1" s="1"/>
  <c r="Y45" i="1" s="1"/>
  <c r="N45" i="1"/>
  <c r="BF45" i="1" s="1"/>
  <c r="BI45" i="1" s="1"/>
  <c r="AA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AB15" i="1"/>
  <c r="AB12" i="1"/>
  <c r="N12" i="1"/>
  <c r="BF12" i="1" s="1"/>
  <c r="N11" i="1"/>
  <c r="N18" i="1"/>
  <c r="Z40" i="1"/>
  <c r="Z26" i="1"/>
  <c r="AB38" i="1"/>
  <c r="O62" i="1"/>
  <c r="P94" i="1"/>
  <c r="S94" i="1" s="1"/>
  <c r="Y94" i="1" s="1"/>
  <c r="AA42" i="1"/>
  <c r="AA90" i="1"/>
  <c r="Z90" i="1"/>
  <c r="AA70" i="1"/>
  <c r="N90" i="1"/>
  <c r="AB40" i="1"/>
  <c r="O94" i="1"/>
  <c r="P66" i="1"/>
  <c r="S66" i="1" s="1"/>
  <c r="Y66" i="1" s="1"/>
  <c r="AA86" i="1"/>
  <c r="Z94" i="1"/>
  <c r="Z86" i="1"/>
  <c r="AB42" i="1"/>
  <c r="Z106" i="1"/>
  <c r="N106" i="1"/>
  <c r="P18" i="1"/>
  <c r="S18" i="1" s="1"/>
  <c r="Y18" i="1" s="1"/>
  <c r="AA40" i="1"/>
  <c r="Z98" i="1"/>
  <c r="CI21" i="1"/>
  <c r="O40" i="1"/>
  <c r="BG40" i="1" s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P39" i="1"/>
  <c r="S39" i="1" s="1"/>
  <c r="Y39" i="1" s="1"/>
  <c r="O106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AB39" i="1"/>
  <c r="AA32" i="1"/>
  <c r="O26" i="1"/>
  <c r="AB48" i="1"/>
  <c r="AA30" i="1"/>
  <c r="P54" i="1"/>
  <c r="S54" i="1" s="1"/>
  <c r="Y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O51" i="1"/>
  <c r="AB51" i="1"/>
  <c r="P50" i="1"/>
  <c r="S50" i="1" s="1"/>
  <c r="Y50" i="1" s="1"/>
  <c r="N50" i="1"/>
  <c r="Z50" i="1"/>
  <c r="AB50" i="1"/>
  <c r="O50" i="1"/>
  <c r="AV49" i="1"/>
  <c r="Z48" i="1"/>
  <c r="O48" i="1"/>
  <c r="N48" i="1"/>
  <c r="AB46" i="1"/>
  <c r="Z43" i="1"/>
  <c r="N42" i="1"/>
  <c r="GJ40" i="1"/>
  <c r="GK40" i="1" s="1"/>
  <c r="AA38" i="1"/>
  <c r="P38" i="1"/>
  <c r="S38" i="1" s="1"/>
  <c r="Y38" i="1" s="1"/>
  <c r="AB35" i="1"/>
  <c r="Z35" i="1"/>
  <c r="P35" i="1"/>
  <c r="S35" i="1" s="1"/>
  <c r="Y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AB27" i="1"/>
  <c r="AA27" i="1"/>
  <c r="N26" i="1"/>
  <c r="P26" i="1"/>
  <c r="S26" i="1" s="1"/>
  <c r="Y26" i="1" s="1"/>
  <c r="AB26" i="1"/>
  <c r="AB22" i="1"/>
  <c r="AA22" i="1"/>
  <c r="O22" i="1"/>
  <c r="N22" i="1"/>
  <c r="BD21" i="1"/>
  <c r="DH21" i="1" s="1"/>
  <c r="BY21" i="1"/>
  <c r="BZ21" i="1"/>
  <c r="DF21" i="1"/>
  <c r="DJ21" i="1" s="1"/>
  <c r="GL21" i="1"/>
  <c r="GJ21" i="1"/>
  <c r="GK21" i="1" s="1"/>
  <c r="DD21" i="1"/>
  <c r="BW21" i="1"/>
  <c r="GW21" i="1"/>
  <c r="BV21" i="1"/>
  <c r="DB21" i="1"/>
  <c r="CO21" i="1"/>
  <c r="DE21" i="1"/>
  <c r="BT21" i="1"/>
  <c r="Z18" i="1"/>
  <c r="AB18" i="1"/>
  <c r="O18" i="1"/>
  <c r="P14" i="1"/>
  <c r="S14" i="1" s="1"/>
  <c r="Y14" i="1" s="1"/>
  <c r="IX14" i="1" s="1"/>
  <c r="N14" i="1"/>
  <c r="O14" i="1"/>
  <c r="P12" i="1"/>
  <c r="S12" i="1" s="1"/>
  <c r="Y12" i="1" s="1"/>
  <c r="IX12" i="1" s="1"/>
  <c r="AA12" i="1"/>
  <c r="CO12" i="1"/>
  <c r="DE12" i="1"/>
  <c r="P11" i="1"/>
  <c r="S11" i="1" s="1"/>
  <c r="Y11" i="1" s="1"/>
  <c r="IX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AV92" i="1"/>
  <c r="CS92" i="1" s="1"/>
  <c r="N247" i="7"/>
  <c r="N191" i="7"/>
  <c r="AV36" i="1"/>
  <c r="AV124" i="1"/>
  <c r="N279" i="7"/>
  <c r="N166" i="7"/>
  <c r="AV11" i="1"/>
  <c r="AV68" i="1"/>
  <c r="BM68" i="1" s="1"/>
  <c r="N223" i="7"/>
  <c r="AV108" i="1"/>
  <c r="N263" i="7"/>
  <c r="N199" i="7"/>
  <c r="AV44" i="1"/>
  <c r="AV100" i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N168" i="7"/>
  <c r="AV22" i="1"/>
  <c r="N177" i="7"/>
  <c r="AV38" i="1"/>
  <c r="N193" i="7"/>
  <c r="AV46" i="1"/>
  <c r="N201" i="7"/>
  <c r="AV54" i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N257" i="7"/>
  <c r="AV110" i="1"/>
  <c r="N265" i="7"/>
  <c r="AV118" i="1"/>
  <c r="EO118" i="1" s="1"/>
  <c r="N273" i="7"/>
  <c r="AV126" i="1"/>
  <c r="N281" i="7"/>
  <c r="EY113" i="1"/>
  <c r="FE113" i="1"/>
  <c r="AV112" i="1"/>
  <c r="AV14" i="1"/>
  <c r="N169" i="7"/>
  <c r="AV23" i="1"/>
  <c r="N178" i="7"/>
  <c r="AV31" i="1"/>
  <c r="N186" i="7"/>
  <c r="AV39" i="1"/>
  <c r="N194" i="7"/>
  <c r="N202" i="7"/>
  <c r="AV55" i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N259" i="7"/>
  <c r="AV120" i="1"/>
  <c r="BW120" i="1" s="1"/>
  <c r="N275" i="7"/>
  <c r="AV128" i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N253" i="7"/>
  <c r="AV106" i="1"/>
  <c r="N261" i="7"/>
  <c r="AV114" i="1"/>
  <c r="GM114" i="1" s="1"/>
  <c r="N269" i="7"/>
  <c r="AV122" i="1"/>
  <c r="N277" i="7"/>
  <c r="FW113" i="1"/>
  <c r="AV10" i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O60" i="1"/>
  <c r="GW12" i="1"/>
  <c r="AJ138" i="1"/>
  <c r="AG138" i="1"/>
  <c r="AB92" i="1"/>
  <c r="P85" i="1"/>
  <c r="S85" i="1" s="1"/>
  <c r="Y85" i="1" s="1"/>
  <c r="BS12" i="1"/>
  <c r="AC119" i="1"/>
  <c r="AF119" i="1"/>
  <c r="AI119" i="1" s="1"/>
  <c r="Z125" i="1"/>
  <c r="O125" i="1"/>
  <c r="N117" i="1"/>
  <c r="O117" i="1"/>
  <c r="AB117" i="1"/>
  <c r="Z117" i="1"/>
  <c r="P117" i="1"/>
  <c r="S117" i="1" s="1"/>
  <c r="Y117" i="1" s="1"/>
  <c r="IS128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BF37" i="1" s="1"/>
  <c r="BI37" i="1" s="1"/>
  <c r="M184" i="7"/>
  <c r="O29" i="1"/>
  <c r="BG29" i="1" s="1"/>
  <c r="P29" i="1"/>
  <c r="S29" i="1" s="1"/>
  <c r="Y29" i="1" s="1"/>
  <c r="AB29" i="1"/>
  <c r="AC29" i="1" s="1"/>
  <c r="M176" i="7"/>
  <c r="N21" i="1"/>
  <c r="BF21" i="1" s="1"/>
  <c r="AA21" i="1"/>
  <c r="AB21" i="1"/>
  <c r="Z116" i="1"/>
  <c r="N116" i="1"/>
  <c r="AB116" i="1"/>
  <c r="P116" i="1"/>
  <c r="S116" i="1" s="1"/>
  <c r="Y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AB60" i="1"/>
  <c r="M207" i="7"/>
  <c r="Z52" i="1"/>
  <c r="N52" i="1"/>
  <c r="AB52" i="1"/>
  <c r="M191" i="7"/>
  <c r="N36" i="1"/>
  <c r="R36" i="1" s="1"/>
  <c r="X36" i="1" s="1"/>
  <c r="JO36" i="1" s="1"/>
  <c r="R121" i="1"/>
  <c r="X121" i="1" s="1"/>
  <c r="IW121" i="1" s="1"/>
  <c r="IG121" i="1" s="1"/>
  <c r="AJ137" i="1"/>
  <c r="O42" i="1"/>
  <c r="BV37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JO57" i="1" s="1"/>
  <c r="AB65" i="1"/>
  <c r="BW12" i="1"/>
  <c r="DF12" i="1"/>
  <c r="GJ12" i="1"/>
  <c r="GK12" i="1" s="1"/>
  <c r="GC16" i="1"/>
  <c r="O87" i="1"/>
  <c r="AA57" i="1"/>
  <c r="P65" i="1"/>
  <c r="S65" i="1" s="1"/>
  <c r="Y65" i="1" s="1"/>
  <c r="N79" i="1"/>
  <c r="AA87" i="1"/>
  <c r="O55" i="1"/>
  <c r="BV12" i="1"/>
  <c r="HI12" i="1"/>
  <c r="BD12" i="1"/>
  <c r="DH12" i="1" s="1"/>
  <c r="Z57" i="1"/>
  <c r="AA73" i="1"/>
  <c r="AA79" i="1"/>
  <c r="AA55" i="1"/>
  <c r="AB63" i="1"/>
  <c r="DG12" i="1"/>
  <c r="GL12" i="1"/>
  <c r="AB57" i="1"/>
  <c r="N73" i="1"/>
  <c r="Q73" i="1" s="1"/>
  <c r="P79" i="1"/>
  <c r="S79" i="1" s="1"/>
  <c r="Y79" i="1" s="1"/>
  <c r="AA71" i="1"/>
  <c r="DB12" i="1"/>
  <c r="DC12" i="1"/>
  <c r="O49" i="1"/>
  <c r="AB73" i="1"/>
  <c r="DD12" i="1"/>
  <c r="AZ12" i="1"/>
  <c r="GM12" i="1" s="1"/>
  <c r="BT12" i="1"/>
  <c r="Z39" i="1"/>
  <c r="N86" i="1"/>
  <c r="O84" i="1"/>
  <c r="N84" i="1"/>
  <c r="O83" i="1"/>
  <c r="Z63" i="1"/>
  <c r="Y63" i="1"/>
  <c r="N63" i="1"/>
  <c r="AA63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AB43" i="1"/>
  <c r="BT37" i="1"/>
  <c r="DD37" i="1"/>
  <c r="BS37" i="1"/>
  <c r="CI3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Z25" i="1"/>
  <c r="O25" i="1"/>
  <c r="M172" i="7"/>
  <c r="AA17" i="1"/>
  <c r="P17" i="1"/>
  <c r="S17" i="1" s="1"/>
  <c r="Y17" i="1" s="1"/>
  <c r="O17" i="1"/>
  <c r="N17" i="1"/>
  <c r="Z17" i="1"/>
  <c r="Z56" i="1"/>
  <c r="HH51" i="1"/>
  <c r="EN51" i="1"/>
  <c r="EF51" i="1"/>
  <c r="O78" i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BJ130" i="1" s="1"/>
  <c r="AI130" i="1"/>
  <c r="N129" i="1"/>
  <c r="AB129" i="1"/>
  <c r="AB124" i="1"/>
  <c r="P124" i="1"/>
  <c r="S124" i="1" s="1"/>
  <c r="Y124" i="1" s="1"/>
  <c r="Z124" i="1"/>
  <c r="AA124" i="1"/>
  <c r="O124" i="1"/>
  <c r="V121" i="1"/>
  <c r="V119" i="1"/>
  <c r="AD119" i="1"/>
  <c r="AH119" i="1" s="1"/>
  <c r="AE119" i="1"/>
  <c r="N115" i="1"/>
  <c r="AA114" i="1"/>
  <c r="O114" i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6" i="1"/>
  <c r="V81" i="1"/>
  <c r="V69" i="1"/>
  <c r="V62" i="1"/>
  <c r="V58" i="1"/>
  <c r="AB56" i="1"/>
  <c r="EE51" i="1"/>
  <c r="DZ51" i="1"/>
  <c r="GJ45" i="1"/>
  <c r="GK45" i="1" s="1"/>
  <c r="CK43" i="1"/>
  <c r="CF43" i="1"/>
  <c r="FC43" i="1"/>
  <c r="FN43" i="1"/>
  <c r="HF43" i="1"/>
  <c r="EL43" i="1"/>
  <c r="DL43" i="1"/>
  <c r="EF43" i="1"/>
  <c r="CT43" i="1"/>
  <c r="BW40" i="1"/>
  <c r="GW29" i="1"/>
  <c r="BZ29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HA51" i="1"/>
  <c r="FH51" i="1"/>
  <c r="ER51" i="1"/>
  <c r="EA51" i="1"/>
  <c r="BZ27" i="1"/>
  <c r="DF27" i="1"/>
  <c r="DE27" i="1"/>
  <c r="GL27" i="1"/>
  <c r="HI27" i="1"/>
  <c r="DD27" i="1"/>
  <c r="BY27" i="1"/>
  <c r="BD27" i="1"/>
  <c r="DH27" i="1" s="1"/>
  <c r="DC27" i="1"/>
  <c r="BT27" i="1"/>
  <c r="CI27" i="1"/>
  <c r="GW27" i="1"/>
  <c r="BW27" i="1"/>
  <c r="BV27" i="1"/>
  <c r="GJ27" i="1"/>
  <c r="GK27" i="1" s="1"/>
  <c r="BS27" i="1"/>
  <c r="AZ27" i="1"/>
  <c r="GM27" i="1" s="1"/>
  <c r="EL51" i="1"/>
  <c r="BQ51" i="1"/>
  <c r="DB27" i="1"/>
  <c r="DG27" i="1"/>
  <c r="DA51" i="1"/>
  <c r="CO27" i="1"/>
  <c r="FK51" i="1"/>
  <c r="GA51" i="1"/>
  <c r="HE51" i="1"/>
  <c r="EQ51" i="1"/>
  <c r="DV51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P125" i="1"/>
  <c r="S125" i="1" s="1"/>
  <c r="Y125" i="1" s="1"/>
  <c r="AB125" i="1"/>
  <c r="AA125" i="1"/>
  <c r="M272" i="7"/>
  <c r="M264" i="7"/>
  <c r="P109" i="1"/>
  <c r="S109" i="1" s="1"/>
  <c r="Y109" i="1" s="1"/>
  <c r="IX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AB34" i="1"/>
  <c r="P20" i="1"/>
  <c r="S20" i="1" s="1"/>
  <c r="Y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IX13" i="1" s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BZ45" i="1"/>
  <c r="GW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X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E51" i="1"/>
  <c r="DI51" i="1"/>
  <c r="BW29" i="1"/>
  <c r="BT51" i="1"/>
  <c r="Z120" i="1"/>
  <c r="O120" i="1"/>
  <c r="AB120" i="1"/>
  <c r="AA120" i="1"/>
  <c r="N120" i="1"/>
  <c r="P112" i="1"/>
  <c r="S112" i="1" s="1"/>
  <c r="Y112" i="1" s="1"/>
  <c r="IS121" i="1" s="1"/>
  <c r="Z112" i="1"/>
  <c r="AA112" i="1"/>
  <c r="N112" i="1"/>
  <c r="M259" i="7"/>
  <c r="Z104" i="1"/>
  <c r="N104" i="1"/>
  <c r="P104" i="1"/>
  <c r="S104" i="1" s="1"/>
  <c r="Y104" i="1" s="1"/>
  <c r="AB104" i="1"/>
  <c r="O104" i="1"/>
  <c r="AA104" i="1"/>
  <c r="AB96" i="1"/>
  <c r="P96" i="1"/>
  <c r="S96" i="1" s="1"/>
  <c r="Y96" i="1" s="1"/>
  <c r="AA96" i="1"/>
  <c r="DG51" i="1"/>
  <c r="N127" i="1"/>
  <c r="BZ40" i="1"/>
  <c r="BH40" i="1"/>
  <c r="BY40" i="1"/>
  <c r="DF40" i="1"/>
  <c r="GL40" i="1"/>
  <c r="DC40" i="1"/>
  <c r="AZ40" i="1"/>
  <c r="GM40" i="1" s="1"/>
  <c r="CI40" i="1"/>
  <c r="DE40" i="1"/>
  <c r="BT40" i="1"/>
  <c r="CO40" i="1"/>
  <c r="BV40" i="1"/>
  <c r="BS40" i="1"/>
  <c r="HI40" i="1"/>
  <c r="DB40" i="1"/>
  <c r="DG40" i="1"/>
  <c r="DK40" i="1" s="1"/>
  <c r="BD40" i="1"/>
  <c r="DH40" i="1" s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DH29" i="1" s="1"/>
  <c r="DF29" i="1"/>
  <c r="DG29" i="1"/>
  <c r="DB29" i="1"/>
  <c r="DC29" i="1"/>
  <c r="CO29" i="1"/>
  <c r="GL29" i="1"/>
  <c r="BS29" i="1"/>
  <c r="DD29" i="1"/>
  <c r="DE29" i="1"/>
  <c r="CI29" i="1"/>
  <c r="AZ29" i="1"/>
  <c r="GM29" i="1" s="1"/>
  <c r="BY29" i="1"/>
  <c r="GJ29" i="1"/>
  <c r="GK29" i="1" s="1"/>
  <c r="HI29" i="1"/>
  <c r="BT29" i="1"/>
  <c r="GW40" i="1"/>
  <c r="HI19" i="1"/>
  <c r="CK19" i="1"/>
  <c r="ER19" i="1"/>
  <c r="GR19" i="1"/>
  <c r="GM19" i="1"/>
  <c r="HH19" i="1"/>
  <c r="DT51" i="1"/>
  <c r="BV29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W37" i="1"/>
  <c r="GW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G37" i="1"/>
  <c r="CO37" i="1"/>
  <c r="BY37" i="1"/>
  <c r="FR19" i="1"/>
  <c r="FJ19" i="1"/>
  <c r="FD19" i="1"/>
  <c r="FY19" i="1"/>
  <c r="CL19" i="1"/>
  <c r="BQ19" i="1"/>
  <c r="CI19" i="1"/>
  <c r="DB19" i="1"/>
  <c r="BT45" i="1"/>
  <c r="M220" i="7"/>
  <c r="Z65" i="1"/>
  <c r="M212" i="7"/>
  <c r="HI37" i="1"/>
  <c r="HC19" i="1"/>
  <c r="GP19" i="1"/>
  <c r="FE19" i="1"/>
  <c r="DY19" i="1"/>
  <c r="CM19" i="1"/>
  <c r="CD19" i="1"/>
  <c r="DE19" i="1"/>
  <c r="BY45" i="1"/>
  <c r="BW45" i="1"/>
  <c r="BV45" i="1"/>
  <c r="BD37" i="1"/>
  <c r="DH37" i="1" s="1"/>
  <c r="GJ37" i="1"/>
  <c r="GL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HI45" i="1"/>
  <c r="HI21" i="1"/>
  <c r="CI45" i="1"/>
  <c r="GL45" i="1"/>
  <c r="AZ37" i="1"/>
  <c r="BZ37" i="1"/>
  <c r="DC37" i="1"/>
  <c r="DJ37" i="1" s="1"/>
  <c r="HD19" i="1"/>
  <c r="GC19" i="1"/>
  <c r="FU19" i="1"/>
  <c r="EF19" i="1"/>
  <c r="DL19" i="1"/>
  <c r="CV19" i="1"/>
  <c r="CP19" i="1"/>
  <c r="BU19" i="1"/>
  <c r="BI19" i="1"/>
  <c r="BZ19" i="1"/>
  <c r="DD45" i="1"/>
  <c r="AZ45" i="1"/>
  <c r="BS21" i="1"/>
  <c r="DB45" i="1"/>
  <c r="DG37" i="1"/>
  <c r="GH19" i="1"/>
  <c r="FW19" i="1"/>
  <c r="FG19" i="1"/>
  <c r="EP19" i="1"/>
  <c r="EG19" i="1"/>
  <c r="EB19" i="1"/>
  <c r="CN19" i="1"/>
  <c r="BX19" i="1"/>
  <c r="BF19" i="1"/>
  <c r="BM19" i="1"/>
  <c r="BD45" i="1"/>
  <c r="DH45" i="1" s="1"/>
  <c r="DF45" i="1"/>
  <c r="DE37" i="1"/>
  <c r="FM19" i="1"/>
  <c r="FC19" i="1"/>
  <c r="DX19" i="1"/>
  <c r="DK19" i="1"/>
  <c r="BW19" i="1"/>
  <c r="DC45" i="1"/>
  <c r="DE45" i="1"/>
  <c r="CO45" i="1"/>
  <c r="AZ21" i="1"/>
  <c r="GM21" i="1" s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N61" i="1"/>
  <c r="DA113" i="1"/>
  <c r="CY113" i="1"/>
  <c r="CS113" i="1"/>
  <c r="CE113" i="1"/>
  <c r="BK113" i="1"/>
  <c r="M224" i="7"/>
  <c r="AA69" i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IX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O127" i="1"/>
  <c r="AA127" i="1"/>
  <c r="M267" i="7"/>
  <c r="O112" i="1"/>
  <c r="Z96" i="1"/>
  <c r="O96" i="1"/>
  <c r="N35" i="1"/>
  <c r="P56" i="1"/>
  <c r="S56" i="1" s="1"/>
  <c r="Y56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BF29" i="1" s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Y27" i="1" s="1"/>
  <c r="M279" i="7"/>
  <c r="M230" i="7"/>
  <c r="P75" i="1"/>
  <c r="S75" i="1" s="1"/>
  <c r="Y75" i="1" s="1"/>
  <c r="P83" i="1"/>
  <c r="S83" i="1" s="1"/>
  <c r="Y83" i="1" s="1"/>
  <c r="AA117" i="1"/>
  <c r="P61" i="1"/>
  <c r="S61" i="1" s="1"/>
  <c r="Y61" i="1" s="1"/>
  <c r="N47" i="1"/>
  <c r="P42" i="1"/>
  <c r="S42" i="1" s="1"/>
  <c r="Y42" i="1" s="1"/>
  <c r="P37" i="1"/>
  <c r="S37" i="1" s="1"/>
  <c r="Y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BN132" i="1" l="1"/>
  <c r="BM132" i="1"/>
  <c r="BJ132" i="1"/>
  <c r="BM130" i="1"/>
  <c r="BQ130" i="1" s="1"/>
  <c r="BK130" i="1"/>
  <c r="BN130" i="1"/>
  <c r="JC23" i="1"/>
  <c r="JD29" i="1" s="1" a="1"/>
  <c r="JD29" i="1" s="1"/>
  <c r="JD26" i="1" a="1"/>
  <c r="JD26" i="1" s="1"/>
  <c r="JD9" i="1" a="1"/>
  <c r="JD9" i="1" s="1"/>
  <c r="JD25" i="1" a="1"/>
  <c r="JD25" i="1" s="1"/>
  <c r="JD16" i="1" a="1"/>
  <c r="JD16" i="1" s="1"/>
  <c r="GX130" i="1"/>
  <c r="GX132" i="1"/>
  <c r="DT132" i="1"/>
  <c r="DT130" i="1"/>
  <c r="IS126" i="1"/>
  <c r="IS123" i="1"/>
  <c r="IS14" i="1"/>
  <c r="IS12" i="1"/>
  <c r="IS15" i="1"/>
  <c r="IS9" i="1"/>
  <c r="IS13" i="1"/>
  <c r="IS10" i="1"/>
  <c r="IS11" i="1"/>
  <c r="JO9" i="1"/>
  <c r="IW9" i="1"/>
  <c r="IG9" i="1" s="1"/>
  <c r="IW82" i="1"/>
  <c r="IG82" i="1" s="1"/>
  <c r="JO82" i="1"/>
  <c r="IS119" i="1"/>
  <c r="IX115" i="1"/>
  <c r="IS124" i="1"/>
  <c r="V118" i="1"/>
  <c r="IS127" i="1"/>
  <c r="IX116" i="1"/>
  <c r="IS125" i="1"/>
  <c r="AF129" i="1"/>
  <c r="AM129" i="1" s="1"/>
  <c r="AE102" i="1"/>
  <c r="Q106" i="1"/>
  <c r="IX129" i="1"/>
  <c r="IS138" i="1"/>
  <c r="IX128" i="1"/>
  <c r="IS137" i="1"/>
  <c r="IX127" i="1"/>
  <c r="IS136" i="1"/>
  <c r="Q124" i="1"/>
  <c r="AE123" i="1"/>
  <c r="Q114" i="1"/>
  <c r="IS113" i="1"/>
  <c r="JD24" i="1" a="1"/>
  <c r="JD24" i="1" s="1"/>
  <c r="IX56" i="1"/>
  <c r="IX25" i="1"/>
  <c r="IX83" i="1"/>
  <c r="IX16" i="1"/>
  <c r="IS109" i="1"/>
  <c r="IX26" i="1"/>
  <c r="IX51" i="1"/>
  <c r="IX94" i="1"/>
  <c r="IX64" i="1"/>
  <c r="IX20" i="1"/>
  <c r="V97" i="1"/>
  <c r="IX17" i="1"/>
  <c r="IX60" i="1"/>
  <c r="IX73" i="1"/>
  <c r="IX24" i="1"/>
  <c r="IX34" i="1"/>
  <c r="IX41" i="1"/>
  <c r="IX91" i="1"/>
  <c r="IS87" i="1"/>
  <c r="IX68" i="1"/>
  <c r="IX42" i="1"/>
  <c r="IX27" i="1"/>
  <c r="IX82" i="1"/>
  <c r="V102" i="1"/>
  <c r="IS37" i="1"/>
  <c r="IX32" i="1"/>
  <c r="IS106" i="1"/>
  <c r="IX45" i="1"/>
  <c r="IX61" i="1"/>
  <c r="IX95" i="1"/>
  <c r="IS75" i="1"/>
  <c r="IS110" i="1"/>
  <c r="IX38" i="1"/>
  <c r="IX43" i="1"/>
  <c r="IX59" i="1"/>
  <c r="IX92" i="1"/>
  <c r="IS107" i="1"/>
  <c r="AD102" i="1"/>
  <c r="AH102" i="1" s="1"/>
  <c r="AC102" i="1"/>
  <c r="AF102" i="1"/>
  <c r="AI102" i="1" s="1"/>
  <c r="IS56" i="1"/>
  <c r="IS73" i="1"/>
  <c r="IS74" i="1"/>
  <c r="R91" i="1"/>
  <c r="X91" i="1" s="1"/>
  <c r="AQ91" i="1" s="1"/>
  <c r="IS38" i="1"/>
  <c r="IS132" i="1"/>
  <c r="IX123" i="1"/>
  <c r="IS82" i="1"/>
  <c r="IX74" i="1"/>
  <c r="IS134" i="1"/>
  <c r="IX125" i="1"/>
  <c r="AG119" i="1"/>
  <c r="R124" i="1"/>
  <c r="X124" i="1" s="1"/>
  <c r="IW124" i="1" s="1"/>
  <c r="IG124" i="1" s="1"/>
  <c r="AM119" i="1"/>
  <c r="IS133" i="1"/>
  <c r="IX124" i="1"/>
  <c r="IS135" i="1"/>
  <c r="IX126" i="1"/>
  <c r="GV12" i="1"/>
  <c r="GX12" i="1" s="1"/>
  <c r="DB9" i="1"/>
  <c r="BH12" i="1"/>
  <c r="BH45" i="1"/>
  <c r="BH29" i="1"/>
  <c r="DI40" i="1"/>
  <c r="DK21" i="1"/>
  <c r="BI29" i="1"/>
  <c r="BH27" i="1"/>
  <c r="BH37" i="1"/>
  <c r="BH21" i="1"/>
  <c r="DJ45" i="1"/>
  <c r="DI12" i="1"/>
  <c r="BS14" i="1"/>
  <c r="GV45" i="1"/>
  <c r="GU45" i="1" s="1"/>
  <c r="CD29" i="1"/>
  <c r="GV37" i="1"/>
  <c r="GX37" i="1" s="1"/>
  <c r="DI27" i="1"/>
  <c r="DK45" i="1"/>
  <c r="DJ40" i="1"/>
  <c r="GV40" i="1"/>
  <c r="GX40" i="1" s="1"/>
  <c r="DK12" i="1"/>
  <c r="BI12" i="1"/>
  <c r="DK27" i="1"/>
  <c r="DI21" i="1"/>
  <c r="CD12" i="1"/>
  <c r="CD45" i="1"/>
  <c r="DK29" i="1"/>
  <c r="GV27" i="1"/>
  <c r="GU27" i="1" s="1"/>
  <c r="CD40" i="1"/>
  <c r="DK37" i="1"/>
  <c r="DI45" i="1"/>
  <c r="CD37" i="1"/>
  <c r="DJ12" i="1"/>
  <c r="DI37" i="1"/>
  <c r="DI29" i="1"/>
  <c r="DJ29" i="1"/>
  <c r="GV29" i="1"/>
  <c r="GU29" i="1" s="1"/>
  <c r="DJ27" i="1"/>
  <c r="GV21" i="1"/>
  <c r="GU21" i="1" s="1"/>
  <c r="CD21" i="1"/>
  <c r="GM45" i="1"/>
  <c r="GM37" i="1"/>
  <c r="BI40" i="1"/>
  <c r="CD27" i="1"/>
  <c r="GK37" i="1"/>
  <c r="BI21" i="1"/>
  <c r="Q62" i="1"/>
  <c r="IS131" i="1"/>
  <c r="IX122" i="1"/>
  <c r="IX75" i="1"/>
  <c r="IS83" i="1"/>
  <c r="IX112" i="1"/>
  <c r="IS120" i="1"/>
  <c r="IS129" i="1"/>
  <c r="IX120" i="1"/>
  <c r="IX114" i="1"/>
  <c r="IS122" i="1"/>
  <c r="AE69" i="1"/>
  <c r="IX76" i="1"/>
  <c r="IS84" i="1"/>
  <c r="IS93" i="1"/>
  <c r="IX84" i="1"/>
  <c r="J9" i="7" a="1"/>
  <c r="J9" i="7" s="1"/>
  <c r="IS114" i="1"/>
  <c r="IS91" i="1"/>
  <c r="IS92" i="1"/>
  <c r="R127" i="1"/>
  <c r="X127" i="1" s="1"/>
  <c r="IR136" i="1" s="1"/>
  <c r="R125" i="1"/>
  <c r="X125" i="1" s="1"/>
  <c r="IW125" i="1" s="1"/>
  <c r="IG125" i="1" s="1"/>
  <c r="AF86" i="1"/>
  <c r="AM86" i="1" s="1"/>
  <c r="IS115" i="1"/>
  <c r="IX108" i="1"/>
  <c r="IS69" i="1"/>
  <c r="V108" i="1"/>
  <c r="R129" i="1"/>
  <c r="X129" i="1" s="1"/>
  <c r="IR138" i="1" s="1"/>
  <c r="IS31" i="1"/>
  <c r="IS89" i="1"/>
  <c r="IX99" i="1"/>
  <c r="IS108" i="1"/>
  <c r="AQ121" i="1"/>
  <c r="IR130" i="1"/>
  <c r="IS61" i="1"/>
  <c r="IS88" i="1"/>
  <c r="IS99" i="1"/>
  <c r="Y14" i="4"/>
  <c r="AD86" i="1"/>
  <c r="AH86" i="1" s="1"/>
  <c r="IX47" i="1"/>
  <c r="IS55" i="1"/>
  <c r="IS95" i="1"/>
  <c r="IX86" i="1"/>
  <c r="IS112" i="1"/>
  <c r="IX105" i="1"/>
  <c r="IS111" i="1"/>
  <c r="IX104" i="1"/>
  <c r="IS98" i="1"/>
  <c r="IX89" i="1"/>
  <c r="IS97" i="1"/>
  <c r="IX88" i="1"/>
  <c r="IS102" i="1"/>
  <c r="IS90" i="1"/>
  <c r="IW57" i="1"/>
  <c r="IG57" i="1" s="1"/>
  <c r="IS94" i="1"/>
  <c r="IX85" i="1"/>
  <c r="IX98" i="1"/>
  <c r="IS105" i="1"/>
  <c r="IX96" i="1"/>
  <c r="IS103" i="1"/>
  <c r="Q78" i="1"/>
  <c r="IX63" i="1"/>
  <c r="IS70" i="1"/>
  <c r="IX97" i="1"/>
  <c r="IS104" i="1"/>
  <c r="IS72" i="1"/>
  <c r="IX57" i="1"/>
  <c r="IX78" i="1"/>
  <c r="IS86" i="1"/>
  <c r="IS76" i="1"/>
  <c r="IX70" i="1"/>
  <c r="IS68" i="1"/>
  <c r="IS57" i="1"/>
  <c r="IX77" i="1"/>
  <c r="IS85" i="1"/>
  <c r="IS96" i="1"/>
  <c r="IX87" i="1"/>
  <c r="Q98" i="1"/>
  <c r="R90" i="1"/>
  <c r="X90" i="1" s="1"/>
  <c r="IW90" i="1" s="1"/>
  <c r="IG90" i="1" s="1"/>
  <c r="IS20" i="1"/>
  <c r="IS77" i="1"/>
  <c r="IS78" i="1"/>
  <c r="IX72" i="1"/>
  <c r="IX35" i="1"/>
  <c r="IS49" i="1"/>
  <c r="IS59" i="1"/>
  <c r="IS71" i="1"/>
  <c r="IS47" i="1"/>
  <c r="IX19" i="1"/>
  <c r="IX49" i="1"/>
  <c r="IS50" i="1"/>
  <c r="IS48" i="1"/>
  <c r="IX37" i="1"/>
  <c r="IW36" i="1"/>
  <c r="IG36" i="1" s="1"/>
  <c r="IS54" i="1"/>
  <c r="IX50" i="1"/>
  <c r="IS64" i="1"/>
  <c r="IX55" i="1"/>
  <c r="IS52" i="1"/>
  <c r="IX48" i="1"/>
  <c r="IS35" i="1"/>
  <c r="IX31" i="1"/>
  <c r="AC25" i="1"/>
  <c r="AC86" i="1"/>
  <c r="Q90" i="1"/>
  <c r="Q96" i="1"/>
  <c r="IS60" i="1"/>
  <c r="Y16" i="4"/>
  <c r="Y15" i="4"/>
  <c r="X14" i="4"/>
  <c r="X15" i="4"/>
  <c r="V15" i="4"/>
  <c r="IX21" i="1"/>
  <c r="IX30" i="1"/>
  <c r="IS46" i="1"/>
  <c r="IS81" i="1"/>
  <c r="IX67" i="1"/>
  <c r="IX33" i="1"/>
  <c r="V93" i="1"/>
  <c r="IX93" i="1"/>
  <c r="IS16" i="1"/>
  <c r="AQ9" i="1"/>
  <c r="IS45" i="1"/>
  <c r="IX29" i="1"/>
  <c r="IX118" i="1"/>
  <c r="IS30" i="1"/>
  <c r="IX80" i="1"/>
  <c r="IS101" i="1"/>
  <c r="IS80" i="1"/>
  <c r="IX66" i="1"/>
  <c r="IS17" i="1"/>
  <c r="IS116" i="1"/>
  <c r="IX100" i="1"/>
  <c r="IS117" i="1"/>
  <c r="IX101" i="1"/>
  <c r="IS41" i="1"/>
  <c r="AQ102" i="1"/>
  <c r="IW102" i="1"/>
  <c r="IG102" i="1" s="1"/>
  <c r="AQ101" i="1"/>
  <c r="IW101" i="1"/>
  <c r="IG101" i="1" s="1"/>
  <c r="IX54" i="1"/>
  <c r="IS63" i="1"/>
  <c r="IS42" i="1"/>
  <c r="IX39" i="1"/>
  <c r="IS36" i="1"/>
  <c r="IS100" i="1"/>
  <c r="IX79" i="1"/>
  <c r="IX22" i="1"/>
  <c r="AQ97" i="1"/>
  <c r="IW97" i="1"/>
  <c r="IG97" i="1" s="1"/>
  <c r="AQ82" i="1"/>
  <c r="IS65" i="1"/>
  <c r="IX44" i="1"/>
  <c r="IS29" i="1"/>
  <c r="IX117" i="1"/>
  <c r="IS118" i="1"/>
  <c r="IX102" i="1"/>
  <c r="IX18" i="1"/>
  <c r="IS27" i="1"/>
  <c r="IS51" i="1"/>
  <c r="IS66" i="1"/>
  <c r="IX28" i="1"/>
  <c r="IS44" i="1"/>
  <c r="IS53" i="1"/>
  <c r="IS58" i="1"/>
  <c r="IX23" i="1"/>
  <c r="IS43" i="1"/>
  <c r="IX40" i="1"/>
  <c r="V65" i="1"/>
  <c r="IS79" i="1"/>
  <c r="IX65" i="1"/>
  <c r="IS67" i="1"/>
  <c r="IX46" i="1"/>
  <c r="AQ111" i="1"/>
  <c r="IW111" i="1"/>
  <c r="IG111" i="1" s="1"/>
  <c r="IX53" i="1"/>
  <c r="IS62" i="1"/>
  <c r="DY118" i="1"/>
  <c r="BP118" i="1"/>
  <c r="DX86" i="1"/>
  <c r="HA86" i="1"/>
  <c r="GF118" i="1"/>
  <c r="Q15" i="1"/>
  <c r="CA58" i="1"/>
  <c r="BD118" i="1"/>
  <c r="FR86" i="1"/>
  <c r="CO13" i="1"/>
  <c r="EP118" i="1"/>
  <c r="CZ118" i="1"/>
  <c r="GB118" i="1"/>
  <c r="AE54" i="1"/>
  <c r="ET54" i="1" s="1"/>
  <c r="Q17" i="1"/>
  <c r="GT70" i="1"/>
  <c r="V11" i="1"/>
  <c r="CM70" i="1"/>
  <c r="CE70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BV111" i="1"/>
  <c r="CT111" i="1"/>
  <c r="AD47" i="1"/>
  <c r="AH47" i="1" s="1"/>
  <c r="BY111" i="1"/>
  <c r="DM111" i="1"/>
  <c r="GN111" i="1"/>
  <c r="DU111" i="1"/>
  <c r="GX111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IR137" i="1" s="1"/>
  <c r="CK123" i="1"/>
  <c r="AF118" i="1"/>
  <c r="AM118" i="1" s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JO45" i="1" s="1"/>
  <c r="R123" i="1"/>
  <c r="X123" i="1" s="1"/>
  <c r="IW123" i="1" s="1"/>
  <c r="IG123" i="1" s="1"/>
  <c r="Q122" i="1"/>
  <c r="AD97" i="1"/>
  <c r="AH97" i="1" s="1"/>
  <c r="Y10" i="1"/>
  <c r="IS34" i="1" s="1"/>
  <c r="Y9" i="1"/>
  <c r="IS32" i="1" s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X40" i="1" s="1"/>
  <c r="JO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Q95" i="1"/>
  <c r="V78" i="1"/>
  <c r="R62" i="1"/>
  <c r="X62" i="1" s="1"/>
  <c r="JO62" i="1" s="1"/>
  <c r="AF54" i="1"/>
  <c r="AI54" i="1" s="1"/>
  <c r="V46" i="1"/>
  <c r="V27" i="1"/>
  <c r="CY82" i="1"/>
  <c r="AZ14" i="1"/>
  <c r="GM14" i="1" s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EO82" i="1"/>
  <c r="DO82" i="1"/>
  <c r="CH82" i="1"/>
  <c r="AF47" i="1"/>
  <c r="AI47" i="1" s="1"/>
  <c r="R95" i="1"/>
  <c r="X95" i="1" s="1"/>
  <c r="AE47" i="1"/>
  <c r="ET47" i="1" s="1"/>
  <c r="R85" i="1"/>
  <c r="X85" i="1" s="1"/>
  <c r="HE82" i="1"/>
  <c r="BU82" i="1"/>
  <c r="BM97" i="1"/>
  <c r="AD75" i="1"/>
  <c r="AH75" i="1" s="1"/>
  <c r="AF97" i="1"/>
  <c r="R75" i="1"/>
  <c r="X75" i="1" s="1"/>
  <c r="JO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JO54" i="1" s="1"/>
  <c r="AE46" i="1"/>
  <c r="ET46" i="1" s="1"/>
  <c r="AF80" i="1"/>
  <c r="AI80" i="1" s="1"/>
  <c r="DN69" i="1"/>
  <c r="DZ69" i="1"/>
  <c r="GQ69" i="1"/>
  <c r="ER69" i="1"/>
  <c r="EZ69" i="1"/>
  <c r="CQ69" i="1"/>
  <c r="CG69" i="1"/>
  <c r="AC15" i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BZ70" i="1"/>
  <c r="EU70" i="1"/>
  <c r="EY70" i="1"/>
  <c r="EW70" i="1"/>
  <c r="DA70" i="1"/>
  <c r="CN70" i="1"/>
  <c r="BI70" i="1"/>
  <c r="HH70" i="1"/>
  <c r="FV70" i="1"/>
  <c r="AZ70" i="1"/>
  <c r="FA70" i="1"/>
  <c r="EZ70" i="1"/>
  <c r="FP70" i="1"/>
  <c r="GJ70" i="1"/>
  <c r="CS70" i="1"/>
  <c r="CX70" i="1"/>
  <c r="DD70" i="1"/>
  <c r="BB70" i="1"/>
  <c r="DI70" i="1"/>
  <c r="BE78" i="1"/>
  <c r="BW102" i="1"/>
  <c r="GY70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AE100" i="1"/>
  <c r="ET100" i="1" s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IW104" i="1" s="1"/>
  <c r="IG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AM95" i="1" s="1"/>
  <c r="GL86" i="1"/>
  <c r="FK86" i="1"/>
  <c r="CY86" i="1"/>
  <c r="AZ86" i="1"/>
  <c r="Q68" i="1"/>
  <c r="V100" i="1"/>
  <c r="R106" i="1"/>
  <c r="X106" i="1" s="1"/>
  <c r="IW106" i="1" s="1"/>
  <c r="IG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AF46" i="1"/>
  <c r="AI46" i="1" s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GM54" i="1" s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BZ86" i="1"/>
  <c r="CI86" i="1"/>
  <c r="BB86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AE112" i="1"/>
  <c r="ET112" i="1" s="1"/>
  <c r="BK86" i="1"/>
  <c r="CL86" i="1"/>
  <c r="EU86" i="1"/>
  <c r="FH53" i="1"/>
  <c r="AF39" i="1"/>
  <c r="AM39" i="1" s="1"/>
  <c r="R65" i="1"/>
  <c r="X65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BZ112" i="1"/>
  <c r="Q111" i="1"/>
  <c r="V110" i="1"/>
  <c r="R110" i="1"/>
  <c r="X110" i="1" s="1"/>
  <c r="ET102" i="1"/>
  <c r="BH102" i="1"/>
  <c r="DF102" i="1"/>
  <c r="BD102" i="1"/>
  <c r="DH102" i="1" s="1"/>
  <c r="BF102" i="1"/>
  <c r="BL102" i="1" s="1"/>
  <c r="DB102" i="1"/>
  <c r="R98" i="1"/>
  <c r="X98" i="1" s="1"/>
  <c r="V91" i="1"/>
  <c r="GA82" i="1"/>
  <c r="EZ82" i="1"/>
  <c r="CT82" i="1"/>
  <c r="DL82" i="1"/>
  <c r="BJ82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V45" i="1"/>
  <c r="CV35" i="1"/>
  <c r="BH60" i="1"/>
  <c r="Q43" i="1"/>
  <c r="BZ13" i="1"/>
  <c r="BS13" i="1"/>
  <c r="DE13" i="1"/>
  <c r="DD13" i="1"/>
  <c r="FX60" i="1"/>
  <c r="CN60" i="1"/>
  <c r="FR60" i="1"/>
  <c r="GK60" i="1"/>
  <c r="GZ60" i="1"/>
  <c r="DD59" i="1"/>
  <c r="DS59" i="1"/>
  <c r="GL54" i="1"/>
  <c r="BF54" i="1"/>
  <c r="BI54" i="1" s="1"/>
  <c r="V55" i="1"/>
  <c r="V44" i="1"/>
  <c r="V37" i="1"/>
  <c r="AD30" i="1"/>
  <c r="AH30" i="1" s="1"/>
  <c r="V28" i="1"/>
  <c r="BH13" i="1"/>
  <c r="V20" i="1"/>
  <c r="DC13" i="1"/>
  <c r="BW13" i="1"/>
  <c r="GL13" i="1"/>
  <c r="ES13" i="1"/>
  <c r="AZ13" i="1"/>
  <c r="GM13" i="1" s="1"/>
  <c r="BD13" i="1"/>
  <c r="DH13" i="1" s="1"/>
  <c r="BF13" i="1"/>
  <c r="DF13" i="1"/>
  <c r="BG13" i="1"/>
  <c r="DB13" i="1"/>
  <c r="CI13" i="1"/>
  <c r="HI13" i="1"/>
  <c r="DG13" i="1"/>
  <c r="GJ13" i="1"/>
  <c r="BY13" i="1"/>
  <c r="BT13" i="1"/>
  <c r="BV13" i="1"/>
  <c r="FL59" i="1"/>
  <c r="CI54" i="1"/>
  <c r="BV54" i="1"/>
  <c r="BZ54" i="1"/>
  <c r="BH54" i="1"/>
  <c r="DF54" i="1"/>
  <c r="BY54" i="1"/>
  <c r="DC54" i="1"/>
  <c r="AD53" i="1"/>
  <c r="AH53" i="1" s="1"/>
  <c r="BB53" i="1"/>
  <c r="BG36" i="1"/>
  <c r="BS36" i="1"/>
  <c r="BV36" i="1"/>
  <c r="GL36" i="1"/>
  <c r="DG36" i="1"/>
  <c r="BH36" i="1"/>
  <c r="BF36" i="1"/>
  <c r="DE36" i="1"/>
  <c r="BD36" i="1"/>
  <c r="R31" i="1"/>
  <c r="X31" i="1" s="1"/>
  <c r="JO31" i="1" s="1"/>
  <c r="AE15" i="1"/>
  <c r="GW13" i="1"/>
  <c r="AD39" i="1"/>
  <c r="AH39" i="1" s="1"/>
  <c r="BG106" i="1"/>
  <c r="CN92" i="1"/>
  <c r="DG92" i="1"/>
  <c r="EH93" i="1"/>
  <c r="CS125" i="1"/>
  <c r="BY93" i="1"/>
  <c r="EF53" i="1"/>
  <c r="EA53" i="1"/>
  <c r="CV129" i="1"/>
  <c r="CM125" i="1"/>
  <c r="BD106" i="1"/>
  <c r="FP74" i="1"/>
  <c r="GM92" i="1"/>
  <c r="FB92" i="1"/>
  <c r="FJ93" i="1"/>
  <c r="CW88" i="1"/>
  <c r="GK92" i="1"/>
  <c r="DX92" i="1"/>
  <c r="DB92" i="1"/>
  <c r="BT89" i="1"/>
  <c r="DK125" i="1"/>
  <c r="BS106" i="1"/>
  <c r="CO106" i="1"/>
  <c r="BL74" i="1"/>
  <c r="GZ92" i="1"/>
  <c r="FZ92" i="1"/>
  <c r="DN92" i="1"/>
  <c r="DQ93" i="1"/>
  <c r="ER125" i="1"/>
  <c r="CS71" i="1"/>
  <c r="CY92" i="1"/>
  <c r="BE92" i="1"/>
  <c r="BM92" i="1"/>
  <c r="CF125" i="1"/>
  <c r="CT125" i="1"/>
  <c r="DB106" i="1"/>
  <c r="EJ74" i="1"/>
  <c r="BT106" i="1"/>
  <c r="GA92" i="1"/>
  <c r="CX92" i="1"/>
  <c r="EH92" i="1"/>
  <c r="GJ106" i="1"/>
  <c r="GK106" i="1" s="1"/>
  <c r="BF106" i="1"/>
  <c r="BI106" i="1" s="1"/>
  <c r="AZ92" i="1"/>
  <c r="CP92" i="1"/>
  <c r="EQ93" i="1"/>
  <c r="DC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BS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DG57" i="1"/>
  <c r="BZ57" i="1"/>
  <c r="BT57" i="1"/>
  <c r="BZ128" i="1"/>
  <c r="BV128" i="1"/>
  <c r="DC128" i="1"/>
  <c r="GJ128" i="1"/>
  <c r="GK128" i="1" s="1"/>
  <c r="BW128" i="1"/>
  <c r="BY128" i="1"/>
  <c r="DD128" i="1"/>
  <c r="CI128" i="1"/>
  <c r="GL128" i="1"/>
  <c r="BT128" i="1"/>
  <c r="HI128" i="1"/>
  <c r="BG128" i="1"/>
  <c r="BF128" i="1"/>
  <c r="BI128" i="1" s="1"/>
  <c r="AZ128" i="1"/>
  <c r="GM128" i="1" s="1"/>
  <c r="DE128" i="1"/>
  <c r="CO128" i="1"/>
  <c r="BS128" i="1"/>
  <c r="DB128" i="1"/>
  <c r="BH128" i="1"/>
  <c r="DG128" i="1"/>
  <c r="BD128" i="1"/>
  <c r="DH128" i="1" s="1"/>
  <c r="GW128" i="1"/>
  <c r="DF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BT56" i="1"/>
  <c r="DG56" i="1"/>
  <c r="BW56" i="1"/>
  <c r="BF56" i="1"/>
  <c r="BI56" i="1" s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BY39" i="1"/>
  <c r="BZ39" i="1"/>
  <c r="CO39" i="1"/>
  <c r="GL39" i="1"/>
  <c r="CI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ET38" i="1" s="1"/>
  <c r="AF38" i="1"/>
  <c r="AM38" i="1" s="1"/>
  <c r="V40" i="1"/>
  <c r="GO129" i="1"/>
  <c r="CI129" i="1"/>
  <c r="CY125" i="1"/>
  <c r="AZ106" i="1"/>
  <c r="GM106" i="1" s="1"/>
  <c r="BY106" i="1"/>
  <c r="BW106" i="1"/>
  <c r="BZ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CM129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CJ129" i="1"/>
  <c r="CQ129" i="1"/>
  <c r="CL125" i="1"/>
  <c r="CP125" i="1"/>
  <c r="FD74" i="1"/>
  <c r="GW106" i="1"/>
  <c r="GL106" i="1"/>
  <c r="DE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HB76" i="1"/>
  <c r="GQ71" i="1"/>
  <c r="CV71" i="1"/>
  <c r="CF76" i="1"/>
  <c r="FB88" i="1"/>
  <c r="HI129" i="1"/>
  <c r="FK89" i="1"/>
  <c r="V12" i="1"/>
  <c r="V31" i="1"/>
  <c r="DF106" i="1"/>
  <c r="DG106" i="1"/>
  <c r="GF74" i="1"/>
  <c r="DQ74" i="1"/>
  <c r="EC74" i="1"/>
  <c r="DZ74" i="1"/>
  <c r="CU125" i="1"/>
  <c r="AE21" i="1"/>
  <c r="DD106" i="1"/>
  <c r="CI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D129" i="1"/>
  <c r="V17" i="1"/>
  <c r="V43" i="1"/>
  <c r="V30" i="1"/>
  <c r="GT129" i="1"/>
  <c r="AZ125" i="1"/>
  <c r="CK125" i="1"/>
  <c r="HI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BF88" i="1"/>
  <c r="DC56" i="1"/>
  <c r="EK88" i="1"/>
  <c r="CY129" i="1"/>
  <c r="V42" i="1"/>
  <c r="CQ125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Z74" i="1"/>
  <c r="CN129" i="1"/>
  <c r="CG125" i="1"/>
  <c r="DA125" i="1"/>
  <c r="HG74" i="1"/>
  <c r="D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FV88" i="1"/>
  <c r="DM88" i="1"/>
  <c r="EQ125" i="1"/>
  <c r="V48" i="1"/>
  <c r="V32" i="1"/>
  <c r="V24" i="1"/>
  <c r="V13" i="1"/>
  <c r="V16" i="1"/>
  <c r="R49" i="1"/>
  <c r="X49" i="1" s="1"/>
  <c r="JO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FE67" i="1"/>
  <c r="CX109" i="1"/>
  <c r="CJ77" i="1"/>
  <c r="HE90" i="1"/>
  <c r="DA90" i="1"/>
  <c r="CK105" i="1"/>
  <c r="Q13" i="1"/>
  <c r="AE22" i="1"/>
  <c r="ET22" i="1" s="1"/>
  <c r="AF21" i="1"/>
  <c r="EU21" i="1" s="1"/>
  <c r="EY21" i="1" s="1"/>
  <c r="CQ77" i="1"/>
  <c r="CG105" i="1"/>
  <c r="HI122" i="1"/>
  <c r="BW122" i="1"/>
  <c r="EG90" i="1"/>
  <c r="BW58" i="1"/>
  <c r="DW109" i="1"/>
  <c r="CP77" i="1"/>
  <c r="R50" i="1"/>
  <c r="X50" i="1" s="1"/>
  <c r="JO50" i="1" s="1"/>
  <c r="CR77" i="1"/>
  <c r="CP105" i="1"/>
  <c r="FH90" i="1"/>
  <c r="DG122" i="1"/>
  <c r="GJ122" i="1"/>
  <c r="GK122" i="1" s="1"/>
  <c r="DO90" i="1"/>
  <c r="HG58" i="1"/>
  <c r="CI109" i="1"/>
  <c r="CK77" i="1"/>
  <c r="CR105" i="1"/>
  <c r="DE122" i="1"/>
  <c r="GI90" i="1"/>
  <c r="CS90" i="1"/>
  <c r="DU77" i="1"/>
  <c r="EH26" i="1"/>
  <c r="GM119" i="1"/>
  <c r="BF109" i="1"/>
  <c r="CL77" i="1"/>
  <c r="AC9" i="1"/>
  <c r="GY90" i="1"/>
  <c r="ER90" i="1"/>
  <c r="BI77" i="1"/>
  <c r="CW26" i="1"/>
  <c r="GV58" i="1"/>
  <c r="CL109" i="1"/>
  <c r="GE58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CI122" i="1"/>
  <c r="FZ90" i="1"/>
  <c r="FZ58" i="1"/>
  <c r="FU109" i="1"/>
  <c r="BP109" i="1"/>
  <c r="FY26" i="1"/>
  <c r="FL67" i="1"/>
  <c r="CD105" i="1"/>
  <c r="CN77" i="1"/>
  <c r="GX105" i="1"/>
  <c r="EY90" i="1"/>
  <c r="CZ58" i="1"/>
  <c r="BU109" i="1"/>
  <c r="EE77" i="1"/>
  <c r="CE109" i="1"/>
  <c r="EJ26" i="1"/>
  <c r="EY67" i="1"/>
  <c r="BP105" i="1"/>
  <c r="AF37" i="1"/>
  <c r="CV109" i="1"/>
  <c r="CG77" i="1"/>
  <c r="BL77" i="1"/>
  <c r="CW105" i="1"/>
  <c r="CX105" i="1"/>
  <c r="HI90" i="1"/>
  <c r="DB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DG33" i="1"/>
  <c r="BF32" i="1"/>
  <c r="DE32" i="1"/>
  <c r="ER87" i="1"/>
  <c r="CK87" i="1"/>
  <c r="GM87" i="1"/>
  <c r="DU87" i="1"/>
  <c r="BB87" i="1"/>
  <c r="EP87" i="1"/>
  <c r="BV87" i="1"/>
  <c r="DK87" i="1"/>
  <c r="DX87" i="1"/>
  <c r="GL124" i="1"/>
  <c r="BS124" i="1"/>
  <c r="AC22" i="1"/>
  <c r="AF22" i="1"/>
  <c r="AM22" i="1" s="1"/>
  <c r="CW77" i="1"/>
  <c r="GV90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DF122" i="1"/>
  <c r="BH122" i="1"/>
  <c r="CZ109" i="1"/>
  <c r="CM77" i="1"/>
  <c r="CZ77" i="1"/>
  <c r="CH105" i="1"/>
  <c r="CN105" i="1"/>
  <c r="GR90" i="1"/>
  <c r="DY58" i="1"/>
  <c r="BZ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K55" i="1" s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BL36" i="1" s="1"/>
  <c r="CT77" i="1"/>
  <c r="CJ109" i="1"/>
  <c r="CO77" i="1"/>
  <c r="CS105" i="1"/>
  <c r="BY122" i="1"/>
  <c r="BD122" i="1"/>
  <c r="DH122" i="1" s="1"/>
  <c r="BF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CX119" i="1"/>
  <c r="CR109" i="1"/>
  <c r="CQ109" i="1"/>
  <c r="CX77" i="1"/>
  <c r="CF77" i="1"/>
  <c r="CY105" i="1"/>
  <c r="CT105" i="1"/>
  <c r="FW90" i="1"/>
  <c r="GL122" i="1"/>
  <c r="DC122" i="1"/>
  <c r="BV122" i="1"/>
  <c r="BG122" i="1"/>
  <c r="BS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DD122" i="1"/>
  <c r="DK122" i="1" s="1"/>
  <c r="AZ122" i="1"/>
  <c r="GM122" i="1" s="1"/>
  <c r="HG90" i="1"/>
  <c r="DU90" i="1"/>
  <c r="FE90" i="1"/>
  <c r="BT90" i="1"/>
  <c r="CE90" i="1"/>
  <c r="AE11" i="1"/>
  <c r="ET11" i="1" s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Q30" i="1"/>
  <c r="AF42" i="1"/>
  <c r="AI42" i="1" s="1"/>
  <c r="AF44" i="1"/>
  <c r="AI44" i="1" s="1"/>
  <c r="Q18" i="1"/>
  <c r="R10" i="1"/>
  <c r="X10" i="1" s="1"/>
  <c r="IW10" i="1" s="1"/>
  <c r="IG10" i="1" s="1"/>
  <c r="EI120" i="1"/>
  <c r="GO62" i="1"/>
  <c r="AC49" i="1"/>
  <c r="DD126" i="1"/>
  <c r="Q33" i="1"/>
  <c r="Q37" i="1"/>
  <c r="AE14" i="1"/>
  <c r="R18" i="1"/>
  <c r="X18" i="1" s="1"/>
  <c r="JO18" i="1" s="1"/>
  <c r="AF36" i="1"/>
  <c r="AM36" i="1" s="1"/>
  <c r="FU121" i="1"/>
  <c r="FQ121" i="1"/>
  <c r="CV121" i="1"/>
  <c r="AE44" i="1"/>
  <c r="CI117" i="1"/>
  <c r="GU121" i="1"/>
  <c r="DJ117" i="1"/>
  <c r="GM121" i="1"/>
  <c r="BF126" i="1"/>
  <c r="BI126" i="1" s="1"/>
  <c r="BO117" i="1"/>
  <c r="AZ126" i="1"/>
  <c r="GM126" i="1" s="1"/>
  <c r="GK120" i="1"/>
  <c r="BI120" i="1"/>
  <c r="AE59" i="1"/>
  <c r="GW98" i="1"/>
  <c r="GB121" i="1"/>
  <c r="BX121" i="1"/>
  <c r="DW121" i="1"/>
  <c r="EP121" i="1"/>
  <c r="FW117" i="1"/>
  <c r="CC117" i="1"/>
  <c r="DG120" i="1"/>
  <c r="GQ120" i="1"/>
  <c r="DB32" i="1"/>
  <c r="AC59" i="1"/>
  <c r="DN72" i="1"/>
  <c r="BD121" i="1"/>
  <c r="FX66" i="1"/>
  <c r="AC44" i="1"/>
  <c r="FL117" i="1"/>
  <c r="BK117" i="1"/>
  <c r="CQ120" i="1"/>
  <c r="CH120" i="1"/>
  <c r="DX121" i="1"/>
  <c r="CW117" i="1"/>
  <c r="FM117" i="1"/>
  <c r="DZ120" i="1"/>
  <c r="FZ127" i="1"/>
  <c r="ET121" i="1"/>
  <c r="ED121" i="1"/>
  <c r="BE121" i="1"/>
  <c r="GF120" i="1"/>
  <c r="GG121" i="1"/>
  <c r="DV121" i="1"/>
  <c r="BF121" i="1"/>
  <c r="AD44" i="1"/>
  <c r="AH44" i="1" s="1"/>
  <c r="AF52" i="1"/>
  <c r="AM52" i="1" s="1"/>
  <c r="EB120" i="1"/>
  <c r="BX120" i="1"/>
  <c r="Q31" i="1"/>
  <c r="AF57" i="1"/>
  <c r="AI57" i="1" s="1"/>
  <c r="GJ121" i="1"/>
  <c r="EP120" i="1"/>
  <c r="GX127" i="1"/>
  <c r="HB121" i="1"/>
  <c r="FE121" i="1"/>
  <c r="CK121" i="1"/>
  <c r="AE36" i="1"/>
  <c r="ET36" i="1" s="1"/>
  <c r="DB126" i="1"/>
  <c r="GS120" i="1"/>
  <c r="R21" i="1"/>
  <c r="X21" i="1" s="1"/>
  <c r="JO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JO53" i="1" s="1"/>
  <c r="HI121" i="1"/>
  <c r="EY121" i="1"/>
  <c r="EH121" i="1"/>
  <c r="CQ121" i="1"/>
  <c r="BV121" i="1"/>
  <c r="CO121" i="1"/>
  <c r="FA85" i="1"/>
  <c r="CT117" i="1"/>
  <c r="GV120" i="1"/>
  <c r="CL117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DH121" i="1"/>
  <c r="DY121" i="1"/>
  <c r="BU121" i="1"/>
  <c r="BP121" i="1"/>
  <c r="AZ117" i="1"/>
  <c r="CU117" i="1"/>
  <c r="GE121" i="1"/>
  <c r="GA66" i="1"/>
  <c r="HG121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BH117" i="1"/>
  <c r="CG117" i="1"/>
  <c r="HI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ET27" i="1" s="1"/>
  <c r="AF27" i="1"/>
  <c r="AC27" i="1"/>
  <c r="AD27" i="1"/>
  <c r="EE121" i="1"/>
  <c r="GO127" i="1"/>
  <c r="CS117" i="1"/>
  <c r="AF40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121" i="1"/>
  <c r="FL121" i="1"/>
  <c r="CJ85" i="1"/>
  <c r="CM117" i="1"/>
  <c r="CY117" i="1"/>
  <c r="CX85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DQ121" i="1"/>
  <c r="FP121" i="1"/>
  <c r="CZ117" i="1"/>
  <c r="CK117" i="1"/>
  <c r="CW127" i="1"/>
  <c r="DE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BZ99" i="1"/>
  <c r="BH99" i="1"/>
  <c r="DD99" i="1"/>
  <c r="GJ99" i="1"/>
  <c r="GK99" i="1" s="1"/>
  <c r="DG99" i="1"/>
  <c r="BY99" i="1"/>
  <c r="C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GK33" i="1" s="1"/>
  <c r="BT33" i="1"/>
  <c r="BZ33" i="1"/>
  <c r="BF33" i="1"/>
  <c r="BI33" i="1" s="1"/>
  <c r="BY33" i="1"/>
  <c r="GL33" i="1"/>
  <c r="CO33" i="1"/>
  <c r="BH33" i="1"/>
  <c r="BV33" i="1"/>
  <c r="AZ33" i="1"/>
  <c r="GM33" i="1" s="1"/>
  <c r="BW33" i="1"/>
  <c r="DD33" i="1"/>
  <c r="DK33" i="1" s="1"/>
  <c r="GW33" i="1"/>
  <c r="DE33" i="1"/>
  <c r="DF33" i="1"/>
  <c r="DB33" i="1"/>
  <c r="DC33" i="1"/>
  <c r="DF104" i="1"/>
  <c r="BG104" i="1"/>
  <c r="CO104" i="1"/>
  <c r="DC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DD32" i="1"/>
  <c r="DC32" i="1"/>
  <c r="BD32" i="1"/>
  <c r="DH32" i="1" s="1"/>
  <c r="GW32" i="1"/>
  <c r="BV32" i="1"/>
  <c r="DF32" i="1"/>
  <c r="BS32" i="1"/>
  <c r="BW32" i="1"/>
  <c r="DG32" i="1"/>
  <c r="BZ32" i="1"/>
  <c r="HI32" i="1"/>
  <c r="BG32" i="1"/>
  <c r="CI32" i="1"/>
  <c r="BT32" i="1"/>
  <c r="CO32" i="1"/>
  <c r="BY32" i="1"/>
  <c r="BH32" i="1"/>
  <c r="AZ32" i="1"/>
  <c r="GM32" i="1" s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BZ55" i="1"/>
  <c r="BV55" i="1"/>
  <c r="DC55" i="1"/>
  <c r="GW55" i="1"/>
  <c r="BH55" i="1"/>
  <c r="DF55" i="1"/>
  <c r="DB55" i="1"/>
  <c r="GL55" i="1"/>
  <c r="BT55" i="1"/>
  <c r="AZ55" i="1"/>
  <c r="GM55" i="1" s="1"/>
  <c r="CI55" i="1"/>
  <c r="BF55" i="1"/>
  <c r="DE55" i="1"/>
  <c r="BD55" i="1"/>
  <c r="DH55" i="1" s="1"/>
  <c r="BW55" i="1"/>
  <c r="BY55" i="1"/>
  <c r="BS55" i="1"/>
  <c r="D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Q59" i="1"/>
  <c r="GL32" i="1"/>
  <c r="DD55" i="1"/>
  <c r="HI55" i="1"/>
  <c r="BS72" i="1"/>
  <c r="DS72" i="1"/>
  <c r="DS73" i="1"/>
  <c r="EU73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B104" i="1"/>
  <c r="AZ104" i="1"/>
  <c r="GM104" i="1" s="1"/>
  <c r="CD119" i="1"/>
  <c r="DZ119" i="1"/>
  <c r="EL119" i="1"/>
  <c r="CO55" i="1"/>
  <c r="BG55" i="1"/>
  <c r="CV72" i="1"/>
  <c r="CJ72" i="1"/>
  <c r="DW73" i="1"/>
  <c r="ES73" i="1"/>
  <c r="BD33" i="1"/>
  <c r="DH33" i="1" s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DK119" i="1"/>
  <c r="EC119" i="1"/>
  <c r="FX119" i="1"/>
  <c r="BS33" i="1"/>
  <c r="BG33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DG104" i="1"/>
  <c r="FS119" i="1"/>
  <c r="DT119" i="1"/>
  <c r="EN119" i="1"/>
  <c r="DW119" i="1"/>
  <c r="GJ32" i="1"/>
  <c r="HI33" i="1"/>
  <c r="CI33" i="1"/>
  <c r="DG55" i="1"/>
  <c r="EU72" i="1"/>
  <c r="DY72" i="1"/>
  <c r="BA73" i="1"/>
  <c r="AC53" i="1"/>
  <c r="AF59" i="1"/>
  <c r="AE23" i="1"/>
  <c r="ET23" i="1" s="1"/>
  <c r="AF23" i="1"/>
  <c r="AM23" i="1" s="1"/>
  <c r="AD23" i="1"/>
  <c r="AH23" i="1" s="1"/>
  <c r="BG99" i="1"/>
  <c r="BF99" i="1"/>
  <c r="BI99" i="1" s="1"/>
  <c r="BD99" i="1"/>
  <c r="DH99" i="1" s="1"/>
  <c r="DB99" i="1"/>
  <c r="HI99" i="1"/>
  <c r="BS99" i="1"/>
  <c r="GL104" i="1"/>
  <c r="BS104" i="1"/>
  <c r="CI104" i="1"/>
  <c r="BY104" i="1"/>
  <c r="GJ104" i="1"/>
  <c r="BT104" i="1"/>
  <c r="DE104" i="1"/>
  <c r="BW104" i="1"/>
  <c r="BF104" i="1"/>
  <c r="BI104" i="1" s="1"/>
  <c r="HI104" i="1"/>
  <c r="BD104" i="1"/>
  <c r="DH104" i="1" s="1"/>
  <c r="GW104" i="1"/>
  <c r="BV104" i="1"/>
  <c r="BZ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BT23" i="1"/>
  <c r="ES23" i="1"/>
  <c r="BD23" i="1"/>
  <c r="DH23" i="1" s="1"/>
  <c r="DG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DC99" i="1"/>
  <c r="BT99" i="1"/>
  <c r="GD77" i="1"/>
  <c r="FP87" i="1"/>
  <c r="DA87" i="1"/>
  <c r="EL116" i="1"/>
  <c r="FH84" i="1"/>
  <c r="AE53" i="1"/>
  <c r="R30" i="1"/>
  <c r="X30" i="1" s="1"/>
  <c r="JO30" i="1" s="1"/>
  <c r="CI99" i="1"/>
  <c r="AZ99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T40" i="1" s="1"/>
  <c r="CK119" i="1"/>
  <c r="BP119" i="1"/>
  <c r="FU119" i="1"/>
  <c r="FP119" i="1"/>
  <c r="EW77" i="1"/>
  <c r="CD87" i="1"/>
  <c r="BF87" i="1"/>
  <c r="DE87" i="1"/>
  <c r="DO87" i="1"/>
  <c r="FA84" i="1"/>
  <c r="EZ84" i="1"/>
  <c r="AF53" i="1"/>
  <c r="AI53" i="1" s="1"/>
  <c r="BV99" i="1"/>
  <c r="BW99" i="1"/>
  <c r="GL99" i="1"/>
  <c r="GV99" i="1" s="1"/>
  <c r="DD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DF99" i="1"/>
  <c r="BH104" i="1"/>
  <c r="ER119" i="1"/>
  <c r="GO119" i="1"/>
  <c r="DD119" i="1"/>
  <c r="BM119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CO57" i="1"/>
  <c r="DB57" i="1"/>
  <c r="GL57" i="1"/>
  <c r="BF57" i="1"/>
  <c r="BI57" i="1" s="1"/>
  <c r="BY57" i="1"/>
  <c r="DD57" i="1"/>
  <c r="AZ57" i="1"/>
  <c r="GM57" i="1" s="1"/>
  <c r="BW57" i="1"/>
  <c r="BV57" i="1"/>
  <c r="GJ57" i="1"/>
  <c r="CI57" i="1"/>
  <c r="DF57" i="1"/>
  <c r="BG57" i="1"/>
  <c r="HI57" i="1"/>
  <c r="DC57" i="1"/>
  <c r="BD57" i="1"/>
  <c r="DH57" i="1" s="1"/>
  <c r="DE57" i="1"/>
  <c r="BS57" i="1"/>
  <c r="BH57" i="1"/>
  <c r="GE50" i="1"/>
  <c r="CX50" i="1"/>
  <c r="AC42" i="1"/>
  <c r="R27" i="1"/>
  <c r="X27" i="1" s="1"/>
  <c r="JO27" i="1" s="1"/>
  <c r="Q23" i="1"/>
  <c r="AD21" i="1"/>
  <c r="DG126" i="1"/>
  <c r="GJ126" i="1"/>
  <c r="GK126" i="1" s="1"/>
  <c r="BY126" i="1"/>
  <c r="BS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DD54" i="1"/>
  <c r="GJ54" i="1"/>
  <c r="GK54" i="1" s="1"/>
  <c r="EU54" i="1"/>
  <c r="EY54" i="1" s="1"/>
  <c r="DE54" i="1"/>
  <c r="BW54" i="1"/>
  <c r="BD54" i="1"/>
  <c r="DH54" i="1" s="1"/>
  <c r="HI54" i="1"/>
  <c r="BS54" i="1"/>
  <c r="GW54" i="1"/>
  <c r="DB54" i="1"/>
  <c r="CO54" i="1"/>
  <c r="BT54" i="1"/>
  <c r="BG54" i="1"/>
  <c r="GW36" i="1"/>
  <c r="GJ36" i="1"/>
  <c r="GK36" i="1" s="1"/>
  <c r="BI36" i="1"/>
  <c r="BT36" i="1"/>
  <c r="DD36" i="1"/>
  <c r="DH36" i="1"/>
  <c r="DF36" i="1"/>
  <c r="DB36" i="1"/>
  <c r="DI36" i="1" s="1"/>
  <c r="BY36" i="1"/>
  <c r="BZ36" i="1"/>
  <c r="DC36" i="1"/>
  <c r="BW36" i="1"/>
  <c r="AZ36" i="1"/>
  <c r="CO36" i="1"/>
  <c r="HI36" i="1"/>
  <c r="CI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BZ126" i="1"/>
  <c r="BT126" i="1"/>
  <c r="CI126" i="1"/>
  <c r="BW126" i="1"/>
  <c r="CO126" i="1"/>
  <c r="EO52" i="1"/>
  <c r="DX52" i="1"/>
  <c r="DF126" i="1"/>
  <c r="DC126" i="1"/>
  <c r="FJ52" i="1"/>
  <c r="GG52" i="1"/>
  <c r="BV126" i="1"/>
  <c r="DE126" i="1"/>
  <c r="BD126" i="1"/>
  <c r="DH126" i="1" s="1"/>
  <c r="ES86" i="1"/>
  <c r="BL86" i="1"/>
  <c r="GX86" i="1"/>
  <c r="EN52" i="1"/>
  <c r="HG52" i="1"/>
  <c r="EW52" i="1"/>
  <c r="HA53" i="1"/>
  <c r="GL126" i="1"/>
  <c r="BH126" i="1"/>
  <c r="HI126" i="1"/>
  <c r="CC52" i="1"/>
  <c r="GO52" i="1"/>
  <c r="GY52" i="1"/>
  <c r="HC52" i="1"/>
  <c r="BG126" i="1"/>
  <c r="GW126" i="1"/>
  <c r="HF52" i="1"/>
  <c r="FT52" i="1"/>
  <c r="FR52" i="1"/>
  <c r="CJ70" i="1"/>
  <c r="CY70" i="1"/>
  <c r="BW70" i="1"/>
  <c r="DY70" i="1"/>
  <c r="CC70" i="1"/>
  <c r="ES70" i="1"/>
  <c r="DK70" i="1"/>
  <c r="CD70" i="1"/>
  <c r="BD70" i="1"/>
  <c r="EJ70" i="1"/>
  <c r="CR70" i="1"/>
  <c r="DU70" i="1"/>
  <c r="BG102" i="1"/>
  <c r="CI102" i="1"/>
  <c r="GL102" i="1"/>
  <c r="BY102" i="1"/>
  <c r="EU102" i="1"/>
  <c r="EY102" i="1" s="1"/>
  <c r="DE102" i="1"/>
  <c r="DD102" i="1"/>
  <c r="GZ35" i="1"/>
  <c r="GX70" i="1"/>
  <c r="GK70" i="1"/>
  <c r="GH70" i="1"/>
  <c r="HA70" i="1"/>
  <c r="GD70" i="1"/>
  <c r="GB70" i="1"/>
  <c r="BA70" i="1"/>
  <c r="EV70" i="1"/>
  <c r="CW70" i="1"/>
  <c r="CG70" i="1"/>
  <c r="EN70" i="1"/>
  <c r="FX70" i="1"/>
  <c r="DP70" i="1"/>
  <c r="CZ70" i="1"/>
  <c r="EH70" i="1"/>
  <c r="DC70" i="1"/>
  <c r="BE70" i="1"/>
  <c r="EG70" i="1"/>
  <c r="DT70" i="1"/>
  <c r="BY70" i="1"/>
  <c r="DW70" i="1"/>
  <c r="DG112" i="1"/>
  <c r="CL70" i="1"/>
  <c r="BV70" i="1"/>
  <c r="BT102" i="1"/>
  <c r="DG102" i="1"/>
  <c r="FO70" i="1"/>
  <c r="FZ70" i="1"/>
  <c r="FI70" i="1"/>
  <c r="GG70" i="1"/>
  <c r="EX70" i="1"/>
  <c r="GE70" i="1"/>
  <c r="FE70" i="1"/>
  <c r="HB70" i="1"/>
  <c r="BL70" i="1"/>
  <c r="ED70" i="1"/>
  <c r="DQ70" i="1"/>
  <c r="FS70" i="1"/>
  <c r="ER70" i="1"/>
  <c r="DO70" i="1"/>
  <c r="CA70" i="1"/>
  <c r="DJ70" i="1"/>
  <c r="DE70" i="1"/>
  <c r="BQ70" i="1"/>
  <c r="DR70" i="1"/>
  <c r="CO102" i="1"/>
  <c r="EI70" i="1"/>
  <c r="BV102" i="1"/>
  <c r="ES102" i="1"/>
  <c r="FK102" i="1" s="1"/>
  <c r="GF70" i="1"/>
  <c r="GN70" i="1"/>
  <c r="FF70" i="1"/>
  <c r="GA70" i="1"/>
  <c r="EA70" i="1"/>
  <c r="FU70" i="1"/>
  <c r="FQ70" i="1"/>
  <c r="GQ70" i="1"/>
  <c r="CP70" i="1"/>
  <c r="CI78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GW102" i="1"/>
  <c r="GJ102" i="1"/>
  <c r="GK102" i="1" s="1"/>
  <c r="HC70" i="1"/>
  <c r="HE70" i="1"/>
  <c r="EF70" i="1"/>
  <c r="FW70" i="1"/>
  <c r="BN70" i="1"/>
  <c r="FL70" i="1"/>
  <c r="FK70" i="1"/>
  <c r="FD70" i="1"/>
  <c r="CH70" i="1"/>
  <c r="DH70" i="1"/>
  <c r="DZ70" i="1"/>
  <c r="FM70" i="1"/>
  <c r="BH70" i="1"/>
  <c r="DF70" i="1"/>
  <c r="CF70" i="1"/>
  <c r="FC70" i="1"/>
  <c r="DN70" i="1"/>
  <c r="CO70" i="1"/>
  <c r="BS70" i="1"/>
  <c r="BP70" i="1"/>
  <c r="AZ102" i="1"/>
  <c r="GM102" i="1" s="1"/>
  <c r="GV70" i="1"/>
  <c r="GU70" i="1"/>
  <c r="GP70" i="1"/>
  <c r="FY70" i="1"/>
  <c r="HD70" i="1"/>
  <c r="FJ70" i="1"/>
  <c r="CQ70" i="1"/>
  <c r="FG70" i="1"/>
  <c r="CU70" i="1"/>
  <c r="CH78" i="1"/>
  <c r="CT70" i="1"/>
  <c r="BM70" i="1"/>
  <c r="ET70" i="1"/>
  <c r="DX70" i="1"/>
  <c r="BU70" i="1"/>
  <c r="EL70" i="1"/>
  <c r="FN70" i="1"/>
  <c r="BK70" i="1"/>
  <c r="EM70" i="1"/>
  <c r="FT70" i="1"/>
  <c r="CB70" i="1"/>
  <c r="BS102" i="1"/>
  <c r="HI102" i="1"/>
  <c r="GZ70" i="1"/>
  <c r="GL70" i="1"/>
  <c r="HF70" i="1"/>
  <c r="DM70" i="1"/>
  <c r="HG70" i="1"/>
  <c r="GW70" i="1"/>
  <c r="GS70" i="1"/>
  <c r="Q113" i="1"/>
  <c r="AF109" i="1"/>
  <c r="AM109" i="1" s="1"/>
  <c r="AF108" i="1"/>
  <c r="AM108" i="1" s="1"/>
  <c r="R105" i="1"/>
  <c r="X105" i="1" s="1"/>
  <c r="IW105" i="1" s="1"/>
  <c r="IG105" i="1" s="1"/>
  <c r="Q105" i="1"/>
  <c r="AC103" i="1"/>
  <c r="Q103" i="1"/>
  <c r="Q101" i="1"/>
  <c r="AD100" i="1"/>
  <c r="AH100" i="1" s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ET45" i="1" s="1"/>
  <c r="AE35" i="1"/>
  <c r="AE18" i="1"/>
  <c r="Q14" i="1"/>
  <c r="AF13" i="1"/>
  <c r="EU13" i="1" s="1"/>
  <c r="EY13" i="1" s="1"/>
  <c r="AH10" i="1"/>
  <c r="DK94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ET30" i="1" s="1"/>
  <c r="DC22" i="1"/>
  <c r="BZ30" i="1"/>
  <c r="DF30" i="1"/>
  <c r="EG62" i="1"/>
  <c r="HH62" i="1"/>
  <c r="DE62" i="1"/>
  <c r="DG94" i="1"/>
  <c r="EL94" i="1"/>
  <c r="GQ94" i="1"/>
  <c r="CI22" i="1"/>
  <c r="BT22" i="1"/>
  <c r="DE22" i="1"/>
  <c r="DG22" i="1"/>
  <c r="CO22" i="1"/>
  <c r="DB22" i="1"/>
  <c r="DF22" i="1"/>
  <c r="GJ22" i="1"/>
  <c r="GK22" i="1" s="1"/>
  <c r="BW22" i="1"/>
  <c r="AZ22" i="1"/>
  <c r="GM22" i="1" s="1"/>
  <c r="GW22" i="1"/>
  <c r="AF26" i="1"/>
  <c r="AI26" i="1" s="1"/>
  <c r="AC26" i="1"/>
  <c r="AE26" i="1"/>
  <c r="AD26" i="1"/>
  <c r="AH26" i="1" s="1"/>
  <c r="BG30" i="1"/>
  <c r="AZ30" i="1"/>
  <c r="GM30" i="1" s="1"/>
  <c r="GL30" i="1"/>
  <c r="AD35" i="1"/>
  <c r="AH35" i="1" s="1"/>
  <c r="BS22" i="1"/>
  <c r="ES22" i="1"/>
  <c r="CR62" i="1"/>
  <c r="FH62" i="1"/>
  <c r="EC94" i="1"/>
  <c r="CU94" i="1"/>
  <c r="GM94" i="1"/>
  <c r="AC30" i="1"/>
  <c r="DB44" i="1"/>
  <c r="BV44" i="1"/>
  <c r="GL44" i="1"/>
  <c r="GW44" i="1"/>
  <c r="Q22" i="1"/>
  <c r="R22" i="1"/>
  <c r="X22" i="1" s="1"/>
  <c r="JO22" i="1" s="1"/>
  <c r="CI49" i="1"/>
  <c r="AZ49" i="1"/>
  <c r="GM49" i="1" s="1"/>
  <c r="CO49" i="1"/>
  <c r="GJ49" i="1"/>
  <c r="GK49" i="1" s="1"/>
  <c r="DB49" i="1"/>
  <c r="DB30" i="1"/>
  <c r="BD30" i="1"/>
  <c r="DH30" i="1" s="1"/>
  <c r="AC35" i="1"/>
  <c r="GL22" i="1"/>
  <c r="BH22" i="1"/>
  <c r="BY22" i="1"/>
  <c r="BG22" i="1"/>
  <c r="DJ62" i="1"/>
  <c r="GL62" i="1"/>
  <c r="BK94" i="1"/>
  <c r="DD94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DD30" i="1"/>
  <c r="DG30" i="1"/>
  <c r="DE30" i="1"/>
  <c r="GW30" i="1"/>
  <c r="HI30" i="1"/>
  <c r="BV30" i="1"/>
  <c r="BY30" i="1"/>
  <c r="CI30" i="1"/>
  <c r="AF35" i="1"/>
  <c r="AM35" i="1" s="1"/>
  <c r="HI22" i="1"/>
  <c r="BZ22" i="1"/>
  <c r="EF62" i="1"/>
  <c r="FT62" i="1"/>
  <c r="CV94" i="1"/>
  <c r="BH94" i="1"/>
  <c r="AD37" i="1"/>
  <c r="AE37" i="1"/>
  <c r="ET37" i="1" s="1"/>
  <c r="BF30" i="1"/>
  <c r="CO30" i="1"/>
  <c r="R14" i="1"/>
  <c r="X14" i="1" s="1"/>
  <c r="CV62" i="1"/>
  <c r="BV62" i="1"/>
  <c r="GJ62" i="1"/>
  <c r="FO94" i="1"/>
  <c r="CB94" i="1"/>
  <c r="GJ30" i="1"/>
  <c r="GK30" i="1" s="1"/>
  <c r="AF30" i="1"/>
  <c r="AI30" i="1" s="1"/>
  <c r="BF22" i="1"/>
  <c r="DF62" i="1"/>
  <c r="GN62" i="1"/>
  <c r="FE94" i="1"/>
  <c r="HD94" i="1"/>
  <c r="GJ44" i="1"/>
  <c r="GK44" i="1" s="1"/>
  <c r="DD44" i="1"/>
  <c r="DC30" i="1"/>
  <c r="BH30" i="1"/>
  <c r="BV22" i="1"/>
  <c r="BD22" i="1"/>
  <c r="DH22" i="1" s="1"/>
  <c r="FT94" i="1"/>
  <c r="DU62" i="1"/>
  <c r="CD62" i="1"/>
  <c r="GI62" i="1"/>
  <c r="BM94" i="1"/>
  <c r="BX94" i="1"/>
  <c r="AC14" i="1"/>
  <c r="AF12" i="1"/>
  <c r="AD18" i="1"/>
  <c r="AH18" i="1" s="1"/>
  <c r="AD51" i="1"/>
  <c r="AH51" i="1" s="1"/>
  <c r="BT28" i="1"/>
  <c r="DD38" i="1"/>
  <c r="EY35" i="1"/>
  <c r="DF38" i="1"/>
  <c r="DC28" i="1"/>
  <c r="GJ28" i="1"/>
  <c r="BY28" i="1"/>
  <c r="BH28" i="1"/>
  <c r="GL28" i="1"/>
  <c r="DD28" i="1"/>
  <c r="BV28" i="1"/>
  <c r="BD28" i="1"/>
  <c r="DH28" i="1" s="1"/>
  <c r="BF28" i="1"/>
  <c r="DF28" i="1"/>
  <c r="GW28" i="1"/>
  <c r="AZ28" i="1"/>
  <c r="GM28" i="1" s="1"/>
  <c r="DB28" i="1"/>
  <c r="BG28" i="1"/>
  <c r="CI28" i="1"/>
  <c r="Q26" i="1"/>
  <c r="R26" i="1"/>
  <c r="X26" i="1" s="1"/>
  <c r="EH35" i="1"/>
  <c r="BL35" i="1"/>
  <c r="AE51" i="1"/>
  <c r="R23" i="1"/>
  <c r="X23" i="1" s="1"/>
  <c r="JO23" i="1" s="1"/>
  <c r="AE12" i="1"/>
  <c r="ET12" i="1" s="1"/>
  <c r="AD45" i="1"/>
  <c r="AF45" i="1"/>
  <c r="R19" i="1"/>
  <c r="X19" i="1" s="1"/>
  <c r="JO19" i="1" s="1"/>
  <c r="AD32" i="1"/>
  <c r="AH32" i="1" s="1"/>
  <c r="BS28" i="1"/>
  <c r="DG28" i="1"/>
  <c r="CX35" i="1"/>
  <c r="BO35" i="1"/>
  <c r="EA35" i="1"/>
  <c r="EG35" i="1"/>
  <c r="BD20" i="1"/>
  <c r="DH20" i="1" s="1"/>
  <c r="AD12" i="1"/>
  <c r="FZ35" i="1"/>
  <c r="AC51" i="1"/>
  <c r="AF18" i="1"/>
  <c r="AC45" i="1"/>
  <c r="AF32" i="1"/>
  <c r="EU32" i="1" s="1"/>
  <c r="EY32" i="1" s="1"/>
  <c r="AE32" i="1"/>
  <c r="ET32" i="1" s="1"/>
  <c r="BW28" i="1"/>
  <c r="BZ28" i="1"/>
  <c r="HA35" i="1"/>
  <c r="GG35" i="1"/>
  <c r="Q52" i="1"/>
  <c r="R52" i="1"/>
  <c r="X52" i="1" s="1"/>
  <c r="AZ38" i="1"/>
  <c r="GM38" i="1" s="1"/>
  <c r="BH38" i="1"/>
  <c r="BW38" i="1"/>
  <c r="BF38" i="1"/>
  <c r="HI38" i="1"/>
  <c r="DB38" i="1"/>
  <c r="BZ38" i="1"/>
  <c r="BT38" i="1"/>
  <c r="DC38" i="1"/>
  <c r="CI38" i="1"/>
  <c r="CO38" i="1"/>
  <c r="BV38" i="1"/>
  <c r="DE38" i="1"/>
  <c r="BY38" i="1"/>
  <c r="GL38" i="1"/>
  <c r="GW38" i="1"/>
  <c r="BD38" i="1"/>
  <c r="DH38" i="1" s="1"/>
  <c r="DG38" i="1"/>
  <c r="AF14" i="1"/>
  <c r="EU14" i="1" s="1"/>
  <c r="AC10" i="1"/>
  <c r="AF10" i="1"/>
  <c r="EU10" i="1" s="1"/>
  <c r="EY10" i="1" s="1"/>
  <c r="AE10" i="1"/>
  <c r="ET10" i="1" s="1"/>
  <c r="AF51" i="1"/>
  <c r="AI51" i="1" s="1"/>
  <c r="AC12" i="1"/>
  <c r="DE28" i="1"/>
  <c r="GL11" i="1"/>
  <c r="EC35" i="1"/>
  <c r="DV35" i="1"/>
  <c r="AC39" i="1"/>
  <c r="AE39" i="1"/>
  <c r="ET39" i="1" s="1"/>
  <c r="Q11" i="1"/>
  <c r="R11" i="1"/>
  <c r="X11" i="1" s="1"/>
  <c r="IW11" i="1" s="1"/>
  <c r="IG11" i="1" s="1"/>
  <c r="AC18" i="1"/>
  <c r="HI28" i="1"/>
  <c r="CO28" i="1"/>
  <c r="GJ35" i="1"/>
  <c r="DJ35" i="1"/>
  <c r="HG35" i="1"/>
  <c r="DC11" i="1"/>
  <c r="DG11" i="1"/>
  <c r="CO11" i="1"/>
  <c r="BT11" i="1"/>
  <c r="GJ11" i="1"/>
  <c r="GK11" i="1" s="1"/>
  <c r="BF11" i="1"/>
  <c r="CI11" i="1"/>
  <c r="DB11" i="1"/>
  <c r="DF11" i="1"/>
  <c r="DE11" i="1"/>
  <c r="BZ11" i="1"/>
  <c r="AZ11" i="1"/>
  <c r="GM11" i="1" s="1"/>
  <c r="DD11" i="1"/>
  <c r="BG11" i="1"/>
  <c r="BY11" i="1"/>
  <c r="BH11" i="1"/>
  <c r="HI11" i="1"/>
  <c r="BW11" i="1"/>
  <c r="GW11" i="1"/>
  <c r="BD11" i="1"/>
  <c r="DH11" i="1" s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DF35" i="1"/>
  <c r="FC35" i="1"/>
  <c r="BR35" i="1"/>
  <c r="BS38" i="1"/>
  <c r="BG38" i="1"/>
  <c r="AD14" i="1"/>
  <c r="AH14" i="1" s="1"/>
  <c r="R42" i="1"/>
  <c r="X42" i="1" s="1"/>
  <c r="AF60" i="1"/>
  <c r="AI60" i="1" s="1"/>
  <c r="BY49" i="1"/>
  <c r="AD42" i="1"/>
  <c r="AH42" i="1" s="1"/>
  <c r="AE42" i="1"/>
  <c r="Q41" i="1"/>
  <c r="R33" i="1"/>
  <c r="X33" i="1" s="1"/>
  <c r="JO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GW100" i="1"/>
  <c r="BG100" i="1"/>
  <c r="CI100" i="1"/>
  <c r="CO100" i="1"/>
  <c r="DD100" i="1"/>
  <c r="BS100" i="1"/>
  <c r="CG85" i="1"/>
  <c r="DA85" i="1"/>
  <c r="DD98" i="1"/>
  <c r="GJ98" i="1"/>
  <c r="GK98" i="1" s="1"/>
  <c r="BF98" i="1"/>
  <c r="BG98" i="1"/>
  <c r="HF66" i="1"/>
  <c r="GW66" i="1"/>
  <c r="GG66" i="1"/>
  <c r="FS66" i="1"/>
  <c r="FR66" i="1"/>
  <c r="DV66" i="1"/>
  <c r="EP66" i="1"/>
  <c r="CZ63" i="1"/>
  <c r="DQ85" i="1"/>
  <c r="BE85" i="1"/>
  <c r="EQ95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BG31" i="1"/>
  <c r="DC31" i="1"/>
  <c r="DD31" i="1"/>
  <c r="DB31" i="1"/>
  <c r="GL31" i="1"/>
  <c r="BW31" i="1"/>
  <c r="DF31" i="1"/>
  <c r="HI31" i="1"/>
  <c r="GJ31" i="1"/>
  <c r="BT31" i="1"/>
  <c r="CI31" i="1"/>
  <c r="DE31" i="1"/>
  <c r="BV31" i="1"/>
  <c r="AZ31" i="1"/>
  <c r="GM31" i="1" s="1"/>
  <c r="BF31" i="1"/>
  <c r="BD31" i="1"/>
  <c r="DH31" i="1" s="1"/>
  <c r="CO31" i="1"/>
  <c r="CM85" i="1"/>
  <c r="CW85" i="1"/>
  <c r="EQ63" i="1"/>
  <c r="BA66" i="1"/>
  <c r="BT98" i="1"/>
  <c r="BH98" i="1"/>
  <c r="HA66" i="1"/>
  <c r="GQ66" i="1"/>
  <c r="FF66" i="1"/>
  <c r="FM66" i="1"/>
  <c r="FO66" i="1"/>
  <c r="BE66" i="1"/>
  <c r="DH66" i="1"/>
  <c r="BY31" i="1"/>
  <c r="EC85" i="1"/>
  <c r="BO85" i="1"/>
  <c r="BB85" i="1"/>
  <c r="BR81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BW98" i="1"/>
  <c r="GE66" i="1"/>
  <c r="HG66" i="1"/>
  <c r="DX66" i="1"/>
  <c r="FP66" i="1"/>
  <c r="CJ66" i="1"/>
  <c r="BP66" i="1"/>
  <c r="EL66" i="1"/>
  <c r="BS31" i="1"/>
  <c r="FS63" i="1"/>
  <c r="CU80" i="1"/>
  <c r="EM85" i="1"/>
  <c r="DI85" i="1"/>
  <c r="BX85" i="1"/>
  <c r="BS85" i="1"/>
  <c r="GV34" i="1"/>
  <c r="BH81" i="1"/>
  <c r="DA63" i="1"/>
  <c r="CI85" i="1"/>
  <c r="CI98" i="1"/>
  <c r="BS98" i="1"/>
  <c r="BV98" i="1"/>
  <c r="BZ98" i="1"/>
  <c r="FH66" i="1"/>
  <c r="HC66" i="1"/>
  <c r="DL66" i="1"/>
  <c r="FW66" i="1"/>
  <c r="EO66" i="1"/>
  <c r="BJ66" i="1"/>
  <c r="CY66" i="1"/>
  <c r="GW31" i="1"/>
  <c r="BP63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AZ98" i="1"/>
  <c r="GM98" i="1" s="1"/>
  <c r="DG98" i="1"/>
  <c r="DB98" i="1"/>
  <c r="DC98" i="1"/>
  <c r="BY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DF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FN85" i="1"/>
  <c r="EG85" i="1"/>
  <c r="EI85" i="1"/>
  <c r="DK80" i="1"/>
  <c r="EF81" i="1"/>
  <c r="BN75" i="1"/>
  <c r="GJ48" i="1"/>
  <c r="CR85" i="1"/>
  <c r="CP85" i="1"/>
  <c r="CQ85" i="1"/>
  <c r="GL98" i="1"/>
  <c r="CO98" i="1"/>
  <c r="BD98" i="1"/>
  <c r="DH98" i="1" s="1"/>
  <c r="FG66" i="1"/>
  <c r="GK66" i="1"/>
  <c r="GR66" i="1"/>
  <c r="CV66" i="1"/>
  <c r="DZ66" i="1"/>
  <c r="BG66" i="1"/>
  <c r="BV66" i="1"/>
  <c r="CX66" i="1"/>
  <c r="DF63" i="1"/>
  <c r="BK85" i="1"/>
  <c r="CQ80" i="1"/>
  <c r="HC75" i="1"/>
  <c r="Q57" i="1"/>
  <c r="GW56" i="1"/>
  <c r="BZ56" i="1"/>
  <c r="AZ56" i="1"/>
  <c r="GM56" i="1" s="1"/>
  <c r="BD56" i="1"/>
  <c r="DH56" i="1" s="1"/>
  <c r="BG56" i="1"/>
  <c r="BS56" i="1"/>
  <c r="GJ56" i="1"/>
  <c r="GK56" i="1" s="1"/>
  <c r="BY56" i="1"/>
  <c r="DD56" i="1"/>
  <c r="DB56" i="1"/>
  <c r="DF56" i="1"/>
  <c r="CI56" i="1"/>
  <c r="CO56" i="1"/>
  <c r="DE56" i="1"/>
  <c r="BV56" i="1"/>
  <c r="BH56" i="1"/>
  <c r="HI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Q49" i="1"/>
  <c r="Q48" i="1"/>
  <c r="R37" i="1"/>
  <c r="X37" i="1" s="1"/>
  <c r="BW23" i="1"/>
  <c r="BF23" i="1"/>
  <c r="BV23" i="1"/>
  <c r="GJ23" i="1"/>
  <c r="DD23" i="1"/>
  <c r="BZ23" i="1"/>
  <c r="DC23" i="1"/>
  <c r="DE23" i="1"/>
  <c r="DB23" i="1"/>
  <c r="CO23" i="1"/>
  <c r="BS23" i="1"/>
  <c r="BG23" i="1"/>
  <c r="HI23" i="1"/>
  <c r="AZ23" i="1"/>
  <c r="GM23" i="1" s="1"/>
  <c r="CI23" i="1"/>
  <c r="BY23" i="1"/>
  <c r="GL23" i="1"/>
  <c r="BH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BV49" i="1"/>
  <c r="DG49" i="1"/>
  <c r="CD78" i="1"/>
  <c r="DH78" i="1"/>
  <c r="BN78" i="1"/>
  <c r="HI46" i="1"/>
  <c r="BF49" i="1"/>
  <c r="BI49" i="1" s="1"/>
  <c r="BT49" i="1"/>
  <c r="GW49" i="1"/>
  <c r="HI49" i="1"/>
  <c r="CJ78" i="1"/>
  <c r="CR78" i="1"/>
  <c r="EA78" i="1"/>
  <c r="DE78" i="1"/>
  <c r="BG49" i="1"/>
  <c r="BW49" i="1"/>
  <c r="CK78" i="1"/>
  <c r="CA78" i="1"/>
  <c r="BD46" i="1"/>
  <c r="DH46" i="1" s="1"/>
  <c r="BH78" i="1"/>
  <c r="DC49" i="1"/>
  <c r="BD49" i="1"/>
  <c r="DH49" i="1" s="1"/>
  <c r="CL78" i="1"/>
  <c r="CP78" i="1"/>
  <c r="CX78" i="1"/>
  <c r="BS46" i="1"/>
  <c r="DM78" i="1"/>
  <c r="FC52" i="1"/>
  <c r="GL49" i="1"/>
  <c r="BH49" i="1"/>
  <c r="CZ78" i="1"/>
  <c r="CF78" i="1"/>
  <c r="FP52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M47" i="1" s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GJ108" i="1"/>
  <c r="GK108" i="1" s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BZ14" i="1"/>
  <c r="BH14" i="1"/>
  <c r="BT108" i="1"/>
  <c r="BW108" i="1"/>
  <c r="BG108" i="1"/>
  <c r="DD108" i="1"/>
  <c r="DF108" i="1"/>
  <c r="BV108" i="1"/>
  <c r="DB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CP111" i="1"/>
  <c r="FU111" i="1"/>
  <c r="HG111" i="1"/>
  <c r="CV111" i="1"/>
  <c r="CM111" i="1"/>
  <c r="FO111" i="1"/>
  <c r="FV111" i="1"/>
  <c r="FF97" i="1"/>
  <c r="FA97" i="1"/>
  <c r="FV65" i="1"/>
  <c r="BD14" i="1"/>
  <c r="DH14" i="1" s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GK14" i="1" s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BY108" i="1"/>
  <c r="AZ108" i="1"/>
  <c r="GM108" i="1" s="1"/>
  <c r="BH108" i="1"/>
  <c r="BF108" i="1"/>
  <c r="BI108" i="1" s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CG111" i="1"/>
  <c r="FM79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BJ60" i="1"/>
  <c r="GH60" i="1"/>
  <c r="DX60" i="1"/>
  <c r="BZ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EC59" i="1"/>
  <c r="DA59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BU60" i="1"/>
  <c r="BK60" i="1"/>
  <c r="BA111" i="1"/>
  <c r="EO111" i="1"/>
  <c r="CO111" i="1"/>
  <c r="FJ111" i="1"/>
  <c r="GE111" i="1"/>
  <c r="FW111" i="1"/>
  <c r="CC111" i="1"/>
  <c r="BX111" i="1"/>
  <c r="CX97" i="1"/>
  <c r="BQ97" i="1"/>
  <c r="GS65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DG47" i="1"/>
  <c r="BS47" i="1"/>
  <c r="BD47" i="1"/>
  <c r="DH47" i="1" s="1"/>
  <c r="BF47" i="1"/>
  <c r="BI47" i="1" s="1"/>
  <c r="BZ47" i="1"/>
  <c r="HI47" i="1"/>
  <c r="BT47" i="1"/>
  <c r="CO47" i="1"/>
  <c r="DD47" i="1"/>
  <c r="DC47" i="1"/>
  <c r="BW47" i="1"/>
  <c r="CI47" i="1"/>
  <c r="BH47" i="1"/>
  <c r="GJ47" i="1"/>
  <c r="GK47" i="1" s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I14" i="1" s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EM60" i="1"/>
  <c r="DG108" i="1"/>
  <c r="FG111" i="1"/>
  <c r="GU111" i="1"/>
  <c r="CX111" i="1"/>
  <c r="FF111" i="1"/>
  <c r="ET111" i="1"/>
  <c r="BW111" i="1"/>
  <c r="HC111" i="1"/>
  <c r="FP97" i="1"/>
  <c r="EY97" i="1"/>
  <c r="DE108" i="1"/>
  <c r="FU60" i="1"/>
  <c r="GX65" i="1"/>
  <c r="BN79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C14" i="1"/>
  <c r="ET14" i="1"/>
  <c r="DF14" i="1"/>
  <c r="CS69" i="1"/>
  <c r="GZ82" i="1"/>
  <c r="ET50" i="1"/>
  <c r="DB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HI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DC108" i="1"/>
  <c r="EV111" i="1"/>
  <c r="GP111" i="1"/>
  <c r="DQ111" i="1"/>
  <c r="ER111" i="1"/>
  <c r="BF111" i="1"/>
  <c r="BM111" i="1"/>
  <c r="GY111" i="1"/>
  <c r="CR111" i="1"/>
  <c r="FZ97" i="1"/>
  <c r="EL97" i="1"/>
  <c r="FL60" i="1"/>
  <c r="DV60" i="1"/>
  <c r="DB65" i="1"/>
  <c r="EM79" i="1"/>
  <c r="GL47" i="1"/>
  <c r="BT59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DF49" i="1"/>
  <c r="DE49" i="1"/>
  <c r="BZ49" i="1"/>
  <c r="R48" i="1"/>
  <c r="X48" i="1" s="1"/>
  <c r="JO48" i="1" s="1"/>
  <c r="BS48" i="1"/>
  <c r="BF48" i="1"/>
  <c r="GW48" i="1"/>
  <c r="BT48" i="1"/>
  <c r="DE48" i="1"/>
  <c r="BZ48" i="1"/>
  <c r="BW48" i="1"/>
  <c r="BH48" i="1"/>
  <c r="BG48" i="1"/>
  <c r="DD48" i="1"/>
  <c r="DF48" i="1"/>
  <c r="AZ48" i="1"/>
  <c r="GM48" i="1" s="1"/>
  <c r="DG48" i="1"/>
  <c r="HI48" i="1"/>
  <c r="BV48" i="1"/>
  <c r="BY48" i="1"/>
  <c r="DC48" i="1"/>
  <c r="BD48" i="1"/>
  <c r="DH48" i="1" s="1"/>
  <c r="GL48" i="1"/>
  <c r="DB48" i="1"/>
  <c r="CO48" i="1"/>
  <c r="CI48" i="1"/>
  <c r="AZ39" i="1"/>
  <c r="GM39" i="1" s="1"/>
  <c r="GW39" i="1"/>
  <c r="DD39" i="1"/>
  <c r="BV39" i="1"/>
  <c r="HI39" i="1"/>
  <c r="BF39" i="1"/>
  <c r="BI39" i="1" s="1"/>
  <c r="BD39" i="1"/>
  <c r="DH39" i="1" s="1"/>
  <c r="GJ39" i="1"/>
  <c r="BW39" i="1"/>
  <c r="BH39" i="1"/>
  <c r="DC39" i="1"/>
  <c r="BT39" i="1"/>
  <c r="DF39" i="1"/>
  <c r="DB39" i="1"/>
  <c r="BS39" i="1"/>
  <c r="DE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ET33" i="1" s="1"/>
  <c r="BW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AZ9" i="1"/>
  <c r="GM9" i="1" s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DF10" i="1"/>
  <c r="BT10" i="1"/>
  <c r="CO10" i="1"/>
  <c r="DG10" i="1"/>
  <c r="GL10" i="1"/>
  <c r="BV10" i="1"/>
  <c r="GJ10" i="1"/>
  <c r="GK10" i="1" s="1"/>
  <c r="CI10" i="1"/>
  <c r="BD10" i="1"/>
  <c r="DH10" i="1" s="1"/>
  <c r="BZ10" i="1"/>
  <c r="DB10" i="1"/>
  <c r="DD10" i="1"/>
  <c r="BS10" i="1"/>
  <c r="DE10" i="1"/>
  <c r="BH10" i="1"/>
  <c r="DC10" i="1"/>
  <c r="AZ10" i="1"/>
  <c r="GM10" i="1" s="1"/>
  <c r="BG10" i="1"/>
  <c r="GW10" i="1"/>
  <c r="BW10" i="1"/>
  <c r="ES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BT9" i="1"/>
  <c r="GJ9" i="1"/>
  <c r="GW9" i="1"/>
  <c r="BZ9" i="1"/>
  <c r="BD9" i="1"/>
  <c r="DH9" i="1" s="1"/>
  <c r="CO9" i="1"/>
  <c r="DG9" i="1"/>
  <c r="CI9" i="1"/>
  <c r="BV9" i="1"/>
  <c r="BW9" i="1"/>
  <c r="DD9" i="1"/>
  <c r="BG9" i="1"/>
  <c r="DE9" i="1"/>
  <c r="BY9" i="1"/>
  <c r="DF9" i="1"/>
  <c r="GL9" i="1"/>
  <c r="DC9" i="1"/>
  <c r="HI9" i="1"/>
  <c r="BF9" i="1"/>
  <c r="BH9" i="1"/>
  <c r="BH112" i="1"/>
  <c r="HI112" i="1"/>
  <c r="BD112" i="1"/>
  <c r="DH112" i="1" s="1"/>
  <c r="GM112" i="1"/>
  <c r="CO112" i="1"/>
  <c r="BT112" i="1"/>
  <c r="BV112" i="1"/>
  <c r="GJ112" i="1"/>
  <c r="GK112" i="1" s="1"/>
  <c r="BG112" i="1"/>
  <c r="BW112" i="1"/>
  <c r="BY112" i="1"/>
  <c r="GL112" i="1"/>
  <c r="BF112" i="1"/>
  <c r="BI112" i="1" s="1"/>
  <c r="CI112" i="1"/>
  <c r="GW112" i="1"/>
  <c r="DE112" i="1"/>
  <c r="DI112" i="1" s="1"/>
  <c r="DF112" i="1"/>
  <c r="BS112" i="1"/>
  <c r="DD112" i="1"/>
  <c r="DC112" i="1"/>
  <c r="AZ110" i="1"/>
  <c r="GM110" i="1" s="1"/>
  <c r="BD110" i="1"/>
  <c r="DH110" i="1" s="1"/>
  <c r="BY110" i="1"/>
  <c r="BW110" i="1"/>
  <c r="DD110" i="1"/>
  <c r="DE110" i="1"/>
  <c r="CO110" i="1"/>
  <c r="DF110" i="1"/>
  <c r="GL110" i="1"/>
  <c r="GJ110" i="1"/>
  <c r="GK110" i="1" s="1"/>
  <c r="BT110" i="1"/>
  <c r="BV110" i="1"/>
  <c r="DC110" i="1"/>
  <c r="BS110" i="1"/>
  <c r="BZ110" i="1"/>
  <c r="CI110" i="1"/>
  <c r="HI110" i="1"/>
  <c r="BH110" i="1"/>
  <c r="BG110" i="1"/>
  <c r="GW110" i="1"/>
  <c r="DB110" i="1"/>
  <c r="BF110" i="1"/>
  <c r="BI110" i="1" s="1"/>
  <c r="DG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T46" i="1"/>
  <c r="DF46" i="1"/>
  <c r="GW46" i="1"/>
  <c r="GJ46" i="1"/>
  <c r="GK46" i="1" s="1"/>
  <c r="GL46" i="1"/>
  <c r="DC46" i="1"/>
  <c r="BF46" i="1"/>
  <c r="BI46" i="1" s="1"/>
  <c r="CI46" i="1"/>
  <c r="BV46" i="1"/>
  <c r="DB46" i="1"/>
  <c r="DD46" i="1"/>
  <c r="DE46" i="1"/>
  <c r="CO46" i="1"/>
  <c r="BG46" i="1"/>
  <c r="BH46" i="1"/>
  <c r="DG46" i="1"/>
  <c r="AZ46" i="1"/>
  <c r="BY46" i="1"/>
  <c r="BZ46" i="1"/>
  <c r="BW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BS11" i="1"/>
  <c r="AZ20" i="1"/>
  <c r="BW20" i="1"/>
  <c r="DF20" i="1"/>
  <c r="BY20" i="1"/>
  <c r="DC20" i="1"/>
  <c r="BZ20" i="1"/>
  <c r="DB20" i="1"/>
  <c r="CO20" i="1"/>
  <c r="CI20" i="1"/>
  <c r="BS20" i="1"/>
  <c r="BG20" i="1"/>
  <c r="HI20" i="1"/>
  <c r="BF20" i="1"/>
  <c r="BI20" i="1" s="1"/>
  <c r="GJ20" i="1"/>
  <c r="GW20" i="1"/>
  <c r="GL20" i="1"/>
  <c r="BV20" i="1"/>
  <c r="BT20" i="1"/>
  <c r="DD20" i="1"/>
  <c r="DE20" i="1"/>
  <c r="BH20" i="1"/>
  <c r="DG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BZ100" i="1"/>
  <c r="BF100" i="1"/>
  <c r="BI100" i="1" s="1"/>
  <c r="GJ100" i="1"/>
  <c r="GK100" i="1" s="1"/>
  <c r="DC100" i="1"/>
  <c r="DF100" i="1"/>
  <c r="BH100" i="1"/>
  <c r="BT100" i="1"/>
  <c r="HI100" i="1"/>
  <c r="AZ100" i="1"/>
  <c r="GL100" i="1"/>
  <c r="DB100" i="1"/>
  <c r="DG100" i="1"/>
  <c r="BD100" i="1"/>
  <c r="DH100" i="1" s="1"/>
  <c r="BW100" i="1"/>
  <c r="BV100" i="1"/>
  <c r="DE100" i="1"/>
  <c r="BY100" i="1"/>
  <c r="DH94" i="1"/>
  <c r="FY94" i="1"/>
  <c r="CO44" i="1"/>
  <c r="HI44" i="1"/>
  <c r="BS44" i="1"/>
  <c r="DG44" i="1"/>
  <c r="BY44" i="1"/>
  <c r="BT44" i="1"/>
  <c r="CI44" i="1"/>
  <c r="BZ44" i="1"/>
  <c r="BF44" i="1"/>
  <c r="BW44" i="1"/>
  <c r="DF44" i="1"/>
  <c r="BD44" i="1"/>
  <c r="DH44" i="1" s="1"/>
  <c r="DE44" i="1"/>
  <c r="BH44" i="1"/>
  <c r="BG44" i="1"/>
  <c r="AZ44" i="1"/>
  <c r="DC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HI124" i="1"/>
  <c r="BF124" i="1"/>
  <c r="GW124" i="1"/>
  <c r="CI124" i="1"/>
  <c r="DC124" i="1"/>
  <c r="CO124" i="1"/>
  <c r="BG124" i="1"/>
  <c r="BV124" i="1"/>
  <c r="BZ124" i="1"/>
  <c r="BY124" i="1"/>
  <c r="BW124" i="1"/>
  <c r="DD124" i="1"/>
  <c r="DB124" i="1"/>
  <c r="BH124" i="1"/>
  <c r="DE124" i="1"/>
  <c r="AZ124" i="1"/>
  <c r="GM124" i="1" s="1"/>
  <c r="GJ124" i="1"/>
  <c r="GK124" i="1" s="1"/>
  <c r="DF124" i="1"/>
  <c r="BT124" i="1"/>
  <c r="BD124" i="1"/>
  <c r="DH124" i="1" s="1"/>
  <c r="DG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BS108" i="1"/>
  <c r="GL108" i="1"/>
  <c r="BD108" i="1"/>
  <c r="DH108" i="1" s="1"/>
  <c r="CI108" i="1"/>
  <c r="CO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E29" i="1"/>
  <c r="ET29" i="1" s="1"/>
  <c r="AF29" i="1"/>
  <c r="AD96" i="1"/>
  <c r="AH96" i="1" s="1"/>
  <c r="AF33" i="1"/>
  <c r="AM33" i="1" s="1"/>
  <c r="AC123" i="1"/>
  <c r="AE43" i="1"/>
  <c r="AE108" i="1"/>
  <c r="ET108" i="1" s="1"/>
  <c r="AF43" i="1"/>
  <c r="AM43" i="1" s="1"/>
  <c r="AD126" i="1"/>
  <c r="AH126" i="1" s="1"/>
  <c r="AD120" i="1"/>
  <c r="AH120" i="1" s="1"/>
  <c r="AD16" i="1"/>
  <c r="AH16" i="1" s="1"/>
  <c r="AC100" i="1"/>
  <c r="AF116" i="1"/>
  <c r="AI116" i="1" s="1"/>
  <c r="AD67" i="1"/>
  <c r="AH67" i="1" s="1"/>
  <c r="AC17" i="1"/>
  <c r="AC57" i="1"/>
  <c r="AE122" i="1"/>
  <c r="ET122" i="1" s="1"/>
  <c r="AE125" i="1"/>
  <c r="AD84" i="1"/>
  <c r="AH84" i="1" s="1"/>
  <c r="AC92" i="1"/>
  <c r="AD124" i="1"/>
  <c r="AH124" i="1" s="1"/>
  <c r="AE128" i="1"/>
  <c r="ET128" i="1" s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BL106" i="1" s="1"/>
  <c r="R79" i="1"/>
  <c r="X79" i="1" s="1"/>
  <c r="JO79" i="1" s="1"/>
  <c r="Q79" i="1"/>
  <c r="AE124" i="1"/>
  <c r="ET124" i="1" s="1"/>
  <c r="Q123" i="1"/>
  <c r="AF103" i="1"/>
  <c r="AI103" i="1" s="1"/>
  <c r="AF61" i="1"/>
  <c r="AI61" i="1" s="1"/>
  <c r="AF120" i="1"/>
  <c r="AI120" i="1" s="1"/>
  <c r="AD115" i="1"/>
  <c r="AH115" i="1" s="1"/>
  <c r="AF124" i="1"/>
  <c r="EU124" i="1" s="1"/>
  <c r="EY124" i="1" s="1"/>
  <c r="AC129" i="1"/>
  <c r="AC84" i="1"/>
  <c r="R100" i="1"/>
  <c r="X100" i="1" s="1"/>
  <c r="R108" i="1"/>
  <c r="X108" i="1" s="1"/>
  <c r="IW108" i="1" s="1"/>
  <c r="IG108" i="1" s="1"/>
  <c r="AE101" i="1"/>
  <c r="R20" i="1"/>
  <c r="X20" i="1" s="1"/>
  <c r="JO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JO73" i="1" s="1"/>
  <c r="R87" i="1"/>
  <c r="X87" i="1" s="1"/>
  <c r="Q87" i="1"/>
  <c r="Q36" i="1"/>
  <c r="AF96" i="1"/>
  <c r="AI96" i="1" s="1"/>
  <c r="AF122" i="1"/>
  <c r="AM122" i="1" s="1"/>
  <c r="AD123" i="1"/>
  <c r="AH123" i="1" s="1"/>
  <c r="AE13" i="1"/>
  <c r="ET13" i="1" s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F123" i="1"/>
  <c r="AE126" i="1"/>
  <c r="ET126" i="1" s="1"/>
  <c r="AC124" i="1"/>
  <c r="AD129" i="1"/>
  <c r="AH129" i="1" s="1"/>
  <c r="AE57" i="1"/>
  <c r="ET57" i="1" s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ET104" i="1" s="1"/>
  <c r="Q112" i="1"/>
  <c r="Q120" i="1"/>
  <c r="AE106" i="1"/>
  <c r="ET106" i="1" s="1"/>
  <c r="AF106" i="1"/>
  <c r="EU106" i="1" s="1"/>
  <c r="EY106" i="1" s="1"/>
  <c r="R41" i="1"/>
  <c r="X41" i="1" s="1"/>
  <c r="AD108" i="1"/>
  <c r="ES108" i="1" s="1"/>
  <c r="AD116" i="1"/>
  <c r="AH116" i="1" s="1"/>
  <c r="Q42" i="1"/>
  <c r="AF34" i="1"/>
  <c r="AM34" i="1" s="1"/>
  <c r="AD33" i="1"/>
  <c r="AH33" i="1" s="1"/>
  <c r="R17" i="1"/>
  <c r="X17" i="1" s="1"/>
  <c r="AC13" i="1"/>
  <c r="R13" i="1"/>
  <c r="X13" i="1" s="1"/>
  <c r="AF88" i="1"/>
  <c r="AI88" i="1" s="1"/>
  <c r="Q88" i="1"/>
  <c r="R88" i="1"/>
  <c r="X88" i="1" s="1"/>
  <c r="Q86" i="1"/>
  <c r="R86" i="1"/>
  <c r="X86" i="1" s="1"/>
  <c r="R84" i="1"/>
  <c r="X84" i="1" s="1"/>
  <c r="Q84" i="1"/>
  <c r="R83" i="1"/>
  <c r="X83" i="1" s="1"/>
  <c r="JO83" i="1" s="1"/>
  <c r="Q83" i="1"/>
  <c r="R81" i="1"/>
  <c r="X81" i="1" s="1"/>
  <c r="JO81" i="1" s="1"/>
  <c r="AE80" i="1"/>
  <c r="AC78" i="1"/>
  <c r="AE78" i="1"/>
  <c r="AD78" i="1"/>
  <c r="AH78" i="1" s="1"/>
  <c r="AF78" i="1"/>
  <c r="R78" i="1"/>
  <c r="X78" i="1" s="1"/>
  <c r="JO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R39" i="1"/>
  <c r="X39" i="1" s="1"/>
  <c r="JO39" i="1" s="1"/>
  <c r="Q39" i="1"/>
  <c r="AC33" i="1"/>
  <c r="R25" i="1"/>
  <c r="X25" i="1" s="1"/>
  <c r="R16" i="1"/>
  <c r="X16" i="1" s="1"/>
  <c r="AC16" i="1"/>
  <c r="AE16" i="1"/>
  <c r="Q129" i="1"/>
  <c r="AE129" i="1"/>
  <c r="V128" i="1"/>
  <c r="AF128" i="1"/>
  <c r="EU128" i="1" s="1"/>
  <c r="AD128" i="1"/>
  <c r="AH128" i="1" s="1"/>
  <c r="V127" i="1"/>
  <c r="AD127" i="1"/>
  <c r="AH127" i="1" s="1"/>
  <c r="AE127" i="1"/>
  <c r="AF126" i="1"/>
  <c r="EU126" i="1" s="1"/>
  <c r="EY126" i="1" s="1"/>
  <c r="AC126" i="1"/>
  <c r="R126" i="1"/>
  <c r="X126" i="1" s="1"/>
  <c r="IW126" i="1" s="1"/>
  <c r="IG126" i="1" s="1"/>
  <c r="Q126" i="1"/>
  <c r="V125" i="1"/>
  <c r="AC125" i="1"/>
  <c r="AD125" i="1"/>
  <c r="AH125" i="1" s="1"/>
  <c r="V124" i="1"/>
  <c r="V123" i="1"/>
  <c r="AC122" i="1"/>
  <c r="AD122" i="1"/>
  <c r="ES122" i="1" s="1"/>
  <c r="R122" i="1"/>
  <c r="X122" i="1" s="1"/>
  <c r="IW122" i="1" s="1"/>
  <c r="IG122" i="1" s="1"/>
  <c r="AC121" i="1"/>
  <c r="AD121" i="1"/>
  <c r="AH121" i="1" s="1"/>
  <c r="AF121" i="1"/>
  <c r="AE121" i="1"/>
  <c r="V120" i="1"/>
  <c r="R120" i="1"/>
  <c r="X120" i="1" s="1"/>
  <c r="IW120" i="1" s="1"/>
  <c r="IG120" i="1" s="1"/>
  <c r="AE120" i="1"/>
  <c r="AJ119" i="1"/>
  <c r="R119" i="1"/>
  <c r="X119" i="1" s="1"/>
  <c r="IW119" i="1" s="1"/>
  <c r="IG119" i="1" s="1"/>
  <c r="Q118" i="1"/>
  <c r="R118" i="1"/>
  <c r="X118" i="1" s="1"/>
  <c r="IR127" i="1" s="1"/>
  <c r="AE117" i="1"/>
  <c r="AF117" i="1"/>
  <c r="AC117" i="1"/>
  <c r="AD117" i="1"/>
  <c r="V115" i="1"/>
  <c r="AF115" i="1"/>
  <c r="AE115" i="1"/>
  <c r="Q115" i="1"/>
  <c r="R115" i="1"/>
  <c r="X115" i="1" s="1"/>
  <c r="IR124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ES110" i="1" s="1"/>
  <c r="AE110" i="1"/>
  <c r="ET110" i="1" s="1"/>
  <c r="AC110" i="1"/>
  <c r="AF110" i="1"/>
  <c r="EU110" i="1" s="1"/>
  <c r="EY110" i="1" s="1"/>
  <c r="V109" i="1"/>
  <c r="AC109" i="1"/>
  <c r="AD109" i="1"/>
  <c r="AH109" i="1" s="1"/>
  <c r="Q109" i="1"/>
  <c r="R109" i="1"/>
  <c r="X109" i="1" s="1"/>
  <c r="AE109" i="1"/>
  <c r="V107" i="1"/>
  <c r="AC107" i="1"/>
  <c r="AE107" i="1"/>
  <c r="AF107" i="1"/>
  <c r="AD107" i="1"/>
  <c r="AH107" i="1" s="1"/>
  <c r="R107" i="1"/>
  <c r="X107" i="1" s="1"/>
  <c r="IW107" i="1" s="1"/>
  <c r="IG107" i="1" s="1"/>
  <c r="Q107" i="1"/>
  <c r="V105" i="1"/>
  <c r="AC105" i="1"/>
  <c r="AD105" i="1"/>
  <c r="AE105" i="1"/>
  <c r="AF105" i="1"/>
  <c r="V104" i="1"/>
  <c r="Q104" i="1"/>
  <c r="AF104" i="1"/>
  <c r="EU104" i="1" s="1"/>
  <c r="EY104" i="1" s="1"/>
  <c r="AC104" i="1"/>
  <c r="V103" i="1"/>
  <c r="AE103" i="1"/>
  <c r="R103" i="1"/>
  <c r="X103" i="1" s="1"/>
  <c r="V99" i="1"/>
  <c r="AC99" i="1"/>
  <c r="AD99" i="1"/>
  <c r="AH99" i="1" s="1"/>
  <c r="AF99" i="1"/>
  <c r="EU99" i="1" s="1"/>
  <c r="EY99" i="1" s="1"/>
  <c r="AE99" i="1"/>
  <c r="ET99" i="1" s="1"/>
  <c r="R99" i="1"/>
  <c r="X99" i="1" s="1"/>
  <c r="IR108" i="1" s="1"/>
  <c r="AC98" i="1"/>
  <c r="AE98" i="1"/>
  <c r="ET98" i="1" s="1"/>
  <c r="AF98" i="1"/>
  <c r="EU98" i="1" s="1"/>
  <c r="EY98" i="1" s="1"/>
  <c r="AD98" i="1"/>
  <c r="AH98" i="1" s="1"/>
  <c r="V96" i="1"/>
  <c r="R96" i="1"/>
  <c r="X96" i="1" s="1"/>
  <c r="AC96" i="1"/>
  <c r="AE96" i="1"/>
  <c r="V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JO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JO77" i="1" s="1"/>
  <c r="V76" i="1"/>
  <c r="R76" i="1"/>
  <c r="X76" i="1" s="1"/>
  <c r="JO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JO63" i="1" s="1"/>
  <c r="Q63" i="1"/>
  <c r="V61" i="1"/>
  <c r="AE61" i="1"/>
  <c r="AD61" i="1"/>
  <c r="AH61" i="1" s="1"/>
  <c r="AC61" i="1"/>
  <c r="R61" i="1"/>
  <c r="X61" i="1" s="1"/>
  <c r="Q61" i="1"/>
  <c r="Q60" i="1"/>
  <c r="R60" i="1"/>
  <c r="X60" i="1" s="1"/>
  <c r="AF58" i="1"/>
  <c r="R58" i="1"/>
  <c r="X58" i="1" s="1"/>
  <c r="JO58" i="1" s="1"/>
  <c r="Q58" i="1"/>
  <c r="AC58" i="1"/>
  <c r="AE58" i="1"/>
  <c r="AD58" i="1"/>
  <c r="AH58" i="1" s="1"/>
  <c r="V57" i="1"/>
  <c r="AD56" i="1"/>
  <c r="AH56" i="1" s="1"/>
  <c r="AE56" i="1"/>
  <c r="ET56" i="1" s="1"/>
  <c r="AC56" i="1"/>
  <c r="V56" i="1"/>
  <c r="R56" i="1"/>
  <c r="X56" i="1" s="1"/>
  <c r="Q56" i="1"/>
  <c r="AF56" i="1"/>
  <c r="EU56" i="1" s="1"/>
  <c r="AC55" i="1"/>
  <c r="AD55" i="1"/>
  <c r="AH55" i="1" s="1"/>
  <c r="AF55" i="1"/>
  <c r="EU55" i="1" s="1"/>
  <c r="EY55" i="1" s="1"/>
  <c r="AE55" i="1"/>
  <c r="ET55" i="1" s="1"/>
  <c r="AE34" i="1"/>
  <c r="AC34" i="1"/>
  <c r="AF20" i="1"/>
  <c r="EU20" i="1" s="1"/>
  <c r="EY20" i="1" s="1"/>
  <c r="AC20" i="1"/>
  <c r="AD34" i="1"/>
  <c r="AH34" i="1" s="1"/>
  <c r="AE20" i="1"/>
  <c r="ET20" i="1" s="1"/>
  <c r="AD20" i="1"/>
  <c r="AH20" i="1" s="1"/>
  <c r="R34" i="1"/>
  <c r="X34" i="1" s="1"/>
  <c r="AC24" i="1"/>
  <c r="AE24" i="1"/>
  <c r="AD24" i="1"/>
  <c r="AH24" i="1" s="1"/>
  <c r="AF24" i="1"/>
  <c r="AE48" i="1"/>
  <c r="ET48" i="1" s="1"/>
  <c r="AD48" i="1"/>
  <c r="AH48" i="1" s="1"/>
  <c r="AF48" i="1"/>
  <c r="EU48" i="1" s="1"/>
  <c r="EY48" i="1" s="1"/>
  <c r="AC48" i="1"/>
  <c r="R24" i="1"/>
  <c r="X24" i="1" s="1"/>
  <c r="Q24" i="1"/>
  <c r="R44" i="1"/>
  <c r="X44" i="1" s="1"/>
  <c r="JO44" i="1" s="1"/>
  <c r="Q44" i="1"/>
  <c r="AE28" i="1"/>
  <c r="ET28" i="1" s="1"/>
  <c r="AE19" i="1"/>
  <c r="AC19" i="1"/>
  <c r="AF19" i="1"/>
  <c r="AD19" i="1"/>
  <c r="AH19" i="1" s="1"/>
  <c r="AD28" i="1"/>
  <c r="AH28" i="1" s="1"/>
  <c r="AF31" i="1"/>
  <c r="EU31" i="1" s="1"/>
  <c r="AC31" i="1"/>
  <c r="AE31" i="1"/>
  <c r="ET31" i="1" s="1"/>
  <c r="AD31" i="1"/>
  <c r="ES31" i="1" s="1"/>
  <c r="AE50" i="1"/>
  <c r="AC50" i="1"/>
  <c r="AD50" i="1"/>
  <c r="AH50" i="1" s="1"/>
  <c r="R28" i="1"/>
  <c r="X28" i="1" s="1"/>
  <c r="JO28" i="1" s="1"/>
  <c r="Q28" i="1"/>
  <c r="AE49" i="1"/>
  <c r="ET49" i="1" s="1"/>
  <c r="AD49" i="1"/>
  <c r="AH49" i="1" s="1"/>
  <c r="Q35" i="1"/>
  <c r="R35" i="1"/>
  <c r="X35" i="1" s="1"/>
  <c r="JO35" i="1" s="1"/>
  <c r="AF50" i="1"/>
  <c r="AF28" i="1"/>
  <c r="EU28" i="1" s="1"/>
  <c r="EY28" i="1" s="1"/>
  <c r="R29" i="1"/>
  <c r="X29" i="1" s="1"/>
  <c r="JO29" i="1" s="1"/>
  <c r="AC28" i="1"/>
  <c r="AF49" i="1"/>
  <c r="EU49" i="1" s="1"/>
  <c r="EY49" i="1" s="1"/>
  <c r="V21" i="1"/>
  <c r="R47" i="1"/>
  <c r="X47" i="1" s="1"/>
  <c r="JO47" i="1" s="1"/>
  <c r="Q47" i="1"/>
  <c r="AF25" i="1"/>
  <c r="AE25" i="1"/>
  <c r="AD25" i="1"/>
  <c r="AH25" i="1" s="1"/>
  <c r="AF9" i="1"/>
  <c r="EU9" i="1" s="1"/>
  <c r="EY9" i="1" s="1"/>
  <c r="AE9" i="1"/>
  <c r="ET9" i="1" s="1"/>
  <c r="AD9" i="1"/>
  <c r="AH9" i="1" s="1"/>
  <c r="R46" i="1"/>
  <c r="X46" i="1" s="1"/>
  <c r="JO46" i="1" s="1"/>
  <c r="Q46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IS40" i="1" l="1"/>
  <c r="IS39" i="1"/>
  <c r="IS23" i="1"/>
  <c r="GV36" i="1"/>
  <c r="GU36" i="1" s="1"/>
  <c r="DK36" i="1"/>
  <c r="ES36" i="1"/>
  <c r="FK36" i="1" s="1"/>
  <c r="DJ36" i="1"/>
  <c r="GM36" i="1"/>
  <c r="EU36" i="1"/>
  <c r="CD36" i="1"/>
  <c r="GV33" i="1"/>
  <c r="GU33" i="1" s="1"/>
  <c r="CD33" i="1"/>
  <c r="DI33" i="1"/>
  <c r="DJ33" i="1"/>
  <c r="BL33" i="1"/>
  <c r="EU33" i="1"/>
  <c r="ES33" i="1"/>
  <c r="FK33" i="1" s="1"/>
  <c r="JD23" i="1" a="1"/>
  <c r="JD23" i="1" s="1"/>
  <c r="JD30" i="1" a="1"/>
  <c r="JD30" i="1" s="1"/>
  <c r="BO132" i="1"/>
  <c r="BQ132" i="1"/>
  <c r="BR132" i="1"/>
  <c r="BP132" i="1"/>
  <c r="AI129" i="1"/>
  <c r="BR130" i="1"/>
  <c r="BO130" i="1"/>
  <c r="BP130" i="1"/>
  <c r="DK126" i="1"/>
  <c r="ES128" i="1"/>
  <c r="FK128" i="1" s="1"/>
  <c r="ES126" i="1"/>
  <c r="FK126" i="1" s="1"/>
  <c r="DI102" i="1"/>
  <c r="GV124" i="1"/>
  <c r="GU124" i="1" s="1"/>
  <c r="DI108" i="1"/>
  <c r="BI102" i="1"/>
  <c r="DK54" i="1"/>
  <c r="DK112" i="1"/>
  <c r="ES124" i="1"/>
  <c r="FK124" i="1" s="1"/>
  <c r="BL124" i="1"/>
  <c r="EU122" i="1"/>
  <c r="EY122" i="1" s="1"/>
  <c r="ES100" i="1"/>
  <c r="FK100" i="1" s="1"/>
  <c r="DJ108" i="1"/>
  <c r="ES112" i="1"/>
  <c r="FK112" i="1" s="1"/>
  <c r="EU112" i="1"/>
  <c r="EY112" i="1" s="1"/>
  <c r="CD108" i="1"/>
  <c r="FK108" i="1"/>
  <c r="EU108" i="1"/>
  <c r="EY108" i="1" s="1"/>
  <c r="DJ106" i="1"/>
  <c r="ES106" i="1"/>
  <c r="FK106" i="1" s="1"/>
  <c r="ES104" i="1"/>
  <c r="FK104" i="1" s="1"/>
  <c r="EU100" i="1"/>
  <c r="EY100" i="1" s="1"/>
  <c r="ES99" i="1"/>
  <c r="FK99" i="1" s="1"/>
  <c r="ES98" i="1"/>
  <c r="FK98" i="1" s="1"/>
  <c r="BL98" i="1"/>
  <c r="GV54" i="1"/>
  <c r="GX54" i="1" s="1"/>
  <c r="ES54" i="1"/>
  <c r="FK54" i="1" s="1"/>
  <c r="IS22" i="1"/>
  <c r="IS26" i="1"/>
  <c r="IS21" i="1"/>
  <c r="BL112" i="1"/>
  <c r="GV112" i="1"/>
  <c r="GU112" i="1" s="1"/>
  <c r="DJ112" i="1"/>
  <c r="CD112" i="1"/>
  <c r="FK110" i="1"/>
  <c r="GV110" i="1"/>
  <c r="GU110" i="1" s="1"/>
  <c r="CD110" i="1"/>
  <c r="DK110" i="1"/>
  <c r="DJ110" i="1"/>
  <c r="DI110" i="1"/>
  <c r="DK108" i="1"/>
  <c r="GV108" i="1"/>
  <c r="GX108" i="1" s="1"/>
  <c r="GV128" i="1"/>
  <c r="GU128" i="1" s="1"/>
  <c r="DK100" i="1"/>
  <c r="DJ128" i="1"/>
  <c r="DK128" i="1"/>
  <c r="BL128" i="1"/>
  <c r="DI126" i="1"/>
  <c r="DI128" i="1"/>
  <c r="CD128" i="1"/>
  <c r="EY128" i="1"/>
  <c r="DJ102" i="1"/>
  <c r="DI106" i="1"/>
  <c r="DK106" i="1"/>
  <c r="GV106" i="1"/>
  <c r="GX106" i="1" s="1"/>
  <c r="CD106" i="1"/>
  <c r="GV126" i="1"/>
  <c r="GU126" i="1" s="1"/>
  <c r="BL126" i="1"/>
  <c r="DJ126" i="1"/>
  <c r="CD126" i="1"/>
  <c r="DI104" i="1"/>
  <c r="BI124" i="1"/>
  <c r="DK124" i="1"/>
  <c r="GV104" i="1"/>
  <c r="GX104" i="1" s="1"/>
  <c r="DJ124" i="1"/>
  <c r="DJ54" i="1"/>
  <c r="DJ104" i="1"/>
  <c r="DK104" i="1"/>
  <c r="BL104" i="1"/>
  <c r="GK104" i="1"/>
  <c r="CD104" i="1"/>
  <c r="BI98" i="1"/>
  <c r="DI124" i="1"/>
  <c r="CD124" i="1"/>
  <c r="GV100" i="1"/>
  <c r="GX100" i="1" s="1"/>
  <c r="CD102" i="1"/>
  <c r="GV102" i="1"/>
  <c r="GU102" i="1" s="1"/>
  <c r="DK102" i="1"/>
  <c r="DJ122" i="1"/>
  <c r="CD122" i="1"/>
  <c r="GV122" i="1"/>
  <c r="GX122" i="1" s="1"/>
  <c r="DI122" i="1"/>
  <c r="FK122" i="1"/>
  <c r="BI122" i="1"/>
  <c r="DI100" i="1"/>
  <c r="BL100" i="1"/>
  <c r="DI99" i="1"/>
  <c r="DK99" i="1"/>
  <c r="GV98" i="1"/>
  <c r="GX98" i="1" s="1"/>
  <c r="DJ100" i="1"/>
  <c r="DK98" i="1"/>
  <c r="GM100" i="1"/>
  <c r="CD100" i="1"/>
  <c r="BL99" i="1"/>
  <c r="DJ99" i="1"/>
  <c r="GU99" i="1"/>
  <c r="GX99" i="1"/>
  <c r="CD99" i="1"/>
  <c r="GM99" i="1"/>
  <c r="CD98" i="1"/>
  <c r="DJ98" i="1"/>
  <c r="DI98" i="1"/>
  <c r="DI54" i="1"/>
  <c r="CD54" i="1"/>
  <c r="BL54" i="1"/>
  <c r="AG118" i="1"/>
  <c r="IR126" i="1"/>
  <c r="IR125" i="1"/>
  <c r="IR120" i="1"/>
  <c r="IR119" i="1"/>
  <c r="IR107" i="1"/>
  <c r="AG102" i="1"/>
  <c r="BK102" i="1" s="1"/>
  <c r="IS33" i="1"/>
  <c r="IR15" i="1"/>
  <c r="IW89" i="1"/>
  <c r="IG89" i="1" s="1"/>
  <c r="IR13" i="1"/>
  <c r="JO68" i="1"/>
  <c r="IR14" i="1"/>
  <c r="JO64" i="1"/>
  <c r="IR9" i="1"/>
  <c r="JO15" i="1"/>
  <c r="IW15" i="1"/>
  <c r="IG15" i="1" s="1"/>
  <c r="JO65" i="1"/>
  <c r="IR10" i="1"/>
  <c r="JO66" i="1"/>
  <c r="IR11" i="1"/>
  <c r="JO67" i="1"/>
  <c r="IR12" i="1"/>
  <c r="JO14" i="1"/>
  <c r="IW14" i="1"/>
  <c r="IG14" i="1" s="1"/>
  <c r="JO12" i="1"/>
  <c r="IW12" i="1"/>
  <c r="IG12" i="1" s="1"/>
  <c r="V10" i="1"/>
  <c r="IX10" i="1"/>
  <c r="JO13" i="1"/>
  <c r="IW13" i="1"/>
  <c r="IG13" i="1" s="1"/>
  <c r="IS24" i="1"/>
  <c r="IX9" i="1"/>
  <c r="AQ11" i="1"/>
  <c r="JO11" i="1"/>
  <c r="IW61" i="1"/>
  <c r="IG61" i="1" s="1"/>
  <c r="JO61" i="1"/>
  <c r="IW16" i="1"/>
  <c r="IG16" i="1" s="1"/>
  <c r="JO16" i="1"/>
  <c r="IW41" i="1"/>
  <c r="IG41" i="1" s="1"/>
  <c r="JO41" i="1"/>
  <c r="IW87" i="1"/>
  <c r="IG87" i="1" s="1"/>
  <c r="JO87" i="1"/>
  <c r="IW85" i="1"/>
  <c r="IG85" i="1" s="1"/>
  <c r="JO85" i="1"/>
  <c r="IW56" i="1"/>
  <c r="IG56" i="1" s="1"/>
  <c r="JO56" i="1"/>
  <c r="IW72" i="1"/>
  <c r="IG72" i="1" s="1"/>
  <c r="JO72" i="1"/>
  <c r="IW25" i="1"/>
  <c r="IG25" i="1" s="1"/>
  <c r="JO25" i="1"/>
  <c r="IW43" i="1"/>
  <c r="IG43" i="1" s="1"/>
  <c r="JO43" i="1"/>
  <c r="IW32" i="1"/>
  <c r="IG32" i="1" s="1"/>
  <c r="JO32" i="1"/>
  <c r="IW52" i="1"/>
  <c r="IG52" i="1" s="1"/>
  <c r="JO52" i="1"/>
  <c r="IW24" i="1"/>
  <c r="IG24" i="1" s="1"/>
  <c r="JO24" i="1"/>
  <c r="IW17" i="1"/>
  <c r="IG17" i="1" s="1"/>
  <c r="JO17" i="1"/>
  <c r="AQ10" i="1"/>
  <c r="JO10" i="1"/>
  <c r="IW34" i="1"/>
  <c r="IG34" i="1" s="1"/>
  <c r="JO34" i="1"/>
  <c r="IW86" i="1"/>
  <c r="IG86" i="1" s="1"/>
  <c r="JO86" i="1"/>
  <c r="IW37" i="1"/>
  <c r="IG37" i="1" s="1"/>
  <c r="JO37" i="1"/>
  <c r="IW69" i="1"/>
  <c r="IG69" i="1" s="1"/>
  <c r="JO69" i="1"/>
  <c r="IW84" i="1"/>
  <c r="IG84" i="1" s="1"/>
  <c r="JO84" i="1"/>
  <c r="IW42" i="1"/>
  <c r="IG42" i="1" s="1"/>
  <c r="JO42" i="1"/>
  <c r="IW26" i="1"/>
  <c r="IG26" i="1" s="1"/>
  <c r="JO26" i="1"/>
  <c r="IW38" i="1"/>
  <c r="IG38" i="1" s="1"/>
  <c r="JO38" i="1"/>
  <c r="IW60" i="1"/>
  <c r="IG60" i="1" s="1"/>
  <c r="JO60" i="1"/>
  <c r="IW74" i="1"/>
  <c r="IG74" i="1" s="1"/>
  <c r="JO74" i="1"/>
  <c r="IW55" i="1"/>
  <c r="IG55" i="1" s="1"/>
  <c r="JO55" i="1"/>
  <c r="IW88" i="1"/>
  <c r="IG88" i="1" s="1"/>
  <c r="JO88" i="1"/>
  <c r="IW70" i="1"/>
  <c r="IG70" i="1" s="1"/>
  <c r="JO70" i="1"/>
  <c r="IW59" i="1"/>
  <c r="IG59" i="1" s="1"/>
  <c r="JO59" i="1"/>
  <c r="IW71" i="1"/>
  <c r="IG71" i="1" s="1"/>
  <c r="JO71" i="1"/>
  <c r="IW51" i="1"/>
  <c r="IG51" i="1" s="1"/>
  <c r="JO51" i="1"/>
  <c r="IR121" i="1"/>
  <c r="IR122" i="1"/>
  <c r="IR123" i="1"/>
  <c r="IR103" i="1"/>
  <c r="IR109" i="1"/>
  <c r="AM102" i="1"/>
  <c r="AG123" i="1"/>
  <c r="AM101" i="1"/>
  <c r="AG44" i="1"/>
  <c r="IR133" i="1"/>
  <c r="AJ118" i="1"/>
  <c r="AG124" i="1"/>
  <c r="BJ124" i="1" s="1"/>
  <c r="AG108" i="1"/>
  <c r="IR118" i="1"/>
  <c r="AJ111" i="1"/>
  <c r="IR117" i="1"/>
  <c r="AJ102" i="1"/>
  <c r="IR110" i="1"/>
  <c r="IS18" i="1"/>
  <c r="IS25" i="1"/>
  <c r="ET21" i="1"/>
  <c r="AJ21" i="1"/>
  <c r="IR38" i="1"/>
  <c r="IW91" i="1"/>
  <c r="IG91" i="1" s="1"/>
  <c r="AI95" i="1"/>
  <c r="AG86" i="1"/>
  <c r="IR37" i="1"/>
  <c r="IR56" i="1"/>
  <c r="IR73" i="1"/>
  <c r="IR74" i="1"/>
  <c r="IR87" i="1"/>
  <c r="IR84" i="1"/>
  <c r="IR83" i="1"/>
  <c r="IR86" i="1"/>
  <c r="IR31" i="1"/>
  <c r="AJ97" i="1"/>
  <c r="IR99" i="1"/>
  <c r="AQ127" i="1"/>
  <c r="IW127" i="1"/>
  <c r="IG127" i="1" s="1"/>
  <c r="AQ124" i="1"/>
  <c r="GV11" i="1"/>
  <c r="GU11" i="1" s="1"/>
  <c r="EU22" i="1"/>
  <c r="EY22" i="1" s="1"/>
  <c r="GV56" i="1"/>
  <c r="GX56" i="1" s="1"/>
  <c r="EU23" i="1"/>
  <c r="EY23" i="1" s="1"/>
  <c r="GU12" i="1"/>
  <c r="DI10" i="1"/>
  <c r="DK10" i="1"/>
  <c r="DJ10" i="1"/>
  <c r="GK9" i="1"/>
  <c r="HS10" i="1"/>
  <c r="HL10" i="1" s="1"/>
  <c r="HS9" i="1"/>
  <c r="HL9" i="1" s="1"/>
  <c r="GV13" i="1"/>
  <c r="GX13" i="1" s="1"/>
  <c r="ES9" i="1"/>
  <c r="FK9" i="1" s="1"/>
  <c r="ES44" i="1"/>
  <c r="BL44" i="1"/>
  <c r="ES46" i="1"/>
  <c r="FK46" i="1" s="1"/>
  <c r="BM44" i="1"/>
  <c r="ES30" i="1"/>
  <c r="FK30" i="1" s="1"/>
  <c r="DI49" i="1"/>
  <c r="DJ22" i="1"/>
  <c r="BL23" i="1"/>
  <c r="EU46" i="1"/>
  <c r="EY46" i="1" s="1"/>
  <c r="BL10" i="1"/>
  <c r="ES38" i="1"/>
  <c r="FK38" i="1" s="1"/>
  <c r="EU57" i="1"/>
  <c r="EY57" i="1" s="1"/>
  <c r="DI9" i="1"/>
  <c r="EU11" i="1"/>
  <c r="EY11" i="1" s="1"/>
  <c r="EU47" i="1"/>
  <c r="EY47" i="1" s="1"/>
  <c r="AM47" i="1"/>
  <c r="DK28" i="1"/>
  <c r="DT21" i="1"/>
  <c r="ES39" i="1"/>
  <c r="FK39" i="1" s="1"/>
  <c r="DI38" i="1"/>
  <c r="EU38" i="1"/>
  <c r="EY38" i="1" s="1"/>
  <c r="ES11" i="1"/>
  <c r="FK11" i="1" s="1"/>
  <c r="ES14" i="1"/>
  <c r="FK14" i="1" s="1"/>
  <c r="DI20" i="1"/>
  <c r="DT40" i="1"/>
  <c r="DI55" i="1"/>
  <c r="BK44" i="1"/>
  <c r="BL9" i="1"/>
  <c r="ES48" i="1"/>
  <c r="FK48" i="1" s="1"/>
  <c r="ES56" i="1"/>
  <c r="FK56" i="1" s="1"/>
  <c r="AH27" i="1"/>
  <c r="BL27" i="1" s="1"/>
  <c r="ES27" i="1"/>
  <c r="FK27" i="1" s="1"/>
  <c r="BL13" i="1"/>
  <c r="AM29" i="1"/>
  <c r="EU29" i="1"/>
  <c r="EY29" i="1" s="1"/>
  <c r="AH29" i="1"/>
  <c r="BL29" i="1" s="1"/>
  <c r="ES29" i="1"/>
  <c r="FK29" i="1" s="1"/>
  <c r="EU44" i="1"/>
  <c r="EY44" i="1" s="1"/>
  <c r="EU39" i="1"/>
  <c r="EY39" i="1" s="1"/>
  <c r="BL28" i="1"/>
  <c r="AH37" i="1"/>
  <c r="BL37" i="1" s="1"/>
  <c r="ES37" i="1"/>
  <c r="FK37" i="1" s="1"/>
  <c r="ES47" i="1"/>
  <c r="FK47" i="1" s="1"/>
  <c r="ES28" i="1"/>
  <c r="FK28" i="1" s="1"/>
  <c r="AM45" i="1"/>
  <c r="EU45" i="1"/>
  <c r="EY45" i="1" s="1"/>
  <c r="AM27" i="1"/>
  <c r="EU27" i="1"/>
  <c r="EY27" i="1" s="1"/>
  <c r="AH40" i="1"/>
  <c r="BL40" i="1" s="1"/>
  <c r="ES40" i="1"/>
  <c r="FK40" i="1" s="1"/>
  <c r="AH45" i="1"/>
  <c r="BL45" i="1" s="1"/>
  <c r="ES45" i="1"/>
  <c r="FK45" i="1" s="1"/>
  <c r="AI12" i="1"/>
  <c r="EU12" i="1"/>
  <c r="EY12" i="1" s="1"/>
  <c r="EU30" i="1"/>
  <c r="EY30" i="1" s="1"/>
  <c r="ES55" i="1"/>
  <c r="FK55" i="1" s="1"/>
  <c r="ES32" i="1"/>
  <c r="FK32" i="1" s="1"/>
  <c r="BL32" i="1"/>
  <c r="AH12" i="1"/>
  <c r="BL12" i="1" s="1"/>
  <c r="ES12" i="1"/>
  <c r="FK12" i="1" s="1"/>
  <c r="ES20" i="1"/>
  <c r="FK20" i="1" s="1"/>
  <c r="BL48" i="1"/>
  <c r="ES49" i="1"/>
  <c r="FK49" i="1" s="1"/>
  <c r="BL55" i="1"/>
  <c r="AM40" i="1"/>
  <c r="EU40" i="1"/>
  <c r="EY40" i="1" s="1"/>
  <c r="AM37" i="1"/>
  <c r="EU37" i="1"/>
  <c r="EY37" i="1" s="1"/>
  <c r="ES57" i="1"/>
  <c r="FK57" i="1" s="1"/>
  <c r="AH21" i="1"/>
  <c r="BL21" i="1" s="1"/>
  <c r="ES21" i="1"/>
  <c r="FK21" i="1" s="1"/>
  <c r="ET44" i="1"/>
  <c r="BI44" i="1"/>
  <c r="GX45" i="1"/>
  <c r="DJ30" i="1"/>
  <c r="DK31" i="1"/>
  <c r="BI28" i="1"/>
  <c r="DT45" i="1"/>
  <c r="DJ47" i="1"/>
  <c r="DT12" i="1"/>
  <c r="GU37" i="1"/>
  <c r="DK9" i="1"/>
  <c r="DJ56" i="1"/>
  <c r="BL57" i="1"/>
  <c r="BN44" i="1"/>
  <c r="BI32" i="1"/>
  <c r="DJ28" i="1"/>
  <c r="DT27" i="1"/>
  <c r="GV39" i="1"/>
  <c r="GX39" i="1" s="1"/>
  <c r="GV9" i="1"/>
  <c r="FK10" i="1"/>
  <c r="DK38" i="1"/>
  <c r="GV44" i="1"/>
  <c r="GU44" i="1" s="1"/>
  <c r="DJ46" i="1"/>
  <c r="GU40" i="1"/>
  <c r="DT37" i="1"/>
  <c r="GV46" i="1"/>
  <c r="GU46" i="1" s="1"/>
  <c r="DJ14" i="1"/>
  <c r="FK22" i="1"/>
  <c r="DJ13" i="1"/>
  <c r="GX29" i="1"/>
  <c r="DT29" i="1"/>
  <c r="GV10" i="1"/>
  <c r="GX10" i="1" s="1"/>
  <c r="DJ11" i="1"/>
  <c r="DJ44" i="1"/>
  <c r="CD47" i="1"/>
  <c r="DI13" i="1"/>
  <c r="BL39" i="1"/>
  <c r="DJ20" i="1"/>
  <c r="DK46" i="1"/>
  <c r="DJ9" i="1"/>
  <c r="DI23" i="1"/>
  <c r="DK20" i="1"/>
  <c r="CD38" i="1"/>
  <c r="DI32" i="1"/>
  <c r="DK48" i="1"/>
  <c r="DJ23" i="1"/>
  <c r="DK22" i="1"/>
  <c r="DK13" i="1"/>
  <c r="BL20" i="1"/>
  <c r="DI56" i="1"/>
  <c r="CD32" i="1"/>
  <c r="DK57" i="1"/>
  <c r="DK44" i="1"/>
  <c r="GV20" i="1"/>
  <c r="GX20" i="1" s="1"/>
  <c r="GV14" i="1"/>
  <c r="GX14" i="1" s="1"/>
  <c r="DI11" i="1"/>
  <c r="GV30" i="1"/>
  <c r="GX30" i="1" s="1"/>
  <c r="DI48" i="1"/>
  <c r="GV48" i="1"/>
  <c r="GX48" i="1" s="1"/>
  <c r="GV47" i="1"/>
  <c r="GU47" i="1" s="1"/>
  <c r="DK14" i="1"/>
  <c r="DI22" i="1"/>
  <c r="CD44" i="1"/>
  <c r="FK23" i="1"/>
  <c r="DI30" i="1"/>
  <c r="GX27" i="1"/>
  <c r="DK39" i="1"/>
  <c r="BL56" i="1"/>
  <c r="DJ48" i="1"/>
  <c r="DK47" i="1"/>
  <c r="DJ31" i="1"/>
  <c r="GV57" i="1"/>
  <c r="GX57" i="1" s="1"/>
  <c r="DJ55" i="1"/>
  <c r="FK13" i="1"/>
  <c r="CD10" i="1"/>
  <c r="DK49" i="1"/>
  <c r="GV23" i="1"/>
  <c r="GX23" i="1" s="1"/>
  <c r="DI57" i="1"/>
  <c r="DK32" i="1"/>
  <c r="CD22" i="1"/>
  <c r="DK23" i="1"/>
  <c r="FK31" i="1"/>
  <c r="DK55" i="1"/>
  <c r="GV55" i="1"/>
  <c r="GU55" i="1" s="1"/>
  <c r="DI47" i="1"/>
  <c r="DI14" i="1"/>
  <c r="DK56" i="1"/>
  <c r="DK11" i="1"/>
  <c r="DJ38" i="1"/>
  <c r="GV22" i="1"/>
  <c r="GU22" i="1" s="1"/>
  <c r="CD13" i="1"/>
  <c r="BJ44" i="1"/>
  <c r="GV28" i="1"/>
  <c r="GX28" i="1" s="1"/>
  <c r="BI13" i="1"/>
  <c r="CD46" i="1"/>
  <c r="DJ49" i="1"/>
  <c r="GV49" i="1"/>
  <c r="GU49" i="1" s="1"/>
  <c r="GK32" i="1"/>
  <c r="GV32" i="1"/>
  <c r="GX21" i="1"/>
  <c r="DI44" i="1"/>
  <c r="CD14" i="1"/>
  <c r="GV31" i="1"/>
  <c r="GX31" i="1" s="1"/>
  <c r="DI31" i="1"/>
  <c r="DK30" i="1"/>
  <c r="DJ32" i="1"/>
  <c r="CD9" i="1"/>
  <c r="BI9" i="1"/>
  <c r="GM20" i="1"/>
  <c r="EY14" i="1"/>
  <c r="CD20" i="1"/>
  <c r="GM44" i="1"/>
  <c r="DI46" i="1"/>
  <c r="GK39" i="1"/>
  <c r="DJ39" i="1"/>
  <c r="CD48" i="1"/>
  <c r="GK38" i="1"/>
  <c r="BI10" i="1"/>
  <c r="CD30" i="1"/>
  <c r="EY56" i="1"/>
  <c r="BI11" i="1"/>
  <c r="BL11" i="1"/>
  <c r="BL46" i="1"/>
  <c r="CD39" i="1"/>
  <c r="GK20" i="1"/>
  <c r="GM46" i="1"/>
  <c r="CD49" i="1"/>
  <c r="GK23" i="1"/>
  <c r="GK48" i="1"/>
  <c r="CD11" i="1"/>
  <c r="DI39" i="1"/>
  <c r="BL14" i="1"/>
  <c r="BL49" i="1"/>
  <c r="CD23" i="1"/>
  <c r="CD56" i="1"/>
  <c r="BL47" i="1"/>
  <c r="EY31" i="1"/>
  <c r="BI22" i="1"/>
  <c r="BL22" i="1"/>
  <c r="BI23" i="1"/>
  <c r="BI48" i="1"/>
  <c r="BI31" i="1"/>
  <c r="GK31" i="1"/>
  <c r="GK57" i="1"/>
  <c r="CD31" i="1"/>
  <c r="DI28" i="1"/>
  <c r="BI38" i="1"/>
  <c r="BL38" i="1"/>
  <c r="GV38" i="1"/>
  <c r="CD57" i="1"/>
  <c r="GK28" i="1"/>
  <c r="BL30" i="1"/>
  <c r="DJ57" i="1"/>
  <c r="BI30" i="1"/>
  <c r="CD28" i="1"/>
  <c r="CD55" i="1"/>
  <c r="GK13" i="1"/>
  <c r="BI55" i="1"/>
  <c r="AJ62" i="1"/>
  <c r="AI118" i="1"/>
  <c r="AM54" i="1"/>
  <c r="AQ74" i="1"/>
  <c r="IR82" i="1"/>
  <c r="AI108" i="1"/>
  <c r="IR105" i="1"/>
  <c r="IR106" i="1"/>
  <c r="IR92" i="1"/>
  <c r="IW83" i="1"/>
  <c r="IG83" i="1" s="1"/>
  <c r="IR104" i="1"/>
  <c r="AQ119" i="1"/>
  <c r="IR128" i="1"/>
  <c r="IR69" i="1"/>
  <c r="AQ123" i="1"/>
  <c r="IR132" i="1"/>
  <c r="AQ109" i="1"/>
  <c r="IW109" i="1"/>
  <c r="IG109" i="1" s="1"/>
  <c r="AI75" i="1"/>
  <c r="AQ128" i="1"/>
  <c r="IW128" i="1"/>
  <c r="IG128" i="1" s="1"/>
  <c r="AQ122" i="1"/>
  <c r="IR131" i="1"/>
  <c r="IR85" i="1"/>
  <c r="AI109" i="1"/>
  <c r="AQ120" i="1"/>
  <c r="IR129" i="1"/>
  <c r="AQ126" i="1"/>
  <c r="IR135" i="1"/>
  <c r="AQ92" i="1"/>
  <c r="IW92" i="1"/>
  <c r="IG92" i="1" s="1"/>
  <c r="AG75" i="1"/>
  <c r="IR72" i="1"/>
  <c r="AQ129" i="1"/>
  <c r="IW129" i="1"/>
  <c r="IG129" i="1" s="1"/>
  <c r="AQ125" i="1"/>
  <c r="IR134" i="1"/>
  <c r="IR88" i="1"/>
  <c r="AM120" i="1"/>
  <c r="AI86" i="1"/>
  <c r="IR70" i="1"/>
  <c r="AQ110" i="1"/>
  <c r="IW110" i="1"/>
  <c r="IG110" i="1" s="1"/>
  <c r="AQ90" i="1"/>
  <c r="IR90" i="1"/>
  <c r="AG97" i="1"/>
  <c r="IW47" i="1"/>
  <c r="IG47" i="1" s="1"/>
  <c r="IR55" i="1"/>
  <c r="IR102" i="1"/>
  <c r="IR89" i="1"/>
  <c r="AQ83" i="1"/>
  <c r="IR91" i="1"/>
  <c r="AQ103" i="1"/>
  <c r="IW103" i="1"/>
  <c r="IG103" i="1" s="1"/>
  <c r="IR68" i="1"/>
  <c r="IR57" i="1"/>
  <c r="AQ68" i="1"/>
  <c r="IW68" i="1"/>
  <c r="IG68" i="1" s="1"/>
  <c r="AQ73" i="1"/>
  <c r="IW73" i="1"/>
  <c r="IG73" i="1" s="1"/>
  <c r="IR19" i="1"/>
  <c r="IW35" i="1"/>
  <c r="IG35" i="1" s="1"/>
  <c r="IR49" i="1"/>
  <c r="IR59" i="1"/>
  <c r="IR71" i="1"/>
  <c r="IR20" i="1"/>
  <c r="AQ20" i="1"/>
  <c r="IW20" i="1"/>
  <c r="IG20" i="1" s="1"/>
  <c r="IS19" i="1"/>
  <c r="IR47" i="1"/>
  <c r="IW19" i="1"/>
  <c r="IG19" i="1" s="1"/>
  <c r="IR32" i="1"/>
  <c r="IW49" i="1"/>
  <c r="IG49" i="1" s="1"/>
  <c r="IR50" i="1"/>
  <c r="IR28" i="1"/>
  <c r="AQ37" i="1"/>
  <c r="IR48" i="1"/>
  <c r="IR54" i="1"/>
  <c r="IW50" i="1"/>
  <c r="IG50" i="1" s="1"/>
  <c r="IR52" i="1"/>
  <c r="IW48" i="1"/>
  <c r="IG48" i="1" s="1"/>
  <c r="IR35" i="1"/>
  <c r="IW31" i="1"/>
  <c r="IG31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W99" i="1"/>
  <c r="IG99" i="1" s="1"/>
  <c r="AQ84" i="1"/>
  <c r="IR93" i="1"/>
  <c r="AQ87" i="1"/>
  <c r="IR96" i="1"/>
  <c r="AQ79" i="1"/>
  <c r="IR100" i="1"/>
  <c r="IW79" i="1"/>
  <c r="IG79" i="1" s="1"/>
  <c r="IW53" i="1"/>
  <c r="IG53" i="1" s="1"/>
  <c r="IR62" i="1"/>
  <c r="AQ106" i="1"/>
  <c r="IR113" i="1"/>
  <c r="V9" i="1"/>
  <c r="IS28" i="1"/>
  <c r="AQ46" i="1"/>
  <c r="IR67" i="1"/>
  <c r="IW46" i="1"/>
  <c r="IG46" i="1" s="1"/>
  <c r="IR51" i="1"/>
  <c r="IR66" i="1"/>
  <c r="AQ80" i="1"/>
  <c r="IW80" i="1"/>
  <c r="IG80" i="1" s="1"/>
  <c r="IR101" i="1"/>
  <c r="AQ112" i="1"/>
  <c r="IW112" i="1"/>
  <c r="IG112" i="1" s="1"/>
  <c r="AQ64" i="1"/>
  <c r="IW64" i="1"/>
  <c r="IG64" i="1" s="1"/>
  <c r="AQ86" i="1"/>
  <c r="IR95" i="1"/>
  <c r="IR26" i="1"/>
  <c r="IW23" i="1"/>
  <c r="IG23" i="1" s="1"/>
  <c r="IR25" i="1"/>
  <c r="IW22" i="1"/>
  <c r="IG22" i="1" s="1"/>
  <c r="IR34" i="1"/>
  <c r="IR46" i="1"/>
  <c r="IW30" i="1"/>
  <c r="IG30" i="1" s="1"/>
  <c r="IR36" i="1"/>
  <c r="IR39" i="1"/>
  <c r="AQ71" i="1"/>
  <c r="IR77" i="1"/>
  <c r="AQ96" i="1"/>
  <c r="IW96" i="1"/>
  <c r="IG96" i="1" s="1"/>
  <c r="AQ94" i="1"/>
  <c r="IW94" i="1"/>
  <c r="IG94" i="1" s="1"/>
  <c r="AQ105" i="1"/>
  <c r="IR112" i="1"/>
  <c r="AQ62" i="1"/>
  <c r="IW62" i="1"/>
  <c r="IG62" i="1" s="1"/>
  <c r="IR42" i="1"/>
  <c r="IW39" i="1"/>
  <c r="IG39" i="1" s="1"/>
  <c r="AQ67" i="1"/>
  <c r="IR81" i="1"/>
  <c r="IW67" i="1"/>
  <c r="IG67" i="1" s="1"/>
  <c r="AQ44" i="1"/>
  <c r="IR65" i="1"/>
  <c r="IW44" i="1"/>
  <c r="IG44" i="1" s="1"/>
  <c r="AQ76" i="1"/>
  <c r="IW76" i="1"/>
  <c r="IG76" i="1" s="1"/>
  <c r="AQ107" i="1"/>
  <c r="IR114" i="1"/>
  <c r="AQ114" i="1"/>
  <c r="IW114" i="1"/>
  <c r="IG114" i="1" s="1"/>
  <c r="AQ81" i="1"/>
  <c r="IW81" i="1"/>
  <c r="IG81" i="1" s="1"/>
  <c r="AQ100" i="1"/>
  <c r="IW100" i="1"/>
  <c r="IG100" i="1" s="1"/>
  <c r="IR116" i="1"/>
  <c r="IR16" i="1"/>
  <c r="IR21" i="1"/>
  <c r="AQ69" i="1"/>
  <c r="IR75" i="1"/>
  <c r="AQ104" i="1"/>
  <c r="IR111" i="1"/>
  <c r="AQ116" i="1"/>
  <c r="IW116" i="1"/>
  <c r="IG116" i="1" s="1"/>
  <c r="AQ55" i="1"/>
  <c r="IR64" i="1"/>
  <c r="AQ66" i="1"/>
  <c r="IW66" i="1"/>
  <c r="IG66" i="1" s="1"/>
  <c r="IR80" i="1"/>
  <c r="AQ72" i="1"/>
  <c r="IR78" i="1"/>
  <c r="AQ93" i="1"/>
  <c r="IW93" i="1"/>
  <c r="IG93" i="1" s="1"/>
  <c r="AQ27" i="1"/>
  <c r="IW27" i="1"/>
  <c r="IG27" i="1" s="1"/>
  <c r="IW18" i="1"/>
  <c r="IG18" i="1" s="1"/>
  <c r="IR27" i="1"/>
  <c r="AQ98" i="1"/>
  <c r="IW98" i="1"/>
  <c r="IG98" i="1" s="1"/>
  <c r="AQ65" i="1"/>
  <c r="IW65" i="1"/>
  <c r="IG65" i="1" s="1"/>
  <c r="IR79" i="1"/>
  <c r="AQ85" i="1"/>
  <c r="IR94" i="1"/>
  <c r="IR43" i="1"/>
  <c r="IW40" i="1"/>
  <c r="IG40" i="1" s="1"/>
  <c r="AQ117" i="1"/>
  <c r="IR29" i="1"/>
  <c r="IW117" i="1"/>
  <c r="IG117" i="1" s="1"/>
  <c r="AQ45" i="1"/>
  <c r="IW45" i="1"/>
  <c r="IG45" i="1" s="1"/>
  <c r="AQ88" i="1"/>
  <c r="IR97" i="1"/>
  <c r="IR33" i="1"/>
  <c r="IW29" i="1"/>
  <c r="IG29" i="1" s="1"/>
  <c r="IR45" i="1"/>
  <c r="AQ77" i="1"/>
  <c r="IW77" i="1"/>
  <c r="IG77" i="1" s="1"/>
  <c r="AQ115" i="1"/>
  <c r="IW115" i="1"/>
  <c r="IG115" i="1" s="1"/>
  <c r="AQ78" i="1"/>
  <c r="IW78" i="1"/>
  <c r="IG78" i="1" s="1"/>
  <c r="IR17" i="1"/>
  <c r="IR22" i="1"/>
  <c r="IR53" i="1"/>
  <c r="IR58" i="1"/>
  <c r="IR41" i="1"/>
  <c r="IW54" i="1"/>
  <c r="IG54" i="1" s="1"/>
  <c r="IR63" i="1"/>
  <c r="AQ113" i="1"/>
  <c r="IW113" i="1"/>
  <c r="IG113" i="1" s="1"/>
  <c r="IR60" i="1"/>
  <c r="AQ63" i="1"/>
  <c r="IW63" i="1"/>
  <c r="IG63" i="1" s="1"/>
  <c r="AQ108" i="1"/>
  <c r="IR115" i="1"/>
  <c r="AQ28" i="1"/>
  <c r="IR44" i="1"/>
  <c r="IW28" i="1"/>
  <c r="IG28" i="1" s="1"/>
  <c r="IR61" i="1"/>
  <c r="IW58" i="1"/>
  <c r="IG58" i="1" s="1"/>
  <c r="AQ89" i="1"/>
  <c r="IR98" i="1"/>
  <c r="AQ118" i="1"/>
  <c r="IR30" i="1"/>
  <c r="IW118" i="1"/>
  <c r="IG118" i="1" s="1"/>
  <c r="IW33" i="1"/>
  <c r="IG33" i="1" s="1"/>
  <c r="IR40" i="1"/>
  <c r="IR18" i="1"/>
  <c r="IR23" i="1"/>
  <c r="IR24" i="1"/>
  <c r="IW21" i="1"/>
  <c r="IG21" i="1" s="1"/>
  <c r="AQ70" i="1"/>
  <c r="IR76" i="1"/>
  <c r="AQ75" i="1"/>
  <c r="IW75" i="1"/>
  <c r="IG75" i="1" s="1"/>
  <c r="AQ95" i="1"/>
  <c r="IW95" i="1"/>
  <c r="IG95" i="1" s="1"/>
  <c r="M9" i="7"/>
  <c r="AG47" i="1"/>
  <c r="BJ47" i="1" s="1"/>
  <c r="AJ39" i="1"/>
  <c r="AG54" i="1"/>
  <c r="BM54" i="1" s="1"/>
  <c r="AJ47" i="1"/>
  <c r="AJ59" i="1"/>
  <c r="AJ54" i="1"/>
  <c r="AG46" i="1"/>
  <c r="BK46" i="1" s="1"/>
  <c r="Q8" i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BN11" i="1" s="1"/>
  <c r="AM13" i="1"/>
  <c r="AG13" i="1"/>
  <c r="BJ13" i="1" s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BK21" i="1" s="1"/>
  <c r="AG38" i="1"/>
  <c r="BK38" i="1" s="1"/>
  <c r="AG10" i="1"/>
  <c r="BM10" i="1" s="1"/>
  <c r="AI52" i="1"/>
  <c r="AM18" i="1"/>
  <c r="AG39" i="1"/>
  <c r="BJ39" i="1" s="1"/>
  <c r="AM44" i="1"/>
  <c r="AJ22" i="1"/>
  <c r="AM30" i="1"/>
  <c r="AI17" i="1"/>
  <c r="AJ51" i="1"/>
  <c r="AJ15" i="1"/>
  <c r="AJ38" i="1"/>
  <c r="AG36" i="1"/>
  <c r="BN36" i="1" s="1"/>
  <c r="AM57" i="1"/>
  <c r="AG57" i="1"/>
  <c r="BJ57" i="1" s="1"/>
  <c r="AG22" i="1"/>
  <c r="BN22" i="1" s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BN23" i="1" s="1"/>
  <c r="AG27" i="1"/>
  <c r="AI35" i="1"/>
  <c r="AJ23" i="1"/>
  <c r="AG14" i="1"/>
  <c r="BN14" i="1" s="1"/>
  <c r="AJ27" i="1"/>
  <c r="AI13" i="1"/>
  <c r="AG30" i="1"/>
  <c r="BK30" i="1" s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G45" i="1"/>
  <c r="AG51" i="1"/>
  <c r="AG53" i="1"/>
  <c r="AM53" i="1"/>
  <c r="AM59" i="1"/>
  <c r="AI59" i="1"/>
  <c r="AJ26" i="1"/>
  <c r="AJ103" i="1"/>
  <c r="AG100" i="1"/>
  <c r="BN100" i="1" s="1"/>
  <c r="AJ98" i="1"/>
  <c r="AG92" i="1"/>
  <c r="AI84" i="1"/>
  <c r="AJ79" i="1"/>
  <c r="AJ77" i="1"/>
  <c r="AM61" i="1"/>
  <c r="AI43" i="1"/>
  <c r="AJ32" i="1"/>
  <c r="AJ12" i="1"/>
  <c r="AG32" i="1"/>
  <c r="BJ32" i="1" s="1"/>
  <c r="AG29" i="1"/>
  <c r="AI29" i="1"/>
  <c r="AM51" i="1"/>
  <c r="AJ18" i="1"/>
  <c r="AI34" i="1"/>
  <c r="AG60" i="1"/>
  <c r="AG33" i="1"/>
  <c r="BJ33" i="1" s="1"/>
  <c r="AI32" i="1"/>
  <c r="AM32" i="1"/>
  <c r="AM60" i="1"/>
  <c r="AI10" i="1"/>
  <c r="AM10" i="1"/>
  <c r="AJ29" i="1"/>
  <c r="AJ57" i="1"/>
  <c r="AJ52" i="1"/>
  <c r="AG43" i="1"/>
  <c r="AJ41" i="1"/>
  <c r="AG20" i="1"/>
  <c r="BN20" i="1" s="1"/>
  <c r="AZ151" i="1"/>
  <c r="BA36" i="1" s="1"/>
  <c r="GN36" i="1" s="1"/>
  <c r="GL2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BM106" i="1" s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BM112" i="1" s="1"/>
  <c r="AJ117" i="1"/>
  <c r="AI123" i="1"/>
  <c r="AM20" i="1"/>
  <c r="AJ95" i="1"/>
  <c r="AI112" i="1"/>
  <c r="AH108" i="1"/>
  <c r="BL108" i="1" s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BJ128" i="1" s="1"/>
  <c r="AI128" i="1"/>
  <c r="AM128" i="1"/>
  <c r="AJ128" i="1"/>
  <c r="AG127" i="1"/>
  <c r="AM126" i="1"/>
  <c r="AI126" i="1"/>
  <c r="AG126" i="1"/>
  <c r="BN126" i="1" s="1"/>
  <c r="AJ125" i="1"/>
  <c r="AH122" i="1"/>
  <c r="BL122" i="1" s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BJ110" i="1" s="1"/>
  <c r="AI110" i="1"/>
  <c r="AJ110" i="1"/>
  <c r="AH110" i="1"/>
  <c r="BL110" i="1" s="1"/>
  <c r="AG109" i="1"/>
  <c r="AG107" i="1"/>
  <c r="AI107" i="1"/>
  <c r="AM107" i="1"/>
  <c r="AJ107" i="1"/>
  <c r="AM105" i="1"/>
  <c r="AI105" i="1"/>
  <c r="AG105" i="1"/>
  <c r="AH105" i="1"/>
  <c r="AM104" i="1"/>
  <c r="AG104" i="1"/>
  <c r="BJ104" i="1" s="1"/>
  <c r="AI104" i="1"/>
  <c r="AJ99" i="1"/>
  <c r="AM99" i="1"/>
  <c r="AI99" i="1"/>
  <c r="AG99" i="1"/>
  <c r="BM99" i="1" s="1"/>
  <c r="AG98" i="1"/>
  <c r="BJ98" i="1" s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BN56" i="1" s="1"/>
  <c r="AJ56" i="1"/>
  <c r="AJ55" i="1"/>
  <c r="AM55" i="1"/>
  <c r="AG55" i="1"/>
  <c r="BM55" i="1" s="1"/>
  <c r="AI55" i="1"/>
  <c r="AJ34" i="1"/>
  <c r="AJ48" i="1"/>
  <c r="AI48" i="1"/>
  <c r="AM48" i="1"/>
  <c r="AG48" i="1"/>
  <c r="BK48" i="1" s="1"/>
  <c r="AM24" i="1"/>
  <c r="AG24" i="1"/>
  <c r="AI24" i="1"/>
  <c r="AJ24" i="1"/>
  <c r="AJ28" i="1"/>
  <c r="AG19" i="1"/>
  <c r="AM19" i="1"/>
  <c r="AI19" i="1"/>
  <c r="AJ25" i="1"/>
  <c r="AJ19" i="1"/>
  <c r="AJ31" i="1"/>
  <c r="AH31" i="1"/>
  <c r="BL31" i="1" s="1"/>
  <c r="AI31" i="1"/>
  <c r="AM31" i="1"/>
  <c r="AG31" i="1"/>
  <c r="BJ31" i="1" s="1"/>
  <c r="AJ9" i="1"/>
  <c r="AG28" i="1"/>
  <c r="BJ28" i="1" s="1"/>
  <c r="AM28" i="1"/>
  <c r="AI28" i="1"/>
  <c r="AM50" i="1"/>
  <c r="AG50" i="1"/>
  <c r="AI50" i="1"/>
  <c r="AJ49" i="1"/>
  <c r="AJ50" i="1"/>
  <c r="AG49" i="1"/>
  <c r="BJ49" i="1" s="1"/>
  <c r="AI49" i="1"/>
  <c r="AM49" i="1"/>
  <c r="AI25" i="1"/>
  <c r="AG25" i="1"/>
  <c r="AM25" i="1"/>
  <c r="AG9" i="1"/>
  <c r="BM9" i="1" s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GX36" i="1" l="1"/>
  <c r="DT36" i="1"/>
  <c r="EY36" i="1"/>
  <c r="BK36" i="1"/>
  <c r="BP36" i="1" s="1"/>
  <c r="BM36" i="1"/>
  <c r="BJ36" i="1"/>
  <c r="GX33" i="1"/>
  <c r="DT33" i="1"/>
  <c r="BA112" i="1"/>
  <c r="GN112" i="1" s="1"/>
  <c r="BA33" i="1"/>
  <c r="GN33" i="1" s="1"/>
  <c r="EY33" i="1"/>
  <c r="BM33" i="1"/>
  <c r="BQ33" i="1" s="1"/>
  <c r="BK33" i="1"/>
  <c r="BN33" i="1"/>
  <c r="BN128" i="1"/>
  <c r="BM128" i="1"/>
  <c r="BQ128" i="1" s="1"/>
  <c r="BK128" i="1"/>
  <c r="DT112" i="1"/>
  <c r="GX126" i="1"/>
  <c r="BM126" i="1"/>
  <c r="BJ126" i="1"/>
  <c r="BK126" i="1"/>
  <c r="BP126" i="1" s="1"/>
  <c r="GX124" i="1"/>
  <c r="BK124" i="1"/>
  <c r="BM124" i="1"/>
  <c r="BN124" i="1"/>
  <c r="BM122" i="1"/>
  <c r="BJ122" i="1"/>
  <c r="BK122" i="1"/>
  <c r="BN122" i="1"/>
  <c r="DT108" i="1"/>
  <c r="BN112" i="1"/>
  <c r="BJ112" i="1"/>
  <c r="BQ112" i="1" s="1"/>
  <c r="BK112" i="1"/>
  <c r="BK110" i="1"/>
  <c r="BN110" i="1"/>
  <c r="BM110" i="1"/>
  <c r="BQ110" i="1" s="1"/>
  <c r="BN108" i="1"/>
  <c r="BK108" i="1"/>
  <c r="BM108" i="1"/>
  <c r="BJ108" i="1"/>
  <c r="BJ106" i="1"/>
  <c r="BQ106" i="1" s="1"/>
  <c r="BK106" i="1"/>
  <c r="BN106" i="1"/>
  <c r="BM104" i="1"/>
  <c r="BQ104" i="1" s="1"/>
  <c r="BN104" i="1"/>
  <c r="BK104" i="1"/>
  <c r="BJ102" i="1"/>
  <c r="BN102" i="1"/>
  <c r="BP102" i="1" s="1"/>
  <c r="BM102" i="1"/>
  <c r="BK100" i="1"/>
  <c r="BP100" i="1" s="1"/>
  <c r="BJ100" i="1"/>
  <c r="GU54" i="1"/>
  <c r="BM100" i="1"/>
  <c r="BJ99" i="1"/>
  <c r="BK99" i="1"/>
  <c r="BN99" i="1"/>
  <c r="BK98" i="1"/>
  <c r="BN98" i="1"/>
  <c r="BM98" i="1"/>
  <c r="BQ98" i="1" s="1"/>
  <c r="BJ54" i="1"/>
  <c r="BQ54" i="1" s="1"/>
  <c r="BN54" i="1"/>
  <c r="BK54" i="1"/>
  <c r="GX112" i="1"/>
  <c r="BA130" i="1"/>
  <c r="GN130" i="1" s="1"/>
  <c r="BA132" i="1"/>
  <c r="GN132" i="1" s="1"/>
  <c r="DT110" i="1"/>
  <c r="GX110" i="1"/>
  <c r="BA110" i="1"/>
  <c r="GN110" i="1" s="1"/>
  <c r="GU108" i="1"/>
  <c r="GX128" i="1"/>
  <c r="BA128" i="1"/>
  <c r="GN128" i="1" s="1"/>
  <c r="BA108" i="1"/>
  <c r="GN108" i="1" s="1"/>
  <c r="DT126" i="1"/>
  <c r="DT128" i="1"/>
  <c r="DT102" i="1"/>
  <c r="DT106" i="1"/>
  <c r="GU106" i="1"/>
  <c r="BA126" i="1"/>
  <c r="GN126" i="1" s="1"/>
  <c r="BA106" i="1"/>
  <c r="GN106" i="1" s="1"/>
  <c r="DT104" i="1"/>
  <c r="GU104" i="1"/>
  <c r="DT54" i="1"/>
  <c r="DT124" i="1"/>
  <c r="BA98" i="1"/>
  <c r="GN98" i="1" s="1"/>
  <c r="BA104" i="1"/>
  <c r="GN104" i="1" s="1"/>
  <c r="BA124" i="1"/>
  <c r="GN124" i="1" s="1"/>
  <c r="GU100" i="1"/>
  <c r="GX102" i="1"/>
  <c r="BA102" i="1"/>
  <c r="GN102" i="1" s="1"/>
  <c r="GU122" i="1"/>
  <c r="DT122" i="1"/>
  <c r="BA122" i="1"/>
  <c r="GN122" i="1" s="1"/>
  <c r="DT100" i="1"/>
  <c r="GU98" i="1"/>
  <c r="DT99" i="1"/>
  <c r="BA100" i="1"/>
  <c r="GN100" i="1" s="1"/>
  <c r="GU56" i="1"/>
  <c r="BA99" i="1"/>
  <c r="GN99" i="1" s="1"/>
  <c r="DT98" i="1"/>
  <c r="BA46" i="1"/>
  <c r="GN46" i="1" s="1"/>
  <c r="BA54" i="1"/>
  <c r="GN54" i="1" s="1"/>
  <c r="JT52" i="1"/>
  <c r="JT53" i="1"/>
  <c r="JT49" i="1"/>
  <c r="JT51" i="1"/>
  <c r="JT47" i="1"/>
  <c r="JT48" i="1"/>
  <c r="JT46" i="1"/>
  <c r="JT9" i="1"/>
  <c r="JT14" i="1"/>
  <c r="JT32" i="1"/>
  <c r="JT34" i="1"/>
  <c r="JT35" i="1"/>
  <c r="JT42" i="1"/>
  <c r="JT45" i="1"/>
  <c r="JT43" i="1"/>
  <c r="JT41" i="1"/>
  <c r="JT24" i="1"/>
  <c r="JT40" i="1"/>
  <c r="JT27" i="1"/>
  <c r="JT10" i="1"/>
  <c r="JT39" i="1"/>
  <c r="JT11" i="1"/>
  <c r="JT38" i="1"/>
  <c r="JT29" i="1"/>
  <c r="JT21" i="1"/>
  <c r="JT37" i="1"/>
  <c r="JT22" i="1"/>
  <c r="JT36" i="1"/>
  <c r="JT19" i="1"/>
  <c r="JT17" i="1"/>
  <c r="JT18" i="1"/>
  <c r="JN70" i="1"/>
  <c r="JN47" i="1"/>
  <c r="JN60" i="1"/>
  <c r="JN84" i="1"/>
  <c r="JN34" i="1"/>
  <c r="JN52" i="1"/>
  <c r="JN72" i="1"/>
  <c r="JN41" i="1"/>
  <c r="JN53" i="1"/>
  <c r="JN15" i="1"/>
  <c r="JN54" i="1"/>
  <c r="JN31" i="1"/>
  <c r="JN44" i="1"/>
  <c r="JN19" i="1"/>
  <c r="JN64" i="1"/>
  <c r="JN12" i="1"/>
  <c r="JN27" i="1"/>
  <c r="JN51" i="1"/>
  <c r="JN88" i="1"/>
  <c r="JN38" i="1"/>
  <c r="JN69" i="1"/>
  <c r="JN10" i="1"/>
  <c r="JN9" i="1"/>
  <c r="JN36" i="1"/>
  <c r="JN57" i="1"/>
  <c r="JN32" i="1"/>
  <c r="JN56" i="1"/>
  <c r="JN16" i="1"/>
  <c r="JN82" i="1"/>
  <c r="JN79" i="1"/>
  <c r="JN58" i="1"/>
  <c r="JN18" i="1"/>
  <c r="JN23" i="1"/>
  <c r="JN30" i="1"/>
  <c r="JN45" i="1"/>
  <c r="JN39" i="1"/>
  <c r="JN62" i="1"/>
  <c r="JN22" i="1"/>
  <c r="JN48" i="1"/>
  <c r="JN33" i="1"/>
  <c r="JN71" i="1"/>
  <c r="JN55" i="1"/>
  <c r="JN26" i="1"/>
  <c r="JN37" i="1"/>
  <c r="JN17" i="1"/>
  <c r="JN43" i="1"/>
  <c r="JN85" i="1"/>
  <c r="JN61" i="1"/>
  <c r="JN40" i="1"/>
  <c r="JN80" i="1"/>
  <c r="JN75" i="1"/>
  <c r="JN73" i="1"/>
  <c r="JN13" i="1"/>
  <c r="JN20" i="1"/>
  <c r="JN14" i="1"/>
  <c r="JN35" i="1"/>
  <c r="JN50" i="1"/>
  <c r="JN66" i="1"/>
  <c r="JN83" i="1"/>
  <c r="JN81" i="1"/>
  <c r="JN59" i="1"/>
  <c r="JN74" i="1"/>
  <c r="JN42" i="1"/>
  <c r="JN86" i="1"/>
  <c r="JN24" i="1"/>
  <c r="JN25" i="1"/>
  <c r="JN87" i="1"/>
  <c r="JN11" i="1"/>
  <c r="JN67" i="1"/>
  <c r="JN49" i="1"/>
  <c r="JN68" i="1"/>
  <c r="JN28" i="1"/>
  <c r="JN78" i="1"/>
  <c r="JN63" i="1"/>
  <c r="JN65" i="1"/>
  <c r="JN21" i="1"/>
  <c r="JN77" i="1"/>
  <c r="JN29" i="1"/>
  <c r="JN76" i="1"/>
  <c r="JN46" i="1"/>
  <c r="JT26" i="1"/>
  <c r="JT13" i="1"/>
  <c r="JT33" i="1"/>
  <c r="JT31" i="1"/>
  <c r="JT16" i="1"/>
  <c r="JT44" i="1"/>
  <c r="JT28" i="1"/>
  <c r="JT20" i="1"/>
  <c r="JT23" i="1"/>
  <c r="JT15" i="1"/>
  <c r="JT50" i="1"/>
  <c r="JT25" i="1"/>
  <c r="JT12" i="1"/>
  <c r="JT30" i="1"/>
  <c r="W16" i="1"/>
  <c r="W144" i="1"/>
  <c r="W148" i="1"/>
  <c r="AK148" i="1" s="1"/>
  <c r="W143" i="1"/>
  <c r="AK143" i="1" s="1"/>
  <c r="W147" i="1"/>
  <c r="W145" i="1"/>
  <c r="W140" i="1"/>
  <c r="W149" i="1"/>
  <c r="W142" i="1"/>
  <c r="W141" i="1"/>
  <c r="W139" i="1"/>
  <c r="W146" i="1"/>
  <c r="W150" i="1"/>
  <c r="HW10" i="1"/>
  <c r="GU9" i="1"/>
  <c r="FK44" i="1"/>
  <c r="HW9" i="1"/>
  <c r="HU9" i="1"/>
  <c r="HT9" i="1"/>
  <c r="ID9" i="1"/>
  <c r="GX46" i="1"/>
  <c r="BM46" i="1"/>
  <c r="BM20" i="1"/>
  <c r="BN46" i="1"/>
  <c r="BP46" i="1" s="1"/>
  <c r="BJ11" i="1"/>
  <c r="BN13" i="1"/>
  <c r="BM56" i="1"/>
  <c r="BJ30" i="1"/>
  <c r="BN10" i="1"/>
  <c r="BM31" i="1"/>
  <c r="BQ31" i="1" s="1"/>
  <c r="BJ46" i="1"/>
  <c r="BM39" i="1"/>
  <c r="BQ39" i="1" s="1"/>
  <c r="BN55" i="1"/>
  <c r="BM49" i="1"/>
  <c r="BQ49" i="1" s="1"/>
  <c r="BK56" i="1"/>
  <c r="BP56" i="1" s="1"/>
  <c r="BJ56" i="1"/>
  <c r="BN40" i="1"/>
  <c r="BJ40" i="1"/>
  <c r="BK40" i="1"/>
  <c r="BM40" i="1"/>
  <c r="BM37" i="1"/>
  <c r="BN37" i="1"/>
  <c r="BJ37" i="1"/>
  <c r="BN57" i="1"/>
  <c r="BN49" i="1"/>
  <c r="BN9" i="1"/>
  <c r="BJ55" i="1"/>
  <c r="BQ55" i="1" s="1"/>
  <c r="BM14" i="1"/>
  <c r="BM30" i="1"/>
  <c r="BJ14" i="1"/>
  <c r="BJ20" i="1"/>
  <c r="BN28" i="1"/>
  <c r="BM27" i="1"/>
  <c r="BJ27" i="1"/>
  <c r="BN27" i="1"/>
  <c r="BM38" i="1"/>
  <c r="BK49" i="1"/>
  <c r="BK22" i="1"/>
  <c r="BP22" i="1" s="1"/>
  <c r="BN32" i="1"/>
  <c r="BN30" i="1"/>
  <c r="BP30" i="1" s="1"/>
  <c r="BK57" i="1"/>
  <c r="BJ38" i="1"/>
  <c r="BK31" i="1"/>
  <c r="BN21" i="1"/>
  <c r="BP21" i="1" s="1"/>
  <c r="BM21" i="1"/>
  <c r="BJ21" i="1"/>
  <c r="BN31" i="1"/>
  <c r="BJ9" i="1"/>
  <c r="BQ9" i="1" s="1"/>
  <c r="BJ22" i="1"/>
  <c r="BK32" i="1"/>
  <c r="BM32" i="1"/>
  <c r="BQ32" i="1" s="1"/>
  <c r="BM48" i="1"/>
  <c r="BK55" i="1"/>
  <c r="BK23" i="1"/>
  <c r="BP23" i="1" s="1"/>
  <c r="BJ10" i="1"/>
  <c r="BQ10" i="1" s="1"/>
  <c r="BN38" i="1"/>
  <c r="BP38" i="1" s="1"/>
  <c r="BM22" i="1"/>
  <c r="BJ23" i="1"/>
  <c r="BM12" i="1"/>
  <c r="BN12" i="1"/>
  <c r="BK12" i="1"/>
  <c r="BJ12" i="1"/>
  <c r="BM13" i="1"/>
  <c r="BQ13" i="1" s="1"/>
  <c r="BN39" i="1"/>
  <c r="BM23" i="1"/>
  <c r="BK11" i="1"/>
  <c r="BP11" i="1" s="1"/>
  <c r="BK20" i="1"/>
  <c r="BP20" i="1" s="1"/>
  <c r="BK14" i="1"/>
  <c r="BP14" i="1" s="1"/>
  <c r="BK9" i="1"/>
  <c r="BN47" i="1"/>
  <c r="BK45" i="1"/>
  <c r="BJ45" i="1"/>
  <c r="BM45" i="1"/>
  <c r="BN45" i="1"/>
  <c r="BN29" i="1"/>
  <c r="BK29" i="1"/>
  <c r="BM29" i="1"/>
  <c r="BJ29" i="1"/>
  <c r="BM57" i="1"/>
  <c r="BQ57" i="1" s="1"/>
  <c r="BK39" i="1"/>
  <c r="BM47" i="1"/>
  <c r="BK28" i="1"/>
  <c r="BK47" i="1"/>
  <c r="BK13" i="1"/>
  <c r="BJ48" i="1"/>
  <c r="BM11" i="1"/>
  <c r="BN48" i="1"/>
  <c r="BP48" i="1" s="1"/>
  <c r="BK10" i="1"/>
  <c r="BM28" i="1"/>
  <c r="BQ28" i="1" s="1"/>
  <c r="BK37" i="1"/>
  <c r="BK27" i="1"/>
  <c r="BP44" i="1"/>
  <c r="GU10" i="1"/>
  <c r="GU39" i="1"/>
  <c r="GU30" i="1"/>
  <c r="BO44" i="1"/>
  <c r="GX47" i="1"/>
  <c r="DT32" i="1"/>
  <c r="GX11" i="1"/>
  <c r="GX44" i="1"/>
  <c r="DT9" i="1"/>
  <c r="DT31" i="1"/>
  <c r="GX9" i="1"/>
  <c r="DT30" i="1"/>
  <c r="DT56" i="1"/>
  <c r="GU57" i="1"/>
  <c r="GU14" i="1"/>
  <c r="DT10" i="1"/>
  <c r="GU23" i="1"/>
  <c r="DT38" i="1"/>
  <c r="DT44" i="1"/>
  <c r="DT49" i="1"/>
  <c r="DT13" i="1"/>
  <c r="DT22" i="1"/>
  <c r="DT47" i="1"/>
  <c r="DT48" i="1"/>
  <c r="DT20" i="1"/>
  <c r="GU38" i="1"/>
  <c r="DT55" i="1"/>
  <c r="DT11" i="1"/>
  <c r="DT57" i="1"/>
  <c r="DT14" i="1"/>
  <c r="BR44" i="1"/>
  <c r="GX55" i="1"/>
  <c r="GU31" i="1"/>
  <c r="GX49" i="1"/>
  <c r="GU20" i="1"/>
  <c r="GU28" i="1"/>
  <c r="DT23" i="1"/>
  <c r="GU13" i="1"/>
  <c r="GX22" i="1"/>
  <c r="GU48" i="1"/>
  <c r="BQ44" i="1"/>
  <c r="GM2" i="1"/>
  <c r="GU32" i="1"/>
  <c r="GX32" i="1"/>
  <c r="BA13" i="1"/>
  <c r="GN13" i="1" s="1"/>
  <c r="BA56" i="1"/>
  <c r="GN56" i="1" s="1"/>
  <c r="BA55" i="1"/>
  <c r="GN55" i="1" s="1"/>
  <c r="BA28" i="1"/>
  <c r="GN28" i="1" s="1"/>
  <c r="DT46" i="1"/>
  <c r="BA27" i="1"/>
  <c r="GN27" i="1" s="1"/>
  <c r="BA12" i="1"/>
  <c r="GN12" i="1" s="1"/>
  <c r="BA40" i="1"/>
  <c r="GN40" i="1" s="1"/>
  <c r="BA45" i="1"/>
  <c r="GN45" i="1" s="1"/>
  <c r="BA29" i="1"/>
  <c r="GN29" i="1" s="1"/>
  <c r="BA37" i="1"/>
  <c r="GN37" i="1" s="1"/>
  <c r="BA21" i="1"/>
  <c r="GN21" i="1" s="1"/>
  <c r="BA22" i="1"/>
  <c r="GN22" i="1" s="1"/>
  <c r="BA57" i="1"/>
  <c r="GN57" i="1" s="1"/>
  <c r="BA38" i="1"/>
  <c r="GN38" i="1" s="1"/>
  <c r="BA11" i="1"/>
  <c r="GN11" i="1" s="1"/>
  <c r="BA49" i="1"/>
  <c r="GN49" i="1" s="1"/>
  <c r="BA47" i="1"/>
  <c r="GN47" i="1" s="1"/>
  <c r="BA14" i="1"/>
  <c r="GN14" i="1" s="1"/>
  <c r="BA39" i="1"/>
  <c r="GN39" i="1" s="1"/>
  <c r="BA48" i="1"/>
  <c r="GN48" i="1" s="1"/>
  <c r="BA9" i="1"/>
  <c r="BA30" i="1"/>
  <c r="GN30" i="1" s="1"/>
  <c r="GX38" i="1"/>
  <c r="BA10" i="1"/>
  <c r="GN10" i="1" s="1"/>
  <c r="BA32" i="1"/>
  <c r="GN32" i="1" s="1"/>
  <c r="DT39" i="1"/>
  <c r="DT28" i="1"/>
  <c r="BA44" i="1"/>
  <c r="GN44" i="1" s="1"/>
  <c r="BA31" i="1"/>
  <c r="GN31" i="1" s="1"/>
  <c r="BA23" i="1"/>
  <c r="GN23" i="1" s="1"/>
  <c r="BA20" i="1"/>
  <c r="GN20" i="1" s="1"/>
  <c r="K56" i="7"/>
  <c r="B56" i="7"/>
  <c r="D56" i="7"/>
  <c r="E56" i="7"/>
  <c r="F56" i="7"/>
  <c r="AA56" i="7" s="1"/>
  <c r="C56" i="7"/>
  <c r="O56" i="7" s="1"/>
  <c r="G56" i="7"/>
  <c r="AB56" i="7" s="1"/>
  <c r="H56" i="7"/>
  <c r="K58" i="7"/>
  <c r="B58" i="7"/>
  <c r="D58" i="7"/>
  <c r="E58" i="7"/>
  <c r="F58" i="7"/>
  <c r="AA58" i="7" s="1"/>
  <c r="C58" i="7"/>
  <c r="O58" i="7" s="1"/>
  <c r="G58" i="7"/>
  <c r="AB58" i="7" s="1"/>
  <c r="H58" i="7"/>
  <c r="K33" i="7"/>
  <c r="B33" i="7"/>
  <c r="N33" i="7" s="1"/>
  <c r="D33" i="7"/>
  <c r="P33" i="7" s="1"/>
  <c r="S33" i="7" s="1"/>
  <c r="E33" i="7"/>
  <c r="Z33" i="7" s="1"/>
  <c r="F33" i="7"/>
  <c r="C33" i="7"/>
  <c r="O33" i="7" s="1"/>
  <c r="G33" i="7"/>
  <c r="AB33" i="7" s="1"/>
  <c r="H33" i="7"/>
  <c r="K19" i="7"/>
  <c r="B19" i="7"/>
  <c r="N19" i="7" s="1"/>
  <c r="C19" i="7"/>
  <c r="O19" i="7" s="1"/>
  <c r="D19" i="7"/>
  <c r="P19" i="7" s="1"/>
  <c r="S19" i="7" s="1"/>
  <c r="E19" i="7"/>
  <c r="Z19" i="7" s="1"/>
  <c r="F19" i="7"/>
  <c r="AA19" i="7" s="1"/>
  <c r="G19" i="7"/>
  <c r="AB19" i="7" s="1"/>
  <c r="H19" i="7"/>
  <c r="K16" i="7"/>
  <c r="B16" i="7"/>
  <c r="N16" i="7" s="1"/>
  <c r="C16" i="7"/>
  <c r="O16" i="7" s="1"/>
  <c r="D16" i="7"/>
  <c r="P16" i="7" s="1"/>
  <c r="S16" i="7" s="1"/>
  <c r="E16" i="7"/>
  <c r="Z16" i="7" s="1"/>
  <c r="F16" i="7"/>
  <c r="AA16" i="7" s="1"/>
  <c r="G16" i="7"/>
  <c r="AB16" i="7" s="1"/>
  <c r="H16" i="7"/>
  <c r="K14" i="7"/>
  <c r="B14" i="7"/>
  <c r="N14" i="7" s="1"/>
  <c r="C14" i="7"/>
  <c r="O14" i="7" s="1"/>
  <c r="D14" i="7"/>
  <c r="P14" i="7" s="1"/>
  <c r="S14" i="7" s="1"/>
  <c r="E14" i="7"/>
  <c r="Z14" i="7" s="1"/>
  <c r="F14" i="7"/>
  <c r="AA14" i="7" s="1"/>
  <c r="G14" i="7"/>
  <c r="AB14" i="7" s="1"/>
  <c r="H14" i="7"/>
  <c r="K20" i="7"/>
  <c r="B20" i="7"/>
  <c r="N20" i="7" s="1"/>
  <c r="C20" i="7"/>
  <c r="O20" i="7" s="1"/>
  <c r="D20" i="7"/>
  <c r="E20" i="7"/>
  <c r="Z20" i="7" s="1"/>
  <c r="F20" i="7"/>
  <c r="AA20" i="7" s="1"/>
  <c r="G20" i="7"/>
  <c r="AB20" i="7" s="1"/>
  <c r="H20" i="7"/>
  <c r="B107" i="7"/>
  <c r="C107" i="7"/>
  <c r="D107" i="7"/>
  <c r="E107" i="7"/>
  <c r="F107" i="7"/>
  <c r="G107" i="7"/>
  <c r="H107" i="7"/>
  <c r="K107" i="7"/>
  <c r="B95" i="7"/>
  <c r="C95" i="7"/>
  <c r="D95" i="7"/>
  <c r="E95" i="7"/>
  <c r="F95" i="7"/>
  <c r="G95" i="7"/>
  <c r="H95" i="7"/>
  <c r="K95" i="7"/>
  <c r="B119" i="7"/>
  <c r="C119" i="7"/>
  <c r="D119" i="7"/>
  <c r="E119" i="7"/>
  <c r="F119" i="7"/>
  <c r="G119" i="7"/>
  <c r="H119" i="7"/>
  <c r="K119" i="7"/>
  <c r="B110" i="7"/>
  <c r="C110" i="7"/>
  <c r="D110" i="7"/>
  <c r="E110" i="7"/>
  <c r="F110" i="7"/>
  <c r="G110" i="7"/>
  <c r="H110" i="7"/>
  <c r="K110" i="7"/>
  <c r="B106" i="7"/>
  <c r="C106" i="7"/>
  <c r="D106" i="7"/>
  <c r="E106" i="7"/>
  <c r="F106" i="7"/>
  <c r="G106" i="7"/>
  <c r="H106" i="7"/>
  <c r="K106" i="7"/>
  <c r="B96" i="7"/>
  <c r="C96" i="7"/>
  <c r="D96" i="7"/>
  <c r="E96" i="7"/>
  <c r="F96" i="7"/>
  <c r="G96" i="7"/>
  <c r="H96" i="7"/>
  <c r="K96" i="7"/>
  <c r="B142" i="7"/>
  <c r="C142" i="7"/>
  <c r="D142" i="7"/>
  <c r="E142" i="7"/>
  <c r="F142" i="7"/>
  <c r="G142" i="7"/>
  <c r="H142" i="7"/>
  <c r="K142" i="7"/>
  <c r="B136" i="7"/>
  <c r="C136" i="7"/>
  <c r="D136" i="7"/>
  <c r="E136" i="7"/>
  <c r="F136" i="7"/>
  <c r="G136" i="7"/>
  <c r="H136" i="7"/>
  <c r="K136" i="7"/>
  <c r="B130" i="7"/>
  <c r="C130" i="7"/>
  <c r="D130" i="7"/>
  <c r="E130" i="7"/>
  <c r="F130" i="7"/>
  <c r="G130" i="7"/>
  <c r="H130" i="7"/>
  <c r="K130" i="7"/>
  <c r="K57" i="7"/>
  <c r="B57" i="7"/>
  <c r="D57" i="7"/>
  <c r="E57" i="7"/>
  <c r="F57" i="7"/>
  <c r="AA57" i="7" s="1"/>
  <c r="C57" i="7"/>
  <c r="O57" i="7" s="1"/>
  <c r="G57" i="7"/>
  <c r="H57" i="7"/>
  <c r="K76" i="7"/>
  <c r="B76" i="7"/>
  <c r="D76" i="7"/>
  <c r="E76" i="7"/>
  <c r="F76" i="7"/>
  <c r="C76" i="7"/>
  <c r="G76" i="7"/>
  <c r="H76" i="7"/>
  <c r="K50" i="7"/>
  <c r="B50" i="7"/>
  <c r="N50" i="7" s="1"/>
  <c r="D50" i="7"/>
  <c r="E50" i="7"/>
  <c r="F50" i="7"/>
  <c r="AA50" i="7" s="1"/>
  <c r="C50" i="7"/>
  <c r="O50" i="7" s="1"/>
  <c r="G50" i="7"/>
  <c r="AB50" i="7" s="1"/>
  <c r="H50" i="7"/>
  <c r="K63" i="7"/>
  <c r="B63" i="7"/>
  <c r="D63" i="7"/>
  <c r="E63" i="7"/>
  <c r="F63" i="7"/>
  <c r="C63" i="7"/>
  <c r="G63" i="7"/>
  <c r="H63" i="7"/>
  <c r="K23" i="7"/>
  <c r="B23" i="7"/>
  <c r="N23" i="7" s="1"/>
  <c r="C23" i="7"/>
  <c r="O23" i="7" s="1"/>
  <c r="D23" i="7"/>
  <c r="P23" i="7" s="1"/>
  <c r="S23" i="7" s="1"/>
  <c r="E23" i="7"/>
  <c r="Z23" i="7" s="1"/>
  <c r="F23" i="7"/>
  <c r="AA23" i="7" s="1"/>
  <c r="G23" i="7"/>
  <c r="AB23" i="7" s="1"/>
  <c r="H23" i="7"/>
  <c r="K46" i="7"/>
  <c r="B46" i="7"/>
  <c r="N46" i="7" s="1"/>
  <c r="D46" i="7"/>
  <c r="P46" i="7" s="1"/>
  <c r="S46" i="7" s="1"/>
  <c r="E46" i="7"/>
  <c r="F46" i="7"/>
  <c r="AA46" i="7" s="1"/>
  <c r="G46" i="7"/>
  <c r="AB46" i="7" s="1"/>
  <c r="H46" i="7"/>
  <c r="C46" i="7"/>
  <c r="O46" i="7" s="1"/>
  <c r="K44" i="7"/>
  <c r="B44" i="7"/>
  <c r="D44" i="7"/>
  <c r="E44" i="7"/>
  <c r="F44" i="7"/>
  <c r="AA44" i="7" s="1"/>
  <c r="C44" i="7"/>
  <c r="O44" i="7" s="1"/>
  <c r="G44" i="7"/>
  <c r="AB44" i="7" s="1"/>
  <c r="H44" i="7"/>
  <c r="K42" i="7"/>
  <c r="B42" i="7"/>
  <c r="N42" i="7" s="1"/>
  <c r="D42" i="7"/>
  <c r="E42" i="7"/>
  <c r="F42" i="7"/>
  <c r="AA42" i="7" s="1"/>
  <c r="C42" i="7"/>
  <c r="O42" i="7" s="1"/>
  <c r="G42" i="7"/>
  <c r="H42" i="7"/>
  <c r="K11" i="7"/>
  <c r="B11" i="7"/>
  <c r="N11" i="7" s="1"/>
  <c r="C11" i="7"/>
  <c r="O11" i="7" s="1"/>
  <c r="D11" i="7"/>
  <c r="P11" i="7" s="1"/>
  <c r="S11" i="7" s="1"/>
  <c r="E11" i="7"/>
  <c r="Z11" i="7" s="1"/>
  <c r="F11" i="7"/>
  <c r="AA11" i="7" s="1"/>
  <c r="G11" i="7"/>
  <c r="AB11" i="7" s="1"/>
  <c r="H11" i="7"/>
  <c r="B101" i="7"/>
  <c r="C101" i="7"/>
  <c r="D101" i="7"/>
  <c r="E101" i="7"/>
  <c r="F101" i="7"/>
  <c r="G101" i="7"/>
  <c r="H101" i="7"/>
  <c r="K101" i="7"/>
  <c r="K78" i="7"/>
  <c r="B78" i="7"/>
  <c r="D78" i="7"/>
  <c r="E78" i="7"/>
  <c r="F78" i="7"/>
  <c r="G78" i="7"/>
  <c r="H78" i="7"/>
  <c r="C78" i="7"/>
  <c r="K87" i="7"/>
  <c r="B87" i="7"/>
  <c r="D87" i="7"/>
  <c r="E87" i="7"/>
  <c r="F87" i="7"/>
  <c r="C87" i="7"/>
  <c r="G87" i="7"/>
  <c r="H87" i="7"/>
  <c r="K83" i="7"/>
  <c r="B83" i="7"/>
  <c r="D83" i="7"/>
  <c r="E83" i="7"/>
  <c r="F83" i="7"/>
  <c r="H83" i="7"/>
  <c r="C83" i="7"/>
  <c r="G83" i="7"/>
  <c r="B104" i="7"/>
  <c r="C104" i="7"/>
  <c r="D104" i="7"/>
  <c r="E104" i="7"/>
  <c r="F104" i="7"/>
  <c r="G104" i="7"/>
  <c r="H104" i="7"/>
  <c r="K104" i="7"/>
  <c r="B132" i="7"/>
  <c r="C132" i="7"/>
  <c r="D132" i="7"/>
  <c r="E132" i="7"/>
  <c r="F132" i="7"/>
  <c r="G132" i="7"/>
  <c r="H132" i="7"/>
  <c r="K132" i="7"/>
  <c r="B150" i="7"/>
  <c r="C150" i="7"/>
  <c r="E150" i="7"/>
  <c r="F150" i="7"/>
  <c r="D150" i="7"/>
  <c r="G150" i="7"/>
  <c r="H150" i="7"/>
  <c r="K150" i="7"/>
  <c r="B144" i="7"/>
  <c r="C144" i="7"/>
  <c r="D144" i="7"/>
  <c r="E144" i="7"/>
  <c r="F144" i="7"/>
  <c r="G144" i="7"/>
  <c r="H144" i="7"/>
  <c r="K144" i="7"/>
  <c r="B138" i="7"/>
  <c r="C138" i="7"/>
  <c r="D138" i="7"/>
  <c r="E138" i="7"/>
  <c r="F138" i="7"/>
  <c r="G138" i="7"/>
  <c r="H138" i="7"/>
  <c r="K138" i="7"/>
  <c r="K70" i="7"/>
  <c r="B70" i="7"/>
  <c r="D70" i="7"/>
  <c r="E70" i="7"/>
  <c r="F70" i="7"/>
  <c r="G70" i="7"/>
  <c r="H70" i="7"/>
  <c r="C70" i="7"/>
  <c r="K67" i="7"/>
  <c r="B67" i="7"/>
  <c r="D67" i="7"/>
  <c r="E67" i="7"/>
  <c r="F67" i="7"/>
  <c r="H67" i="7"/>
  <c r="C67" i="7"/>
  <c r="G67" i="7"/>
  <c r="K49" i="7"/>
  <c r="B49" i="7"/>
  <c r="N49" i="7" s="1"/>
  <c r="D49" i="7"/>
  <c r="P49" i="7" s="1"/>
  <c r="S49" i="7" s="1"/>
  <c r="E49" i="7"/>
  <c r="F49" i="7"/>
  <c r="AA49" i="7" s="1"/>
  <c r="C49" i="7"/>
  <c r="O49" i="7" s="1"/>
  <c r="G49" i="7"/>
  <c r="AB49" i="7" s="1"/>
  <c r="H49" i="7"/>
  <c r="K51" i="7"/>
  <c r="B51" i="7"/>
  <c r="N51" i="7" s="1"/>
  <c r="D51" i="7"/>
  <c r="P51" i="7" s="1"/>
  <c r="S51" i="7" s="1"/>
  <c r="E51" i="7"/>
  <c r="F51" i="7"/>
  <c r="AA51" i="7" s="1"/>
  <c r="H51" i="7"/>
  <c r="C51" i="7"/>
  <c r="O51" i="7" s="1"/>
  <c r="G51" i="7"/>
  <c r="AB51" i="7" s="1"/>
  <c r="K59" i="7"/>
  <c r="B59" i="7"/>
  <c r="N59" i="7" s="1"/>
  <c r="D59" i="7"/>
  <c r="P59" i="7" s="1"/>
  <c r="S59" i="7" s="1"/>
  <c r="E59" i="7"/>
  <c r="F59" i="7"/>
  <c r="AA59" i="7" s="1"/>
  <c r="H59" i="7"/>
  <c r="C59" i="7"/>
  <c r="O59" i="7" s="1"/>
  <c r="G59" i="7"/>
  <c r="AB59" i="7" s="1"/>
  <c r="K40" i="7"/>
  <c r="B40" i="7"/>
  <c r="N40" i="7" s="1"/>
  <c r="D40" i="7"/>
  <c r="P40" i="7" s="1"/>
  <c r="S40" i="7" s="1"/>
  <c r="E40" i="7"/>
  <c r="F40" i="7"/>
  <c r="AA40" i="7" s="1"/>
  <c r="C40" i="7"/>
  <c r="O40" i="7" s="1"/>
  <c r="G40" i="7"/>
  <c r="AB40" i="7" s="1"/>
  <c r="H40" i="7"/>
  <c r="K38" i="7"/>
  <c r="B38" i="7"/>
  <c r="N38" i="7" s="1"/>
  <c r="D38" i="7"/>
  <c r="P38" i="7" s="1"/>
  <c r="S38" i="7" s="1"/>
  <c r="E38" i="7"/>
  <c r="Z38" i="7" s="1"/>
  <c r="F38" i="7"/>
  <c r="AA38" i="7" s="1"/>
  <c r="G38" i="7"/>
  <c r="AB38" i="7" s="1"/>
  <c r="H38" i="7"/>
  <c r="C38" i="7"/>
  <c r="O38" i="7" s="1"/>
  <c r="K36" i="7"/>
  <c r="B36" i="7"/>
  <c r="N36" i="7" s="1"/>
  <c r="D36" i="7"/>
  <c r="P36" i="7" s="1"/>
  <c r="S36" i="7" s="1"/>
  <c r="E36" i="7"/>
  <c r="Z36" i="7" s="1"/>
  <c r="F36" i="7"/>
  <c r="AA36" i="7" s="1"/>
  <c r="C36" i="7"/>
  <c r="O36" i="7" s="1"/>
  <c r="G36" i="7"/>
  <c r="AB36" i="7" s="1"/>
  <c r="H36" i="7"/>
  <c r="K34" i="7"/>
  <c r="B34" i="7"/>
  <c r="N34" i="7" s="1"/>
  <c r="D34" i="7"/>
  <c r="P34" i="7" s="1"/>
  <c r="S34" i="7" s="1"/>
  <c r="E34" i="7"/>
  <c r="Z34" i="7" s="1"/>
  <c r="F34" i="7"/>
  <c r="AA34" i="7" s="1"/>
  <c r="C34" i="7"/>
  <c r="O34" i="7" s="1"/>
  <c r="G34" i="7"/>
  <c r="AB34" i="7" s="1"/>
  <c r="H34" i="7"/>
  <c r="K25" i="7"/>
  <c r="B25" i="7"/>
  <c r="N25" i="7" s="1"/>
  <c r="C25" i="7"/>
  <c r="O25" i="7" s="1"/>
  <c r="D25" i="7"/>
  <c r="P25" i="7" s="1"/>
  <c r="S25" i="7" s="1"/>
  <c r="E25" i="7"/>
  <c r="Z25" i="7" s="1"/>
  <c r="F25" i="7"/>
  <c r="AA25" i="7" s="1"/>
  <c r="G25" i="7"/>
  <c r="AB25" i="7" s="1"/>
  <c r="H25" i="7"/>
  <c r="B120" i="7"/>
  <c r="C120" i="7"/>
  <c r="D120" i="7"/>
  <c r="E120" i="7"/>
  <c r="F120" i="7"/>
  <c r="G120" i="7"/>
  <c r="H120" i="7"/>
  <c r="K120" i="7"/>
  <c r="B97" i="7"/>
  <c r="C97" i="7"/>
  <c r="D97" i="7"/>
  <c r="E97" i="7"/>
  <c r="F97" i="7"/>
  <c r="G97" i="7"/>
  <c r="H97" i="7"/>
  <c r="K97" i="7"/>
  <c r="B93" i="7"/>
  <c r="D93" i="7"/>
  <c r="E93" i="7"/>
  <c r="F93" i="7"/>
  <c r="C93" i="7"/>
  <c r="G93" i="7"/>
  <c r="H93" i="7"/>
  <c r="K93" i="7"/>
  <c r="K86" i="7"/>
  <c r="B86" i="7"/>
  <c r="D86" i="7"/>
  <c r="E86" i="7"/>
  <c r="F86" i="7"/>
  <c r="G86" i="7"/>
  <c r="H86" i="7"/>
  <c r="C86" i="7"/>
  <c r="B113" i="7"/>
  <c r="C113" i="7"/>
  <c r="D113" i="7"/>
  <c r="E113" i="7"/>
  <c r="F113" i="7"/>
  <c r="G113" i="7"/>
  <c r="H113" i="7"/>
  <c r="K113" i="7"/>
  <c r="B125" i="7"/>
  <c r="C125" i="7"/>
  <c r="D125" i="7"/>
  <c r="E125" i="7"/>
  <c r="F125" i="7"/>
  <c r="G125" i="7"/>
  <c r="H125" i="7"/>
  <c r="K125" i="7"/>
  <c r="B140" i="7"/>
  <c r="C140" i="7"/>
  <c r="D140" i="7"/>
  <c r="E140" i="7"/>
  <c r="F140" i="7"/>
  <c r="G140" i="7"/>
  <c r="H140" i="7"/>
  <c r="K140" i="7"/>
  <c r="B148" i="7"/>
  <c r="C148" i="7"/>
  <c r="D148" i="7"/>
  <c r="E148" i="7"/>
  <c r="F148" i="7"/>
  <c r="G148" i="7"/>
  <c r="H148" i="7"/>
  <c r="K148" i="7"/>
  <c r="B146" i="7"/>
  <c r="C146" i="7"/>
  <c r="D146" i="7"/>
  <c r="E146" i="7"/>
  <c r="F146" i="7"/>
  <c r="G146" i="7"/>
  <c r="H146" i="7"/>
  <c r="K146" i="7"/>
  <c r="K72" i="7"/>
  <c r="B72" i="7"/>
  <c r="D72" i="7"/>
  <c r="E72" i="7"/>
  <c r="F72" i="7"/>
  <c r="C72" i="7"/>
  <c r="G72" i="7"/>
  <c r="H72" i="7"/>
  <c r="B9" i="7"/>
  <c r="N9" i="7" s="1"/>
  <c r="K9" i="7"/>
  <c r="C9" i="7"/>
  <c r="O9" i="7" s="1"/>
  <c r="D9" i="7"/>
  <c r="P9" i="7" s="1"/>
  <c r="S9" i="7" s="1"/>
  <c r="E9" i="7"/>
  <c r="Z9" i="7" s="1"/>
  <c r="F9" i="7"/>
  <c r="AA9" i="7" s="1"/>
  <c r="G9" i="7"/>
  <c r="AB9" i="7" s="1"/>
  <c r="H9" i="7"/>
  <c r="K66" i="7"/>
  <c r="B66" i="7"/>
  <c r="D66" i="7"/>
  <c r="E66" i="7"/>
  <c r="F66" i="7"/>
  <c r="C66" i="7"/>
  <c r="G66" i="7"/>
  <c r="H66" i="7"/>
  <c r="K64" i="7"/>
  <c r="B64" i="7"/>
  <c r="D64" i="7"/>
  <c r="E64" i="7"/>
  <c r="F64" i="7"/>
  <c r="C64" i="7"/>
  <c r="G64" i="7"/>
  <c r="H64" i="7"/>
  <c r="K32" i="7"/>
  <c r="B32" i="7"/>
  <c r="N32" i="7" s="1"/>
  <c r="C32" i="7"/>
  <c r="O32" i="7" s="1"/>
  <c r="D32" i="7"/>
  <c r="P32" i="7" s="1"/>
  <c r="S32" i="7" s="1"/>
  <c r="E32" i="7"/>
  <c r="Z32" i="7" s="1"/>
  <c r="F32" i="7"/>
  <c r="AA32" i="7" s="1"/>
  <c r="G32" i="7"/>
  <c r="AB32" i="7" s="1"/>
  <c r="H32" i="7"/>
  <c r="K30" i="7"/>
  <c r="B30" i="7"/>
  <c r="N30" i="7" s="1"/>
  <c r="C30" i="7"/>
  <c r="O30" i="7" s="1"/>
  <c r="D30" i="7"/>
  <c r="P30" i="7" s="1"/>
  <c r="S30" i="7" s="1"/>
  <c r="E30" i="7"/>
  <c r="Z30" i="7" s="1"/>
  <c r="F30" i="7"/>
  <c r="AA30" i="7" s="1"/>
  <c r="G30" i="7"/>
  <c r="AB30" i="7" s="1"/>
  <c r="H30" i="7"/>
  <c r="K27" i="7"/>
  <c r="B27" i="7"/>
  <c r="N27" i="7" s="1"/>
  <c r="C27" i="7"/>
  <c r="O27" i="7" s="1"/>
  <c r="D27" i="7"/>
  <c r="P27" i="7" s="1"/>
  <c r="S27" i="7" s="1"/>
  <c r="E27" i="7"/>
  <c r="Z27" i="7" s="1"/>
  <c r="F27" i="7"/>
  <c r="AA27" i="7" s="1"/>
  <c r="G27" i="7"/>
  <c r="AB27" i="7" s="1"/>
  <c r="H27" i="7"/>
  <c r="K24" i="7"/>
  <c r="B24" i="7"/>
  <c r="N24" i="7" s="1"/>
  <c r="C24" i="7"/>
  <c r="O24" i="7" s="1"/>
  <c r="D24" i="7"/>
  <c r="P24" i="7" s="1"/>
  <c r="S24" i="7" s="1"/>
  <c r="E24" i="7"/>
  <c r="Z24" i="7" s="1"/>
  <c r="F24" i="7"/>
  <c r="AA24" i="7" s="1"/>
  <c r="G24" i="7"/>
  <c r="AB24" i="7" s="1"/>
  <c r="H24" i="7"/>
  <c r="K17" i="7"/>
  <c r="B17" i="7"/>
  <c r="N17" i="7" s="1"/>
  <c r="C17" i="7"/>
  <c r="O17" i="7" s="1"/>
  <c r="D17" i="7"/>
  <c r="P17" i="7" s="1"/>
  <c r="S17" i="7" s="1"/>
  <c r="E17" i="7"/>
  <c r="Z17" i="7" s="1"/>
  <c r="F17" i="7"/>
  <c r="AA17" i="7" s="1"/>
  <c r="G17" i="7"/>
  <c r="AB17" i="7" s="1"/>
  <c r="H17" i="7"/>
  <c r="K90" i="7"/>
  <c r="B90" i="7"/>
  <c r="D90" i="7"/>
  <c r="E90" i="7"/>
  <c r="F90" i="7"/>
  <c r="C90" i="7"/>
  <c r="G90" i="7"/>
  <c r="H90" i="7"/>
  <c r="B109" i="7"/>
  <c r="C109" i="7"/>
  <c r="D109" i="7"/>
  <c r="E109" i="7"/>
  <c r="F109" i="7"/>
  <c r="G109" i="7"/>
  <c r="H109" i="7"/>
  <c r="K109" i="7"/>
  <c r="B100" i="7"/>
  <c r="C100" i="7"/>
  <c r="D100" i="7"/>
  <c r="E100" i="7"/>
  <c r="F100" i="7"/>
  <c r="G100" i="7"/>
  <c r="H100" i="7"/>
  <c r="K100" i="7"/>
  <c r="K77" i="7"/>
  <c r="B77" i="7"/>
  <c r="D77" i="7"/>
  <c r="E77" i="7"/>
  <c r="F77" i="7"/>
  <c r="C77" i="7"/>
  <c r="G77" i="7"/>
  <c r="H77" i="7"/>
  <c r="K89" i="7"/>
  <c r="B89" i="7"/>
  <c r="D89" i="7"/>
  <c r="E89" i="7"/>
  <c r="F89" i="7"/>
  <c r="C89" i="7"/>
  <c r="G89" i="7"/>
  <c r="H89" i="7"/>
  <c r="B133" i="7"/>
  <c r="C133" i="7"/>
  <c r="D133" i="7"/>
  <c r="E133" i="7"/>
  <c r="F133" i="7"/>
  <c r="G133" i="7"/>
  <c r="H133" i="7"/>
  <c r="K133" i="7"/>
  <c r="B127" i="7"/>
  <c r="C127" i="7"/>
  <c r="D127" i="7"/>
  <c r="E127" i="7"/>
  <c r="F127" i="7"/>
  <c r="G127" i="7"/>
  <c r="H127" i="7"/>
  <c r="K127" i="7"/>
  <c r="B121" i="7"/>
  <c r="C121" i="7"/>
  <c r="D121" i="7"/>
  <c r="E121" i="7"/>
  <c r="F121" i="7"/>
  <c r="G121" i="7"/>
  <c r="H121" i="7"/>
  <c r="K121" i="7"/>
  <c r="B123" i="7"/>
  <c r="C123" i="7"/>
  <c r="D123" i="7"/>
  <c r="E123" i="7"/>
  <c r="F123" i="7"/>
  <c r="G123" i="7"/>
  <c r="H123" i="7"/>
  <c r="K123" i="7"/>
  <c r="K52" i="7"/>
  <c r="B52" i="7"/>
  <c r="N52" i="7" s="1"/>
  <c r="D52" i="7"/>
  <c r="P52" i="7" s="1"/>
  <c r="S52" i="7" s="1"/>
  <c r="E52" i="7"/>
  <c r="Z52" i="7" s="1"/>
  <c r="F52" i="7"/>
  <c r="AA52" i="7" s="1"/>
  <c r="C52" i="7"/>
  <c r="O52" i="7" s="1"/>
  <c r="G52" i="7"/>
  <c r="AB52" i="7" s="1"/>
  <c r="H52" i="7"/>
  <c r="K74" i="7"/>
  <c r="B74" i="7"/>
  <c r="D74" i="7"/>
  <c r="E74" i="7"/>
  <c r="F74" i="7"/>
  <c r="C74" i="7"/>
  <c r="G74" i="7"/>
  <c r="H74" i="7"/>
  <c r="K61" i="7"/>
  <c r="B61" i="7"/>
  <c r="D61" i="7"/>
  <c r="E61" i="7"/>
  <c r="F61" i="7"/>
  <c r="C61" i="7"/>
  <c r="G61" i="7"/>
  <c r="H61" i="7"/>
  <c r="K22" i="7"/>
  <c r="B22" i="7"/>
  <c r="N22" i="7" s="1"/>
  <c r="C22" i="7"/>
  <c r="O22" i="7" s="1"/>
  <c r="D22" i="7"/>
  <c r="P22" i="7" s="1"/>
  <c r="S22" i="7" s="1"/>
  <c r="E22" i="7"/>
  <c r="Z22" i="7" s="1"/>
  <c r="F22" i="7"/>
  <c r="AA22" i="7" s="1"/>
  <c r="G22" i="7"/>
  <c r="AB22" i="7" s="1"/>
  <c r="H22" i="7"/>
  <c r="K18" i="7"/>
  <c r="B18" i="7"/>
  <c r="N18" i="7" s="1"/>
  <c r="C18" i="7"/>
  <c r="O18" i="7" s="1"/>
  <c r="D18" i="7"/>
  <c r="P18" i="7" s="1"/>
  <c r="S18" i="7" s="1"/>
  <c r="E18" i="7"/>
  <c r="Z18" i="7" s="1"/>
  <c r="F18" i="7"/>
  <c r="AA18" i="7" s="1"/>
  <c r="G18" i="7"/>
  <c r="AB18" i="7" s="1"/>
  <c r="H18" i="7"/>
  <c r="K15" i="7"/>
  <c r="B15" i="7"/>
  <c r="N15" i="7" s="1"/>
  <c r="C15" i="7"/>
  <c r="O15" i="7" s="1"/>
  <c r="D15" i="7"/>
  <c r="P15" i="7" s="1"/>
  <c r="S15" i="7" s="1"/>
  <c r="E15" i="7"/>
  <c r="Z15" i="7" s="1"/>
  <c r="F15" i="7"/>
  <c r="AA15" i="7" s="1"/>
  <c r="G15" i="7"/>
  <c r="AB15" i="7" s="1"/>
  <c r="H15" i="7"/>
  <c r="K10" i="7"/>
  <c r="B10" i="7"/>
  <c r="N10" i="7" s="1"/>
  <c r="C10" i="7"/>
  <c r="O10" i="7" s="1"/>
  <c r="D10" i="7"/>
  <c r="P10" i="7" s="1"/>
  <c r="S10" i="7" s="1"/>
  <c r="E10" i="7"/>
  <c r="Z10" i="7" s="1"/>
  <c r="F10" i="7"/>
  <c r="AA10" i="7" s="1"/>
  <c r="G10" i="7"/>
  <c r="AB10" i="7" s="1"/>
  <c r="H10" i="7"/>
  <c r="K12" i="7"/>
  <c r="B12" i="7"/>
  <c r="N12" i="7" s="1"/>
  <c r="C12" i="7"/>
  <c r="O12" i="7" s="1"/>
  <c r="D12" i="7"/>
  <c r="P12" i="7" s="1"/>
  <c r="S12" i="7" s="1"/>
  <c r="E12" i="7"/>
  <c r="Z12" i="7" s="1"/>
  <c r="F12" i="7"/>
  <c r="AA12" i="7" s="1"/>
  <c r="G12" i="7"/>
  <c r="AB12" i="7" s="1"/>
  <c r="H12" i="7"/>
  <c r="B105" i="7"/>
  <c r="C105" i="7"/>
  <c r="D105" i="7"/>
  <c r="E105" i="7"/>
  <c r="F105" i="7"/>
  <c r="G105" i="7"/>
  <c r="H105" i="7"/>
  <c r="K105" i="7"/>
  <c r="K84" i="7"/>
  <c r="B84" i="7"/>
  <c r="D84" i="7"/>
  <c r="E84" i="7"/>
  <c r="F84" i="7"/>
  <c r="C84" i="7"/>
  <c r="G84" i="7"/>
  <c r="H84" i="7"/>
  <c r="B114" i="7"/>
  <c r="C114" i="7"/>
  <c r="D114" i="7"/>
  <c r="E114" i="7"/>
  <c r="F114" i="7"/>
  <c r="G114" i="7"/>
  <c r="H114" i="7"/>
  <c r="K114" i="7"/>
  <c r="K81" i="7"/>
  <c r="B81" i="7"/>
  <c r="D81" i="7"/>
  <c r="E81" i="7"/>
  <c r="F81" i="7"/>
  <c r="C81" i="7"/>
  <c r="G81" i="7"/>
  <c r="H81" i="7"/>
  <c r="B111" i="7"/>
  <c r="C111" i="7"/>
  <c r="D111" i="7"/>
  <c r="E111" i="7"/>
  <c r="F111" i="7"/>
  <c r="G111" i="7"/>
  <c r="H111" i="7"/>
  <c r="K111" i="7"/>
  <c r="B141" i="7"/>
  <c r="C141" i="7"/>
  <c r="D141" i="7"/>
  <c r="E141" i="7"/>
  <c r="F141" i="7"/>
  <c r="G141" i="7"/>
  <c r="H141" i="7"/>
  <c r="K141" i="7"/>
  <c r="B135" i="7"/>
  <c r="C135" i="7"/>
  <c r="D135" i="7"/>
  <c r="E135" i="7"/>
  <c r="F135" i="7"/>
  <c r="G135" i="7"/>
  <c r="H135" i="7"/>
  <c r="K135" i="7"/>
  <c r="B129" i="7"/>
  <c r="C129" i="7"/>
  <c r="D129" i="7"/>
  <c r="E129" i="7"/>
  <c r="F129" i="7"/>
  <c r="G129" i="7"/>
  <c r="H129" i="7"/>
  <c r="K129" i="7"/>
  <c r="B131" i="7"/>
  <c r="C131" i="7"/>
  <c r="D131" i="7"/>
  <c r="E131" i="7"/>
  <c r="F131" i="7"/>
  <c r="G131" i="7"/>
  <c r="H131" i="7"/>
  <c r="K131" i="7"/>
  <c r="K69" i="7"/>
  <c r="B69" i="7"/>
  <c r="D69" i="7"/>
  <c r="E69" i="7"/>
  <c r="F69" i="7"/>
  <c r="C69" i="7"/>
  <c r="G69" i="7"/>
  <c r="H69" i="7"/>
  <c r="K55" i="7"/>
  <c r="B55" i="7"/>
  <c r="N55" i="7" s="1"/>
  <c r="D55" i="7"/>
  <c r="P55" i="7" s="1"/>
  <c r="S55" i="7" s="1"/>
  <c r="E55" i="7"/>
  <c r="Z55" i="7" s="1"/>
  <c r="F55" i="7"/>
  <c r="AA55" i="7" s="1"/>
  <c r="C55" i="7"/>
  <c r="O55" i="7" s="1"/>
  <c r="G55" i="7"/>
  <c r="AB55" i="7" s="1"/>
  <c r="H55" i="7"/>
  <c r="K60" i="7"/>
  <c r="B60" i="7"/>
  <c r="N60" i="7" s="1"/>
  <c r="D60" i="7"/>
  <c r="P60" i="7" s="1"/>
  <c r="S60" i="7" s="1"/>
  <c r="E60" i="7"/>
  <c r="Z60" i="7" s="1"/>
  <c r="F60" i="7"/>
  <c r="AA60" i="7" s="1"/>
  <c r="C60" i="7"/>
  <c r="O60" i="7" s="1"/>
  <c r="G60" i="7"/>
  <c r="AB60" i="7" s="1"/>
  <c r="H60" i="7"/>
  <c r="K47" i="7"/>
  <c r="B47" i="7"/>
  <c r="N47" i="7" s="1"/>
  <c r="D47" i="7"/>
  <c r="P47" i="7" s="1"/>
  <c r="S47" i="7" s="1"/>
  <c r="E47" i="7"/>
  <c r="Z47" i="7" s="1"/>
  <c r="F47" i="7"/>
  <c r="AA47" i="7" s="1"/>
  <c r="C47" i="7"/>
  <c r="O47" i="7" s="1"/>
  <c r="G47" i="7"/>
  <c r="AB47" i="7" s="1"/>
  <c r="H47" i="7"/>
  <c r="K45" i="7"/>
  <c r="B45" i="7"/>
  <c r="N45" i="7" s="1"/>
  <c r="D45" i="7"/>
  <c r="P45" i="7" s="1"/>
  <c r="S45" i="7" s="1"/>
  <c r="E45" i="7"/>
  <c r="Z45" i="7" s="1"/>
  <c r="F45" i="7"/>
  <c r="AA45" i="7" s="1"/>
  <c r="C45" i="7"/>
  <c r="O45" i="7" s="1"/>
  <c r="G45" i="7"/>
  <c r="AB45" i="7" s="1"/>
  <c r="H45" i="7"/>
  <c r="K43" i="7"/>
  <c r="B43" i="7"/>
  <c r="N43" i="7" s="1"/>
  <c r="D43" i="7"/>
  <c r="P43" i="7" s="1"/>
  <c r="S43" i="7" s="1"/>
  <c r="E43" i="7"/>
  <c r="Z43" i="7" s="1"/>
  <c r="F43" i="7"/>
  <c r="AA43" i="7" s="1"/>
  <c r="H43" i="7"/>
  <c r="C43" i="7"/>
  <c r="O43" i="7" s="1"/>
  <c r="G43" i="7"/>
  <c r="AB43" i="7" s="1"/>
  <c r="K29" i="7"/>
  <c r="B29" i="7"/>
  <c r="N29" i="7" s="1"/>
  <c r="C29" i="7"/>
  <c r="O29" i="7" s="1"/>
  <c r="D29" i="7"/>
  <c r="P29" i="7" s="1"/>
  <c r="S29" i="7" s="1"/>
  <c r="E29" i="7"/>
  <c r="Z29" i="7" s="1"/>
  <c r="F29" i="7"/>
  <c r="AA29" i="7" s="1"/>
  <c r="G29" i="7"/>
  <c r="AB29" i="7" s="1"/>
  <c r="H29" i="7"/>
  <c r="K91" i="7"/>
  <c r="B91" i="7"/>
  <c r="D91" i="7"/>
  <c r="E91" i="7"/>
  <c r="F91" i="7"/>
  <c r="H91" i="7"/>
  <c r="C91" i="7"/>
  <c r="G91" i="7"/>
  <c r="B115" i="7"/>
  <c r="C115" i="7"/>
  <c r="D115" i="7"/>
  <c r="E115" i="7"/>
  <c r="F115" i="7"/>
  <c r="G115" i="7"/>
  <c r="H115" i="7"/>
  <c r="K115" i="7"/>
  <c r="B118" i="7"/>
  <c r="C118" i="7"/>
  <c r="D118" i="7"/>
  <c r="E118" i="7"/>
  <c r="F118" i="7"/>
  <c r="G118" i="7"/>
  <c r="H118" i="7"/>
  <c r="K118" i="7"/>
  <c r="B112" i="7"/>
  <c r="C112" i="7"/>
  <c r="D112" i="7"/>
  <c r="E112" i="7"/>
  <c r="F112" i="7"/>
  <c r="G112" i="7"/>
  <c r="H112" i="7"/>
  <c r="K112" i="7"/>
  <c r="B99" i="7"/>
  <c r="C99" i="7"/>
  <c r="D99" i="7"/>
  <c r="E99" i="7"/>
  <c r="F99" i="7"/>
  <c r="G99" i="7"/>
  <c r="H99" i="7"/>
  <c r="K99" i="7"/>
  <c r="K85" i="7"/>
  <c r="B85" i="7"/>
  <c r="D85" i="7"/>
  <c r="E85" i="7"/>
  <c r="F85" i="7"/>
  <c r="C85" i="7"/>
  <c r="G85" i="7"/>
  <c r="H85" i="7"/>
  <c r="B149" i="7"/>
  <c r="C149" i="7"/>
  <c r="D149" i="7"/>
  <c r="E149" i="7"/>
  <c r="F149" i="7"/>
  <c r="G149" i="7"/>
  <c r="H149" i="7"/>
  <c r="K149" i="7"/>
  <c r="B143" i="7"/>
  <c r="C143" i="7"/>
  <c r="D143" i="7"/>
  <c r="E143" i="7"/>
  <c r="F143" i="7"/>
  <c r="G143" i="7"/>
  <c r="H143" i="7"/>
  <c r="K143" i="7"/>
  <c r="B137" i="7"/>
  <c r="C137" i="7"/>
  <c r="D137" i="7"/>
  <c r="E137" i="7"/>
  <c r="F137" i="7"/>
  <c r="G137" i="7"/>
  <c r="H137" i="7"/>
  <c r="K137" i="7"/>
  <c r="B139" i="7"/>
  <c r="C139" i="7"/>
  <c r="D139" i="7"/>
  <c r="E139" i="7"/>
  <c r="F139" i="7"/>
  <c r="G139" i="7"/>
  <c r="H139" i="7"/>
  <c r="K139" i="7"/>
  <c r="K73" i="7"/>
  <c r="B73" i="7"/>
  <c r="D73" i="7"/>
  <c r="E73" i="7"/>
  <c r="F73" i="7"/>
  <c r="C73" i="7"/>
  <c r="G73" i="7"/>
  <c r="H73" i="7"/>
  <c r="K48" i="7"/>
  <c r="B48" i="7"/>
  <c r="N48" i="7" s="1"/>
  <c r="D48" i="7"/>
  <c r="P48" i="7" s="1"/>
  <c r="S48" i="7" s="1"/>
  <c r="E48" i="7"/>
  <c r="Z48" i="7" s="1"/>
  <c r="F48" i="7"/>
  <c r="AA48" i="7" s="1"/>
  <c r="C48" i="7"/>
  <c r="O48" i="7" s="1"/>
  <c r="G48" i="7"/>
  <c r="AB48" i="7" s="1"/>
  <c r="H48" i="7"/>
  <c r="K71" i="7"/>
  <c r="B71" i="7"/>
  <c r="D71" i="7"/>
  <c r="E71" i="7"/>
  <c r="F71" i="7"/>
  <c r="C71" i="7"/>
  <c r="G71" i="7"/>
  <c r="H71" i="7"/>
  <c r="K65" i="7"/>
  <c r="B65" i="7"/>
  <c r="D65" i="7"/>
  <c r="E65" i="7"/>
  <c r="F65" i="7"/>
  <c r="C65" i="7"/>
  <c r="G65" i="7"/>
  <c r="H65" i="7"/>
  <c r="K39" i="7"/>
  <c r="B39" i="7"/>
  <c r="N39" i="7" s="1"/>
  <c r="D39" i="7"/>
  <c r="P39" i="7" s="1"/>
  <c r="S39" i="7" s="1"/>
  <c r="E39" i="7"/>
  <c r="Z39" i="7" s="1"/>
  <c r="F39" i="7"/>
  <c r="AA39" i="7" s="1"/>
  <c r="C39" i="7"/>
  <c r="O39" i="7" s="1"/>
  <c r="G39" i="7"/>
  <c r="AB39" i="7" s="1"/>
  <c r="H39" i="7"/>
  <c r="K37" i="7"/>
  <c r="B37" i="7"/>
  <c r="N37" i="7" s="1"/>
  <c r="D37" i="7"/>
  <c r="P37" i="7" s="1"/>
  <c r="S37" i="7" s="1"/>
  <c r="E37" i="7"/>
  <c r="Z37" i="7" s="1"/>
  <c r="F37" i="7"/>
  <c r="AA37" i="7" s="1"/>
  <c r="C37" i="7"/>
  <c r="O37" i="7" s="1"/>
  <c r="G37" i="7"/>
  <c r="AB37" i="7" s="1"/>
  <c r="H37" i="7"/>
  <c r="K35" i="7"/>
  <c r="B35" i="7"/>
  <c r="N35" i="7" s="1"/>
  <c r="D35" i="7"/>
  <c r="P35" i="7" s="1"/>
  <c r="S35" i="7" s="1"/>
  <c r="E35" i="7"/>
  <c r="Z35" i="7" s="1"/>
  <c r="F35" i="7"/>
  <c r="AA35" i="7" s="1"/>
  <c r="H35" i="7"/>
  <c r="C35" i="7"/>
  <c r="O35" i="7" s="1"/>
  <c r="G35" i="7"/>
  <c r="AB35" i="7" s="1"/>
  <c r="K21" i="7"/>
  <c r="B21" i="7"/>
  <c r="N21" i="7" s="1"/>
  <c r="C21" i="7"/>
  <c r="O21" i="7" s="1"/>
  <c r="D21" i="7"/>
  <c r="P21" i="7" s="1"/>
  <c r="S21" i="7" s="1"/>
  <c r="E21" i="7"/>
  <c r="Z21" i="7" s="1"/>
  <c r="F21" i="7"/>
  <c r="AA21" i="7" s="1"/>
  <c r="G21" i="7"/>
  <c r="AB21" i="7" s="1"/>
  <c r="H21" i="7"/>
  <c r="B98" i="7"/>
  <c r="C98" i="7"/>
  <c r="D98" i="7"/>
  <c r="E98" i="7"/>
  <c r="F98" i="7"/>
  <c r="G98" i="7"/>
  <c r="H98" i="7"/>
  <c r="K98" i="7"/>
  <c r="K80" i="7"/>
  <c r="B80" i="7"/>
  <c r="D80" i="7"/>
  <c r="E80" i="7"/>
  <c r="F80" i="7"/>
  <c r="C80" i="7"/>
  <c r="G80" i="7"/>
  <c r="H80" i="7"/>
  <c r="B103" i="7"/>
  <c r="C103" i="7"/>
  <c r="D103" i="7"/>
  <c r="E103" i="7"/>
  <c r="F103" i="7"/>
  <c r="G103" i="7"/>
  <c r="H103" i="7"/>
  <c r="K103" i="7"/>
  <c r="K88" i="7"/>
  <c r="B88" i="7"/>
  <c r="D88" i="7"/>
  <c r="E88" i="7"/>
  <c r="F88" i="7"/>
  <c r="C88" i="7"/>
  <c r="G88" i="7"/>
  <c r="H88" i="7"/>
  <c r="B117" i="7"/>
  <c r="C117" i="7"/>
  <c r="D117" i="7"/>
  <c r="E117" i="7"/>
  <c r="F117" i="7"/>
  <c r="G117" i="7"/>
  <c r="H117" i="7"/>
  <c r="K117" i="7"/>
  <c r="K92" i="7"/>
  <c r="B92" i="7"/>
  <c r="D92" i="7"/>
  <c r="E92" i="7"/>
  <c r="F92" i="7"/>
  <c r="C92" i="7"/>
  <c r="G92" i="7"/>
  <c r="H92" i="7"/>
  <c r="B126" i="7"/>
  <c r="C126" i="7"/>
  <c r="D126" i="7"/>
  <c r="E126" i="7"/>
  <c r="F126" i="7"/>
  <c r="G126" i="7"/>
  <c r="H126" i="7"/>
  <c r="K126" i="7"/>
  <c r="B124" i="7"/>
  <c r="C124" i="7"/>
  <c r="D124" i="7"/>
  <c r="E124" i="7"/>
  <c r="F124" i="7"/>
  <c r="G124" i="7"/>
  <c r="H124" i="7"/>
  <c r="K124" i="7"/>
  <c r="B145" i="7"/>
  <c r="C145" i="7"/>
  <c r="D145" i="7"/>
  <c r="E145" i="7"/>
  <c r="F145" i="7"/>
  <c r="G145" i="7"/>
  <c r="H145" i="7"/>
  <c r="K145" i="7"/>
  <c r="B147" i="7"/>
  <c r="C147" i="7"/>
  <c r="D147" i="7"/>
  <c r="E147" i="7"/>
  <c r="F147" i="7"/>
  <c r="G147" i="7"/>
  <c r="H147" i="7"/>
  <c r="K147" i="7"/>
  <c r="K53" i="7"/>
  <c r="B53" i="7"/>
  <c r="N53" i="7" s="1"/>
  <c r="D53" i="7"/>
  <c r="P53" i="7" s="1"/>
  <c r="S53" i="7" s="1"/>
  <c r="E53" i="7"/>
  <c r="Z53" i="7" s="1"/>
  <c r="F53" i="7"/>
  <c r="AA53" i="7" s="1"/>
  <c r="C53" i="7"/>
  <c r="O53" i="7" s="1"/>
  <c r="G53" i="7"/>
  <c r="AB53" i="7" s="1"/>
  <c r="H53" i="7"/>
  <c r="K75" i="7"/>
  <c r="B75" i="7"/>
  <c r="D75" i="7"/>
  <c r="E75" i="7"/>
  <c r="F75" i="7"/>
  <c r="H75" i="7"/>
  <c r="C75" i="7"/>
  <c r="G75" i="7"/>
  <c r="AB75" i="7" s="1"/>
  <c r="K62" i="7"/>
  <c r="B62" i="7"/>
  <c r="D62" i="7"/>
  <c r="E62" i="7"/>
  <c r="F62" i="7"/>
  <c r="G62" i="7"/>
  <c r="H62" i="7"/>
  <c r="C62" i="7"/>
  <c r="K41" i="7"/>
  <c r="B41" i="7"/>
  <c r="N41" i="7" s="1"/>
  <c r="D41" i="7"/>
  <c r="P41" i="7" s="1"/>
  <c r="S41" i="7" s="1"/>
  <c r="E41" i="7"/>
  <c r="Z41" i="7" s="1"/>
  <c r="F41" i="7"/>
  <c r="AA41" i="7" s="1"/>
  <c r="C41" i="7"/>
  <c r="O41" i="7" s="1"/>
  <c r="G41" i="7"/>
  <c r="AB41" i="7" s="1"/>
  <c r="H41" i="7"/>
  <c r="K31" i="7"/>
  <c r="B31" i="7"/>
  <c r="N31" i="7" s="1"/>
  <c r="C31" i="7"/>
  <c r="O31" i="7" s="1"/>
  <c r="D31" i="7"/>
  <c r="P31" i="7" s="1"/>
  <c r="S31" i="7" s="1"/>
  <c r="E31" i="7"/>
  <c r="Z31" i="7" s="1"/>
  <c r="F31" i="7"/>
  <c r="AA31" i="7" s="1"/>
  <c r="G31" i="7"/>
  <c r="AB31" i="7" s="1"/>
  <c r="H31" i="7"/>
  <c r="K28" i="7"/>
  <c r="B28" i="7"/>
  <c r="N28" i="7" s="1"/>
  <c r="C28" i="7"/>
  <c r="O28" i="7" s="1"/>
  <c r="D28" i="7"/>
  <c r="P28" i="7" s="1"/>
  <c r="S28" i="7" s="1"/>
  <c r="E28" i="7"/>
  <c r="Z28" i="7" s="1"/>
  <c r="F28" i="7"/>
  <c r="AA28" i="7" s="1"/>
  <c r="G28" i="7"/>
  <c r="AB28" i="7" s="1"/>
  <c r="H28" i="7"/>
  <c r="K26" i="7"/>
  <c r="B26" i="7"/>
  <c r="N26" i="7" s="1"/>
  <c r="C26" i="7"/>
  <c r="O26" i="7" s="1"/>
  <c r="D26" i="7"/>
  <c r="P26" i="7" s="1"/>
  <c r="S26" i="7" s="1"/>
  <c r="E26" i="7"/>
  <c r="Z26" i="7" s="1"/>
  <c r="F26" i="7"/>
  <c r="AA26" i="7" s="1"/>
  <c r="G26" i="7"/>
  <c r="AB26" i="7" s="1"/>
  <c r="H26" i="7"/>
  <c r="K13" i="7"/>
  <c r="B13" i="7"/>
  <c r="N13" i="7" s="1"/>
  <c r="C13" i="7"/>
  <c r="O13" i="7" s="1"/>
  <c r="D13" i="7"/>
  <c r="P13" i="7" s="1"/>
  <c r="S13" i="7" s="1"/>
  <c r="E13" i="7"/>
  <c r="Z13" i="7" s="1"/>
  <c r="F13" i="7"/>
  <c r="AA13" i="7" s="1"/>
  <c r="G13" i="7"/>
  <c r="AB13" i="7" s="1"/>
  <c r="H13" i="7"/>
  <c r="B94" i="7"/>
  <c r="C94" i="7"/>
  <c r="D94" i="7"/>
  <c r="E94" i="7"/>
  <c r="F94" i="7"/>
  <c r="G94" i="7"/>
  <c r="H94" i="7"/>
  <c r="K94" i="7"/>
  <c r="K82" i="7"/>
  <c r="B82" i="7"/>
  <c r="D82" i="7"/>
  <c r="E82" i="7"/>
  <c r="F82" i="7"/>
  <c r="C82" i="7"/>
  <c r="G82" i="7"/>
  <c r="H82" i="7"/>
  <c r="B108" i="7"/>
  <c r="C108" i="7"/>
  <c r="D108" i="7"/>
  <c r="E108" i="7"/>
  <c r="F108" i="7"/>
  <c r="G108" i="7"/>
  <c r="H108" i="7"/>
  <c r="K108" i="7"/>
  <c r="K79" i="7"/>
  <c r="B79" i="7"/>
  <c r="D79" i="7"/>
  <c r="E79" i="7"/>
  <c r="F79" i="7"/>
  <c r="C79" i="7"/>
  <c r="G79" i="7"/>
  <c r="H79" i="7"/>
  <c r="B116" i="7"/>
  <c r="C116" i="7"/>
  <c r="D116" i="7"/>
  <c r="E116" i="7"/>
  <c r="F116" i="7"/>
  <c r="G116" i="7"/>
  <c r="H116" i="7"/>
  <c r="K116" i="7"/>
  <c r="B102" i="7"/>
  <c r="C102" i="7"/>
  <c r="D102" i="7"/>
  <c r="E102" i="7"/>
  <c r="F102" i="7"/>
  <c r="G102" i="7"/>
  <c r="H102" i="7"/>
  <c r="K102" i="7"/>
  <c r="B134" i="7"/>
  <c r="C134" i="7"/>
  <c r="D134" i="7"/>
  <c r="E134" i="7"/>
  <c r="F134" i="7"/>
  <c r="G134" i="7"/>
  <c r="H134" i="7"/>
  <c r="K134" i="7"/>
  <c r="B128" i="7"/>
  <c r="C128" i="7"/>
  <c r="D128" i="7"/>
  <c r="E128" i="7"/>
  <c r="F128" i="7"/>
  <c r="G128" i="7"/>
  <c r="H128" i="7"/>
  <c r="K128" i="7"/>
  <c r="B122" i="7"/>
  <c r="C122" i="7"/>
  <c r="D122" i="7"/>
  <c r="E122" i="7"/>
  <c r="F122" i="7"/>
  <c r="G122" i="7"/>
  <c r="H122" i="7"/>
  <c r="K122" i="7"/>
  <c r="K54" i="7"/>
  <c r="B54" i="7"/>
  <c r="N54" i="7" s="1"/>
  <c r="D54" i="7"/>
  <c r="P54" i="7" s="1"/>
  <c r="S54" i="7" s="1"/>
  <c r="E54" i="7"/>
  <c r="Z54" i="7" s="1"/>
  <c r="F54" i="7"/>
  <c r="AA54" i="7" s="1"/>
  <c r="G54" i="7"/>
  <c r="AB54" i="7" s="1"/>
  <c r="H54" i="7"/>
  <c r="C54" i="7"/>
  <c r="O54" i="7" s="1"/>
  <c r="K68" i="7"/>
  <c r="B68" i="7"/>
  <c r="D68" i="7"/>
  <c r="E68" i="7"/>
  <c r="F68" i="7"/>
  <c r="C68" i="7"/>
  <c r="G68" i="7"/>
  <c r="H68" i="7"/>
  <c r="AB15" i="4"/>
  <c r="JJ22" i="1" a="1"/>
  <c r="JJ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AB14" i="4"/>
  <c r="AC13" i="4"/>
  <c r="AB20" i="4"/>
  <c r="AB18" i="4"/>
  <c r="AB16" i="4"/>
  <c r="AB19" i="4"/>
  <c r="AZ132" i="7"/>
  <c r="AZ150" i="7"/>
  <c r="AZ144" i="7"/>
  <c r="AZ138" i="7"/>
  <c r="AZ120" i="7"/>
  <c r="AZ125" i="7"/>
  <c r="AZ140" i="7"/>
  <c r="AZ148" i="7"/>
  <c r="AZ146" i="7"/>
  <c r="AZ136" i="7"/>
  <c r="AZ133" i="7"/>
  <c r="AZ127" i="7"/>
  <c r="AZ121" i="7"/>
  <c r="AZ123" i="7"/>
  <c r="AZ119" i="7"/>
  <c r="AZ141" i="7"/>
  <c r="AZ135" i="7"/>
  <c r="AZ129" i="7"/>
  <c r="AZ131" i="7"/>
  <c r="AZ142" i="7"/>
  <c r="AZ115" i="7"/>
  <c r="AZ118" i="7"/>
  <c r="AZ149" i="7"/>
  <c r="AZ143" i="7"/>
  <c r="AZ137" i="7"/>
  <c r="AZ139" i="7"/>
  <c r="AZ130" i="7"/>
  <c r="AZ117" i="7"/>
  <c r="AZ126" i="7"/>
  <c r="AZ124" i="7"/>
  <c r="AZ145" i="7"/>
  <c r="AZ147" i="7"/>
  <c r="AZ116" i="7"/>
  <c r="AZ134" i="7"/>
  <c r="AZ128" i="7"/>
  <c r="AZ122" i="7"/>
  <c r="W12" i="1"/>
  <c r="Z49" i="7"/>
  <c r="M8" i="7" a="1"/>
  <c r="M8" i="7" s="1"/>
  <c r="AO121" i="7"/>
  <c r="AN121" i="7"/>
  <c r="AQ121" i="7"/>
  <c r="AQ114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23" i="7"/>
  <c r="AQ123" i="7"/>
  <c r="AO123" i="7"/>
  <c r="AQ118" i="7"/>
  <c r="AO118" i="7"/>
  <c r="AN118" i="7"/>
  <c r="AN117" i="7"/>
  <c r="AQ117" i="7"/>
  <c r="AO117" i="7"/>
  <c r="AN116" i="7"/>
  <c r="AQ116" i="7"/>
  <c r="AO116" i="7"/>
  <c r="AQ134" i="7"/>
  <c r="AO134" i="7"/>
  <c r="AN134" i="7"/>
  <c r="AQ128" i="7"/>
  <c r="AO128" i="7"/>
  <c r="AN128" i="7"/>
  <c r="AO122" i="7"/>
  <c r="AN122" i="7"/>
  <c r="AQ122" i="7"/>
  <c r="AQ115" i="7"/>
  <c r="AN115" i="7"/>
  <c r="AO115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19" i="7"/>
  <c r="AO119" i="7"/>
  <c r="AN119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143" i="7"/>
  <c r="AO143" i="7"/>
  <c r="AN143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Q127" i="7"/>
  <c r="AO127" i="7"/>
  <c r="AN127" i="7"/>
  <c r="AN124" i="7"/>
  <c r="AQ124" i="7"/>
  <c r="AO124" i="7"/>
  <c r="AN147" i="7"/>
  <c r="AQ147" i="7"/>
  <c r="AO147" i="7"/>
  <c r="AQ120" i="7"/>
  <c r="AO120" i="7"/>
  <c r="AN120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49" i="7"/>
  <c r="AT143" i="7"/>
  <c r="AT137" i="7"/>
  <c r="AT139" i="7"/>
  <c r="AT132" i="7"/>
  <c r="AT146" i="7"/>
  <c r="AT126" i="7"/>
  <c r="AT124" i="7"/>
  <c r="AT145" i="7"/>
  <c r="AT147" i="7"/>
  <c r="HK10" i="1"/>
  <c r="HS11" i="1" s="1"/>
  <c r="HL11" i="1" s="1"/>
  <c r="Z71" i="7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AV51" i="7"/>
  <c r="Z51" i="7"/>
  <c r="AV59" i="7"/>
  <c r="Z59" i="7"/>
  <c r="AV40" i="7"/>
  <c r="Z40" i="7"/>
  <c r="AV38" i="7"/>
  <c r="AV36" i="7"/>
  <c r="AV34" i="7"/>
  <c r="AV25" i="7"/>
  <c r="AF120" i="7"/>
  <c r="AD120" i="7"/>
  <c r="AH120" i="7" s="1"/>
  <c r="N120" i="7"/>
  <c r="R120" i="7" s="1"/>
  <c r="X120" i="7" s="1"/>
  <c r="AV120" i="7"/>
  <c r="Z120" i="7"/>
  <c r="AB120" i="7"/>
  <c r="AE120" i="7" s="1"/>
  <c r="O120" i="7"/>
  <c r="AX120" i="7"/>
  <c r="P120" i="7"/>
  <c r="S120" i="7" s="1"/>
  <c r="Q120" i="7"/>
  <c r="AA120" i="7"/>
  <c r="AC120" i="7" s="1"/>
  <c r="AM120" i="7"/>
  <c r="AI120" i="7"/>
  <c r="AG120" i="7"/>
  <c r="AJ120" i="7"/>
  <c r="P97" i="7"/>
  <c r="S97" i="7" s="1"/>
  <c r="AV97" i="7"/>
  <c r="AA97" i="7"/>
  <c r="O97" i="7"/>
  <c r="N97" i="7"/>
  <c r="Z97" i="7"/>
  <c r="AB97" i="7"/>
  <c r="AB93" i="7"/>
  <c r="AA93" i="7"/>
  <c r="Z93" i="7"/>
  <c r="P93" i="7"/>
  <c r="S93" i="7" s="1"/>
  <c r="O93" i="7"/>
  <c r="AV93" i="7"/>
  <c r="N93" i="7"/>
  <c r="AV86" i="7"/>
  <c r="N86" i="7"/>
  <c r="O86" i="7"/>
  <c r="AA86" i="7"/>
  <c r="P86" i="7"/>
  <c r="S86" i="7" s="1"/>
  <c r="Z86" i="7"/>
  <c r="AB86" i="7"/>
  <c r="AV113" i="7"/>
  <c r="O113" i="7"/>
  <c r="P113" i="7"/>
  <c r="S113" i="7" s="1"/>
  <c r="Y113" i="7" s="1"/>
  <c r="AB113" i="7"/>
  <c r="Z113" i="7"/>
  <c r="N113" i="7"/>
  <c r="AA113" i="7"/>
  <c r="AE113" i="7" s="1"/>
  <c r="X125" i="7"/>
  <c r="AB125" i="7"/>
  <c r="AA125" i="7"/>
  <c r="AI125" i="7"/>
  <c r="AE125" i="7"/>
  <c r="AC125" i="7"/>
  <c r="AV125" i="7"/>
  <c r="N125" i="7"/>
  <c r="AD125" i="7"/>
  <c r="AM125" i="7"/>
  <c r="S125" i="7"/>
  <c r="AH125" i="7"/>
  <c r="O125" i="7"/>
  <c r="AG125" i="7"/>
  <c r="R125" i="7"/>
  <c r="AX125" i="7"/>
  <c r="AJ125" i="7"/>
  <c r="P125" i="7"/>
  <c r="Q125" i="7"/>
  <c r="Z125" i="7"/>
  <c r="AF125" i="7"/>
  <c r="Z140" i="7"/>
  <c r="AM140" i="7"/>
  <c r="AH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Q140" i="7"/>
  <c r="AF140" i="7"/>
  <c r="X140" i="7"/>
  <c r="AI140" i="7"/>
  <c r="AB140" i="7"/>
  <c r="AW140" i="7"/>
  <c r="P140" i="7"/>
  <c r="U140" i="7"/>
  <c r="T140" i="7"/>
  <c r="AX140" i="7"/>
  <c r="R148" i="7"/>
  <c r="O148" i="7"/>
  <c r="AG148" i="7"/>
  <c r="AA148" i="7"/>
  <c r="P148" i="7"/>
  <c r="AC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T146" i="7"/>
  <c r="AB146" i="7"/>
  <c r="AX146" i="7"/>
  <c r="N146" i="7"/>
  <c r="Q146" i="7"/>
  <c r="Y146" i="7"/>
  <c r="V146" i="7" s="1"/>
  <c r="AE146" i="7"/>
  <c r="AJ146" i="7" s="1"/>
  <c r="AM146" i="7"/>
  <c r="O146" i="7"/>
  <c r="AV146" i="7"/>
  <c r="AG146" i="7"/>
  <c r="AY146" i="7"/>
  <c r="P146" i="7"/>
  <c r="R146" i="7"/>
  <c r="AI146" i="7"/>
  <c r="AC146" i="7"/>
  <c r="X146" i="7"/>
  <c r="Z146" i="7"/>
  <c r="AD146" i="7"/>
  <c r="AF146" i="7"/>
  <c r="AH146" i="7"/>
  <c r="S146" i="7"/>
  <c r="AA146" i="7"/>
  <c r="AV70" i="7"/>
  <c r="O70" i="7"/>
  <c r="Z70" i="7"/>
  <c r="AA70" i="7"/>
  <c r="AB70" i="7"/>
  <c r="N70" i="7"/>
  <c r="P70" i="7"/>
  <c r="S70" i="7" s="1"/>
  <c r="AV67" i="7"/>
  <c r="O67" i="7"/>
  <c r="Z67" i="7"/>
  <c r="AA67" i="7"/>
  <c r="N67" i="7"/>
  <c r="AB67" i="7"/>
  <c r="P67" i="7"/>
  <c r="S67" i="7" s="1"/>
  <c r="AV66" i="7"/>
  <c r="AB66" i="7"/>
  <c r="O66" i="7"/>
  <c r="N66" i="7"/>
  <c r="P66" i="7"/>
  <c r="S66" i="7" s="1"/>
  <c r="Z66" i="7"/>
  <c r="AA66" i="7"/>
  <c r="AV64" i="7"/>
  <c r="Z64" i="7"/>
  <c r="P64" i="7"/>
  <c r="S64" i="7" s="1"/>
  <c r="N64" i="7"/>
  <c r="AB64" i="7"/>
  <c r="O64" i="7"/>
  <c r="AA64" i="7"/>
  <c r="AV32" i="7"/>
  <c r="AV30" i="7"/>
  <c r="AV27" i="7"/>
  <c r="AV24" i="7"/>
  <c r="AV17" i="7"/>
  <c r="P90" i="7"/>
  <c r="S90" i="7" s="1"/>
  <c r="AV90" i="7"/>
  <c r="O90" i="7"/>
  <c r="N90" i="7"/>
  <c r="AA90" i="7"/>
  <c r="AB90" i="7"/>
  <c r="Z90" i="7"/>
  <c r="AB109" i="7"/>
  <c r="AA109" i="7"/>
  <c r="Z109" i="7"/>
  <c r="P109" i="7"/>
  <c r="S109" i="7" s="1"/>
  <c r="Y109" i="7" s="1"/>
  <c r="N109" i="7"/>
  <c r="O109" i="7"/>
  <c r="AV109" i="7"/>
  <c r="AA100" i="7"/>
  <c r="Z100" i="7"/>
  <c r="P100" i="7"/>
  <c r="S100" i="7" s="1"/>
  <c r="O100" i="7"/>
  <c r="AB100" i="7"/>
  <c r="N100" i="7"/>
  <c r="AV100" i="7"/>
  <c r="AV77" i="7"/>
  <c r="P77" i="7"/>
  <c r="S77" i="7" s="1"/>
  <c r="AA77" i="7"/>
  <c r="N77" i="7"/>
  <c r="O77" i="7"/>
  <c r="Z77" i="7"/>
  <c r="AB77" i="7"/>
  <c r="O89" i="7"/>
  <c r="AV89" i="7"/>
  <c r="N89" i="7"/>
  <c r="Z89" i="7"/>
  <c r="AA89" i="7"/>
  <c r="P89" i="7"/>
  <c r="S89" i="7" s="1"/>
  <c r="AB89" i="7"/>
  <c r="AD133" i="7"/>
  <c r="AG133" i="7"/>
  <c r="P133" i="7"/>
  <c r="Z133" i="7"/>
  <c r="R133" i="7"/>
  <c r="S133" i="7"/>
  <c r="Y133" i="7" s="1"/>
  <c r="O133" i="7"/>
  <c r="N133" i="7"/>
  <c r="AM133" i="7"/>
  <c r="AH133" i="7"/>
  <c r="AE133" i="7"/>
  <c r="AC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X127" i="7"/>
  <c r="S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Z127" i="7"/>
  <c r="AI127" i="7"/>
  <c r="AA127" i="7"/>
  <c r="AM127" i="7"/>
  <c r="AC127" i="7"/>
  <c r="Q127" i="7"/>
  <c r="U121" i="7"/>
  <c r="P121" i="7"/>
  <c r="AS121" i="7"/>
  <c r="AV121" i="7"/>
  <c r="AF121" i="7"/>
  <c r="AM121" i="7" s="1"/>
  <c r="Y121" i="7"/>
  <c r="AY121" i="7"/>
  <c r="W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N121" i="7"/>
  <c r="Z121" i="7"/>
  <c r="AB121" i="7"/>
  <c r="V121" i="7"/>
  <c r="AE121" i="7"/>
  <c r="AE123" i="7"/>
  <c r="P123" i="7"/>
  <c r="U123" i="7"/>
  <c r="S123" i="7"/>
  <c r="AB123" i="7"/>
  <c r="AS123" i="7"/>
  <c r="AD123" i="7"/>
  <c r="AF123" i="7"/>
  <c r="AJ123" i="7"/>
  <c r="N123" i="7"/>
  <c r="AC123" i="7"/>
  <c r="O123" i="7"/>
  <c r="W123" i="7"/>
  <c r="AW123" i="7" s="1"/>
  <c r="AI123" i="7"/>
  <c r="AV123" i="7"/>
  <c r="X123" i="7"/>
  <c r="R123" i="7"/>
  <c r="AX123" i="7"/>
  <c r="AA123" i="7"/>
  <c r="AM123" i="7"/>
  <c r="AH123" i="7"/>
  <c r="Z123" i="7"/>
  <c r="Q123" i="7"/>
  <c r="AG123" i="7"/>
  <c r="T123" i="7"/>
  <c r="AV72" i="7"/>
  <c r="Z72" i="7"/>
  <c r="O72" i="7"/>
  <c r="P72" i="7"/>
  <c r="S72" i="7" s="1"/>
  <c r="AB72" i="7"/>
  <c r="N72" i="7"/>
  <c r="AA72" i="7"/>
  <c r="AV74" i="7"/>
  <c r="AB74" i="7"/>
  <c r="AA74" i="7"/>
  <c r="N74" i="7"/>
  <c r="O74" i="7"/>
  <c r="Z74" i="7"/>
  <c r="P74" i="7"/>
  <c r="S74" i="7" s="1"/>
  <c r="AV61" i="7"/>
  <c r="O61" i="7"/>
  <c r="AB61" i="7"/>
  <c r="P61" i="7"/>
  <c r="S61" i="7" s="1"/>
  <c r="Z61" i="7"/>
  <c r="AA61" i="7"/>
  <c r="N61" i="7"/>
  <c r="AV22" i="7"/>
  <c r="AV18" i="7"/>
  <c r="AV15" i="7"/>
  <c r="AV10" i="7"/>
  <c r="AV12" i="7"/>
  <c r="N105" i="7"/>
  <c r="Z105" i="7"/>
  <c r="AV105" i="7"/>
  <c r="AB105" i="7"/>
  <c r="AA105" i="7"/>
  <c r="P105" i="7"/>
  <c r="S105" i="7" s="1"/>
  <c r="O105" i="7"/>
  <c r="AV84" i="7"/>
  <c r="P84" i="7"/>
  <c r="S84" i="7" s="1"/>
  <c r="AB84" i="7"/>
  <c r="AA84" i="7"/>
  <c r="O84" i="7"/>
  <c r="N84" i="7"/>
  <c r="Z84" i="7"/>
  <c r="AA114" i="7"/>
  <c r="AV114" i="7"/>
  <c r="N114" i="7"/>
  <c r="R114" i="7" s="1"/>
  <c r="X114" i="7" s="1"/>
  <c r="AX114" i="7" s="1"/>
  <c r="P114" i="7"/>
  <c r="S114" i="7" s="1"/>
  <c r="Y114" i="7" s="1"/>
  <c r="Z114" i="7"/>
  <c r="AC114" i="7" s="1"/>
  <c r="AB114" i="7"/>
  <c r="O114" i="7"/>
  <c r="AV81" i="7"/>
  <c r="AB81" i="7"/>
  <c r="AA81" i="7"/>
  <c r="P81" i="7"/>
  <c r="S81" i="7" s="1"/>
  <c r="Z81" i="7"/>
  <c r="N81" i="7"/>
  <c r="O81" i="7"/>
  <c r="AB111" i="7"/>
  <c r="AA111" i="7"/>
  <c r="N111" i="7"/>
  <c r="O111" i="7"/>
  <c r="AV111" i="7"/>
  <c r="Z111" i="7"/>
  <c r="P111" i="7"/>
  <c r="S111" i="7" s="1"/>
  <c r="Y111" i="7" s="1"/>
  <c r="AC141" i="7"/>
  <c r="AJ141" i="7"/>
  <c r="P141" i="7"/>
  <c r="AM141" i="7"/>
  <c r="AB141" i="7"/>
  <c r="AV141" i="7"/>
  <c r="AI141" i="7"/>
  <c r="AE141" i="7"/>
  <c r="AF141" i="7"/>
  <c r="AA141" i="7"/>
  <c r="O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G135" i="7"/>
  <c r="X135" i="7"/>
  <c r="O135" i="7"/>
  <c r="Z135" i="7"/>
  <c r="N135" i="7"/>
  <c r="AB135" i="7"/>
  <c r="S135" i="7"/>
  <c r="AI135" i="7"/>
  <c r="AM135" i="7"/>
  <c r="AA135" i="7"/>
  <c r="R135" i="7"/>
  <c r="P135" i="7"/>
  <c r="AJ135" i="7"/>
  <c r="AF135" i="7"/>
  <c r="AH135" i="7"/>
  <c r="AD135" i="7"/>
  <c r="Q135" i="7"/>
  <c r="AE135" i="7"/>
  <c r="AX135" i="7"/>
  <c r="AC135" i="7"/>
  <c r="AV135" i="7"/>
  <c r="AD129" i="7"/>
  <c r="AH129" i="7" s="1"/>
  <c r="AG129" i="7"/>
  <c r="AM129" i="7"/>
  <c r="AV129" i="7"/>
  <c r="Z129" i="7"/>
  <c r="AC129" i="7"/>
  <c r="N129" i="7"/>
  <c r="U129" i="7"/>
  <c r="AJ129" i="7"/>
  <c r="P129" i="7"/>
  <c r="AB129" i="7"/>
  <c r="O129" i="7"/>
  <c r="AA129" i="7"/>
  <c r="AF129" i="7"/>
  <c r="X129" i="7"/>
  <c r="S129" i="7"/>
  <c r="R129" i="7"/>
  <c r="AE129" i="7"/>
  <c r="Q129" i="7"/>
  <c r="AX129" i="7"/>
  <c r="AI129" i="7"/>
  <c r="N131" i="7"/>
  <c r="AE131" i="7"/>
  <c r="W131" i="7"/>
  <c r="AW131" i="7"/>
  <c r="AJ131" i="7"/>
  <c r="X131" i="7"/>
  <c r="R131" i="7"/>
  <c r="O131" i="7"/>
  <c r="AG131" i="7"/>
  <c r="AF131" i="7"/>
  <c r="AV131" i="7"/>
  <c r="Q131" i="7"/>
  <c r="Z131" i="7"/>
  <c r="AD131" i="7"/>
  <c r="T131" i="7"/>
  <c r="AA131" i="7"/>
  <c r="P131" i="7"/>
  <c r="AM131" i="7"/>
  <c r="AB131" i="7"/>
  <c r="AC131" i="7"/>
  <c r="S131" i="7"/>
  <c r="AI131" i="7"/>
  <c r="AX131" i="7"/>
  <c r="AS131" i="7"/>
  <c r="AH131" i="7"/>
  <c r="U131" i="7"/>
  <c r="AV52" i="7"/>
  <c r="AV55" i="7"/>
  <c r="AV60" i="7"/>
  <c r="AV47" i="7"/>
  <c r="AV45" i="7"/>
  <c r="AV43" i="7"/>
  <c r="AV29" i="7"/>
  <c r="Z91" i="7"/>
  <c r="P91" i="7"/>
  <c r="S91" i="7" s="1"/>
  <c r="AV91" i="7"/>
  <c r="O91" i="7"/>
  <c r="N91" i="7"/>
  <c r="AB91" i="7"/>
  <c r="AA91" i="7"/>
  <c r="AB115" i="7"/>
  <c r="AF115" i="7"/>
  <c r="P115" i="7"/>
  <c r="S115" i="7" s="1"/>
  <c r="AV115" i="7"/>
  <c r="O115" i="7"/>
  <c r="Q115" i="7"/>
  <c r="AC115" i="7"/>
  <c r="R115" i="7"/>
  <c r="X115" i="7" s="1"/>
  <c r="AI115" i="7"/>
  <c r="AE115" i="7"/>
  <c r="AG115" i="7" s="1"/>
  <c r="Z115" i="7"/>
  <c r="AD115" i="7" s="1"/>
  <c r="AH115" i="7" s="1"/>
  <c r="AM115" i="7"/>
  <c r="AA115" i="7"/>
  <c r="AX115" i="7"/>
  <c r="N115" i="7"/>
  <c r="AJ115" i="7"/>
  <c r="S118" i="7"/>
  <c r="AB118" i="7"/>
  <c r="AF118" i="7" s="1"/>
  <c r="AX118" i="7"/>
  <c r="Z118" i="7"/>
  <c r="AV118" i="7"/>
  <c r="AD118" i="7"/>
  <c r="AH118" i="7" s="1"/>
  <c r="N118" i="7"/>
  <c r="AG118" i="7"/>
  <c r="AA118" i="7"/>
  <c r="AE118" i="7" s="1"/>
  <c r="AI118" i="7"/>
  <c r="R118" i="7"/>
  <c r="X118" i="7" s="1"/>
  <c r="AC118" i="7"/>
  <c r="P118" i="7"/>
  <c r="O118" i="7"/>
  <c r="Q118" i="7" s="1"/>
  <c r="AM118" i="7"/>
  <c r="AJ118" i="7"/>
  <c r="AA112" i="7"/>
  <c r="N112" i="7"/>
  <c r="O112" i="7"/>
  <c r="AB112" i="7"/>
  <c r="AF112" i="7" s="1"/>
  <c r="P112" i="7"/>
  <c r="S112" i="7" s="1"/>
  <c r="Y112" i="7" s="1"/>
  <c r="AV112" i="7"/>
  <c r="Z112" i="7"/>
  <c r="Z99" i="7"/>
  <c r="P99" i="7"/>
  <c r="S99" i="7" s="1"/>
  <c r="AV99" i="7"/>
  <c r="O99" i="7"/>
  <c r="N99" i="7"/>
  <c r="AB99" i="7"/>
  <c r="AA99" i="7"/>
  <c r="AV85" i="7"/>
  <c r="N85" i="7"/>
  <c r="AB85" i="7"/>
  <c r="O85" i="7"/>
  <c r="Z85" i="7"/>
  <c r="AA85" i="7"/>
  <c r="P85" i="7"/>
  <c r="S85" i="7" s="1"/>
  <c r="W149" i="7"/>
  <c r="O149" i="7"/>
  <c r="AH149" i="7"/>
  <c r="X149" i="7"/>
  <c r="U149" i="7" s="1"/>
  <c r="AE149" i="7"/>
  <c r="AF149" i="7"/>
  <c r="AM149" i="7" s="1"/>
  <c r="AV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U143" i="7"/>
  <c r="AD143" i="7"/>
  <c r="N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AG143" i="7"/>
  <c r="O143" i="7"/>
  <c r="S143" i="7"/>
  <c r="AX143" i="7"/>
  <c r="Q143" i="7"/>
  <c r="AI143" i="7"/>
  <c r="AF143" i="7"/>
  <c r="AH137" i="7"/>
  <c r="AA137" i="7"/>
  <c r="Z137" i="7"/>
  <c r="AD137" i="7"/>
  <c r="V137" i="7"/>
  <c r="N137" i="7"/>
  <c r="AI137" i="7"/>
  <c r="AB137" i="7"/>
  <c r="Q137" i="7"/>
  <c r="R137" i="7"/>
  <c r="Y137" i="7"/>
  <c r="AG137" i="7"/>
  <c r="AJ137" i="7"/>
  <c r="AC137" i="7"/>
  <c r="O137" i="7"/>
  <c r="AY137" i="7"/>
  <c r="W137" i="7"/>
  <c r="AF137" i="7"/>
  <c r="AE137" i="7"/>
  <c r="AM137" i="7"/>
  <c r="S137" i="7"/>
  <c r="AV137" i="7"/>
  <c r="P137" i="7"/>
  <c r="X137" i="7"/>
  <c r="AX137" i="7"/>
  <c r="U137" i="7"/>
  <c r="AW137" i="7"/>
  <c r="AS137" i="7"/>
  <c r="T137" i="7"/>
  <c r="AH139" i="7"/>
  <c r="AM139" i="7"/>
  <c r="AF139" i="7"/>
  <c r="AB139" i="7"/>
  <c r="AV139" i="7"/>
  <c r="Q139" i="7"/>
  <c r="W139" i="7" s="1"/>
  <c r="AS139" i="7" s="1"/>
  <c r="R139" i="7"/>
  <c r="X139" i="7" s="1"/>
  <c r="O139" i="7"/>
  <c r="Z139" i="7"/>
  <c r="AG139" i="7"/>
  <c r="S139" i="7"/>
  <c r="AE139" i="7"/>
  <c r="T139" i="7"/>
  <c r="AI139" i="7"/>
  <c r="AJ139" i="7"/>
  <c r="AX139" i="7"/>
  <c r="N139" i="7"/>
  <c r="AA139" i="7"/>
  <c r="AD139" i="7"/>
  <c r="P139" i="7"/>
  <c r="AW139" i="7"/>
  <c r="U139" i="7"/>
  <c r="AC139" i="7"/>
  <c r="AV69" i="7"/>
  <c r="AB69" i="7"/>
  <c r="N69" i="7"/>
  <c r="O69" i="7"/>
  <c r="AA69" i="7"/>
  <c r="Z69" i="7"/>
  <c r="P69" i="7"/>
  <c r="S69" i="7" s="1"/>
  <c r="Y120" i="7"/>
  <c r="AY120" i="7" s="1"/>
  <c r="AV48" i="7"/>
  <c r="AV71" i="7"/>
  <c r="AA71" i="7"/>
  <c r="P71" i="7"/>
  <c r="S71" i="7" s="1"/>
  <c r="N71" i="7"/>
  <c r="O71" i="7"/>
  <c r="AB71" i="7"/>
  <c r="AV65" i="7"/>
  <c r="N65" i="7"/>
  <c r="AA65" i="7"/>
  <c r="Z65" i="7"/>
  <c r="P65" i="7"/>
  <c r="S65" i="7" s="1"/>
  <c r="O65" i="7"/>
  <c r="AB65" i="7"/>
  <c r="AV39" i="7"/>
  <c r="AV37" i="7"/>
  <c r="AV35" i="7"/>
  <c r="AV21" i="7"/>
  <c r="N98" i="7"/>
  <c r="AA98" i="7"/>
  <c r="AB98" i="7"/>
  <c r="Z98" i="7"/>
  <c r="P98" i="7"/>
  <c r="S98" i="7" s="1"/>
  <c r="AV98" i="7"/>
  <c r="O98" i="7"/>
  <c r="AV80" i="7"/>
  <c r="N80" i="7"/>
  <c r="AB80" i="7"/>
  <c r="P80" i="7"/>
  <c r="S80" i="7" s="1"/>
  <c r="O80" i="7"/>
  <c r="Z80" i="7"/>
  <c r="AA80" i="7"/>
  <c r="P103" i="7"/>
  <c r="S103" i="7" s="1"/>
  <c r="AV103" i="7"/>
  <c r="Z103" i="7"/>
  <c r="N103" i="7"/>
  <c r="AB103" i="7"/>
  <c r="AA103" i="7"/>
  <c r="O103" i="7"/>
  <c r="N88" i="7"/>
  <c r="O88" i="7"/>
  <c r="AV88" i="7"/>
  <c r="P88" i="7"/>
  <c r="S88" i="7" s="1"/>
  <c r="Z88" i="7"/>
  <c r="AA88" i="7"/>
  <c r="AB88" i="7"/>
  <c r="AF117" i="7"/>
  <c r="Q117" i="7"/>
  <c r="S117" i="7"/>
  <c r="Z117" i="7"/>
  <c r="P117" i="7"/>
  <c r="N117" i="7"/>
  <c r="AX117" i="7"/>
  <c r="AD117" i="7"/>
  <c r="AH117" i="7" s="1"/>
  <c r="AV117" i="7"/>
  <c r="AB117" i="7"/>
  <c r="AE117" i="7" s="1"/>
  <c r="R117" i="7"/>
  <c r="X117" i="7" s="1"/>
  <c r="AA117" i="7"/>
  <c r="O117" i="7"/>
  <c r="AC117" i="7"/>
  <c r="AJ117" i="7"/>
  <c r="AG117" i="7"/>
  <c r="AM117" i="7"/>
  <c r="AI117" i="7"/>
  <c r="Z92" i="7"/>
  <c r="P92" i="7"/>
  <c r="S92" i="7" s="1"/>
  <c r="AV92" i="7"/>
  <c r="O92" i="7"/>
  <c r="AB92" i="7"/>
  <c r="N92" i="7"/>
  <c r="AA92" i="7"/>
  <c r="AC126" i="7"/>
  <c r="AF126" i="7"/>
  <c r="AM126" i="7"/>
  <c r="BA126" i="7" s="1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S124" i="7"/>
  <c r="AV124" i="7"/>
  <c r="W124" i="7"/>
  <c r="AE124" i="7"/>
  <c r="AF124" i="7"/>
  <c r="AM124" i="7" s="1"/>
  <c r="AH124" i="7"/>
  <c r="N124" i="7"/>
  <c r="AI124" i="7"/>
  <c r="AA124" i="7"/>
  <c r="P124" i="7"/>
  <c r="AW124" i="7"/>
  <c r="AD124" i="7"/>
  <c r="O124" i="7"/>
  <c r="AX124" i="7"/>
  <c r="U124" i="7"/>
  <c r="AS124" i="7"/>
  <c r="Z124" i="7"/>
  <c r="AC124" i="7"/>
  <c r="R124" i="7"/>
  <c r="T124" i="7"/>
  <c r="AB124" i="7"/>
  <c r="Q124" i="7"/>
  <c r="AJ124" i="7"/>
  <c r="X124" i="7"/>
  <c r="AG124" i="7"/>
  <c r="R145" i="7"/>
  <c r="Z145" i="7"/>
  <c r="Q145" i="7"/>
  <c r="Y145" i="7"/>
  <c r="V145" i="7" s="1"/>
  <c r="AD145" i="7"/>
  <c r="AA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AV145" i="7"/>
  <c r="U145" i="7"/>
  <c r="AE145" i="7"/>
  <c r="AF145" i="7"/>
  <c r="AC145" i="7"/>
  <c r="AM145" i="7"/>
  <c r="T145" i="7"/>
  <c r="AW145" i="7"/>
  <c r="AX145" i="7"/>
  <c r="AS145" i="7"/>
  <c r="R147" i="7"/>
  <c r="AG147" i="7"/>
  <c r="Q147" i="7"/>
  <c r="W147" i="7" s="1"/>
  <c r="AS147" i="7" s="1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Z73" i="7"/>
  <c r="AV73" i="7"/>
  <c r="N73" i="7"/>
  <c r="AB73" i="7"/>
  <c r="AA73" i="7"/>
  <c r="P73" i="7"/>
  <c r="S73" i="7" s="1"/>
  <c r="O73" i="7"/>
  <c r="AV75" i="7"/>
  <c r="P75" i="7"/>
  <c r="S75" i="7" s="1"/>
  <c r="Z75" i="7"/>
  <c r="N75" i="7"/>
  <c r="AA75" i="7"/>
  <c r="O75" i="7"/>
  <c r="AV62" i="7"/>
  <c r="O62" i="7"/>
  <c r="P62" i="7"/>
  <c r="S62" i="7" s="1"/>
  <c r="N62" i="7"/>
  <c r="AB62" i="7"/>
  <c r="AA62" i="7"/>
  <c r="Z62" i="7"/>
  <c r="AV41" i="7"/>
  <c r="AV31" i="7"/>
  <c r="AV28" i="7"/>
  <c r="AV26" i="7"/>
  <c r="AV13" i="7"/>
  <c r="Z94" i="7"/>
  <c r="N94" i="7"/>
  <c r="P94" i="7"/>
  <c r="S94" i="7" s="1"/>
  <c r="O94" i="7"/>
  <c r="AB94" i="7"/>
  <c r="AV94" i="7"/>
  <c r="AA94" i="7"/>
  <c r="AV82" i="7"/>
  <c r="AA82" i="7"/>
  <c r="O82" i="7"/>
  <c r="Z82" i="7"/>
  <c r="AB82" i="7"/>
  <c r="P82" i="7"/>
  <c r="S82" i="7" s="1"/>
  <c r="N82" i="7"/>
  <c r="P108" i="7"/>
  <c r="S108" i="7" s="1"/>
  <c r="Y108" i="7" s="1"/>
  <c r="O108" i="7"/>
  <c r="AB108" i="7"/>
  <c r="N108" i="7"/>
  <c r="AV108" i="7"/>
  <c r="AA108" i="7"/>
  <c r="Z108" i="7"/>
  <c r="AV79" i="7"/>
  <c r="O79" i="7"/>
  <c r="N79" i="7"/>
  <c r="Z79" i="7"/>
  <c r="AA79" i="7"/>
  <c r="P79" i="7"/>
  <c r="S79" i="7" s="1"/>
  <c r="AB79" i="7"/>
  <c r="Q116" i="7"/>
  <c r="AG116" i="7"/>
  <c r="R116" i="7"/>
  <c r="X116" i="7" s="1"/>
  <c r="AM116" i="7"/>
  <c r="N116" i="7"/>
  <c r="AA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AJ116" i="7"/>
  <c r="N102" i="7"/>
  <c r="P102" i="7"/>
  <c r="S102" i="7" s="1"/>
  <c r="O102" i="7"/>
  <c r="AB102" i="7"/>
  <c r="AA102" i="7"/>
  <c r="AV102" i="7"/>
  <c r="Z102" i="7"/>
  <c r="AC134" i="7"/>
  <c r="N134" i="7"/>
  <c r="Q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P134" i="7"/>
  <c r="Z134" i="7"/>
  <c r="U134" i="7"/>
  <c r="T134" i="7"/>
  <c r="AW134" i="7"/>
  <c r="AB128" i="7"/>
  <c r="AH128" i="7"/>
  <c r="AI128" i="7"/>
  <c r="R128" i="7"/>
  <c r="T128" i="7"/>
  <c r="AV128" i="7"/>
  <c r="Z128" i="7"/>
  <c r="S128" i="7"/>
  <c r="AE128" i="7"/>
  <c r="AX128" i="7"/>
  <c r="AJ128" i="7"/>
  <c r="N128" i="7"/>
  <c r="AD128" i="7"/>
  <c r="AG128" i="7"/>
  <c r="AA128" i="7"/>
  <c r="AM128" i="7"/>
  <c r="Y128" i="7"/>
  <c r="V128" i="7" s="1"/>
  <c r="AC128" i="7"/>
  <c r="AY128" i="7"/>
  <c r="P128" i="7"/>
  <c r="O128" i="7"/>
  <c r="Q128" i="7"/>
  <c r="X128" i="7"/>
  <c r="AF128" i="7"/>
  <c r="BA128" i="7"/>
  <c r="AJ122" i="7"/>
  <c r="AC122" i="7"/>
  <c r="Q122" i="7"/>
  <c r="AI122" i="7"/>
  <c r="AG122" i="7"/>
  <c r="AB122" i="7"/>
  <c r="AF122" i="7"/>
  <c r="P122" i="7"/>
  <c r="AH122" i="7"/>
  <c r="W122" i="7"/>
  <c r="AS122" i="7" s="1"/>
  <c r="O122" i="7"/>
  <c r="AM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AV53" i="7"/>
  <c r="P56" i="7"/>
  <c r="S56" i="7" s="1"/>
  <c r="AV56" i="7"/>
  <c r="N56" i="7"/>
  <c r="Z56" i="7"/>
  <c r="AV58" i="7"/>
  <c r="N58" i="7"/>
  <c r="Z58" i="7"/>
  <c r="P58" i="7"/>
  <c r="S58" i="7" s="1"/>
  <c r="AV33" i="7"/>
  <c r="AA33" i="7"/>
  <c r="AV19" i="7"/>
  <c r="AV16" i="7"/>
  <c r="AV14" i="7"/>
  <c r="AV20" i="7"/>
  <c r="P20" i="7"/>
  <c r="S20" i="7" s="1"/>
  <c r="P107" i="7"/>
  <c r="S107" i="7" s="1"/>
  <c r="O107" i="7"/>
  <c r="N107" i="7"/>
  <c r="AV107" i="7"/>
  <c r="AB107" i="7"/>
  <c r="AA107" i="7"/>
  <c r="Z107" i="7"/>
  <c r="Z95" i="7"/>
  <c r="P95" i="7"/>
  <c r="S95" i="7" s="1"/>
  <c r="N95" i="7"/>
  <c r="AB95" i="7"/>
  <c r="AV95" i="7"/>
  <c r="AA95" i="7"/>
  <c r="O95" i="7"/>
  <c r="Z119" i="7"/>
  <c r="AC119" i="7" s="1"/>
  <c r="AV119" i="7"/>
  <c r="AX119" i="7"/>
  <c r="N119" i="7"/>
  <c r="Q119" i="7" s="1"/>
  <c r="S119" i="7"/>
  <c r="AF119" i="7"/>
  <c r="AA119" i="7"/>
  <c r="AD119" i="7" s="1"/>
  <c r="AH119" i="7" s="1"/>
  <c r="AB119" i="7"/>
  <c r="O119" i="7"/>
  <c r="P119" i="7"/>
  <c r="AE119" i="7"/>
  <c r="AJ119" i="7" s="1"/>
  <c r="R119" i="7"/>
  <c r="X119" i="7" s="1"/>
  <c r="AI119" i="7"/>
  <c r="AM119" i="7"/>
  <c r="AG119" i="7"/>
  <c r="AB110" i="7"/>
  <c r="AA110" i="7"/>
  <c r="Z110" i="7"/>
  <c r="N110" i="7"/>
  <c r="P110" i="7"/>
  <c r="S110" i="7" s="1"/>
  <c r="Y110" i="7" s="1"/>
  <c r="O110" i="7"/>
  <c r="AV110" i="7"/>
  <c r="P106" i="7"/>
  <c r="S106" i="7" s="1"/>
  <c r="O106" i="7"/>
  <c r="N106" i="7"/>
  <c r="AA106" i="7"/>
  <c r="AV106" i="7"/>
  <c r="Z106" i="7"/>
  <c r="AB106" i="7"/>
  <c r="O96" i="7"/>
  <c r="N96" i="7"/>
  <c r="AV96" i="7"/>
  <c r="AB96" i="7"/>
  <c r="P96" i="7"/>
  <c r="S96" i="7" s="1"/>
  <c r="AA96" i="7"/>
  <c r="Z96" i="7"/>
  <c r="U142" i="7"/>
  <c r="P142" i="7"/>
  <c r="Z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X136" i="7"/>
  <c r="AV136" i="7"/>
  <c r="N136" i="7"/>
  <c r="AE136" i="7"/>
  <c r="R136" i="7"/>
  <c r="AG136" i="7"/>
  <c r="Z136" i="7"/>
  <c r="Q136" i="7"/>
  <c r="AF136" i="7"/>
  <c r="AI136" i="7" s="1"/>
  <c r="AM136" i="7"/>
  <c r="AX136" i="7"/>
  <c r="O136" i="7"/>
  <c r="P136" i="7"/>
  <c r="S136" i="7"/>
  <c r="AA136" i="7"/>
  <c r="AC136" i="7"/>
  <c r="AH136" i="7"/>
  <c r="AD136" i="7"/>
  <c r="AJ136" i="7"/>
  <c r="AB136" i="7"/>
  <c r="Q130" i="7"/>
  <c r="AG130" i="7"/>
  <c r="AJ130" i="7"/>
  <c r="O130" i="7"/>
  <c r="S130" i="7"/>
  <c r="R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W130" i="7"/>
  <c r="T130" i="7" s="1"/>
  <c r="AX130" i="7"/>
  <c r="AV54" i="7"/>
  <c r="AV68" i="7"/>
  <c r="AA68" i="7"/>
  <c r="AB68" i="7"/>
  <c r="P68" i="7"/>
  <c r="S68" i="7" s="1"/>
  <c r="Z68" i="7"/>
  <c r="O68" i="7"/>
  <c r="N68" i="7"/>
  <c r="AV50" i="7"/>
  <c r="Z50" i="7"/>
  <c r="P50" i="7"/>
  <c r="S50" i="7" s="1"/>
  <c r="AV63" i="7"/>
  <c r="O63" i="7"/>
  <c r="N63" i="7"/>
  <c r="AB63" i="7"/>
  <c r="AA63" i="7"/>
  <c r="Z63" i="7"/>
  <c r="P63" i="7"/>
  <c r="S63" i="7" s="1"/>
  <c r="AV23" i="7"/>
  <c r="AV46" i="7"/>
  <c r="Z46" i="7"/>
  <c r="AV44" i="7"/>
  <c r="P44" i="7"/>
  <c r="S44" i="7" s="1"/>
  <c r="N44" i="7"/>
  <c r="Z44" i="7"/>
  <c r="AV42" i="7"/>
  <c r="AB42" i="7"/>
  <c r="Z42" i="7"/>
  <c r="P42" i="7"/>
  <c r="S42" i="7" s="1"/>
  <c r="AV11" i="7"/>
  <c r="AV101" i="7"/>
  <c r="AB101" i="7"/>
  <c r="AA101" i="7"/>
  <c r="Z101" i="7"/>
  <c r="P101" i="7"/>
  <c r="S101" i="7" s="1"/>
  <c r="O101" i="7"/>
  <c r="N101" i="7"/>
  <c r="AV78" i="7"/>
  <c r="Z78" i="7"/>
  <c r="AA78" i="7"/>
  <c r="P78" i="7"/>
  <c r="S78" i="7" s="1"/>
  <c r="O78" i="7"/>
  <c r="N78" i="7"/>
  <c r="AB78" i="7"/>
  <c r="AV87" i="7"/>
  <c r="AA87" i="7"/>
  <c r="P87" i="7"/>
  <c r="S87" i="7" s="1"/>
  <c r="Z87" i="7"/>
  <c r="AB87" i="7"/>
  <c r="O87" i="7"/>
  <c r="N87" i="7"/>
  <c r="AV83" i="7"/>
  <c r="Z83" i="7"/>
  <c r="AB83" i="7"/>
  <c r="P83" i="7"/>
  <c r="S83" i="7" s="1"/>
  <c r="AA83" i="7"/>
  <c r="O83" i="7"/>
  <c r="N83" i="7"/>
  <c r="AA104" i="7"/>
  <c r="AV104" i="7"/>
  <c r="Z104" i="7"/>
  <c r="O104" i="7"/>
  <c r="N104" i="7"/>
  <c r="AB104" i="7"/>
  <c r="P104" i="7"/>
  <c r="S104" i="7" s="1"/>
  <c r="AE132" i="7"/>
  <c r="AI132" i="7"/>
  <c r="Z132" i="7"/>
  <c r="O132" i="7"/>
  <c r="AV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X132" i="7"/>
  <c r="AB132" i="7"/>
  <c r="AJ132" i="7"/>
  <c r="AS132" i="7"/>
  <c r="Q132" i="7"/>
  <c r="AX132" i="7"/>
  <c r="AG132" i="7"/>
  <c r="U132" i="7"/>
  <c r="T132" i="7"/>
  <c r="AC132" i="7"/>
  <c r="AA150" i="7"/>
  <c r="AH150" i="7"/>
  <c r="R150" i="7"/>
  <c r="AI150" i="7"/>
  <c r="Z150" i="7"/>
  <c r="AE150" i="7"/>
  <c r="Y150" i="7"/>
  <c r="V150" i="7" s="1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S144" i="7"/>
  <c r="O144" i="7"/>
  <c r="N144" i="7"/>
  <c r="AD144" i="7"/>
  <c r="P144" i="7"/>
  <c r="AA144" i="7"/>
  <c r="AG144" i="7"/>
  <c r="AH144" i="7"/>
  <c r="AE144" i="7"/>
  <c r="X144" i="7"/>
  <c r="Z144" i="7"/>
  <c r="AM144" i="7"/>
  <c r="AV144" i="7"/>
  <c r="AF144" i="7"/>
  <c r="Q144" i="7"/>
  <c r="R144" i="7"/>
  <c r="AI144" i="7"/>
  <c r="AB144" i="7"/>
  <c r="AJ144" i="7"/>
  <c r="AX144" i="7"/>
  <c r="AC144" i="7"/>
  <c r="Z138" i="7"/>
  <c r="AY138" i="7"/>
  <c r="O138" i="7"/>
  <c r="Y138" i="7"/>
  <c r="V138" i="7" s="1"/>
  <c r="AC138" i="7"/>
  <c r="AD138" i="7"/>
  <c r="AV138" i="7"/>
  <c r="AX138" i="7"/>
  <c r="AA138" i="7"/>
  <c r="P138" i="7"/>
  <c r="AJ138" i="7"/>
  <c r="S138" i="7"/>
  <c r="AE138" i="7"/>
  <c r="Q138" i="7"/>
  <c r="AM138" i="7"/>
  <c r="AH138" i="7"/>
  <c r="AB138" i="7"/>
  <c r="AI138" i="7"/>
  <c r="R138" i="7"/>
  <c r="N138" i="7"/>
  <c r="AF138" i="7"/>
  <c r="X138" i="7"/>
  <c r="AG138" i="7"/>
  <c r="AV57" i="7"/>
  <c r="P57" i="7"/>
  <c r="S57" i="7" s="1"/>
  <c r="Z57" i="7"/>
  <c r="N57" i="7"/>
  <c r="AB57" i="7"/>
  <c r="AV76" i="7"/>
  <c r="Z76" i="7"/>
  <c r="AB76" i="7"/>
  <c r="AA76" i="7"/>
  <c r="N76" i="7"/>
  <c r="P76" i="7"/>
  <c r="S76" i="7" s="1"/>
  <c r="O76" i="7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8" i="7"/>
  <c r="V115" i="7"/>
  <c r="V119" i="7"/>
  <c r="V117" i="7"/>
  <c r="AC17" i="4"/>
  <c r="AC15" i="4"/>
  <c r="AC18" i="4"/>
  <c r="AC20" i="4"/>
  <c r="AD13" i="4"/>
  <c r="AC14" i="4"/>
  <c r="AC16" i="4"/>
  <c r="AC19" i="4"/>
  <c r="BR36" i="1" l="1"/>
  <c r="BQ36" i="1"/>
  <c r="BO36" i="1"/>
  <c r="BP33" i="1"/>
  <c r="BO33" i="1"/>
  <c r="BR33" i="1"/>
  <c r="BP128" i="1"/>
  <c r="BO128" i="1"/>
  <c r="BR128" i="1"/>
  <c r="BQ126" i="1"/>
  <c r="BR126" i="1"/>
  <c r="BO126" i="1"/>
  <c r="BR124" i="1"/>
  <c r="BP124" i="1"/>
  <c r="BO124" i="1"/>
  <c r="BQ124" i="1"/>
  <c r="BQ122" i="1"/>
  <c r="BP122" i="1"/>
  <c r="BO122" i="1"/>
  <c r="BR122" i="1"/>
  <c r="BP112" i="1"/>
  <c r="BR112" i="1"/>
  <c r="BO112" i="1"/>
  <c r="BO110" i="1"/>
  <c r="BR110" i="1"/>
  <c r="BP110" i="1"/>
  <c r="HZ9" i="1"/>
  <c r="BQ108" i="1"/>
  <c r="BP108" i="1"/>
  <c r="BO108" i="1"/>
  <c r="BR108" i="1"/>
  <c r="BP106" i="1"/>
  <c r="BO106" i="1"/>
  <c r="BO104" i="1"/>
  <c r="BR106" i="1"/>
  <c r="BR104" i="1"/>
  <c r="BP104" i="1"/>
  <c r="BO102" i="1"/>
  <c r="BR102" i="1"/>
  <c r="BQ102" i="1"/>
  <c r="BO100" i="1"/>
  <c r="BR100" i="1"/>
  <c r="BP98" i="1"/>
  <c r="BQ100" i="1"/>
  <c r="BP99" i="1"/>
  <c r="BR99" i="1"/>
  <c r="BQ99" i="1"/>
  <c r="BO99" i="1"/>
  <c r="BO98" i="1"/>
  <c r="BR98" i="1"/>
  <c r="BR54" i="1"/>
  <c r="BO54" i="1"/>
  <c r="BP54" i="1"/>
  <c r="AK150" i="1"/>
  <c r="AL148" i="1"/>
  <c r="AN148" i="1" s="1"/>
  <c r="JA148" i="1" s="1"/>
  <c r="AL146" i="1"/>
  <c r="AN146" i="1" s="1"/>
  <c r="JA146" i="1" s="1"/>
  <c r="AK145" i="1"/>
  <c r="AO145" i="1" s="1"/>
  <c r="IZ145" i="1" s="1"/>
  <c r="AL143" i="1"/>
  <c r="AN143" i="1" s="1"/>
  <c r="JA143" i="1" s="1"/>
  <c r="AK142" i="1"/>
  <c r="AO142" i="1" s="1"/>
  <c r="IZ142" i="1" s="1"/>
  <c r="AL142" i="1"/>
  <c r="AN142" i="1" s="1"/>
  <c r="JA142" i="1" s="1"/>
  <c r="AK141" i="1"/>
  <c r="AO141" i="1" s="1"/>
  <c r="IZ141" i="1" s="1"/>
  <c r="AK140" i="1"/>
  <c r="AO140" i="1" s="1"/>
  <c r="IZ140" i="1" s="1"/>
  <c r="AK139" i="1"/>
  <c r="AO139" i="1" s="1"/>
  <c r="JU50" i="1"/>
  <c r="JU53" i="1"/>
  <c r="JU52" i="1"/>
  <c r="JU51" i="1"/>
  <c r="JU49" i="1"/>
  <c r="JU48" i="1"/>
  <c r="JU45" i="1"/>
  <c r="JU44" i="1"/>
  <c r="JU40" i="1"/>
  <c r="JU46" i="1"/>
  <c r="JU9" i="1"/>
  <c r="JU42" i="1"/>
  <c r="JU43" i="1"/>
  <c r="JU47" i="1"/>
  <c r="JU41" i="1"/>
  <c r="JU39" i="1"/>
  <c r="JU38" i="1"/>
  <c r="JU35" i="1"/>
  <c r="JU15" i="1"/>
  <c r="JU37" i="1"/>
  <c r="JU16" i="1"/>
  <c r="JU36" i="1"/>
  <c r="JU33" i="1"/>
  <c r="JU34" i="1"/>
  <c r="JU32" i="1"/>
  <c r="JU31" i="1"/>
  <c r="JU30" i="1"/>
  <c r="JU28" i="1"/>
  <c r="JU29" i="1"/>
  <c r="JU26" i="1"/>
  <c r="JU27" i="1"/>
  <c r="JU25" i="1"/>
  <c r="JU24" i="1"/>
  <c r="JU23" i="1"/>
  <c r="JU22" i="1"/>
  <c r="JU21" i="1"/>
  <c r="JU19" i="1"/>
  <c r="JU20" i="1"/>
  <c r="JU18" i="1"/>
  <c r="JU17" i="1"/>
  <c r="JU12" i="1"/>
  <c r="JU14" i="1"/>
  <c r="JU13" i="1"/>
  <c r="JU11" i="1"/>
  <c r="JU10" i="1"/>
  <c r="HX9" i="1"/>
  <c r="AK146" i="1"/>
  <c r="AO146" i="1" s="1"/>
  <c r="IZ146" i="1" s="1"/>
  <c r="AO150" i="1"/>
  <c r="IZ150" i="1" s="1"/>
  <c r="U149" i="1"/>
  <c r="T149" i="1"/>
  <c r="AK149" i="1"/>
  <c r="T140" i="1"/>
  <c r="U140" i="1"/>
  <c r="U145" i="1"/>
  <c r="T145" i="1"/>
  <c r="AL145" i="1"/>
  <c r="AN145" i="1" s="1"/>
  <c r="JA145" i="1" s="1"/>
  <c r="AL149" i="1"/>
  <c r="AN149" i="1" s="1"/>
  <c r="JA149" i="1" s="1"/>
  <c r="U148" i="1"/>
  <c r="T148" i="1"/>
  <c r="IN150" i="1"/>
  <c r="U150" i="1"/>
  <c r="T150" i="1"/>
  <c r="T147" i="1"/>
  <c r="U147" i="1"/>
  <c r="AL147" i="1"/>
  <c r="AN147" i="1" s="1"/>
  <c r="JA147" i="1" s="1"/>
  <c r="T144" i="1"/>
  <c r="U144" i="1"/>
  <c r="T146" i="1"/>
  <c r="U146" i="1"/>
  <c r="U143" i="1"/>
  <c r="T143" i="1"/>
  <c r="AL144" i="1"/>
  <c r="AN144" i="1" s="1"/>
  <c r="JA144" i="1" s="1"/>
  <c r="AK147" i="1"/>
  <c r="AL141" i="1"/>
  <c r="AN141" i="1" s="1"/>
  <c r="JA141" i="1" s="1"/>
  <c r="T139" i="1"/>
  <c r="U139" i="1"/>
  <c r="AO148" i="1"/>
  <c r="IZ148" i="1" s="1"/>
  <c r="AP148" i="1"/>
  <c r="AL150" i="1"/>
  <c r="AN150" i="1" s="1"/>
  <c r="JA150" i="1" s="1"/>
  <c r="U141" i="1"/>
  <c r="T141" i="1"/>
  <c r="AL139" i="1"/>
  <c r="AN139" i="1" s="1"/>
  <c r="AK144" i="1"/>
  <c r="AL140" i="1"/>
  <c r="AN140" i="1" s="1"/>
  <c r="JA140" i="1" s="1"/>
  <c r="T142" i="1"/>
  <c r="U142" i="1"/>
  <c r="AO143" i="1"/>
  <c r="IZ143" i="1" s="1"/>
  <c r="HW11" i="1"/>
  <c r="HX11" i="1"/>
  <c r="HV11" i="1"/>
  <c r="ID11" i="1"/>
  <c r="HU11" i="1"/>
  <c r="HT11" i="1"/>
  <c r="HZ11" i="1"/>
  <c r="BP32" i="1"/>
  <c r="BR11" i="1"/>
  <c r="BO14" i="1"/>
  <c r="BO13" i="1"/>
  <c r="BP39" i="1"/>
  <c r="BR38" i="1"/>
  <c r="BP28" i="1"/>
  <c r="BR56" i="1"/>
  <c r="BP31" i="1"/>
  <c r="BO46" i="1"/>
  <c r="BO20" i="1"/>
  <c r="BQ14" i="1"/>
  <c r="BR14" i="1"/>
  <c r="BQ56" i="1"/>
  <c r="BR39" i="1"/>
  <c r="BR46" i="1"/>
  <c r="BR48" i="1"/>
  <c r="BR55" i="1"/>
  <c r="BO30" i="1"/>
  <c r="BQ37" i="1"/>
  <c r="BO11" i="1"/>
  <c r="BO38" i="1"/>
  <c r="BO39" i="1"/>
  <c r="BR13" i="1"/>
  <c r="BO55" i="1"/>
  <c r="BQ38" i="1"/>
  <c r="BQ11" i="1"/>
  <c r="BR47" i="1"/>
  <c r="BO23" i="1"/>
  <c r="BO56" i="1"/>
  <c r="BQ48" i="1"/>
  <c r="BP47" i="1"/>
  <c r="BO32" i="1"/>
  <c r="BO31" i="1"/>
  <c r="BR57" i="1"/>
  <c r="BR10" i="1"/>
  <c r="BR22" i="1"/>
  <c r="BR32" i="1"/>
  <c r="BP57" i="1"/>
  <c r="BP9" i="1"/>
  <c r="BR31" i="1"/>
  <c r="BQ46" i="1"/>
  <c r="BQ20" i="1"/>
  <c r="BO57" i="1"/>
  <c r="BR23" i="1"/>
  <c r="BQ47" i="1"/>
  <c r="BR20" i="1"/>
  <c r="BO10" i="1"/>
  <c r="BP10" i="1"/>
  <c r="BQ22" i="1"/>
  <c r="BQ23" i="1"/>
  <c r="BO22" i="1"/>
  <c r="BP13" i="1"/>
  <c r="BP29" i="1"/>
  <c r="BO45" i="1"/>
  <c r="BO47" i="1"/>
  <c r="BP49" i="1"/>
  <c r="BO28" i="1"/>
  <c r="BR28" i="1"/>
  <c r="BR9" i="1"/>
  <c r="BP12" i="1"/>
  <c r="BR49" i="1"/>
  <c r="BO48" i="1"/>
  <c r="BR30" i="1"/>
  <c r="BP27" i="1"/>
  <c r="BQ30" i="1"/>
  <c r="BP55" i="1"/>
  <c r="BP45" i="1"/>
  <c r="BQ27" i="1"/>
  <c r="BO27" i="1"/>
  <c r="BR27" i="1"/>
  <c r="BQ40" i="1"/>
  <c r="BO40" i="1"/>
  <c r="BR40" i="1"/>
  <c r="BO49" i="1"/>
  <c r="BO9" i="1"/>
  <c r="BP40" i="1"/>
  <c r="BQ45" i="1"/>
  <c r="BR45" i="1"/>
  <c r="BO37" i="1"/>
  <c r="BR37" i="1"/>
  <c r="BQ29" i="1"/>
  <c r="BR29" i="1"/>
  <c r="BO29" i="1"/>
  <c r="BR12" i="1"/>
  <c r="BQ12" i="1"/>
  <c r="BO12" i="1"/>
  <c r="BQ21" i="1"/>
  <c r="BR21" i="1"/>
  <c r="BO21" i="1"/>
  <c r="BP37" i="1"/>
  <c r="GU2" i="1"/>
  <c r="GX2" i="1"/>
  <c r="GN9" i="1"/>
  <c r="HV9" i="1" s="1"/>
  <c r="BA151" i="1"/>
  <c r="AY114" i="7"/>
  <c r="V114" i="7"/>
  <c r="AE114" i="7"/>
  <c r="AJ114" i="7" s="1"/>
  <c r="AD114" i="7"/>
  <c r="AH114" i="7" s="1"/>
  <c r="Q114" i="7"/>
  <c r="AF114" i="7"/>
  <c r="AF113" i="7"/>
  <c r="Q113" i="7"/>
  <c r="Q112" i="7"/>
  <c r="R112" i="7"/>
  <c r="X112" i="7" s="1"/>
  <c r="AE112" i="7"/>
  <c r="AJ112" i="7" s="1"/>
  <c r="AD112" i="7"/>
  <c r="AH112" i="7" s="1"/>
  <c r="AC112" i="7"/>
  <c r="AI113" i="7"/>
  <c r="AG113" i="7"/>
  <c r="AM113" i="7"/>
  <c r="AY112" i="7"/>
  <c r="V112" i="7"/>
  <c r="AY113" i="7"/>
  <c r="V113" i="7"/>
  <c r="AI112" i="7"/>
  <c r="AG112" i="7"/>
  <c r="AM112" i="7"/>
  <c r="AC113" i="7"/>
  <c r="Q111" i="7"/>
  <c r="AD113" i="7"/>
  <c r="AH113" i="7" s="1"/>
  <c r="R113" i="7"/>
  <c r="X113" i="7" s="1"/>
  <c r="L6" i="7" a="1"/>
  <c r="L6" i="7" s="1"/>
  <c r="L5" i="7" a="1"/>
  <c r="L5" i="7" s="1"/>
  <c r="L2" i="7" a="1"/>
  <c r="L2" i="7" s="1"/>
  <c r="JA9" i="7" a="1"/>
  <c r="IK73" i="7"/>
  <c r="IK41" i="7"/>
  <c r="IJ41" i="7"/>
  <c r="IW41" i="7"/>
  <c r="IR41" i="7"/>
  <c r="IN41" i="7"/>
  <c r="IJ44" i="7"/>
  <c r="IK44" i="7"/>
  <c r="IW44" i="7"/>
  <c r="IN44" i="7"/>
  <c r="IR44" i="7"/>
  <c r="IW73" i="7"/>
  <c r="IJ73" i="7"/>
  <c r="IR73" i="7"/>
  <c r="IN73" i="7"/>
  <c r="IR12" i="7"/>
  <c r="IK12" i="7"/>
  <c r="IJ12" i="7"/>
  <c r="IN12" i="7"/>
  <c r="IQ12" i="7"/>
  <c r="IW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N65" i="7"/>
  <c r="IW65" i="7"/>
  <c r="IR65" i="7"/>
  <c r="IJ65" i="7"/>
  <c r="IK65" i="7"/>
  <c r="IK85" i="7"/>
  <c r="IR85" i="7"/>
  <c r="IW85" i="7"/>
  <c r="IN85" i="7"/>
  <c r="IJ85" i="7"/>
  <c r="IJ39" i="7"/>
  <c r="IW39" i="7"/>
  <c r="IN39" i="7"/>
  <c r="IK39" i="7"/>
  <c r="IR39" i="7"/>
  <c r="IJ114" i="7"/>
  <c r="IW114" i="7"/>
  <c r="IN114" i="7"/>
  <c r="IR114" i="7"/>
  <c r="IV114" i="7"/>
  <c r="IK114" i="7"/>
  <c r="IU114" i="7"/>
  <c r="IE114" i="7" s="1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K34" i="7"/>
  <c r="IR34" i="7"/>
  <c r="IN34" i="7"/>
  <c r="IJ34" i="7"/>
  <c r="IK54" i="7"/>
  <c r="IW54" i="7"/>
  <c r="IR54" i="7"/>
  <c r="IN54" i="7"/>
  <c r="IJ54" i="7"/>
  <c r="IJ49" i="7"/>
  <c r="IK49" i="7"/>
  <c r="IW49" i="7"/>
  <c r="IR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N46" i="7"/>
  <c r="IK46" i="7"/>
  <c r="IJ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W107" i="7"/>
  <c r="IJ107" i="7"/>
  <c r="IN107" i="7"/>
  <c r="IK107" i="7"/>
  <c r="IR107" i="7"/>
  <c r="IK35" i="7"/>
  <c r="IR35" i="7"/>
  <c r="IN35" i="7"/>
  <c r="IJ35" i="7"/>
  <c r="IW35" i="7"/>
  <c r="IJ17" i="7"/>
  <c r="IN17" i="7"/>
  <c r="IK17" i="7"/>
  <c r="IR17" i="7"/>
  <c r="IW17" i="7"/>
  <c r="IN70" i="7"/>
  <c r="IW70" i="7"/>
  <c r="IK70" i="7"/>
  <c r="IR70" i="7"/>
  <c r="IJ70" i="7"/>
  <c r="IW56" i="7"/>
  <c r="IR56" i="7"/>
  <c r="IJ56" i="7"/>
  <c r="IN56" i="7"/>
  <c r="IK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W77" i="7"/>
  <c r="IN77" i="7"/>
  <c r="IR77" i="7"/>
  <c r="IJ77" i="7"/>
  <c r="IK25" i="7"/>
  <c r="IW25" i="7"/>
  <c r="IN25" i="7"/>
  <c r="IJ25" i="7"/>
  <c r="IR25" i="7"/>
  <c r="IW62" i="7"/>
  <c r="IK62" i="7"/>
  <c r="IR62" i="7"/>
  <c r="IN62" i="7"/>
  <c r="IJ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R45" i="7"/>
  <c r="IN45" i="7"/>
  <c r="IJ28" i="7"/>
  <c r="IR28" i="7"/>
  <c r="IK28" i="7"/>
  <c r="IW28" i="7"/>
  <c r="IN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K10" i="7"/>
  <c r="IN10" i="7"/>
  <c r="IJ10" i="7"/>
  <c r="IW10" i="7"/>
  <c r="IK61" i="7"/>
  <c r="IW61" i="7"/>
  <c r="IJ61" i="7"/>
  <c r="IR61" i="7"/>
  <c r="IN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W80" i="7"/>
  <c r="IN80" i="7"/>
  <c r="IK80" i="7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J24" i="7"/>
  <c r="IR24" i="7"/>
  <c r="IW24" i="7"/>
  <c r="IN24" i="7"/>
  <c r="IK24" i="7"/>
  <c r="IJ64" i="7"/>
  <c r="IN64" i="7"/>
  <c r="IR64" i="7"/>
  <c r="IW64" i="7"/>
  <c r="IK64" i="7"/>
  <c r="IK82" i="7"/>
  <c r="IN82" i="7"/>
  <c r="IR82" i="7"/>
  <c r="IJ82" i="7"/>
  <c r="IW82" i="7"/>
  <c r="IK48" i="7"/>
  <c r="IW48" i="7"/>
  <c r="IN48" i="7"/>
  <c r="IJ48" i="7"/>
  <c r="IR48" i="7"/>
  <c r="IJ93" i="7"/>
  <c r="IW93" i="7"/>
  <c r="IU93" i="7"/>
  <c r="IE93" i="7" s="1"/>
  <c r="IR93" i="7"/>
  <c r="IN93" i="7"/>
  <c r="IK93" i="7"/>
  <c r="IN75" i="7"/>
  <c r="IK75" i="7"/>
  <c r="IW75" i="7"/>
  <c r="IJ75" i="7"/>
  <c r="IR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R53" i="7"/>
  <c r="IW53" i="7"/>
  <c r="IK53" i="7"/>
  <c r="IK57" i="7"/>
  <c r="IJ57" i="7"/>
  <c r="IW57" i="7"/>
  <c r="IR57" i="7"/>
  <c r="IN57" i="7"/>
  <c r="IN55" i="7"/>
  <c r="IJ55" i="7"/>
  <c r="IR55" i="7"/>
  <c r="IK55" i="7"/>
  <c r="IW55" i="7"/>
  <c r="IN68" i="7"/>
  <c r="IK68" i="7"/>
  <c r="IR68" i="7"/>
  <c r="IJ68" i="7"/>
  <c r="IW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W37" i="7"/>
  <c r="IK37" i="7"/>
  <c r="IJ37" i="7"/>
  <c r="IR37" i="7"/>
  <c r="IN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K15" i="7"/>
  <c r="IR15" i="7"/>
  <c r="IJ15" i="7"/>
  <c r="IN15" i="7"/>
  <c r="IW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K27" i="7"/>
  <c r="IR27" i="7"/>
  <c r="IN27" i="7"/>
  <c r="IW27" i="7"/>
  <c r="IJ27" i="7"/>
  <c r="IW72" i="7"/>
  <c r="IK72" i="7"/>
  <c r="IR72" i="7"/>
  <c r="IN72" i="7"/>
  <c r="IJ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R83" i="7"/>
  <c r="IN83" i="7"/>
  <c r="IJ83" i="7"/>
  <c r="IW83" i="7"/>
  <c r="IK83" i="7"/>
  <c r="IW11" i="7"/>
  <c r="IQ11" i="7"/>
  <c r="IR11" i="7"/>
  <c r="IJ11" i="7"/>
  <c r="IP11" i="7"/>
  <c r="IK11" i="7"/>
  <c r="IN11" i="7"/>
  <c r="IK23" i="7"/>
  <c r="IR23" i="7"/>
  <c r="IJ23" i="7"/>
  <c r="IN23" i="7"/>
  <c r="IW23" i="7"/>
  <c r="IW9" i="7"/>
  <c r="IK9" i="7"/>
  <c r="IR9" i="7"/>
  <c r="IN9" i="7"/>
  <c r="IP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R110" i="7"/>
  <c r="IW110" i="7"/>
  <c r="IU110" i="7"/>
  <c r="IE110" i="7" s="1"/>
  <c r="IK110" i="7"/>
  <c r="IJ110" i="7"/>
  <c r="IN110" i="7"/>
  <c r="IW20" i="7"/>
  <c r="IQ20" i="7"/>
  <c r="IN20" i="7"/>
  <c r="IP20" i="7"/>
  <c r="IK20" i="7"/>
  <c r="IT20" i="7"/>
  <c r="IR20" i="7"/>
  <c r="IS20" i="7" s="1"/>
  <c r="IJ20" i="7"/>
  <c r="IW33" i="7"/>
  <c r="IJ33" i="7"/>
  <c r="IK33" i="7"/>
  <c r="IR33" i="7"/>
  <c r="IN33" i="7"/>
  <c r="IW71" i="7"/>
  <c r="IN71" i="7"/>
  <c r="IJ71" i="7"/>
  <c r="IR71" i="7"/>
  <c r="IK71" i="7"/>
  <c r="IR43" i="7"/>
  <c r="IN43" i="7"/>
  <c r="IK43" i="7"/>
  <c r="IW43" i="7"/>
  <c r="IJ43" i="7"/>
  <c r="IN13" i="7"/>
  <c r="IR13" i="7"/>
  <c r="IJ13" i="7"/>
  <c r="IK13" i="7"/>
  <c r="IW13" i="7"/>
  <c r="IP13" i="7"/>
  <c r="IN16" i="7"/>
  <c r="IP16" i="7"/>
  <c r="IK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K51" i="7"/>
  <c r="IN51" i="7"/>
  <c r="IR51" i="7"/>
  <c r="IJ51" i="7"/>
  <c r="IW19" i="7"/>
  <c r="IK19" i="7"/>
  <c r="IP19" i="7"/>
  <c r="IT19" i="7"/>
  <c r="IJ19" i="7"/>
  <c r="IS19" i="7"/>
  <c r="IN19" i="7"/>
  <c r="IQ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R91" i="7"/>
  <c r="IN91" i="7"/>
  <c r="IW91" i="7"/>
  <c r="IK91" i="7"/>
  <c r="IJ91" i="7"/>
  <c r="IR47" i="7"/>
  <c r="IN47" i="7"/>
  <c r="IK47" i="7"/>
  <c r="IJ47" i="7"/>
  <c r="IW47" i="7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N69" i="7"/>
  <c r="IK69" i="7"/>
  <c r="IW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K84" i="7"/>
  <c r="IW84" i="7"/>
  <c r="IR84" i="7"/>
  <c r="IJ84" i="7"/>
  <c r="IN84" i="7"/>
  <c r="IK74" i="7"/>
  <c r="IN74" i="7"/>
  <c r="IW74" i="7"/>
  <c r="IJ74" i="7"/>
  <c r="IR74" i="7"/>
  <c r="IW79" i="7"/>
  <c r="IN79" i="7"/>
  <c r="IR79" i="7"/>
  <c r="IK79" i="7"/>
  <c r="IJ79" i="7"/>
  <c r="IW52" i="7"/>
  <c r="IK52" i="7"/>
  <c r="IJ52" i="7"/>
  <c r="IR52" i="7"/>
  <c r="IN52" i="7"/>
  <c r="IN109" i="7"/>
  <c r="IV109" i="7"/>
  <c r="IW109" i="7"/>
  <c r="IR109" i="7"/>
  <c r="IK109" i="7"/>
  <c r="IJ109" i="7"/>
  <c r="IJ66" i="7"/>
  <c r="IR66" i="7"/>
  <c r="IW66" i="7"/>
  <c r="IN66" i="7"/>
  <c r="IK66" i="7"/>
  <c r="IJ31" i="7"/>
  <c r="IR31" i="7"/>
  <c r="IN31" i="7"/>
  <c r="IW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J40" i="7"/>
  <c r="IN40" i="7"/>
  <c r="IR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N87" i="7"/>
  <c r="IW87" i="7"/>
  <c r="IK87" i="7"/>
  <c r="IJ87" i="7"/>
  <c r="IP87" i="7"/>
  <c r="IR87" i="7"/>
  <c r="IR63" i="7"/>
  <c r="IN63" i="7"/>
  <c r="IW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W22" i="7"/>
  <c r="IP22" i="7"/>
  <c r="IR22" i="7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K81" i="7"/>
  <c r="IR81" i="7"/>
  <c r="IN81" i="7"/>
  <c r="IJ81" i="7"/>
  <c r="IW81" i="7"/>
  <c r="IN32" i="7"/>
  <c r="IW32" i="7"/>
  <c r="IK32" i="7"/>
  <c r="IJ32" i="7"/>
  <c r="IR32" i="7"/>
  <c r="IN86" i="7"/>
  <c r="IR86" i="7"/>
  <c r="IK86" i="7"/>
  <c r="IJ86" i="7"/>
  <c r="IW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N18" i="7"/>
  <c r="IK18" i="7"/>
  <c r="IR18" i="7"/>
  <c r="IW18" i="7"/>
  <c r="IJ18" i="7"/>
  <c r="IK36" i="7"/>
  <c r="IJ36" i="7"/>
  <c r="IW36" i="7"/>
  <c r="IN36" i="7"/>
  <c r="IR36" i="7"/>
  <c r="IJ38" i="7"/>
  <c r="IR38" i="7"/>
  <c r="IK38" i="7"/>
  <c r="IN38" i="7"/>
  <c r="IW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K59" i="7"/>
  <c r="IN59" i="7"/>
  <c r="IW59" i="7"/>
  <c r="IJ59" i="7"/>
  <c r="IR59" i="7"/>
  <c r="IW88" i="7"/>
  <c r="IJ88" i="7"/>
  <c r="IR88" i="7"/>
  <c r="IN88" i="7"/>
  <c r="IK88" i="7"/>
  <c r="IJ67" i="7"/>
  <c r="IR67" i="7"/>
  <c r="IW67" i="7"/>
  <c r="IN67" i="7"/>
  <c r="IK67" i="7"/>
  <c r="IK42" i="7"/>
  <c r="IN42" i="7"/>
  <c r="IW42" i="7"/>
  <c r="IR42" i="7"/>
  <c r="IJ42" i="7"/>
  <c r="IN26" i="7"/>
  <c r="IW26" i="7"/>
  <c r="IK26" i="7"/>
  <c r="IJ26" i="7"/>
  <c r="IR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R14" i="7"/>
  <c r="IS14" i="7" s="1"/>
  <c r="IP14" i="7"/>
  <c r="IW14" i="7"/>
  <c r="IT14" i="7"/>
  <c r="IK14" i="7"/>
  <c r="IJ14" i="7"/>
  <c r="IR58" i="7"/>
  <c r="IK58" i="7"/>
  <c r="IN58" i="7"/>
  <c r="IJ58" i="7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R21" i="7"/>
  <c r="IS21" i="7" s="1"/>
  <c r="IT21" i="7"/>
  <c r="IP21" i="7"/>
  <c r="IN50" i="7"/>
  <c r="IK50" i="7"/>
  <c r="IJ50" i="7"/>
  <c r="IR50" i="7"/>
  <c r="IW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R29" i="7"/>
  <c r="IW29" i="7"/>
  <c r="IN29" i="7"/>
  <c r="IK29" i="7"/>
  <c r="IW60" i="7"/>
  <c r="IK60" i="7"/>
  <c r="IR60" i="7"/>
  <c r="IJ60" i="7"/>
  <c r="IN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R94" i="7"/>
  <c r="IW94" i="7"/>
  <c r="IK94" i="7"/>
  <c r="IJ94" i="7"/>
  <c r="IN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R89" i="7"/>
  <c r="IN89" i="7"/>
  <c r="IJ89" i="7"/>
  <c r="IW89" i="7"/>
  <c r="IK89" i="7"/>
  <c r="IR90" i="7"/>
  <c r="IJ90" i="7"/>
  <c r="IN90" i="7"/>
  <c r="IW90" i="7"/>
  <c r="IK90" i="7"/>
  <c r="IJ30" i="7"/>
  <c r="IN30" i="7"/>
  <c r="IW30" i="7"/>
  <c r="IK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J113" i="7"/>
  <c r="IU113" i="7"/>
  <c r="IE113" i="7" s="1"/>
  <c r="IK113" i="7"/>
  <c r="IP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W78" i="7"/>
  <c r="IJ78" i="7"/>
  <c r="IN78" i="7"/>
  <c r="IR78" i="7"/>
  <c r="IK78" i="7"/>
  <c r="IN92" i="7"/>
  <c r="IJ92" i="7"/>
  <c r="IW92" i="7"/>
  <c r="IR92" i="7"/>
  <c r="IK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AD111" i="7"/>
  <c r="AH111" i="7" s="1"/>
  <c r="AF111" i="7"/>
  <c r="AY111" i="7"/>
  <c r="V111" i="7"/>
  <c r="AC111" i="7"/>
  <c r="R111" i="7"/>
  <c r="X111" i="7" s="1"/>
  <c r="AQ111" i="7" s="1"/>
  <c r="AE111" i="7"/>
  <c r="AE110" i="7"/>
  <c r="AF110" i="7"/>
  <c r="AD110" i="7"/>
  <c r="AH110" i="7" s="1"/>
  <c r="AY110" i="7"/>
  <c r="V110" i="7"/>
  <c r="Q110" i="7"/>
  <c r="W110" i="7" s="1"/>
  <c r="R110" i="7"/>
  <c r="X110" i="7" s="1"/>
  <c r="AQ110" i="7" s="1"/>
  <c r="AC110" i="7"/>
  <c r="AE109" i="7"/>
  <c r="R108" i="7"/>
  <c r="X108" i="7" s="1"/>
  <c r="AF109" i="7"/>
  <c r="Q109" i="7"/>
  <c r="R109" i="7"/>
  <c r="X109" i="7" s="1"/>
  <c r="AQ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K11" i="1"/>
  <c r="AD14" i="7"/>
  <c r="AH14" i="7" s="1"/>
  <c r="AC14" i="7"/>
  <c r="R107" i="7"/>
  <c r="X107" i="7" s="1"/>
  <c r="AQ107" i="7" s="1"/>
  <c r="Q107" i="7"/>
  <c r="AD107" i="7"/>
  <c r="AH107" i="7" s="1"/>
  <c r="Q106" i="7"/>
  <c r="AD106" i="7"/>
  <c r="AH106" i="7" s="1"/>
  <c r="AF106" i="7"/>
  <c r="AM106" i="7" s="1"/>
  <c r="R106" i="7"/>
  <c r="X106" i="7" s="1"/>
  <c r="AQ106" i="7" s="1"/>
  <c r="AE106" i="7"/>
  <c r="AE104" i="7"/>
  <c r="AF105" i="7"/>
  <c r="AI105" i="7" s="1"/>
  <c r="AD105" i="7"/>
  <c r="AH105" i="7" s="1"/>
  <c r="AF104" i="7"/>
  <c r="AI104" i="7" s="1"/>
  <c r="R94" i="7"/>
  <c r="X94" i="7" s="1"/>
  <c r="IU94" i="7" s="1"/>
  <c r="IE94" i="7" s="1"/>
  <c r="R101" i="7"/>
  <c r="X101" i="7" s="1"/>
  <c r="AQ101" i="7" s="1"/>
  <c r="AC105" i="7"/>
  <c r="AE105" i="7"/>
  <c r="Q105" i="7"/>
  <c r="R105" i="7"/>
  <c r="X105" i="7" s="1"/>
  <c r="AQ105" i="7" s="1"/>
  <c r="Q104" i="7"/>
  <c r="R104" i="7"/>
  <c r="X104" i="7" s="1"/>
  <c r="AQ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IP10" i="7" s="1"/>
  <c r="R70" i="7"/>
  <c r="X70" i="7" s="1"/>
  <c r="AQ70" i="7" s="1"/>
  <c r="AE82" i="7"/>
  <c r="Q94" i="7"/>
  <c r="R103" i="7"/>
  <c r="X103" i="7" s="1"/>
  <c r="AC93" i="7"/>
  <c r="R86" i="7"/>
  <c r="X86" i="7" s="1"/>
  <c r="AQ86" i="7" s="1"/>
  <c r="AD94" i="7"/>
  <c r="AH94" i="7" s="1"/>
  <c r="AC94" i="7"/>
  <c r="AE94" i="7"/>
  <c r="R95" i="7"/>
  <c r="X95" i="7" s="1"/>
  <c r="AQ95" i="7" s="1"/>
  <c r="Q95" i="7"/>
  <c r="Q102" i="7"/>
  <c r="R102" i="7"/>
  <c r="X102" i="7" s="1"/>
  <c r="Q101" i="7"/>
  <c r="Q92" i="7"/>
  <c r="AE102" i="7"/>
  <c r="R96" i="7"/>
  <c r="X96" i="7" s="1"/>
  <c r="AQ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Q92" i="7" s="1"/>
  <c r="AD69" i="7"/>
  <c r="AH69" i="7" s="1"/>
  <c r="Q61" i="7"/>
  <c r="R93" i="7"/>
  <c r="X93" i="7" s="1"/>
  <c r="R99" i="7"/>
  <c r="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Q91" i="7" s="1"/>
  <c r="AE91" i="7"/>
  <c r="R100" i="7"/>
  <c r="X100" i="7" s="1"/>
  <c r="AQ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IU90" i="7" s="1"/>
  <c r="IE90" i="7" s="1"/>
  <c r="AC70" i="7"/>
  <c r="R56" i="7"/>
  <c r="X56" i="7" s="1"/>
  <c r="AQ56" i="7" s="1"/>
  <c r="Q62" i="7"/>
  <c r="Q89" i="7"/>
  <c r="R97" i="7"/>
  <c r="X97" i="7" s="1"/>
  <c r="AQ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IP43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IU65" i="7" s="1"/>
  <c r="IE65" i="7" s="1"/>
  <c r="Q85" i="7"/>
  <c r="AE43" i="7"/>
  <c r="AC45" i="7"/>
  <c r="AF47" i="7"/>
  <c r="R60" i="7"/>
  <c r="X60" i="7" s="1"/>
  <c r="IP69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IP71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IP27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IP61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IP85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IU67" i="7" s="1"/>
  <c r="IE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IU64" i="7" s="1"/>
  <c r="IE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IP82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IU85" i="7" s="1"/>
  <c r="IE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Q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IL11" i="7" s="1"/>
  <c r="W115" i="7"/>
  <c r="W117" i="7"/>
  <c r="W114" i="7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JA139" i="1" l="1"/>
  <c r="IV150" i="1"/>
  <c r="IZ139" i="1"/>
  <c r="IU150" i="1"/>
  <c r="IH148" i="1"/>
  <c r="IH146" i="1"/>
  <c r="AP145" i="1"/>
  <c r="IH143" i="1"/>
  <c r="AP143" i="1"/>
  <c r="IH142" i="1"/>
  <c r="AP142" i="1"/>
  <c r="AP140" i="1"/>
  <c r="KC10" i="1" a="1"/>
  <c r="KC10" i="1" s="1"/>
  <c r="KE10" i="1" s="1"/>
  <c r="KC11" i="1" a="1"/>
  <c r="KC11" i="1" s="1"/>
  <c r="KE11" i="1" s="1"/>
  <c r="KC12" i="1" a="1"/>
  <c r="KC12" i="1" s="1"/>
  <c r="KE12" i="1" s="1"/>
  <c r="KC14" i="1" a="1"/>
  <c r="KC14" i="1" s="1"/>
  <c r="KE14" i="1" s="1"/>
  <c r="KC13" i="1" a="1"/>
  <c r="KC13" i="1" s="1"/>
  <c r="KE13" i="1" s="1"/>
  <c r="KC16" i="1" a="1"/>
  <c r="KC16" i="1" s="1"/>
  <c r="KE16" i="1" s="1"/>
  <c r="KC17" i="1" a="1"/>
  <c r="KC17" i="1" s="1"/>
  <c r="KE17" i="1" s="1"/>
  <c r="KC18" i="1" a="1"/>
  <c r="KC18" i="1" s="1"/>
  <c r="KE18" i="1" s="1"/>
  <c r="KC9" i="1" a="1"/>
  <c r="KC9" i="1" s="1"/>
  <c r="KE9" i="1" s="1"/>
  <c r="KC15" i="1" a="1"/>
  <c r="KC15" i="1" s="1"/>
  <c r="KE15" i="1" s="1"/>
  <c r="IP45" i="7"/>
  <c r="IP34" i="7"/>
  <c r="IP18" i="7"/>
  <c r="IP17" i="7"/>
  <c r="IH150" i="1"/>
  <c r="IU22" i="7"/>
  <c r="IE22" i="7" s="1"/>
  <c r="IH140" i="1"/>
  <c r="AP146" i="1"/>
  <c r="IU20" i="7"/>
  <c r="IE20" i="7" s="1"/>
  <c r="IU21" i="7"/>
  <c r="IE21" i="7" s="1"/>
  <c r="IU18" i="7"/>
  <c r="IE18" i="7" s="1"/>
  <c r="IH141" i="1"/>
  <c r="IH145" i="1"/>
  <c r="AP141" i="1"/>
  <c r="AO147" i="1"/>
  <c r="IZ147" i="1" s="1"/>
  <c r="IH147" i="1" s="1"/>
  <c r="AP147" i="1"/>
  <c r="AO149" i="1"/>
  <c r="IZ149" i="1" s="1"/>
  <c r="IH149" i="1" s="1"/>
  <c r="AP149" i="1"/>
  <c r="AP139" i="1"/>
  <c r="IP60" i="7"/>
  <c r="AP144" i="1"/>
  <c r="AO144" i="1"/>
  <c r="IZ144" i="1" s="1"/>
  <c r="IH144" i="1" s="1"/>
  <c r="IU14" i="7"/>
  <c r="IE14" i="7" s="1"/>
  <c r="AP150" i="1"/>
  <c r="IP46" i="7"/>
  <c r="IU19" i="7"/>
  <c r="IE19" i="7" s="1"/>
  <c r="IU17" i="7"/>
  <c r="IE17" i="7" s="1"/>
  <c r="HS12" i="1"/>
  <c r="HL12" i="1" s="1"/>
  <c r="IU23" i="7"/>
  <c r="IE23" i="7" s="1"/>
  <c r="IP23" i="7"/>
  <c r="JA9" i="7"/>
  <c r="JB15" i="7" s="1" a="1"/>
  <c r="JB15" i="7" s="1"/>
  <c r="JB11" i="7" a="1"/>
  <c r="JB11" i="7" s="1"/>
  <c r="IP15" i="7"/>
  <c r="IP109" i="7"/>
  <c r="IU16" i="7"/>
  <c r="IE16" i="7" s="1"/>
  <c r="IU33" i="7"/>
  <c r="IE33" i="7" s="1"/>
  <c r="IU12" i="7"/>
  <c r="IE12" i="7" s="1"/>
  <c r="IU9" i="7"/>
  <c r="IE9" i="7" s="1"/>
  <c r="IU15" i="7"/>
  <c r="IE15" i="7" s="1"/>
  <c r="IU34" i="7"/>
  <c r="IE34" i="7" s="1"/>
  <c r="AJ113" i="7"/>
  <c r="AG114" i="7"/>
  <c r="AM114" i="7"/>
  <c r="AI114" i="7"/>
  <c r="IU13" i="7"/>
  <c r="IE13" i="7" s="1"/>
  <c r="IU56" i="7"/>
  <c r="IE56" i="7" s="1"/>
  <c r="IU109" i="7"/>
  <c r="IE109" i="7" s="1"/>
  <c r="IP33" i="7"/>
  <c r="IP110" i="7"/>
  <c r="IU11" i="7"/>
  <c r="IE11" i="7" s="1"/>
  <c r="IP93" i="7"/>
  <c r="IP56" i="7"/>
  <c r="IP114" i="7"/>
  <c r="IP32" i="7"/>
  <c r="IU10" i="7"/>
  <c r="IE10" i="7" s="1"/>
  <c r="IP12" i="7"/>
  <c r="IU92" i="7"/>
  <c r="IE92" i="7" s="1"/>
  <c r="IP94" i="7"/>
  <c r="IU32" i="7"/>
  <c r="IE32" i="7" s="1"/>
  <c r="IP49" i="7"/>
  <c r="AL110" i="7"/>
  <c r="IU107" i="7"/>
  <c r="IE107" i="7" s="1"/>
  <c r="AX102" i="7"/>
  <c r="AQ102" i="7"/>
  <c r="AX103" i="7"/>
  <c r="AQ103" i="7"/>
  <c r="AX108" i="7"/>
  <c r="AQ108" i="7"/>
  <c r="AQ113" i="7"/>
  <c r="AX113" i="7"/>
  <c r="AQ112" i="7"/>
  <c r="AX112" i="7"/>
  <c r="AX99" i="7"/>
  <c r="AQ99" i="7"/>
  <c r="IU54" i="7"/>
  <c r="IE54" i="7" s="1"/>
  <c r="AX98" i="7"/>
  <c r="AQ98" i="7"/>
  <c r="IU52" i="7"/>
  <c r="IE52" i="7" s="1"/>
  <c r="IU53" i="7"/>
  <c r="IE53" i="7" s="1"/>
  <c r="IU75" i="7"/>
  <c r="IE75" i="7" s="1"/>
  <c r="IP75" i="7"/>
  <c r="IP74" i="7"/>
  <c r="IU55" i="7"/>
  <c r="IE55" i="7" s="1"/>
  <c r="IU74" i="7"/>
  <c r="IE74" i="7" s="1"/>
  <c r="IP53" i="7"/>
  <c r="IU73" i="7"/>
  <c r="IE73" i="7" s="1"/>
  <c r="IP73" i="7"/>
  <c r="IU51" i="7"/>
  <c r="IE51" i="7" s="1"/>
  <c r="IP55" i="7"/>
  <c r="IP52" i="7"/>
  <c r="IP51" i="7"/>
  <c r="IP54" i="7"/>
  <c r="IP63" i="7"/>
  <c r="IP59" i="7"/>
  <c r="IU38" i="7"/>
  <c r="IE38" i="7" s="1"/>
  <c r="IP79" i="7"/>
  <c r="IP57" i="7"/>
  <c r="IU59" i="7"/>
  <c r="IE59" i="7" s="1"/>
  <c r="IP42" i="7"/>
  <c r="IP40" i="7"/>
  <c r="IU83" i="7"/>
  <c r="IE83" i="7" s="1"/>
  <c r="IU37" i="7"/>
  <c r="IE37" i="7" s="1"/>
  <c r="IU41" i="7"/>
  <c r="IE41" i="7" s="1"/>
  <c r="IU40" i="7"/>
  <c r="IE40" i="7" s="1"/>
  <c r="IP78" i="7"/>
  <c r="IU60" i="7"/>
  <c r="IE60" i="7" s="1"/>
  <c r="IP36" i="7"/>
  <c r="IP64" i="7"/>
  <c r="IU62" i="7"/>
  <c r="IE62" i="7" s="1"/>
  <c r="IP37" i="7"/>
  <c r="IU82" i="7"/>
  <c r="IE82" i="7" s="1"/>
  <c r="IU35" i="7"/>
  <c r="IE35" i="7" s="1"/>
  <c r="IU78" i="7"/>
  <c r="IE78" i="7" s="1"/>
  <c r="IU58" i="7"/>
  <c r="IE58" i="7" s="1"/>
  <c r="IP58" i="7"/>
  <c r="IP81" i="7"/>
  <c r="IP84" i="7"/>
  <c r="IP83" i="7"/>
  <c r="IU57" i="7"/>
  <c r="IE57" i="7" s="1"/>
  <c r="IP39" i="7"/>
  <c r="IU63" i="7"/>
  <c r="IE63" i="7" s="1"/>
  <c r="IU79" i="7"/>
  <c r="IE79" i="7" s="1"/>
  <c r="IP62" i="7"/>
  <c r="IP77" i="7"/>
  <c r="IU77" i="7"/>
  <c r="IE77" i="7" s="1"/>
  <c r="IU39" i="7"/>
  <c r="IE39" i="7" s="1"/>
  <c r="IP41" i="7"/>
  <c r="IU42" i="7"/>
  <c r="IE42" i="7" s="1"/>
  <c r="IU81" i="7"/>
  <c r="IE81" i="7" s="1"/>
  <c r="IP80" i="7"/>
  <c r="IU61" i="7"/>
  <c r="IE61" i="7" s="1"/>
  <c r="IP35" i="7"/>
  <c r="IP38" i="7"/>
  <c r="IU36" i="7"/>
  <c r="IE36" i="7" s="1"/>
  <c r="IU84" i="7"/>
  <c r="IE84" i="7" s="1"/>
  <c r="IU80" i="7"/>
  <c r="IE80" i="7" s="1"/>
  <c r="AX94" i="7"/>
  <c r="AQ94" i="7"/>
  <c r="IU88" i="7"/>
  <c r="IE88" i="7" s="1"/>
  <c r="IU30" i="7"/>
  <c r="IE30" i="7" s="1"/>
  <c r="AX93" i="7"/>
  <c r="AQ93" i="7"/>
  <c r="IU91" i="7"/>
  <c r="IE91" i="7" s="1"/>
  <c r="IP91" i="7"/>
  <c r="IU29" i="7"/>
  <c r="IE29" i="7" s="1"/>
  <c r="IP66" i="7"/>
  <c r="AX90" i="7"/>
  <c r="AQ90" i="7"/>
  <c r="IP30" i="7"/>
  <c r="IP90" i="7"/>
  <c r="IP89" i="7"/>
  <c r="IP88" i="7"/>
  <c r="IP92" i="7"/>
  <c r="IU89" i="7"/>
  <c r="IE89" i="7" s="1"/>
  <c r="IP86" i="7"/>
  <c r="IU87" i="7"/>
  <c r="IE87" i="7" s="1"/>
  <c r="IU43" i="7"/>
  <c r="IE43" i="7" s="1"/>
  <c r="IU26" i="7"/>
  <c r="IE26" i="7" s="1"/>
  <c r="IU69" i="7"/>
  <c r="IE69" i="7" s="1"/>
  <c r="IP47" i="7"/>
  <c r="IP68" i="7"/>
  <c r="IP28" i="7"/>
  <c r="IU46" i="7"/>
  <c r="IE46" i="7" s="1"/>
  <c r="IP44" i="7"/>
  <c r="IU28" i="7"/>
  <c r="IE28" i="7" s="1"/>
  <c r="IP50" i="7"/>
  <c r="IP31" i="7"/>
  <c r="IU72" i="7"/>
  <c r="IE72" i="7" s="1"/>
  <c r="IU48" i="7"/>
  <c r="IE48" i="7" s="1"/>
  <c r="IU24" i="7"/>
  <c r="IE24" i="7" s="1"/>
  <c r="IU70" i="7"/>
  <c r="IE70" i="7" s="1"/>
  <c r="IU31" i="7"/>
  <c r="IE31" i="7" s="1"/>
  <c r="IU86" i="7"/>
  <c r="IE86" i="7" s="1"/>
  <c r="IU66" i="7"/>
  <c r="IE66" i="7" s="1"/>
  <c r="IP24" i="7"/>
  <c r="IU50" i="7"/>
  <c r="IE50" i="7" s="1"/>
  <c r="IU47" i="7"/>
  <c r="IE47" i="7" s="1"/>
  <c r="IP72" i="7"/>
  <c r="IU27" i="7"/>
  <c r="IE27" i="7" s="1"/>
  <c r="IU45" i="7"/>
  <c r="IE45" i="7" s="1"/>
  <c r="IP70" i="7"/>
  <c r="IP26" i="7"/>
  <c r="IU44" i="7"/>
  <c r="IE44" i="7" s="1"/>
  <c r="AI49" i="7"/>
  <c r="IP29" i="7"/>
  <c r="IP67" i="7"/>
  <c r="IU68" i="7"/>
  <c r="IE68" i="7" s="1"/>
  <c r="IP25" i="7"/>
  <c r="IU71" i="7"/>
  <c r="IE71" i="7" s="1"/>
  <c r="IP48" i="7"/>
  <c r="IU25" i="7"/>
  <c r="IE25" i="7" s="1"/>
  <c r="IU49" i="7"/>
  <c r="IE49" i="7" s="1"/>
  <c r="IP65" i="7"/>
  <c r="IF102" i="7"/>
  <c r="JA23" i="7" a="1"/>
  <c r="IF98" i="7"/>
  <c r="IF103" i="7"/>
  <c r="IF123" i="7"/>
  <c r="IF118" i="7"/>
  <c r="IF128" i="7"/>
  <c r="IF144" i="7"/>
  <c r="IF99" i="7"/>
  <c r="IF149" i="7"/>
  <c r="IF140" i="7"/>
  <c r="IF136" i="7"/>
  <c r="IF116" i="7"/>
  <c r="IF119" i="7"/>
  <c r="IF150" i="7"/>
  <c r="IF138" i="7"/>
  <c r="IF132" i="7"/>
  <c r="IF131" i="7"/>
  <c r="JB10" i="7" a="1"/>
  <c r="JB10" i="7" s="1"/>
  <c r="IF146" i="7"/>
  <c r="IF105" i="7"/>
  <c r="IF126" i="7"/>
  <c r="IF122" i="7"/>
  <c r="IF137" i="7"/>
  <c r="IF135" i="7"/>
  <c r="IF139" i="7"/>
  <c r="IF130" i="7"/>
  <c r="IF111" i="7"/>
  <c r="IF120" i="7"/>
  <c r="IF141" i="7"/>
  <c r="IF133" i="7"/>
  <c r="IF127" i="7"/>
  <c r="IF106" i="7"/>
  <c r="IF96" i="7"/>
  <c r="IX76" i="7"/>
  <c r="IF76" i="7" s="1"/>
  <c r="IF117" i="7"/>
  <c r="IF112" i="7"/>
  <c r="IF125" i="7"/>
  <c r="IF97" i="7"/>
  <c r="IF148" i="7"/>
  <c r="IF115" i="7"/>
  <c r="IF129" i="7"/>
  <c r="IF101" i="7"/>
  <c r="IF104" i="7"/>
  <c r="IF143" i="7"/>
  <c r="IF142" i="7"/>
  <c r="IF95" i="7"/>
  <c r="IF147" i="7"/>
  <c r="IF121" i="7"/>
  <c r="IF145" i="7"/>
  <c r="IF100" i="7"/>
  <c r="IF124" i="7"/>
  <c r="IF134" i="7"/>
  <c r="IF108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N110" i="7" s="1"/>
  <c r="AG110" i="7"/>
  <c r="AI110" i="7"/>
  <c r="AJ110" i="7"/>
  <c r="AJ109" i="7"/>
  <c r="AL109" i="7"/>
  <c r="AG108" i="7"/>
  <c r="AX109" i="7"/>
  <c r="AI109" i="7"/>
  <c r="AM109" i="7"/>
  <c r="AN109" i="7" s="1"/>
  <c r="AG109" i="7"/>
  <c r="AJ108" i="7"/>
  <c r="AM107" i="7"/>
  <c r="AG107" i="7"/>
  <c r="W10" i="7"/>
  <c r="U10" i="7" s="1"/>
  <c r="AL11" i="7"/>
  <c r="AM65" i="7"/>
  <c r="W64" i="7"/>
  <c r="AX86" i="7"/>
  <c r="AX95" i="7"/>
  <c r="AI79" i="7"/>
  <c r="AM105" i="7"/>
  <c r="W105" i="7"/>
  <c r="AK105" i="7" s="1"/>
  <c r="AO105" i="7" s="1"/>
  <c r="AJ106" i="7"/>
  <c r="AX107" i="7"/>
  <c r="AJ107" i="7"/>
  <c r="W107" i="7"/>
  <c r="AI106" i="7"/>
  <c r="W104" i="7"/>
  <c r="AL104" i="7" s="1"/>
  <c r="AI58" i="7"/>
  <c r="AJ95" i="7"/>
  <c r="AG76" i="7"/>
  <c r="W106" i="7"/>
  <c r="AL106" i="7" s="1"/>
  <c r="AN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W37" i="7"/>
  <c r="W95" i="7"/>
  <c r="T95" i="7" s="1"/>
  <c r="W53" i="7"/>
  <c r="W67" i="7"/>
  <c r="W97" i="7"/>
  <c r="AK97" i="7" s="1"/>
  <c r="AO97" i="7" s="1"/>
  <c r="W93" i="7"/>
  <c r="IL113" i="7" s="1"/>
  <c r="W56" i="7"/>
  <c r="W87" i="7"/>
  <c r="W103" i="7"/>
  <c r="W74" i="7"/>
  <c r="W102" i="7"/>
  <c r="AL102" i="7" s="1"/>
  <c r="W83" i="7"/>
  <c r="W82" i="7"/>
  <c r="W94" i="7"/>
  <c r="W72" i="7"/>
  <c r="W70" i="7"/>
  <c r="W96" i="7"/>
  <c r="AK96" i="7" s="1"/>
  <c r="AO96" i="7" s="1"/>
  <c r="W49" i="7"/>
  <c r="W81" i="7"/>
  <c r="W78" i="7"/>
  <c r="W85" i="7"/>
  <c r="AL85" i="7" s="1"/>
  <c r="W99" i="7"/>
  <c r="AL99" i="7" s="1"/>
  <c r="W59" i="7"/>
  <c r="W60" i="7"/>
  <c r="W101" i="7"/>
  <c r="W61" i="7"/>
  <c r="AJ65" i="7"/>
  <c r="AM62" i="7"/>
  <c r="AJ96" i="7"/>
  <c r="AJ102" i="7"/>
  <c r="AJ94" i="7"/>
  <c r="W55" i="7"/>
  <c r="IL93" i="7" s="1"/>
  <c r="W76" i="7"/>
  <c r="W89" i="7"/>
  <c r="W98" i="7"/>
  <c r="W100" i="7"/>
  <c r="U100" i="7" s="1"/>
  <c r="AX84" i="7"/>
  <c r="AI87" i="7"/>
  <c r="AJ62" i="7"/>
  <c r="AJ79" i="7"/>
  <c r="AG62" i="7"/>
  <c r="AJ91" i="7"/>
  <c r="AX92" i="7"/>
  <c r="W91" i="7"/>
  <c r="AJ99" i="7"/>
  <c r="AM97" i="7"/>
  <c r="AG97" i="7"/>
  <c r="AI97" i="7"/>
  <c r="AX97" i="7"/>
  <c r="AM69" i="7"/>
  <c r="W66" i="7"/>
  <c r="W69" i="7"/>
  <c r="W75" i="7"/>
  <c r="AG102" i="7"/>
  <c r="AI102" i="7"/>
  <c r="AM102" i="7"/>
  <c r="AG94" i="7"/>
  <c r="AM94" i="7"/>
  <c r="AI94" i="7"/>
  <c r="AM91" i="7"/>
  <c r="AG91" i="7"/>
  <c r="AI91" i="7"/>
  <c r="AX100" i="7"/>
  <c r="W71" i="7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J52" i="7"/>
  <c r="AI45" i="7"/>
  <c r="AJ43" i="7"/>
  <c r="AM50" i="7"/>
  <c r="W51" i="7"/>
  <c r="W52" i="7"/>
  <c r="AG52" i="7"/>
  <c r="AG50" i="7"/>
  <c r="AI52" i="7"/>
  <c r="W48" i="7"/>
  <c r="AM48" i="7"/>
  <c r="AG48" i="7"/>
  <c r="W47" i="7"/>
  <c r="T47" i="7" s="1"/>
  <c r="AJ31" i="7"/>
  <c r="W46" i="7"/>
  <c r="W44" i="7"/>
  <c r="W42" i="7"/>
  <c r="W39" i="7"/>
  <c r="IL48" i="7" s="1"/>
  <c r="W41" i="7"/>
  <c r="W34" i="7"/>
  <c r="W36" i="7"/>
  <c r="AG37" i="7"/>
  <c r="AJ40" i="7"/>
  <c r="AJ25" i="7"/>
  <c r="W32" i="7"/>
  <c r="W35" i="7"/>
  <c r="W31" i="7"/>
  <c r="W33" i="7"/>
  <c r="W38" i="7"/>
  <c r="AM37" i="7"/>
  <c r="AJ28" i="7"/>
  <c r="W13" i="7"/>
  <c r="AS112" i="7" s="1"/>
  <c r="W27" i="7"/>
  <c r="W25" i="7"/>
  <c r="W22" i="7"/>
  <c r="IL22" i="7" s="1"/>
  <c r="W26" i="7"/>
  <c r="W28" i="7"/>
  <c r="W29" i="7"/>
  <c r="AM26" i="7"/>
  <c r="AJ20" i="7"/>
  <c r="AJ23" i="7"/>
  <c r="W15" i="7"/>
  <c r="W24" i="7"/>
  <c r="W20" i="7"/>
  <c r="IL20" i="7" s="1"/>
  <c r="W21" i="7"/>
  <c r="W19" i="7"/>
  <c r="IL19" i="7" s="1"/>
  <c r="W18" i="7"/>
  <c r="W17" i="7"/>
  <c r="W12" i="7"/>
  <c r="W9" i="7"/>
  <c r="AJ72" i="7"/>
  <c r="W16" i="7"/>
  <c r="IL16" i="7" s="1"/>
  <c r="AG66" i="7"/>
  <c r="AI47" i="7"/>
  <c r="AM47" i="7"/>
  <c r="AJ41" i="7"/>
  <c r="W79" i="7"/>
  <c r="IL88" i="7" s="1"/>
  <c r="W73" i="7"/>
  <c r="W40" i="7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IL14" i="7" s="1"/>
  <c r="W30" i="7"/>
  <c r="W57" i="7"/>
  <c r="W58" i="7"/>
  <c r="W65" i="7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IY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AO109" i="7" s="1"/>
  <c r="IX109" i="7" s="1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O112" i="7" s="1"/>
  <c r="BB112" i="7" s="1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O110" i="7" s="1"/>
  <c r="IX110" i="7" s="1"/>
  <c r="AK111" i="7"/>
  <c r="AO111" i="7" s="1"/>
  <c r="AL114" i="7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AL117" i="7"/>
  <c r="BA117" i="7" s="1"/>
  <c r="AK114" i="7"/>
  <c r="AO114" i="7" s="1"/>
  <c r="IS16" i="7" s="1"/>
  <c r="AL115" i="7"/>
  <c r="BA115" i="7" s="1"/>
  <c r="AL120" i="7"/>
  <c r="BA120" i="7" s="1"/>
  <c r="BB120" i="7"/>
  <c r="BB119" i="7"/>
  <c r="BB117" i="7"/>
  <c r="AP117" i="7"/>
  <c r="BC117" i="7" s="1"/>
  <c r="T112" i="7"/>
  <c r="U112" i="7"/>
  <c r="U117" i="7"/>
  <c r="T117" i="7"/>
  <c r="AS117" i="7"/>
  <c r="AS115" i="7"/>
  <c r="T115" i="7"/>
  <c r="U115" i="7"/>
  <c r="BB114" i="7"/>
  <c r="U111" i="7"/>
  <c r="T111" i="7"/>
  <c r="AZ111" i="7" s="1"/>
  <c r="U114" i="7"/>
  <c r="AS114" i="7"/>
  <c r="T114" i="7"/>
  <c r="AZ114" i="7" s="1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T113" i="7"/>
  <c r="AZ113" i="7" s="1"/>
  <c r="U113" i="7"/>
  <c r="AK108" i="7"/>
  <c r="AO108" i="7" s="1"/>
  <c r="BB115" i="7"/>
  <c r="AL113" i="7"/>
  <c r="T116" i="7"/>
  <c r="AS116" i="7"/>
  <c r="U116" i="7"/>
  <c r="T110" i="7"/>
  <c r="AZ110" i="7" s="1"/>
  <c r="U110" i="7"/>
  <c r="AP116" i="7"/>
  <c r="BC116" i="7" s="1"/>
  <c r="BB116" i="7"/>
  <c r="AK113" i="7"/>
  <c r="AO113" i="7" s="1"/>
  <c r="AE14" i="4"/>
  <c r="AE16" i="4"/>
  <c r="AE15" i="4"/>
  <c r="AE17" i="4"/>
  <c r="AE19" i="4"/>
  <c r="AE18" i="4"/>
  <c r="AE20" i="4"/>
  <c r="IH139" i="1" l="1"/>
  <c r="IL51" i="7"/>
  <c r="IL34" i="7"/>
  <c r="IL18" i="7"/>
  <c r="IL26" i="7"/>
  <c r="IL17" i="7"/>
  <c r="IL33" i="7"/>
  <c r="IL21" i="7"/>
  <c r="HW12" i="1"/>
  <c r="HT12" i="1"/>
  <c r="ID12" i="1"/>
  <c r="HZ12" i="1"/>
  <c r="HV12" i="1"/>
  <c r="HX12" i="1"/>
  <c r="HU12" i="1"/>
  <c r="HK12" i="1"/>
  <c r="HS13" i="1" s="1"/>
  <c r="HL13" i="1" s="1"/>
  <c r="IL37" i="7"/>
  <c r="IL36" i="7"/>
  <c r="JA23" i="7"/>
  <c r="JB24" i="7" a="1"/>
  <c r="JB24" i="7" s="1"/>
  <c r="IL23" i="7"/>
  <c r="JB16" i="7" a="1"/>
  <c r="JB16" i="7" s="1"/>
  <c r="IL15" i="7"/>
  <c r="IX113" i="7"/>
  <c r="IL47" i="7"/>
  <c r="IL56" i="7"/>
  <c r="AL98" i="7"/>
  <c r="IL10" i="7"/>
  <c r="AN114" i="7"/>
  <c r="IL32" i="7"/>
  <c r="AK89" i="7"/>
  <c r="AO89" i="7" s="1"/>
  <c r="IL109" i="7"/>
  <c r="IX114" i="7"/>
  <c r="BA114" i="7"/>
  <c r="AP114" i="7"/>
  <c r="BC114" i="7" s="1"/>
  <c r="AL90" i="7"/>
  <c r="AN90" i="7" s="1"/>
  <c r="IL110" i="7"/>
  <c r="IS12" i="7"/>
  <c r="T87" i="7"/>
  <c r="IL107" i="7"/>
  <c r="IL12" i="7"/>
  <c r="IS11" i="7"/>
  <c r="AK107" i="7"/>
  <c r="AO107" i="7" s="1"/>
  <c r="IL9" i="7"/>
  <c r="IT11" i="7"/>
  <c r="IY109" i="7"/>
  <c r="IF109" i="7" s="1"/>
  <c r="IL53" i="7"/>
  <c r="AK94" i="7"/>
  <c r="AO94" i="7" s="1"/>
  <c r="IL114" i="7"/>
  <c r="AN98" i="7"/>
  <c r="IT10" i="7" s="1"/>
  <c r="IY110" i="7"/>
  <c r="IF110" i="7" s="1"/>
  <c r="IT12" i="7"/>
  <c r="IL94" i="7"/>
  <c r="IL78" i="7"/>
  <c r="T91" i="7"/>
  <c r="IL13" i="7"/>
  <c r="IL45" i="7"/>
  <c r="AN113" i="7"/>
  <c r="AN108" i="7"/>
  <c r="AN105" i="7"/>
  <c r="AS113" i="7"/>
  <c r="AN111" i="7"/>
  <c r="AZ108" i="7"/>
  <c r="AZ112" i="7"/>
  <c r="AZ109" i="7"/>
  <c r="AN102" i="7"/>
  <c r="AN104" i="7"/>
  <c r="AN112" i="7"/>
  <c r="BA112" i="7" s="1"/>
  <c r="AN99" i="7"/>
  <c r="AN92" i="7"/>
  <c r="IY92" i="7" s="1"/>
  <c r="IL52" i="7"/>
  <c r="IL54" i="7"/>
  <c r="IL71" i="7"/>
  <c r="AL64" i="7"/>
  <c r="AN64" i="7" s="1"/>
  <c r="IL73" i="7"/>
  <c r="IL55" i="7"/>
  <c r="AK65" i="7"/>
  <c r="AO65" i="7" s="1"/>
  <c r="IL74" i="7"/>
  <c r="U66" i="7"/>
  <c r="IL75" i="7"/>
  <c r="IL39" i="7"/>
  <c r="IL63" i="7"/>
  <c r="IL38" i="7"/>
  <c r="U52" i="7"/>
  <c r="IL61" i="7"/>
  <c r="T51" i="7"/>
  <c r="IL60" i="7"/>
  <c r="AK53" i="7"/>
  <c r="AO53" i="7" s="1"/>
  <c r="IL62" i="7"/>
  <c r="U26" i="7"/>
  <c r="IL35" i="7"/>
  <c r="T33" i="7"/>
  <c r="IL42" i="7"/>
  <c r="AK49" i="7"/>
  <c r="AO49" i="7" s="1"/>
  <c r="IL58" i="7"/>
  <c r="U74" i="7"/>
  <c r="IL83" i="7"/>
  <c r="U75" i="7"/>
  <c r="IL84" i="7"/>
  <c r="IL40" i="7"/>
  <c r="IL77" i="7"/>
  <c r="AL73" i="7"/>
  <c r="AN73" i="7" s="1"/>
  <c r="IL82" i="7"/>
  <c r="AK48" i="7"/>
  <c r="AO48" i="7" s="1"/>
  <c r="IL57" i="7"/>
  <c r="AK71" i="7"/>
  <c r="AO71" i="7" s="1"/>
  <c r="IL80" i="7"/>
  <c r="IL64" i="7"/>
  <c r="IL79" i="7"/>
  <c r="AK32" i="7"/>
  <c r="AO32" i="7" s="1"/>
  <c r="IL41" i="7"/>
  <c r="AL72" i="7"/>
  <c r="AN72" i="7" s="1"/>
  <c r="IL81" i="7"/>
  <c r="AK50" i="7"/>
  <c r="AO50" i="7" s="1"/>
  <c r="IL59" i="7"/>
  <c r="IL65" i="7"/>
  <c r="IL89" i="7"/>
  <c r="JH22" i="7" a="1"/>
  <c r="JH22" i="7" s="1"/>
  <c r="IL27" i="7"/>
  <c r="IL91" i="7"/>
  <c r="IL86" i="7"/>
  <c r="AK78" i="7"/>
  <c r="AO78" i="7" s="1"/>
  <c r="IL87" i="7"/>
  <c r="T83" i="7"/>
  <c r="IL92" i="7"/>
  <c r="IL90" i="7"/>
  <c r="JF22" i="7" a="1"/>
  <c r="JF22" i="7" s="1"/>
  <c r="IL24" i="7"/>
  <c r="AL58" i="7"/>
  <c r="AN58" i="7" s="1"/>
  <c r="IL67" i="7"/>
  <c r="AK21" i="7"/>
  <c r="AO21" i="7" s="1"/>
  <c r="IX21" i="7" s="1"/>
  <c r="IL30" i="7"/>
  <c r="AL57" i="7"/>
  <c r="AN57" i="7" s="1"/>
  <c r="IL66" i="7"/>
  <c r="IL25" i="7"/>
  <c r="AK20" i="7"/>
  <c r="AO20" i="7" s="1"/>
  <c r="IX20" i="7" s="1"/>
  <c r="IL29" i="7"/>
  <c r="AL34" i="7"/>
  <c r="IL43" i="7"/>
  <c r="T61" i="7"/>
  <c r="IL70" i="7"/>
  <c r="U40" i="7"/>
  <c r="IL49" i="7"/>
  <c r="T22" i="7"/>
  <c r="IL31" i="7"/>
  <c r="AK41" i="7"/>
  <c r="AO41" i="7" s="1"/>
  <c r="IL50" i="7"/>
  <c r="AL76" i="7"/>
  <c r="AN76" i="7" s="1"/>
  <c r="IT85" i="7" s="1"/>
  <c r="IL85" i="7"/>
  <c r="IL46" i="7"/>
  <c r="U35" i="7"/>
  <c r="IL44" i="7"/>
  <c r="AL60" i="7"/>
  <c r="AN60" i="7" s="1"/>
  <c r="IL69" i="7"/>
  <c r="AL63" i="7"/>
  <c r="AN63" i="7" s="1"/>
  <c r="IL72" i="7"/>
  <c r="AK59" i="7"/>
  <c r="AO59" i="7" s="1"/>
  <c r="IL68" i="7"/>
  <c r="T19" i="7"/>
  <c r="IL28" i="7"/>
  <c r="JB9" i="7" a="1"/>
  <c r="JB9" i="7" s="1"/>
  <c r="AK17" i="7"/>
  <c r="AO17" i="7" s="1"/>
  <c r="AK18" i="7"/>
  <c r="AO18" i="7" s="1"/>
  <c r="U30" i="7"/>
  <c r="U15" i="7"/>
  <c r="AL29" i="7"/>
  <c r="AN29" i="7" s="1"/>
  <c r="AN85" i="7"/>
  <c r="IY85" i="7" s="1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L81" i="7"/>
  <c r="AN81" i="7" s="1"/>
  <c r="AL14" i="7"/>
  <c r="AN14" i="7" s="1"/>
  <c r="IY14" i="7" s="1"/>
  <c r="AL39" i="7"/>
  <c r="AN39" i="7" s="1"/>
  <c r="U27" i="7"/>
  <c r="T28" i="7"/>
  <c r="AL36" i="7"/>
  <c r="U23" i="7"/>
  <c r="T13" i="7"/>
  <c r="U37" i="7"/>
  <c r="U24" i="7"/>
  <c r="AS24" i="7"/>
  <c r="AS12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AO104" i="7" s="1"/>
  <c r="T107" i="7"/>
  <c r="U107" i="7"/>
  <c r="AL105" i="7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IT93" i="7" s="1"/>
  <c r="CC4" i="7"/>
  <c r="AL86" i="7"/>
  <c r="AN86" i="7" s="1"/>
  <c r="IY86" i="7" s="1"/>
  <c r="CG4" i="7"/>
  <c r="AL46" i="7"/>
  <c r="CB4" i="7"/>
  <c r="AK93" i="7"/>
  <c r="AO93" i="7" s="1"/>
  <c r="CH4" i="7"/>
  <c r="U25" i="7"/>
  <c r="BY4" i="7"/>
  <c r="AL101" i="7"/>
  <c r="AN101" i="7" s="1"/>
  <c r="CI4" i="7"/>
  <c r="Y105" i="7"/>
  <c r="AY105" i="7" s="1"/>
  <c r="AL12" i="7"/>
  <c r="AN12" i="7" s="1"/>
  <c r="AK85" i="7"/>
  <c r="AO85" i="7" s="1"/>
  <c r="IX85" i="7" s="1"/>
  <c r="AK14" i="7"/>
  <c r="AO14" i="7" s="1"/>
  <c r="IX14" i="7" s="1"/>
  <c r="AK61" i="7"/>
  <c r="AO61" i="7" s="1"/>
  <c r="AK16" i="7"/>
  <c r="AO16" i="7" s="1"/>
  <c r="AL103" i="7"/>
  <c r="AN103" i="7" s="1"/>
  <c r="T75" i="7"/>
  <c r="AK101" i="7"/>
  <c r="AO101" i="7" s="1"/>
  <c r="AL75" i="7"/>
  <c r="AN75" i="7" s="1"/>
  <c r="AK75" i="7"/>
  <c r="AO75" i="7" s="1"/>
  <c r="T101" i="7"/>
  <c r="AK76" i="7"/>
  <c r="AO76" i="7" s="1"/>
  <c r="IS85" i="7" s="1"/>
  <c r="T74" i="7"/>
  <c r="U101" i="7"/>
  <c r="T76" i="7"/>
  <c r="U76" i="7"/>
  <c r="U49" i="7"/>
  <c r="T86" i="7"/>
  <c r="U86" i="7"/>
  <c r="AL84" i="7"/>
  <c r="AN84" i="7" s="1"/>
  <c r="IY84" i="7" s="1"/>
  <c r="U89" i="7"/>
  <c r="AL61" i="7"/>
  <c r="AN61" i="7" s="1"/>
  <c r="T102" i="7"/>
  <c r="T53" i="7"/>
  <c r="AL53" i="7"/>
  <c r="AN53" i="7" s="1"/>
  <c r="U102" i="7"/>
  <c r="U81" i="7"/>
  <c r="AL48" i="7"/>
  <c r="AK102" i="7"/>
  <c r="AO102" i="7" s="1"/>
  <c r="U61" i="7"/>
  <c r="U53" i="7"/>
  <c r="U48" i="7"/>
  <c r="AK81" i="7"/>
  <c r="AO81" i="7" s="1"/>
  <c r="T77" i="7"/>
  <c r="T81" i="7"/>
  <c r="AL65" i="7"/>
  <c r="AN65" i="7" s="1"/>
  <c r="AL100" i="7"/>
  <c r="AN100" i="7" s="1"/>
  <c r="T85" i="7"/>
  <c r="T62" i="7"/>
  <c r="AK106" i="7"/>
  <c r="AO106" i="7" s="1"/>
  <c r="AL62" i="7"/>
  <c r="AN62" i="7" s="1"/>
  <c r="T97" i="7"/>
  <c r="U97" i="7"/>
  <c r="AL107" i="7"/>
  <c r="AN107" i="7" s="1"/>
  <c r="AS107" i="7"/>
  <c r="Y107" i="7"/>
  <c r="AL47" i="7"/>
  <c r="AN47" i="7" s="1"/>
  <c r="IY47" i="7" s="1"/>
  <c r="U85" i="7"/>
  <c r="U62" i="7"/>
  <c r="AL43" i="7"/>
  <c r="AN43" i="7" s="1"/>
  <c r="T82" i="7"/>
  <c r="T100" i="7"/>
  <c r="AK100" i="7"/>
  <c r="AO100" i="7" s="1"/>
  <c r="U82" i="7"/>
  <c r="AL82" i="7"/>
  <c r="AN82" i="7" s="1"/>
  <c r="AL97" i="7"/>
  <c r="AN97" i="7" s="1"/>
  <c r="T63" i="7"/>
  <c r="AL93" i="7"/>
  <c r="AN93" i="7" s="1"/>
  <c r="T98" i="7"/>
  <c r="U63" i="7"/>
  <c r="AK63" i="7"/>
  <c r="AO63" i="7" s="1"/>
  <c r="U83" i="7"/>
  <c r="T106" i="7"/>
  <c r="AK98" i="7"/>
  <c r="AO98" i="7" s="1"/>
  <c r="IS10" i="7" s="1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AO103" i="7" s="1"/>
  <c r="T92" i="7"/>
  <c r="AK92" i="7"/>
  <c r="AO92" i="7" s="1"/>
  <c r="IX92" i="7" s="1"/>
  <c r="AK37" i="7"/>
  <c r="AO37" i="7" s="1"/>
  <c r="U60" i="7"/>
  <c r="T55" i="7"/>
  <c r="T37" i="7"/>
  <c r="AL69" i="7"/>
  <c r="AN69" i="7" s="1"/>
  <c r="U79" i="7"/>
  <c r="AK90" i="7"/>
  <c r="AO90" i="7" s="1"/>
  <c r="T59" i="7"/>
  <c r="U90" i="7"/>
  <c r="U98" i="7"/>
  <c r="AK83" i="7"/>
  <c r="AO83" i="7" s="1"/>
  <c r="AK99" i="7"/>
  <c r="AO99" i="7" s="1"/>
  <c r="AL83" i="7"/>
  <c r="AN83" i="7" s="1"/>
  <c r="T94" i="7"/>
  <c r="T84" i="7"/>
  <c r="U80" i="7"/>
  <c r="U94" i="7"/>
  <c r="AK84" i="7"/>
  <c r="AO84" i="7" s="1"/>
  <c r="IX84" i="7" s="1"/>
  <c r="T80" i="7"/>
  <c r="AL78" i="7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AO91" i="7" s="1"/>
  <c r="U93" i="7"/>
  <c r="AK57" i="7"/>
  <c r="AO57" i="7" s="1"/>
  <c r="U99" i="7"/>
  <c r="AS105" i="7"/>
  <c r="T45" i="7"/>
  <c r="AK66" i="7"/>
  <c r="AO66" i="7" s="1"/>
  <c r="T66" i="7"/>
  <c r="AL91" i="7"/>
  <c r="AN91" i="7" s="1"/>
  <c r="U91" i="7"/>
  <c r="T90" i="7"/>
  <c r="U59" i="7"/>
  <c r="T48" i="7"/>
  <c r="T60" i="7"/>
  <c r="U69" i="7"/>
  <c r="AK86" i="7"/>
  <c r="AO86" i="7" s="1"/>
  <c r="IX86" i="7" s="1"/>
  <c r="T49" i="7"/>
  <c r="U55" i="7"/>
  <c r="AK95" i="7"/>
  <c r="AO95" i="7" s="1"/>
  <c r="AL95" i="7"/>
  <c r="AN95" i="7" s="1"/>
  <c r="AK60" i="7"/>
  <c r="AO60" i="7" s="1"/>
  <c r="T78" i="7"/>
  <c r="U95" i="7"/>
  <c r="AK73" i="7"/>
  <c r="AO73" i="7" s="1"/>
  <c r="AL49" i="7"/>
  <c r="AN49" i="7" s="1"/>
  <c r="AL67" i="7"/>
  <c r="AN67" i="7" s="1"/>
  <c r="IY67" i="7" s="1"/>
  <c r="AL89" i="7"/>
  <c r="AN89" i="7" s="1"/>
  <c r="AK67" i="7"/>
  <c r="AO67" i="7" s="1"/>
  <c r="IX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IS93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IX47" i="7" s="1"/>
  <c r="U51" i="7"/>
  <c r="T64" i="7"/>
  <c r="U70" i="7"/>
  <c r="AL51" i="7"/>
  <c r="AN51" i="7" s="1"/>
  <c r="AS66" i="7"/>
  <c r="AK88" i="7"/>
  <c r="AO88" i="7" s="1"/>
  <c r="IX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IY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IN147" i="1" s="1"/>
  <c r="W138" i="1"/>
  <c r="IN149" i="1" s="1"/>
  <c r="W137" i="1"/>
  <c r="IN148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IN143" i="1" s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IN144" i="1" s="1"/>
  <c r="W106" i="1"/>
  <c r="W93" i="1"/>
  <c r="W118" i="1"/>
  <c r="W135" i="1"/>
  <c r="IN146" i="1" s="1"/>
  <c r="W115" i="1"/>
  <c r="W113" i="1"/>
  <c r="W134" i="1"/>
  <c r="IN145" i="1" s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IT56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IX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IY21" i="7" s="1"/>
  <c r="U21" i="7"/>
  <c r="AL9" i="7"/>
  <c r="AN9" i="7" s="1"/>
  <c r="IY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IY22" i="7" s="1"/>
  <c r="U22" i="7"/>
  <c r="AK22" i="7"/>
  <c r="AO22" i="7" s="1"/>
  <c r="IX22" i="7" s="1"/>
  <c r="AK29" i="7"/>
  <c r="AO29" i="7" s="1"/>
  <c r="AL20" i="7"/>
  <c r="AN20" i="7" s="1"/>
  <c r="IY20" i="7" s="1"/>
  <c r="T20" i="7"/>
  <c r="U29" i="7"/>
  <c r="U20" i="7"/>
  <c r="AS29" i="7"/>
  <c r="AS31" i="7"/>
  <c r="U18" i="7"/>
  <c r="AS30" i="7"/>
  <c r="AS28" i="7"/>
  <c r="AL23" i="7"/>
  <c r="AN23" i="7" s="1"/>
  <c r="IY23" i="7" s="1"/>
  <c r="AK24" i="7"/>
  <c r="AO24" i="7" s="1"/>
  <c r="IX24" i="7" s="1"/>
  <c r="T23" i="7"/>
  <c r="AL24" i="7"/>
  <c r="AN24" i="7" s="1"/>
  <c r="IY24" i="7" s="1"/>
  <c r="AS26" i="7"/>
  <c r="AK23" i="7"/>
  <c r="AO23" i="7" s="1"/>
  <c r="IX23" i="7" s="1"/>
  <c r="T24" i="7"/>
  <c r="AS27" i="7"/>
  <c r="AL19" i="7"/>
  <c r="U19" i="7"/>
  <c r="AK19" i="7"/>
  <c r="AO19" i="7" s="1"/>
  <c r="IX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IY10" i="7" s="1"/>
  <c r="AS22" i="7"/>
  <c r="AS21" i="7"/>
  <c r="T14" i="7"/>
  <c r="T10" i="7"/>
  <c r="AK10" i="7"/>
  <c r="AO10" i="7" s="1"/>
  <c r="IX10" i="7" s="1"/>
  <c r="AS20" i="7"/>
  <c r="AS19" i="7"/>
  <c r="AS17" i="7"/>
  <c r="AS18" i="7"/>
  <c r="AS16" i="7"/>
  <c r="T9" i="7"/>
  <c r="AK11" i="7"/>
  <c r="AO11" i="7" s="1"/>
  <c r="IX11" i="7" s="1"/>
  <c r="IF11" i="7" s="1"/>
  <c r="U11" i="7"/>
  <c r="U9" i="7"/>
  <c r="T11" i="7"/>
  <c r="AK9" i="7"/>
  <c r="AO9" i="7" s="1"/>
  <c r="IX9" i="7" s="1"/>
  <c r="AS15" i="7"/>
  <c r="AS11" i="7"/>
  <c r="AS14" i="7"/>
  <c r="AS9" i="7"/>
  <c r="AT112" i="7" s="1"/>
  <c r="AS10" i="7"/>
  <c r="AS13" i="7"/>
  <c r="AS77" i="7"/>
  <c r="U73" i="7"/>
  <c r="T54" i="7"/>
  <c r="AK77" i="7"/>
  <c r="AO77" i="7" s="1"/>
  <c r="IS94" i="7" s="1"/>
  <c r="AL77" i="7"/>
  <c r="AN77" i="7" s="1"/>
  <c r="IT94" i="7" s="1"/>
  <c r="AX157" i="7"/>
  <c r="AX154" i="7"/>
  <c r="AX155" i="7"/>
  <c r="Y30" i="7"/>
  <c r="Y84" i="7"/>
  <c r="IV84" i="7" s="1"/>
  <c r="Y87" i="7"/>
  <c r="Y54" i="7"/>
  <c r="IV54" i="7" s="1"/>
  <c r="Y25" i="7"/>
  <c r="IV25" i="7" s="1"/>
  <c r="Y79" i="7"/>
  <c r="IV79" i="7" s="1"/>
  <c r="Y59" i="7"/>
  <c r="Y74" i="7"/>
  <c r="Y86" i="7"/>
  <c r="IV86" i="7" s="1"/>
  <c r="Y57" i="7"/>
  <c r="Y23" i="7"/>
  <c r="IV23" i="7" s="1"/>
  <c r="Y58" i="7"/>
  <c r="Y62" i="7"/>
  <c r="Y55" i="7"/>
  <c r="Y50" i="7"/>
  <c r="IV50" i="7" s="1"/>
  <c r="Y77" i="7"/>
  <c r="Y38" i="7"/>
  <c r="Y83" i="7"/>
  <c r="Y34" i="7"/>
  <c r="Y26" i="7"/>
  <c r="IV26" i="7" s="1"/>
  <c r="Y42" i="7"/>
  <c r="IV42" i="7" s="1"/>
  <c r="Y78" i="7"/>
  <c r="IV78" i="7" s="1"/>
  <c r="Y69" i="7"/>
  <c r="IQ78" i="7" s="1"/>
  <c r="Y37" i="7"/>
  <c r="Y45" i="7"/>
  <c r="Y52" i="7"/>
  <c r="IV52" i="7" s="1"/>
  <c r="Y35" i="7"/>
  <c r="Y22" i="7"/>
  <c r="Y67" i="7"/>
  <c r="Y49" i="7"/>
  <c r="Y29" i="7"/>
  <c r="Y76" i="7"/>
  <c r="IV76" i="7" s="1"/>
  <c r="Y75" i="7"/>
  <c r="Y44" i="7"/>
  <c r="Y53" i="7"/>
  <c r="Y33" i="7"/>
  <c r="Y28" i="7"/>
  <c r="Y70" i="7"/>
  <c r="IQ79" i="7" s="1"/>
  <c r="Y32" i="7"/>
  <c r="Y31" i="7"/>
  <c r="Y18" i="7"/>
  <c r="IV18" i="7" s="1"/>
  <c r="Y63" i="7"/>
  <c r="Y41" i="7"/>
  <c r="IV41" i="7" s="1"/>
  <c r="Y89" i="7"/>
  <c r="Y90" i="7"/>
  <c r="W89" i="1"/>
  <c r="W90" i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N142" i="1" l="1"/>
  <c r="IN140" i="1"/>
  <c r="IN141" i="1"/>
  <c r="IN139" i="1"/>
  <c r="IN125" i="1"/>
  <c r="IN10" i="1"/>
  <c r="IN13" i="1"/>
  <c r="IN12" i="1"/>
  <c r="IN11" i="1"/>
  <c r="IN9" i="1"/>
  <c r="IN14" i="1"/>
  <c r="IN15" i="1"/>
  <c r="IN107" i="1"/>
  <c r="IN127" i="1"/>
  <c r="IN124" i="1"/>
  <c r="IN131" i="1"/>
  <c r="IN83" i="1"/>
  <c r="IT17" i="7"/>
  <c r="IS56" i="7"/>
  <c r="IN89" i="1"/>
  <c r="IN56" i="1"/>
  <c r="IN84" i="1"/>
  <c r="IN85" i="1"/>
  <c r="IN87" i="1"/>
  <c r="IN38" i="1"/>
  <c r="IY13" i="7"/>
  <c r="IT18" i="7"/>
  <c r="IX13" i="7"/>
  <c r="IS18" i="7"/>
  <c r="IS15" i="7"/>
  <c r="IS17" i="7"/>
  <c r="IF20" i="7"/>
  <c r="IF21" i="7"/>
  <c r="IN99" i="1"/>
  <c r="IN70" i="1"/>
  <c r="IY17" i="7"/>
  <c r="IF14" i="7"/>
  <c r="IS27" i="7"/>
  <c r="IX18" i="7"/>
  <c r="IF22" i="7"/>
  <c r="IN121" i="1"/>
  <c r="IN122" i="1"/>
  <c r="AL137" i="1"/>
  <c r="AN137" i="1" s="1"/>
  <c r="IN137" i="1"/>
  <c r="IS26" i="7"/>
  <c r="IX17" i="7"/>
  <c r="IN132" i="1"/>
  <c r="IN123" i="1"/>
  <c r="AL138" i="1"/>
  <c r="AN138" i="1" s="1"/>
  <c r="IN138" i="1"/>
  <c r="AL136" i="1"/>
  <c r="AN136" i="1" s="1"/>
  <c r="IN136" i="1"/>
  <c r="IN82" i="1"/>
  <c r="IN74" i="1"/>
  <c r="IT27" i="7"/>
  <c r="IY18" i="7"/>
  <c r="IN135" i="1"/>
  <c r="IN126" i="1"/>
  <c r="JB30" i="7" a="1"/>
  <c r="JB30" i="7" s="1"/>
  <c r="HW13" i="1"/>
  <c r="HV13" i="1"/>
  <c r="ID13" i="1"/>
  <c r="HU13" i="1"/>
  <c r="HT13" i="1"/>
  <c r="HZ13" i="1"/>
  <c r="HX13" i="1"/>
  <c r="HK13" i="1"/>
  <c r="HS14" i="1" s="1"/>
  <c r="HL14" i="1" s="1"/>
  <c r="IT31" i="7"/>
  <c r="JB23" i="7" a="1"/>
  <c r="JB23" i="7" s="1"/>
  <c r="JB29" i="7" a="1"/>
  <c r="JB29" i="7" s="1"/>
  <c r="IS28" i="7"/>
  <c r="IS23" i="7"/>
  <c r="IF23" i="7"/>
  <c r="IN119" i="1"/>
  <c r="IN120" i="1"/>
  <c r="IN104" i="1"/>
  <c r="IN105" i="1"/>
  <c r="IN106" i="1"/>
  <c r="IF9" i="7"/>
  <c r="IY90" i="7"/>
  <c r="IT110" i="7"/>
  <c r="IS30" i="7"/>
  <c r="IS33" i="7"/>
  <c r="IV90" i="7"/>
  <c r="IQ110" i="7"/>
  <c r="IS9" i="7"/>
  <c r="IX107" i="7"/>
  <c r="IT30" i="7"/>
  <c r="IT33" i="7"/>
  <c r="IT41" i="7"/>
  <c r="IY32" i="7"/>
  <c r="BA113" i="7"/>
  <c r="IY113" i="7"/>
  <c r="IF113" i="7" s="1"/>
  <c r="IT15" i="7"/>
  <c r="IV87" i="7"/>
  <c r="IQ107" i="7"/>
  <c r="IT29" i="7"/>
  <c r="IT32" i="7"/>
  <c r="IT34" i="7"/>
  <c r="IY12" i="7"/>
  <c r="IT25" i="7"/>
  <c r="IY16" i="7"/>
  <c r="IS29" i="7"/>
  <c r="IS32" i="7"/>
  <c r="IV89" i="7"/>
  <c r="IQ109" i="7"/>
  <c r="IS42" i="7"/>
  <c r="IX33" i="7"/>
  <c r="IT113" i="7"/>
  <c r="IY93" i="7"/>
  <c r="IF10" i="7"/>
  <c r="IY89" i="7"/>
  <c r="IT109" i="7"/>
  <c r="IX12" i="7"/>
  <c r="IS34" i="7"/>
  <c r="IT65" i="7"/>
  <c r="IY56" i="7"/>
  <c r="IX94" i="7"/>
  <c r="IS114" i="7"/>
  <c r="IX90" i="7"/>
  <c r="IS110" i="7"/>
  <c r="IX93" i="7"/>
  <c r="IS113" i="7"/>
  <c r="IS24" i="7"/>
  <c r="IX15" i="7"/>
  <c r="IS31" i="7"/>
  <c r="IY15" i="7"/>
  <c r="IS65" i="7"/>
  <c r="IX56" i="7"/>
  <c r="IX89" i="7"/>
  <c r="IS109" i="7"/>
  <c r="IV55" i="7"/>
  <c r="IQ93" i="7"/>
  <c r="IY87" i="7"/>
  <c r="IT107" i="7"/>
  <c r="IY107" i="7"/>
  <c r="IT9" i="7"/>
  <c r="IV77" i="7"/>
  <c r="IQ94" i="7"/>
  <c r="IY91" i="7"/>
  <c r="IT13" i="7"/>
  <c r="IX91" i="7"/>
  <c r="IS13" i="7"/>
  <c r="IQ9" i="7"/>
  <c r="IV107" i="7"/>
  <c r="IS41" i="7"/>
  <c r="IX32" i="7"/>
  <c r="AT114" i="7"/>
  <c r="IV32" i="7"/>
  <c r="IS43" i="7"/>
  <c r="IX34" i="7"/>
  <c r="IX87" i="7"/>
  <c r="IS107" i="7"/>
  <c r="IS25" i="7"/>
  <c r="IX16" i="7"/>
  <c r="IT16" i="7"/>
  <c r="IY114" i="7"/>
  <c r="IF114" i="7" s="1"/>
  <c r="AP48" i="7"/>
  <c r="IF92" i="7"/>
  <c r="IF84" i="7"/>
  <c r="AT113" i="7"/>
  <c r="IN86" i="1"/>
  <c r="IN134" i="1"/>
  <c r="IN72" i="1"/>
  <c r="AP78" i="7"/>
  <c r="IF24" i="7"/>
  <c r="AN96" i="7"/>
  <c r="IY64" i="7"/>
  <c r="IT73" i="7"/>
  <c r="IT61" i="7"/>
  <c r="IY52" i="7"/>
  <c r="IS62" i="7"/>
  <c r="IX53" i="7"/>
  <c r="IY44" i="7"/>
  <c r="IT60" i="7"/>
  <c r="IY51" i="7"/>
  <c r="IS64" i="7"/>
  <c r="IX55" i="7"/>
  <c r="IX46" i="7"/>
  <c r="IS55" i="7"/>
  <c r="IY43" i="7"/>
  <c r="IS84" i="7"/>
  <c r="IX75" i="7"/>
  <c r="IT82" i="7"/>
  <c r="IY73" i="7"/>
  <c r="IT63" i="7"/>
  <c r="IY54" i="7"/>
  <c r="IY65" i="7"/>
  <c r="IT74" i="7"/>
  <c r="IT83" i="7"/>
  <c r="IY74" i="7"/>
  <c r="IX44" i="7"/>
  <c r="IS53" i="7"/>
  <c r="IT62" i="7"/>
  <c r="IY53" i="7"/>
  <c r="IT84" i="7"/>
  <c r="IY75" i="7"/>
  <c r="IX65" i="7"/>
  <c r="IS74" i="7"/>
  <c r="IX43" i="7"/>
  <c r="IS52" i="7"/>
  <c r="IS61" i="7"/>
  <c r="IX52" i="7"/>
  <c r="IX64" i="7"/>
  <c r="IS73" i="7"/>
  <c r="IY66" i="7"/>
  <c r="IT75" i="7"/>
  <c r="IX42" i="7"/>
  <c r="IS51" i="7"/>
  <c r="IY42" i="7"/>
  <c r="IX66" i="7"/>
  <c r="IS75" i="7"/>
  <c r="IT64" i="7"/>
  <c r="IY55" i="7"/>
  <c r="IQ62" i="7"/>
  <c r="IV53" i="7"/>
  <c r="IS60" i="7"/>
  <c r="IX51" i="7"/>
  <c r="IS83" i="7"/>
  <c r="IX74" i="7"/>
  <c r="IS82" i="7"/>
  <c r="IX73" i="7"/>
  <c r="IX45" i="7"/>
  <c r="IS54" i="7"/>
  <c r="IS63" i="7"/>
  <c r="IX54" i="7"/>
  <c r="IY29" i="7"/>
  <c r="IT69" i="7"/>
  <c r="IY60" i="7"/>
  <c r="IV49" i="7"/>
  <c r="IQ58" i="7"/>
  <c r="IT49" i="7"/>
  <c r="IY40" i="7"/>
  <c r="IY37" i="7"/>
  <c r="IS70" i="7"/>
  <c r="IX61" i="7"/>
  <c r="IT67" i="7"/>
  <c r="IY58" i="7"/>
  <c r="IX50" i="7"/>
  <c r="IS59" i="7"/>
  <c r="IX71" i="7"/>
  <c r="IS80" i="7"/>
  <c r="IQ71" i="7"/>
  <c r="IV62" i="7"/>
  <c r="IT86" i="7"/>
  <c r="IY77" i="7"/>
  <c r="IY27" i="7"/>
  <c r="IY50" i="7"/>
  <c r="IT59" i="7"/>
  <c r="IY71" i="7"/>
  <c r="IT80" i="7"/>
  <c r="IT89" i="7"/>
  <c r="IY80" i="7"/>
  <c r="IS45" i="7"/>
  <c r="IX36" i="7"/>
  <c r="IY68" i="7"/>
  <c r="IT77" i="7"/>
  <c r="IX68" i="7"/>
  <c r="IS77" i="7"/>
  <c r="IS86" i="7"/>
  <c r="IX77" i="7"/>
  <c r="IS67" i="7"/>
  <c r="IX58" i="7"/>
  <c r="IY70" i="7"/>
  <c r="IT79" i="7"/>
  <c r="IS69" i="7"/>
  <c r="IX60" i="7"/>
  <c r="IX69" i="7"/>
  <c r="IS78" i="7"/>
  <c r="IS91" i="7"/>
  <c r="IX82" i="7"/>
  <c r="IX48" i="7"/>
  <c r="IS57" i="7"/>
  <c r="IS46" i="7"/>
  <c r="IX37" i="7"/>
  <c r="IV33" i="7"/>
  <c r="IQ42" i="7"/>
  <c r="IQ67" i="7"/>
  <c r="IV58" i="7"/>
  <c r="IQ59" i="7"/>
  <c r="IQ63" i="7"/>
  <c r="IX27" i="7"/>
  <c r="IS36" i="7"/>
  <c r="IY31" i="7"/>
  <c r="IT40" i="7"/>
  <c r="IT50" i="7"/>
  <c r="IY41" i="7"/>
  <c r="IX70" i="7"/>
  <c r="IS79" i="7"/>
  <c r="IT71" i="7"/>
  <c r="IY62" i="7"/>
  <c r="IS90" i="7"/>
  <c r="IX81" i="7"/>
  <c r="IS48" i="7"/>
  <c r="IX39" i="7"/>
  <c r="IX29" i="7"/>
  <c r="IS38" i="7"/>
  <c r="IY26" i="7"/>
  <c r="IS44" i="7"/>
  <c r="IX35" i="7"/>
  <c r="IS47" i="7"/>
  <c r="IX38" i="7"/>
  <c r="IX72" i="7"/>
  <c r="IS81" i="7"/>
  <c r="IS66" i="7"/>
  <c r="IX57" i="7"/>
  <c r="IT92" i="7"/>
  <c r="IY83" i="7"/>
  <c r="IY69" i="7"/>
  <c r="IT78" i="7"/>
  <c r="IX31" i="7"/>
  <c r="IS40" i="7"/>
  <c r="IS89" i="7"/>
  <c r="IX80" i="7"/>
  <c r="IS68" i="7"/>
  <c r="IX59" i="7"/>
  <c r="IT66" i="7"/>
  <c r="IY57" i="7"/>
  <c r="IX49" i="7"/>
  <c r="IS58" i="7"/>
  <c r="IQ64" i="7"/>
  <c r="IV63" i="7"/>
  <c r="IQ92" i="7"/>
  <c r="IV83" i="7"/>
  <c r="IQ66" i="7"/>
  <c r="IV57" i="7"/>
  <c r="IV75" i="7"/>
  <c r="IQ84" i="7"/>
  <c r="IV38" i="7"/>
  <c r="IS49" i="7"/>
  <c r="IX40" i="7"/>
  <c r="IF88" i="7"/>
  <c r="IT91" i="7"/>
  <c r="IY82" i="7"/>
  <c r="IT48" i="7"/>
  <c r="IY39" i="7"/>
  <c r="IT72" i="7"/>
  <c r="IY63" i="7"/>
  <c r="IV31" i="7"/>
  <c r="IQ40" i="7"/>
  <c r="IQ46" i="7"/>
  <c r="IV37" i="7"/>
  <c r="IV74" i="7"/>
  <c r="IQ83" i="7"/>
  <c r="IX28" i="7"/>
  <c r="IY49" i="7"/>
  <c r="IT58" i="7"/>
  <c r="IT68" i="7"/>
  <c r="IY59" i="7"/>
  <c r="IS92" i="7"/>
  <c r="IX83" i="7"/>
  <c r="IT70" i="7"/>
  <c r="IY61" i="7"/>
  <c r="IS71" i="7"/>
  <c r="IX62" i="7"/>
  <c r="IX26" i="7"/>
  <c r="IY28" i="7"/>
  <c r="IY38" i="7"/>
  <c r="IS88" i="7"/>
  <c r="IX79" i="7"/>
  <c r="IS72" i="7"/>
  <c r="IX63" i="7"/>
  <c r="IT90" i="7"/>
  <c r="IY81" i="7"/>
  <c r="IT88" i="7"/>
  <c r="IY79" i="7"/>
  <c r="IY72" i="7"/>
  <c r="IT81" i="7"/>
  <c r="IS50" i="7"/>
  <c r="IX41" i="7"/>
  <c r="IS87" i="7"/>
  <c r="IX78" i="7"/>
  <c r="IF86" i="7"/>
  <c r="IQ85" i="7"/>
  <c r="AN94" i="7"/>
  <c r="IQ76" i="7"/>
  <c r="IV70" i="7"/>
  <c r="IN90" i="1"/>
  <c r="IV29" i="7"/>
  <c r="IV69" i="7"/>
  <c r="IV59" i="7"/>
  <c r="IQ68" i="7"/>
  <c r="IN129" i="1"/>
  <c r="IF85" i="7"/>
  <c r="IV28" i="7"/>
  <c r="IV67" i="7"/>
  <c r="IN110" i="1"/>
  <c r="IN130" i="1"/>
  <c r="IN91" i="1"/>
  <c r="IN92" i="1"/>
  <c r="IV22" i="7"/>
  <c r="IV35" i="7"/>
  <c r="IV34" i="7"/>
  <c r="IQ43" i="7"/>
  <c r="IN108" i="1"/>
  <c r="IN128" i="1"/>
  <c r="IV44" i="7"/>
  <c r="IN71" i="1"/>
  <c r="IQ27" i="7"/>
  <c r="IV45" i="7"/>
  <c r="IV30" i="7"/>
  <c r="IN133" i="1"/>
  <c r="IN109" i="1"/>
  <c r="IF67" i="7"/>
  <c r="IF47" i="7"/>
  <c r="IN88" i="1"/>
  <c r="IN69" i="1"/>
  <c r="IN21" i="1"/>
  <c r="IN103" i="1"/>
  <c r="IN68" i="1"/>
  <c r="IN57" i="1"/>
  <c r="IN73" i="1"/>
  <c r="IN20" i="1"/>
  <c r="IN37" i="1"/>
  <c r="IN49" i="1"/>
  <c r="IN50" i="1"/>
  <c r="IN16" i="1"/>
  <c r="IN55" i="1"/>
  <c r="IN48" i="1"/>
  <c r="IN46" i="1"/>
  <c r="IN47" i="1"/>
  <c r="IN45" i="1"/>
  <c r="IN32" i="1"/>
  <c r="IN31" i="1"/>
  <c r="IN23" i="1"/>
  <c r="IN94" i="1"/>
  <c r="IN112" i="1"/>
  <c r="IN44" i="1"/>
  <c r="IN95" i="1"/>
  <c r="IN63" i="1"/>
  <c r="IN27" i="1"/>
  <c r="IN67" i="1"/>
  <c r="IN75" i="1"/>
  <c r="IN111" i="1"/>
  <c r="IN96" i="1"/>
  <c r="IN40" i="1"/>
  <c r="IN80" i="1"/>
  <c r="IN101" i="1"/>
  <c r="IN100" i="1"/>
  <c r="IN102" i="1"/>
  <c r="IN76" i="1"/>
  <c r="IN79" i="1"/>
  <c r="IN64" i="1"/>
  <c r="IN114" i="1"/>
  <c r="IN113" i="1"/>
  <c r="IN58" i="1"/>
  <c r="IN98" i="1"/>
  <c r="AN48" i="7"/>
  <c r="IT53" i="7" s="1"/>
  <c r="AP82" i="7"/>
  <c r="AN78" i="7"/>
  <c r="IN65" i="1"/>
  <c r="IN93" i="1"/>
  <c r="IN117" i="1"/>
  <c r="IN118" i="1"/>
  <c r="AS9" i="1"/>
  <c r="AT9" i="1" s="1"/>
  <c r="IN28" i="1"/>
  <c r="IN81" i="1"/>
  <c r="IN30" i="1"/>
  <c r="AN36" i="7"/>
  <c r="IN29" i="1"/>
  <c r="IN62" i="1"/>
  <c r="IN22" i="1"/>
  <c r="IN39" i="1"/>
  <c r="IN78" i="1"/>
  <c r="IN97" i="1"/>
  <c r="IN116" i="1"/>
  <c r="IN66" i="1"/>
  <c r="IN77" i="1"/>
  <c r="AN35" i="7"/>
  <c r="AN25" i="7"/>
  <c r="IY25" i="7" s="1"/>
  <c r="IF25" i="7" s="1"/>
  <c r="IN115" i="1"/>
  <c r="AN34" i="7"/>
  <c r="IT36" i="7" s="1"/>
  <c r="IN54" i="1"/>
  <c r="IN60" i="1"/>
  <c r="IN52" i="1"/>
  <c r="IN53" i="1"/>
  <c r="IN59" i="1"/>
  <c r="IN61" i="1"/>
  <c r="IN51" i="1"/>
  <c r="IN43" i="1"/>
  <c r="IN42" i="1"/>
  <c r="IN41" i="1"/>
  <c r="IN19" i="1"/>
  <c r="IN35" i="1"/>
  <c r="IN36" i="1"/>
  <c r="IN34" i="1"/>
  <c r="IN33" i="1"/>
  <c r="IN26" i="1"/>
  <c r="IN25" i="1"/>
  <c r="IN24" i="1"/>
  <c r="IN17" i="1"/>
  <c r="IN18" i="1"/>
  <c r="AK17" i="1"/>
  <c r="AK30" i="1"/>
  <c r="AO30" i="1" s="1"/>
  <c r="JQ30" i="1" s="1"/>
  <c r="AK24" i="1"/>
  <c r="AK10" i="1"/>
  <c r="AK11" i="1"/>
  <c r="AO11" i="1" s="1"/>
  <c r="AW11" i="7"/>
  <c r="AN30" i="7"/>
  <c r="IT35" i="7" s="1"/>
  <c r="AO30" i="7"/>
  <c r="IS37" i="7" s="1"/>
  <c r="T13" i="1"/>
  <c r="AN33" i="7"/>
  <c r="AN46" i="7"/>
  <c r="IT52" i="7" s="1"/>
  <c r="AN45" i="7"/>
  <c r="IT47" i="7" s="1"/>
  <c r="AN19" i="7"/>
  <c r="IY19" i="7" s="1"/>
  <c r="IF19" i="7" s="1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Z105" i="7" s="1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IQ44" i="7" s="1"/>
  <c r="Y47" i="7"/>
  <c r="Y82" i="7"/>
  <c r="IV82" i="7" s="1"/>
  <c r="Y80" i="7"/>
  <c r="IV80" i="7" s="1"/>
  <c r="Y24" i="7"/>
  <c r="IV24" i="7" s="1"/>
  <c r="Y72" i="7"/>
  <c r="IQ81" i="7" s="1"/>
  <c r="Y64" i="7"/>
  <c r="IQ73" i="7" s="1"/>
  <c r="Y73" i="7"/>
  <c r="Y65" i="7"/>
  <c r="Y94" i="7"/>
  <c r="Y15" i="7"/>
  <c r="Y71" i="7"/>
  <c r="IQ80" i="7" s="1"/>
  <c r="Y12" i="7"/>
  <c r="Y61" i="7"/>
  <c r="Y66" i="7"/>
  <c r="IQ75" i="7" s="1"/>
  <c r="Y20" i="7"/>
  <c r="IV20" i="7" s="1"/>
  <c r="Y56" i="7"/>
  <c r="IV56" i="7" s="1"/>
  <c r="Y46" i="7"/>
  <c r="IQ51" i="7" s="1"/>
  <c r="Y36" i="7"/>
  <c r="IQ54" i="7" s="1"/>
  <c r="Y102" i="7"/>
  <c r="AT102" i="7" s="1"/>
  <c r="Y88" i="7"/>
  <c r="IV88" i="7" s="1"/>
  <c r="Y40" i="7"/>
  <c r="IQ37" i="7" s="1"/>
  <c r="Y16" i="7"/>
  <c r="IV16" i="7" s="1"/>
  <c r="Y68" i="7"/>
  <c r="IQ77" i="7" s="1"/>
  <c r="Y81" i="7"/>
  <c r="IV81" i="7" s="1"/>
  <c r="Y51" i="7"/>
  <c r="IV51" i="7" s="1"/>
  <c r="Y60" i="7"/>
  <c r="Y27" i="7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Y9" i="7"/>
  <c r="IV9" i="7" s="1"/>
  <c r="AP85" i="7"/>
  <c r="Y91" i="7"/>
  <c r="Y99" i="7"/>
  <c r="Y98" i="7"/>
  <c r="IQ10" i="7" s="1"/>
  <c r="Y93" i="7"/>
  <c r="Y19" i="7"/>
  <c r="Y14" i="7"/>
  <c r="IV14" i="7" s="1"/>
  <c r="Y92" i="7"/>
  <c r="IV92" i="7" s="1"/>
  <c r="Y17" i="7"/>
  <c r="IV17" i="7" s="1"/>
  <c r="Y21" i="7"/>
  <c r="Y11" i="7"/>
  <c r="IV11" i="7" s="1"/>
  <c r="Y10" i="7"/>
  <c r="IV10" i="7" s="1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Z107" i="7" s="1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Z104" i="7" s="1"/>
  <c r="AP70" i="7"/>
  <c r="AY106" i="7"/>
  <c r="V106" i="7"/>
  <c r="AZ106" i="7" s="1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JA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Z101" i="7" s="1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JA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JA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IV140" i="1" s="1"/>
  <c r="U131" i="1"/>
  <c r="T115" i="1"/>
  <c r="AK115" i="1"/>
  <c r="U115" i="1"/>
  <c r="AL115" i="1"/>
  <c r="AN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Z97" i="7" s="1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AK114" i="1"/>
  <c r="AY103" i="7"/>
  <c r="V103" i="7"/>
  <c r="AZ103" i="7" s="1"/>
  <c r="AL91" i="1"/>
  <c r="AN91" i="1" s="1"/>
  <c r="JA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JA103" i="1" s="1"/>
  <c r="AK103" i="1"/>
  <c r="AW102" i="7"/>
  <c r="T103" i="1"/>
  <c r="AL111" i="1"/>
  <c r="AN111" i="1" s="1"/>
  <c r="U111" i="1"/>
  <c r="AK111" i="1"/>
  <c r="T111" i="1"/>
  <c r="AW93" i="7"/>
  <c r="AL94" i="1"/>
  <c r="AN94" i="1" s="1"/>
  <c r="JA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JA93" i="1" s="1"/>
  <c r="AK93" i="1"/>
  <c r="AL112" i="1"/>
  <c r="AN112" i="1" s="1"/>
  <c r="T112" i="1"/>
  <c r="U112" i="1"/>
  <c r="AK112" i="1"/>
  <c r="T117" i="1"/>
  <c r="AK117" i="1"/>
  <c r="AL117" i="1"/>
  <c r="AN117" i="1" s="1"/>
  <c r="U117" i="1"/>
  <c r="AL99" i="1"/>
  <c r="AN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T113" i="1"/>
  <c r="U113" i="1"/>
  <c r="AW56" i="7"/>
  <c r="AW64" i="7"/>
  <c r="AW72" i="7"/>
  <c r="AL130" i="1"/>
  <c r="AN130" i="1" s="1"/>
  <c r="IV139" i="1" s="1"/>
  <c r="T130" i="1"/>
  <c r="AK130" i="1"/>
  <c r="U130" i="1"/>
  <c r="U106" i="1"/>
  <c r="AL106" i="1"/>
  <c r="AN106" i="1" s="1"/>
  <c r="JA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Z96" i="7" s="1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Z89" i="7" s="1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JP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JQ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JQ55" i="1" s="1"/>
  <c r="AW55" i="7"/>
  <c r="AL63" i="1"/>
  <c r="AN63" i="1" s="1"/>
  <c r="JP63" i="1" s="1"/>
  <c r="AW63" i="7"/>
  <c r="U71" i="1"/>
  <c r="AW71" i="7"/>
  <c r="T79" i="1"/>
  <c r="AW79" i="7"/>
  <c r="AY90" i="7"/>
  <c r="V90" i="7"/>
  <c r="AZ90" i="7" s="1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JP88" i="1" s="1"/>
  <c r="AK88" i="1"/>
  <c r="U88" i="1"/>
  <c r="T87" i="1"/>
  <c r="AK87" i="1"/>
  <c r="AL87" i="1"/>
  <c r="AN87" i="1" s="1"/>
  <c r="JP87" i="1" s="1"/>
  <c r="U85" i="1"/>
  <c r="AL86" i="1"/>
  <c r="AN86" i="1" s="1"/>
  <c r="JP86" i="1" s="1"/>
  <c r="U86" i="1"/>
  <c r="AK86" i="1"/>
  <c r="T86" i="1"/>
  <c r="T85" i="1"/>
  <c r="AL85" i="1"/>
  <c r="AN85" i="1" s="1"/>
  <c r="JP85" i="1" s="1"/>
  <c r="AK83" i="1"/>
  <c r="AL84" i="1"/>
  <c r="AN84" i="1" s="1"/>
  <c r="JP84" i="1" s="1"/>
  <c r="T84" i="1"/>
  <c r="U84" i="1"/>
  <c r="AK84" i="1"/>
  <c r="T83" i="1"/>
  <c r="U83" i="1"/>
  <c r="AL82" i="1"/>
  <c r="AN82" i="1" s="1"/>
  <c r="T82" i="1"/>
  <c r="U82" i="1"/>
  <c r="AK82" i="1"/>
  <c r="U81" i="1"/>
  <c r="AL81" i="1"/>
  <c r="AN81" i="1" s="1"/>
  <c r="JP81" i="1" s="1"/>
  <c r="AK81" i="1"/>
  <c r="T81" i="1"/>
  <c r="AL79" i="1"/>
  <c r="AN79" i="1" s="1"/>
  <c r="JP79" i="1" s="1"/>
  <c r="U80" i="1"/>
  <c r="AL80" i="1"/>
  <c r="AN80" i="1" s="1"/>
  <c r="JP80" i="1" s="1"/>
  <c r="AK80" i="1"/>
  <c r="T80" i="1"/>
  <c r="U79" i="1"/>
  <c r="AK79" i="1"/>
  <c r="U78" i="1"/>
  <c r="T78" i="1"/>
  <c r="AK78" i="1"/>
  <c r="AL78" i="1"/>
  <c r="AN78" i="1" s="1"/>
  <c r="JP78" i="1" s="1"/>
  <c r="U77" i="1"/>
  <c r="AK77" i="1"/>
  <c r="AL77" i="1"/>
  <c r="AN77" i="1" s="1"/>
  <c r="JP77" i="1" s="1"/>
  <c r="AK76" i="1"/>
  <c r="T76" i="1"/>
  <c r="AL76" i="1"/>
  <c r="AN76" i="1" s="1"/>
  <c r="JP76" i="1" s="1"/>
  <c r="U76" i="1"/>
  <c r="AK75" i="1"/>
  <c r="T75" i="1"/>
  <c r="AL75" i="1"/>
  <c r="AN75" i="1" s="1"/>
  <c r="JP75" i="1" s="1"/>
  <c r="AK74" i="1"/>
  <c r="T74" i="1"/>
  <c r="U74" i="1"/>
  <c r="AL74" i="1"/>
  <c r="AN74" i="1" s="1"/>
  <c r="JP74" i="1" s="1"/>
  <c r="AL73" i="1"/>
  <c r="AN73" i="1" s="1"/>
  <c r="T73" i="1"/>
  <c r="AK73" i="1"/>
  <c r="U73" i="1"/>
  <c r="T71" i="1"/>
  <c r="AK71" i="1"/>
  <c r="AO71" i="1" s="1"/>
  <c r="JQ71" i="1" s="1"/>
  <c r="AL71" i="1"/>
  <c r="AN71" i="1" s="1"/>
  <c r="JP71" i="1" s="1"/>
  <c r="AK72" i="1"/>
  <c r="T72" i="1"/>
  <c r="U72" i="1"/>
  <c r="AL72" i="1"/>
  <c r="AN72" i="1" s="1"/>
  <c r="JP72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T63" i="1"/>
  <c r="U63" i="1"/>
  <c r="AK63" i="1"/>
  <c r="AK61" i="1"/>
  <c r="U62" i="1"/>
  <c r="T62" i="1"/>
  <c r="AK62" i="1"/>
  <c r="AL62" i="1"/>
  <c r="AN62" i="1" s="1"/>
  <c r="JP62" i="1" s="1"/>
  <c r="U61" i="1"/>
  <c r="T61" i="1"/>
  <c r="AL60" i="1"/>
  <c r="AN60" i="1" s="1"/>
  <c r="AK60" i="1"/>
  <c r="T60" i="1"/>
  <c r="U60" i="1"/>
  <c r="U59" i="1"/>
  <c r="T59" i="1"/>
  <c r="AL59" i="1"/>
  <c r="AN59" i="1" s="1"/>
  <c r="AK59" i="1"/>
  <c r="AK57" i="1"/>
  <c r="AO57" i="1" s="1"/>
  <c r="JQ57" i="1" s="1"/>
  <c r="AL58" i="1"/>
  <c r="AN58" i="1" s="1"/>
  <c r="JP58" i="1" s="1"/>
  <c r="U58" i="1"/>
  <c r="T58" i="1"/>
  <c r="AK58" i="1"/>
  <c r="T57" i="1"/>
  <c r="AL57" i="1"/>
  <c r="U55" i="1"/>
  <c r="AL56" i="1"/>
  <c r="AN56" i="1" s="1"/>
  <c r="JP56" i="1" s="1"/>
  <c r="T56" i="1"/>
  <c r="U56" i="1"/>
  <c r="AK56" i="1"/>
  <c r="T55" i="1"/>
  <c r="AL55" i="1"/>
  <c r="AN55" i="1" s="1"/>
  <c r="JP55" i="1" s="1"/>
  <c r="AL54" i="1"/>
  <c r="AN54" i="1" s="1"/>
  <c r="JP54" i="1" s="1"/>
  <c r="AK54" i="1"/>
  <c r="U54" i="1"/>
  <c r="T54" i="1"/>
  <c r="AL53" i="1"/>
  <c r="AN53" i="1" s="1"/>
  <c r="JP53" i="1" s="1"/>
  <c r="AK53" i="1"/>
  <c r="T53" i="1"/>
  <c r="U53" i="1"/>
  <c r="AL52" i="1"/>
  <c r="AN52" i="1" s="1"/>
  <c r="T52" i="1"/>
  <c r="U52" i="1"/>
  <c r="AK52" i="1"/>
  <c r="AL51" i="1"/>
  <c r="AN51" i="1" s="1"/>
  <c r="T51" i="1"/>
  <c r="AK51" i="1"/>
  <c r="U51" i="1"/>
  <c r="AL49" i="1"/>
  <c r="AN49" i="1" s="1"/>
  <c r="JP49" i="1" s="1"/>
  <c r="AK50" i="1"/>
  <c r="AL50" i="1"/>
  <c r="AN50" i="1" s="1"/>
  <c r="U50" i="1"/>
  <c r="T50" i="1"/>
  <c r="T49" i="1"/>
  <c r="AK49" i="1"/>
  <c r="AO49" i="1" s="1"/>
  <c r="JQ49" i="1" s="1"/>
  <c r="AK48" i="1"/>
  <c r="U48" i="1"/>
  <c r="AL48" i="1"/>
  <c r="AN48" i="1" s="1"/>
  <c r="JP48" i="1" s="1"/>
  <c r="T48" i="1"/>
  <c r="AL47" i="1"/>
  <c r="T47" i="1"/>
  <c r="U47" i="1"/>
  <c r="AL46" i="1"/>
  <c r="AN46" i="1" s="1"/>
  <c r="JP46" i="1" s="1"/>
  <c r="T46" i="1"/>
  <c r="U46" i="1"/>
  <c r="AK46" i="1"/>
  <c r="U45" i="1"/>
  <c r="AL45" i="1"/>
  <c r="AN45" i="1" s="1"/>
  <c r="AK45" i="1"/>
  <c r="T45" i="1"/>
  <c r="U43" i="1"/>
  <c r="AL43" i="1"/>
  <c r="AN43" i="1" s="1"/>
  <c r="AK43" i="1"/>
  <c r="AO43" i="1" s="1"/>
  <c r="T44" i="1"/>
  <c r="U44" i="1"/>
  <c r="AK44" i="1"/>
  <c r="AL44" i="1"/>
  <c r="AN44" i="1" s="1"/>
  <c r="JP44" i="1" s="1"/>
  <c r="U41" i="1"/>
  <c r="AK41" i="1"/>
  <c r="AO41" i="1" s="1"/>
  <c r="JQ41" i="1" s="1"/>
  <c r="AL41" i="1"/>
  <c r="AN41" i="1" s="1"/>
  <c r="JP41" i="1" s="1"/>
  <c r="AL42" i="1"/>
  <c r="AN42" i="1" s="1"/>
  <c r="U42" i="1"/>
  <c r="T42" i="1"/>
  <c r="AK42" i="1"/>
  <c r="AK39" i="1"/>
  <c r="AK40" i="1"/>
  <c r="AL40" i="1"/>
  <c r="AN40" i="1" s="1"/>
  <c r="JP40" i="1" s="1"/>
  <c r="U40" i="1"/>
  <c r="T40" i="1"/>
  <c r="T39" i="1"/>
  <c r="AL39" i="1"/>
  <c r="AN39" i="1" s="1"/>
  <c r="JP39" i="1" s="1"/>
  <c r="AL38" i="1"/>
  <c r="AN38" i="1" s="1"/>
  <c r="JP38" i="1" s="1"/>
  <c r="AK38" i="1"/>
  <c r="T38" i="1"/>
  <c r="U38" i="1"/>
  <c r="AL37" i="1"/>
  <c r="AN37" i="1" s="1"/>
  <c r="U37" i="1"/>
  <c r="T37" i="1"/>
  <c r="AK37" i="1"/>
  <c r="AK36" i="1"/>
  <c r="AL36" i="1"/>
  <c r="AN36" i="1" s="1"/>
  <c r="JP36" i="1" s="1"/>
  <c r="T36" i="1"/>
  <c r="U36" i="1"/>
  <c r="U35" i="1"/>
  <c r="AL35" i="1"/>
  <c r="AN35" i="1" s="1"/>
  <c r="AK35" i="1"/>
  <c r="T35" i="1"/>
  <c r="U34" i="1"/>
  <c r="AL34" i="1"/>
  <c r="AN34" i="1" s="1"/>
  <c r="AK34" i="1"/>
  <c r="T34" i="1"/>
  <c r="AK33" i="1"/>
  <c r="AL33" i="1"/>
  <c r="AN33" i="1" s="1"/>
  <c r="JP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JP31" i="1" s="1"/>
  <c r="AL30" i="1"/>
  <c r="AN30" i="1" s="1"/>
  <c r="JP30" i="1" s="1"/>
  <c r="U30" i="1"/>
  <c r="T30" i="1"/>
  <c r="U29" i="1"/>
  <c r="AK29" i="1"/>
  <c r="T29" i="1"/>
  <c r="AL29" i="1"/>
  <c r="AN29" i="1" s="1"/>
  <c r="JP29" i="1" s="1"/>
  <c r="AL28" i="1"/>
  <c r="AN28" i="1" s="1"/>
  <c r="JP28" i="1" s="1"/>
  <c r="AK28" i="1"/>
  <c r="U28" i="1"/>
  <c r="T28" i="1"/>
  <c r="AL27" i="1"/>
  <c r="AN27" i="1" s="1"/>
  <c r="AK27" i="1"/>
  <c r="T27" i="1"/>
  <c r="U27" i="1"/>
  <c r="AL26" i="1"/>
  <c r="AN26" i="1" s="1"/>
  <c r="AK26" i="1"/>
  <c r="U26" i="1"/>
  <c r="T26" i="1"/>
  <c r="U25" i="1"/>
  <c r="AL25" i="1"/>
  <c r="AN25" i="1" s="1"/>
  <c r="AK25" i="1"/>
  <c r="AO25" i="1" s="1"/>
  <c r="AL24" i="1"/>
  <c r="AN24" i="1" s="1"/>
  <c r="U24" i="1"/>
  <c r="T24" i="1"/>
  <c r="AK23" i="1"/>
  <c r="U23" i="1"/>
  <c r="T23" i="1"/>
  <c r="AL23" i="1"/>
  <c r="AN23" i="1" s="1"/>
  <c r="JP23" i="1" s="1"/>
  <c r="AL22" i="1"/>
  <c r="AN22" i="1" s="1"/>
  <c r="JP22" i="1" s="1"/>
  <c r="U22" i="1"/>
  <c r="AK22" i="1"/>
  <c r="T22" i="1"/>
  <c r="AK21" i="1"/>
  <c r="AO21" i="1" s="1"/>
  <c r="JQ21" i="1" s="1"/>
  <c r="T21" i="1"/>
  <c r="AL21" i="1"/>
  <c r="AN21" i="1" s="1"/>
  <c r="JP21" i="1" s="1"/>
  <c r="U21" i="1"/>
  <c r="T20" i="1"/>
  <c r="AL20" i="1"/>
  <c r="AN20" i="1" s="1"/>
  <c r="U20" i="1"/>
  <c r="AK20" i="1"/>
  <c r="AK19" i="1"/>
  <c r="AL19" i="1"/>
  <c r="AN19" i="1" s="1"/>
  <c r="T19" i="1"/>
  <c r="U19" i="1"/>
  <c r="AL18" i="1"/>
  <c r="AN18" i="1" s="1"/>
  <c r="JP18" i="1" s="1"/>
  <c r="U18" i="1"/>
  <c r="T18" i="1"/>
  <c r="AK18" i="1"/>
  <c r="U17" i="1"/>
  <c r="AL17" i="1"/>
  <c r="AN17" i="1" s="1"/>
  <c r="T17" i="1"/>
  <c r="T16" i="1"/>
  <c r="AK16" i="1"/>
  <c r="AL16" i="1"/>
  <c r="AN16" i="1" s="1"/>
  <c r="U16" i="1"/>
  <c r="AK15" i="1"/>
  <c r="T15" i="1"/>
  <c r="AL15" i="1"/>
  <c r="AN15" i="1" s="1"/>
  <c r="U15" i="1"/>
  <c r="AK14" i="1"/>
  <c r="U14" i="1"/>
  <c r="AL14" i="1"/>
  <c r="AN14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JA138" i="1" l="1"/>
  <c r="IV149" i="1"/>
  <c r="JA137" i="1"/>
  <c r="IV148" i="1"/>
  <c r="JA136" i="1"/>
  <c r="IV147" i="1"/>
  <c r="JA135" i="1"/>
  <c r="IV146" i="1"/>
  <c r="JA134" i="1"/>
  <c r="IV145" i="1"/>
  <c r="JA133" i="1"/>
  <c r="IV144" i="1"/>
  <c r="AP136" i="1"/>
  <c r="JA132" i="1"/>
  <c r="IV143" i="1"/>
  <c r="JA131" i="1"/>
  <c r="IV142" i="1"/>
  <c r="JA130" i="1"/>
  <c r="IV141" i="1"/>
  <c r="IV127" i="1"/>
  <c r="IV126" i="1"/>
  <c r="IV123" i="1"/>
  <c r="IV14" i="1"/>
  <c r="IV9" i="1"/>
  <c r="JP9" i="1"/>
  <c r="JA9" i="1"/>
  <c r="JP15" i="1"/>
  <c r="JA15" i="1"/>
  <c r="JP65" i="1"/>
  <c r="IV10" i="1"/>
  <c r="JQ11" i="1"/>
  <c r="IZ11" i="1"/>
  <c r="JP11" i="1"/>
  <c r="JA11" i="1"/>
  <c r="JP14" i="1"/>
  <c r="JA14" i="1"/>
  <c r="JP12" i="1"/>
  <c r="JA12" i="1"/>
  <c r="JP66" i="1"/>
  <c r="JP67" i="1"/>
  <c r="IV12" i="1"/>
  <c r="JP13" i="1"/>
  <c r="JA13" i="1"/>
  <c r="JA17" i="1"/>
  <c r="JP17" i="1"/>
  <c r="JA19" i="1"/>
  <c r="JP19" i="1"/>
  <c r="JA61" i="1"/>
  <c r="JP61" i="1"/>
  <c r="JA34" i="1"/>
  <c r="JP34" i="1"/>
  <c r="JA32" i="1"/>
  <c r="JP32" i="1"/>
  <c r="JA45" i="1"/>
  <c r="JP45" i="1"/>
  <c r="IZ47" i="1"/>
  <c r="JQ47" i="1"/>
  <c r="JA50" i="1"/>
  <c r="JP50" i="1"/>
  <c r="JA60" i="1"/>
  <c r="JP60" i="1"/>
  <c r="JA73" i="1"/>
  <c r="JP73" i="1"/>
  <c r="JA27" i="1"/>
  <c r="JP27" i="1"/>
  <c r="JA51" i="1"/>
  <c r="JP51" i="1"/>
  <c r="JA26" i="1"/>
  <c r="JP26" i="1"/>
  <c r="JA16" i="1"/>
  <c r="JP16" i="1"/>
  <c r="JA24" i="1"/>
  <c r="JP24" i="1"/>
  <c r="JA82" i="1"/>
  <c r="JP82" i="1"/>
  <c r="JA20" i="1"/>
  <c r="JP20" i="1"/>
  <c r="IZ25" i="1"/>
  <c r="JQ25" i="1"/>
  <c r="JA35" i="1"/>
  <c r="JP35" i="1"/>
  <c r="JA42" i="1"/>
  <c r="JP42" i="1"/>
  <c r="IZ43" i="1"/>
  <c r="JQ43" i="1"/>
  <c r="JA52" i="1"/>
  <c r="JP52" i="1"/>
  <c r="JA59" i="1"/>
  <c r="JP59" i="1"/>
  <c r="JA70" i="1"/>
  <c r="JP70" i="1"/>
  <c r="JA25" i="1"/>
  <c r="JP25" i="1"/>
  <c r="JA37" i="1"/>
  <c r="JP37" i="1"/>
  <c r="JA43" i="1"/>
  <c r="JP43" i="1"/>
  <c r="JA64" i="1"/>
  <c r="JP64" i="1"/>
  <c r="JA68" i="1"/>
  <c r="JP68" i="1"/>
  <c r="JA69" i="1"/>
  <c r="JP69" i="1"/>
  <c r="JA115" i="1"/>
  <c r="IV124" i="1"/>
  <c r="JA116" i="1"/>
  <c r="IV125" i="1"/>
  <c r="IV109" i="1"/>
  <c r="JA129" i="1"/>
  <c r="IV138" i="1"/>
  <c r="JA128" i="1"/>
  <c r="IV137" i="1"/>
  <c r="JA127" i="1"/>
  <c r="IV136" i="1"/>
  <c r="IV110" i="1"/>
  <c r="IT51" i="7"/>
  <c r="IQ53" i="7"/>
  <c r="IT24" i="7"/>
  <c r="IS35" i="7"/>
  <c r="JA92" i="1"/>
  <c r="IV107" i="1"/>
  <c r="IQ56" i="7"/>
  <c r="IV106" i="1"/>
  <c r="IQ41" i="7"/>
  <c r="IQ50" i="7"/>
  <c r="IV87" i="1"/>
  <c r="IV74" i="1"/>
  <c r="IQ39" i="7"/>
  <c r="IV73" i="1"/>
  <c r="IT37" i="7"/>
  <c r="IT26" i="7"/>
  <c r="IQ52" i="7"/>
  <c r="IQ17" i="7"/>
  <c r="IT46" i="7"/>
  <c r="IF13" i="7"/>
  <c r="IV13" i="7"/>
  <c r="IQ18" i="7"/>
  <c r="AP18" i="1"/>
  <c r="IF18" i="7"/>
  <c r="IV114" i="1"/>
  <c r="JA107" i="1"/>
  <c r="IV133" i="1"/>
  <c r="JA124" i="1"/>
  <c r="IV135" i="1"/>
  <c r="JA126" i="1"/>
  <c r="IV134" i="1"/>
  <c r="JA125" i="1"/>
  <c r="IQ47" i="7"/>
  <c r="IT38" i="7"/>
  <c r="IF17" i="7"/>
  <c r="IV132" i="1"/>
  <c r="JA123" i="1"/>
  <c r="IV82" i="1"/>
  <c r="JA74" i="1"/>
  <c r="IQ28" i="7"/>
  <c r="IV19" i="7"/>
  <c r="BB9" i="1"/>
  <c r="BE9" i="1" s="1"/>
  <c r="CA9" i="1" s="1"/>
  <c r="HW14" i="1"/>
  <c r="HZ14" i="1"/>
  <c r="HX14" i="1"/>
  <c r="ID14" i="1"/>
  <c r="HU14" i="1"/>
  <c r="HT14" i="1"/>
  <c r="HV14" i="1"/>
  <c r="HK14" i="1"/>
  <c r="HS15" i="1" s="1"/>
  <c r="HL15" i="1" s="1"/>
  <c r="IT28" i="7"/>
  <c r="IT23" i="7"/>
  <c r="IV12" i="7"/>
  <c r="IQ15" i="7"/>
  <c r="IF29" i="7"/>
  <c r="IF53" i="7"/>
  <c r="IF90" i="7"/>
  <c r="IF93" i="7"/>
  <c r="JA112" i="1"/>
  <c r="IV120" i="1"/>
  <c r="JA75" i="1"/>
  <c r="IV83" i="1"/>
  <c r="IV92" i="1"/>
  <c r="JA83" i="1"/>
  <c r="IV128" i="1"/>
  <c r="JA119" i="1"/>
  <c r="IV129" i="1"/>
  <c r="JA120" i="1"/>
  <c r="IV131" i="1"/>
  <c r="JA122" i="1"/>
  <c r="IV130" i="1"/>
  <c r="JA121" i="1"/>
  <c r="IF56" i="7"/>
  <c r="IV93" i="1"/>
  <c r="JA84" i="1"/>
  <c r="JA113" i="1"/>
  <c r="IV121" i="1"/>
  <c r="IF12" i="7"/>
  <c r="JA111" i="1"/>
  <c r="IV119" i="1"/>
  <c r="JA76" i="1"/>
  <c r="IV84" i="1"/>
  <c r="JA114" i="1"/>
  <c r="IV122" i="1"/>
  <c r="IF87" i="7"/>
  <c r="IF91" i="7"/>
  <c r="IV91" i="7"/>
  <c r="IQ13" i="7"/>
  <c r="IF16" i="7"/>
  <c r="AT94" i="7"/>
  <c r="IQ114" i="7"/>
  <c r="IV94" i="7"/>
  <c r="IT43" i="7"/>
  <c r="IY34" i="7"/>
  <c r="IF34" i="7" s="1"/>
  <c r="IQ29" i="7"/>
  <c r="IQ32" i="7"/>
  <c r="IQ38" i="7"/>
  <c r="IF107" i="7"/>
  <c r="IF32" i="7"/>
  <c r="AT93" i="7"/>
  <c r="IQ113" i="7"/>
  <c r="IV93" i="7"/>
  <c r="IT42" i="7"/>
  <c r="IY33" i="7"/>
  <c r="IF33" i="7" s="1"/>
  <c r="IF15" i="7"/>
  <c r="IY94" i="7"/>
  <c r="IF94" i="7" s="1"/>
  <c r="IT114" i="7"/>
  <c r="IQ36" i="7"/>
  <c r="IQ35" i="7"/>
  <c r="IQ72" i="7"/>
  <c r="IQ21" i="7"/>
  <c r="IV15" i="7"/>
  <c r="IQ31" i="7"/>
  <c r="IQ34" i="7"/>
  <c r="IF89" i="7"/>
  <c r="IF70" i="7"/>
  <c r="IF66" i="7"/>
  <c r="IF28" i="7"/>
  <c r="IF26" i="7"/>
  <c r="IF38" i="7"/>
  <c r="IF64" i="7"/>
  <c r="AZ79" i="7"/>
  <c r="L275" i="7" s="1"/>
  <c r="IF75" i="7"/>
  <c r="IV90" i="1"/>
  <c r="IF55" i="7"/>
  <c r="IF44" i="7"/>
  <c r="IF72" i="7"/>
  <c r="IF57" i="7"/>
  <c r="IF43" i="7"/>
  <c r="IF69" i="7"/>
  <c r="IF79" i="7"/>
  <c r="IF42" i="7"/>
  <c r="IY45" i="7"/>
  <c r="IF45" i="7" s="1"/>
  <c r="IT54" i="7"/>
  <c r="IF68" i="7"/>
  <c r="IF65" i="7"/>
  <c r="IY46" i="7"/>
  <c r="IF46" i="7" s="1"/>
  <c r="IT55" i="7"/>
  <c r="IF49" i="7"/>
  <c r="IF54" i="7"/>
  <c r="IF61" i="7"/>
  <c r="IF63" i="7"/>
  <c r="IF27" i="7"/>
  <c r="IF73" i="7"/>
  <c r="IF52" i="7"/>
  <c r="IV46" i="7"/>
  <c r="IQ55" i="7"/>
  <c r="IF74" i="7"/>
  <c r="IF51" i="7"/>
  <c r="IF82" i="7"/>
  <c r="IF31" i="7"/>
  <c r="IF80" i="7"/>
  <c r="IF77" i="7"/>
  <c r="IF58" i="7"/>
  <c r="IF81" i="7"/>
  <c r="IF39" i="7"/>
  <c r="IF62" i="7"/>
  <c r="IF59" i="7"/>
  <c r="IF41" i="7"/>
  <c r="IF50" i="7"/>
  <c r="IX30" i="7"/>
  <c r="IS39" i="7"/>
  <c r="IF40" i="7"/>
  <c r="IY30" i="7"/>
  <c r="IT39" i="7"/>
  <c r="IT45" i="7"/>
  <c r="IY36" i="7"/>
  <c r="IF36" i="7" s="1"/>
  <c r="IF83" i="7"/>
  <c r="IV73" i="7"/>
  <c r="IQ82" i="7"/>
  <c r="AT64" i="7"/>
  <c r="IV64" i="7"/>
  <c r="IY48" i="7"/>
  <c r="IF48" i="7" s="1"/>
  <c r="IT57" i="7"/>
  <c r="IQ60" i="7"/>
  <c r="IF60" i="7"/>
  <c r="IQ48" i="7"/>
  <c r="IV39" i="7"/>
  <c r="IV48" i="7"/>
  <c r="IQ57" i="7"/>
  <c r="AT40" i="7"/>
  <c r="IV40" i="7"/>
  <c r="IF71" i="7"/>
  <c r="IT87" i="7"/>
  <c r="IY78" i="7"/>
  <c r="IF78" i="7" s="1"/>
  <c r="IF37" i="7"/>
  <c r="IT44" i="7"/>
  <c r="IY35" i="7"/>
  <c r="IF35" i="7" s="1"/>
  <c r="IQ88" i="7"/>
  <c r="IQ91" i="7"/>
  <c r="IQ87" i="7"/>
  <c r="IQ90" i="7"/>
  <c r="IQ86" i="7"/>
  <c r="IQ89" i="7"/>
  <c r="IV88" i="1"/>
  <c r="IQ74" i="7"/>
  <c r="IV68" i="7"/>
  <c r="AT65" i="7"/>
  <c r="IV65" i="7"/>
  <c r="IQ49" i="7"/>
  <c r="IV43" i="7"/>
  <c r="IQ22" i="7"/>
  <c r="IQ25" i="7"/>
  <c r="AT66" i="7"/>
  <c r="IV66" i="7"/>
  <c r="IQ61" i="7"/>
  <c r="IQ65" i="7"/>
  <c r="IV61" i="7"/>
  <c r="IQ70" i="7"/>
  <c r="AT72" i="7"/>
  <c r="IV72" i="7"/>
  <c r="IQ23" i="7"/>
  <c r="IQ26" i="7"/>
  <c r="JA99" i="1"/>
  <c r="IV108" i="1"/>
  <c r="IQ33" i="7"/>
  <c r="IV27" i="7"/>
  <c r="AT71" i="7"/>
  <c r="IV71" i="7"/>
  <c r="IV115" i="1"/>
  <c r="JA108" i="1"/>
  <c r="IV113" i="1"/>
  <c r="IV60" i="7"/>
  <c r="IQ69" i="7"/>
  <c r="IV36" i="7"/>
  <c r="IQ45" i="7"/>
  <c r="IQ24" i="7"/>
  <c r="IV21" i="7"/>
  <c r="IQ30" i="7"/>
  <c r="AT47" i="7"/>
  <c r="IV47" i="7"/>
  <c r="IV91" i="1"/>
  <c r="JA62" i="1"/>
  <c r="IV69" i="1"/>
  <c r="IV99" i="1"/>
  <c r="JA90" i="1"/>
  <c r="JA63" i="1"/>
  <c r="IV70" i="1"/>
  <c r="IZ89" i="1"/>
  <c r="JA77" i="1"/>
  <c r="IV85" i="1"/>
  <c r="JA81" i="1"/>
  <c r="IV89" i="1"/>
  <c r="IV97" i="1"/>
  <c r="JA88" i="1"/>
  <c r="IV95" i="1"/>
  <c r="JA86" i="1"/>
  <c r="JA96" i="1"/>
  <c r="IV103" i="1"/>
  <c r="IV49" i="1"/>
  <c r="JA38" i="1"/>
  <c r="JA78" i="1"/>
  <c r="IV86" i="1"/>
  <c r="JA98" i="1"/>
  <c r="IV105" i="1"/>
  <c r="JA56" i="1"/>
  <c r="IZ57" i="1"/>
  <c r="IV96" i="1"/>
  <c r="JA87" i="1"/>
  <c r="IV98" i="1"/>
  <c r="JA89" i="1"/>
  <c r="IV111" i="1"/>
  <c r="JA104" i="1"/>
  <c r="IV20" i="1"/>
  <c r="IV94" i="1"/>
  <c r="JA85" i="1"/>
  <c r="IZ85" i="1"/>
  <c r="JA97" i="1"/>
  <c r="IV104" i="1"/>
  <c r="IV112" i="1"/>
  <c r="JA105" i="1"/>
  <c r="JA49" i="1"/>
  <c r="IV68" i="1"/>
  <c r="IV76" i="1"/>
  <c r="IV75" i="1"/>
  <c r="IZ49" i="1"/>
  <c r="JA72" i="1"/>
  <c r="IV77" i="1"/>
  <c r="JA71" i="1"/>
  <c r="IZ71" i="1"/>
  <c r="IV32" i="1"/>
  <c r="JA36" i="1"/>
  <c r="IV37" i="1"/>
  <c r="IV31" i="1"/>
  <c r="IV48" i="1"/>
  <c r="JA41" i="1"/>
  <c r="JA55" i="1"/>
  <c r="IZ41" i="1"/>
  <c r="IZ55" i="1"/>
  <c r="IV54" i="1"/>
  <c r="JA48" i="1"/>
  <c r="IV35" i="1"/>
  <c r="JA31" i="1"/>
  <c r="IV102" i="1"/>
  <c r="AS10" i="1"/>
  <c r="AS11" i="1" s="1"/>
  <c r="AT15" i="7"/>
  <c r="IV28" i="1"/>
  <c r="AZ87" i="7"/>
  <c r="AZ75" i="7"/>
  <c r="L271" i="7" s="1"/>
  <c r="AZ74" i="7"/>
  <c r="AZ83" i="7"/>
  <c r="L279" i="7" s="1"/>
  <c r="AZ86" i="7"/>
  <c r="L282" i="7" s="1"/>
  <c r="AZ67" i="7"/>
  <c r="L255" i="7" s="1"/>
  <c r="AZ57" i="7"/>
  <c r="AZ58" i="7"/>
  <c r="AZ34" i="7"/>
  <c r="AZ41" i="7"/>
  <c r="L213" i="7" s="1"/>
  <c r="AZ30" i="7"/>
  <c r="AZ37" i="7"/>
  <c r="AZ25" i="7"/>
  <c r="AZ45" i="7"/>
  <c r="L217" i="7" s="1"/>
  <c r="AZ32" i="7"/>
  <c r="L195" i="7" s="1"/>
  <c r="AZ23" i="7"/>
  <c r="L178" i="7" s="1"/>
  <c r="AZ29" i="7"/>
  <c r="L192" i="7" s="1"/>
  <c r="AZ78" i="7"/>
  <c r="L274" i="7" s="1"/>
  <c r="AZ18" i="7"/>
  <c r="AZ49" i="7"/>
  <c r="AZ77" i="7"/>
  <c r="L273" i="7" s="1"/>
  <c r="AZ33" i="7"/>
  <c r="L197" i="7" s="1"/>
  <c r="AZ59" i="7"/>
  <c r="AZ35" i="7"/>
  <c r="AZ69" i="7"/>
  <c r="L257" i="7" s="1"/>
  <c r="AZ44" i="7"/>
  <c r="L216" i="7" s="1"/>
  <c r="AZ42" i="7"/>
  <c r="AZ31" i="7"/>
  <c r="AZ76" i="7"/>
  <c r="L272" i="7" s="1"/>
  <c r="AZ22" i="7"/>
  <c r="L177" i="7" s="1"/>
  <c r="AZ54" i="7"/>
  <c r="AZ55" i="7"/>
  <c r="L235" i="7" s="1"/>
  <c r="AZ50" i="7"/>
  <c r="AZ53" i="7"/>
  <c r="IV41" i="1"/>
  <c r="AZ70" i="7"/>
  <c r="L258" i="7" s="1"/>
  <c r="AZ26" i="7"/>
  <c r="AZ84" i="7"/>
  <c r="L280" i="7" s="1"/>
  <c r="AZ52" i="7"/>
  <c r="AZ38" i="7"/>
  <c r="AZ28" i="7"/>
  <c r="AZ62" i="7"/>
  <c r="L250" i="7" s="1"/>
  <c r="AZ63" i="7"/>
  <c r="AT80" i="7"/>
  <c r="AT88" i="7"/>
  <c r="AT60" i="7"/>
  <c r="AT82" i="7"/>
  <c r="AT51" i="7"/>
  <c r="AT81" i="7"/>
  <c r="AT56" i="7"/>
  <c r="AT68" i="7"/>
  <c r="AT43" i="7"/>
  <c r="AT85" i="7"/>
  <c r="AT61" i="7"/>
  <c r="JA117" i="1"/>
  <c r="IV118" i="1"/>
  <c r="JA102" i="1"/>
  <c r="IZ21" i="1"/>
  <c r="JA44" i="1"/>
  <c r="JA53" i="1"/>
  <c r="JA118" i="1"/>
  <c r="IV30" i="1"/>
  <c r="JA101" i="1"/>
  <c r="IV117" i="1"/>
  <c r="AT39" i="7"/>
  <c r="AT46" i="7"/>
  <c r="IV46" i="1"/>
  <c r="JA30" i="1"/>
  <c r="IV36" i="1"/>
  <c r="IV39" i="1"/>
  <c r="JA58" i="1"/>
  <c r="JA80" i="1"/>
  <c r="IV101" i="1"/>
  <c r="AT9" i="7"/>
  <c r="AY20" i="7"/>
  <c r="IV44" i="1"/>
  <c r="JA28" i="1"/>
  <c r="IV42" i="1"/>
  <c r="JA39" i="1"/>
  <c r="IV79" i="1"/>
  <c r="JA65" i="1"/>
  <c r="JA67" i="1"/>
  <c r="IV81" i="1"/>
  <c r="AT14" i="7"/>
  <c r="IV23" i="1"/>
  <c r="IV45" i="1"/>
  <c r="JA29" i="1"/>
  <c r="IV100" i="1"/>
  <c r="JA79" i="1"/>
  <c r="IV16" i="1"/>
  <c r="JA18" i="1"/>
  <c r="IV27" i="1"/>
  <c r="JA22" i="1"/>
  <c r="JA33" i="1"/>
  <c r="JA54" i="1"/>
  <c r="JA23" i="1"/>
  <c r="JA66" i="1"/>
  <c r="IV80" i="1"/>
  <c r="IV116" i="1"/>
  <c r="JA100" i="1"/>
  <c r="AT27" i="7"/>
  <c r="IZ30" i="1"/>
  <c r="JA21" i="1"/>
  <c r="JA40" i="1"/>
  <c r="IV67" i="1"/>
  <c r="JA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L254" i="7" s="1"/>
  <c r="V82" i="7"/>
  <c r="AZ82" i="7" s="1"/>
  <c r="L278" i="7" s="1"/>
  <c r="AY82" i="7"/>
  <c r="V60" i="7"/>
  <c r="AZ60" i="7" s="1"/>
  <c r="AY13" i="7"/>
  <c r="AY60" i="7"/>
  <c r="V81" i="7"/>
  <c r="AZ81" i="7" s="1"/>
  <c r="L277" i="7" s="1"/>
  <c r="V51" i="7"/>
  <c r="AZ51" i="7" s="1"/>
  <c r="V94" i="7"/>
  <c r="AZ94" i="7" s="1"/>
  <c r="AY94" i="7"/>
  <c r="V95" i="7"/>
  <c r="AZ95" i="7" s="1"/>
  <c r="AY61" i="7"/>
  <c r="V72" i="7"/>
  <c r="AZ72" i="7" s="1"/>
  <c r="L260" i="7" s="1"/>
  <c r="AY72" i="7"/>
  <c r="V102" i="7"/>
  <c r="AZ102" i="7" s="1"/>
  <c r="AY102" i="7"/>
  <c r="AY85" i="7"/>
  <c r="V100" i="7"/>
  <c r="AZ100" i="7" s="1"/>
  <c r="V88" i="7"/>
  <c r="AZ88" i="7" s="1"/>
  <c r="AY88" i="7"/>
  <c r="V85" i="7"/>
  <c r="AZ85" i="7" s="1"/>
  <c r="L281" i="7" s="1"/>
  <c r="V68" i="7"/>
  <c r="AZ68" i="7" s="1"/>
  <c r="L256" i="7" s="1"/>
  <c r="AY100" i="7"/>
  <c r="AY81" i="7"/>
  <c r="DI5" i="7"/>
  <c r="DI4" i="7"/>
  <c r="V56" i="7"/>
  <c r="AZ56" i="7" s="1"/>
  <c r="L236" i="7" s="1"/>
  <c r="AY56" i="7"/>
  <c r="V65" i="7"/>
  <c r="AZ65" i="7" s="1"/>
  <c r="V98" i="7"/>
  <c r="AZ98" i="7" s="1"/>
  <c r="AT98" i="7"/>
  <c r="AY65" i="7"/>
  <c r="AY99" i="7"/>
  <c r="AT99" i="7"/>
  <c r="AY95" i="7"/>
  <c r="V91" i="7"/>
  <c r="AZ91" i="7" s="1"/>
  <c r="AT91" i="7"/>
  <c r="DH5" i="7"/>
  <c r="AY92" i="7"/>
  <c r="AT92" i="7"/>
  <c r="DH4" i="7"/>
  <c r="AY66" i="7"/>
  <c r="V64" i="7"/>
  <c r="AZ64" i="7" s="1"/>
  <c r="L252" i="7" s="1"/>
  <c r="AY64" i="7"/>
  <c r="V80" i="7"/>
  <c r="AZ80" i="7" s="1"/>
  <c r="L276" i="7" s="1"/>
  <c r="AY80" i="7"/>
  <c r="DF5" i="7"/>
  <c r="DF4" i="7"/>
  <c r="AY51" i="7"/>
  <c r="DD5" i="7"/>
  <c r="AY73" i="7"/>
  <c r="AT73" i="7"/>
  <c r="DD4" i="7"/>
  <c r="AY71" i="7"/>
  <c r="V71" i="7"/>
  <c r="AZ71" i="7" s="1"/>
  <c r="L259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L261" i="7" s="1"/>
  <c r="AY98" i="7"/>
  <c r="AY14" i="7"/>
  <c r="V14" i="7"/>
  <c r="AZ14" i="7" s="1"/>
  <c r="L169" i="7" s="1"/>
  <c r="V48" i="7"/>
  <c r="AZ48" i="7" s="1"/>
  <c r="V43" i="7"/>
  <c r="AZ43" i="7" s="1"/>
  <c r="AY43" i="7"/>
  <c r="AY9" i="7"/>
  <c r="V9" i="7"/>
  <c r="AY21" i="7"/>
  <c r="V17" i="7"/>
  <c r="AZ17" i="7" s="1"/>
  <c r="L172" i="7" s="1"/>
  <c r="AY17" i="7"/>
  <c r="AY11" i="7"/>
  <c r="AY91" i="7"/>
  <c r="AY10" i="7"/>
  <c r="V99" i="7"/>
  <c r="AZ99" i="7" s="1"/>
  <c r="V19" i="7"/>
  <c r="AZ19" i="7" s="1"/>
  <c r="V93" i="7"/>
  <c r="AZ93" i="7" s="1"/>
  <c r="AY93" i="7"/>
  <c r="V92" i="7"/>
  <c r="AZ92" i="7" s="1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AP98" i="1"/>
  <c r="AO106" i="1"/>
  <c r="IZ106" i="1" s="1"/>
  <c r="IH106" i="1" s="1"/>
  <c r="AP106" i="1"/>
  <c r="AO119" i="1"/>
  <c r="AP119" i="1"/>
  <c r="AP94" i="1"/>
  <c r="AO94" i="1"/>
  <c r="IZ94" i="1" s="1"/>
  <c r="IH94" i="1" s="1"/>
  <c r="AO114" i="1"/>
  <c r="AP114" i="1"/>
  <c r="AP123" i="1"/>
  <c r="AO123" i="1"/>
  <c r="AO108" i="1"/>
  <c r="AP108" i="1"/>
  <c r="AO133" i="1"/>
  <c r="AP133" i="1"/>
  <c r="AP93" i="1"/>
  <c r="AO93" i="1"/>
  <c r="IZ93" i="1" s="1"/>
  <c r="IH93" i="1" s="1"/>
  <c r="AO104" i="1"/>
  <c r="AP104" i="1"/>
  <c r="AO113" i="1"/>
  <c r="AP113" i="1"/>
  <c r="AO95" i="1"/>
  <c r="IZ95" i="1" s="1"/>
  <c r="IH95" i="1" s="1"/>
  <c r="AP95" i="1"/>
  <c r="AO118" i="1"/>
  <c r="AP118" i="1"/>
  <c r="AO135" i="1"/>
  <c r="AP135" i="1"/>
  <c r="AP117" i="1"/>
  <c r="AO117" i="1"/>
  <c r="AO103" i="1"/>
  <c r="IZ103" i="1" s="1"/>
  <c r="IH103" i="1" s="1"/>
  <c r="AP103" i="1"/>
  <c r="AP91" i="1"/>
  <c r="AO91" i="1"/>
  <c r="IZ91" i="1" s="1"/>
  <c r="IH91" i="1" s="1"/>
  <c r="AP125" i="1"/>
  <c r="AO125" i="1"/>
  <c r="AP115" i="1"/>
  <c r="AO115" i="1"/>
  <c r="AP110" i="1"/>
  <c r="AO110" i="1"/>
  <c r="IZ110" i="1" s="1"/>
  <c r="IH110" i="1" s="1"/>
  <c r="AP134" i="1"/>
  <c r="AO134" i="1"/>
  <c r="AO109" i="1"/>
  <c r="IZ109" i="1" s="1"/>
  <c r="IH109" i="1" s="1"/>
  <c r="AP109" i="1"/>
  <c r="BA65" i="7"/>
  <c r="BA67" i="7"/>
  <c r="AP97" i="1"/>
  <c r="AO97" i="1"/>
  <c r="AO130" i="1"/>
  <c r="IU139" i="1" s="1"/>
  <c r="AP130" i="1"/>
  <c r="AP137" i="1"/>
  <c r="AO137" i="1"/>
  <c r="AO127" i="1"/>
  <c r="AP127" i="1"/>
  <c r="AP131" i="1"/>
  <c r="AO131" i="1"/>
  <c r="IU140" i="1" s="1"/>
  <c r="AO96" i="1"/>
  <c r="AP96" i="1"/>
  <c r="BA74" i="7"/>
  <c r="BA85" i="7"/>
  <c r="BA87" i="7"/>
  <c r="AO99" i="1"/>
  <c r="AP99" i="1"/>
  <c r="AP112" i="1"/>
  <c r="AO112" i="1"/>
  <c r="AP121" i="1"/>
  <c r="AO121" i="1"/>
  <c r="AP107" i="1"/>
  <c r="AO107" i="1"/>
  <c r="AP100" i="1"/>
  <c r="AO100" i="1"/>
  <c r="IU109" i="1" s="1"/>
  <c r="AO116" i="1"/>
  <c r="AP116" i="1"/>
  <c r="BA52" i="7"/>
  <c r="AO132" i="1"/>
  <c r="AP132" i="1"/>
  <c r="AP111" i="1"/>
  <c r="AO111" i="1"/>
  <c r="AP92" i="1"/>
  <c r="AO92" i="1"/>
  <c r="AP129" i="1"/>
  <c r="AO129" i="1"/>
  <c r="AO124" i="1"/>
  <c r="AP124" i="1"/>
  <c r="BA54" i="7"/>
  <c r="BA50" i="7"/>
  <c r="DC5" i="7"/>
  <c r="CI6" i="7" s="1"/>
  <c r="DC4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JQ87" i="1" s="1"/>
  <c r="AP87" i="1"/>
  <c r="AO88" i="1"/>
  <c r="AP88" i="1"/>
  <c r="AP86" i="1"/>
  <c r="AO86" i="1"/>
  <c r="JQ86" i="1" s="1"/>
  <c r="AP85" i="1"/>
  <c r="AP84" i="1"/>
  <c r="AO84" i="1"/>
  <c r="JQ84" i="1" s="1"/>
  <c r="AP83" i="1"/>
  <c r="AO83" i="1"/>
  <c r="AO81" i="1"/>
  <c r="JQ81" i="1" s="1"/>
  <c r="AP81" i="1"/>
  <c r="AO82" i="1"/>
  <c r="AP82" i="1"/>
  <c r="AO79" i="1"/>
  <c r="JQ79" i="1" s="1"/>
  <c r="AP79" i="1"/>
  <c r="AP80" i="1"/>
  <c r="AO80" i="1"/>
  <c r="JQ80" i="1" s="1"/>
  <c r="AO77" i="1"/>
  <c r="JQ77" i="1" s="1"/>
  <c r="AP77" i="1"/>
  <c r="AP78" i="1"/>
  <c r="AO78" i="1"/>
  <c r="JQ78" i="1" s="1"/>
  <c r="AO75" i="1"/>
  <c r="JQ75" i="1" s="1"/>
  <c r="AP75" i="1"/>
  <c r="AO76" i="1"/>
  <c r="JQ76" i="1" s="1"/>
  <c r="AP76" i="1"/>
  <c r="AP73" i="1"/>
  <c r="AO73" i="1"/>
  <c r="AP74" i="1"/>
  <c r="AO74" i="1"/>
  <c r="JQ74" i="1" s="1"/>
  <c r="AP71" i="1"/>
  <c r="AO72" i="1"/>
  <c r="JQ72" i="1" s="1"/>
  <c r="AP72" i="1"/>
  <c r="AO69" i="1"/>
  <c r="AP69" i="1"/>
  <c r="AP70" i="1"/>
  <c r="AO70" i="1"/>
  <c r="AO67" i="1"/>
  <c r="AP67" i="1"/>
  <c r="AO68" i="1"/>
  <c r="AP68" i="1"/>
  <c r="AO65" i="1"/>
  <c r="AP65" i="1"/>
  <c r="AP66" i="1"/>
  <c r="AO66" i="1"/>
  <c r="AO63" i="1"/>
  <c r="JQ63" i="1" s="1"/>
  <c r="AP63" i="1"/>
  <c r="AO64" i="1"/>
  <c r="AP64" i="1"/>
  <c r="AP62" i="1"/>
  <c r="AO62" i="1"/>
  <c r="JQ62" i="1" s="1"/>
  <c r="AO61" i="1"/>
  <c r="AP61" i="1"/>
  <c r="AO59" i="1"/>
  <c r="AP59" i="1"/>
  <c r="AO60" i="1"/>
  <c r="AP60" i="1"/>
  <c r="AN57" i="1"/>
  <c r="IV11" i="1" s="1"/>
  <c r="AP57" i="1"/>
  <c r="AO58" i="1"/>
  <c r="JQ58" i="1" s="1"/>
  <c r="AP58" i="1"/>
  <c r="AP56" i="1"/>
  <c r="AO56" i="1"/>
  <c r="JQ56" i="1" s="1"/>
  <c r="AP55" i="1"/>
  <c r="AO53" i="1"/>
  <c r="JQ53" i="1" s="1"/>
  <c r="AP53" i="1"/>
  <c r="AP54" i="1"/>
  <c r="AO54" i="1"/>
  <c r="JQ54" i="1" s="1"/>
  <c r="AP51" i="1"/>
  <c r="AO51" i="1"/>
  <c r="AO52" i="1"/>
  <c r="AP52" i="1"/>
  <c r="AP49" i="1"/>
  <c r="AP50" i="1"/>
  <c r="AO50" i="1"/>
  <c r="AN47" i="1"/>
  <c r="IV78" i="1" s="1"/>
  <c r="AP47" i="1"/>
  <c r="AO48" i="1"/>
  <c r="JQ48" i="1" s="1"/>
  <c r="AP48" i="1"/>
  <c r="AP45" i="1"/>
  <c r="AO45" i="1"/>
  <c r="JQ45" i="1" s="1"/>
  <c r="AP46" i="1"/>
  <c r="AO46" i="1"/>
  <c r="JQ46" i="1" s="1"/>
  <c r="AP43" i="1"/>
  <c r="AO44" i="1"/>
  <c r="JQ44" i="1" s="1"/>
  <c r="AP44" i="1"/>
  <c r="AO42" i="1"/>
  <c r="AP42" i="1"/>
  <c r="AP41" i="1"/>
  <c r="AO40" i="1"/>
  <c r="JQ40" i="1" s="1"/>
  <c r="AP40" i="1"/>
  <c r="AO39" i="1"/>
  <c r="JQ39" i="1" s="1"/>
  <c r="AP39" i="1"/>
  <c r="AP37" i="1"/>
  <c r="AO37" i="1"/>
  <c r="AO38" i="1"/>
  <c r="AP38" i="1"/>
  <c r="AP35" i="1"/>
  <c r="AO35" i="1"/>
  <c r="AP36" i="1"/>
  <c r="AO36" i="1"/>
  <c r="JQ36" i="1" s="1"/>
  <c r="AO33" i="1"/>
  <c r="JQ33" i="1" s="1"/>
  <c r="AP33" i="1"/>
  <c r="AO34" i="1"/>
  <c r="AP34" i="1"/>
  <c r="AO31" i="1"/>
  <c r="JQ31" i="1" s="1"/>
  <c r="AP31" i="1"/>
  <c r="AO32" i="1"/>
  <c r="AP32" i="1"/>
  <c r="AO29" i="1"/>
  <c r="JQ29" i="1" s="1"/>
  <c r="AP29" i="1"/>
  <c r="AP30" i="1"/>
  <c r="AO27" i="1"/>
  <c r="JQ27" i="1" s="1"/>
  <c r="AP27" i="1"/>
  <c r="AP28" i="1"/>
  <c r="AO28" i="1"/>
  <c r="AP25" i="1"/>
  <c r="AO26" i="1"/>
  <c r="AP26" i="1"/>
  <c r="AO24" i="1"/>
  <c r="AP24" i="1"/>
  <c r="AO23" i="1"/>
  <c r="JQ23" i="1" s="1"/>
  <c r="AP23" i="1"/>
  <c r="AP21" i="1"/>
  <c r="AO22" i="1"/>
  <c r="JQ22" i="1" s="1"/>
  <c r="AP22" i="1"/>
  <c r="AO19" i="1"/>
  <c r="AP19" i="1"/>
  <c r="AP20" i="1"/>
  <c r="AO20" i="1"/>
  <c r="AO17" i="1"/>
  <c r="AP17" i="1"/>
  <c r="AO18" i="1"/>
  <c r="JQ18" i="1" s="1"/>
  <c r="AP15" i="1"/>
  <c r="AO15" i="1"/>
  <c r="AO16" i="1"/>
  <c r="JQ16" i="1" s="1"/>
  <c r="AP16" i="1"/>
  <c r="AO13" i="1"/>
  <c r="AP13" i="1"/>
  <c r="AO14" i="1"/>
  <c r="AP14" i="1"/>
  <c r="AP11" i="1"/>
  <c r="AO12" i="1"/>
  <c r="AP12" i="1"/>
  <c r="AO10" i="1"/>
  <c r="IZ10" i="1" s="1"/>
  <c r="AP10" i="1"/>
  <c r="AN10" i="1"/>
  <c r="JA10" i="1" s="1"/>
  <c r="AO9" i="1"/>
  <c r="IZ9" i="1" s="1"/>
  <c r="AP9" i="1"/>
  <c r="IV40" i="1" l="1"/>
  <c r="IV57" i="1"/>
  <c r="IV47" i="1"/>
  <c r="IV58" i="1"/>
  <c r="IV59" i="1"/>
  <c r="IV71" i="1"/>
  <c r="IV61" i="1"/>
  <c r="IV38" i="1"/>
  <c r="IV21" i="1"/>
  <c r="HN15" i="1"/>
  <c r="IV26" i="1"/>
  <c r="IZ138" i="1"/>
  <c r="IH138" i="1" s="1"/>
  <c r="IU149" i="1"/>
  <c r="IZ137" i="1"/>
  <c r="IH137" i="1" s="1"/>
  <c r="IU148" i="1"/>
  <c r="IZ136" i="1"/>
  <c r="IH136" i="1" s="1"/>
  <c r="IU147" i="1"/>
  <c r="IZ135" i="1"/>
  <c r="IH135" i="1" s="1"/>
  <c r="IU146" i="1"/>
  <c r="IZ134" i="1"/>
  <c r="IH134" i="1" s="1"/>
  <c r="IU145" i="1"/>
  <c r="IZ133" i="1"/>
  <c r="IH133" i="1" s="1"/>
  <c r="IU144" i="1"/>
  <c r="IZ132" i="1"/>
  <c r="IH132" i="1" s="1"/>
  <c r="IU143" i="1"/>
  <c r="IZ131" i="1"/>
  <c r="IH131" i="1" s="1"/>
  <c r="IU142" i="1"/>
  <c r="IZ130" i="1"/>
  <c r="IH130" i="1" s="1"/>
  <c r="IU141" i="1"/>
  <c r="IU127" i="1"/>
  <c r="IU126" i="1"/>
  <c r="IU123" i="1"/>
  <c r="JV53" i="1"/>
  <c r="JV52" i="1"/>
  <c r="IV34" i="1"/>
  <c r="IU15" i="1"/>
  <c r="IV24" i="1"/>
  <c r="IV33" i="1"/>
  <c r="IH11" i="1"/>
  <c r="IV13" i="1"/>
  <c r="IU9" i="1"/>
  <c r="IH10" i="1"/>
  <c r="IV15" i="1"/>
  <c r="IU14" i="1"/>
  <c r="IU13" i="1"/>
  <c r="JQ66" i="1"/>
  <c r="IU11" i="1"/>
  <c r="JQ14" i="1"/>
  <c r="IZ14" i="1"/>
  <c r="IH14" i="1" s="1"/>
  <c r="JQ65" i="1"/>
  <c r="IU10" i="1"/>
  <c r="JQ12" i="1"/>
  <c r="IZ12" i="1"/>
  <c r="IH12" i="1" s="1"/>
  <c r="JQ15" i="1"/>
  <c r="IZ15" i="1"/>
  <c r="IH15" i="1" s="1"/>
  <c r="JQ13" i="1"/>
  <c r="IZ13" i="1"/>
  <c r="IH13" i="1" s="1"/>
  <c r="JQ67" i="1"/>
  <c r="IU12" i="1"/>
  <c r="IH9" i="1"/>
  <c r="IH43" i="1"/>
  <c r="IH25" i="1"/>
  <c r="IZ42" i="1"/>
  <c r="IH42" i="1" s="1"/>
  <c r="JQ42" i="1"/>
  <c r="IZ26" i="1"/>
  <c r="IH26" i="1" s="1"/>
  <c r="JQ26" i="1"/>
  <c r="IZ51" i="1"/>
  <c r="IH51" i="1" s="1"/>
  <c r="JQ51" i="1"/>
  <c r="IZ59" i="1"/>
  <c r="IH59" i="1" s="1"/>
  <c r="JQ59" i="1"/>
  <c r="IZ37" i="1"/>
  <c r="IH37" i="1" s="1"/>
  <c r="JQ37" i="1"/>
  <c r="HN9" i="1"/>
  <c r="JQ9" i="1"/>
  <c r="HN14" i="1"/>
  <c r="JQ28" i="1"/>
  <c r="IZ32" i="1"/>
  <c r="IH32" i="1" s="1"/>
  <c r="JQ32" i="1"/>
  <c r="IV52" i="1"/>
  <c r="JP47" i="1"/>
  <c r="IZ61" i="1"/>
  <c r="IH61" i="1" s="1"/>
  <c r="JQ61" i="1"/>
  <c r="IZ73" i="1"/>
  <c r="IH73" i="1" s="1"/>
  <c r="JQ73" i="1"/>
  <c r="IZ52" i="1"/>
  <c r="IH52" i="1" s="1"/>
  <c r="JQ52" i="1"/>
  <c r="IZ17" i="1"/>
  <c r="IH17" i="1" s="1"/>
  <c r="JQ17" i="1"/>
  <c r="IZ35" i="1"/>
  <c r="IH35" i="1" s="1"/>
  <c r="JQ35" i="1"/>
  <c r="IZ50" i="1"/>
  <c r="IH50" i="1" s="1"/>
  <c r="JQ50" i="1"/>
  <c r="IZ70" i="1"/>
  <c r="IH70" i="1" s="1"/>
  <c r="JQ70" i="1"/>
  <c r="IZ82" i="1"/>
  <c r="IH82" i="1" s="1"/>
  <c r="JQ82" i="1"/>
  <c r="IV62" i="1"/>
  <c r="JP57" i="1"/>
  <c r="JV31" i="1" s="1"/>
  <c r="IU94" i="1"/>
  <c r="JQ88" i="1"/>
  <c r="IZ20" i="1"/>
  <c r="IH20" i="1" s="1"/>
  <c r="JQ20" i="1"/>
  <c r="IZ69" i="1"/>
  <c r="IH69" i="1" s="1"/>
  <c r="JQ69" i="1"/>
  <c r="IZ83" i="1"/>
  <c r="IH83" i="1" s="1"/>
  <c r="JQ83" i="1"/>
  <c r="HN12" i="1"/>
  <c r="JQ10" i="1"/>
  <c r="IZ19" i="1"/>
  <c r="IH19" i="1" s="1"/>
  <c r="JQ19" i="1"/>
  <c r="IV43" i="1"/>
  <c r="JP10" i="1"/>
  <c r="IZ24" i="1"/>
  <c r="IH24" i="1" s="1"/>
  <c r="JQ24" i="1"/>
  <c r="IZ34" i="1"/>
  <c r="IH34" i="1" s="1"/>
  <c r="JQ34" i="1"/>
  <c r="IZ38" i="1"/>
  <c r="IH38" i="1" s="1"/>
  <c r="JQ38" i="1"/>
  <c r="IZ60" i="1"/>
  <c r="IH60" i="1" s="1"/>
  <c r="JQ60" i="1"/>
  <c r="IZ64" i="1"/>
  <c r="IH64" i="1" s="1"/>
  <c r="JQ64" i="1"/>
  <c r="IZ68" i="1"/>
  <c r="IH68" i="1" s="1"/>
  <c r="JQ68" i="1"/>
  <c r="IV56" i="1"/>
  <c r="IZ115" i="1"/>
  <c r="IH115" i="1" s="1"/>
  <c r="IU124" i="1"/>
  <c r="IZ116" i="1"/>
  <c r="IH116" i="1" s="1"/>
  <c r="IU125" i="1"/>
  <c r="IZ129" i="1"/>
  <c r="IH129" i="1" s="1"/>
  <c r="IU138" i="1"/>
  <c r="IZ128" i="1"/>
  <c r="IH128" i="1" s="1"/>
  <c r="IU137" i="1"/>
  <c r="IZ127" i="1"/>
  <c r="IH127" i="1" s="1"/>
  <c r="IU136" i="1"/>
  <c r="IU110" i="1"/>
  <c r="IV50" i="1"/>
  <c r="IV18" i="1"/>
  <c r="IU34" i="1"/>
  <c r="IU55" i="1"/>
  <c r="AS12" i="1"/>
  <c r="AS13" i="1" s="1"/>
  <c r="AT13" i="1" s="1"/>
  <c r="AT11" i="1"/>
  <c r="BB11" i="1" s="1"/>
  <c r="BE11" i="1" s="1"/>
  <c r="IZ92" i="1"/>
  <c r="IH92" i="1" s="1"/>
  <c r="IU107" i="1"/>
  <c r="IU106" i="1"/>
  <c r="IU74" i="1"/>
  <c r="IU57" i="1"/>
  <c r="IU56" i="1"/>
  <c r="IV53" i="1"/>
  <c r="IU64" i="1"/>
  <c r="IU98" i="1"/>
  <c r="IU38" i="1"/>
  <c r="IV63" i="1"/>
  <c r="IU50" i="1"/>
  <c r="HN10" i="1"/>
  <c r="BU9" i="1"/>
  <c r="BX9" i="1"/>
  <c r="BA33" i="7"/>
  <c r="IU133" i="1"/>
  <c r="IZ124" i="1"/>
  <c r="IH124" i="1" s="1"/>
  <c r="IU135" i="1"/>
  <c r="IZ126" i="1"/>
  <c r="IH126" i="1" s="1"/>
  <c r="JF23" i="7" a="1"/>
  <c r="JF23" i="7" s="1"/>
  <c r="JH23" i="7" s="1" a="1"/>
  <c r="JH23" i="7" s="1"/>
  <c r="IU114" i="1"/>
  <c r="IZ107" i="1"/>
  <c r="IH107" i="1" s="1"/>
  <c r="IU132" i="1"/>
  <c r="IZ123" i="1"/>
  <c r="IH123" i="1" s="1"/>
  <c r="IU82" i="1"/>
  <c r="IZ74" i="1"/>
  <c r="IH74" i="1" s="1"/>
  <c r="IU134" i="1"/>
  <c r="IZ125" i="1"/>
  <c r="IH125" i="1" s="1"/>
  <c r="BA58" i="7"/>
  <c r="IZ27" i="1"/>
  <c r="IH27" i="1" s="1"/>
  <c r="HN11" i="1"/>
  <c r="IZ45" i="1"/>
  <c r="IH45" i="1" s="1"/>
  <c r="HN13" i="1"/>
  <c r="HW15" i="1"/>
  <c r="HX15" i="1"/>
  <c r="HV15" i="1"/>
  <c r="ID15" i="1"/>
  <c r="HU15" i="1"/>
  <c r="HT15" i="1"/>
  <c r="HZ15" i="1"/>
  <c r="HK15" i="1"/>
  <c r="HS16" i="1" s="1"/>
  <c r="HL16" i="1" s="1"/>
  <c r="HN16" i="1" s="1"/>
  <c r="CA12" i="1"/>
  <c r="BX12" i="1"/>
  <c r="BU12" i="1"/>
  <c r="IU131" i="1"/>
  <c r="IZ122" i="1"/>
  <c r="IH122" i="1" s="1"/>
  <c r="IU130" i="1"/>
  <c r="IZ121" i="1"/>
  <c r="IH121" i="1" s="1"/>
  <c r="IZ113" i="1"/>
  <c r="IH113" i="1" s="1"/>
  <c r="IU121" i="1"/>
  <c r="IZ112" i="1"/>
  <c r="IH112" i="1" s="1"/>
  <c r="IU120" i="1"/>
  <c r="IU128" i="1"/>
  <c r="IZ119" i="1"/>
  <c r="IH119" i="1" s="1"/>
  <c r="IU129" i="1"/>
  <c r="IZ120" i="1"/>
  <c r="IH120" i="1" s="1"/>
  <c r="IZ114" i="1"/>
  <c r="IH114" i="1" s="1"/>
  <c r="IU122" i="1"/>
  <c r="IZ76" i="1"/>
  <c r="IH76" i="1" s="1"/>
  <c r="IU84" i="1"/>
  <c r="IU93" i="1"/>
  <c r="IZ84" i="1"/>
  <c r="IH84" i="1" s="1"/>
  <c r="IZ111" i="1"/>
  <c r="IH111" i="1" s="1"/>
  <c r="IU119" i="1"/>
  <c r="IZ75" i="1"/>
  <c r="IH75" i="1" s="1"/>
  <c r="IU83" i="1"/>
  <c r="L239" i="7"/>
  <c r="L237" i="7"/>
  <c r="L218" i="7"/>
  <c r="L174" i="7"/>
  <c r="L219" i="7"/>
  <c r="L231" i="7"/>
  <c r="L238" i="7"/>
  <c r="IF30" i="7"/>
  <c r="JI30" i="7" s="1" a="1"/>
  <c r="JI30" i="7" s="1"/>
  <c r="JH30" i="7" a="1"/>
  <c r="JH30" i="7" s="1"/>
  <c r="L20" i="7" s="1"/>
  <c r="IU72" i="1"/>
  <c r="IU88" i="1"/>
  <c r="IU91" i="1"/>
  <c r="IU92" i="1"/>
  <c r="IZ99" i="1"/>
  <c r="IH99" i="1" s="1"/>
  <c r="IU108" i="1"/>
  <c r="IU87" i="1"/>
  <c r="IH89" i="1"/>
  <c r="IU115" i="1"/>
  <c r="IZ108" i="1"/>
  <c r="IH108" i="1" s="1"/>
  <c r="IU90" i="1"/>
  <c r="IU113" i="1"/>
  <c r="IH85" i="1"/>
  <c r="IH49" i="1"/>
  <c r="IZ63" i="1"/>
  <c r="IH63" i="1" s="1"/>
  <c r="IU70" i="1"/>
  <c r="IU95" i="1"/>
  <c r="IZ86" i="1"/>
  <c r="IH86" i="1" s="1"/>
  <c r="IU73" i="1"/>
  <c r="IU111" i="1"/>
  <c r="IZ104" i="1"/>
  <c r="IH104" i="1" s="1"/>
  <c r="IZ62" i="1"/>
  <c r="IH62" i="1" s="1"/>
  <c r="IU69" i="1"/>
  <c r="IZ77" i="1"/>
  <c r="IH77" i="1" s="1"/>
  <c r="IU85" i="1"/>
  <c r="IZ81" i="1"/>
  <c r="IH81" i="1" s="1"/>
  <c r="IU89" i="1"/>
  <c r="IZ96" i="1"/>
  <c r="IH96" i="1" s="1"/>
  <c r="IU103" i="1"/>
  <c r="IU68" i="1"/>
  <c r="IV22" i="1"/>
  <c r="JA57" i="1"/>
  <c r="IH57" i="1" s="1"/>
  <c r="IU97" i="1"/>
  <c r="IZ88" i="1"/>
  <c r="IH88" i="1" s="1"/>
  <c r="IZ97" i="1"/>
  <c r="IH97" i="1" s="1"/>
  <c r="IU104" i="1"/>
  <c r="IZ98" i="1"/>
  <c r="IH98" i="1" s="1"/>
  <c r="IU105" i="1"/>
  <c r="IU112" i="1"/>
  <c r="IZ105" i="1"/>
  <c r="IH105" i="1" s="1"/>
  <c r="IU99" i="1"/>
  <c r="IZ90" i="1"/>
  <c r="IH90" i="1" s="1"/>
  <c r="IV55" i="1"/>
  <c r="IZ78" i="1"/>
  <c r="IH78" i="1" s="1"/>
  <c r="IU86" i="1"/>
  <c r="IU96" i="1"/>
  <c r="IZ87" i="1"/>
  <c r="IH87" i="1" s="1"/>
  <c r="IU58" i="1"/>
  <c r="IU71" i="1"/>
  <c r="IZ56" i="1"/>
  <c r="IH56" i="1" s="1"/>
  <c r="IU76" i="1"/>
  <c r="IU51" i="1"/>
  <c r="IU75" i="1"/>
  <c r="IU77" i="1"/>
  <c r="IU20" i="1"/>
  <c r="IV65" i="1"/>
  <c r="IU49" i="1"/>
  <c r="IU78" i="1"/>
  <c r="IZ72" i="1"/>
  <c r="IH72" i="1" s="1"/>
  <c r="IH71" i="1"/>
  <c r="IV60" i="1"/>
  <c r="IV72" i="1"/>
  <c r="IV64" i="1"/>
  <c r="IV19" i="1"/>
  <c r="IU32" i="1"/>
  <c r="IU46" i="1"/>
  <c r="IZ36" i="1"/>
  <c r="IH36" i="1" s="1"/>
  <c r="IU37" i="1"/>
  <c r="IU31" i="1"/>
  <c r="IU47" i="1"/>
  <c r="IH41" i="1"/>
  <c r="IU19" i="1"/>
  <c r="IU54" i="1"/>
  <c r="IV17" i="1"/>
  <c r="IH55" i="1"/>
  <c r="IU53" i="1"/>
  <c r="IU48" i="1"/>
  <c r="IU52" i="1"/>
  <c r="IZ48" i="1"/>
  <c r="IH48" i="1" s="1"/>
  <c r="IV29" i="1"/>
  <c r="JA47" i="1"/>
  <c r="IH47" i="1" s="1"/>
  <c r="IU35" i="1"/>
  <c r="IZ31" i="1"/>
  <c r="IH31" i="1" s="1"/>
  <c r="IV25" i="1"/>
  <c r="IH21" i="1"/>
  <c r="IU28" i="1"/>
  <c r="IH30" i="1"/>
  <c r="IU59" i="1"/>
  <c r="IU66" i="1"/>
  <c r="IU102" i="1"/>
  <c r="IU41" i="1"/>
  <c r="IZ54" i="1"/>
  <c r="IH54" i="1" s="1"/>
  <c r="IU63" i="1"/>
  <c r="IU26" i="1"/>
  <c r="IZ23" i="1"/>
  <c r="IH23" i="1" s="1"/>
  <c r="IU101" i="1"/>
  <c r="IZ80" i="1"/>
  <c r="IH80" i="1" s="1"/>
  <c r="IZ53" i="1"/>
  <c r="IH53" i="1" s="1"/>
  <c r="IU62" i="1"/>
  <c r="IZ102" i="1"/>
  <c r="IH102" i="1" s="1"/>
  <c r="IU118" i="1"/>
  <c r="IU42" i="1"/>
  <c r="IZ39" i="1"/>
  <c r="IH39" i="1" s="1"/>
  <c r="IU67" i="1"/>
  <c r="IZ46" i="1"/>
  <c r="IH46" i="1" s="1"/>
  <c r="IZ101" i="1"/>
  <c r="IH101" i="1" s="1"/>
  <c r="IU117" i="1"/>
  <c r="IU79" i="1"/>
  <c r="IZ65" i="1"/>
  <c r="IH65" i="1" s="1"/>
  <c r="IU60" i="1"/>
  <c r="IU16" i="1"/>
  <c r="IU21" i="1"/>
  <c r="IZ79" i="1"/>
  <c r="IH79" i="1" s="1"/>
  <c r="IU100" i="1"/>
  <c r="IU24" i="1"/>
  <c r="IZ28" i="1"/>
  <c r="IH28" i="1" s="1"/>
  <c r="IU44" i="1"/>
  <c r="IU61" i="1"/>
  <c r="IZ58" i="1"/>
  <c r="IH58" i="1" s="1"/>
  <c r="IU43" i="1"/>
  <c r="IZ40" i="1"/>
  <c r="IH40" i="1" s="1"/>
  <c r="IU33" i="1"/>
  <c r="IZ29" i="1"/>
  <c r="IH29" i="1" s="1"/>
  <c r="IU45" i="1"/>
  <c r="IZ33" i="1"/>
  <c r="IH33" i="1" s="1"/>
  <c r="IU40" i="1"/>
  <c r="IU81" i="1"/>
  <c r="IZ67" i="1"/>
  <c r="IH67" i="1" s="1"/>
  <c r="IU18" i="1"/>
  <c r="IU23" i="1"/>
  <c r="IZ18" i="1"/>
  <c r="IH18" i="1" s="1"/>
  <c r="IU27" i="1"/>
  <c r="IU25" i="1"/>
  <c r="IZ22" i="1"/>
  <c r="IH22" i="1" s="1"/>
  <c r="IU65" i="1"/>
  <c r="IZ44" i="1"/>
  <c r="IH44" i="1" s="1"/>
  <c r="IZ66" i="1"/>
  <c r="IH66" i="1" s="1"/>
  <c r="IU80" i="1"/>
  <c r="IZ100" i="1"/>
  <c r="IH100" i="1" s="1"/>
  <c r="IU116" i="1"/>
  <c r="IU30" i="1"/>
  <c r="IZ118" i="1"/>
  <c r="IH118" i="1" s="1"/>
  <c r="IU36" i="1"/>
  <c r="IU39" i="1"/>
  <c r="IV51" i="1"/>
  <c r="IV66" i="1"/>
  <c r="IU29" i="1"/>
  <c r="IZ117" i="1"/>
  <c r="IH117" i="1" s="1"/>
  <c r="IU17" i="1"/>
  <c r="IU22" i="1"/>
  <c r="IZ16" i="1"/>
  <c r="IH16" i="1" s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1" s="1"/>
  <c r="BE10" i="1" s="1"/>
  <c r="BB10" i="7"/>
  <c r="JV50" i="1" l="1"/>
  <c r="JV26" i="1"/>
  <c r="JV51" i="1"/>
  <c r="JV35" i="1"/>
  <c r="JV34" i="1"/>
  <c r="JV43" i="1"/>
  <c r="JV49" i="1"/>
  <c r="JV48" i="1"/>
  <c r="JV47" i="1"/>
  <c r="JV45" i="1"/>
  <c r="JV42" i="1"/>
  <c r="JV24" i="1"/>
  <c r="JV30" i="1"/>
  <c r="JV41" i="1"/>
  <c r="JV40" i="1"/>
  <c r="JV36" i="1"/>
  <c r="JW51" i="1"/>
  <c r="KC19" i="1" a="1"/>
  <c r="KC19" i="1" s="1"/>
  <c r="KE19" i="1" s="1"/>
  <c r="JW53" i="1"/>
  <c r="JW52" i="1"/>
  <c r="JV29" i="1"/>
  <c r="JW50" i="1"/>
  <c r="JV28" i="1"/>
  <c r="JV27" i="1"/>
  <c r="JW48" i="1"/>
  <c r="JW49" i="1"/>
  <c r="JW47" i="1"/>
  <c r="JW46" i="1"/>
  <c r="JV25" i="1"/>
  <c r="JW42" i="1"/>
  <c r="JV39" i="1"/>
  <c r="JV38" i="1"/>
  <c r="JV37" i="1"/>
  <c r="JW37" i="1"/>
  <c r="JW39" i="1"/>
  <c r="JW38" i="1"/>
  <c r="JV32" i="1"/>
  <c r="JV33" i="1"/>
  <c r="JV23" i="1"/>
  <c r="JW40" i="1"/>
  <c r="JW13" i="1"/>
  <c r="JW14" i="1"/>
  <c r="JW9" i="1"/>
  <c r="JW43" i="1"/>
  <c r="JW45" i="1"/>
  <c r="JW44" i="1"/>
  <c r="JW41" i="1"/>
  <c r="JV44" i="1"/>
  <c r="JV46" i="1"/>
  <c r="JW15" i="1"/>
  <c r="JW36" i="1"/>
  <c r="JW35" i="1"/>
  <c r="JW12" i="1"/>
  <c r="JW34" i="1"/>
  <c r="JW33" i="1"/>
  <c r="JW16" i="1"/>
  <c r="JW32" i="1"/>
  <c r="JW31" i="1"/>
  <c r="JW30" i="1"/>
  <c r="JW29" i="1"/>
  <c r="JW28" i="1"/>
  <c r="JW27" i="1"/>
  <c r="JW26" i="1"/>
  <c r="JW25" i="1"/>
  <c r="JW24" i="1"/>
  <c r="JW23" i="1"/>
  <c r="JW22" i="1"/>
  <c r="JW18" i="1"/>
  <c r="JW21" i="1"/>
  <c r="JW20" i="1"/>
  <c r="JW19" i="1"/>
  <c r="JW17" i="1"/>
  <c r="JW10" i="1"/>
  <c r="BB12" i="1"/>
  <c r="BE12" i="1" s="1"/>
  <c r="AT12" i="1"/>
  <c r="CC9" i="1"/>
  <c r="CF9" i="1" s="1"/>
  <c r="CL9" i="1" s="1"/>
  <c r="CB9" i="1"/>
  <c r="CG9" i="1" s="1"/>
  <c r="CE9" i="1"/>
  <c r="HK16" i="1"/>
  <c r="HS17" i="1" s="1"/>
  <c r="HL17" i="1" s="1"/>
  <c r="HW17" i="1" s="1"/>
  <c r="HW16" i="1"/>
  <c r="ID16" i="1"/>
  <c r="HU16" i="1"/>
  <c r="HT16" i="1"/>
  <c r="HZ16" i="1"/>
  <c r="HX16" i="1"/>
  <c r="HV16" i="1"/>
  <c r="BX11" i="1"/>
  <c r="BU11" i="1"/>
  <c r="CA11" i="1"/>
  <c r="BU10" i="1"/>
  <c r="CA10" i="1"/>
  <c r="BX10" i="1"/>
  <c r="CC12" i="1"/>
  <c r="CE12" i="1"/>
  <c r="CB12" i="1"/>
  <c r="CG12" i="1" s="1"/>
  <c r="L22" i="7"/>
  <c r="JC24" i="7" a="1"/>
  <c r="JC24" i="7" s="1"/>
  <c r="JE24" i="7" a="1"/>
  <c r="JE24" i="7" s="1"/>
  <c r="JD24" i="7" a="1"/>
  <c r="JD24" i="7" s="1"/>
  <c r="L164" i="7"/>
  <c r="JE11" i="7" a="1"/>
  <c r="JE11" i="7" s="1"/>
  <c r="JD11" i="7" a="1"/>
  <c r="JD11" i="7" s="1"/>
  <c r="JC11" i="7" a="1"/>
  <c r="JC11" i="7" s="1"/>
  <c r="L210" i="7"/>
  <c r="L173" i="7"/>
  <c r="L269" i="7"/>
  <c r="L268" i="7"/>
  <c r="L215" i="7"/>
  <c r="L265" i="7"/>
  <c r="L228" i="7"/>
  <c r="L171" i="7"/>
  <c r="L214" i="7"/>
  <c r="L248" i="7"/>
  <c r="L249" i="7"/>
  <c r="L244" i="7"/>
  <c r="L206" i="7"/>
  <c r="L186" i="7"/>
  <c r="L251" i="7"/>
  <c r="L204" i="7"/>
  <c r="L207" i="7"/>
  <c r="L212" i="7"/>
  <c r="L247" i="7"/>
  <c r="L246" i="7"/>
  <c r="L208" i="7"/>
  <c r="L190" i="7"/>
  <c r="L165" i="7"/>
  <c r="L166" i="7"/>
  <c r="L230" i="7"/>
  <c r="L188" i="7"/>
  <c r="L209" i="7"/>
  <c r="L242" i="7"/>
  <c r="L176" i="7"/>
  <c r="L175" i="7"/>
  <c r="L233" i="7"/>
  <c r="L227" i="7"/>
  <c r="L205" i="7"/>
  <c r="L170" i="7"/>
  <c r="L245" i="7"/>
  <c r="L189" i="7"/>
  <c r="L225" i="7"/>
  <c r="L211" i="7"/>
  <c r="L191" i="7"/>
  <c r="L262" i="7"/>
  <c r="L229" i="7"/>
  <c r="L264" i="7"/>
  <c r="L253" i="7"/>
  <c r="L168" i="7"/>
  <c r="L187" i="7"/>
  <c r="L243" i="7"/>
  <c r="L193" i="7"/>
  <c r="L194" i="7"/>
  <c r="L232" i="7"/>
  <c r="L234" i="7"/>
  <c r="L167" i="7"/>
  <c r="JH29" i="7" a="1"/>
  <c r="JH29" i="7" s="1"/>
  <c r="L13" i="7" s="1"/>
  <c r="JI29" i="7" a="1"/>
  <c r="JI29" i="7" s="1"/>
  <c r="JE23" i="7" a="1"/>
  <c r="JE23" i="7" s="1"/>
  <c r="JC23" i="7" a="1"/>
  <c r="JC23" i="7" s="1"/>
  <c r="JD23" i="7" a="1"/>
  <c r="JD23" i="7" s="1"/>
  <c r="JK29" i="1" a="1"/>
  <c r="JK29" i="1" s="1"/>
  <c r="JK30" i="1" a="1"/>
  <c r="JK30" i="1" s="1"/>
  <c r="JH23" i="1" a="1"/>
  <c r="JH23" i="1" s="1"/>
  <c r="JJ23" i="1" s="1" a="1"/>
  <c r="JJ23" i="1" s="1"/>
  <c r="JJ30" i="1" a="1"/>
  <c r="JJ30" i="1" s="1"/>
  <c r="JJ29" i="1" a="1"/>
  <c r="JJ29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KC20" i="1" l="1" a="1"/>
  <c r="KC20" i="1" s="1"/>
  <c r="KE20" i="1" s="1"/>
  <c r="KC29" i="1" a="1"/>
  <c r="KC29" i="1" s="1"/>
  <c r="KE29" i="1" s="1"/>
  <c r="KC21" i="1" a="1"/>
  <c r="KC21" i="1" s="1"/>
  <c r="KE21" i="1" s="1"/>
  <c r="KC27" i="1" a="1"/>
  <c r="KC27" i="1" s="1"/>
  <c r="KE27" i="1" s="1"/>
  <c r="KC22" i="1" a="1"/>
  <c r="KC22" i="1" s="1"/>
  <c r="KE22" i="1" s="1"/>
  <c r="KC33" i="1" a="1"/>
  <c r="KC33" i="1" s="1"/>
  <c r="KE33" i="1" s="1"/>
  <c r="KC30" i="1" a="1"/>
  <c r="KC30" i="1" s="1"/>
  <c r="KE30" i="1" s="1"/>
  <c r="KC34" i="1" a="1"/>
  <c r="KC34" i="1" s="1"/>
  <c r="KE34" i="1" s="1"/>
  <c r="KC32" i="1" a="1"/>
  <c r="KC32" i="1" s="1"/>
  <c r="KE32" i="1" s="1"/>
  <c r="KC23" i="1" a="1"/>
  <c r="KC23" i="1" s="1"/>
  <c r="KE23" i="1" s="1"/>
  <c r="KC24" i="1" a="1"/>
  <c r="KC24" i="1" s="1"/>
  <c r="KE24" i="1" s="1"/>
  <c r="KC26" i="1" a="1"/>
  <c r="KC26" i="1" s="1"/>
  <c r="KE26" i="1" s="1"/>
  <c r="KC25" i="1" a="1"/>
  <c r="KC25" i="1" s="1"/>
  <c r="KE25" i="1" s="1"/>
  <c r="KC41" i="1" a="1"/>
  <c r="KC41" i="1" s="1"/>
  <c r="KE41" i="1" s="1"/>
  <c r="KC28" i="1" a="1"/>
  <c r="KC28" i="1" s="1"/>
  <c r="KE28" i="1" s="1"/>
  <c r="KC31" i="1" a="1"/>
  <c r="KC31" i="1" s="1"/>
  <c r="KE31" i="1" s="1"/>
  <c r="KC35" i="1" a="1"/>
  <c r="KC35" i="1" s="1"/>
  <c r="KE35" i="1" s="1"/>
  <c r="KC36" i="1" a="1"/>
  <c r="KC36" i="1" s="1"/>
  <c r="KE36" i="1" s="1"/>
  <c r="KC38" i="1" a="1"/>
  <c r="KC38" i="1" s="1"/>
  <c r="KE38" i="1" s="1"/>
  <c r="KC39" i="1" a="1"/>
  <c r="KC39" i="1" s="1"/>
  <c r="KE39" i="1" s="1"/>
  <c r="KC37" i="1" a="1"/>
  <c r="KC37" i="1" s="1"/>
  <c r="KE37" i="1" s="1"/>
  <c r="KC40" i="1" a="1"/>
  <c r="KC40" i="1" s="1"/>
  <c r="KE40" i="1" s="1"/>
  <c r="KF42" i="1" a="1"/>
  <c r="KF42" i="1" s="1"/>
  <c r="KF29" i="1" a="1"/>
  <c r="KF29" i="1" s="1"/>
  <c r="KF41" i="1" a="1"/>
  <c r="KF41" i="1" s="1"/>
  <c r="KF33" i="1" a="1"/>
  <c r="KF33" i="1" s="1"/>
  <c r="KF43" i="1" a="1"/>
  <c r="KF43" i="1" s="1"/>
  <c r="KH44" i="1" s="1"/>
  <c r="KF39" i="1" a="1"/>
  <c r="KF39" i="1" s="1"/>
  <c r="KF28" i="1" a="1"/>
  <c r="KF28" i="1" s="1"/>
  <c r="KF38" i="1" a="1"/>
  <c r="KF38" i="1" s="1"/>
  <c r="KF24" i="1" a="1"/>
  <c r="KF24" i="1" s="1"/>
  <c r="KF35" i="1" a="1"/>
  <c r="KF35" i="1" s="1"/>
  <c r="KF31" i="1" a="1"/>
  <c r="KF31" i="1" s="1"/>
  <c r="KF32" i="1" a="1"/>
  <c r="KF32" i="1" s="1"/>
  <c r="KF26" i="1" a="1"/>
  <c r="KF26" i="1" s="1"/>
  <c r="KF36" i="1" a="1"/>
  <c r="KF36" i="1" s="1"/>
  <c r="KF27" i="1" a="1"/>
  <c r="KF27" i="1" s="1"/>
  <c r="KF37" i="1" a="1"/>
  <c r="KF37" i="1" s="1"/>
  <c r="KF25" i="1" a="1"/>
  <c r="KF25" i="1" s="1"/>
  <c r="KF34" i="1" a="1"/>
  <c r="KF34" i="1" s="1"/>
  <c r="KF40" i="1" a="1"/>
  <c r="KF40" i="1" s="1"/>
  <c r="KF23" i="1" a="1"/>
  <c r="KF23" i="1" s="1"/>
  <c r="KF30" i="1" a="1"/>
  <c r="KF30" i="1" s="1"/>
  <c r="KF22" i="1" a="1"/>
  <c r="KF22" i="1" s="1"/>
  <c r="KH22" i="1" s="1"/>
  <c r="BB14" i="1"/>
  <c r="BE14" i="1" s="1"/>
  <c r="AT14" i="1"/>
  <c r="CK9" i="1"/>
  <c r="CH9" i="1"/>
  <c r="CJ9" i="1"/>
  <c r="CM9" i="1" s="1"/>
  <c r="HZ17" i="1"/>
  <c r="HN17" i="1"/>
  <c r="HK17" i="1"/>
  <c r="HS18" i="1" s="1"/>
  <c r="HL18" i="1" s="1"/>
  <c r="HU17" i="1"/>
  <c r="ID17" i="1"/>
  <c r="HT17" i="1"/>
  <c r="HV17" i="1"/>
  <c r="HX17" i="1"/>
  <c r="CJ12" i="1"/>
  <c r="CM12" i="1" s="1"/>
  <c r="CC11" i="1"/>
  <c r="CE11" i="1"/>
  <c r="CB11" i="1"/>
  <c r="CG11" i="1" s="1"/>
  <c r="CK12" i="1"/>
  <c r="CF12" i="1"/>
  <c r="CL12" i="1" s="1"/>
  <c r="CH12" i="1"/>
  <c r="BX14" i="1"/>
  <c r="CA14" i="1"/>
  <c r="BU14" i="1"/>
  <c r="CC10" i="1"/>
  <c r="CB10" i="1"/>
  <c r="CG10" i="1" s="1"/>
  <c r="CE10" i="1"/>
  <c r="L15" i="7"/>
  <c r="L15" i="1"/>
  <c r="L13" i="1"/>
  <c r="L22" i="1"/>
  <c r="L20" i="1"/>
  <c r="AS15" i="1"/>
  <c r="AT15" i="1" s="1"/>
  <c r="AZ156" i="7"/>
  <c r="BC156" i="7"/>
  <c r="BB156" i="7"/>
  <c r="BA156" i="7"/>
  <c r="KH34" i="1" l="1"/>
  <c r="KH41" i="1"/>
  <c r="KH30" i="1"/>
  <c r="KH38" i="1"/>
  <c r="KH29" i="1"/>
  <c r="KH42" i="1"/>
  <c r="KH36" i="1"/>
  <c r="KH32" i="1"/>
  <c r="KH26" i="1"/>
  <c r="KH23" i="1"/>
  <c r="KH39" i="1"/>
  <c r="KH43" i="1"/>
  <c r="KH35" i="1"/>
  <c r="KH25" i="1"/>
  <c r="KH40" i="1"/>
  <c r="KH24" i="1"/>
  <c r="KH33" i="1"/>
  <c r="KH27" i="1"/>
  <c r="KH37" i="1"/>
  <c r="KH31" i="1"/>
  <c r="KH28" i="1"/>
  <c r="CN9" i="1"/>
  <c r="CP9" i="1" s="1"/>
  <c r="CR9" i="1"/>
  <c r="ID18" i="1"/>
  <c r="HN18" i="1"/>
  <c r="HV18" i="1"/>
  <c r="HX18" i="1"/>
  <c r="HW18" i="1"/>
  <c r="HK18" i="1"/>
  <c r="HS19" i="1" s="1"/>
  <c r="HL19" i="1" s="1"/>
  <c r="HZ18" i="1"/>
  <c r="HT18" i="1"/>
  <c r="HU18" i="1"/>
  <c r="CR12" i="1"/>
  <c r="CJ10" i="1"/>
  <c r="CH10" i="1"/>
  <c r="CF10" i="1"/>
  <c r="CL10" i="1" s="1"/>
  <c r="CK10" i="1"/>
  <c r="CN12" i="1"/>
  <c r="CP12" i="1" s="1"/>
  <c r="CC14" i="1"/>
  <c r="CE14" i="1"/>
  <c r="CB14" i="1"/>
  <c r="CG14" i="1" s="1"/>
  <c r="CJ11" i="1"/>
  <c r="CH11" i="1"/>
  <c r="CF11" i="1"/>
  <c r="CL11" i="1" s="1"/>
  <c r="CK11" i="1"/>
  <c r="AS16" i="1"/>
  <c r="AT16" i="1" s="1"/>
  <c r="BB13" i="1"/>
  <c r="BE13" i="1" s="1"/>
  <c r="CQ9" i="1" l="1"/>
  <c r="CS9" i="1" s="1"/>
  <c r="CT9" i="1" s="1"/>
  <c r="CW9" i="1" s="1"/>
  <c r="DM9" i="1" s="1"/>
  <c r="HW19" i="1"/>
  <c r="HN19" i="1"/>
  <c r="HU19" i="1"/>
  <c r="HX19" i="1"/>
  <c r="HV19" i="1"/>
  <c r="HZ19" i="1"/>
  <c r="ID19" i="1"/>
  <c r="HT19" i="1"/>
  <c r="HK19" i="1"/>
  <c r="HS20" i="1" s="1"/>
  <c r="HL20" i="1" s="1"/>
  <c r="CJ14" i="1"/>
  <c r="CM14" i="1" s="1"/>
  <c r="CR11" i="1"/>
  <c r="CM11" i="1"/>
  <c r="CN10" i="1"/>
  <c r="CF14" i="1"/>
  <c r="CL14" i="1" s="1"/>
  <c r="CK14" i="1"/>
  <c r="CH14" i="1"/>
  <c r="CQ12" i="1"/>
  <c r="CM10" i="1"/>
  <c r="CR10" i="1"/>
  <c r="CN11" i="1"/>
  <c r="CA13" i="1"/>
  <c r="BU13" i="1"/>
  <c r="BX13" i="1"/>
  <c r="AS17" i="1"/>
  <c r="AT17" i="1" s="1"/>
  <c r="HZ20" i="1" l="1"/>
  <c r="HN20" i="1"/>
  <c r="HT20" i="1"/>
  <c r="HW20" i="1"/>
  <c r="HU20" i="1"/>
  <c r="HK20" i="1"/>
  <c r="HS21" i="1" s="1"/>
  <c r="HL21" i="1" s="1"/>
  <c r="ID20" i="1"/>
  <c r="HV20" i="1"/>
  <c r="HX20" i="1"/>
  <c r="CV9" i="1"/>
  <c r="DL9" i="1" s="1"/>
  <c r="CX9" i="1"/>
  <c r="DN9" i="1" s="1"/>
  <c r="CU9" i="1"/>
  <c r="CY9" i="1" s="1"/>
  <c r="CN14" i="1"/>
  <c r="CP14" i="1" s="1"/>
  <c r="CR14" i="1"/>
  <c r="CQ10" i="1"/>
  <c r="CQ11" i="1"/>
  <c r="CP11" i="1"/>
  <c r="CP10" i="1"/>
  <c r="CC13" i="1"/>
  <c r="CE13" i="1"/>
  <c r="CB13" i="1"/>
  <c r="CG13" i="1" s="1"/>
  <c r="CS12" i="1"/>
  <c r="CT12" i="1" s="1"/>
  <c r="AS18" i="1"/>
  <c r="AT18" i="1" s="1"/>
  <c r="HV21" i="1" l="1"/>
  <c r="HN21" i="1"/>
  <c r="HX21" i="1"/>
  <c r="HW21" i="1"/>
  <c r="HK21" i="1"/>
  <c r="HS22" i="1" s="1"/>
  <c r="HL22" i="1" s="1"/>
  <c r="HZ21" i="1"/>
  <c r="HU21" i="1"/>
  <c r="ID21" i="1"/>
  <c r="HT21" i="1"/>
  <c r="DR9" i="1"/>
  <c r="DW9" i="1"/>
  <c r="DX9" i="1" s="1"/>
  <c r="DO9" i="1"/>
  <c r="CZ9" i="1"/>
  <c r="DP9" i="1" s="1"/>
  <c r="DA9" i="1"/>
  <c r="DQ9" i="1" s="1"/>
  <c r="CQ14" i="1"/>
  <c r="CS14" i="1" s="1"/>
  <c r="CS11" i="1"/>
  <c r="CT11" i="1" s="1"/>
  <c r="CU12" i="1"/>
  <c r="CY12" i="1" s="1"/>
  <c r="CS10" i="1"/>
  <c r="CT10" i="1" s="1"/>
  <c r="CJ13" i="1"/>
  <c r="CM13" i="1" s="1"/>
  <c r="CK13" i="1"/>
  <c r="CH13" i="1"/>
  <c r="CF13" i="1"/>
  <c r="CL13" i="1" s="1"/>
  <c r="CV12" i="1"/>
  <c r="CW12" i="1"/>
  <c r="CX12" i="1"/>
  <c r="AS19" i="1"/>
  <c r="AT19" i="1" s="1"/>
  <c r="HZ22" i="1" l="1"/>
  <c r="HN22" i="1"/>
  <c r="HW22" i="1"/>
  <c r="HK22" i="1"/>
  <c r="HS23" i="1" s="1"/>
  <c r="HL23" i="1" s="1"/>
  <c r="HT22" i="1"/>
  <c r="HV22" i="1"/>
  <c r="HU22" i="1"/>
  <c r="HX22" i="1"/>
  <c r="ID22" i="1"/>
  <c r="DA12" i="1"/>
  <c r="DQ12" i="1" s="1"/>
  <c r="EA9" i="1"/>
  <c r="DU9" i="1"/>
  <c r="DV9" i="1"/>
  <c r="DS9" i="1"/>
  <c r="CU14" i="1"/>
  <c r="CT14" i="1"/>
  <c r="CW14" i="1" s="1"/>
  <c r="DM14" i="1" s="1"/>
  <c r="CZ12" i="1"/>
  <c r="DP12" i="1" s="1"/>
  <c r="CX10" i="1"/>
  <c r="DN10" i="1" s="1"/>
  <c r="CV10" i="1"/>
  <c r="DL10" i="1" s="1"/>
  <c r="CW10" i="1"/>
  <c r="DM10" i="1" s="1"/>
  <c r="CU10" i="1"/>
  <c r="DA10" i="1" s="1"/>
  <c r="CU11" i="1"/>
  <c r="CZ11" i="1" s="1"/>
  <c r="DO12" i="1"/>
  <c r="CN13" i="1"/>
  <c r="CP13" i="1" s="1"/>
  <c r="DM12" i="1"/>
  <c r="DN12" i="1"/>
  <c r="CR13" i="1"/>
  <c r="DL12" i="1"/>
  <c r="CV11" i="1"/>
  <c r="CW11" i="1"/>
  <c r="CX11" i="1"/>
  <c r="AS20" i="1"/>
  <c r="AT20" i="1" s="1"/>
  <c r="HX23" i="1" l="1"/>
  <c r="HN23" i="1"/>
  <c r="HW23" i="1"/>
  <c r="HK23" i="1"/>
  <c r="HS24" i="1" s="1"/>
  <c r="HL24" i="1" s="1"/>
  <c r="HZ23" i="1"/>
  <c r="HT23" i="1"/>
  <c r="HU23" i="1"/>
  <c r="ID23" i="1"/>
  <c r="HV23" i="1"/>
  <c r="CY11" i="1"/>
  <c r="DO11" i="1" s="1"/>
  <c r="DY9" i="1"/>
  <c r="DA11" i="1"/>
  <c r="DQ11" i="1" s="1"/>
  <c r="DZ9" i="1"/>
  <c r="DQ10" i="1"/>
  <c r="CV14" i="1"/>
  <c r="DL14" i="1" s="1"/>
  <c r="CZ14" i="1"/>
  <c r="DP14" i="1" s="1"/>
  <c r="CY14" i="1"/>
  <c r="CX14" i="1"/>
  <c r="DN14" i="1" s="1"/>
  <c r="DA14" i="1"/>
  <c r="DU12" i="1"/>
  <c r="CY10" i="1"/>
  <c r="DO10" i="1" s="1"/>
  <c r="CZ10" i="1"/>
  <c r="DP10" i="1" s="1"/>
  <c r="DS12" i="1"/>
  <c r="DP11" i="1"/>
  <c r="DW12" i="1"/>
  <c r="DX12" i="1" s="1"/>
  <c r="DV12" i="1"/>
  <c r="DR12" i="1"/>
  <c r="DN11" i="1"/>
  <c r="DM11" i="1"/>
  <c r="DL11" i="1"/>
  <c r="CQ13" i="1"/>
  <c r="DR10" i="1"/>
  <c r="DW10" i="1"/>
  <c r="DX10" i="1" s="1"/>
  <c r="AS21" i="1"/>
  <c r="AT21" i="1" s="1"/>
  <c r="ID24" i="1" l="1"/>
  <c r="HN24" i="1"/>
  <c r="HK24" i="1"/>
  <c r="HS25" i="1" s="1"/>
  <c r="HL25" i="1" s="1"/>
  <c r="HW24" i="1"/>
  <c r="HV24" i="1"/>
  <c r="HX24" i="1"/>
  <c r="HZ24" i="1"/>
  <c r="HT24" i="1"/>
  <c r="HU24" i="1"/>
  <c r="DV10" i="1"/>
  <c r="EB9" i="1"/>
  <c r="EC9" i="1"/>
  <c r="EG9" i="1" s="1"/>
  <c r="DR14" i="1"/>
  <c r="ED9" i="1"/>
  <c r="EI9" i="1" s="1"/>
  <c r="DO14" i="1"/>
  <c r="DW14" i="1"/>
  <c r="DX14" i="1" s="1"/>
  <c r="DS10" i="1"/>
  <c r="EA10" i="1"/>
  <c r="DU10" i="1"/>
  <c r="DQ14" i="1"/>
  <c r="DY12" i="1"/>
  <c r="EA12" i="1"/>
  <c r="DR11" i="1"/>
  <c r="DV11" i="1"/>
  <c r="DW11" i="1"/>
  <c r="DX11" i="1" s="1"/>
  <c r="CS13" i="1"/>
  <c r="CT13" i="1" s="1"/>
  <c r="DZ12" i="1"/>
  <c r="DS11" i="1"/>
  <c r="DU11" i="1"/>
  <c r="AS22" i="1"/>
  <c r="AT22" i="1" s="1"/>
  <c r="HX25" i="1" l="1"/>
  <c r="HN25" i="1"/>
  <c r="HZ25" i="1"/>
  <c r="HW25" i="1"/>
  <c r="HK25" i="1"/>
  <c r="HS26" i="1" s="1"/>
  <c r="HL26" i="1" s="1"/>
  <c r="ID25" i="1"/>
  <c r="HU25" i="1"/>
  <c r="HT25" i="1"/>
  <c r="HV25" i="1"/>
  <c r="DZ10" i="1"/>
  <c r="EK9" i="1"/>
  <c r="DU14" i="1"/>
  <c r="EA14" i="1"/>
  <c r="EE9" i="1"/>
  <c r="EF9" i="1"/>
  <c r="EL9" i="1"/>
  <c r="EJ9" i="1"/>
  <c r="EH9" i="1"/>
  <c r="DV14" i="1"/>
  <c r="DS14" i="1"/>
  <c r="DY10" i="1"/>
  <c r="DY11" i="1"/>
  <c r="CU13" i="1"/>
  <c r="CV13" i="1"/>
  <c r="CW13" i="1"/>
  <c r="CX13" i="1"/>
  <c r="EA11" i="1"/>
  <c r="DZ11" i="1"/>
  <c r="EC12" i="1"/>
  <c r="EB12" i="1"/>
  <c r="ED12" i="1"/>
  <c r="AS23" i="1"/>
  <c r="AT23" i="1" s="1"/>
  <c r="BB20" i="1"/>
  <c r="BE20" i="1" s="1"/>
  <c r="HX26" i="1" l="1"/>
  <c r="HN26" i="1"/>
  <c r="HK26" i="1"/>
  <c r="HS27" i="1" s="1"/>
  <c r="HL27" i="1" s="1"/>
  <c r="HW26" i="1"/>
  <c r="HZ26" i="1"/>
  <c r="HT26" i="1"/>
  <c r="HU26" i="1"/>
  <c r="ID26" i="1"/>
  <c r="HV26" i="1"/>
  <c r="EB10" i="1"/>
  <c r="EM9" i="1"/>
  <c r="EN9" i="1"/>
  <c r="DZ14" i="1"/>
  <c r="EO9" i="1"/>
  <c r="ER9" i="1" s="1"/>
  <c r="ED10" i="1"/>
  <c r="EH10" i="1" s="1"/>
  <c r="EC10" i="1"/>
  <c r="EF10" i="1" s="1"/>
  <c r="DY14" i="1"/>
  <c r="EL12" i="1"/>
  <c r="EH12" i="1"/>
  <c r="EI12" i="1"/>
  <c r="EJ12" i="1"/>
  <c r="DN13" i="1"/>
  <c r="DM13" i="1"/>
  <c r="EK12" i="1"/>
  <c r="EE12" i="1"/>
  <c r="EF12" i="1"/>
  <c r="EG12" i="1"/>
  <c r="DL13" i="1"/>
  <c r="CA20" i="1"/>
  <c r="BU20" i="1"/>
  <c r="BX20" i="1"/>
  <c r="EC11" i="1"/>
  <c r="ED11" i="1"/>
  <c r="EB11" i="1"/>
  <c r="CY13" i="1"/>
  <c r="DO13" i="1" s="1"/>
  <c r="CZ13" i="1"/>
  <c r="DP13" i="1" s="1"/>
  <c r="DA13" i="1"/>
  <c r="DQ13" i="1" s="1"/>
  <c r="AS24" i="1"/>
  <c r="AT24" i="1" s="1"/>
  <c r="BB21" i="1"/>
  <c r="BE21" i="1" s="1"/>
  <c r="HZ27" i="1" l="1"/>
  <c r="HN27" i="1"/>
  <c r="HK27" i="1"/>
  <c r="HS28" i="1" s="1"/>
  <c r="HL28" i="1" s="1"/>
  <c r="HU27" i="1"/>
  <c r="HX27" i="1"/>
  <c r="HT27" i="1"/>
  <c r="HW27" i="1"/>
  <c r="ID27" i="1"/>
  <c r="HV27" i="1"/>
  <c r="EQ9" i="1"/>
  <c r="EC14" i="1"/>
  <c r="EP9" i="1"/>
  <c r="EJ10" i="1"/>
  <c r="EL10" i="1"/>
  <c r="ED14" i="1"/>
  <c r="EJ14" i="1" s="1"/>
  <c r="EI10" i="1"/>
  <c r="EE10" i="1"/>
  <c r="EK10" i="1"/>
  <c r="EG10" i="1"/>
  <c r="EB14" i="1"/>
  <c r="EL11" i="1"/>
  <c r="EI11" i="1"/>
  <c r="EH11" i="1"/>
  <c r="EJ11" i="1"/>
  <c r="EK11" i="1"/>
  <c r="EF11" i="1"/>
  <c r="EG11" i="1"/>
  <c r="EE11" i="1"/>
  <c r="DV13" i="1"/>
  <c r="DW13" i="1"/>
  <c r="DX13" i="1" s="1"/>
  <c r="DR13" i="1"/>
  <c r="CA21" i="1"/>
  <c r="BX21" i="1"/>
  <c r="BU21" i="1"/>
  <c r="EM12" i="1"/>
  <c r="EO12" i="1"/>
  <c r="ER12" i="1" s="1"/>
  <c r="EN12" i="1"/>
  <c r="CE20" i="1"/>
  <c r="CC20" i="1"/>
  <c r="CB20" i="1"/>
  <c r="CG20" i="1" s="1"/>
  <c r="DU13" i="1"/>
  <c r="DS13" i="1"/>
  <c r="AS25" i="1"/>
  <c r="AT25" i="1" s="1"/>
  <c r="BB22" i="1"/>
  <c r="BE22" i="1" s="1"/>
  <c r="HX28" i="1" l="1"/>
  <c r="HN28" i="1"/>
  <c r="HZ28" i="1"/>
  <c r="HK28" i="1"/>
  <c r="HS29" i="1" s="1"/>
  <c r="HL29" i="1" s="1"/>
  <c r="HT28" i="1"/>
  <c r="HW28" i="1"/>
  <c r="HU28" i="1"/>
  <c r="ID28" i="1"/>
  <c r="HV28" i="1"/>
  <c r="EV9" i="1"/>
  <c r="EX9" i="1" s="1"/>
  <c r="EZ9" i="1"/>
  <c r="FC9" i="1" s="1"/>
  <c r="EM10" i="1"/>
  <c r="EL14" i="1"/>
  <c r="EH14" i="1"/>
  <c r="EI14" i="1"/>
  <c r="EK14" i="1"/>
  <c r="EE14" i="1"/>
  <c r="EG14" i="1"/>
  <c r="EF14" i="1"/>
  <c r="EN10" i="1"/>
  <c r="EO10" i="1"/>
  <c r="ER10" i="1" s="1"/>
  <c r="CJ20" i="1"/>
  <c r="CM20" i="1" s="1"/>
  <c r="EA13" i="1"/>
  <c r="DY13" i="1"/>
  <c r="EP12" i="1"/>
  <c r="EQ12" i="1"/>
  <c r="EZ12" i="1" s="1"/>
  <c r="FC12" i="1" s="1"/>
  <c r="DZ13" i="1"/>
  <c r="CK20" i="1"/>
  <c r="CH20" i="1"/>
  <c r="CF20" i="1"/>
  <c r="CL20" i="1" s="1"/>
  <c r="CE21" i="1"/>
  <c r="CB21" i="1"/>
  <c r="CG21" i="1" s="1"/>
  <c r="CC21" i="1"/>
  <c r="BX22" i="1"/>
  <c r="CA22" i="1"/>
  <c r="BU22" i="1"/>
  <c r="EN11" i="1"/>
  <c r="EM11" i="1"/>
  <c r="EO11" i="1"/>
  <c r="ER11" i="1" s="1"/>
  <c r="AS26" i="1"/>
  <c r="AT26" i="1" s="1"/>
  <c r="BB23" i="1"/>
  <c r="BE23" i="1" s="1"/>
  <c r="HU29" i="1" l="1"/>
  <c r="HN29" i="1"/>
  <c r="HW29" i="1"/>
  <c r="HB9" i="1"/>
  <c r="HF9" i="1" s="1"/>
  <c r="HX29" i="1"/>
  <c r="ID29" i="1"/>
  <c r="FB9" i="1"/>
  <c r="HZ29" i="1"/>
  <c r="HV29" i="1"/>
  <c r="HT29" i="1"/>
  <c r="HK29" i="1"/>
  <c r="HS30" i="1" s="1"/>
  <c r="HL30" i="1" s="1"/>
  <c r="FF9" i="1"/>
  <c r="FI9" i="1" s="1"/>
  <c r="FY9" i="1"/>
  <c r="HE9" i="1" s="1"/>
  <c r="FA9" i="1"/>
  <c r="EW9" i="1"/>
  <c r="EO14" i="1"/>
  <c r="ER14" i="1" s="1"/>
  <c r="EM14" i="1"/>
  <c r="EQ10" i="1"/>
  <c r="EZ10" i="1" s="1"/>
  <c r="FC10" i="1" s="1"/>
  <c r="FY10" i="1" s="1"/>
  <c r="HE10" i="1" s="1"/>
  <c r="EN14" i="1"/>
  <c r="EP10" i="1"/>
  <c r="CJ21" i="1"/>
  <c r="CM21" i="1" s="1"/>
  <c r="CR20" i="1"/>
  <c r="BX23" i="1"/>
  <c r="CA23" i="1"/>
  <c r="BU23" i="1"/>
  <c r="CB22" i="1"/>
  <c r="CG22" i="1" s="1"/>
  <c r="CE22" i="1"/>
  <c r="CC22" i="1"/>
  <c r="FY12" i="1"/>
  <c r="HE12" i="1" s="1"/>
  <c r="FF12" i="1"/>
  <c r="FI12" i="1" s="1"/>
  <c r="CN20" i="1"/>
  <c r="CQ20" i="1" s="1"/>
  <c r="EV12" i="1"/>
  <c r="FB12" i="1"/>
  <c r="FA12" i="1"/>
  <c r="CK21" i="1"/>
  <c r="CH21" i="1"/>
  <c r="CF21" i="1"/>
  <c r="CL21" i="1" s="1"/>
  <c r="EC13" i="1"/>
  <c r="ED13" i="1"/>
  <c r="EB13" i="1"/>
  <c r="EQ11" i="1"/>
  <c r="EZ11" i="1" s="1"/>
  <c r="FC11" i="1" s="1"/>
  <c r="EP11" i="1"/>
  <c r="AS27" i="1"/>
  <c r="AT27" i="1" s="1"/>
  <c r="HV30" i="1" l="1"/>
  <c r="HN30" i="1"/>
  <c r="FO9" i="1"/>
  <c r="HG9" i="1"/>
  <c r="HH9" i="1"/>
  <c r="FE9" i="1"/>
  <c r="FH9" i="1" s="1"/>
  <c r="FD9" i="1"/>
  <c r="FV9" i="1" s="1"/>
  <c r="FL9" i="1"/>
  <c r="HK30" i="1"/>
  <c r="HS31" i="1" s="1"/>
  <c r="HL31" i="1" s="1"/>
  <c r="HZ30" i="1"/>
  <c r="ID30" i="1"/>
  <c r="HW30" i="1"/>
  <c r="HX30" i="1"/>
  <c r="HT30" i="1"/>
  <c r="HU30" i="1"/>
  <c r="FU9" i="1"/>
  <c r="FF10" i="1"/>
  <c r="FI10" i="1" s="1"/>
  <c r="EP14" i="1"/>
  <c r="EV14" i="1" s="1"/>
  <c r="EW14" i="1" s="1"/>
  <c r="FA10" i="1"/>
  <c r="EV10" i="1"/>
  <c r="EX10" i="1" s="1"/>
  <c r="CR21" i="1"/>
  <c r="EQ14" i="1"/>
  <c r="EZ14" i="1" s="1"/>
  <c r="FB10" i="1"/>
  <c r="CP20" i="1"/>
  <c r="CS20" i="1" s="1"/>
  <c r="CU20" i="1" s="1"/>
  <c r="CH22" i="1"/>
  <c r="CF22" i="1"/>
  <c r="CL22" i="1" s="1"/>
  <c r="CK22" i="1"/>
  <c r="CJ22" i="1"/>
  <c r="FL12" i="1"/>
  <c r="FO12" i="1"/>
  <c r="FE12" i="1"/>
  <c r="HB12" i="1"/>
  <c r="HF12" i="1" s="1"/>
  <c r="HG12" i="1" s="1"/>
  <c r="FD12" i="1"/>
  <c r="FV12" i="1" s="1"/>
  <c r="EX12" i="1"/>
  <c r="EW12" i="1"/>
  <c r="CN21" i="1"/>
  <c r="CP21" i="1" s="1"/>
  <c r="EK13" i="1"/>
  <c r="EE13" i="1"/>
  <c r="EG13" i="1"/>
  <c r="EF13" i="1"/>
  <c r="EV11" i="1"/>
  <c r="FA11" i="1"/>
  <c r="FB11" i="1"/>
  <c r="CC23" i="1"/>
  <c r="CB23" i="1"/>
  <c r="CG23" i="1" s="1"/>
  <c r="CE23" i="1"/>
  <c r="FF11" i="1"/>
  <c r="FI11" i="1" s="1"/>
  <c r="FY11" i="1"/>
  <c r="HE11" i="1" s="1"/>
  <c r="EL13" i="1"/>
  <c r="EJ13" i="1"/>
  <c r="EH13" i="1"/>
  <c r="EI13" i="1"/>
  <c r="AS28" i="1"/>
  <c r="AT28" i="1" s="1"/>
  <c r="HW31" i="1" l="1"/>
  <c r="HN31" i="1"/>
  <c r="FG9" i="1"/>
  <c r="FJ9" i="1" s="1"/>
  <c r="GQ9" i="1" s="1"/>
  <c r="HU31" i="1"/>
  <c r="HZ31" i="1"/>
  <c r="HT31" i="1"/>
  <c r="ID31" i="1"/>
  <c r="HV31" i="1"/>
  <c r="HX31" i="1"/>
  <c r="HK31" i="1"/>
  <c r="HS32" i="1" s="1"/>
  <c r="HL32" i="1" s="1"/>
  <c r="EW10" i="1"/>
  <c r="HB14" i="1"/>
  <c r="HF14" i="1" s="1"/>
  <c r="HB10" i="1"/>
  <c r="HF10" i="1" s="1"/>
  <c r="HH10" i="1" s="1"/>
  <c r="FL10" i="1"/>
  <c r="EX14" i="1"/>
  <c r="FD10" i="1"/>
  <c r="FV10" i="1" s="1"/>
  <c r="FO10" i="1"/>
  <c r="FC14" i="1"/>
  <c r="FA14" i="1"/>
  <c r="FB14" i="1"/>
  <c r="FE10" i="1"/>
  <c r="FH10" i="1" s="1"/>
  <c r="CJ23" i="1"/>
  <c r="CM23" i="1" s="1"/>
  <c r="FH12" i="1"/>
  <c r="HH12" i="1"/>
  <c r="FU14" i="1"/>
  <c r="FL11" i="1"/>
  <c r="FO11" i="1"/>
  <c r="EM13" i="1"/>
  <c r="EO13" i="1"/>
  <c r="ER13" i="1" s="1"/>
  <c r="EN13" i="1"/>
  <c r="CR22" i="1"/>
  <c r="CM22" i="1"/>
  <c r="EX11" i="1"/>
  <c r="FE11" i="1"/>
  <c r="FD11" i="1"/>
  <c r="FV11" i="1" s="1"/>
  <c r="HB11" i="1"/>
  <c r="HF11" i="1" s="1"/>
  <c r="HH11" i="1" s="1"/>
  <c r="EW11" i="1"/>
  <c r="CT20" i="1"/>
  <c r="CQ21" i="1"/>
  <c r="CZ20" i="1"/>
  <c r="CY20" i="1"/>
  <c r="DA20" i="1"/>
  <c r="CN22" i="1"/>
  <c r="CH23" i="1"/>
  <c r="CK23" i="1"/>
  <c r="CF23" i="1"/>
  <c r="CL23" i="1" s="1"/>
  <c r="FU12" i="1"/>
  <c r="FG12" i="1"/>
  <c r="AS29" i="1"/>
  <c r="AT29" i="1" s="1"/>
  <c r="BB27" i="1"/>
  <c r="BE27" i="1" s="1"/>
  <c r="ID32" i="1" l="1"/>
  <c r="HN32" i="1"/>
  <c r="FW9" i="1"/>
  <c r="FX9" i="1" s="1"/>
  <c r="FZ9" i="1" s="1"/>
  <c r="GP9" i="1" s="1"/>
  <c r="FM9" i="1"/>
  <c r="FN9" i="1" s="1"/>
  <c r="FR9" i="1" s="1"/>
  <c r="HV32" i="1"/>
  <c r="HX32" i="1"/>
  <c r="HZ32" i="1"/>
  <c r="HK32" i="1"/>
  <c r="HS33" i="1" s="1"/>
  <c r="HL33" i="1" s="1"/>
  <c r="HT32" i="1"/>
  <c r="HU32" i="1"/>
  <c r="HW32" i="1"/>
  <c r="FU10" i="1"/>
  <c r="FG10" i="1"/>
  <c r="FJ10" i="1" s="1"/>
  <c r="GQ10" i="1" s="1"/>
  <c r="HG10" i="1"/>
  <c r="FE14" i="1"/>
  <c r="FH14" i="1" s="1"/>
  <c r="FL14" i="1"/>
  <c r="FO14" i="1"/>
  <c r="FD14" i="1"/>
  <c r="FY14" i="1"/>
  <c r="HE14" i="1" s="1"/>
  <c r="FF14" i="1"/>
  <c r="FI14" i="1" s="1"/>
  <c r="CP22" i="1"/>
  <c r="FH11" i="1"/>
  <c r="CN23" i="1"/>
  <c r="CQ23" i="1" s="1"/>
  <c r="CS21" i="1"/>
  <c r="CT21" i="1" s="1"/>
  <c r="EQ13" i="1"/>
  <c r="EZ13" i="1" s="1"/>
  <c r="FC13" i="1" s="1"/>
  <c r="EP13" i="1"/>
  <c r="CQ22" i="1"/>
  <c r="CA27" i="1"/>
  <c r="BU27" i="1"/>
  <c r="BX27" i="1"/>
  <c r="CW20" i="1"/>
  <c r="DP20" i="1" s="1"/>
  <c r="CV20" i="1"/>
  <c r="DO20" i="1" s="1"/>
  <c r="CX20" i="1"/>
  <c r="HG11" i="1"/>
  <c r="FW12" i="1"/>
  <c r="FX12" i="1" s="1"/>
  <c r="FZ12" i="1" s="1"/>
  <c r="FM12" i="1"/>
  <c r="FN12" i="1" s="1"/>
  <c r="FJ12" i="1"/>
  <c r="GQ12" i="1" s="1"/>
  <c r="FG11" i="1"/>
  <c r="FU11" i="1"/>
  <c r="CR23" i="1"/>
  <c r="AS30" i="1"/>
  <c r="AT30" i="1" s="1"/>
  <c r="HZ33" i="1" l="1"/>
  <c r="HN33" i="1"/>
  <c r="FQ9" i="1"/>
  <c r="FP9" i="1"/>
  <c r="GO9" i="1" s="1"/>
  <c r="HU33" i="1"/>
  <c r="ID33" i="1"/>
  <c r="HT33" i="1"/>
  <c r="HK33" i="1"/>
  <c r="HS34" i="1" s="1"/>
  <c r="HL34" i="1" s="1"/>
  <c r="HV33" i="1"/>
  <c r="HW33" i="1"/>
  <c r="HX33" i="1"/>
  <c r="FW10" i="1"/>
  <c r="FX10" i="1" s="1"/>
  <c r="FZ10" i="1" s="1"/>
  <c r="GP10" i="1" s="1"/>
  <c r="GA9" i="1"/>
  <c r="GD9" i="1"/>
  <c r="CP23" i="1"/>
  <c r="CS23" i="1" s="1"/>
  <c r="CT23" i="1" s="1"/>
  <c r="FM10" i="1"/>
  <c r="FN10" i="1" s="1"/>
  <c r="FQ10" i="1" s="1"/>
  <c r="HH14" i="1"/>
  <c r="HG14" i="1"/>
  <c r="FV14" i="1"/>
  <c r="FG14" i="1"/>
  <c r="CU21" i="1"/>
  <c r="CY21" i="1" s="1"/>
  <c r="FB13" i="1"/>
  <c r="FA13" i="1"/>
  <c r="EV13" i="1"/>
  <c r="FY13" i="1"/>
  <c r="HE13" i="1" s="1"/>
  <c r="FF13" i="1"/>
  <c r="FI13" i="1" s="1"/>
  <c r="FQ12" i="1"/>
  <c r="FR12" i="1"/>
  <c r="FP12" i="1"/>
  <c r="CC27" i="1"/>
  <c r="CE27" i="1"/>
  <c r="CB27" i="1"/>
  <c r="CG27" i="1" s="1"/>
  <c r="GA12" i="1"/>
  <c r="GD12" i="1"/>
  <c r="GP12" i="1"/>
  <c r="CS22" i="1"/>
  <c r="CT22" i="1" s="1"/>
  <c r="CW21" i="1"/>
  <c r="CV21" i="1"/>
  <c r="CX21" i="1"/>
  <c r="DM20" i="1"/>
  <c r="FM11" i="1"/>
  <c r="FN11" i="1" s="1"/>
  <c r="FW11" i="1"/>
  <c r="FX11" i="1" s="1"/>
  <c r="FZ11" i="1" s="1"/>
  <c r="FJ11" i="1"/>
  <c r="GQ11" i="1" s="1"/>
  <c r="DQ20" i="1"/>
  <c r="DS20" i="1" s="1"/>
  <c r="DN20" i="1"/>
  <c r="DL20" i="1"/>
  <c r="AS31" i="1"/>
  <c r="AT31" i="1" s="1"/>
  <c r="BB28" i="1"/>
  <c r="BE28" i="1" s="1"/>
  <c r="GC9" i="1" l="1"/>
  <c r="GB9" i="1"/>
  <c r="HX34" i="1"/>
  <c r="HN34" i="1"/>
  <c r="FT9" i="1"/>
  <c r="FS9" i="1"/>
  <c r="HZ34" i="1"/>
  <c r="HW34" i="1"/>
  <c r="HK34" i="1"/>
  <c r="HS35" i="1" s="1"/>
  <c r="HL35" i="1" s="1"/>
  <c r="HT34" i="1"/>
  <c r="ID34" i="1"/>
  <c r="HV34" i="1"/>
  <c r="HU34" i="1"/>
  <c r="GD10" i="1"/>
  <c r="GA10" i="1"/>
  <c r="FP10" i="1"/>
  <c r="GC10" i="1" s="1"/>
  <c r="CZ21" i="1"/>
  <c r="DP21" i="1" s="1"/>
  <c r="FR10" i="1"/>
  <c r="FS10" i="1" s="1"/>
  <c r="DA21" i="1"/>
  <c r="DQ21" i="1" s="1"/>
  <c r="FM14" i="1"/>
  <c r="FN14" i="1" s="1"/>
  <c r="FW14" i="1"/>
  <c r="FX14" i="1" s="1"/>
  <c r="FZ14" i="1" s="1"/>
  <c r="FJ14" i="1"/>
  <c r="GQ14" i="1" s="1"/>
  <c r="HQ32" i="1" s="1"/>
  <c r="DU20" i="1"/>
  <c r="DY20" i="1" s="1"/>
  <c r="CJ27" i="1"/>
  <c r="CM27" i="1" s="1"/>
  <c r="CU22" i="1"/>
  <c r="CY22" i="1" s="1"/>
  <c r="FS12" i="1"/>
  <c r="DO21" i="1"/>
  <c r="DR20" i="1"/>
  <c r="CU23" i="1"/>
  <c r="CZ23" i="1" s="1"/>
  <c r="CA28" i="1"/>
  <c r="BX28" i="1"/>
  <c r="BU28" i="1"/>
  <c r="DW20" i="1"/>
  <c r="DX20" i="1" s="1"/>
  <c r="DV20" i="1"/>
  <c r="CV22" i="1"/>
  <c r="CW22" i="1"/>
  <c r="CX22" i="1"/>
  <c r="FT12" i="1"/>
  <c r="DN21" i="1"/>
  <c r="GO12" i="1"/>
  <c r="GB12" i="1"/>
  <c r="GC12" i="1"/>
  <c r="DL21" i="1"/>
  <c r="HB13" i="1"/>
  <c r="HF13" i="1" s="1"/>
  <c r="HH13" i="1" s="1"/>
  <c r="FE13" i="1"/>
  <c r="EX13" i="1"/>
  <c r="FD13" i="1"/>
  <c r="FV13" i="1" s="1"/>
  <c r="EW13" i="1"/>
  <c r="DM21" i="1"/>
  <c r="FL13" i="1"/>
  <c r="FO13" i="1"/>
  <c r="CW23" i="1"/>
  <c r="CV23" i="1"/>
  <c r="CX23" i="1"/>
  <c r="GA11" i="1"/>
  <c r="GD11" i="1"/>
  <c r="GP11" i="1"/>
  <c r="FQ11" i="1"/>
  <c r="FP11" i="1"/>
  <c r="FR11" i="1"/>
  <c r="CK27" i="1"/>
  <c r="CF27" i="1"/>
  <c r="CL27" i="1" s="1"/>
  <c r="CH27" i="1"/>
  <c r="AS32" i="1"/>
  <c r="AT32" i="1" s="1"/>
  <c r="BB29" i="1"/>
  <c r="BE29" i="1" s="1"/>
  <c r="GH9" i="1" l="1"/>
  <c r="GE9" i="1"/>
  <c r="GF9" i="1" s="1"/>
  <c r="GG9" i="1"/>
  <c r="GI9" i="1"/>
  <c r="HT35" i="1"/>
  <c r="HN35" i="1"/>
  <c r="HK35" i="1"/>
  <c r="HS36" i="1" s="1"/>
  <c r="HL36" i="1" s="1"/>
  <c r="HU35" i="1"/>
  <c r="ID35" i="1"/>
  <c r="HW35" i="1"/>
  <c r="HX35" i="1"/>
  <c r="HZ35" i="1"/>
  <c r="HV35" i="1"/>
  <c r="GB10" i="1"/>
  <c r="GI10" i="1" s="1"/>
  <c r="GO10" i="1"/>
  <c r="FT10" i="1"/>
  <c r="FR14" i="1"/>
  <c r="FQ14" i="1"/>
  <c r="FP14" i="1"/>
  <c r="GB14" i="1" s="1"/>
  <c r="GP14" i="1"/>
  <c r="HR32" i="1" s="1"/>
  <c r="GD14" i="1"/>
  <c r="GA14" i="1"/>
  <c r="DA23" i="1"/>
  <c r="DQ23" i="1" s="1"/>
  <c r="GI12" i="1"/>
  <c r="DA22" i="1"/>
  <c r="DQ22" i="1" s="1"/>
  <c r="CR27" i="1"/>
  <c r="DU21" i="1"/>
  <c r="CY23" i="1"/>
  <c r="DO23" i="1" s="1"/>
  <c r="DZ20" i="1"/>
  <c r="CZ22" i="1"/>
  <c r="DP22" i="1" s="1"/>
  <c r="EA20" i="1"/>
  <c r="HG13" i="1"/>
  <c r="GH12" i="1"/>
  <c r="DS21" i="1"/>
  <c r="FS11" i="1"/>
  <c r="DM23" i="1"/>
  <c r="FU13" i="1"/>
  <c r="FG13" i="1"/>
  <c r="DM22" i="1"/>
  <c r="DL22" i="1"/>
  <c r="BU29" i="1"/>
  <c r="CA29" i="1"/>
  <c r="BX29" i="1"/>
  <c r="FH13" i="1"/>
  <c r="DL23" i="1"/>
  <c r="DR21" i="1"/>
  <c r="DW21" i="1"/>
  <c r="DX21" i="1" s="1"/>
  <c r="DV21" i="1"/>
  <c r="DN22" i="1"/>
  <c r="DO22" i="1"/>
  <c r="FT11" i="1"/>
  <c r="DP23" i="1"/>
  <c r="GE12" i="1"/>
  <c r="GF12" i="1" s="1"/>
  <c r="GG12" i="1"/>
  <c r="CN27" i="1"/>
  <c r="CP27" i="1" s="1"/>
  <c r="GO11" i="1"/>
  <c r="GC11" i="1"/>
  <c r="GB11" i="1"/>
  <c r="DN23" i="1"/>
  <c r="CB28" i="1"/>
  <c r="CG28" i="1" s="1"/>
  <c r="CE28" i="1"/>
  <c r="CC28" i="1"/>
  <c r="AS33" i="1"/>
  <c r="AT33" i="1" s="1"/>
  <c r="BB33" i="1" s="1"/>
  <c r="BE33" i="1" s="1"/>
  <c r="BB30" i="1"/>
  <c r="BE30" i="1" s="1"/>
  <c r="BU33" i="1" l="1"/>
  <c r="CA33" i="1"/>
  <c r="BX33" i="1"/>
  <c r="GY9" i="1"/>
  <c r="GS9" i="1"/>
  <c r="HA9" i="1" s="1"/>
  <c r="HC9" i="1" s="1"/>
  <c r="HX36" i="1"/>
  <c r="HN36" i="1"/>
  <c r="HZ36" i="1"/>
  <c r="HW36" i="1"/>
  <c r="HT36" i="1"/>
  <c r="HK36" i="1"/>
  <c r="HS37" i="1" s="1"/>
  <c r="HL37" i="1" s="1"/>
  <c r="HU36" i="1"/>
  <c r="ID36" i="1"/>
  <c r="HV36" i="1"/>
  <c r="GE10" i="1"/>
  <c r="GF10" i="1" s="1"/>
  <c r="GH10" i="1"/>
  <c r="GY10" i="1" s="1"/>
  <c r="GG10" i="1"/>
  <c r="FS14" i="1"/>
  <c r="FT14" i="1"/>
  <c r="GC14" i="1"/>
  <c r="GH14" i="1" s="1"/>
  <c r="GO14" i="1"/>
  <c r="HM32" i="1" s="1"/>
  <c r="GY12" i="1"/>
  <c r="GS12" i="1"/>
  <c r="ED20" i="1"/>
  <c r="EH20" i="1" s="1"/>
  <c r="EB20" i="1"/>
  <c r="DY21" i="1"/>
  <c r="EC20" i="1"/>
  <c r="EG20" i="1" s="1"/>
  <c r="EA21" i="1"/>
  <c r="GH11" i="1"/>
  <c r="CJ28" i="1"/>
  <c r="CM28" i="1" s="1"/>
  <c r="DZ21" i="1"/>
  <c r="CF28" i="1"/>
  <c r="CL28" i="1" s="1"/>
  <c r="CH28" i="1"/>
  <c r="CK28" i="1"/>
  <c r="DW23" i="1"/>
  <c r="DX23" i="1" s="1"/>
  <c r="DR23" i="1"/>
  <c r="DV23" i="1"/>
  <c r="CE29" i="1"/>
  <c r="CB29" i="1"/>
  <c r="CG29" i="1" s="1"/>
  <c r="CC29" i="1"/>
  <c r="FW13" i="1"/>
  <c r="FX13" i="1" s="1"/>
  <c r="FZ13" i="1" s="1"/>
  <c r="FJ13" i="1"/>
  <c r="GQ13" i="1" s="1"/>
  <c r="FM13" i="1"/>
  <c r="FN13" i="1" s="1"/>
  <c r="DS23" i="1"/>
  <c r="DU23" i="1"/>
  <c r="DU22" i="1"/>
  <c r="DS22" i="1"/>
  <c r="BU30" i="1"/>
  <c r="BX30" i="1"/>
  <c r="CA30" i="1"/>
  <c r="DV22" i="1"/>
  <c r="DW22" i="1"/>
  <c r="DX22" i="1" s="1"/>
  <c r="DR22" i="1"/>
  <c r="CQ27" i="1"/>
  <c r="GE11" i="1"/>
  <c r="GF11" i="1" s="1"/>
  <c r="GG11" i="1"/>
  <c r="GI11" i="1"/>
  <c r="AS34" i="1"/>
  <c r="AT34" i="1" s="1"/>
  <c r="BB31" i="1"/>
  <c r="BE31" i="1" s="1"/>
  <c r="CB33" i="1" l="1"/>
  <c r="CG33" i="1" s="1"/>
  <c r="CC33" i="1"/>
  <c r="CE33" i="1"/>
  <c r="GZ9" i="1"/>
  <c r="GR9" i="1"/>
  <c r="GT9" i="1"/>
  <c r="HD9" i="1"/>
  <c r="HV37" i="1"/>
  <c r="HN37" i="1"/>
  <c r="HK37" i="1"/>
  <c r="HS38" i="1" s="1"/>
  <c r="HL38" i="1" s="1"/>
  <c r="HW37" i="1"/>
  <c r="HZ37" i="1"/>
  <c r="HX37" i="1"/>
  <c r="HT37" i="1"/>
  <c r="GS10" i="1"/>
  <c r="GT10" i="1" s="1"/>
  <c r="HU37" i="1"/>
  <c r="ID37" i="1"/>
  <c r="GG14" i="1"/>
  <c r="GS14" i="1" s="1"/>
  <c r="HY32" i="1" s="1"/>
  <c r="HA12" i="1"/>
  <c r="HC12" i="1" s="1"/>
  <c r="GZ12" i="1"/>
  <c r="GZ10" i="1"/>
  <c r="EJ20" i="1"/>
  <c r="EL20" i="1"/>
  <c r="EB21" i="1"/>
  <c r="GI14" i="1"/>
  <c r="GE14" i="1"/>
  <c r="GF14" i="1" s="1"/>
  <c r="EK20" i="1"/>
  <c r="EF20" i="1"/>
  <c r="GR12" i="1"/>
  <c r="GT12" i="1"/>
  <c r="EI20" i="1"/>
  <c r="EE20" i="1"/>
  <c r="EC21" i="1"/>
  <c r="EG21" i="1" s="1"/>
  <c r="ED21" i="1"/>
  <c r="EI21" i="1" s="1"/>
  <c r="GS11" i="1"/>
  <c r="GY11" i="1"/>
  <c r="CJ29" i="1"/>
  <c r="CM29" i="1" s="1"/>
  <c r="EA22" i="1"/>
  <c r="DZ23" i="1"/>
  <c r="CA31" i="1"/>
  <c r="BU31" i="1"/>
  <c r="BX31" i="1"/>
  <c r="DZ22" i="1"/>
  <c r="FR13" i="1"/>
  <c r="FP13" i="1"/>
  <c r="FQ13" i="1"/>
  <c r="EA23" i="1"/>
  <c r="CN28" i="1"/>
  <c r="CQ28" i="1" s="1"/>
  <c r="GP13" i="1"/>
  <c r="GD13" i="1"/>
  <c r="GA13" i="1"/>
  <c r="CE30" i="1"/>
  <c r="CC30" i="1"/>
  <c r="CB30" i="1"/>
  <c r="CG30" i="1" s="1"/>
  <c r="DY22" i="1"/>
  <c r="CK29" i="1"/>
  <c r="CH29" i="1"/>
  <c r="CF29" i="1"/>
  <c r="CL29" i="1" s="1"/>
  <c r="CS27" i="1"/>
  <c r="CT27" i="1" s="1"/>
  <c r="DY23" i="1"/>
  <c r="CR28" i="1"/>
  <c r="AS35" i="1"/>
  <c r="AT35" i="1" s="1"/>
  <c r="BB32" i="1"/>
  <c r="BE32" i="1" s="1"/>
  <c r="CJ33" i="1" l="1"/>
  <c r="CM33" i="1" s="1"/>
  <c r="CK33" i="1"/>
  <c r="CF33" i="1"/>
  <c r="CL33" i="1" s="1"/>
  <c r="CH33" i="1"/>
  <c r="HA10" i="1"/>
  <c r="HC10" i="1" s="1"/>
  <c r="HW38" i="1"/>
  <c r="HN38" i="1"/>
  <c r="HX38" i="1"/>
  <c r="GR10" i="1"/>
  <c r="HV38" i="1"/>
  <c r="HQ38" i="1"/>
  <c r="IC38" i="1"/>
  <c r="HY38" i="1"/>
  <c r="HK38" i="1"/>
  <c r="HS39" i="1" s="1"/>
  <c r="HL39" i="1" s="1"/>
  <c r="IE38" i="1"/>
  <c r="HR38" i="1"/>
  <c r="HT38" i="1"/>
  <c r="HZ38" i="1"/>
  <c r="HU38" i="1"/>
  <c r="IA38" i="1"/>
  <c r="ID38" i="1"/>
  <c r="IB38" i="1"/>
  <c r="HM38" i="1"/>
  <c r="HD12" i="1"/>
  <c r="GT11" i="1"/>
  <c r="GZ11" i="1"/>
  <c r="EM20" i="1"/>
  <c r="EN20" i="1"/>
  <c r="EH21" i="1"/>
  <c r="EO20" i="1"/>
  <c r="ER20" i="1" s="1"/>
  <c r="GY14" i="1"/>
  <c r="IA32" i="1" s="1"/>
  <c r="EJ21" i="1"/>
  <c r="EL21" i="1"/>
  <c r="HA11" i="1"/>
  <c r="HD11" i="1" s="1"/>
  <c r="EE21" i="1"/>
  <c r="EF21" i="1"/>
  <c r="EK21" i="1"/>
  <c r="GR11" i="1"/>
  <c r="CR29" i="1"/>
  <c r="CP28" i="1"/>
  <c r="CS28" i="1" s="1"/>
  <c r="CT28" i="1" s="1"/>
  <c r="FT13" i="1"/>
  <c r="CU27" i="1"/>
  <c r="CY27" i="1" s="1"/>
  <c r="GB13" i="1"/>
  <c r="GO13" i="1"/>
  <c r="GC13" i="1"/>
  <c r="CV27" i="1"/>
  <c r="CW27" i="1"/>
  <c r="CX27" i="1"/>
  <c r="CK30" i="1"/>
  <c r="CH30" i="1"/>
  <c r="CF30" i="1"/>
  <c r="CL30" i="1" s="1"/>
  <c r="EB22" i="1"/>
  <c r="ED22" i="1"/>
  <c r="EC22" i="1"/>
  <c r="BX32" i="1"/>
  <c r="BU32" i="1"/>
  <c r="CA32" i="1"/>
  <c r="CJ30" i="1"/>
  <c r="CE31" i="1"/>
  <c r="CB31" i="1"/>
  <c r="CG31" i="1" s="1"/>
  <c r="CC31" i="1"/>
  <c r="EB23" i="1"/>
  <c r="ED23" i="1"/>
  <c r="EC23" i="1"/>
  <c r="CN29" i="1"/>
  <c r="CQ29" i="1" s="1"/>
  <c r="FS13" i="1"/>
  <c r="AS36" i="1"/>
  <c r="AT36" i="1" s="1"/>
  <c r="BB36" i="1" s="1"/>
  <c r="BE36" i="1" s="1"/>
  <c r="CA36" i="1" l="1"/>
  <c r="BU36" i="1"/>
  <c r="BX36" i="1"/>
  <c r="CN33" i="1"/>
  <c r="CP33" i="1" s="1"/>
  <c r="CR33" i="1"/>
  <c r="HD10" i="1"/>
  <c r="HY39" i="1"/>
  <c r="HN39" i="1"/>
  <c r="HU39" i="1"/>
  <c r="ID39" i="1"/>
  <c r="HV39" i="1"/>
  <c r="HT39" i="1"/>
  <c r="HX39" i="1"/>
  <c r="HQ39" i="1"/>
  <c r="HR39" i="1"/>
  <c r="HW39" i="1"/>
  <c r="IA39" i="1"/>
  <c r="HZ39" i="1"/>
  <c r="IE39" i="1"/>
  <c r="HK39" i="1"/>
  <c r="HS40" i="1" s="1"/>
  <c r="HL40" i="1" s="1"/>
  <c r="IB39" i="1"/>
  <c r="HM39" i="1"/>
  <c r="IC39" i="1"/>
  <c r="EQ20" i="1"/>
  <c r="EZ20" i="1" s="1"/>
  <c r="FC20" i="1" s="1"/>
  <c r="FF20" i="1" s="1"/>
  <c r="FI20" i="1" s="1"/>
  <c r="EP20" i="1"/>
  <c r="EV20" i="1" s="1"/>
  <c r="EN21" i="1"/>
  <c r="EM21" i="1"/>
  <c r="HC11" i="1"/>
  <c r="EO21" i="1"/>
  <c r="ER21" i="1" s="1"/>
  <c r="GT14" i="1"/>
  <c r="IC32" i="1" s="1"/>
  <c r="GR14" i="1"/>
  <c r="IB32" i="1" s="1"/>
  <c r="HA14" i="1"/>
  <c r="GZ14" i="1"/>
  <c r="IE32" i="1" s="1"/>
  <c r="GH13" i="1"/>
  <c r="GI13" i="1"/>
  <c r="DO27" i="1"/>
  <c r="CU28" i="1"/>
  <c r="DA28" i="1" s="1"/>
  <c r="DA27" i="1"/>
  <c r="DQ27" i="1" s="1"/>
  <c r="CZ27" i="1"/>
  <c r="DP27" i="1" s="1"/>
  <c r="CP29" i="1"/>
  <c r="CS29" i="1" s="1"/>
  <c r="CU29" i="1" s="1"/>
  <c r="EG23" i="1"/>
  <c r="EK23" i="1"/>
  <c r="EE23" i="1"/>
  <c r="EF23" i="1"/>
  <c r="CJ31" i="1"/>
  <c r="EH23" i="1"/>
  <c r="EL23" i="1"/>
  <c r="EJ23" i="1"/>
  <c r="EI23" i="1"/>
  <c r="CM30" i="1"/>
  <c r="CR30" i="1"/>
  <c r="CC32" i="1"/>
  <c r="CB32" i="1"/>
  <c r="CG32" i="1" s="1"/>
  <c r="CE32" i="1"/>
  <c r="CN30" i="1"/>
  <c r="DN27" i="1"/>
  <c r="CF31" i="1"/>
  <c r="CL31" i="1" s="1"/>
  <c r="CH31" i="1"/>
  <c r="CK31" i="1"/>
  <c r="DM27" i="1"/>
  <c r="EL22" i="1"/>
  <c r="EI22" i="1"/>
  <c r="EJ22" i="1"/>
  <c r="EH22" i="1"/>
  <c r="CV28" i="1"/>
  <c r="CW28" i="1"/>
  <c r="CX28" i="1"/>
  <c r="EE22" i="1"/>
  <c r="EK22" i="1"/>
  <c r="EF22" i="1"/>
  <c r="EG22" i="1"/>
  <c r="DL27" i="1"/>
  <c r="GG13" i="1"/>
  <c r="GE13" i="1"/>
  <c r="GF13" i="1" s="1"/>
  <c r="AS37" i="1"/>
  <c r="AT37" i="1" s="1"/>
  <c r="CC36" i="1" l="1"/>
  <c r="CE36" i="1"/>
  <c r="CB36" i="1"/>
  <c r="CG36" i="1" s="1"/>
  <c r="CQ33" i="1"/>
  <c r="IC40" i="1"/>
  <c r="HN40" i="1"/>
  <c r="HU40" i="1"/>
  <c r="HT40" i="1"/>
  <c r="HQ40" i="1"/>
  <c r="HY40" i="1"/>
  <c r="HM40" i="1"/>
  <c r="IB40" i="1"/>
  <c r="HX40" i="1"/>
  <c r="ID40" i="1"/>
  <c r="HR40" i="1"/>
  <c r="HW40" i="1"/>
  <c r="HK40" i="1"/>
  <c r="HS41" i="1" s="1"/>
  <c r="HL41" i="1" s="1"/>
  <c r="HZ40" i="1"/>
  <c r="IE40" i="1"/>
  <c r="IA40" i="1"/>
  <c r="HV40" i="1"/>
  <c r="GS13" i="1"/>
  <c r="FY20" i="1"/>
  <c r="HE20" i="1" s="1"/>
  <c r="FA20" i="1"/>
  <c r="FB20" i="1"/>
  <c r="EQ21" i="1"/>
  <c r="EZ21" i="1" s="1"/>
  <c r="FC21" i="1" s="1"/>
  <c r="FY21" i="1" s="1"/>
  <c r="HE21" i="1" s="1"/>
  <c r="EP21" i="1"/>
  <c r="CZ28" i="1"/>
  <c r="DP28" i="1" s="1"/>
  <c r="CY28" i="1"/>
  <c r="DO28" i="1" s="1"/>
  <c r="GY13" i="1"/>
  <c r="HC14" i="1"/>
  <c r="HD14" i="1"/>
  <c r="DS27" i="1"/>
  <c r="CJ32" i="1"/>
  <c r="CM32" i="1" s="1"/>
  <c r="DU27" i="1"/>
  <c r="CQ30" i="1"/>
  <c r="CT29" i="1"/>
  <c r="CW29" i="1" s="1"/>
  <c r="GT13" i="1"/>
  <c r="DM28" i="1"/>
  <c r="CN31" i="1"/>
  <c r="EO23" i="1"/>
  <c r="ER23" i="1" s="1"/>
  <c r="EN23" i="1"/>
  <c r="EM23" i="1"/>
  <c r="DL28" i="1"/>
  <c r="DR27" i="1"/>
  <c r="DV27" i="1"/>
  <c r="DW27" i="1"/>
  <c r="DX27" i="1" s="1"/>
  <c r="CP30" i="1"/>
  <c r="HB20" i="1"/>
  <c r="HF20" i="1" s="1"/>
  <c r="EX20" i="1"/>
  <c r="EW20" i="1"/>
  <c r="CM31" i="1"/>
  <c r="CR31" i="1"/>
  <c r="DN28" i="1"/>
  <c r="EM22" i="1"/>
  <c r="EO22" i="1"/>
  <c r="ER22" i="1" s="1"/>
  <c r="EN22" i="1"/>
  <c r="DQ28" i="1"/>
  <c r="CH32" i="1"/>
  <c r="CK32" i="1"/>
  <c r="CF32" i="1"/>
  <c r="CL32" i="1" s="1"/>
  <c r="CY29" i="1"/>
  <c r="CZ29" i="1"/>
  <c r="DA29" i="1"/>
  <c r="AS38" i="1"/>
  <c r="AT38" i="1" s="1"/>
  <c r="CJ36" i="1" l="1"/>
  <c r="CM36" i="1" s="1"/>
  <c r="CK36" i="1"/>
  <c r="CH36" i="1"/>
  <c r="CF36" i="1"/>
  <c r="CL36" i="1" s="1"/>
  <c r="CS33" i="1"/>
  <c r="CU33" i="1" s="1"/>
  <c r="HM41" i="1"/>
  <c r="HN41" i="1"/>
  <c r="HT41" i="1"/>
  <c r="HX41" i="1"/>
  <c r="HR41" i="1"/>
  <c r="HU41" i="1"/>
  <c r="IB41" i="1"/>
  <c r="HQ41" i="1"/>
  <c r="ID41" i="1"/>
  <c r="HY41" i="1"/>
  <c r="IC41" i="1"/>
  <c r="HZ41" i="1"/>
  <c r="HV41" i="1"/>
  <c r="IA41" i="1"/>
  <c r="IE41" i="1"/>
  <c r="HW41" i="1"/>
  <c r="HK41" i="1"/>
  <c r="HS42" i="1" s="1"/>
  <c r="HL42" i="1" s="1"/>
  <c r="GR13" i="1"/>
  <c r="FE20" i="1"/>
  <c r="FH20" i="1" s="1"/>
  <c r="HA13" i="1"/>
  <c r="HD13" i="1" s="1"/>
  <c r="FF21" i="1"/>
  <c r="FI21" i="1" s="1"/>
  <c r="FB21" i="1"/>
  <c r="EV21" i="1"/>
  <c r="EX21" i="1" s="1"/>
  <c r="HG20" i="1"/>
  <c r="CX29" i="1"/>
  <c r="DN29" i="1" s="1"/>
  <c r="FA21" i="1"/>
  <c r="FD20" i="1"/>
  <c r="FV20" i="1" s="1"/>
  <c r="CV29" i="1"/>
  <c r="DO29" i="1" s="1"/>
  <c r="FO20" i="1"/>
  <c r="FL20" i="1"/>
  <c r="GZ13" i="1"/>
  <c r="CP31" i="1"/>
  <c r="DY27" i="1"/>
  <c r="DU28" i="1"/>
  <c r="CS30" i="1"/>
  <c r="CU30" i="1" s="1"/>
  <c r="DP29" i="1"/>
  <c r="HH20" i="1"/>
  <c r="DW28" i="1"/>
  <c r="DX28" i="1" s="1"/>
  <c r="CN32" i="1"/>
  <c r="CQ32" i="1" s="1"/>
  <c r="DS28" i="1"/>
  <c r="EA27" i="1"/>
  <c r="DM29" i="1"/>
  <c r="DZ27" i="1"/>
  <c r="DR28" i="1"/>
  <c r="DV28" i="1"/>
  <c r="CQ31" i="1"/>
  <c r="EP23" i="1"/>
  <c r="EQ23" i="1"/>
  <c r="EZ23" i="1" s="1"/>
  <c r="FC23" i="1" s="1"/>
  <c r="EP22" i="1"/>
  <c r="EQ22" i="1"/>
  <c r="EZ22" i="1" s="1"/>
  <c r="FC22" i="1" s="1"/>
  <c r="FU20" i="1"/>
  <c r="CR32" i="1"/>
  <c r="AS39" i="1"/>
  <c r="AT39" i="1" s="1"/>
  <c r="CN36" i="1" l="1"/>
  <c r="CP36" i="1" s="1"/>
  <c r="CR36" i="1"/>
  <c r="CT33" i="1"/>
  <c r="CV33" i="1" s="1"/>
  <c r="CY33" i="1"/>
  <c r="CZ33" i="1"/>
  <c r="DA33" i="1"/>
  <c r="HU42" i="1"/>
  <c r="HN42" i="1"/>
  <c r="ID42" i="1"/>
  <c r="IA42" i="1"/>
  <c r="HV42" i="1"/>
  <c r="HR42" i="1"/>
  <c r="IE42" i="1"/>
  <c r="IC42" i="1"/>
  <c r="HZ42" i="1"/>
  <c r="HM42" i="1"/>
  <c r="HY42" i="1"/>
  <c r="HK42" i="1"/>
  <c r="HS43" i="1" s="1"/>
  <c r="HL43" i="1" s="1"/>
  <c r="IB42" i="1"/>
  <c r="HX42" i="1"/>
  <c r="HT42" i="1"/>
  <c r="HW42" i="1"/>
  <c r="HQ42" i="1"/>
  <c r="FG20" i="1"/>
  <c r="FM20" i="1" s="1"/>
  <c r="FN20" i="1" s="1"/>
  <c r="HC13" i="1"/>
  <c r="FL21" i="1"/>
  <c r="DQ29" i="1"/>
  <c r="DU29" i="1" s="1"/>
  <c r="FE21" i="1"/>
  <c r="FH21" i="1" s="1"/>
  <c r="FD21" i="1"/>
  <c r="FV21" i="1" s="1"/>
  <c r="EW21" i="1"/>
  <c r="FU21" i="1" s="1"/>
  <c r="HB21" i="1"/>
  <c r="HF21" i="1" s="1"/>
  <c r="HG21" i="1" s="1"/>
  <c r="FO21" i="1"/>
  <c r="DL29" i="1"/>
  <c r="DW29" i="1" s="1"/>
  <c r="DX29" i="1" s="1"/>
  <c r="CT30" i="1"/>
  <c r="CV30" i="1" s="1"/>
  <c r="EA28" i="1"/>
  <c r="DY28" i="1"/>
  <c r="DZ28" i="1"/>
  <c r="FY22" i="1"/>
  <c r="HE22" i="1" s="1"/>
  <c r="FF22" i="1"/>
  <c r="FI22" i="1" s="1"/>
  <c r="EV22" i="1"/>
  <c r="FA22" i="1"/>
  <c r="FB22" i="1"/>
  <c r="ED27" i="1"/>
  <c r="EB27" i="1"/>
  <c r="EC27" i="1"/>
  <c r="FY23" i="1"/>
  <c r="HE23" i="1" s="1"/>
  <c r="FF23" i="1"/>
  <c r="FI23" i="1" s="1"/>
  <c r="EV23" i="1"/>
  <c r="FA23" i="1"/>
  <c r="FB23" i="1"/>
  <c r="CY30" i="1"/>
  <c r="DA30" i="1"/>
  <c r="CZ30" i="1"/>
  <c r="CP32" i="1"/>
  <c r="CS32" i="1" s="1"/>
  <c r="CU32" i="1" s="1"/>
  <c r="CS31" i="1"/>
  <c r="CU31" i="1" s="1"/>
  <c r="AS40" i="1"/>
  <c r="AT40" i="1" s="1"/>
  <c r="BB37" i="1"/>
  <c r="BE37" i="1" s="1"/>
  <c r="CQ36" i="1" l="1"/>
  <c r="CX33" i="1"/>
  <c r="DQ33" i="1" s="1"/>
  <c r="CW33" i="1"/>
  <c r="DP33" i="1" s="1"/>
  <c r="DO33" i="1"/>
  <c r="DU33" i="1" s="1"/>
  <c r="DL33" i="1"/>
  <c r="IC43" i="1"/>
  <c r="HN43" i="1"/>
  <c r="HT43" i="1"/>
  <c r="FW20" i="1"/>
  <c r="FX20" i="1" s="1"/>
  <c r="FZ20" i="1" s="1"/>
  <c r="GD20" i="1" s="1"/>
  <c r="HY43" i="1"/>
  <c r="HX43" i="1"/>
  <c r="HR43" i="1"/>
  <c r="HV43" i="1"/>
  <c r="FJ20" i="1"/>
  <c r="GQ20" i="1" s="1"/>
  <c r="HK43" i="1"/>
  <c r="HS44" i="1" s="1"/>
  <c r="HL44" i="1" s="1"/>
  <c r="HQ43" i="1"/>
  <c r="HW43" i="1"/>
  <c r="HM43" i="1"/>
  <c r="HZ43" i="1"/>
  <c r="ID43" i="1"/>
  <c r="IA43" i="1"/>
  <c r="HU43" i="1"/>
  <c r="IB43" i="1"/>
  <c r="IE43" i="1"/>
  <c r="DS29" i="1"/>
  <c r="DY29" i="1" s="1"/>
  <c r="CW30" i="1"/>
  <c r="DM30" i="1" s="1"/>
  <c r="FG21" i="1"/>
  <c r="FM21" i="1" s="1"/>
  <c r="FN21" i="1" s="1"/>
  <c r="HH21" i="1"/>
  <c r="DV29" i="1"/>
  <c r="DR29" i="1"/>
  <c r="EA29" i="1" s="1"/>
  <c r="CX30" i="1"/>
  <c r="DQ30" i="1" s="1"/>
  <c r="EC28" i="1"/>
  <c r="EG28" i="1" s="1"/>
  <c r="ED28" i="1"/>
  <c r="EJ28" i="1" s="1"/>
  <c r="EB28" i="1"/>
  <c r="FR20" i="1"/>
  <c r="FP20" i="1"/>
  <c r="FQ20" i="1"/>
  <c r="EK27" i="1"/>
  <c r="EG27" i="1"/>
  <c r="EF27" i="1"/>
  <c r="EE27" i="1"/>
  <c r="FL23" i="1"/>
  <c r="FO23" i="1"/>
  <c r="EL27" i="1"/>
  <c r="EJ27" i="1"/>
  <c r="EI27" i="1"/>
  <c r="EH27" i="1"/>
  <c r="EW23" i="1"/>
  <c r="HB23" i="1"/>
  <c r="HF23" i="1" s="1"/>
  <c r="HG23" i="1" s="1"/>
  <c r="EX23" i="1"/>
  <c r="FE23" i="1"/>
  <c r="FD23" i="1"/>
  <c r="FV23" i="1" s="1"/>
  <c r="CZ31" i="1"/>
  <c r="CY31" i="1"/>
  <c r="DA31" i="1"/>
  <c r="CA37" i="1"/>
  <c r="BX37" i="1"/>
  <c r="BU37" i="1"/>
  <c r="DO30" i="1"/>
  <c r="CT32" i="1"/>
  <c r="DL30" i="1"/>
  <c r="FL22" i="1"/>
  <c r="FO22" i="1"/>
  <c r="CZ32" i="1"/>
  <c r="CY32" i="1"/>
  <c r="DA32" i="1"/>
  <c r="CT31" i="1"/>
  <c r="HB22" i="1"/>
  <c r="HF22" i="1" s="1"/>
  <c r="HG22" i="1" s="1"/>
  <c r="EX22" i="1"/>
  <c r="EW22" i="1"/>
  <c r="FE22" i="1"/>
  <c r="FD22" i="1"/>
  <c r="FV22" i="1" s="1"/>
  <c r="AS41" i="1"/>
  <c r="AT41" i="1" s="1"/>
  <c r="BB38" i="1"/>
  <c r="BE38" i="1" s="1"/>
  <c r="CS36" i="1" l="1"/>
  <c r="CT36" i="1" s="1"/>
  <c r="DM33" i="1"/>
  <c r="DN33" i="1"/>
  <c r="DS33" i="1"/>
  <c r="DY33" i="1" s="1"/>
  <c r="DV33" i="1"/>
  <c r="DW33" i="1"/>
  <c r="DX33" i="1" s="1"/>
  <c r="DR33" i="1"/>
  <c r="FJ21" i="1"/>
  <c r="GQ21" i="1" s="1"/>
  <c r="IE44" i="1"/>
  <c r="HN44" i="1"/>
  <c r="GA20" i="1"/>
  <c r="GP20" i="1"/>
  <c r="FW21" i="1"/>
  <c r="FX21" i="1" s="1"/>
  <c r="FZ21" i="1" s="1"/>
  <c r="GA21" i="1" s="1"/>
  <c r="HT44" i="1"/>
  <c r="HM44" i="1"/>
  <c r="IC44" i="1"/>
  <c r="HQ44" i="1"/>
  <c r="IA44" i="1"/>
  <c r="HX44" i="1"/>
  <c r="IB44" i="1"/>
  <c r="HY44" i="1"/>
  <c r="HU44" i="1"/>
  <c r="HR44" i="1"/>
  <c r="ID44" i="1"/>
  <c r="HZ44" i="1"/>
  <c r="HV44" i="1"/>
  <c r="HW44" i="1"/>
  <c r="HK44" i="1"/>
  <c r="HS45" i="1" s="1"/>
  <c r="HL45" i="1" s="1"/>
  <c r="DP30" i="1"/>
  <c r="DU30" i="1" s="1"/>
  <c r="EK28" i="1"/>
  <c r="DZ29" i="1"/>
  <c r="EC29" i="1" s="1"/>
  <c r="EG29" i="1" s="1"/>
  <c r="DN30" i="1"/>
  <c r="DR30" i="1" s="1"/>
  <c r="EF28" i="1"/>
  <c r="EE28" i="1"/>
  <c r="FS20" i="1"/>
  <c r="EH28" i="1"/>
  <c r="EI28" i="1"/>
  <c r="EL28" i="1"/>
  <c r="EO28" i="1" s="1"/>
  <c r="ER28" i="1" s="1"/>
  <c r="FU22" i="1"/>
  <c r="FG22" i="1"/>
  <c r="CC37" i="1"/>
  <c r="CB37" i="1"/>
  <c r="CG37" i="1" s="1"/>
  <c r="CE37" i="1"/>
  <c r="GO20" i="1"/>
  <c r="GC20" i="1"/>
  <c r="GB20" i="1"/>
  <c r="FT20" i="1"/>
  <c r="CV31" i="1"/>
  <c r="DO31" i="1" s="1"/>
  <c r="CW31" i="1"/>
  <c r="CX31" i="1"/>
  <c r="DQ31" i="1" s="1"/>
  <c r="FP21" i="1"/>
  <c r="FR21" i="1"/>
  <c r="FQ21" i="1"/>
  <c r="FU23" i="1"/>
  <c r="FG23" i="1"/>
  <c r="BX38" i="1"/>
  <c r="CA38" i="1"/>
  <c r="BU38" i="1"/>
  <c r="CX32" i="1"/>
  <c r="DQ32" i="1" s="1"/>
  <c r="CV32" i="1"/>
  <c r="CW32" i="1"/>
  <c r="HH22" i="1"/>
  <c r="FH22" i="1"/>
  <c r="FH23" i="1"/>
  <c r="EN27" i="1"/>
  <c r="EO27" i="1"/>
  <c r="ER27" i="1" s="1"/>
  <c r="EM27" i="1"/>
  <c r="HH23" i="1"/>
  <c r="AS42" i="1"/>
  <c r="AT42" i="1" s="1"/>
  <c r="BB39" i="1"/>
  <c r="BE39" i="1" s="1"/>
  <c r="CU36" i="1" l="1"/>
  <c r="CY36" i="1" s="1"/>
  <c r="CV36" i="1"/>
  <c r="CW36" i="1"/>
  <c r="CX36" i="1"/>
  <c r="EA33" i="1"/>
  <c r="DZ33" i="1"/>
  <c r="ID45" i="1"/>
  <c r="HN45" i="1"/>
  <c r="GP21" i="1"/>
  <c r="GD21" i="1"/>
  <c r="IE45" i="1"/>
  <c r="HK45" i="1"/>
  <c r="HS46" i="1" s="1"/>
  <c r="HL46" i="1" s="1"/>
  <c r="HZ45" i="1"/>
  <c r="HR45" i="1"/>
  <c r="IB45" i="1"/>
  <c r="HV45" i="1"/>
  <c r="HQ45" i="1"/>
  <c r="HY45" i="1"/>
  <c r="IC45" i="1"/>
  <c r="HU45" i="1"/>
  <c r="IA45" i="1"/>
  <c r="HW45" i="1"/>
  <c r="HX45" i="1"/>
  <c r="HT45" i="1"/>
  <c r="HM45" i="1"/>
  <c r="DS30" i="1"/>
  <c r="DY30" i="1" s="1"/>
  <c r="DW30" i="1"/>
  <c r="DX30" i="1" s="1"/>
  <c r="EA30" i="1" s="1"/>
  <c r="DV30" i="1"/>
  <c r="ED29" i="1"/>
  <c r="EH29" i="1" s="1"/>
  <c r="EB29" i="1"/>
  <c r="EN28" i="1"/>
  <c r="EM28" i="1"/>
  <c r="EF29" i="1"/>
  <c r="EE29" i="1"/>
  <c r="EK29" i="1"/>
  <c r="GI20" i="1"/>
  <c r="FT21" i="1"/>
  <c r="DL31" i="1"/>
  <c r="CK37" i="1"/>
  <c r="CF37" i="1"/>
  <c r="CL37" i="1" s="1"/>
  <c r="CH37" i="1"/>
  <c r="DM32" i="1"/>
  <c r="FS21" i="1"/>
  <c r="DP32" i="1"/>
  <c r="EQ27" i="1"/>
  <c r="EZ27" i="1" s="1"/>
  <c r="FC27" i="1" s="1"/>
  <c r="EP27" i="1"/>
  <c r="DO32" i="1"/>
  <c r="DL32" i="1"/>
  <c r="CE38" i="1"/>
  <c r="CB38" i="1"/>
  <c r="CG38" i="1" s="1"/>
  <c r="CC38" i="1"/>
  <c r="GG20" i="1"/>
  <c r="GE20" i="1"/>
  <c r="GF20" i="1" s="1"/>
  <c r="BX39" i="1"/>
  <c r="CA39" i="1"/>
  <c r="BU39" i="1"/>
  <c r="DN32" i="1"/>
  <c r="GO21" i="1"/>
  <c r="GB21" i="1"/>
  <c r="GC21" i="1"/>
  <c r="GH20" i="1"/>
  <c r="FW22" i="1"/>
  <c r="FX22" i="1" s="1"/>
  <c r="FZ22" i="1" s="1"/>
  <c r="FM22" i="1"/>
  <c r="FN22" i="1" s="1"/>
  <c r="FJ22" i="1"/>
  <c r="GQ22" i="1" s="1"/>
  <c r="HQ31" i="1" s="1"/>
  <c r="FW23" i="1"/>
  <c r="FX23" i="1" s="1"/>
  <c r="FZ23" i="1" s="1"/>
  <c r="FJ23" i="1"/>
  <c r="GQ23" i="1" s="1"/>
  <c r="HQ37" i="1" s="1"/>
  <c r="FM23" i="1"/>
  <c r="FN23" i="1" s="1"/>
  <c r="DN31" i="1"/>
  <c r="DP31" i="1"/>
  <c r="DM31" i="1"/>
  <c r="CJ37" i="1"/>
  <c r="AS43" i="1"/>
  <c r="AT43" i="1" s="1"/>
  <c r="BB40" i="1"/>
  <c r="BE40" i="1" s="1"/>
  <c r="DA36" i="1" l="1"/>
  <c r="DQ36" i="1" s="1"/>
  <c r="CZ36" i="1"/>
  <c r="DP36" i="1" s="1"/>
  <c r="DN36" i="1"/>
  <c r="DM36" i="1"/>
  <c r="DL36" i="1"/>
  <c r="DO36" i="1"/>
  <c r="EC33" i="1"/>
  <c r="EB33" i="1"/>
  <c r="ED33" i="1"/>
  <c r="IA46" i="1"/>
  <c r="HN46" i="1"/>
  <c r="ID46" i="1"/>
  <c r="HW46" i="1"/>
  <c r="HX46" i="1"/>
  <c r="IB46" i="1"/>
  <c r="HQ46" i="1"/>
  <c r="HK46" i="1"/>
  <c r="HS47" i="1" s="1"/>
  <c r="HL47" i="1" s="1"/>
  <c r="HV46" i="1"/>
  <c r="HR46" i="1"/>
  <c r="HT46" i="1"/>
  <c r="HY46" i="1"/>
  <c r="IC46" i="1"/>
  <c r="HZ46" i="1"/>
  <c r="IE46" i="1"/>
  <c r="HM46" i="1"/>
  <c r="HU46" i="1"/>
  <c r="DZ30" i="1"/>
  <c r="ED30" i="1" s="1"/>
  <c r="EP28" i="1"/>
  <c r="EV28" i="1" s="1"/>
  <c r="EI29" i="1"/>
  <c r="EJ29" i="1"/>
  <c r="EL29" i="1"/>
  <c r="EM29" i="1" s="1"/>
  <c r="EQ28" i="1"/>
  <c r="EZ28" i="1" s="1"/>
  <c r="FC28" i="1" s="1"/>
  <c r="FF28" i="1" s="1"/>
  <c r="FI28" i="1" s="1"/>
  <c r="DS32" i="1"/>
  <c r="GA22" i="1"/>
  <c r="GP22" i="1"/>
  <c r="HR31" i="1" s="1"/>
  <c r="GD22" i="1"/>
  <c r="CF38" i="1"/>
  <c r="CL38" i="1" s="1"/>
  <c r="CH38" i="1"/>
  <c r="CK38" i="1"/>
  <c r="CA40" i="1"/>
  <c r="BX40" i="1"/>
  <c r="BU40" i="1"/>
  <c r="GS20" i="1"/>
  <c r="GY20" i="1"/>
  <c r="CJ38" i="1"/>
  <c r="FP22" i="1"/>
  <c r="FR22" i="1"/>
  <c r="FQ22" i="1"/>
  <c r="GH21" i="1"/>
  <c r="CC39" i="1"/>
  <c r="CB39" i="1"/>
  <c r="CG39" i="1" s="1"/>
  <c r="CE39" i="1"/>
  <c r="EV27" i="1"/>
  <c r="FB27" i="1"/>
  <c r="FA27" i="1"/>
  <c r="DV31" i="1"/>
  <c r="DW31" i="1"/>
  <c r="DX31" i="1" s="1"/>
  <c r="DR31" i="1"/>
  <c r="FP23" i="1"/>
  <c r="FQ23" i="1"/>
  <c r="FR23" i="1"/>
  <c r="GG21" i="1"/>
  <c r="GE21" i="1"/>
  <c r="GF21" i="1" s="1"/>
  <c r="FF27" i="1"/>
  <c r="FI27" i="1" s="1"/>
  <c r="FY27" i="1"/>
  <c r="HE27" i="1" s="1"/>
  <c r="DS31" i="1"/>
  <c r="DU31" i="1"/>
  <c r="DR32" i="1"/>
  <c r="DW32" i="1"/>
  <c r="DX32" i="1" s="1"/>
  <c r="DV32" i="1"/>
  <c r="GI21" i="1"/>
  <c r="CN37" i="1"/>
  <c r="CR37" i="1"/>
  <c r="CM37" i="1"/>
  <c r="GP23" i="1"/>
  <c r="HR37" i="1" s="1"/>
  <c r="GD23" i="1"/>
  <c r="GA23" i="1"/>
  <c r="DU32" i="1"/>
  <c r="AS44" i="1"/>
  <c r="AT44" i="1" s="1"/>
  <c r="DS36" i="1" l="1"/>
  <c r="DU36" i="1"/>
  <c r="DW36" i="1"/>
  <c r="DX36" i="1" s="1"/>
  <c r="DV36" i="1"/>
  <c r="DR36" i="1"/>
  <c r="EL33" i="1"/>
  <c r="EH33" i="1"/>
  <c r="EJ33" i="1"/>
  <c r="EI33" i="1"/>
  <c r="EK33" i="1"/>
  <c r="EE33" i="1"/>
  <c r="EG33" i="1"/>
  <c r="EF33" i="1"/>
  <c r="HK47" i="1"/>
  <c r="HS48" i="1" s="1"/>
  <c r="HL48" i="1" s="1"/>
  <c r="HN48" i="1" s="1"/>
  <c r="HY47" i="1"/>
  <c r="HN47" i="1"/>
  <c r="HW47" i="1"/>
  <c r="HR47" i="1"/>
  <c r="ID47" i="1"/>
  <c r="IB47" i="1"/>
  <c r="HU47" i="1"/>
  <c r="IE47" i="1"/>
  <c r="HM47" i="1"/>
  <c r="HZ47" i="1"/>
  <c r="HV47" i="1"/>
  <c r="IA47" i="1"/>
  <c r="HX47" i="1"/>
  <c r="HT47" i="1"/>
  <c r="HQ47" i="1"/>
  <c r="IC47" i="1"/>
  <c r="EC30" i="1"/>
  <c r="EK30" i="1" s="1"/>
  <c r="EB30" i="1"/>
  <c r="EO29" i="1"/>
  <c r="ER29" i="1" s="1"/>
  <c r="FY28" i="1"/>
  <c r="HE28" i="1" s="1"/>
  <c r="FB28" i="1"/>
  <c r="EN29" i="1"/>
  <c r="EP29" i="1" s="1"/>
  <c r="FA28" i="1"/>
  <c r="DY32" i="1"/>
  <c r="DZ32" i="1"/>
  <c r="DZ31" i="1"/>
  <c r="FS23" i="1"/>
  <c r="FT22" i="1"/>
  <c r="DY31" i="1"/>
  <c r="EA32" i="1"/>
  <c r="CJ39" i="1"/>
  <c r="CM39" i="1" s="1"/>
  <c r="CP37" i="1"/>
  <c r="GT20" i="1"/>
  <c r="GR20" i="1"/>
  <c r="HA20" i="1"/>
  <c r="FL27" i="1"/>
  <c r="FO27" i="1"/>
  <c r="HB28" i="1"/>
  <c r="HF28" i="1" s="1"/>
  <c r="EX28" i="1"/>
  <c r="EW28" i="1"/>
  <c r="FT23" i="1"/>
  <c r="HB27" i="1"/>
  <c r="HF27" i="1" s="1"/>
  <c r="HH27" i="1" s="1"/>
  <c r="FE27" i="1"/>
  <c r="FD27" i="1"/>
  <c r="FV27" i="1" s="1"/>
  <c r="EX27" i="1"/>
  <c r="EW27" i="1"/>
  <c r="FS22" i="1"/>
  <c r="CC40" i="1"/>
  <c r="CB40" i="1"/>
  <c r="CG40" i="1" s="1"/>
  <c r="CE40" i="1"/>
  <c r="CN38" i="1"/>
  <c r="CQ37" i="1"/>
  <c r="GB23" i="1"/>
  <c r="GO23" i="1"/>
  <c r="HM37" i="1" s="1"/>
  <c r="GC23" i="1"/>
  <c r="GO22" i="1"/>
  <c r="HM31" i="1" s="1"/>
  <c r="GB22" i="1"/>
  <c r="GC22" i="1"/>
  <c r="CH39" i="1"/>
  <c r="CF39" i="1"/>
  <c r="CL39" i="1" s="1"/>
  <c r="CK39" i="1"/>
  <c r="CM38" i="1"/>
  <c r="CR38" i="1"/>
  <c r="EA31" i="1"/>
  <c r="GY21" i="1"/>
  <c r="GS21" i="1"/>
  <c r="GZ20" i="1"/>
  <c r="EL30" i="1"/>
  <c r="EJ30" i="1"/>
  <c r="EH30" i="1"/>
  <c r="EI30" i="1"/>
  <c r="AS45" i="1"/>
  <c r="AT45" i="1" s="1"/>
  <c r="DY36" i="1" l="1"/>
  <c r="DZ36" i="1"/>
  <c r="EA36" i="1"/>
  <c r="EN33" i="1"/>
  <c r="EO33" i="1"/>
  <c r="ER33" i="1" s="1"/>
  <c r="EM33" i="1"/>
  <c r="HK48" i="1"/>
  <c r="HS49" i="1" s="1"/>
  <c r="HL49" i="1" s="1"/>
  <c r="HN49" i="1" s="1"/>
  <c r="IB48" i="1"/>
  <c r="HQ48" i="1"/>
  <c r="HT48" i="1"/>
  <c r="HR48" i="1"/>
  <c r="HV48" i="1"/>
  <c r="IC48" i="1"/>
  <c r="HY48" i="1"/>
  <c r="HU48" i="1"/>
  <c r="IE48" i="1"/>
  <c r="ID48" i="1"/>
  <c r="HM48" i="1"/>
  <c r="HX48" i="1"/>
  <c r="HW48" i="1"/>
  <c r="HZ48" i="1"/>
  <c r="IA48" i="1"/>
  <c r="EF30" i="1"/>
  <c r="EE30" i="1"/>
  <c r="EG30" i="1"/>
  <c r="HH28" i="1"/>
  <c r="FE28" i="1"/>
  <c r="FH28" i="1" s="1"/>
  <c r="EV29" i="1"/>
  <c r="EW29" i="1" s="1"/>
  <c r="EQ29" i="1"/>
  <c r="EZ29" i="1" s="1"/>
  <c r="FC29" i="1" s="1"/>
  <c r="FF29" i="1" s="1"/>
  <c r="FI29" i="1" s="1"/>
  <c r="EB32" i="1"/>
  <c r="HG27" i="1"/>
  <c r="FO28" i="1"/>
  <c r="FL28" i="1"/>
  <c r="FD28" i="1"/>
  <c r="FV28" i="1" s="1"/>
  <c r="CR39" i="1"/>
  <c r="GI22" i="1"/>
  <c r="EC31" i="1"/>
  <c r="EK31" i="1" s="1"/>
  <c r="ED32" i="1"/>
  <c r="EI32" i="1" s="1"/>
  <c r="EC32" i="1"/>
  <c r="EK32" i="1" s="1"/>
  <c r="GI23" i="1"/>
  <c r="HG28" i="1"/>
  <c r="EB31" i="1"/>
  <c r="CJ40" i="1"/>
  <c r="CM40" i="1" s="1"/>
  <c r="CP38" i="1"/>
  <c r="EM30" i="1"/>
  <c r="CQ38" i="1"/>
  <c r="GH22" i="1"/>
  <c r="GE23" i="1"/>
  <c r="GF23" i="1" s="1"/>
  <c r="GG23" i="1"/>
  <c r="FU27" i="1"/>
  <c r="FG27" i="1"/>
  <c r="FU28" i="1"/>
  <c r="ED31" i="1"/>
  <c r="CS37" i="1"/>
  <c r="CU37" i="1" s="1"/>
  <c r="FH27" i="1"/>
  <c r="HC20" i="1"/>
  <c r="HD20" i="1"/>
  <c r="GZ21" i="1"/>
  <c r="EN30" i="1"/>
  <c r="CN39" i="1"/>
  <c r="CP39" i="1" s="1"/>
  <c r="GG22" i="1"/>
  <c r="GE22" i="1"/>
  <c r="GF22" i="1" s="1"/>
  <c r="EO30" i="1"/>
  <c r="ER30" i="1" s="1"/>
  <c r="GT21" i="1"/>
  <c r="GR21" i="1"/>
  <c r="HA21" i="1"/>
  <c r="GH23" i="1"/>
  <c r="CK40" i="1"/>
  <c r="CH40" i="1"/>
  <c r="CF40" i="1"/>
  <c r="CL40" i="1" s="1"/>
  <c r="AS46" i="1"/>
  <c r="AT46" i="1" s="1"/>
  <c r="EC36" i="1" l="1"/>
  <c r="ED36" i="1"/>
  <c r="EB36" i="1"/>
  <c r="EQ33" i="1"/>
  <c r="EZ33" i="1" s="1"/>
  <c r="FC33" i="1" s="1"/>
  <c r="EP33" i="1"/>
  <c r="IB49" i="1"/>
  <c r="IC49" i="1"/>
  <c r="HX49" i="1"/>
  <c r="HQ49" i="1"/>
  <c r="HY49" i="1"/>
  <c r="ID49" i="1"/>
  <c r="HU49" i="1"/>
  <c r="HZ49" i="1"/>
  <c r="IA49" i="1"/>
  <c r="HV49" i="1"/>
  <c r="HT49" i="1"/>
  <c r="HR49" i="1"/>
  <c r="IE49" i="1"/>
  <c r="HW49" i="1"/>
  <c r="HK49" i="1"/>
  <c r="HS50" i="1" s="1"/>
  <c r="HL50" i="1" s="1"/>
  <c r="HN50" i="1" s="1"/>
  <c r="HM49" i="1"/>
  <c r="FB29" i="1"/>
  <c r="FY29" i="1"/>
  <c r="HE29" i="1" s="1"/>
  <c r="HB29" i="1"/>
  <c r="HF29" i="1" s="1"/>
  <c r="EX29" i="1"/>
  <c r="FA29" i="1"/>
  <c r="FG28" i="1"/>
  <c r="FJ28" i="1" s="1"/>
  <c r="GQ28" i="1" s="1"/>
  <c r="EL32" i="1"/>
  <c r="EH32" i="1"/>
  <c r="EJ32" i="1"/>
  <c r="GY22" i="1"/>
  <c r="IA31" i="1" s="1"/>
  <c r="EG32" i="1"/>
  <c r="EF32" i="1"/>
  <c r="EE32" i="1"/>
  <c r="EF31" i="1"/>
  <c r="EG31" i="1"/>
  <c r="EE31" i="1"/>
  <c r="CS38" i="1"/>
  <c r="CT38" i="1" s="1"/>
  <c r="CX38" i="1" s="1"/>
  <c r="GS22" i="1"/>
  <c r="HY31" i="1" s="1"/>
  <c r="CQ39" i="1"/>
  <c r="CS39" i="1" s="1"/>
  <c r="CU39" i="1" s="1"/>
  <c r="EP30" i="1"/>
  <c r="EV30" i="1" s="1"/>
  <c r="CT37" i="1"/>
  <c r="CX37" i="1" s="1"/>
  <c r="EL31" i="1"/>
  <c r="EH31" i="1"/>
  <c r="EJ31" i="1"/>
  <c r="EI31" i="1"/>
  <c r="CN40" i="1"/>
  <c r="CP40" i="1" s="1"/>
  <c r="EQ30" i="1"/>
  <c r="EZ30" i="1" s="1"/>
  <c r="FC30" i="1" s="1"/>
  <c r="GS23" i="1"/>
  <c r="HY37" i="1" s="1"/>
  <c r="GY23" i="1"/>
  <c r="IA37" i="1" s="1"/>
  <c r="HC21" i="1"/>
  <c r="HD21" i="1"/>
  <c r="FU29" i="1"/>
  <c r="FW27" i="1"/>
  <c r="FX27" i="1" s="1"/>
  <c r="FZ27" i="1" s="1"/>
  <c r="FJ27" i="1"/>
  <c r="GQ27" i="1" s="1"/>
  <c r="FM27" i="1"/>
  <c r="FN27" i="1" s="1"/>
  <c r="CR40" i="1"/>
  <c r="CZ37" i="1"/>
  <c r="CY37" i="1"/>
  <c r="DA37" i="1"/>
  <c r="AS47" i="1"/>
  <c r="AT47" i="1" s="1"/>
  <c r="BB44" i="1"/>
  <c r="BE44" i="1" s="1"/>
  <c r="EL36" i="1" l="1"/>
  <c r="EI36" i="1"/>
  <c r="EH36" i="1"/>
  <c r="EJ36" i="1"/>
  <c r="EK36" i="1"/>
  <c r="EF36" i="1"/>
  <c r="EE36" i="1"/>
  <c r="EG36" i="1"/>
  <c r="EV33" i="1"/>
  <c r="FA33" i="1"/>
  <c r="FB33" i="1"/>
  <c r="FF33" i="1"/>
  <c r="FI33" i="1" s="1"/>
  <c r="FY33" i="1"/>
  <c r="HE33" i="1" s="1"/>
  <c r="HY50" i="1"/>
  <c r="HM50" i="1"/>
  <c r="HX50" i="1"/>
  <c r="HQ50" i="1"/>
  <c r="HZ50" i="1"/>
  <c r="IB50" i="1"/>
  <c r="HU50" i="1"/>
  <c r="ID50" i="1"/>
  <c r="HT50" i="1"/>
  <c r="HW50" i="1"/>
  <c r="IC50" i="1"/>
  <c r="HK50" i="1"/>
  <c r="HS51" i="1" s="1"/>
  <c r="HL51" i="1" s="1"/>
  <c r="HN51" i="1" s="1"/>
  <c r="IA50" i="1"/>
  <c r="HV50" i="1"/>
  <c r="HR50" i="1"/>
  <c r="IE50" i="1"/>
  <c r="FO29" i="1"/>
  <c r="FW28" i="1"/>
  <c r="FX28" i="1" s="1"/>
  <c r="FZ28" i="1" s="1"/>
  <c r="GA28" i="1" s="1"/>
  <c r="HH29" i="1"/>
  <c r="EM32" i="1"/>
  <c r="EN32" i="1"/>
  <c r="FE29" i="1"/>
  <c r="FH29" i="1" s="1"/>
  <c r="HG29" i="1"/>
  <c r="FM28" i="1"/>
  <c r="FN28" i="1" s="1"/>
  <c r="FP28" i="1" s="1"/>
  <c r="FD29" i="1"/>
  <c r="FV29" i="1" s="1"/>
  <c r="FL29" i="1"/>
  <c r="EO32" i="1"/>
  <c r="ER32" i="1" s="1"/>
  <c r="GZ22" i="1"/>
  <c r="IE31" i="1" s="1"/>
  <c r="GR22" i="1"/>
  <c r="IB31" i="1" s="1"/>
  <c r="CQ40" i="1"/>
  <c r="CS40" i="1" s="1"/>
  <c r="CU40" i="1" s="1"/>
  <c r="GT22" i="1"/>
  <c r="IC31" i="1" s="1"/>
  <c r="CW37" i="1"/>
  <c r="DM37" i="1" s="1"/>
  <c r="CV37" i="1"/>
  <c r="DL37" i="1" s="1"/>
  <c r="CW38" i="1"/>
  <c r="DM38" i="1" s="1"/>
  <c r="CV38" i="1"/>
  <c r="DL38" i="1" s="1"/>
  <c r="HA22" i="1"/>
  <c r="HC22" i="1" s="1"/>
  <c r="CU38" i="1"/>
  <c r="EM31" i="1"/>
  <c r="FB30" i="1"/>
  <c r="FQ27" i="1"/>
  <c r="FP27" i="1"/>
  <c r="FR27" i="1"/>
  <c r="FF30" i="1"/>
  <c r="FI30" i="1" s="1"/>
  <c r="FY30" i="1"/>
  <c r="HE30" i="1" s="1"/>
  <c r="HB30" i="1"/>
  <c r="HF30" i="1" s="1"/>
  <c r="EW30" i="1"/>
  <c r="EX30" i="1"/>
  <c r="EO31" i="1"/>
  <c r="ER31" i="1" s="1"/>
  <c r="DN37" i="1"/>
  <c r="FA30" i="1"/>
  <c r="EN31" i="1"/>
  <c r="GA27" i="1"/>
  <c r="GD27" i="1"/>
  <c r="GP27" i="1"/>
  <c r="GZ23" i="1"/>
  <c r="IE37" i="1" s="1"/>
  <c r="DN38" i="1"/>
  <c r="GR23" i="1"/>
  <c r="IB37" i="1" s="1"/>
  <c r="GT23" i="1"/>
  <c r="IC37" i="1" s="1"/>
  <c r="HA23" i="1"/>
  <c r="BU44" i="1"/>
  <c r="BX44" i="1"/>
  <c r="CA44" i="1"/>
  <c r="DQ37" i="1"/>
  <c r="CT39" i="1"/>
  <c r="CY39" i="1"/>
  <c r="CZ39" i="1"/>
  <c r="DA39" i="1"/>
  <c r="AS48" i="1"/>
  <c r="AT48" i="1" s="1"/>
  <c r="BB45" i="1"/>
  <c r="BE45" i="1" s="1"/>
  <c r="EN36" i="1" l="1"/>
  <c r="EM36" i="1"/>
  <c r="EO36" i="1"/>
  <c r="ER36" i="1" s="1"/>
  <c r="FL33" i="1"/>
  <c r="FO33" i="1"/>
  <c r="HB33" i="1"/>
  <c r="HF33" i="1" s="1"/>
  <c r="HG33" i="1" s="1"/>
  <c r="FD33" i="1"/>
  <c r="FV33" i="1" s="1"/>
  <c r="FE33" i="1"/>
  <c r="EX33" i="1"/>
  <c r="EW33" i="1"/>
  <c r="HM51" i="1"/>
  <c r="HV51" i="1"/>
  <c r="HU51" i="1"/>
  <c r="IE51" i="1"/>
  <c r="IA51" i="1"/>
  <c r="IC51" i="1"/>
  <c r="ID51" i="1"/>
  <c r="HQ51" i="1"/>
  <c r="HZ51" i="1"/>
  <c r="HT51" i="1"/>
  <c r="HK51" i="1"/>
  <c r="HS52" i="1" s="1"/>
  <c r="HL52" i="1" s="1"/>
  <c r="HN52" i="1" s="1"/>
  <c r="HR51" i="1"/>
  <c r="HX51" i="1"/>
  <c r="IB51" i="1"/>
  <c r="HY51" i="1"/>
  <c r="HW51" i="1"/>
  <c r="GD28" i="1"/>
  <c r="GP28" i="1"/>
  <c r="EQ32" i="1"/>
  <c r="EZ32" i="1" s="1"/>
  <c r="FC32" i="1" s="1"/>
  <c r="FF32" i="1" s="1"/>
  <c r="FI32" i="1" s="1"/>
  <c r="EP32" i="1"/>
  <c r="FQ28" i="1"/>
  <c r="FR28" i="1"/>
  <c r="FG29" i="1"/>
  <c r="DO37" i="1"/>
  <c r="DP37" i="1"/>
  <c r="HD22" i="1"/>
  <c r="CT40" i="1"/>
  <c r="CV40" i="1" s="1"/>
  <c r="CY38" i="1"/>
  <c r="DO38" i="1" s="1"/>
  <c r="CZ38" i="1"/>
  <c r="DP38" i="1" s="1"/>
  <c r="DA38" i="1"/>
  <c r="DQ38" i="1" s="1"/>
  <c r="FT27" i="1"/>
  <c r="HG30" i="1"/>
  <c r="EP31" i="1"/>
  <c r="EV31" i="1" s="1"/>
  <c r="HC23" i="1"/>
  <c r="HD23" i="1"/>
  <c r="CV39" i="1"/>
  <c r="CW39" i="1"/>
  <c r="CX39" i="1"/>
  <c r="DQ39" i="1" s="1"/>
  <c r="GO28" i="1"/>
  <c r="GB28" i="1"/>
  <c r="GC28" i="1"/>
  <c r="FL30" i="1"/>
  <c r="FO30" i="1"/>
  <c r="HH30" i="1"/>
  <c r="CY40" i="1"/>
  <c r="CZ40" i="1"/>
  <c r="DA40" i="1"/>
  <c r="FU30" i="1"/>
  <c r="GC27" i="1"/>
  <c r="GB27" i="1"/>
  <c r="GO27" i="1"/>
  <c r="DW38" i="1"/>
  <c r="DX38" i="1" s="1"/>
  <c r="DR38" i="1"/>
  <c r="DW37" i="1"/>
  <c r="DX37" i="1" s="1"/>
  <c r="DR37" i="1"/>
  <c r="FE30" i="1"/>
  <c r="FH30" i="1" s="1"/>
  <c r="FS27" i="1"/>
  <c r="EQ31" i="1"/>
  <c r="EZ31" i="1" s="1"/>
  <c r="FC31" i="1" s="1"/>
  <c r="CC44" i="1"/>
  <c r="CB44" i="1"/>
  <c r="CG44" i="1" s="1"/>
  <c r="CE44" i="1"/>
  <c r="BU45" i="1"/>
  <c r="BX45" i="1"/>
  <c r="CA45" i="1"/>
  <c r="FD30" i="1"/>
  <c r="FV30" i="1" s="1"/>
  <c r="AS49" i="1"/>
  <c r="AT49" i="1" s="1"/>
  <c r="BB46" i="1"/>
  <c r="BE46" i="1" s="1"/>
  <c r="EP36" i="1" l="1"/>
  <c r="EQ36" i="1"/>
  <c r="EZ36" i="1" s="1"/>
  <c r="FC36" i="1" s="1"/>
  <c r="FH33" i="1"/>
  <c r="HH33" i="1"/>
  <c r="FU33" i="1"/>
  <c r="FG33" i="1"/>
  <c r="HM52" i="1"/>
  <c r="HQ52" i="1"/>
  <c r="IC52" i="1"/>
  <c r="HU52" i="1"/>
  <c r="ID52" i="1"/>
  <c r="HK52" i="1"/>
  <c r="HS53" i="1" s="1"/>
  <c r="HL53" i="1" s="1"/>
  <c r="HN53" i="1" s="1"/>
  <c r="HV52" i="1"/>
  <c r="HY52" i="1"/>
  <c r="HW52" i="1"/>
  <c r="HZ52" i="1"/>
  <c r="IB52" i="1"/>
  <c r="IE52" i="1"/>
  <c r="HX52" i="1"/>
  <c r="HR52" i="1"/>
  <c r="HT52" i="1"/>
  <c r="IA52" i="1"/>
  <c r="FY32" i="1"/>
  <c r="HE32" i="1" s="1"/>
  <c r="FB32" i="1"/>
  <c r="FA32" i="1"/>
  <c r="EV32" i="1"/>
  <c r="HB32" i="1" s="1"/>
  <c r="HF32" i="1" s="1"/>
  <c r="FS28" i="1"/>
  <c r="FT28" i="1"/>
  <c r="FM29" i="1"/>
  <c r="FN29" i="1" s="1"/>
  <c r="FW29" i="1"/>
  <c r="FX29" i="1" s="1"/>
  <c r="FZ29" i="1" s="1"/>
  <c r="FJ29" i="1"/>
  <c r="GQ29" i="1" s="1"/>
  <c r="CX40" i="1"/>
  <c r="DQ40" i="1" s="1"/>
  <c r="DS37" i="1"/>
  <c r="DV38" i="1"/>
  <c r="DU37" i="1"/>
  <c r="DV37" i="1"/>
  <c r="CW40" i="1"/>
  <c r="DP40" i="1" s="1"/>
  <c r="DU38" i="1"/>
  <c r="DS38" i="1"/>
  <c r="GI28" i="1"/>
  <c r="CJ44" i="1"/>
  <c r="CM44" i="1" s="1"/>
  <c r="GH27" i="1"/>
  <c r="EA37" i="1"/>
  <c r="GH28" i="1"/>
  <c r="EA38" i="1"/>
  <c r="CA46" i="1"/>
  <c r="BX46" i="1"/>
  <c r="BU46" i="1"/>
  <c r="GI27" i="1"/>
  <c r="FG30" i="1"/>
  <c r="DO40" i="1"/>
  <c r="DL40" i="1"/>
  <c r="DN39" i="1"/>
  <c r="DP39" i="1"/>
  <c r="DM39" i="1"/>
  <c r="FA31" i="1"/>
  <c r="DO39" i="1"/>
  <c r="DL39" i="1"/>
  <c r="EX31" i="1"/>
  <c r="EW31" i="1"/>
  <c r="HB31" i="1"/>
  <c r="HF31" i="1" s="1"/>
  <c r="CK44" i="1"/>
  <c r="CH44" i="1"/>
  <c r="CF44" i="1"/>
  <c r="CL44" i="1" s="1"/>
  <c r="FB31" i="1"/>
  <c r="CB45" i="1"/>
  <c r="CG45" i="1" s="1"/>
  <c r="CE45" i="1"/>
  <c r="CC45" i="1"/>
  <c r="FF31" i="1"/>
  <c r="FI31" i="1" s="1"/>
  <c r="FY31" i="1"/>
  <c r="HE31" i="1" s="1"/>
  <c r="GG27" i="1"/>
  <c r="GE27" i="1"/>
  <c r="GF27" i="1" s="1"/>
  <c r="GG28" i="1"/>
  <c r="GE28" i="1"/>
  <c r="GF28" i="1" s="1"/>
  <c r="AS50" i="1"/>
  <c r="AT50" i="1" s="1"/>
  <c r="BB47" i="1"/>
  <c r="BE47" i="1" s="1"/>
  <c r="FF36" i="1" l="1"/>
  <c r="FI36" i="1" s="1"/>
  <c r="FY36" i="1"/>
  <c r="HE36" i="1" s="1"/>
  <c r="FB36" i="1"/>
  <c r="FA36" i="1"/>
  <c r="EV36" i="1"/>
  <c r="FJ33" i="1"/>
  <c r="GQ33" i="1" s="1"/>
  <c r="FW33" i="1"/>
  <c r="FX33" i="1" s="1"/>
  <c r="FZ33" i="1" s="1"/>
  <c r="FM33" i="1"/>
  <c r="FN33" i="1" s="1"/>
  <c r="IB53" i="1"/>
  <c r="HZ53" i="1"/>
  <c r="HV53" i="1"/>
  <c r="ID53" i="1"/>
  <c r="HW53" i="1"/>
  <c r="IE53" i="1"/>
  <c r="HR53" i="1"/>
  <c r="IC53" i="1"/>
  <c r="HQ53" i="1"/>
  <c r="HU53" i="1"/>
  <c r="HX53" i="1"/>
  <c r="HK53" i="1"/>
  <c r="HS54" i="1" s="1"/>
  <c r="HL54" i="1" s="1"/>
  <c r="HN54" i="1" s="1"/>
  <c r="HY53" i="1"/>
  <c r="IA53" i="1"/>
  <c r="HM53" i="1"/>
  <c r="HT53" i="1"/>
  <c r="FE32" i="1"/>
  <c r="FL32" i="1"/>
  <c r="FD32" i="1"/>
  <c r="FV32" i="1" s="1"/>
  <c r="FO32" i="1"/>
  <c r="HH32" i="1"/>
  <c r="EW32" i="1"/>
  <c r="FU32" i="1" s="1"/>
  <c r="EX32" i="1"/>
  <c r="GD29" i="1"/>
  <c r="GA29" i="1"/>
  <c r="GP29" i="1"/>
  <c r="FR29" i="1"/>
  <c r="FQ29" i="1"/>
  <c r="FP29" i="1"/>
  <c r="DN40" i="1"/>
  <c r="DZ37" i="1"/>
  <c r="DY37" i="1"/>
  <c r="DY38" i="1"/>
  <c r="DM40" i="1"/>
  <c r="GS28" i="1"/>
  <c r="DZ38" i="1"/>
  <c r="GS27" i="1"/>
  <c r="GY27" i="1"/>
  <c r="GY28" i="1"/>
  <c r="FD31" i="1"/>
  <c r="FV31" i="1" s="1"/>
  <c r="HH31" i="1"/>
  <c r="CR44" i="1"/>
  <c r="DU39" i="1"/>
  <c r="HG32" i="1"/>
  <c r="DV39" i="1"/>
  <c r="DW39" i="1"/>
  <c r="DX39" i="1" s="1"/>
  <c r="DR39" i="1"/>
  <c r="CK45" i="1"/>
  <c r="CH45" i="1"/>
  <c r="CF45" i="1"/>
  <c r="CL45" i="1" s="1"/>
  <c r="FE31" i="1"/>
  <c r="FH31" i="1" s="1"/>
  <c r="BX47" i="1"/>
  <c r="BU47" i="1"/>
  <c r="CA47" i="1"/>
  <c r="CJ45" i="1"/>
  <c r="HG31" i="1"/>
  <c r="FU31" i="1"/>
  <c r="DS39" i="1"/>
  <c r="CN44" i="1"/>
  <c r="CP44" i="1" s="1"/>
  <c r="FL31" i="1"/>
  <c r="FO31" i="1"/>
  <c r="DS40" i="1"/>
  <c r="DU40" i="1"/>
  <c r="FM30" i="1"/>
  <c r="FN30" i="1" s="1"/>
  <c r="FW30" i="1"/>
  <c r="FX30" i="1" s="1"/>
  <c r="FZ30" i="1" s="1"/>
  <c r="FJ30" i="1"/>
  <c r="GQ30" i="1" s="1"/>
  <c r="CE46" i="1"/>
  <c r="CB46" i="1"/>
  <c r="CG46" i="1" s="1"/>
  <c r="CC46" i="1"/>
  <c r="AS51" i="1"/>
  <c r="AT51" i="1" s="1"/>
  <c r="BB48" i="1"/>
  <c r="BE48" i="1" s="1"/>
  <c r="FE36" i="1" l="1"/>
  <c r="EW36" i="1"/>
  <c r="FD36" i="1"/>
  <c r="FV36" i="1" s="1"/>
  <c r="HB36" i="1"/>
  <c r="HF36" i="1" s="1"/>
  <c r="HG36" i="1" s="1"/>
  <c r="EX36" i="1"/>
  <c r="FL36" i="1"/>
  <c r="FO36" i="1"/>
  <c r="GA33" i="1"/>
  <c r="GP33" i="1"/>
  <c r="GD33" i="1"/>
  <c r="FR33" i="1"/>
  <c r="FP33" i="1"/>
  <c r="FQ33" i="1"/>
  <c r="HZ54" i="1"/>
  <c r="HM54" i="1"/>
  <c r="HQ54" i="1"/>
  <c r="HV54" i="1"/>
  <c r="IC54" i="1"/>
  <c r="HW54" i="1"/>
  <c r="HR54" i="1"/>
  <c r="ID54" i="1"/>
  <c r="HX54" i="1"/>
  <c r="HY54" i="1"/>
  <c r="IB54" i="1"/>
  <c r="IA54" i="1"/>
  <c r="IE54" i="1"/>
  <c r="HU54" i="1"/>
  <c r="HT54" i="1"/>
  <c r="HK54" i="1"/>
  <c r="HS55" i="1" s="1"/>
  <c r="HL55" i="1" s="1"/>
  <c r="HN55" i="1" s="1"/>
  <c r="FG32" i="1"/>
  <c r="FH32" i="1"/>
  <c r="GT27" i="1"/>
  <c r="EC38" i="1"/>
  <c r="EK38" i="1" s="1"/>
  <c r="HA28" i="1"/>
  <c r="HD28" i="1" s="1"/>
  <c r="ED38" i="1"/>
  <c r="EL38" i="1" s="1"/>
  <c r="GZ27" i="1"/>
  <c r="EC37" i="1"/>
  <c r="EF37" i="1" s="1"/>
  <c r="DW40" i="1"/>
  <c r="DX40" i="1" s="1"/>
  <c r="FS29" i="1"/>
  <c r="DR40" i="1"/>
  <c r="DV40" i="1"/>
  <c r="GO29" i="1"/>
  <c r="GC29" i="1"/>
  <c r="GB29" i="1"/>
  <c r="FT29" i="1"/>
  <c r="GT28" i="1"/>
  <c r="EB37" i="1"/>
  <c r="HA27" i="1"/>
  <c r="HC27" i="1" s="1"/>
  <c r="ED37" i="1"/>
  <c r="EL37" i="1" s="1"/>
  <c r="DY39" i="1"/>
  <c r="GR27" i="1"/>
  <c r="GZ28" i="1"/>
  <c r="EB38" i="1"/>
  <c r="GR28" i="1"/>
  <c r="FG31" i="1"/>
  <c r="FJ31" i="1" s="1"/>
  <c r="GQ31" i="1" s="1"/>
  <c r="HQ30" i="1" s="1"/>
  <c r="CQ44" i="1"/>
  <c r="CS44" i="1" s="1"/>
  <c r="CT44" i="1" s="1"/>
  <c r="DZ39" i="1"/>
  <c r="CF46" i="1"/>
  <c r="CL46" i="1" s="1"/>
  <c r="CK46" i="1"/>
  <c r="CH46" i="1"/>
  <c r="DY40" i="1"/>
  <c r="CJ46" i="1"/>
  <c r="CR45" i="1"/>
  <c r="CM45" i="1"/>
  <c r="CN45" i="1"/>
  <c r="GP30" i="1"/>
  <c r="GD30" i="1"/>
  <c r="GA30" i="1"/>
  <c r="FR30" i="1"/>
  <c r="FQ30" i="1"/>
  <c r="FP30" i="1"/>
  <c r="CC47" i="1"/>
  <c r="CE47" i="1"/>
  <c r="CB47" i="1"/>
  <c r="CG47" i="1" s="1"/>
  <c r="BX48" i="1"/>
  <c r="CA48" i="1"/>
  <c r="BU48" i="1"/>
  <c r="EA39" i="1"/>
  <c r="AS52" i="1"/>
  <c r="AT52" i="1" s="1"/>
  <c r="BB49" i="1"/>
  <c r="BE49" i="1" s="1"/>
  <c r="HH36" i="1" l="1"/>
  <c r="FH36" i="1"/>
  <c r="FS33" i="1"/>
  <c r="FU36" i="1"/>
  <c r="FG36" i="1"/>
  <c r="GB33" i="1"/>
  <c r="GC33" i="1"/>
  <c r="GO33" i="1"/>
  <c r="FT33" i="1"/>
  <c r="IA55" i="1"/>
  <c r="ID55" i="1"/>
  <c r="HU55" i="1"/>
  <c r="FJ32" i="1"/>
  <c r="GQ32" i="1" s="1"/>
  <c r="HQ36" i="1" s="1"/>
  <c r="HT55" i="1"/>
  <c r="HW55" i="1"/>
  <c r="IC55" i="1"/>
  <c r="HX55" i="1"/>
  <c r="HR55" i="1"/>
  <c r="HQ55" i="1"/>
  <c r="HY55" i="1"/>
  <c r="HZ55" i="1"/>
  <c r="FW32" i="1"/>
  <c r="FX32" i="1" s="1"/>
  <c r="FZ32" i="1" s="1"/>
  <c r="GD32" i="1" s="1"/>
  <c r="IE55" i="1"/>
  <c r="HK55" i="1"/>
  <c r="HS56" i="1" s="1"/>
  <c r="HL56" i="1" s="1"/>
  <c r="HY56" i="1" s="1"/>
  <c r="HM55" i="1"/>
  <c r="FM32" i="1"/>
  <c r="FN32" i="1" s="1"/>
  <c r="FQ32" i="1" s="1"/>
  <c r="IB55" i="1"/>
  <c r="HV55" i="1"/>
  <c r="EJ38" i="1"/>
  <c r="EO38" i="1" s="1"/>
  <c r="ER38" i="1" s="1"/>
  <c r="EI38" i="1"/>
  <c r="EN38" i="1" s="1"/>
  <c r="EH38" i="1"/>
  <c r="HC28" i="1"/>
  <c r="HD27" i="1"/>
  <c r="EF38" i="1"/>
  <c r="EE38" i="1"/>
  <c r="EG38" i="1"/>
  <c r="EA40" i="1"/>
  <c r="EE37" i="1"/>
  <c r="EG37" i="1"/>
  <c r="EK37" i="1"/>
  <c r="DZ40" i="1"/>
  <c r="GE29" i="1"/>
  <c r="GF29" i="1" s="1"/>
  <c r="GI29" i="1"/>
  <c r="GG29" i="1"/>
  <c r="GH29" i="1"/>
  <c r="EI37" i="1"/>
  <c r="EH37" i="1"/>
  <c r="EJ37" i="1"/>
  <c r="EB39" i="1"/>
  <c r="FW31" i="1"/>
  <c r="FX31" i="1" s="1"/>
  <c r="FZ31" i="1" s="1"/>
  <c r="GP31" i="1" s="1"/>
  <c r="HR30" i="1" s="1"/>
  <c r="FM31" i="1"/>
  <c r="FN31" i="1" s="1"/>
  <c r="FP31" i="1" s="1"/>
  <c r="EM38" i="1"/>
  <c r="FS30" i="1"/>
  <c r="CJ47" i="1"/>
  <c r="CM47" i="1" s="1"/>
  <c r="CU44" i="1"/>
  <c r="CZ44" i="1" s="1"/>
  <c r="CP45" i="1"/>
  <c r="ED39" i="1"/>
  <c r="EC39" i="1"/>
  <c r="CV44" i="1"/>
  <c r="CW44" i="1"/>
  <c r="CX44" i="1"/>
  <c r="CQ45" i="1"/>
  <c r="CA49" i="1"/>
  <c r="BX49" i="1"/>
  <c r="BU49" i="1"/>
  <c r="GB30" i="1"/>
  <c r="GC30" i="1"/>
  <c r="GO30" i="1"/>
  <c r="CR46" i="1"/>
  <c r="CM46" i="1"/>
  <c r="FT30" i="1"/>
  <c r="CK47" i="1"/>
  <c r="CF47" i="1"/>
  <c r="CL47" i="1" s="1"/>
  <c r="CH47" i="1"/>
  <c r="CN46" i="1"/>
  <c r="CE48" i="1"/>
  <c r="CC48" i="1"/>
  <c r="CB48" i="1"/>
  <c r="CG48" i="1" s="1"/>
  <c r="AS53" i="1"/>
  <c r="AT53" i="1" s="1"/>
  <c r="GA32" i="1" l="1"/>
  <c r="FP32" i="1"/>
  <c r="GC32" i="1" s="1"/>
  <c r="FW36" i="1"/>
  <c r="FX36" i="1" s="1"/>
  <c r="FZ36" i="1" s="1"/>
  <c r="FM36" i="1"/>
  <c r="FN36" i="1" s="1"/>
  <c r="FJ36" i="1"/>
  <c r="GQ36" i="1" s="1"/>
  <c r="GI33" i="1"/>
  <c r="FR32" i="1"/>
  <c r="FT32" i="1" s="1"/>
  <c r="GH33" i="1"/>
  <c r="GE33" i="1"/>
  <c r="GF33" i="1" s="1"/>
  <c r="GG33" i="1"/>
  <c r="GP32" i="1"/>
  <c r="HR36" i="1" s="1"/>
  <c r="HQ56" i="1"/>
  <c r="HW56" i="1"/>
  <c r="HU56" i="1"/>
  <c r="HK56" i="1"/>
  <c r="HS57" i="1" s="1"/>
  <c r="HL57" i="1" s="1"/>
  <c r="HU57" i="1" s="1"/>
  <c r="IA56" i="1"/>
  <c r="HM56" i="1"/>
  <c r="IB56" i="1"/>
  <c r="HX56" i="1"/>
  <c r="HR56" i="1"/>
  <c r="HZ56" i="1"/>
  <c r="IC56" i="1"/>
  <c r="HN56" i="1"/>
  <c r="ID56" i="1"/>
  <c r="IE56" i="1"/>
  <c r="HV56" i="1"/>
  <c r="HT56" i="1"/>
  <c r="EM37" i="1"/>
  <c r="EO37" i="1"/>
  <c r="ER37" i="1" s="1"/>
  <c r="ED40" i="1"/>
  <c r="EL40" i="1" s="1"/>
  <c r="EB40" i="1"/>
  <c r="FR31" i="1"/>
  <c r="EC40" i="1"/>
  <c r="EK40" i="1" s="1"/>
  <c r="EN37" i="1"/>
  <c r="GS29" i="1"/>
  <c r="GY29" i="1"/>
  <c r="FQ31" i="1"/>
  <c r="EP38" i="1"/>
  <c r="EV38" i="1" s="1"/>
  <c r="CJ48" i="1"/>
  <c r="CM48" i="1" s="1"/>
  <c r="CR47" i="1"/>
  <c r="GI30" i="1"/>
  <c r="EQ38" i="1"/>
  <c r="EZ38" i="1" s="1"/>
  <c r="FC38" i="1" s="1"/>
  <c r="FY38" i="1" s="1"/>
  <c r="HE38" i="1" s="1"/>
  <c r="CQ46" i="1"/>
  <c r="GA31" i="1"/>
  <c r="GD31" i="1"/>
  <c r="CY44" i="1"/>
  <c r="DO44" i="1" s="1"/>
  <c r="GH30" i="1"/>
  <c r="DA44" i="1"/>
  <c r="DQ44" i="1" s="1"/>
  <c r="CP46" i="1"/>
  <c r="EK39" i="1"/>
  <c r="EG39" i="1"/>
  <c r="EE39" i="1"/>
  <c r="EF39" i="1"/>
  <c r="CN47" i="1"/>
  <c r="CP47" i="1" s="1"/>
  <c r="CE49" i="1"/>
  <c r="CC49" i="1"/>
  <c r="CB49" i="1"/>
  <c r="CG49" i="1" s="1"/>
  <c r="CS45" i="1"/>
  <c r="CT45" i="1" s="1"/>
  <c r="GE30" i="1"/>
  <c r="GF30" i="1" s="1"/>
  <c r="GG30" i="1"/>
  <c r="DN44" i="1"/>
  <c r="DP44" i="1"/>
  <c r="DM44" i="1"/>
  <c r="CF48" i="1"/>
  <c r="CL48" i="1" s="1"/>
  <c r="CK48" i="1"/>
  <c r="CH48" i="1"/>
  <c r="GO31" i="1"/>
  <c r="HM30" i="1" s="1"/>
  <c r="GC31" i="1"/>
  <c r="GB31" i="1"/>
  <c r="DL44" i="1"/>
  <c r="EL39" i="1"/>
  <c r="EI39" i="1"/>
  <c r="EJ39" i="1"/>
  <c r="EH39" i="1"/>
  <c r="AS54" i="1"/>
  <c r="AT54" i="1" s="1"/>
  <c r="BB54" i="1" s="1"/>
  <c r="BE54" i="1" s="1"/>
  <c r="EG40" i="1" l="1"/>
  <c r="EJ40" i="1"/>
  <c r="EH40" i="1"/>
  <c r="EI40" i="1"/>
  <c r="GB32" i="1"/>
  <c r="GE32" i="1" s="1"/>
  <c r="GF32" i="1" s="1"/>
  <c r="GO32" i="1"/>
  <c r="HM36" i="1" s="1"/>
  <c r="GP36" i="1"/>
  <c r="GD36" i="1"/>
  <c r="GA36" i="1"/>
  <c r="FR36" i="1"/>
  <c r="FP36" i="1"/>
  <c r="FQ36" i="1"/>
  <c r="FS32" i="1"/>
  <c r="GY33" i="1"/>
  <c r="GZ33" i="1" s="1"/>
  <c r="GS33" i="1"/>
  <c r="GT33" i="1" s="1"/>
  <c r="BU54" i="1"/>
  <c r="CA54" i="1"/>
  <c r="BX54" i="1"/>
  <c r="HK57" i="1"/>
  <c r="HS58" i="1" s="1"/>
  <c r="HL58" i="1" s="1"/>
  <c r="HV58" i="1" s="1"/>
  <c r="HM57" i="1"/>
  <c r="IB57" i="1"/>
  <c r="IC57" i="1"/>
  <c r="HX57" i="1"/>
  <c r="HN57" i="1"/>
  <c r="HY57" i="1"/>
  <c r="IE57" i="1"/>
  <c r="IA57" i="1"/>
  <c r="HZ57" i="1"/>
  <c r="HR57" i="1"/>
  <c r="HT57" i="1"/>
  <c r="HQ57" i="1"/>
  <c r="ID57" i="1"/>
  <c r="HV57" i="1"/>
  <c r="HW57" i="1"/>
  <c r="EQ37" i="1"/>
  <c r="EZ37" i="1" s="1"/>
  <c r="FC37" i="1" s="1"/>
  <c r="FT31" i="1"/>
  <c r="EE40" i="1"/>
  <c r="EF40" i="1"/>
  <c r="EP37" i="1"/>
  <c r="EV37" i="1" s="1"/>
  <c r="EW37" i="1" s="1"/>
  <c r="CR48" i="1"/>
  <c r="GZ29" i="1"/>
  <c r="GT29" i="1"/>
  <c r="HA29" i="1"/>
  <c r="GR29" i="1"/>
  <c r="FS31" i="1"/>
  <c r="CS46" i="1"/>
  <c r="CU46" i="1" s="1"/>
  <c r="CY46" i="1" s="1"/>
  <c r="FF38" i="1"/>
  <c r="FI38" i="1" s="1"/>
  <c r="GY30" i="1"/>
  <c r="FB38" i="1"/>
  <c r="GH31" i="1"/>
  <c r="FA38" i="1"/>
  <c r="CQ47" i="1"/>
  <c r="CS47" i="1" s="1"/>
  <c r="CT47" i="1" s="1"/>
  <c r="GS30" i="1"/>
  <c r="CJ49" i="1"/>
  <c r="CM49" i="1" s="1"/>
  <c r="EM39" i="1"/>
  <c r="EO39" i="1"/>
  <c r="ER39" i="1" s="1"/>
  <c r="EN39" i="1"/>
  <c r="CF49" i="1"/>
  <c r="CL49" i="1" s="1"/>
  <c r="CK49" i="1"/>
  <c r="CH49" i="1"/>
  <c r="DW44" i="1"/>
  <c r="DX44" i="1" s="1"/>
  <c r="DR44" i="1"/>
  <c r="DV44" i="1"/>
  <c r="EW38" i="1"/>
  <c r="EX38" i="1"/>
  <c r="HB38" i="1"/>
  <c r="HF38" i="1" s="1"/>
  <c r="HH38" i="1" s="1"/>
  <c r="GE31" i="1"/>
  <c r="GF31" i="1" s="1"/>
  <c r="GG31" i="1"/>
  <c r="CU45" i="1"/>
  <c r="CV45" i="1"/>
  <c r="CW45" i="1"/>
  <c r="CX45" i="1"/>
  <c r="DU44" i="1"/>
  <c r="DS44" i="1"/>
  <c r="CN48" i="1"/>
  <c r="CP48" i="1" s="1"/>
  <c r="GI31" i="1"/>
  <c r="EM40" i="1"/>
  <c r="EN40" i="1"/>
  <c r="EO40" i="1"/>
  <c r="ER40" i="1" s="1"/>
  <c r="AS55" i="1"/>
  <c r="AT55" i="1" s="1"/>
  <c r="GH32" i="1" l="1"/>
  <c r="GI32" i="1"/>
  <c r="GG32" i="1"/>
  <c r="EX37" i="1"/>
  <c r="FS36" i="1"/>
  <c r="GC36" i="1"/>
  <c r="GB36" i="1"/>
  <c r="GO36" i="1"/>
  <c r="FT36" i="1"/>
  <c r="HA33" i="1"/>
  <c r="HD33" i="1" s="1"/>
  <c r="GR33" i="1"/>
  <c r="CC54" i="1"/>
  <c r="CE54" i="1"/>
  <c r="CB54" i="1"/>
  <c r="CG54" i="1" s="1"/>
  <c r="HT58" i="1"/>
  <c r="HW58" i="1"/>
  <c r="HK58" i="1"/>
  <c r="HS59" i="1" s="1"/>
  <c r="HL59" i="1" s="1"/>
  <c r="HN59" i="1" s="1"/>
  <c r="HY58" i="1"/>
  <c r="IE58" i="1"/>
  <c r="HM58" i="1"/>
  <c r="ID58" i="1"/>
  <c r="HX58" i="1"/>
  <c r="HU58" i="1"/>
  <c r="HQ58" i="1"/>
  <c r="IC58" i="1"/>
  <c r="HN58" i="1"/>
  <c r="HZ58" i="1"/>
  <c r="IA58" i="1"/>
  <c r="HR58" i="1"/>
  <c r="IB58" i="1"/>
  <c r="HB37" i="1"/>
  <c r="HF37" i="1" s="1"/>
  <c r="FB37" i="1"/>
  <c r="FA37" i="1"/>
  <c r="DA46" i="1"/>
  <c r="CZ46" i="1"/>
  <c r="FF37" i="1"/>
  <c r="FI37" i="1" s="1"/>
  <c r="FY37" i="1"/>
  <c r="HE37" i="1" s="1"/>
  <c r="GZ30" i="1"/>
  <c r="FO38" i="1"/>
  <c r="HD29" i="1"/>
  <c r="HC29" i="1"/>
  <c r="CT46" i="1"/>
  <c r="CV46" i="1" s="1"/>
  <c r="DO46" i="1" s="1"/>
  <c r="FE38" i="1"/>
  <c r="FH38" i="1" s="1"/>
  <c r="FL38" i="1"/>
  <c r="FD38" i="1"/>
  <c r="FV38" i="1" s="1"/>
  <c r="GS31" i="1"/>
  <c r="GY31" i="1"/>
  <c r="IA30" i="1" s="1"/>
  <c r="CQ48" i="1"/>
  <c r="CS48" i="1" s="1"/>
  <c r="CU48" i="1" s="1"/>
  <c r="GT30" i="1"/>
  <c r="HA30" i="1"/>
  <c r="HC30" i="1" s="1"/>
  <c r="GR30" i="1"/>
  <c r="EA44" i="1"/>
  <c r="DY44" i="1"/>
  <c r="CU47" i="1"/>
  <c r="EQ40" i="1"/>
  <c r="EZ40" i="1" s="1"/>
  <c r="FC40" i="1" s="1"/>
  <c r="EP40" i="1"/>
  <c r="DN45" i="1"/>
  <c r="CW47" i="1"/>
  <c r="CV47" i="1"/>
  <c r="CX47" i="1"/>
  <c r="CN49" i="1"/>
  <c r="CQ49" i="1" s="1"/>
  <c r="DM45" i="1"/>
  <c r="EP39" i="1"/>
  <c r="EQ39" i="1"/>
  <c r="EZ39" i="1" s="1"/>
  <c r="FC39" i="1" s="1"/>
  <c r="DL45" i="1"/>
  <c r="FU38" i="1"/>
  <c r="HG38" i="1"/>
  <c r="DA45" i="1"/>
  <c r="DQ45" i="1" s="1"/>
  <c r="CY45" i="1"/>
  <c r="DO45" i="1" s="1"/>
  <c r="CZ45" i="1"/>
  <c r="DP45" i="1" s="1"/>
  <c r="CR49" i="1"/>
  <c r="DZ44" i="1"/>
  <c r="FU37" i="1"/>
  <c r="AS56" i="1"/>
  <c r="AT56" i="1" s="1"/>
  <c r="GY32" i="1" l="1"/>
  <c r="GZ32" i="1" s="1"/>
  <c r="IE36" i="1" s="1"/>
  <c r="GS32" i="1"/>
  <c r="HY36" i="1" s="1"/>
  <c r="GI36" i="1"/>
  <c r="GG36" i="1"/>
  <c r="GE36" i="1"/>
  <c r="GF36" i="1" s="1"/>
  <c r="GH36" i="1"/>
  <c r="HC33" i="1"/>
  <c r="CJ54" i="1"/>
  <c r="CM54" i="1" s="1"/>
  <c r="CF54" i="1"/>
  <c r="CL54" i="1" s="1"/>
  <c r="CK54" i="1"/>
  <c r="CH54" i="1"/>
  <c r="IB59" i="1"/>
  <c r="HM59" i="1"/>
  <c r="HR59" i="1"/>
  <c r="HK59" i="1"/>
  <c r="HS60" i="1" s="1"/>
  <c r="HL60" i="1" s="1"/>
  <c r="HN60" i="1" s="1"/>
  <c r="HT59" i="1"/>
  <c r="IA59" i="1"/>
  <c r="HY59" i="1"/>
  <c r="IE59" i="1"/>
  <c r="IC59" i="1"/>
  <c r="HZ59" i="1"/>
  <c r="ID59" i="1"/>
  <c r="HV59" i="1"/>
  <c r="HX59" i="1"/>
  <c r="HU59" i="1"/>
  <c r="HW59" i="1"/>
  <c r="HQ59" i="1"/>
  <c r="HG37" i="1"/>
  <c r="GT31" i="1"/>
  <c r="IC30" i="1" s="1"/>
  <c r="HY30" i="1"/>
  <c r="IA36" i="1"/>
  <c r="FL37" i="1"/>
  <c r="HH37" i="1"/>
  <c r="FD37" i="1"/>
  <c r="FG37" i="1" s="1"/>
  <c r="FW37" i="1" s="1"/>
  <c r="FE37" i="1"/>
  <c r="FH37" i="1" s="1"/>
  <c r="FO37" i="1"/>
  <c r="DL46" i="1"/>
  <c r="FG38" i="1"/>
  <c r="FW38" i="1" s="1"/>
  <c r="FX38" i="1" s="1"/>
  <c r="FZ38" i="1" s="1"/>
  <c r="CW46" i="1"/>
  <c r="DP46" i="1" s="1"/>
  <c r="CX46" i="1"/>
  <c r="DN46" i="1" s="1"/>
  <c r="HA31" i="1"/>
  <c r="HD31" i="1" s="1"/>
  <c r="CP49" i="1"/>
  <c r="CS49" i="1" s="1"/>
  <c r="CU49" i="1" s="1"/>
  <c r="GZ31" i="1"/>
  <c r="IE30" i="1" s="1"/>
  <c r="GR31" i="1"/>
  <c r="IB30" i="1" s="1"/>
  <c r="HD30" i="1"/>
  <c r="ED44" i="1"/>
  <c r="EB44" i="1"/>
  <c r="EC44" i="1"/>
  <c r="DM47" i="1"/>
  <c r="DW45" i="1"/>
  <c r="DX45" i="1" s="1"/>
  <c r="DV45" i="1"/>
  <c r="DR45" i="1"/>
  <c r="FF40" i="1"/>
  <c r="FI40" i="1" s="1"/>
  <c r="FY40" i="1"/>
  <c r="HE40" i="1" s="1"/>
  <c r="CT48" i="1"/>
  <c r="CY47" i="1"/>
  <c r="DO47" i="1" s="1"/>
  <c r="CZ47" i="1"/>
  <c r="DP47" i="1" s="1"/>
  <c r="DA47" i="1"/>
  <c r="DQ47" i="1" s="1"/>
  <c r="CY48" i="1"/>
  <c r="CZ48" i="1"/>
  <c r="DA48" i="1"/>
  <c r="DS45" i="1"/>
  <c r="DU45" i="1"/>
  <c r="FF39" i="1"/>
  <c r="FI39" i="1" s="1"/>
  <c r="FY39" i="1"/>
  <c r="HE39" i="1" s="1"/>
  <c r="DN47" i="1"/>
  <c r="FB39" i="1"/>
  <c r="FA39" i="1"/>
  <c r="EV39" i="1"/>
  <c r="DL47" i="1"/>
  <c r="EV40" i="1"/>
  <c r="FB40" i="1"/>
  <c r="FA40" i="1"/>
  <c r="AS57" i="1"/>
  <c r="AT57" i="1" s="1"/>
  <c r="GT32" i="1" l="1"/>
  <c r="IC36" i="1" s="1"/>
  <c r="HA32" i="1"/>
  <c r="HD32" i="1" s="1"/>
  <c r="GR32" i="1"/>
  <c r="IB36" i="1" s="1"/>
  <c r="FM38" i="1"/>
  <c r="FN38" i="1" s="1"/>
  <c r="FP38" i="1" s="1"/>
  <c r="GY36" i="1"/>
  <c r="GZ36" i="1" s="1"/>
  <c r="GS36" i="1"/>
  <c r="CN54" i="1"/>
  <c r="CQ54" i="1" s="1"/>
  <c r="CR54" i="1"/>
  <c r="IE60" i="1"/>
  <c r="HW60" i="1"/>
  <c r="IC60" i="1"/>
  <c r="HM60" i="1"/>
  <c r="HZ60" i="1"/>
  <c r="HU60" i="1"/>
  <c r="HR60" i="1"/>
  <c r="IB60" i="1"/>
  <c r="HQ60" i="1"/>
  <c r="HX60" i="1"/>
  <c r="HV60" i="1"/>
  <c r="ID60" i="1"/>
  <c r="HT60" i="1"/>
  <c r="HY60" i="1"/>
  <c r="IA60" i="1"/>
  <c r="HK60" i="1"/>
  <c r="HS61" i="1" s="1"/>
  <c r="FM37" i="1"/>
  <c r="FN37" i="1" s="1"/>
  <c r="FR37" i="1" s="1"/>
  <c r="FJ37" i="1"/>
  <c r="GQ37" i="1" s="1"/>
  <c r="FV37" i="1"/>
  <c r="FX37" i="1" s="1"/>
  <c r="FZ37" i="1" s="1"/>
  <c r="GA37" i="1" s="1"/>
  <c r="DQ46" i="1"/>
  <c r="DU46" i="1" s="1"/>
  <c r="DM46" i="1"/>
  <c r="DW46" i="1" s="1"/>
  <c r="DX46" i="1" s="1"/>
  <c r="FJ38" i="1"/>
  <c r="GQ38" i="1" s="1"/>
  <c r="HC32" i="1"/>
  <c r="HC31" i="1"/>
  <c r="DY45" i="1"/>
  <c r="DU47" i="1"/>
  <c r="DS47" i="1"/>
  <c r="EK44" i="1"/>
  <c r="EF44" i="1"/>
  <c r="EG44" i="1"/>
  <c r="EE44" i="1"/>
  <c r="EX40" i="1"/>
  <c r="EW40" i="1"/>
  <c r="FU40" i="1" s="1"/>
  <c r="HB40" i="1"/>
  <c r="HF40" i="1" s="1"/>
  <c r="HG40" i="1" s="1"/>
  <c r="FD40" i="1"/>
  <c r="CW48" i="1"/>
  <c r="CV48" i="1"/>
  <c r="CX48" i="1"/>
  <c r="FL39" i="1"/>
  <c r="FO39" i="1"/>
  <c r="GP38" i="1"/>
  <c r="GD38" i="1"/>
  <c r="GA38" i="1"/>
  <c r="CT49" i="1"/>
  <c r="EJ44" i="1"/>
  <c r="EL44" i="1"/>
  <c r="EI44" i="1"/>
  <c r="EH44" i="1"/>
  <c r="DZ45" i="1"/>
  <c r="CY49" i="1"/>
  <c r="CZ49" i="1"/>
  <c r="DA49" i="1"/>
  <c r="DR47" i="1"/>
  <c r="DW47" i="1"/>
  <c r="DX47" i="1" s="1"/>
  <c r="DV47" i="1"/>
  <c r="FE40" i="1"/>
  <c r="FL40" i="1"/>
  <c r="FO40" i="1"/>
  <c r="EX39" i="1"/>
  <c r="FD39" i="1"/>
  <c r="FV39" i="1" s="1"/>
  <c r="HB39" i="1"/>
  <c r="HF39" i="1" s="1"/>
  <c r="HG39" i="1" s="1"/>
  <c r="EW39" i="1"/>
  <c r="FE39" i="1"/>
  <c r="EA45" i="1"/>
  <c r="AS58" i="1"/>
  <c r="AT58" i="1" s="1"/>
  <c r="BB55" i="1"/>
  <c r="BE55" i="1" s="1"/>
  <c r="FR38" i="1" l="1"/>
  <c r="FQ38" i="1"/>
  <c r="GR36" i="1"/>
  <c r="GT36" i="1"/>
  <c r="HA36" i="1"/>
  <c r="CP54" i="1"/>
  <c r="CS54" i="1" s="1"/>
  <c r="CU54" i="1" s="1"/>
  <c r="HL61" i="1"/>
  <c r="HK61" i="1"/>
  <c r="HS62" i="1" s="1"/>
  <c r="FQ37" i="1"/>
  <c r="FT37" i="1" s="1"/>
  <c r="FP37" i="1"/>
  <c r="GB37" i="1" s="1"/>
  <c r="DS46" i="1"/>
  <c r="DY46" i="1" s="1"/>
  <c r="DV46" i="1"/>
  <c r="GP37" i="1"/>
  <c r="GD37" i="1"/>
  <c r="DR46" i="1"/>
  <c r="EA46" i="1" s="1"/>
  <c r="HH39" i="1"/>
  <c r="FH40" i="1"/>
  <c r="HH40" i="1"/>
  <c r="DZ47" i="1"/>
  <c r="FG39" i="1"/>
  <c r="FU39" i="1"/>
  <c r="EA47" i="1"/>
  <c r="ED45" i="1"/>
  <c r="EC45" i="1"/>
  <c r="EB45" i="1"/>
  <c r="DQ48" i="1"/>
  <c r="DN48" i="1"/>
  <c r="CV49" i="1"/>
  <c r="CW49" i="1"/>
  <c r="CX49" i="1"/>
  <c r="DQ49" i="1" s="1"/>
  <c r="DO48" i="1"/>
  <c r="DL48" i="1"/>
  <c r="DM48" i="1"/>
  <c r="BX55" i="1"/>
  <c r="BU55" i="1"/>
  <c r="CA55" i="1"/>
  <c r="FH39" i="1"/>
  <c r="GC38" i="1"/>
  <c r="GB38" i="1"/>
  <c r="GO38" i="1"/>
  <c r="DP48" i="1"/>
  <c r="EO44" i="1"/>
  <c r="ER44" i="1" s="1"/>
  <c r="EN44" i="1"/>
  <c r="EM44" i="1"/>
  <c r="FG40" i="1"/>
  <c r="FV40" i="1"/>
  <c r="DY47" i="1"/>
  <c r="AS59" i="1"/>
  <c r="AT59" i="1" s="1"/>
  <c r="BB56" i="1"/>
  <c r="BE56" i="1" s="1"/>
  <c r="FT38" i="1" l="1"/>
  <c r="FS38" i="1"/>
  <c r="HD36" i="1"/>
  <c r="HC36" i="1"/>
  <c r="CT54" i="1"/>
  <c r="CY54" i="1"/>
  <c r="CZ54" i="1"/>
  <c r="DA54" i="1"/>
  <c r="HL62" i="1"/>
  <c r="HK62" i="1"/>
  <c r="HS63" i="1" s="1"/>
  <c r="HN61" i="1"/>
  <c r="HX61" i="1"/>
  <c r="IE61" i="1"/>
  <c r="HY61" i="1"/>
  <c r="ID61" i="1"/>
  <c r="HQ61" i="1"/>
  <c r="HU61" i="1"/>
  <c r="HV61" i="1"/>
  <c r="IC61" i="1"/>
  <c r="HR61" i="1"/>
  <c r="HT61" i="1"/>
  <c r="HM61" i="1"/>
  <c r="IA61" i="1"/>
  <c r="HZ61" i="1"/>
  <c r="HW61" i="1"/>
  <c r="IB61" i="1"/>
  <c r="GO37" i="1"/>
  <c r="GC37" i="1"/>
  <c r="GH37" i="1" s="1"/>
  <c r="FS37" i="1"/>
  <c r="DZ46" i="1"/>
  <c r="ED46" i="1" s="1"/>
  <c r="EJ46" i="1" s="1"/>
  <c r="GH38" i="1"/>
  <c r="DL49" i="1"/>
  <c r="FW40" i="1"/>
  <c r="FX40" i="1" s="1"/>
  <c r="FZ40" i="1" s="1"/>
  <c r="FJ40" i="1"/>
  <c r="GQ40" i="1" s="1"/>
  <c r="HQ35" i="1" s="1"/>
  <c r="FM40" i="1"/>
  <c r="FN40" i="1" s="1"/>
  <c r="EP44" i="1"/>
  <c r="EQ44" i="1"/>
  <c r="EZ44" i="1" s="1"/>
  <c r="FC44" i="1" s="1"/>
  <c r="EK45" i="1"/>
  <c r="EF45" i="1"/>
  <c r="EG45" i="1"/>
  <c r="EE45" i="1"/>
  <c r="CA56" i="1"/>
  <c r="BU56" i="1"/>
  <c r="BX56" i="1"/>
  <c r="CC55" i="1"/>
  <c r="CE55" i="1"/>
  <c r="CB55" i="1"/>
  <c r="CG55" i="1" s="1"/>
  <c r="EH45" i="1"/>
  <c r="EL45" i="1"/>
  <c r="EI45" i="1"/>
  <c r="EJ45" i="1"/>
  <c r="DW48" i="1"/>
  <c r="DX48" i="1" s="1"/>
  <c r="DV48" i="1"/>
  <c r="DR48" i="1"/>
  <c r="DO49" i="1"/>
  <c r="GI38" i="1"/>
  <c r="DU48" i="1"/>
  <c r="DS48" i="1"/>
  <c r="FJ39" i="1"/>
  <c r="GQ39" i="1" s="1"/>
  <c r="HQ29" i="1" s="1"/>
  <c r="FM39" i="1"/>
  <c r="FN39" i="1" s="1"/>
  <c r="FW39" i="1"/>
  <c r="FX39" i="1" s="1"/>
  <c r="FZ39" i="1" s="1"/>
  <c r="DN49" i="1"/>
  <c r="GE38" i="1"/>
  <c r="GF38" i="1" s="1"/>
  <c r="GG38" i="1"/>
  <c r="DP49" i="1"/>
  <c r="DM49" i="1"/>
  <c r="EC47" i="1"/>
  <c r="EB47" i="1"/>
  <c r="ED47" i="1"/>
  <c r="AS60" i="1"/>
  <c r="AT60" i="1" s="1"/>
  <c r="BB57" i="1"/>
  <c r="BE57" i="1" s="1"/>
  <c r="CX54" i="1" l="1"/>
  <c r="CV54" i="1"/>
  <c r="CW54" i="1"/>
  <c r="HL63" i="1"/>
  <c r="HK63" i="1"/>
  <c r="HS64" i="1" s="1"/>
  <c r="HN62" i="1"/>
  <c r="HT62" i="1"/>
  <c r="IE62" i="1"/>
  <c r="ID62" i="1"/>
  <c r="HW62" i="1"/>
  <c r="IB62" i="1"/>
  <c r="IA62" i="1"/>
  <c r="HV62" i="1"/>
  <c r="HZ62" i="1"/>
  <c r="HR62" i="1"/>
  <c r="HM62" i="1"/>
  <c r="HY62" i="1"/>
  <c r="HU62" i="1"/>
  <c r="IC62" i="1"/>
  <c r="HX62" i="1"/>
  <c r="HQ62" i="1"/>
  <c r="GG37" i="1"/>
  <c r="GS37" i="1" s="1"/>
  <c r="GE37" i="1"/>
  <c r="GF37" i="1" s="1"/>
  <c r="GI37" i="1"/>
  <c r="GY37" i="1" s="1"/>
  <c r="EH46" i="1"/>
  <c r="EL46" i="1"/>
  <c r="EI46" i="1"/>
  <c r="EB46" i="1"/>
  <c r="EC46" i="1"/>
  <c r="CJ55" i="1"/>
  <c r="CM55" i="1" s="1"/>
  <c r="GS38" i="1"/>
  <c r="EA48" i="1"/>
  <c r="GY38" i="1"/>
  <c r="DR49" i="1"/>
  <c r="GA40" i="1"/>
  <c r="GP40" i="1"/>
  <c r="HR35" i="1" s="1"/>
  <c r="GD40" i="1"/>
  <c r="FR40" i="1"/>
  <c r="FQ40" i="1"/>
  <c r="FP40" i="1"/>
  <c r="DS49" i="1"/>
  <c r="DU49" i="1"/>
  <c r="CF55" i="1"/>
  <c r="CL55" i="1" s="1"/>
  <c r="CK55" i="1"/>
  <c r="CH55" i="1"/>
  <c r="EG47" i="1"/>
  <c r="EK47" i="1"/>
  <c r="EE47" i="1"/>
  <c r="EF47" i="1"/>
  <c r="GA39" i="1"/>
  <c r="GD39" i="1"/>
  <c r="GP39" i="1"/>
  <c r="HR29" i="1" s="1"/>
  <c r="EO45" i="1"/>
  <c r="ER45" i="1" s="1"/>
  <c r="EN45" i="1"/>
  <c r="FR39" i="1"/>
  <c r="FQ39" i="1"/>
  <c r="FP39" i="1"/>
  <c r="DZ48" i="1"/>
  <c r="CE56" i="1"/>
  <c r="CB56" i="1"/>
  <c r="CG56" i="1" s="1"/>
  <c r="CC56" i="1"/>
  <c r="EM45" i="1"/>
  <c r="DW49" i="1"/>
  <c r="DX49" i="1" s="1"/>
  <c r="DV49" i="1"/>
  <c r="EI47" i="1"/>
  <c r="EL47" i="1"/>
  <c r="EJ47" i="1"/>
  <c r="EH47" i="1"/>
  <c r="CA57" i="1"/>
  <c r="BX57" i="1"/>
  <c r="BU57" i="1"/>
  <c r="DY48" i="1"/>
  <c r="FF44" i="1"/>
  <c r="FI44" i="1" s="1"/>
  <c r="FY44" i="1"/>
  <c r="HE44" i="1" s="1"/>
  <c r="EV44" i="1"/>
  <c r="FA44" i="1"/>
  <c r="FB44" i="1"/>
  <c r="AS61" i="1"/>
  <c r="AT61" i="1" s="1"/>
  <c r="DP54" i="1" l="1"/>
  <c r="DM54" i="1"/>
  <c r="DO54" i="1"/>
  <c r="DL54" i="1"/>
  <c r="DN54" i="1"/>
  <c r="DQ54" i="1"/>
  <c r="HL64" i="1"/>
  <c r="HK64" i="1"/>
  <c r="HS65" i="1" s="1"/>
  <c r="HN63" i="1"/>
  <c r="IC63" i="1"/>
  <c r="IA63" i="1"/>
  <c r="HT63" i="1"/>
  <c r="HW63" i="1"/>
  <c r="HZ63" i="1"/>
  <c r="HX63" i="1"/>
  <c r="HQ63" i="1"/>
  <c r="IE63" i="1"/>
  <c r="HM63" i="1"/>
  <c r="HV63" i="1"/>
  <c r="IB63" i="1"/>
  <c r="ID63" i="1"/>
  <c r="HY63" i="1"/>
  <c r="HU63" i="1"/>
  <c r="HR63" i="1"/>
  <c r="GZ38" i="1"/>
  <c r="GZ37" i="1"/>
  <c r="GT37" i="1"/>
  <c r="EE46" i="1"/>
  <c r="EF46" i="1"/>
  <c r="EK46" i="1"/>
  <c r="EG46" i="1"/>
  <c r="HA37" i="1"/>
  <c r="HD37" i="1" s="1"/>
  <c r="GR37" i="1"/>
  <c r="EA49" i="1"/>
  <c r="GT38" i="1"/>
  <c r="HA38" i="1"/>
  <c r="HD38" i="1" s="1"/>
  <c r="GR38" i="1"/>
  <c r="DZ49" i="1"/>
  <c r="CJ56" i="1"/>
  <c r="CM56" i="1" s="1"/>
  <c r="FS39" i="1"/>
  <c r="FT40" i="1"/>
  <c r="DY49" i="1"/>
  <c r="EQ45" i="1"/>
  <c r="EZ45" i="1" s="1"/>
  <c r="FC45" i="1" s="1"/>
  <c r="CN55" i="1"/>
  <c r="CP55" i="1" s="1"/>
  <c r="FT39" i="1"/>
  <c r="EM47" i="1"/>
  <c r="EO47" i="1"/>
  <c r="ER47" i="1" s="1"/>
  <c r="EN47" i="1"/>
  <c r="GO40" i="1"/>
  <c r="HM35" i="1" s="1"/>
  <c r="GC40" i="1"/>
  <c r="GB40" i="1"/>
  <c r="CF56" i="1"/>
  <c r="CL56" i="1" s="1"/>
  <c r="CH56" i="1"/>
  <c r="CK56" i="1"/>
  <c r="EP45" i="1"/>
  <c r="FS40" i="1"/>
  <c r="EW44" i="1"/>
  <c r="HB44" i="1"/>
  <c r="HF44" i="1" s="1"/>
  <c r="HH44" i="1" s="1"/>
  <c r="EX44" i="1"/>
  <c r="FE44" i="1"/>
  <c r="FD44" i="1"/>
  <c r="FV44" i="1" s="1"/>
  <c r="CE57" i="1"/>
  <c r="CC57" i="1"/>
  <c r="CB57" i="1"/>
  <c r="CG57" i="1" s="1"/>
  <c r="CR55" i="1"/>
  <c r="GO39" i="1"/>
  <c r="HM29" i="1" s="1"/>
  <c r="GB39" i="1"/>
  <c r="GC39" i="1"/>
  <c r="FL44" i="1"/>
  <c r="FO44" i="1"/>
  <c r="ED48" i="1"/>
  <c r="EB48" i="1"/>
  <c r="EC48" i="1"/>
  <c r="DV54" i="1" l="1"/>
  <c r="DR54" i="1"/>
  <c r="DW54" i="1"/>
  <c r="DX54" i="1" s="1"/>
  <c r="DS54" i="1"/>
  <c r="DU54" i="1"/>
  <c r="HL65" i="1"/>
  <c r="HK65" i="1"/>
  <c r="HS66" i="1" s="1"/>
  <c r="HN64" i="1"/>
  <c r="HZ64" i="1"/>
  <c r="HM64" i="1"/>
  <c r="IE64" i="1"/>
  <c r="HQ64" i="1"/>
  <c r="HV64" i="1"/>
  <c r="HW64" i="1"/>
  <c r="ID64" i="1"/>
  <c r="IC64" i="1"/>
  <c r="HY64" i="1"/>
  <c r="HT64" i="1"/>
  <c r="HX64" i="1"/>
  <c r="IB64" i="1"/>
  <c r="HU64" i="1"/>
  <c r="IA64" i="1"/>
  <c r="HR64" i="1"/>
  <c r="CR56" i="1"/>
  <c r="EN46" i="1"/>
  <c r="EO46" i="1"/>
  <c r="ER46" i="1" s="1"/>
  <c r="EM46" i="1"/>
  <c r="HC38" i="1"/>
  <c r="HC37" i="1"/>
  <c r="ED49" i="1"/>
  <c r="EH49" i="1" s="1"/>
  <c r="EB49" i="1"/>
  <c r="EC49" i="1"/>
  <c r="EG49" i="1" s="1"/>
  <c r="CQ55" i="1"/>
  <c r="CS55" i="1" s="1"/>
  <c r="CU55" i="1" s="1"/>
  <c r="GH39" i="1"/>
  <c r="HG44" i="1"/>
  <c r="GH40" i="1"/>
  <c r="CJ57" i="1"/>
  <c r="CM57" i="1" s="1"/>
  <c r="EQ47" i="1"/>
  <c r="EZ47" i="1" s="1"/>
  <c r="FC47" i="1" s="1"/>
  <c r="EP47" i="1"/>
  <c r="GE39" i="1"/>
  <c r="GF39" i="1" s="1"/>
  <c r="GG39" i="1"/>
  <c r="GG40" i="1"/>
  <c r="GE40" i="1"/>
  <c r="GF40" i="1" s="1"/>
  <c r="FU44" i="1"/>
  <c r="FG44" i="1"/>
  <c r="GI40" i="1"/>
  <c r="EV45" i="1"/>
  <c r="FA45" i="1"/>
  <c r="FB45" i="1"/>
  <c r="GI39" i="1"/>
  <c r="CN56" i="1"/>
  <c r="CP56" i="1" s="1"/>
  <c r="EJ48" i="1"/>
  <c r="EL48" i="1"/>
  <c r="EH48" i="1"/>
  <c r="EI48" i="1"/>
  <c r="EK48" i="1"/>
  <c r="EG48" i="1"/>
  <c r="EE48" i="1"/>
  <c r="EF48" i="1"/>
  <c r="CF57" i="1"/>
  <c r="CL57" i="1" s="1"/>
  <c r="CK57" i="1"/>
  <c r="CH57" i="1"/>
  <c r="FH44" i="1"/>
  <c r="FF45" i="1"/>
  <c r="FI45" i="1" s="1"/>
  <c r="FY45" i="1"/>
  <c r="HE45" i="1" s="1"/>
  <c r="EA54" i="1" l="1"/>
  <c r="DY54" i="1"/>
  <c r="DZ54" i="1"/>
  <c r="HL66" i="1"/>
  <c r="HK66" i="1"/>
  <c r="HS67" i="1" s="1"/>
  <c r="HN65" i="1"/>
  <c r="IB65" i="1"/>
  <c r="HT65" i="1"/>
  <c r="HR65" i="1"/>
  <c r="HZ65" i="1"/>
  <c r="HQ65" i="1"/>
  <c r="HY65" i="1"/>
  <c r="ID65" i="1"/>
  <c r="HX65" i="1"/>
  <c r="HM65" i="1"/>
  <c r="IE65" i="1"/>
  <c r="IC65" i="1"/>
  <c r="HV65" i="1"/>
  <c r="HU65" i="1"/>
  <c r="HW65" i="1"/>
  <c r="IA65" i="1"/>
  <c r="EP46" i="1"/>
  <c r="EQ46" i="1"/>
  <c r="EZ46" i="1" s="1"/>
  <c r="FC46" i="1" s="1"/>
  <c r="GY40" i="1"/>
  <c r="EI49" i="1"/>
  <c r="EJ49" i="1"/>
  <c r="EL49" i="1"/>
  <c r="CR57" i="1"/>
  <c r="EK49" i="1"/>
  <c r="EE49" i="1"/>
  <c r="EF49" i="1"/>
  <c r="GS39" i="1"/>
  <c r="GY39" i="1"/>
  <c r="IA29" i="1" s="1"/>
  <c r="GS40" i="1"/>
  <c r="CQ56" i="1"/>
  <c r="CS56" i="1" s="1"/>
  <c r="CT56" i="1" s="1"/>
  <c r="EO48" i="1"/>
  <c r="ER48" i="1" s="1"/>
  <c r="CN57" i="1"/>
  <c r="CQ57" i="1" s="1"/>
  <c r="EV47" i="1"/>
  <c r="FB47" i="1"/>
  <c r="FA47" i="1"/>
  <c r="FF47" i="1"/>
  <c r="FI47" i="1" s="1"/>
  <c r="FY47" i="1"/>
  <c r="HE47" i="1" s="1"/>
  <c r="CT55" i="1"/>
  <c r="FE45" i="1"/>
  <c r="FJ44" i="1"/>
  <c r="GQ44" i="1" s="1"/>
  <c r="FW44" i="1"/>
  <c r="FX44" i="1" s="1"/>
  <c r="FZ44" i="1" s="1"/>
  <c r="FM44" i="1"/>
  <c r="FN44" i="1" s="1"/>
  <c r="CY55" i="1"/>
  <c r="CZ55" i="1"/>
  <c r="DA55" i="1"/>
  <c r="FL45" i="1"/>
  <c r="FO45" i="1"/>
  <c r="EW45" i="1"/>
  <c r="HB45" i="1"/>
  <c r="HF45" i="1" s="1"/>
  <c r="HG45" i="1" s="1"/>
  <c r="EX45" i="1"/>
  <c r="FD45" i="1"/>
  <c r="FV45" i="1" s="1"/>
  <c r="EM48" i="1"/>
  <c r="EN48" i="1"/>
  <c r="AS62" i="1"/>
  <c r="AT62" i="1" s="1"/>
  <c r="ED54" i="1" l="1"/>
  <c r="EC54" i="1"/>
  <c r="EB54" i="1"/>
  <c r="HL67" i="1"/>
  <c r="HK67" i="1"/>
  <c r="HS68" i="1" s="1"/>
  <c r="HN66" i="1"/>
  <c r="HU66" i="1"/>
  <c r="HX66" i="1"/>
  <c r="IC66" i="1"/>
  <c r="HR66" i="1"/>
  <c r="HT66" i="1"/>
  <c r="HQ66" i="1"/>
  <c r="IB66" i="1"/>
  <c r="HW66" i="1"/>
  <c r="HY66" i="1"/>
  <c r="IE66" i="1"/>
  <c r="IA66" i="1"/>
  <c r="HV66" i="1"/>
  <c r="HM66" i="1"/>
  <c r="ID66" i="1"/>
  <c r="HZ66" i="1"/>
  <c r="GT40" i="1"/>
  <c r="IC35" i="1" s="1"/>
  <c r="HY35" i="1"/>
  <c r="HA39" i="1"/>
  <c r="HC39" i="1" s="1"/>
  <c r="HY29" i="1"/>
  <c r="GZ40" i="1"/>
  <c r="IE35" i="1" s="1"/>
  <c r="IA35" i="1"/>
  <c r="FY46" i="1"/>
  <c r="HE46" i="1" s="1"/>
  <c r="FF46" i="1"/>
  <c r="FI46" i="1" s="1"/>
  <c r="EV46" i="1"/>
  <c r="FB46" i="1"/>
  <c r="FA46" i="1"/>
  <c r="EN49" i="1"/>
  <c r="EO49" i="1"/>
  <c r="ER49" i="1" s="1"/>
  <c r="EM49" i="1"/>
  <c r="GZ39" i="1"/>
  <c r="IE29" i="1" s="1"/>
  <c r="HA40" i="1"/>
  <c r="HC40" i="1" s="1"/>
  <c r="GR40" i="1"/>
  <c r="IB35" i="1" s="1"/>
  <c r="GR39" i="1"/>
  <c r="IB29" i="1" s="1"/>
  <c r="GT39" i="1"/>
  <c r="IC29" i="1" s="1"/>
  <c r="FH45" i="1"/>
  <c r="CU56" i="1"/>
  <c r="CY56" i="1" s="1"/>
  <c r="GA44" i="1"/>
  <c r="GP44" i="1"/>
  <c r="GD44" i="1"/>
  <c r="FU45" i="1"/>
  <c r="FG45" i="1"/>
  <c r="CP57" i="1"/>
  <c r="CS57" i="1" s="1"/>
  <c r="FR44" i="1"/>
  <c r="FQ44" i="1"/>
  <c r="FP44" i="1"/>
  <c r="EQ48" i="1"/>
  <c r="EZ48" i="1" s="1"/>
  <c r="FC48" i="1" s="1"/>
  <c r="EP48" i="1"/>
  <c r="CV55" i="1"/>
  <c r="CW55" i="1"/>
  <c r="CX55" i="1"/>
  <c r="FL47" i="1"/>
  <c r="FO47" i="1"/>
  <c r="CV56" i="1"/>
  <c r="CW56" i="1"/>
  <c r="CX56" i="1"/>
  <c r="HH45" i="1"/>
  <c r="EW47" i="1"/>
  <c r="HB47" i="1"/>
  <c r="HF47" i="1" s="1"/>
  <c r="HG47" i="1" s="1"/>
  <c r="EX47" i="1"/>
  <c r="FD47" i="1"/>
  <c r="FV47" i="1" s="1"/>
  <c r="FE47" i="1"/>
  <c r="AS63" i="1"/>
  <c r="AT63" i="1" s="1"/>
  <c r="HD39" i="1" l="1"/>
  <c r="EG54" i="1"/>
  <c r="EK54" i="1"/>
  <c r="EF54" i="1"/>
  <c r="EE54" i="1"/>
  <c r="EH54" i="1"/>
  <c r="EL54" i="1"/>
  <c r="EI54" i="1"/>
  <c r="EJ54" i="1"/>
  <c r="HL68" i="1"/>
  <c r="HK68" i="1"/>
  <c r="HS69" i="1" s="1"/>
  <c r="HN67" i="1"/>
  <c r="ID67" i="1"/>
  <c r="HM67" i="1"/>
  <c r="HU67" i="1"/>
  <c r="HX67" i="1"/>
  <c r="IE67" i="1"/>
  <c r="HT67" i="1"/>
  <c r="HW67" i="1"/>
  <c r="HR67" i="1"/>
  <c r="IB67" i="1"/>
  <c r="IC67" i="1"/>
  <c r="IA67" i="1"/>
  <c r="HQ67" i="1"/>
  <c r="HZ67" i="1"/>
  <c r="HV67" i="1"/>
  <c r="HY67" i="1"/>
  <c r="FL46" i="1"/>
  <c r="FO46" i="1"/>
  <c r="EW46" i="1"/>
  <c r="EX46" i="1"/>
  <c r="HB46" i="1"/>
  <c r="HF46" i="1" s="1"/>
  <c r="FD46" i="1"/>
  <c r="FV46" i="1" s="1"/>
  <c r="FE46" i="1"/>
  <c r="EP49" i="1"/>
  <c r="EV49" i="1" s="1"/>
  <c r="EQ49" i="1"/>
  <c r="EZ49" i="1" s="1"/>
  <c r="FC49" i="1" s="1"/>
  <c r="FY49" i="1" s="1"/>
  <c r="HE49" i="1" s="1"/>
  <c r="HD40" i="1"/>
  <c r="DA56" i="1"/>
  <c r="DQ56" i="1" s="1"/>
  <c r="CZ56" i="1"/>
  <c r="DP56" i="1" s="1"/>
  <c r="CT57" i="1"/>
  <c r="CX57" i="1" s="1"/>
  <c r="CU57" i="1"/>
  <c r="CZ57" i="1" s="1"/>
  <c r="FH47" i="1"/>
  <c r="DO56" i="1"/>
  <c r="DP55" i="1"/>
  <c r="DM55" i="1"/>
  <c r="HH47" i="1"/>
  <c r="DM56" i="1"/>
  <c r="DO55" i="1"/>
  <c r="DL55" i="1"/>
  <c r="DL56" i="1"/>
  <c r="EV48" i="1"/>
  <c r="FA48" i="1"/>
  <c r="FB48" i="1"/>
  <c r="FM45" i="1"/>
  <c r="FN45" i="1" s="1"/>
  <c r="FW45" i="1"/>
  <c r="FX45" i="1" s="1"/>
  <c r="FZ45" i="1" s="1"/>
  <c r="FJ45" i="1"/>
  <c r="GQ45" i="1" s="1"/>
  <c r="FU47" i="1"/>
  <c r="FG47" i="1"/>
  <c r="GB44" i="1"/>
  <c r="GO44" i="1"/>
  <c r="GC44" i="1"/>
  <c r="FF48" i="1"/>
  <c r="FI48" i="1" s="1"/>
  <c r="FY48" i="1"/>
  <c r="HE48" i="1" s="1"/>
  <c r="FT44" i="1"/>
  <c r="FS44" i="1"/>
  <c r="DQ55" i="1"/>
  <c r="DN55" i="1"/>
  <c r="DN56" i="1"/>
  <c r="AS64" i="1"/>
  <c r="AT64" i="1" s="1"/>
  <c r="EO54" i="1" l="1"/>
  <c r="ER54" i="1" s="1"/>
  <c r="EM54" i="1"/>
  <c r="EN54" i="1"/>
  <c r="HL69" i="1"/>
  <c r="HK69" i="1"/>
  <c r="HS70" i="1" s="1"/>
  <c r="HN68" i="1"/>
  <c r="HU68" i="1"/>
  <c r="IC68" i="1"/>
  <c r="IA68" i="1"/>
  <c r="HW68" i="1"/>
  <c r="IB68" i="1"/>
  <c r="HY68" i="1"/>
  <c r="HR68" i="1"/>
  <c r="HX68" i="1"/>
  <c r="HZ68" i="1"/>
  <c r="IE68" i="1"/>
  <c r="HQ68" i="1"/>
  <c r="HV68" i="1"/>
  <c r="HT68" i="1"/>
  <c r="ID68" i="1"/>
  <c r="HM68" i="1"/>
  <c r="HH46" i="1"/>
  <c r="HG46" i="1"/>
  <c r="FH46" i="1"/>
  <c r="FG46" i="1"/>
  <c r="FU46" i="1"/>
  <c r="FF49" i="1"/>
  <c r="FI49" i="1" s="1"/>
  <c r="FB49" i="1"/>
  <c r="DA57" i="1"/>
  <c r="DQ57" i="1" s="1"/>
  <c r="FA49" i="1"/>
  <c r="CY57" i="1"/>
  <c r="CW57" i="1"/>
  <c r="DP57" i="1" s="1"/>
  <c r="DU56" i="1"/>
  <c r="DS56" i="1"/>
  <c r="CV57" i="1"/>
  <c r="DL57" i="1" s="1"/>
  <c r="DW56" i="1"/>
  <c r="DX56" i="1" s="1"/>
  <c r="DR56" i="1"/>
  <c r="DV56" i="1"/>
  <c r="FL48" i="1"/>
  <c r="FO48" i="1"/>
  <c r="GI44" i="1"/>
  <c r="GH44" i="1"/>
  <c r="EW49" i="1"/>
  <c r="EX49" i="1"/>
  <c r="HB49" i="1"/>
  <c r="HF49" i="1" s="1"/>
  <c r="HH49" i="1" s="1"/>
  <c r="EX48" i="1"/>
  <c r="HB48" i="1"/>
  <c r="HF48" i="1" s="1"/>
  <c r="HG48" i="1" s="1"/>
  <c r="EW48" i="1"/>
  <c r="FE48" i="1"/>
  <c r="FD48" i="1"/>
  <c r="FV48" i="1" s="1"/>
  <c r="DV55" i="1"/>
  <c r="DR55" i="1"/>
  <c r="DW55" i="1"/>
  <c r="DX55" i="1" s="1"/>
  <c r="FW47" i="1"/>
  <c r="FX47" i="1" s="1"/>
  <c r="FZ47" i="1" s="1"/>
  <c r="FJ47" i="1"/>
  <c r="GQ47" i="1" s="1"/>
  <c r="FM47" i="1"/>
  <c r="FN47" i="1" s="1"/>
  <c r="DS55" i="1"/>
  <c r="DU55" i="1"/>
  <c r="GA45" i="1"/>
  <c r="GD45" i="1"/>
  <c r="GP45" i="1"/>
  <c r="DN57" i="1"/>
  <c r="GE44" i="1"/>
  <c r="GF44" i="1" s="1"/>
  <c r="GG44" i="1"/>
  <c r="FQ45" i="1"/>
  <c r="FP45" i="1"/>
  <c r="FR45" i="1"/>
  <c r="AS65" i="1"/>
  <c r="AT65" i="1" s="1"/>
  <c r="EQ54" i="1" l="1"/>
  <c r="EZ54" i="1" s="1"/>
  <c r="FC54" i="1" s="1"/>
  <c r="EP54" i="1"/>
  <c r="HL70" i="1"/>
  <c r="HK70" i="1"/>
  <c r="HS71" i="1" s="1"/>
  <c r="HN69" i="1"/>
  <c r="IA69" i="1"/>
  <c r="HY69" i="1"/>
  <c r="HX69" i="1"/>
  <c r="HW69" i="1"/>
  <c r="IE69" i="1"/>
  <c r="IB69" i="1"/>
  <c r="ID69" i="1"/>
  <c r="HZ69" i="1"/>
  <c r="HU69" i="1"/>
  <c r="HV69" i="1"/>
  <c r="IC69" i="1"/>
  <c r="HQ69" i="1"/>
  <c r="HM69" i="1"/>
  <c r="HT69" i="1"/>
  <c r="HR69" i="1"/>
  <c r="FE49" i="1"/>
  <c r="FH49" i="1" s="1"/>
  <c r="FW46" i="1"/>
  <c r="FX46" i="1" s="1"/>
  <c r="FZ46" i="1" s="1"/>
  <c r="FM46" i="1"/>
  <c r="FN46" i="1" s="1"/>
  <c r="FJ46" i="1"/>
  <c r="GQ46" i="1" s="1"/>
  <c r="FL49" i="1"/>
  <c r="FD49" i="1"/>
  <c r="FV49" i="1" s="1"/>
  <c r="FO49" i="1"/>
  <c r="DY56" i="1"/>
  <c r="DM57" i="1"/>
  <c r="DR57" i="1" s="1"/>
  <c r="HH48" i="1"/>
  <c r="DO57" i="1"/>
  <c r="DY55" i="1"/>
  <c r="HG49" i="1"/>
  <c r="FT45" i="1"/>
  <c r="GA47" i="1"/>
  <c r="GP47" i="1"/>
  <c r="GD47" i="1"/>
  <c r="FH48" i="1"/>
  <c r="FU49" i="1"/>
  <c r="FU48" i="1"/>
  <c r="FG48" i="1"/>
  <c r="GS44" i="1"/>
  <c r="GY44" i="1"/>
  <c r="DZ56" i="1"/>
  <c r="DW57" i="1"/>
  <c r="DX57" i="1" s="1"/>
  <c r="GB45" i="1"/>
  <c r="GO45" i="1"/>
  <c r="GC45" i="1"/>
  <c r="EA55" i="1"/>
  <c r="EA56" i="1"/>
  <c r="FS45" i="1"/>
  <c r="FQ47" i="1"/>
  <c r="FP47" i="1"/>
  <c r="FR47" i="1"/>
  <c r="DZ55" i="1"/>
  <c r="AS66" i="1"/>
  <c r="AT66" i="1" s="1"/>
  <c r="FB54" i="1" l="1"/>
  <c r="FA54" i="1"/>
  <c r="EV54" i="1"/>
  <c r="FY54" i="1"/>
  <c r="HE54" i="1" s="1"/>
  <c r="FF54" i="1"/>
  <c r="FI54" i="1" s="1"/>
  <c r="HL71" i="1"/>
  <c r="HK71" i="1"/>
  <c r="HS72" i="1" s="1"/>
  <c r="HN70" i="1"/>
  <c r="HT70" i="1"/>
  <c r="ID70" i="1"/>
  <c r="IB70" i="1"/>
  <c r="HW70" i="1"/>
  <c r="HV70" i="1"/>
  <c r="IA70" i="1"/>
  <c r="HU70" i="1"/>
  <c r="HZ70" i="1"/>
  <c r="HR70" i="1"/>
  <c r="HY70" i="1"/>
  <c r="HQ70" i="1"/>
  <c r="HX70" i="1"/>
  <c r="HM70" i="1"/>
  <c r="IC70" i="1"/>
  <c r="IE70" i="1"/>
  <c r="FR46" i="1"/>
  <c r="FP46" i="1"/>
  <c r="FQ46" i="1"/>
  <c r="GP46" i="1"/>
  <c r="GD46" i="1"/>
  <c r="GA46" i="1"/>
  <c r="FG49" i="1"/>
  <c r="FJ49" i="1" s="1"/>
  <c r="GQ49" i="1" s="1"/>
  <c r="HQ34" i="1" s="1"/>
  <c r="DV57" i="1"/>
  <c r="DS57" i="1"/>
  <c r="FT47" i="1"/>
  <c r="DU57" i="1"/>
  <c r="EC56" i="1"/>
  <c r="EG56" i="1" s="1"/>
  <c r="GI45" i="1"/>
  <c r="GH45" i="1"/>
  <c r="HA44" i="1"/>
  <c r="GT44" i="1"/>
  <c r="GR44" i="1"/>
  <c r="FW48" i="1"/>
  <c r="FX48" i="1" s="1"/>
  <c r="FZ48" i="1" s="1"/>
  <c r="FM48" i="1"/>
  <c r="FN48" i="1" s="1"/>
  <c r="FJ48" i="1"/>
  <c r="GQ48" i="1" s="1"/>
  <c r="HQ28" i="1" s="1"/>
  <c r="FS47" i="1"/>
  <c r="EC55" i="1"/>
  <c r="EB55" i="1"/>
  <c r="ED55" i="1"/>
  <c r="EA57" i="1"/>
  <c r="GB47" i="1"/>
  <c r="GC47" i="1"/>
  <c r="GO47" i="1"/>
  <c r="ED56" i="1"/>
  <c r="EB56" i="1"/>
  <c r="GG45" i="1"/>
  <c r="GE45" i="1"/>
  <c r="GF45" i="1" s="1"/>
  <c r="GZ44" i="1"/>
  <c r="AS67" i="1"/>
  <c r="AT67" i="1" s="1"/>
  <c r="HB54" i="1" l="1"/>
  <c r="HF54" i="1" s="1"/>
  <c r="HG54" i="1" s="1"/>
  <c r="FE54" i="1"/>
  <c r="FD54" i="1"/>
  <c r="FV54" i="1" s="1"/>
  <c r="EW54" i="1"/>
  <c r="EX54" i="1"/>
  <c r="FL54" i="1"/>
  <c r="FO54" i="1"/>
  <c r="HL72" i="1"/>
  <c r="HK72" i="1"/>
  <c r="HS73" i="1" s="1"/>
  <c r="HN71" i="1"/>
  <c r="IC71" i="1"/>
  <c r="HR71" i="1"/>
  <c r="HT71" i="1"/>
  <c r="HW71" i="1"/>
  <c r="HZ71" i="1"/>
  <c r="HX71" i="1"/>
  <c r="HQ71" i="1"/>
  <c r="IE71" i="1"/>
  <c r="HM71" i="1"/>
  <c r="HV71" i="1"/>
  <c r="IB71" i="1"/>
  <c r="ID71" i="1"/>
  <c r="IA71" i="1"/>
  <c r="HU71" i="1"/>
  <c r="HY71" i="1"/>
  <c r="FS46" i="1"/>
  <c r="GO46" i="1"/>
  <c r="GB46" i="1"/>
  <c r="GC46" i="1"/>
  <c r="FT46" i="1"/>
  <c r="FW49" i="1"/>
  <c r="FX49" i="1" s="1"/>
  <c r="FZ49" i="1" s="1"/>
  <c r="GA49" i="1" s="1"/>
  <c r="FM49" i="1"/>
  <c r="FN49" i="1" s="1"/>
  <c r="FQ49" i="1" s="1"/>
  <c r="DZ57" i="1"/>
  <c r="DY57" i="1"/>
  <c r="GY45" i="1"/>
  <c r="EE56" i="1"/>
  <c r="EF56" i="1"/>
  <c r="EK56" i="1"/>
  <c r="GS45" i="1"/>
  <c r="HC44" i="1"/>
  <c r="HD44" i="1"/>
  <c r="EH55" i="1"/>
  <c r="EL55" i="1"/>
  <c r="EJ55" i="1"/>
  <c r="EI55" i="1"/>
  <c r="FR48" i="1"/>
  <c r="FQ48" i="1"/>
  <c r="FP48" i="1"/>
  <c r="GH47" i="1"/>
  <c r="GD48" i="1"/>
  <c r="GP48" i="1"/>
  <c r="HR28" i="1" s="1"/>
  <c r="GA48" i="1"/>
  <c r="EK55" i="1"/>
  <c r="EE55" i="1"/>
  <c r="EF55" i="1"/>
  <c r="EG55" i="1"/>
  <c r="EL56" i="1"/>
  <c r="EI56" i="1"/>
  <c r="EH56" i="1"/>
  <c r="EJ56" i="1"/>
  <c r="GG47" i="1"/>
  <c r="GE47" i="1"/>
  <c r="GF47" i="1" s="1"/>
  <c r="GI47" i="1"/>
  <c r="AS68" i="1"/>
  <c r="AT68" i="1" s="1"/>
  <c r="FH54" i="1" l="1"/>
  <c r="FU54" i="1"/>
  <c r="FG54" i="1"/>
  <c r="HH54" i="1"/>
  <c r="HL73" i="1"/>
  <c r="HK73" i="1"/>
  <c r="HS74" i="1" s="1"/>
  <c r="HN72" i="1"/>
  <c r="IE72" i="1"/>
  <c r="HQ72" i="1"/>
  <c r="ID72" i="1"/>
  <c r="HV72" i="1"/>
  <c r="HW72" i="1"/>
  <c r="HY72" i="1"/>
  <c r="IC72" i="1"/>
  <c r="HX72" i="1"/>
  <c r="HT72" i="1"/>
  <c r="HU72" i="1"/>
  <c r="IB72" i="1"/>
  <c r="HR72" i="1"/>
  <c r="HZ72" i="1"/>
  <c r="IA72" i="1"/>
  <c r="HM72" i="1"/>
  <c r="GT45" i="1"/>
  <c r="GZ45" i="1"/>
  <c r="EB57" i="1"/>
  <c r="GH46" i="1"/>
  <c r="GE46" i="1"/>
  <c r="GF46" i="1" s="1"/>
  <c r="GI46" i="1"/>
  <c r="GG46" i="1"/>
  <c r="FP49" i="1"/>
  <c r="GC49" i="1" s="1"/>
  <c r="EC57" i="1"/>
  <c r="EE57" i="1" s="1"/>
  <c r="FR49" i="1"/>
  <c r="FT49" i="1" s="1"/>
  <c r="GP49" i="1"/>
  <c r="HR34" i="1" s="1"/>
  <c r="GD49" i="1"/>
  <c r="ED57" i="1"/>
  <c r="EJ57" i="1" s="1"/>
  <c r="FT48" i="1"/>
  <c r="HA45" i="1"/>
  <c r="HD45" i="1" s="1"/>
  <c r="EO56" i="1"/>
  <c r="ER56" i="1" s="1"/>
  <c r="GR45" i="1"/>
  <c r="GS47" i="1"/>
  <c r="GY47" i="1"/>
  <c r="EM55" i="1"/>
  <c r="GB48" i="1"/>
  <c r="GC48" i="1"/>
  <c r="GO48" i="1"/>
  <c r="HM28" i="1" s="1"/>
  <c r="EN55" i="1"/>
  <c r="EO55" i="1"/>
  <c r="ER55" i="1" s="1"/>
  <c r="FS48" i="1"/>
  <c r="EM56" i="1"/>
  <c r="EN56" i="1"/>
  <c r="AS69" i="1"/>
  <c r="AT69" i="1" s="1"/>
  <c r="FW54" i="1" l="1"/>
  <c r="FX54" i="1" s="1"/>
  <c r="FZ54" i="1" s="1"/>
  <c r="FJ54" i="1"/>
  <c r="GQ54" i="1" s="1"/>
  <c r="HQ9" i="1" s="1"/>
  <c r="FM54" i="1"/>
  <c r="FN54" i="1" s="1"/>
  <c r="HN73" i="1"/>
  <c r="HR73" i="1"/>
  <c r="HU73" i="1"/>
  <c r="ID73" i="1"/>
  <c r="HZ73" i="1"/>
  <c r="HQ73" i="1"/>
  <c r="HY73" i="1"/>
  <c r="IC73" i="1"/>
  <c r="HX73" i="1"/>
  <c r="HM73" i="1"/>
  <c r="IE73" i="1"/>
  <c r="IA73" i="1"/>
  <c r="HT73" i="1"/>
  <c r="HV73" i="1"/>
  <c r="HW73" i="1"/>
  <c r="IB73" i="1"/>
  <c r="HL74" i="1"/>
  <c r="HK74" i="1"/>
  <c r="HS75" i="1" s="1"/>
  <c r="EF57" i="1"/>
  <c r="EK57" i="1"/>
  <c r="EG57" i="1"/>
  <c r="FS49" i="1"/>
  <c r="EI57" i="1"/>
  <c r="GS46" i="1"/>
  <c r="GY46" i="1"/>
  <c r="EL57" i="1"/>
  <c r="GO49" i="1"/>
  <c r="HM34" i="1" s="1"/>
  <c r="GB49" i="1"/>
  <c r="GG49" i="1" s="1"/>
  <c r="EP55" i="1"/>
  <c r="EV55" i="1" s="1"/>
  <c r="EH57" i="1"/>
  <c r="GI48" i="1"/>
  <c r="HC45" i="1"/>
  <c r="GH48" i="1"/>
  <c r="GR47" i="1"/>
  <c r="GT47" i="1"/>
  <c r="HA47" i="1"/>
  <c r="GG48" i="1"/>
  <c r="GE48" i="1"/>
  <c r="GF48" i="1" s="1"/>
  <c r="EQ55" i="1"/>
  <c r="EZ55" i="1" s="1"/>
  <c r="FC55" i="1" s="1"/>
  <c r="EP56" i="1"/>
  <c r="EQ56" i="1"/>
  <c r="EZ56" i="1" s="1"/>
  <c r="FC56" i="1" s="1"/>
  <c r="GZ47" i="1"/>
  <c r="AS70" i="1"/>
  <c r="AT70" i="1" s="1"/>
  <c r="FR54" i="1" l="1"/>
  <c r="FP54" i="1"/>
  <c r="FQ54" i="1"/>
  <c r="GA54" i="1"/>
  <c r="GP54" i="1"/>
  <c r="HR9" i="1" s="1"/>
  <c r="GD54" i="1"/>
  <c r="HL75" i="1"/>
  <c r="HK75" i="1"/>
  <c r="HS76" i="1" s="1"/>
  <c r="HN74" i="1"/>
  <c r="HT74" i="1"/>
  <c r="HQ74" i="1"/>
  <c r="IB74" i="1"/>
  <c r="HW74" i="1"/>
  <c r="HY74" i="1"/>
  <c r="IE74" i="1"/>
  <c r="HZ74" i="1"/>
  <c r="HV74" i="1"/>
  <c r="HM74" i="1"/>
  <c r="IC74" i="1"/>
  <c r="ID74" i="1"/>
  <c r="HX74" i="1"/>
  <c r="HU74" i="1"/>
  <c r="HR74" i="1"/>
  <c r="IA74" i="1"/>
  <c r="EN57" i="1"/>
  <c r="EM57" i="1"/>
  <c r="GI49" i="1"/>
  <c r="GZ46" i="1"/>
  <c r="EO57" i="1"/>
  <c r="ER57" i="1" s="1"/>
  <c r="GH49" i="1"/>
  <c r="HA46" i="1"/>
  <c r="GR46" i="1"/>
  <c r="GT46" i="1"/>
  <c r="GE49" i="1"/>
  <c r="GF49" i="1" s="1"/>
  <c r="GS48" i="1"/>
  <c r="GY48" i="1"/>
  <c r="FY55" i="1"/>
  <c r="HE55" i="1" s="1"/>
  <c r="FF55" i="1"/>
  <c r="FI55" i="1" s="1"/>
  <c r="HB55" i="1"/>
  <c r="HF55" i="1" s="1"/>
  <c r="EX55" i="1"/>
  <c r="EW55" i="1"/>
  <c r="HD47" i="1"/>
  <c r="HC47" i="1"/>
  <c r="FF56" i="1"/>
  <c r="FI56" i="1" s="1"/>
  <c r="FY56" i="1"/>
  <c r="HE56" i="1" s="1"/>
  <c r="EV56" i="1"/>
  <c r="FA56" i="1"/>
  <c r="FB56" i="1"/>
  <c r="FA55" i="1"/>
  <c r="FB55" i="1"/>
  <c r="AS71" i="1"/>
  <c r="AT71" i="1" s="1"/>
  <c r="FS54" i="1" l="1"/>
  <c r="GB54" i="1"/>
  <c r="GC54" i="1"/>
  <c r="GO54" i="1"/>
  <c r="HM9" i="1" s="1"/>
  <c r="FT54" i="1"/>
  <c r="HL76" i="1"/>
  <c r="HK76" i="1"/>
  <c r="HS77" i="1" s="1"/>
  <c r="HN75" i="1"/>
  <c r="IE75" i="1"/>
  <c r="HX75" i="1"/>
  <c r="HW75" i="1"/>
  <c r="IC75" i="1"/>
  <c r="IA75" i="1"/>
  <c r="IB75" i="1"/>
  <c r="HR75" i="1"/>
  <c r="HZ75" i="1"/>
  <c r="HQ75" i="1"/>
  <c r="HV75" i="1"/>
  <c r="HY75" i="1"/>
  <c r="HT75" i="1"/>
  <c r="HU75" i="1"/>
  <c r="ID75" i="1"/>
  <c r="HM75" i="1"/>
  <c r="GY49" i="1"/>
  <c r="IA34" i="1" s="1"/>
  <c r="GS49" i="1"/>
  <c r="GT49" i="1" s="1"/>
  <c r="IC34" i="1" s="1"/>
  <c r="HY34" i="1"/>
  <c r="GZ48" i="1"/>
  <c r="IE28" i="1" s="1"/>
  <c r="IA28" i="1"/>
  <c r="HA48" i="1"/>
  <c r="HC48" i="1" s="1"/>
  <c r="HY28" i="1"/>
  <c r="EP57" i="1"/>
  <c r="EV57" i="1" s="1"/>
  <c r="EQ57" i="1"/>
  <c r="EZ57" i="1" s="1"/>
  <c r="FC57" i="1" s="1"/>
  <c r="FY57" i="1" s="1"/>
  <c r="HE57" i="1" s="1"/>
  <c r="GT48" i="1"/>
  <c r="IC28" i="1" s="1"/>
  <c r="GR48" i="1"/>
  <c r="IB28" i="1" s="1"/>
  <c r="HC46" i="1"/>
  <c r="HD46" i="1"/>
  <c r="HA49" i="1"/>
  <c r="HC49" i="1" s="1"/>
  <c r="FL55" i="1"/>
  <c r="FO55" i="1"/>
  <c r="HG55" i="1"/>
  <c r="HH55" i="1"/>
  <c r="FL56" i="1"/>
  <c r="FO56" i="1"/>
  <c r="FE55" i="1"/>
  <c r="FH55" i="1" s="1"/>
  <c r="EX56" i="1"/>
  <c r="HB56" i="1"/>
  <c r="HF56" i="1" s="1"/>
  <c r="HG56" i="1" s="1"/>
  <c r="EW56" i="1"/>
  <c r="FE56" i="1"/>
  <c r="FD56" i="1"/>
  <c r="FV56" i="1" s="1"/>
  <c r="FD55" i="1"/>
  <c r="FV55" i="1" s="1"/>
  <c r="FU55" i="1"/>
  <c r="AS72" i="1"/>
  <c r="AT72" i="1" s="1"/>
  <c r="GE54" i="1" l="1"/>
  <c r="GF54" i="1" s="1"/>
  <c r="GH54" i="1"/>
  <c r="GG54" i="1"/>
  <c r="GI54" i="1"/>
  <c r="HL77" i="1"/>
  <c r="HK77" i="1"/>
  <c r="HS78" i="1" s="1"/>
  <c r="HN76" i="1"/>
  <c r="ID76" i="1"/>
  <c r="IC76" i="1"/>
  <c r="HU76" i="1"/>
  <c r="IB76" i="1"/>
  <c r="IA76" i="1"/>
  <c r="HV76" i="1"/>
  <c r="HW76" i="1"/>
  <c r="HZ76" i="1"/>
  <c r="HM76" i="1"/>
  <c r="HY76" i="1"/>
  <c r="HR76" i="1"/>
  <c r="HX76" i="1"/>
  <c r="HT76" i="1"/>
  <c r="IE76" i="1"/>
  <c r="HQ76" i="1"/>
  <c r="HD48" i="1"/>
  <c r="GZ49" i="1"/>
  <c r="IE34" i="1" s="1"/>
  <c r="GR49" i="1"/>
  <c r="IB34" i="1" s="1"/>
  <c r="FA57" i="1"/>
  <c r="FF57" i="1"/>
  <c r="FI57" i="1" s="1"/>
  <c r="FB57" i="1"/>
  <c r="HD49" i="1"/>
  <c r="FH56" i="1"/>
  <c r="FU56" i="1"/>
  <c r="FG56" i="1"/>
  <c r="FG55" i="1"/>
  <c r="HH56" i="1"/>
  <c r="EW57" i="1"/>
  <c r="EX57" i="1"/>
  <c r="HB57" i="1"/>
  <c r="HF57" i="1" s="1"/>
  <c r="HG57" i="1" s="1"/>
  <c r="AS73" i="1"/>
  <c r="AT73" i="1" s="1"/>
  <c r="GY54" i="1" l="1"/>
  <c r="GS54" i="1"/>
  <c r="HL78" i="1"/>
  <c r="HK78" i="1"/>
  <c r="HS79" i="1" s="1"/>
  <c r="HN77" i="1"/>
  <c r="IA77" i="1"/>
  <c r="HR77" i="1"/>
  <c r="HX77" i="1"/>
  <c r="HW77" i="1"/>
  <c r="IE77" i="1"/>
  <c r="IC77" i="1"/>
  <c r="ID77" i="1"/>
  <c r="HZ77" i="1"/>
  <c r="HU77" i="1"/>
  <c r="HY77" i="1"/>
  <c r="HQ77" i="1"/>
  <c r="HT77" i="1"/>
  <c r="HM77" i="1"/>
  <c r="IB77" i="1"/>
  <c r="HV77" i="1"/>
  <c r="FE57" i="1"/>
  <c r="FH57" i="1" s="1"/>
  <c r="FO57" i="1"/>
  <c r="FD57" i="1"/>
  <c r="FV57" i="1" s="1"/>
  <c r="FL57" i="1"/>
  <c r="FJ55" i="1"/>
  <c r="GQ55" i="1" s="1"/>
  <c r="FM55" i="1"/>
  <c r="FN55" i="1" s="1"/>
  <c r="FW55" i="1"/>
  <c r="FX55" i="1" s="1"/>
  <c r="FZ55" i="1" s="1"/>
  <c r="HH57" i="1"/>
  <c r="FW56" i="1"/>
  <c r="FX56" i="1" s="1"/>
  <c r="FZ56" i="1" s="1"/>
  <c r="FJ56" i="1"/>
  <c r="GQ56" i="1" s="1"/>
  <c r="FM56" i="1"/>
  <c r="FN56" i="1" s="1"/>
  <c r="FU57" i="1"/>
  <c r="AS74" i="1"/>
  <c r="AT74" i="1" s="1"/>
  <c r="GT54" i="1" l="1"/>
  <c r="IC9" i="1" s="1"/>
  <c r="GR54" i="1"/>
  <c r="IB9" i="1" s="1"/>
  <c r="HA54" i="1"/>
  <c r="HY9" i="1"/>
  <c r="GZ54" i="1"/>
  <c r="IE9" i="1" s="1"/>
  <c r="IA9" i="1"/>
  <c r="HQ27" i="1"/>
  <c r="HQ13" i="1"/>
  <c r="HQ11" i="1"/>
  <c r="HL79" i="1"/>
  <c r="HK79" i="1"/>
  <c r="HS80" i="1" s="1"/>
  <c r="HN78" i="1"/>
  <c r="HV78" i="1"/>
  <c r="HW78" i="1"/>
  <c r="HU78" i="1"/>
  <c r="HT78" i="1"/>
  <c r="IA78" i="1"/>
  <c r="HR78" i="1"/>
  <c r="HZ78" i="1"/>
  <c r="HQ78" i="1"/>
  <c r="IB78" i="1"/>
  <c r="HY78" i="1"/>
  <c r="HM78" i="1"/>
  <c r="HX78" i="1"/>
  <c r="ID78" i="1"/>
  <c r="IC78" i="1"/>
  <c r="IE78" i="1"/>
  <c r="FG57" i="1"/>
  <c r="FM57" i="1" s="1"/>
  <c r="FN57" i="1" s="1"/>
  <c r="GP56" i="1"/>
  <c r="GA56" i="1"/>
  <c r="GD56" i="1"/>
  <c r="GD55" i="1"/>
  <c r="GA55" i="1"/>
  <c r="GP55" i="1"/>
  <c r="FR56" i="1"/>
  <c r="FQ56" i="1"/>
  <c r="FP56" i="1"/>
  <c r="FP55" i="1"/>
  <c r="FR55" i="1"/>
  <c r="FQ55" i="1"/>
  <c r="AS75" i="1"/>
  <c r="AT75" i="1" s="1"/>
  <c r="HD54" i="1" l="1"/>
  <c r="HC54" i="1"/>
  <c r="HR27" i="1"/>
  <c r="HR13" i="1"/>
  <c r="HR11" i="1"/>
  <c r="HN79" i="1"/>
  <c r="HV79" i="1"/>
  <c r="IB79" i="1"/>
  <c r="IA79" i="1"/>
  <c r="HT79" i="1"/>
  <c r="ID79" i="1"/>
  <c r="HU79" i="1"/>
  <c r="HY79" i="1"/>
  <c r="IC79" i="1"/>
  <c r="HR79" i="1"/>
  <c r="HW79" i="1"/>
  <c r="HZ79" i="1"/>
  <c r="HX79" i="1"/>
  <c r="HQ79" i="1"/>
  <c r="IE79" i="1"/>
  <c r="HM79" i="1"/>
  <c r="HL80" i="1"/>
  <c r="HK80" i="1"/>
  <c r="HS81" i="1" s="1"/>
  <c r="FJ57" i="1"/>
  <c r="GQ57" i="1" s="1"/>
  <c r="HQ33" i="1" s="1"/>
  <c r="FW57" i="1"/>
  <c r="FX57" i="1" s="1"/>
  <c r="FZ57" i="1" s="1"/>
  <c r="GA57" i="1" s="1"/>
  <c r="FT55" i="1"/>
  <c r="FS55" i="1"/>
  <c r="GO55" i="1"/>
  <c r="GC55" i="1"/>
  <c r="GB55" i="1"/>
  <c r="GO56" i="1"/>
  <c r="GB56" i="1"/>
  <c r="GC56" i="1"/>
  <c r="FP57" i="1"/>
  <c r="FQ57" i="1"/>
  <c r="FR57" i="1"/>
  <c r="FT56" i="1"/>
  <c r="FS56" i="1"/>
  <c r="AS76" i="1"/>
  <c r="AT76" i="1" s="1"/>
  <c r="HM27" i="1" l="1"/>
  <c r="HM13" i="1"/>
  <c r="HM11" i="1"/>
  <c r="HL81" i="1"/>
  <c r="HK81" i="1"/>
  <c r="HS82" i="1" s="1"/>
  <c r="HN80" i="1"/>
  <c r="IE80" i="1"/>
  <c r="HQ80" i="1"/>
  <c r="HV80" i="1"/>
  <c r="HW80" i="1"/>
  <c r="HX80" i="1"/>
  <c r="IC80" i="1"/>
  <c r="HU80" i="1"/>
  <c r="HZ80" i="1"/>
  <c r="HT80" i="1"/>
  <c r="HR80" i="1"/>
  <c r="HY80" i="1"/>
  <c r="IB80" i="1"/>
  <c r="ID80" i="1"/>
  <c r="IA80" i="1"/>
  <c r="HM80" i="1"/>
  <c r="GP57" i="1"/>
  <c r="HR33" i="1" s="1"/>
  <c r="GD57" i="1"/>
  <c r="GH56" i="1"/>
  <c r="FT57" i="1"/>
  <c r="FS57" i="1"/>
  <c r="GE55" i="1"/>
  <c r="GF55" i="1" s="1"/>
  <c r="GG55" i="1"/>
  <c r="GC57" i="1"/>
  <c r="GO57" i="1"/>
  <c r="HM33" i="1" s="1"/>
  <c r="GB57" i="1"/>
  <c r="GH55" i="1"/>
  <c r="GE56" i="1"/>
  <c r="GF56" i="1" s="1"/>
  <c r="GG56" i="1"/>
  <c r="GI55" i="1"/>
  <c r="GI56" i="1"/>
  <c r="AS77" i="1"/>
  <c r="AT77" i="1" s="1"/>
  <c r="HL82" i="1" l="1"/>
  <c r="HK82" i="1"/>
  <c r="HS83" i="1" s="1"/>
  <c r="HN81" i="1"/>
  <c r="HR81" i="1"/>
  <c r="HZ81" i="1"/>
  <c r="IC81" i="1"/>
  <c r="HY81" i="1"/>
  <c r="HQ81" i="1"/>
  <c r="HX81" i="1"/>
  <c r="IA81" i="1"/>
  <c r="IE81" i="1"/>
  <c r="HM81" i="1"/>
  <c r="HV81" i="1"/>
  <c r="HU81" i="1"/>
  <c r="ID81" i="1"/>
  <c r="IB81" i="1"/>
  <c r="HT81" i="1"/>
  <c r="HW81" i="1"/>
  <c r="GY56" i="1"/>
  <c r="GS56" i="1"/>
  <c r="GS55" i="1"/>
  <c r="GY55" i="1"/>
  <c r="GE57" i="1"/>
  <c r="GF57" i="1" s="1"/>
  <c r="GG57" i="1"/>
  <c r="GH57" i="1"/>
  <c r="GI57" i="1"/>
  <c r="AS78" i="1"/>
  <c r="AT78" i="1" s="1"/>
  <c r="IA13" i="1" l="1"/>
  <c r="HY13" i="1"/>
  <c r="HY11" i="1"/>
  <c r="IA11" i="1"/>
  <c r="HL83" i="1"/>
  <c r="HK83" i="1"/>
  <c r="HS84" i="1" s="1"/>
  <c r="HN82" i="1"/>
  <c r="HT82" i="1"/>
  <c r="HQ82" i="1"/>
  <c r="IB82" i="1"/>
  <c r="HW82" i="1"/>
  <c r="HY82" i="1"/>
  <c r="IE82" i="1"/>
  <c r="HX82" i="1"/>
  <c r="HV82" i="1"/>
  <c r="HM82" i="1"/>
  <c r="HU82" i="1"/>
  <c r="ID82" i="1"/>
  <c r="IA82" i="1"/>
  <c r="HR82" i="1"/>
  <c r="IC82" i="1"/>
  <c r="HZ82" i="1"/>
  <c r="GZ56" i="1"/>
  <c r="IA27" i="1"/>
  <c r="GT56" i="1"/>
  <c r="HY27" i="1"/>
  <c r="HA56" i="1"/>
  <c r="HD56" i="1" s="1"/>
  <c r="GR56" i="1"/>
  <c r="GZ55" i="1"/>
  <c r="GT55" i="1"/>
  <c r="GR55" i="1"/>
  <c r="HA55" i="1"/>
  <c r="GS57" i="1"/>
  <c r="HY33" i="1" s="1"/>
  <c r="GY57" i="1"/>
  <c r="IA33" i="1" s="1"/>
  <c r="AS79" i="1"/>
  <c r="AT79" i="1" s="1"/>
  <c r="IE27" i="1" l="1"/>
  <c r="IE13" i="1"/>
  <c r="IB27" i="1"/>
  <c r="IB13" i="1"/>
  <c r="IC27" i="1"/>
  <c r="IC13" i="1"/>
  <c r="IB11" i="1"/>
  <c r="IE11" i="1"/>
  <c r="IC11" i="1"/>
  <c r="HL84" i="1"/>
  <c r="HK84" i="1"/>
  <c r="HS85" i="1" s="1"/>
  <c r="HN83" i="1"/>
  <c r="HU83" i="1"/>
  <c r="HM83" i="1"/>
  <c r="IE83" i="1"/>
  <c r="HW83" i="1"/>
  <c r="IC83" i="1"/>
  <c r="IB83" i="1"/>
  <c r="HX83" i="1"/>
  <c r="IA83" i="1"/>
  <c r="HR83" i="1"/>
  <c r="HZ83" i="1"/>
  <c r="HV83" i="1"/>
  <c r="HY83" i="1"/>
  <c r="HQ83" i="1"/>
  <c r="ID83" i="1"/>
  <c r="HT83" i="1"/>
  <c r="HC56" i="1"/>
  <c r="HC55" i="1"/>
  <c r="HD55" i="1"/>
  <c r="GZ57" i="1"/>
  <c r="IE33" i="1" s="1"/>
  <c r="GT57" i="1"/>
  <c r="IC33" i="1" s="1"/>
  <c r="GR57" i="1"/>
  <c r="IB33" i="1" s="1"/>
  <c r="HA57" i="1"/>
  <c r="AS80" i="1"/>
  <c r="AT80" i="1" s="1"/>
  <c r="HL85" i="1" l="1"/>
  <c r="HK85" i="1"/>
  <c r="HS86" i="1" s="1"/>
  <c r="HN84" i="1"/>
  <c r="HU84" i="1"/>
  <c r="HZ84" i="1"/>
  <c r="IA84" i="1"/>
  <c r="HW84" i="1"/>
  <c r="HT84" i="1"/>
  <c r="HY84" i="1"/>
  <c r="HR84" i="1"/>
  <c r="HX84" i="1"/>
  <c r="HQ84" i="1"/>
  <c r="IE84" i="1"/>
  <c r="HM84" i="1"/>
  <c r="IC84" i="1"/>
  <c r="HV84" i="1"/>
  <c r="IB84" i="1"/>
  <c r="ID84" i="1"/>
  <c r="HC57" i="1"/>
  <c r="HD57" i="1"/>
  <c r="AS81" i="1"/>
  <c r="AT81" i="1" s="1"/>
  <c r="HL86" i="1" l="1"/>
  <c r="HK86" i="1"/>
  <c r="HS87" i="1" s="1"/>
  <c r="HN85" i="1"/>
  <c r="HT85" i="1"/>
  <c r="HQ85" i="1"/>
  <c r="HR85" i="1"/>
  <c r="IB85" i="1"/>
  <c r="IA85" i="1"/>
  <c r="HM85" i="1"/>
  <c r="ID85" i="1"/>
  <c r="HZ85" i="1"/>
  <c r="HX85" i="1"/>
  <c r="HW85" i="1"/>
  <c r="IE85" i="1"/>
  <c r="HU85" i="1"/>
  <c r="HY85" i="1"/>
  <c r="IC85" i="1"/>
  <c r="HV85" i="1"/>
  <c r="AS82" i="1"/>
  <c r="AT82" i="1" s="1"/>
  <c r="HL87" i="1" l="1"/>
  <c r="HK87" i="1"/>
  <c r="HS88" i="1" s="1"/>
  <c r="HN86" i="1"/>
  <c r="HT86" i="1"/>
  <c r="HV86" i="1"/>
  <c r="ID86" i="1"/>
  <c r="HU86" i="1"/>
  <c r="HW86" i="1"/>
  <c r="HR86" i="1"/>
  <c r="IA86" i="1"/>
  <c r="HQ86" i="1"/>
  <c r="HZ86" i="1"/>
  <c r="IE86" i="1"/>
  <c r="HY86" i="1"/>
  <c r="HM86" i="1"/>
  <c r="IC86" i="1"/>
  <c r="HX86" i="1"/>
  <c r="IB86" i="1"/>
  <c r="AS83" i="1"/>
  <c r="AT83" i="1" s="1"/>
  <c r="HL88" i="1" l="1"/>
  <c r="HK88" i="1"/>
  <c r="HS89" i="1" s="1"/>
  <c r="HN87" i="1"/>
  <c r="IC87" i="1"/>
  <c r="HR87" i="1"/>
  <c r="HT87" i="1"/>
  <c r="HQ87" i="1"/>
  <c r="HM87" i="1"/>
  <c r="HW87" i="1"/>
  <c r="HZ87" i="1"/>
  <c r="HX87" i="1"/>
  <c r="IA87" i="1"/>
  <c r="IE87" i="1"/>
  <c r="IB87" i="1"/>
  <c r="HV87" i="1"/>
  <c r="HY87" i="1"/>
  <c r="ID87" i="1"/>
  <c r="HU87" i="1"/>
  <c r="AS84" i="1"/>
  <c r="AT84" i="1" s="1"/>
  <c r="HL89" i="1" l="1"/>
  <c r="HK89" i="1"/>
  <c r="HS90" i="1" s="1"/>
  <c r="HN88" i="1"/>
  <c r="IE88" i="1"/>
  <c r="HQ88" i="1"/>
  <c r="HV88" i="1"/>
  <c r="HW88" i="1"/>
  <c r="HU88" i="1"/>
  <c r="HT88" i="1"/>
  <c r="HY88" i="1"/>
  <c r="IB88" i="1"/>
  <c r="IC88" i="1"/>
  <c r="HR88" i="1"/>
  <c r="IA88" i="1"/>
  <c r="ID88" i="1"/>
  <c r="HZ88" i="1"/>
  <c r="HX88" i="1"/>
  <c r="HM88" i="1"/>
  <c r="AS85" i="1"/>
  <c r="AT85" i="1" s="1"/>
  <c r="HL90" i="1" l="1"/>
  <c r="HK90" i="1"/>
  <c r="HS91" i="1" s="1"/>
  <c r="HN89" i="1"/>
  <c r="IB89" i="1"/>
  <c r="HT89" i="1"/>
  <c r="ID89" i="1"/>
  <c r="HQ89" i="1"/>
  <c r="HU89" i="1"/>
  <c r="HZ89" i="1"/>
  <c r="IC89" i="1"/>
  <c r="HX89" i="1"/>
  <c r="HM89" i="1"/>
  <c r="HY89" i="1"/>
  <c r="HR89" i="1"/>
  <c r="IA89" i="1"/>
  <c r="HW89" i="1"/>
  <c r="IE89" i="1"/>
  <c r="HV89" i="1"/>
  <c r="AS86" i="1"/>
  <c r="AT86" i="1" s="1"/>
  <c r="HL91" i="1" l="1"/>
  <c r="HK91" i="1"/>
  <c r="HS92" i="1" s="1"/>
  <c r="HN90" i="1"/>
  <c r="HT90" i="1"/>
  <c r="HQ90" i="1"/>
  <c r="IB90" i="1"/>
  <c r="HM90" i="1"/>
  <c r="HZ90" i="1"/>
  <c r="IC90" i="1"/>
  <c r="HW90" i="1"/>
  <c r="HY90" i="1"/>
  <c r="IE90" i="1"/>
  <c r="HU90" i="1"/>
  <c r="HV90" i="1"/>
  <c r="HX90" i="1"/>
  <c r="ID90" i="1"/>
  <c r="HR90" i="1"/>
  <c r="IA90" i="1"/>
  <c r="AS87" i="1"/>
  <c r="AT87" i="1" s="1"/>
  <c r="HL92" i="1" l="1"/>
  <c r="HK92" i="1"/>
  <c r="HS93" i="1" s="1"/>
  <c r="HN91" i="1"/>
  <c r="HU91" i="1"/>
  <c r="HM91" i="1"/>
  <c r="HT91" i="1"/>
  <c r="IE91" i="1"/>
  <c r="HW91" i="1"/>
  <c r="IC91" i="1"/>
  <c r="IA91" i="1"/>
  <c r="HR91" i="1"/>
  <c r="HY91" i="1"/>
  <c r="IB91" i="1"/>
  <c r="HX91" i="1"/>
  <c r="HV91" i="1"/>
  <c r="HQ91" i="1"/>
  <c r="HZ91" i="1"/>
  <c r="ID91" i="1"/>
  <c r="AS88" i="1"/>
  <c r="AT88" i="1" s="1"/>
  <c r="HL93" i="1" l="1"/>
  <c r="HK93" i="1"/>
  <c r="HS94" i="1" s="1"/>
  <c r="HN92" i="1"/>
  <c r="HU92" i="1"/>
  <c r="IB92" i="1"/>
  <c r="ID92" i="1"/>
  <c r="IA92" i="1"/>
  <c r="HW92" i="1"/>
  <c r="HR92" i="1"/>
  <c r="HQ92" i="1"/>
  <c r="HM92" i="1"/>
  <c r="HV92" i="1"/>
  <c r="HY92" i="1"/>
  <c r="IE92" i="1"/>
  <c r="HZ92" i="1"/>
  <c r="HX92" i="1"/>
  <c r="IC92" i="1"/>
  <c r="HT92" i="1"/>
  <c r="AS89" i="1"/>
  <c r="AT89" i="1" s="1"/>
  <c r="HL94" i="1" l="1"/>
  <c r="HK94" i="1"/>
  <c r="HS95" i="1" s="1"/>
  <c r="HN93" i="1"/>
  <c r="IA93" i="1"/>
  <c r="HM93" i="1"/>
  <c r="HX93" i="1"/>
  <c r="HW93" i="1"/>
  <c r="IE93" i="1"/>
  <c r="HU93" i="1"/>
  <c r="HT93" i="1"/>
  <c r="ID93" i="1"/>
  <c r="HZ93" i="1"/>
  <c r="HY93" i="1"/>
  <c r="HV93" i="1"/>
  <c r="HQ93" i="1"/>
  <c r="IB93" i="1"/>
  <c r="IC93" i="1"/>
  <c r="HR93" i="1"/>
  <c r="AS90" i="1"/>
  <c r="AT90" i="1" s="1"/>
  <c r="HL95" i="1" l="1"/>
  <c r="HK95" i="1"/>
  <c r="HS96" i="1" s="1"/>
  <c r="HN94" i="1"/>
  <c r="HT94" i="1"/>
  <c r="IB94" i="1"/>
  <c r="HR94" i="1"/>
  <c r="HW94" i="1"/>
  <c r="IE94" i="1"/>
  <c r="IA94" i="1"/>
  <c r="HQ94" i="1"/>
  <c r="HZ94" i="1"/>
  <c r="HY94" i="1"/>
  <c r="HM94" i="1"/>
  <c r="HV94" i="1"/>
  <c r="HX94" i="1"/>
  <c r="ID94" i="1"/>
  <c r="HU94" i="1"/>
  <c r="IC94" i="1"/>
  <c r="AS91" i="1"/>
  <c r="AT91" i="1" s="1"/>
  <c r="HL96" i="1" l="1"/>
  <c r="HK96" i="1"/>
  <c r="HS97" i="1" s="1"/>
  <c r="HN95" i="1"/>
  <c r="IC95" i="1"/>
  <c r="HR95" i="1"/>
  <c r="HT95" i="1"/>
  <c r="ID95" i="1"/>
  <c r="HY95" i="1"/>
  <c r="HW95" i="1"/>
  <c r="HZ95" i="1"/>
  <c r="HQ95" i="1"/>
  <c r="HV95" i="1"/>
  <c r="HX95" i="1"/>
  <c r="IB95" i="1"/>
  <c r="IE95" i="1"/>
  <c r="HM95" i="1"/>
  <c r="HU95" i="1"/>
  <c r="IA95" i="1"/>
  <c r="AS92" i="1"/>
  <c r="AT92" i="1" s="1"/>
  <c r="HL97" i="1" l="1"/>
  <c r="HK97" i="1"/>
  <c r="HS98" i="1" s="1"/>
  <c r="HN96" i="1"/>
  <c r="IE96" i="1"/>
  <c r="HY96" i="1"/>
  <c r="HU96" i="1"/>
  <c r="HQ96" i="1"/>
  <c r="HV96" i="1"/>
  <c r="HW96" i="1"/>
  <c r="ID96" i="1"/>
  <c r="HT96" i="1"/>
  <c r="IB96" i="1"/>
  <c r="IC96" i="1"/>
  <c r="HR96" i="1"/>
  <c r="HX96" i="1"/>
  <c r="IA96" i="1"/>
  <c r="HM96" i="1"/>
  <c r="HZ96" i="1"/>
  <c r="AS93" i="1"/>
  <c r="AT93" i="1" s="1"/>
  <c r="HL98" i="1" l="1"/>
  <c r="HK98" i="1"/>
  <c r="HS99" i="1" s="1"/>
  <c r="HN97" i="1"/>
  <c r="IB97" i="1"/>
  <c r="ID97" i="1"/>
  <c r="IE97" i="1"/>
  <c r="IC97" i="1"/>
  <c r="HZ97" i="1"/>
  <c r="IA97" i="1"/>
  <c r="HY97" i="1"/>
  <c r="HX97" i="1"/>
  <c r="HR97" i="1"/>
  <c r="HU97" i="1"/>
  <c r="HQ97" i="1"/>
  <c r="HM97" i="1"/>
  <c r="HW97" i="1"/>
  <c r="HV97" i="1"/>
  <c r="HT97" i="1"/>
  <c r="AS94" i="1"/>
  <c r="AT94" i="1" s="1"/>
  <c r="HL99" i="1" l="1"/>
  <c r="HK99" i="1"/>
  <c r="HS100" i="1" s="1"/>
  <c r="HN98" i="1"/>
  <c r="HT98" i="1"/>
  <c r="HZ98" i="1"/>
  <c r="HX98" i="1"/>
  <c r="IB98" i="1"/>
  <c r="IC98" i="1"/>
  <c r="HW98" i="1"/>
  <c r="HY98" i="1"/>
  <c r="IE98" i="1"/>
  <c r="HM98" i="1"/>
  <c r="IA98" i="1"/>
  <c r="ID98" i="1"/>
  <c r="HU98" i="1"/>
  <c r="HQ98" i="1"/>
  <c r="HV98" i="1"/>
  <c r="HR98" i="1"/>
  <c r="AS95" i="1"/>
  <c r="AT95" i="1" s="1"/>
  <c r="HL100" i="1" l="1"/>
  <c r="HK100" i="1"/>
  <c r="HS101" i="1" s="1"/>
  <c r="HN99" i="1"/>
  <c r="HU99" i="1"/>
  <c r="HM99" i="1"/>
  <c r="IC99" i="1"/>
  <c r="HY99" i="1"/>
  <c r="ID99" i="1"/>
  <c r="HW99" i="1"/>
  <c r="HX99" i="1"/>
  <c r="HV99" i="1"/>
  <c r="HQ99" i="1"/>
  <c r="IE99" i="1"/>
  <c r="IB99" i="1"/>
  <c r="IA99" i="1"/>
  <c r="HT99" i="1"/>
  <c r="HZ99" i="1"/>
  <c r="HR99" i="1"/>
  <c r="AS96" i="1"/>
  <c r="AT96" i="1" s="1"/>
  <c r="HL101" i="1" l="1"/>
  <c r="HK101" i="1"/>
  <c r="HS102" i="1" s="1"/>
  <c r="HN100" i="1"/>
  <c r="HU100" i="1"/>
  <c r="HZ100" i="1"/>
  <c r="IA100" i="1"/>
  <c r="IC100" i="1"/>
  <c r="HW100" i="1"/>
  <c r="HR100" i="1"/>
  <c r="HQ100" i="1"/>
  <c r="HM100" i="1"/>
  <c r="HV100" i="1"/>
  <c r="ID100" i="1"/>
  <c r="HY100" i="1"/>
  <c r="HX100" i="1"/>
  <c r="IB100" i="1"/>
  <c r="HT100" i="1"/>
  <c r="IE100" i="1"/>
  <c r="AS97" i="1"/>
  <c r="AT97" i="1" s="1"/>
  <c r="HL102" i="1" l="1"/>
  <c r="HK102" i="1"/>
  <c r="HS103" i="1" s="1"/>
  <c r="HN101" i="1"/>
  <c r="IA101" i="1"/>
  <c r="HM101" i="1"/>
  <c r="HX101" i="1"/>
  <c r="HW101" i="1"/>
  <c r="HZ101" i="1"/>
  <c r="HY101" i="1"/>
  <c r="HV101" i="1"/>
  <c r="HT101" i="1"/>
  <c r="IB101" i="1"/>
  <c r="ID101" i="1"/>
  <c r="IE101" i="1"/>
  <c r="HU101" i="1"/>
  <c r="HQ101" i="1"/>
  <c r="IC101" i="1"/>
  <c r="HR101" i="1"/>
  <c r="AS98" i="1"/>
  <c r="AT98" i="1" s="1"/>
  <c r="BB98" i="1" s="1"/>
  <c r="BE98" i="1" s="1"/>
  <c r="CA98" i="1" l="1"/>
  <c r="BU98" i="1"/>
  <c r="BX98" i="1"/>
  <c r="HL103" i="1"/>
  <c r="HK103" i="1"/>
  <c r="HS104" i="1" s="1"/>
  <c r="HN102" i="1"/>
  <c r="HT102" i="1"/>
  <c r="HV102" i="1"/>
  <c r="IE102" i="1"/>
  <c r="ID102" i="1"/>
  <c r="HM102" i="1"/>
  <c r="HW102" i="1"/>
  <c r="HR102" i="1"/>
  <c r="IA102" i="1"/>
  <c r="HZ102" i="1"/>
  <c r="HQ102" i="1"/>
  <c r="HY102" i="1"/>
  <c r="IB102" i="1"/>
  <c r="HX102" i="1"/>
  <c r="IC102" i="1"/>
  <c r="HU102" i="1"/>
  <c r="AS99" i="1"/>
  <c r="AT99" i="1" s="1"/>
  <c r="BB99" i="1" s="1"/>
  <c r="BE99" i="1" s="1"/>
  <c r="CA99" i="1" l="1"/>
  <c r="BX99" i="1"/>
  <c r="BU99" i="1"/>
  <c r="CB98" i="1"/>
  <c r="CG98" i="1" s="1"/>
  <c r="CC98" i="1"/>
  <c r="CE98" i="1"/>
  <c r="HL104" i="1"/>
  <c r="HK104" i="1"/>
  <c r="HS105" i="1" s="1"/>
  <c r="HN103" i="1"/>
  <c r="IC103" i="1"/>
  <c r="HR103" i="1"/>
  <c r="HT103" i="1"/>
  <c r="HZ103" i="1"/>
  <c r="ID103" i="1"/>
  <c r="IE103" i="1"/>
  <c r="HU103" i="1"/>
  <c r="HW103" i="1"/>
  <c r="IA103" i="1"/>
  <c r="HM103" i="1"/>
  <c r="IB103" i="1"/>
  <c r="HX103" i="1"/>
  <c r="HQ103" i="1"/>
  <c r="HV103" i="1"/>
  <c r="HY103" i="1"/>
  <c r="AS100" i="1"/>
  <c r="AT100" i="1" s="1"/>
  <c r="BB100" i="1" s="1"/>
  <c r="BE100" i="1" s="1"/>
  <c r="CJ98" i="1" l="1"/>
  <c r="CM98" i="1" s="1"/>
  <c r="BX100" i="1"/>
  <c r="CA100" i="1"/>
  <c r="BU100" i="1"/>
  <c r="CE99" i="1"/>
  <c r="CC99" i="1"/>
  <c r="CB99" i="1"/>
  <c r="CG99" i="1" s="1"/>
  <c r="CF98" i="1"/>
  <c r="CL98" i="1" s="1"/>
  <c r="CH98" i="1"/>
  <c r="CK98" i="1"/>
  <c r="HL105" i="1"/>
  <c r="HK105" i="1"/>
  <c r="HS106" i="1" s="1"/>
  <c r="HN104" i="1"/>
  <c r="HT104" i="1"/>
  <c r="HQ104" i="1"/>
  <c r="IA104" i="1"/>
  <c r="HY104" i="1"/>
  <c r="IE104" i="1"/>
  <c r="HZ104" i="1"/>
  <c r="IC104" i="1"/>
  <c r="HM104" i="1"/>
  <c r="HW104" i="1"/>
  <c r="HU104" i="1"/>
  <c r="HX104" i="1"/>
  <c r="HV104" i="1"/>
  <c r="IB104" i="1"/>
  <c r="ID104" i="1"/>
  <c r="HR104" i="1"/>
  <c r="AS101" i="1"/>
  <c r="AT101" i="1" s="1"/>
  <c r="CB100" i="1" l="1"/>
  <c r="CG100" i="1" s="1"/>
  <c r="CC100" i="1"/>
  <c r="CE100" i="1"/>
  <c r="CK99" i="1"/>
  <c r="CH99" i="1"/>
  <c r="CF99" i="1"/>
  <c r="CL99" i="1" s="1"/>
  <c r="CJ99" i="1"/>
  <c r="CN98" i="1"/>
  <c r="CP98" i="1" s="1"/>
  <c r="CR98" i="1"/>
  <c r="HL106" i="1"/>
  <c r="HK106" i="1"/>
  <c r="HS107" i="1" s="1"/>
  <c r="HN105" i="1"/>
  <c r="IC105" i="1"/>
  <c r="HT105" i="1"/>
  <c r="HY105" i="1"/>
  <c r="IA105" i="1"/>
  <c r="IE105" i="1"/>
  <c r="HR105" i="1"/>
  <c r="ID105" i="1"/>
  <c r="HW105" i="1"/>
  <c r="IB105" i="1"/>
  <c r="HV105" i="1"/>
  <c r="HQ105" i="1"/>
  <c r="HZ105" i="1"/>
  <c r="HX105" i="1"/>
  <c r="HM105" i="1"/>
  <c r="HU105" i="1"/>
  <c r="AS102" i="1"/>
  <c r="AT102" i="1" s="1"/>
  <c r="BB102" i="1" s="1"/>
  <c r="BE102" i="1" s="1"/>
  <c r="BX102" i="1" l="1"/>
  <c r="CA102" i="1"/>
  <c r="BU102" i="1"/>
  <c r="CJ100" i="1"/>
  <c r="CM100" i="1" s="1"/>
  <c r="CQ98" i="1"/>
  <c r="CS98" i="1" s="1"/>
  <c r="CU98" i="1" s="1"/>
  <c r="CK100" i="1"/>
  <c r="CF100" i="1"/>
  <c r="CL100" i="1" s="1"/>
  <c r="CH100" i="1"/>
  <c r="CM99" i="1"/>
  <c r="CR99" i="1"/>
  <c r="CN99" i="1"/>
  <c r="HL107" i="1"/>
  <c r="HK107" i="1"/>
  <c r="HS108" i="1" s="1"/>
  <c r="HN106" i="1"/>
  <c r="HT106" i="1"/>
  <c r="HQ106" i="1"/>
  <c r="ID106" i="1"/>
  <c r="HU106" i="1"/>
  <c r="HY106" i="1"/>
  <c r="IB106" i="1"/>
  <c r="HX106" i="1"/>
  <c r="IE106" i="1"/>
  <c r="HM106" i="1"/>
  <c r="HW106" i="1"/>
  <c r="IC106" i="1"/>
  <c r="HV106" i="1"/>
  <c r="IA106" i="1"/>
  <c r="HZ106" i="1"/>
  <c r="HR106" i="1"/>
  <c r="AS103" i="1"/>
  <c r="AT103" i="1" s="1"/>
  <c r="CC102" i="1" l="1"/>
  <c r="CB102" i="1"/>
  <c r="CG102" i="1" s="1"/>
  <c r="CE102" i="1"/>
  <c r="CQ99" i="1"/>
  <c r="CN100" i="1"/>
  <c r="CQ100" i="1" s="1"/>
  <c r="CR100" i="1"/>
  <c r="CT98" i="1"/>
  <c r="CV98" i="1" s="1"/>
  <c r="CP99" i="1"/>
  <c r="CY98" i="1"/>
  <c r="CZ98" i="1"/>
  <c r="DA98" i="1"/>
  <c r="HL108" i="1"/>
  <c r="HK108" i="1"/>
  <c r="HS109" i="1" s="1"/>
  <c r="HN107" i="1"/>
  <c r="HZ107" i="1"/>
  <c r="HM107" i="1"/>
  <c r="HX107" i="1"/>
  <c r="IA107" i="1"/>
  <c r="ID107" i="1"/>
  <c r="HV107" i="1"/>
  <c r="HW107" i="1"/>
  <c r="HU107" i="1"/>
  <c r="IB107" i="1"/>
  <c r="IC107" i="1"/>
  <c r="HY107" i="1"/>
  <c r="HQ107" i="1"/>
  <c r="IE107" i="1"/>
  <c r="HT107" i="1"/>
  <c r="HR107" i="1"/>
  <c r="AS104" i="1"/>
  <c r="AT104" i="1" s="1"/>
  <c r="BB104" i="1" s="1"/>
  <c r="BE104" i="1" s="1"/>
  <c r="CJ102" i="1" l="1"/>
  <c r="CM102" i="1" s="1"/>
  <c r="BU104" i="1"/>
  <c r="BX104" i="1"/>
  <c r="CA104" i="1"/>
  <c r="CF102" i="1"/>
  <c r="CL102" i="1" s="1"/>
  <c r="CK102" i="1"/>
  <c r="CH102" i="1"/>
  <c r="CS99" i="1"/>
  <c r="CT99" i="1" s="1"/>
  <c r="CP100" i="1"/>
  <c r="CS100" i="1" s="1"/>
  <c r="CX98" i="1"/>
  <c r="DN98" i="1" s="1"/>
  <c r="CW98" i="1"/>
  <c r="DP98" i="1" s="1"/>
  <c r="DO98" i="1"/>
  <c r="DL98" i="1"/>
  <c r="HL109" i="1"/>
  <c r="HK109" i="1"/>
  <c r="HS110" i="1" s="1"/>
  <c r="HN108" i="1"/>
  <c r="IC108" i="1"/>
  <c r="ID108" i="1"/>
  <c r="IA108" i="1"/>
  <c r="HZ108" i="1"/>
  <c r="IB108" i="1"/>
  <c r="HX108" i="1"/>
  <c r="HU108" i="1"/>
  <c r="IE108" i="1"/>
  <c r="HT108" i="1"/>
  <c r="HW108" i="1"/>
  <c r="HR108" i="1"/>
  <c r="HY108" i="1"/>
  <c r="HQ108" i="1"/>
  <c r="HM108" i="1"/>
  <c r="HV108" i="1"/>
  <c r="AS105" i="1"/>
  <c r="AT105" i="1" s="1"/>
  <c r="CB104" i="1" l="1"/>
  <c r="CG104" i="1" s="1"/>
  <c r="CE104" i="1"/>
  <c r="CC104" i="1"/>
  <c r="DQ98" i="1"/>
  <c r="CN102" i="1"/>
  <c r="CP102" i="1" s="1"/>
  <c r="CU99" i="1"/>
  <c r="CZ99" i="1" s="1"/>
  <c r="CR102" i="1"/>
  <c r="CU100" i="1"/>
  <c r="CT100" i="1"/>
  <c r="DM98" i="1"/>
  <c r="CV99" i="1"/>
  <c r="CW99" i="1"/>
  <c r="CX99" i="1"/>
  <c r="DW98" i="1"/>
  <c r="DX98" i="1" s="1"/>
  <c r="DV98" i="1"/>
  <c r="DR98" i="1"/>
  <c r="DS98" i="1"/>
  <c r="DU98" i="1"/>
  <c r="HL110" i="1"/>
  <c r="HK110" i="1"/>
  <c r="HS111" i="1" s="1"/>
  <c r="HN109" i="1"/>
  <c r="HU109" i="1"/>
  <c r="HR109" i="1"/>
  <c r="HX109" i="1"/>
  <c r="HY109" i="1"/>
  <c r="HQ109" i="1"/>
  <c r="HM109" i="1"/>
  <c r="IB109" i="1"/>
  <c r="IC109" i="1"/>
  <c r="IE109" i="1"/>
  <c r="HZ109" i="1"/>
  <c r="HT109" i="1"/>
  <c r="HW109" i="1"/>
  <c r="IA109" i="1"/>
  <c r="HV109" i="1"/>
  <c r="ID109" i="1"/>
  <c r="AS106" i="1"/>
  <c r="AT106" i="1" s="1"/>
  <c r="BB106" i="1" s="1"/>
  <c r="BE106" i="1" s="1"/>
  <c r="CQ102" i="1" l="1"/>
  <c r="CS102" i="1" s="1"/>
  <c r="CU102" i="1" s="1"/>
  <c r="BX106" i="1"/>
  <c r="BU106" i="1"/>
  <c r="CA106" i="1"/>
  <c r="CJ104" i="1"/>
  <c r="CM104" i="1" s="1"/>
  <c r="CK104" i="1"/>
  <c r="CH104" i="1"/>
  <c r="CF104" i="1"/>
  <c r="CL104" i="1" s="1"/>
  <c r="DA99" i="1"/>
  <c r="DQ99" i="1" s="1"/>
  <c r="CY99" i="1"/>
  <c r="DO99" i="1" s="1"/>
  <c r="DY98" i="1"/>
  <c r="CV100" i="1"/>
  <c r="CW100" i="1"/>
  <c r="CX100" i="1"/>
  <c r="CY100" i="1"/>
  <c r="CZ100" i="1"/>
  <c r="DA100" i="1"/>
  <c r="DN99" i="1"/>
  <c r="DM99" i="1"/>
  <c r="DL99" i="1"/>
  <c r="DP99" i="1"/>
  <c r="DZ98" i="1"/>
  <c r="EA98" i="1"/>
  <c r="HL111" i="1"/>
  <c r="HK111" i="1"/>
  <c r="HS112" i="1" s="1"/>
  <c r="HN110" i="1"/>
  <c r="IA110" i="1"/>
  <c r="HM110" i="1"/>
  <c r="HZ110" i="1"/>
  <c r="HV110" i="1"/>
  <c r="HX110" i="1"/>
  <c r="HR110" i="1"/>
  <c r="HY110" i="1"/>
  <c r="IE110" i="1"/>
  <c r="IB110" i="1"/>
  <c r="HW110" i="1"/>
  <c r="HU110" i="1"/>
  <c r="IC110" i="1"/>
  <c r="ID110" i="1"/>
  <c r="HT110" i="1"/>
  <c r="HQ110" i="1"/>
  <c r="AS107" i="1"/>
  <c r="AT107" i="1" s="1"/>
  <c r="CR104" i="1" l="1"/>
  <c r="CE106" i="1"/>
  <c r="CB106" i="1"/>
  <c r="CG106" i="1" s="1"/>
  <c r="CC106" i="1"/>
  <c r="CN104" i="1"/>
  <c r="CP104" i="1" s="1"/>
  <c r="CT102" i="1"/>
  <c r="CV102" i="1" s="1"/>
  <c r="DA102" i="1"/>
  <c r="CY102" i="1"/>
  <c r="CZ102" i="1"/>
  <c r="DQ100" i="1"/>
  <c r="DN100" i="1"/>
  <c r="DP100" i="1"/>
  <c r="DM100" i="1"/>
  <c r="DO100" i="1"/>
  <c r="DL100" i="1"/>
  <c r="DR99" i="1"/>
  <c r="DW99" i="1"/>
  <c r="DX99" i="1" s="1"/>
  <c r="DV99" i="1"/>
  <c r="DU99" i="1"/>
  <c r="DS99" i="1"/>
  <c r="EC98" i="1"/>
  <c r="ED98" i="1"/>
  <c r="EB98" i="1"/>
  <c r="HL112" i="1"/>
  <c r="HK112" i="1"/>
  <c r="HS113" i="1" s="1"/>
  <c r="HN111" i="1"/>
  <c r="HU111" i="1"/>
  <c r="HR111" i="1"/>
  <c r="IE111" i="1"/>
  <c r="IC111" i="1"/>
  <c r="IB111" i="1"/>
  <c r="HW111" i="1"/>
  <c r="HT111" i="1"/>
  <c r="HZ111" i="1"/>
  <c r="IA111" i="1"/>
  <c r="HV111" i="1"/>
  <c r="HY111" i="1"/>
  <c r="HQ111" i="1"/>
  <c r="HX111" i="1"/>
  <c r="ID111" i="1"/>
  <c r="HM111" i="1"/>
  <c r="AS108" i="1"/>
  <c r="AT108" i="1" s="1"/>
  <c r="BB108" i="1" s="1"/>
  <c r="BE108" i="1" s="1"/>
  <c r="BU108" i="1" l="1"/>
  <c r="CA108" i="1"/>
  <c r="BX108" i="1"/>
  <c r="CF106" i="1"/>
  <c r="CL106" i="1" s="1"/>
  <c r="CH106" i="1"/>
  <c r="CK106" i="1"/>
  <c r="CJ106" i="1"/>
  <c r="CQ104" i="1"/>
  <c r="CX102" i="1"/>
  <c r="DQ102" i="1" s="1"/>
  <c r="CW102" i="1"/>
  <c r="DM102" i="1" s="1"/>
  <c r="DO102" i="1"/>
  <c r="DU102" i="1" s="1"/>
  <c r="DL102" i="1"/>
  <c r="DW100" i="1"/>
  <c r="DX100" i="1" s="1"/>
  <c r="DV100" i="1"/>
  <c r="DR100" i="1"/>
  <c r="DU100" i="1"/>
  <c r="DS100" i="1"/>
  <c r="EA99" i="1"/>
  <c r="DY99" i="1"/>
  <c r="DZ99" i="1"/>
  <c r="EI98" i="1"/>
  <c r="EL98" i="1"/>
  <c r="EJ98" i="1"/>
  <c r="EH98" i="1"/>
  <c r="EG98" i="1"/>
  <c r="EK98" i="1"/>
  <c r="EF98" i="1"/>
  <c r="EE98" i="1"/>
  <c r="HL113" i="1"/>
  <c r="HK113" i="1"/>
  <c r="HS114" i="1" s="1"/>
  <c r="HN112" i="1"/>
  <c r="IC112" i="1"/>
  <c r="HQ112" i="1"/>
  <c r="ID112" i="1"/>
  <c r="HT112" i="1"/>
  <c r="HZ112" i="1"/>
  <c r="HM112" i="1"/>
  <c r="HW112" i="1"/>
  <c r="IA112" i="1"/>
  <c r="HY112" i="1"/>
  <c r="HR112" i="1"/>
  <c r="IB112" i="1"/>
  <c r="IE112" i="1"/>
  <c r="HX112" i="1"/>
  <c r="HV112" i="1"/>
  <c r="HU112" i="1"/>
  <c r="AS109" i="1"/>
  <c r="AT109" i="1" s="1"/>
  <c r="CE108" i="1" l="1"/>
  <c r="CB108" i="1"/>
  <c r="CG108" i="1" s="1"/>
  <c r="CC108" i="1"/>
  <c r="DN102" i="1"/>
  <c r="CM106" i="1"/>
  <c r="CR106" i="1"/>
  <c r="CN106" i="1"/>
  <c r="DS102" i="1"/>
  <c r="DY102" i="1" s="1"/>
  <c r="DP102" i="1"/>
  <c r="CS104" i="1"/>
  <c r="CU104" i="1" s="1"/>
  <c r="DW102" i="1"/>
  <c r="DX102" i="1" s="1"/>
  <c r="DR102" i="1"/>
  <c r="DV102" i="1"/>
  <c r="DY100" i="1"/>
  <c r="DZ100" i="1"/>
  <c r="EA100" i="1"/>
  <c r="EC99" i="1"/>
  <c r="EB99" i="1"/>
  <c r="ED99" i="1"/>
  <c r="EO98" i="1"/>
  <c r="ER98" i="1" s="1"/>
  <c r="EN98" i="1"/>
  <c r="EM98" i="1"/>
  <c r="HL114" i="1"/>
  <c r="HK114" i="1"/>
  <c r="HS115" i="1" s="1"/>
  <c r="HN113" i="1"/>
  <c r="HW113" i="1"/>
  <c r="HY113" i="1"/>
  <c r="IE113" i="1"/>
  <c r="HX113" i="1"/>
  <c r="ID113" i="1"/>
  <c r="IC113" i="1"/>
  <c r="HV113" i="1"/>
  <c r="HU113" i="1"/>
  <c r="HT113" i="1"/>
  <c r="HQ113" i="1"/>
  <c r="IB113" i="1"/>
  <c r="HR113" i="1"/>
  <c r="IA113" i="1"/>
  <c r="HZ113" i="1"/>
  <c r="HM113" i="1"/>
  <c r="AS110" i="1"/>
  <c r="AT110" i="1" s="1"/>
  <c r="BB110" i="1" s="1"/>
  <c r="BE110" i="1" s="1"/>
  <c r="CQ106" i="1" l="1"/>
  <c r="BU110" i="1"/>
  <c r="BX110" i="1"/>
  <c r="CA110" i="1"/>
  <c r="CF108" i="1"/>
  <c r="CL108" i="1" s="1"/>
  <c r="CK108" i="1"/>
  <c r="CH108" i="1"/>
  <c r="CJ108" i="1"/>
  <c r="DZ102" i="1"/>
  <c r="CP106" i="1"/>
  <c r="CT104" i="1"/>
  <c r="CW104" i="1" s="1"/>
  <c r="CY104" i="1"/>
  <c r="CZ104" i="1"/>
  <c r="DA104" i="1"/>
  <c r="EA102" i="1"/>
  <c r="EB100" i="1"/>
  <c r="ED100" i="1"/>
  <c r="EC100" i="1"/>
  <c r="EL99" i="1"/>
  <c r="EI99" i="1"/>
  <c r="EH99" i="1"/>
  <c r="EJ99" i="1"/>
  <c r="EK99" i="1"/>
  <c r="EF99" i="1"/>
  <c r="EE99" i="1"/>
  <c r="EG99" i="1"/>
  <c r="EQ98" i="1"/>
  <c r="EZ98" i="1" s="1"/>
  <c r="FC98" i="1" s="1"/>
  <c r="EP98" i="1"/>
  <c r="HL115" i="1"/>
  <c r="HK115" i="1"/>
  <c r="HS116" i="1" s="1"/>
  <c r="HN114" i="1"/>
  <c r="HU114" i="1"/>
  <c r="HQ114" i="1"/>
  <c r="HW114" i="1"/>
  <c r="IA114" i="1"/>
  <c r="IC114" i="1"/>
  <c r="HT114" i="1"/>
  <c r="HZ114" i="1"/>
  <c r="HV114" i="1"/>
  <c r="HY114" i="1"/>
  <c r="HX114" i="1"/>
  <c r="IB114" i="1"/>
  <c r="IE114" i="1"/>
  <c r="HM114" i="1"/>
  <c r="ID114" i="1"/>
  <c r="HR114" i="1"/>
  <c r="AS111" i="1"/>
  <c r="AT111" i="1" s="1"/>
  <c r="CS106" i="1" l="1"/>
  <c r="CT106" i="1" s="1"/>
  <c r="CW106" i="1" s="1"/>
  <c r="CC110" i="1"/>
  <c r="CE110" i="1"/>
  <c r="CB110" i="1"/>
  <c r="CG110" i="1" s="1"/>
  <c r="EC102" i="1"/>
  <c r="EK102" i="1" s="1"/>
  <c r="CV104" i="1"/>
  <c r="DO104" i="1" s="1"/>
  <c r="CM108" i="1"/>
  <c r="CR108" i="1"/>
  <c r="CX104" i="1"/>
  <c r="DQ104" i="1" s="1"/>
  <c r="CN108" i="1"/>
  <c r="DP104" i="1"/>
  <c r="DM104" i="1"/>
  <c r="ED102" i="1"/>
  <c r="EB102" i="1"/>
  <c r="EK100" i="1"/>
  <c r="EG100" i="1"/>
  <c r="EE100" i="1"/>
  <c r="EF100" i="1"/>
  <c r="EL100" i="1"/>
  <c r="EJ100" i="1"/>
  <c r="EH100" i="1"/>
  <c r="EI100" i="1"/>
  <c r="EM99" i="1"/>
  <c r="EO99" i="1"/>
  <c r="ER99" i="1" s="1"/>
  <c r="EN99" i="1"/>
  <c r="FA98" i="1"/>
  <c r="EV98" i="1"/>
  <c r="FB98" i="1"/>
  <c r="FF98" i="1"/>
  <c r="FI98" i="1" s="1"/>
  <c r="FY98" i="1"/>
  <c r="HE98" i="1" s="1"/>
  <c r="HL116" i="1"/>
  <c r="HK116" i="1"/>
  <c r="HS117" i="1" s="1"/>
  <c r="HN115" i="1"/>
  <c r="IB115" i="1"/>
  <c r="HM115" i="1"/>
  <c r="HW115" i="1"/>
  <c r="HX115" i="1"/>
  <c r="IA115" i="1"/>
  <c r="HZ115" i="1"/>
  <c r="HU115" i="1"/>
  <c r="HQ115" i="1"/>
  <c r="IE115" i="1"/>
  <c r="IC115" i="1"/>
  <c r="ID115" i="1"/>
  <c r="HY115" i="1"/>
  <c r="HR115" i="1"/>
  <c r="HV115" i="1"/>
  <c r="HT115" i="1"/>
  <c r="AS112" i="1"/>
  <c r="AT112" i="1" s="1"/>
  <c r="BB112" i="1" s="1"/>
  <c r="BE112" i="1" s="1"/>
  <c r="CU106" i="1" l="1"/>
  <c r="CZ106" i="1" s="1"/>
  <c r="DP106" i="1" s="1"/>
  <c r="DL104" i="1"/>
  <c r="BX112" i="1"/>
  <c r="BU112" i="1"/>
  <c r="CA112" i="1"/>
  <c r="EG102" i="1"/>
  <c r="EE102" i="1"/>
  <c r="CJ110" i="1"/>
  <c r="CM110" i="1" s="1"/>
  <c r="EF102" i="1"/>
  <c r="CP108" i="1"/>
  <c r="CK110" i="1"/>
  <c r="CH110" i="1"/>
  <c r="CF110" i="1"/>
  <c r="CL110" i="1" s="1"/>
  <c r="DU104" i="1"/>
  <c r="DN104" i="1"/>
  <c r="CV106" i="1"/>
  <c r="DL106" i="1" s="1"/>
  <c r="CX106" i="1"/>
  <c r="DN106" i="1" s="1"/>
  <c r="CQ108" i="1"/>
  <c r="DS104" i="1"/>
  <c r="DM106" i="1"/>
  <c r="EL102" i="1"/>
  <c r="EH102" i="1"/>
  <c r="EJ102" i="1"/>
  <c r="EI102" i="1"/>
  <c r="EM102" i="1"/>
  <c r="EO102" i="1"/>
  <c r="ER102" i="1" s="1"/>
  <c r="EN102" i="1"/>
  <c r="EN100" i="1"/>
  <c r="EO100" i="1"/>
  <c r="ER100" i="1" s="1"/>
  <c r="EM100" i="1"/>
  <c r="EQ99" i="1"/>
  <c r="EZ99" i="1" s="1"/>
  <c r="FC99" i="1" s="1"/>
  <c r="EP99" i="1"/>
  <c r="EX98" i="1"/>
  <c r="HB98" i="1"/>
  <c r="HF98" i="1" s="1"/>
  <c r="HG98" i="1" s="1"/>
  <c r="EW98" i="1"/>
  <c r="FE98" i="1"/>
  <c r="FD98" i="1"/>
  <c r="FV98" i="1" s="1"/>
  <c r="FL98" i="1"/>
  <c r="FO98" i="1"/>
  <c r="HL117" i="1"/>
  <c r="HK117" i="1"/>
  <c r="HS118" i="1" s="1"/>
  <c r="HN116" i="1"/>
  <c r="HY116" i="1"/>
  <c r="HU116" i="1"/>
  <c r="HX116" i="1"/>
  <c r="IB116" i="1"/>
  <c r="ID116" i="1"/>
  <c r="HW116" i="1"/>
  <c r="IC116" i="1"/>
  <c r="IE116" i="1"/>
  <c r="HV116" i="1"/>
  <c r="HR116" i="1"/>
  <c r="HZ116" i="1"/>
  <c r="HT116" i="1"/>
  <c r="HQ116" i="1"/>
  <c r="HM116" i="1"/>
  <c r="IA116" i="1"/>
  <c r="AS113" i="1"/>
  <c r="AT113" i="1" s="1"/>
  <c r="DA106" i="1" l="1"/>
  <c r="DQ106" i="1" s="1"/>
  <c r="CY106" i="1"/>
  <c r="DO106" i="1" s="1"/>
  <c r="DU106" i="1" s="1"/>
  <c r="DW104" i="1"/>
  <c r="DX104" i="1" s="1"/>
  <c r="CC112" i="1"/>
  <c r="CB112" i="1"/>
  <c r="CG112" i="1" s="1"/>
  <c r="CE112" i="1"/>
  <c r="DV104" i="1"/>
  <c r="DR104" i="1"/>
  <c r="CN110" i="1"/>
  <c r="CP110" i="1" s="1"/>
  <c r="CR110" i="1"/>
  <c r="DY104" i="1"/>
  <c r="CS108" i="1"/>
  <c r="CT108" i="1" s="1"/>
  <c r="DW106" i="1"/>
  <c r="DX106" i="1" s="1"/>
  <c r="DR106" i="1"/>
  <c r="DV106" i="1"/>
  <c r="EQ102" i="1"/>
  <c r="EZ102" i="1" s="1"/>
  <c r="FC102" i="1" s="1"/>
  <c r="EP102" i="1"/>
  <c r="EP100" i="1"/>
  <c r="EQ100" i="1"/>
  <c r="EZ100" i="1" s="1"/>
  <c r="FC100" i="1" s="1"/>
  <c r="FH98" i="1"/>
  <c r="FB99" i="1"/>
  <c r="EV99" i="1"/>
  <c r="FA99" i="1"/>
  <c r="FF99" i="1"/>
  <c r="FI99" i="1" s="1"/>
  <c r="FY99" i="1"/>
  <c r="HE99" i="1" s="1"/>
  <c r="FU98" i="1"/>
  <c r="FG98" i="1"/>
  <c r="HH98" i="1"/>
  <c r="HL118" i="1"/>
  <c r="HK118" i="1"/>
  <c r="HS119" i="1" s="1"/>
  <c r="HN117" i="1"/>
  <c r="ID117" i="1"/>
  <c r="HM117" i="1"/>
  <c r="HU117" i="1"/>
  <c r="HQ117" i="1"/>
  <c r="HZ117" i="1"/>
  <c r="IC117" i="1"/>
  <c r="IB117" i="1"/>
  <c r="HY117" i="1"/>
  <c r="HT117" i="1"/>
  <c r="IE117" i="1"/>
  <c r="HV117" i="1"/>
  <c r="HX117" i="1"/>
  <c r="HW117" i="1"/>
  <c r="IA117" i="1"/>
  <c r="HR117" i="1"/>
  <c r="AS114" i="1"/>
  <c r="AT114" i="1" s="1"/>
  <c r="CJ112" i="1" l="1"/>
  <c r="CM112" i="1" s="1"/>
  <c r="EA104" i="1"/>
  <c r="DZ104" i="1"/>
  <c r="DS106" i="1"/>
  <c r="DY106" i="1" s="1"/>
  <c r="CK112" i="1"/>
  <c r="CH112" i="1"/>
  <c r="CF112" i="1"/>
  <c r="CL112" i="1" s="1"/>
  <c r="CQ110" i="1"/>
  <c r="CU108" i="1"/>
  <c r="CV108" i="1"/>
  <c r="CW108" i="1"/>
  <c r="CX108" i="1"/>
  <c r="EA106" i="1"/>
  <c r="EV102" i="1"/>
  <c r="FA102" i="1"/>
  <c r="FB102" i="1"/>
  <c r="FY102" i="1"/>
  <c r="HE102" i="1" s="1"/>
  <c r="FF102" i="1"/>
  <c r="FI102" i="1" s="1"/>
  <c r="FF100" i="1"/>
  <c r="FI100" i="1" s="1"/>
  <c r="FY100" i="1"/>
  <c r="HE100" i="1" s="1"/>
  <c r="EV100" i="1"/>
  <c r="FB100" i="1"/>
  <c r="FA100" i="1"/>
  <c r="FL99" i="1"/>
  <c r="FO99" i="1"/>
  <c r="EX99" i="1"/>
  <c r="EW99" i="1"/>
  <c r="HB99" i="1"/>
  <c r="HF99" i="1" s="1"/>
  <c r="HH99" i="1" s="1"/>
  <c r="FD99" i="1"/>
  <c r="FV99" i="1" s="1"/>
  <c r="FE99" i="1"/>
  <c r="FW98" i="1"/>
  <c r="FX98" i="1" s="1"/>
  <c r="FZ98" i="1" s="1"/>
  <c r="FM98" i="1"/>
  <c r="FN98" i="1" s="1"/>
  <c r="FJ98" i="1"/>
  <c r="GQ98" i="1" s="1"/>
  <c r="HL119" i="1"/>
  <c r="HK119" i="1"/>
  <c r="HS120" i="1" s="1"/>
  <c r="HN118" i="1"/>
  <c r="HT118" i="1"/>
  <c r="HM118" i="1"/>
  <c r="HY118" i="1"/>
  <c r="IB118" i="1"/>
  <c r="IE118" i="1"/>
  <c r="IA118" i="1"/>
  <c r="HX118" i="1"/>
  <c r="HR118" i="1"/>
  <c r="HV118" i="1"/>
  <c r="HZ118" i="1"/>
  <c r="ID118" i="1"/>
  <c r="HQ118" i="1"/>
  <c r="IC118" i="1"/>
  <c r="HU118" i="1"/>
  <c r="HW118" i="1"/>
  <c r="AS115" i="1"/>
  <c r="AT115" i="1" s="1"/>
  <c r="DZ106" i="1" l="1"/>
  <c r="EB106" i="1" s="1"/>
  <c r="EB104" i="1"/>
  <c r="ED104" i="1"/>
  <c r="EL104" i="1" s="1"/>
  <c r="EC104" i="1"/>
  <c r="EK104" i="1" s="1"/>
  <c r="CN112" i="1"/>
  <c r="CQ112" i="1" s="1"/>
  <c r="CR112" i="1"/>
  <c r="CS110" i="1"/>
  <c r="CT110" i="1" s="1"/>
  <c r="DN108" i="1"/>
  <c r="DM108" i="1"/>
  <c r="DL108" i="1"/>
  <c r="CY108" i="1"/>
  <c r="DO108" i="1" s="1"/>
  <c r="DA108" i="1"/>
  <c r="DQ108" i="1" s="1"/>
  <c r="CZ108" i="1"/>
  <c r="DP108" i="1" s="1"/>
  <c r="FL102" i="1"/>
  <c r="FO102" i="1"/>
  <c r="HB102" i="1"/>
  <c r="HF102" i="1" s="1"/>
  <c r="HG102" i="1" s="1"/>
  <c r="FE102" i="1"/>
  <c r="EW102" i="1"/>
  <c r="EX102" i="1"/>
  <c r="FD102" i="1"/>
  <c r="FV102" i="1" s="1"/>
  <c r="FL100" i="1"/>
  <c r="FO100" i="1"/>
  <c r="FE100" i="1"/>
  <c r="EX100" i="1"/>
  <c r="HB100" i="1"/>
  <c r="HF100" i="1" s="1"/>
  <c r="HH100" i="1" s="1"/>
  <c r="FD100" i="1"/>
  <c r="FV100" i="1" s="1"/>
  <c r="EW100" i="1"/>
  <c r="FH99" i="1"/>
  <c r="FU99" i="1"/>
  <c r="FG99" i="1"/>
  <c r="HG99" i="1"/>
  <c r="FP98" i="1"/>
  <c r="FR98" i="1"/>
  <c r="FQ98" i="1"/>
  <c r="GD98" i="1"/>
  <c r="GP98" i="1"/>
  <c r="GA98" i="1"/>
  <c r="HL120" i="1"/>
  <c r="HK120" i="1"/>
  <c r="HS121" i="1" s="1"/>
  <c r="HN119" i="1"/>
  <c r="IE119" i="1"/>
  <c r="HR119" i="1"/>
  <c r="HY119" i="1"/>
  <c r="HV119" i="1"/>
  <c r="IB119" i="1"/>
  <c r="ID119" i="1"/>
  <c r="IC119" i="1"/>
  <c r="HT119" i="1"/>
  <c r="HW119" i="1"/>
  <c r="HU119" i="1"/>
  <c r="IA119" i="1"/>
  <c r="HZ119" i="1"/>
  <c r="HQ119" i="1"/>
  <c r="HM119" i="1"/>
  <c r="HX119" i="1"/>
  <c r="AS116" i="1"/>
  <c r="AT116" i="1" s="1"/>
  <c r="ED106" i="1" l="1"/>
  <c r="EJ106" i="1" s="1"/>
  <c r="EI104" i="1"/>
  <c r="EC106" i="1"/>
  <c r="EG106" i="1" s="1"/>
  <c r="EM104" i="1"/>
  <c r="EH104" i="1"/>
  <c r="EN104" i="1"/>
  <c r="EJ104" i="1"/>
  <c r="EF104" i="1"/>
  <c r="EO104" i="1"/>
  <c r="ER104" i="1" s="1"/>
  <c r="EE104" i="1"/>
  <c r="EG104" i="1"/>
  <c r="CP112" i="1"/>
  <c r="CS112" i="1" s="1"/>
  <c r="CU110" i="1"/>
  <c r="CY110" i="1" s="1"/>
  <c r="CV110" i="1"/>
  <c r="CW110" i="1"/>
  <c r="CX110" i="1"/>
  <c r="DR108" i="1"/>
  <c r="DW108" i="1"/>
  <c r="DX108" i="1" s="1"/>
  <c r="DV108" i="1"/>
  <c r="DU108" i="1"/>
  <c r="DS108" i="1"/>
  <c r="EF106" i="1"/>
  <c r="EK106" i="1"/>
  <c r="EM106" i="1" s="1"/>
  <c r="HG100" i="1"/>
  <c r="FH102" i="1"/>
  <c r="FU102" i="1"/>
  <c r="FG102" i="1"/>
  <c r="FH100" i="1"/>
  <c r="HH102" i="1"/>
  <c r="FS98" i="1"/>
  <c r="FG100" i="1"/>
  <c r="FU100" i="1"/>
  <c r="FJ99" i="1"/>
  <c r="GQ99" i="1" s="1"/>
  <c r="HQ12" i="1" s="1"/>
  <c r="FW99" i="1"/>
  <c r="FX99" i="1" s="1"/>
  <c r="FZ99" i="1" s="1"/>
  <c r="FM99" i="1"/>
  <c r="FN99" i="1" s="1"/>
  <c r="FT98" i="1"/>
  <c r="GO98" i="1"/>
  <c r="GB98" i="1"/>
  <c r="GC98" i="1"/>
  <c r="HL121" i="1"/>
  <c r="HK121" i="1"/>
  <c r="HS122" i="1" s="1"/>
  <c r="HN120" i="1"/>
  <c r="HU120" i="1"/>
  <c r="HQ120" i="1"/>
  <c r="IC120" i="1"/>
  <c r="HV120" i="1"/>
  <c r="HW120" i="1"/>
  <c r="HT120" i="1"/>
  <c r="HZ120" i="1"/>
  <c r="ID120" i="1"/>
  <c r="HY120" i="1"/>
  <c r="IB120" i="1"/>
  <c r="HX120" i="1"/>
  <c r="IA120" i="1"/>
  <c r="HR120" i="1"/>
  <c r="HM120" i="1"/>
  <c r="IE120" i="1"/>
  <c r="AS117" i="1"/>
  <c r="AT117" i="1" s="1"/>
  <c r="EQ104" i="1" l="1"/>
  <c r="EZ104" i="1" s="1"/>
  <c r="FC104" i="1" s="1"/>
  <c r="FY104" i="1" s="1"/>
  <c r="HE104" i="1" s="1"/>
  <c r="EL106" i="1"/>
  <c r="EP104" i="1"/>
  <c r="EH106" i="1"/>
  <c r="EI106" i="1"/>
  <c r="EE106" i="1"/>
  <c r="CU112" i="1"/>
  <c r="CT112" i="1"/>
  <c r="DA110" i="1"/>
  <c r="DQ110" i="1" s="1"/>
  <c r="CZ110" i="1"/>
  <c r="DP110" i="1" s="1"/>
  <c r="DN110" i="1"/>
  <c r="DM110" i="1"/>
  <c r="DL110" i="1"/>
  <c r="DO110" i="1"/>
  <c r="EA108" i="1"/>
  <c r="DY108" i="1"/>
  <c r="DZ108" i="1"/>
  <c r="EN106" i="1"/>
  <c r="EP106" i="1" s="1"/>
  <c r="EV106" i="1" s="1"/>
  <c r="EO106" i="1"/>
  <c r="ER106" i="1" s="1"/>
  <c r="EV104" i="1"/>
  <c r="FJ102" i="1"/>
  <c r="GQ102" i="1" s="1"/>
  <c r="FM102" i="1"/>
  <c r="FN102" i="1" s="1"/>
  <c r="FW102" i="1"/>
  <c r="FX102" i="1" s="1"/>
  <c r="FZ102" i="1" s="1"/>
  <c r="GH98" i="1"/>
  <c r="FM100" i="1"/>
  <c r="FN100" i="1" s="1"/>
  <c r="FJ100" i="1"/>
  <c r="GQ100" i="1" s="1"/>
  <c r="HQ14" i="1" s="1"/>
  <c r="FW100" i="1"/>
  <c r="FX100" i="1" s="1"/>
  <c r="FZ100" i="1" s="1"/>
  <c r="FQ99" i="1"/>
  <c r="FR99" i="1"/>
  <c r="FP99" i="1"/>
  <c r="GP99" i="1"/>
  <c r="HR12" i="1" s="1"/>
  <c r="GD99" i="1"/>
  <c r="GA99" i="1"/>
  <c r="GE98" i="1"/>
  <c r="GF98" i="1" s="1"/>
  <c r="GG98" i="1"/>
  <c r="GI98" i="1"/>
  <c r="HL122" i="1"/>
  <c r="HK122" i="1"/>
  <c r="HS123" i="1" s="1"/>
  <c r="HN121" i="1"/>
  <c r="HZ121" i="1"/>
  <c r="HW121" i="1"/>
  <c r="HY121" i="1"/>
  <c r="HR121" i="1"/>
  <c r="IA121" i="1"/>
  <c r="HQ121" i="1"/>
  <c r="ID121" i="1"/>
  <c r="HX121" i="1"/>
  <c r="HV121" i="1"/>
  <c r="IC121" i="1"/>
  <c r="IB121" i="1"/>
  <c r="HM121" i="1"/>
  <c r="HU121" i="1"/>
  <c r="IE121" i="1"/>
  <c r="HT121" i="1"/>
  <c r="AS118" i="1"/>
  <c r="AT118" i="1" s="1"/>
  <c r="FA104" i="1" l="1"/>
  <c r="FB104" i="1"/>
  <c r="FF104" i="1"/>
  <c r="FI104" i="1" s="1"/>
  <c r="CV112" i="1"/>
  <c r="CW112" i="1"/>
  <c r="CX112" i="1"/>
  <c r="CY112" i="1"/>
  <c r="CZ112" i="1"/>
  <c r="DA112" i="1"/>
  <c r="DW110" i="1"/>
  <c r="DX110" i="1" s="1"/>
  <c r="DV110" i="1"/>
  <c r="DR110" i="1"/>
  <c r="DU110" i="1"/>
  <c r="DS110" i="1"/>
  <c r="EQ106" i="1"/>
  <c r="EZ106" i="1" s="1"/>
  <c r="FC106" i="1" s="1"/>
  <c r="FF106" i="1" s="1"/>
  <c r="FI106" i="1" s="1"/>
  <c r="ED108" i="1"/>
  <c r="EC108" i="1"/>
  <c r="EB108" i="1"/>
  <c r="GY98" i="1"/>
  <c r="EW106" i="1"/>
  <c r="EX106" i="1"/>
  <c r="HB106" i="1"/>
  <c r="HF106" i="1" s="1"/>
  <c r="FL104" i="1"/>
  <c r="FO104" i="1"/>
  <c r="EX104" i="1"/>
  <c r="HB104" i="1"/>
  <c r="HF104" i="1" s="1"/>
  <c r="HH104" i="1" s="1"/>
  <c r="EW104" i="1"/>
  <c r="FE104" i="1"/>
  <c r="FD104" i="1"/>
  <c r="FV104" i="1" s="1"/>
  <c r="GP102" i="1"/>
  <c r="GA102" i="1"/>
  <c r="GD102" i="1"/>
  <c r="FR102" i="1"/>
  <c r="FP102" i="1"/>
  <c r="FQ102" i="1"/>
  <c r="GS98" i="1"/>
  <c r="GP100" i="1"/>
  <c r="HR14" i="1" s="1"/>
  <c r="GA100" i="1"/>
  <c r="GD100" i="1"/>
  <c r="FQ100" i="1"/>
  <c r="FP100" i="1"/>
  <c r="FR100" i="1"/>
  <c r="FT99" i="1"/>
  <c r="GB99" i="1"/>
  <c r="GO99" i="1"/>
  <c r="HM12" i="1" s="1"/>
  <c r="GC99" i="1"/>
  <c r="FS99" i="1"/>
  <c r="HL123" i="1"/>
  <c r="HK123" i="1"/>
  <c r="HS124" i="1" s="1"/>
  <c r="HN122" i="1"/>
  <c r="ID122" i="1"/>
  <c r="HQ122" i="1"/>
  <c r="HU122" i="1"/>
  <c r="HY122" i="1"/>
  <c r="IE122" i="1"/>
  <c r="HV122" i="1"/>
  <c r="HX122" i="1"/>
  <c r="IA122" i="1"/>
  <c r="HW122" i="1"/>
  <c r="IC122" i="1"/>
  <c r="HT122" i="1"/>
  <c r="HR122" i="1"/>
  <c r="HZ122" i="1"/>
  <c r="HM122" i="1"/>
  <c r="IB122" i="1"/>
  <c r="AS119" i="1"/>
  <c r="AT119" i="1" s="1"/>
  <c r="GZ98" i="1" l="1"/>
  <c r="DO112" i="1"/>
  <c r="DU112" i="1" s="1"/>
  <c r="DQ112" i="1"/>
  <c r="DN112" i="1"/>
  <c r="DP112" i="1"/>
  <c r="DM112" i="1"/>
  <c r="DL112" i="1"/>
  <c r="DY110" i="1"/>
  <c r="FB106" i="1"/>
  <c r="FY106" i="1"/>
  <c r="HE106" i="1" s="1"/>
  <c r="HH106" i="1" s="1"/>
  <c r="DZ110" i="1"/>
  <c r="EA110" i="1"/>
  <c r="FS102" i="1"/>
  <c r="FA106" i="1"/>
  <c r="EK108" i="1"/>
  <c r="EG108" i="1"/>
  <c r="EE108" i="1"/>
  <c r="EF108" i="1"/>
  <c r="GR98" i="1"/>
  <c r="EL108" i="1"/>
  <c r="EH108" i="1"/>
  <c r="EJ108" i="1"/>
  <c r="EI108" i="1"/>
  <c r="FU106" i="1"/>
  <c r="HG104" i="1"/>
  <c r="FH104" i="1"/>
  <c r="FT100" i="1"/>
  <c r="FU104" i="1"/>
  <c r="FG104" i="1"/>
  <c r="GO102" i="1"/>
  <c r="GB102" i="1"/>
  <c r="GC102" i="1"/>
  <c r="FT102" i="1"/>
  <c r="HA98" i="1"/>
  <c r="HD98" i="1" s="1"/>
  <c r="GT98" i="1"/>
  <c r="GB100" i="1"/>
  <c r="GC100" i="1"/>
  <c r="GO100" i="1"/>
  <c r="HM14" i="1" s="1"/>
  <c r="FS100" i="1"/>
  <c r="GH99" i="1"/>
  <c r="GG99" i="1"/>
  <c r="GE99" i="1"/>
  <c r="GF99" i="1" s="1"/>
  <c r="GI99" i="1"/>
  <c r="HL124" i="1"/>
  <c r="HK124" i="1"/>
  <c r="HS125" i="1" s="1"/>
  <c r="HN123" i="1"/>
  <c r="HT123" i="1"/>
  <c r="HM123" i="1"/>
  <c r="HR123" i="1"/>
  <c r="IB123" i="1"/>
  <c r="HQ123" i="1"/>
  <c r="HX123" i="1"/>
  <c r="HW123" i="1"/>
  <c r="HZ123" i="1"/>
  <c r="HU123" i="1"/>
  <c r="IE123" i="1"/>
  <c r="IA123" i="1"/>
  <c r="HV123" i="1"/>
  <c r="ID123" i="1"/>
  <c r="IC123" i="1"/>
  <c r="HY123" i="1"/>
  <c r="AS120" i="1"/>
  <c r="AT120" i="1" s="1"/>
  <c r="HG106" i="1" l="1"/>
  <c r="DS112" i="1"/>
  <c r="DY112" i="1" s="1"/>
  <c r="FL106" i="1"/>
  <c r="DR112" i="1"/>
  <c r="DV112" i="1"/>
  <c r="DW112" i="1"/>
  <c r="DX112" i="1" s="1"/>
  <c r="EA112" i="1" s="1"/>
  <c r="FD106" i="1"/>
  <c r="FV106" i="1" s="1"/>
  <c r="FE106" i="1"/>
  <c r="FH106" i="1" s="1"/>
  <c r="EC110" i="1"/>
  <c r="EB110" i="1"/>
  <c r="ED110" i="1"/>
  <c r="FO106" i="1"/>
  <c r="EM108" i="1"/>
  <c r="EO108" i="1"/>
  <c r="ER108" i="1" s="1"/>
  <c r="EN108" i="1"/>
  <c r="GH102" i="1"/>
  <c r="HC98" i="1"/>
  <c r="GI102" i="1"/>
  <c r="FM104" i="1"/>
  <c r="FN104" i="1" s="1"/>
  <c r="FJ104" i="1"/>
  <c r="GQ104" i="1" s="1"/>
  <c r="HQ16" i="1" s="1"/>
  <c r="FW104" i="1"/>
  <c r="FX104" i="1" s="1"/>
  <c r="FZ104" i="1" s="1"/>
  <c r="GG102" i="1"/>
  <c r="GE102" i="1"/>
  <c r="GF102" i="1" s="1"/>
  <c r="GH100" i="1"/>
  <c r="GS99" i="1"/>
  <c r="GI100" i="1"/>
  <c r="GY99" i="1"/>
  <c r="GG100" i="1"/>
  <c r="GE100" i="1"/>
  <c r="GF100" i="1" s="1"/>
  <c r="HL125" i="1"/>
  <c r="HK125" i="1"/>
  <c r="HS126" i="1" s="1"/>
  <c r="HN124" i="1"/>
  <c r="HY124" i="1"/>
  <c r="HM124" i="1"/>
  <c r="HR124" i="1"/>
  <c r="HX124" i="1"/>
  <c r="HU124" i="1"/>
  <c r="HW124" i="1"/>
  <c r="IC124" i="1"/>
  <c r="IE124" i="1"/>
  <c r="HV124" i="1"/>
  <c r="HZ124" i="1"/>
  <c r="HT124" i="1"/>
  <c r="ID124" i="1"/>
  <c r="IB124" i="1"/>
  <c r="IA124" i="1"/>
  <c r="HQ124" i="1"/>
  <c r="AS121" i="1"/>
  <c r="AT121" i="1" s="1"/>
  <c r="IA12" i="1" l="1"/>
  <c r="GT99" i="1"/>
  <c r="IC12" i="1" s="1"/>
  <c r="DZ112" i="1"/>
  <c r="ED112" i="1" s="1"/>
  <c r="HY12" i="1"/>
  <c r="FG106" i="1"/>
  <c r="FW106" i="1" s="1"/>
  <c r="FX106" i="1" s="1"/>
  <c r="FZ106" i="1" s="1"/>
  <c r="GY102" i="1"/>
  <c r="GZ102" i="1" s="1"/>
  <c r="EL110" i="1"/>
  <c r="EI110" i="1"/>
  <c r="EH110" i="1"/>
  <c r="EJ110" i="1"/>
  <c r="EK110" i="1"/>
  <c r="EF110" i="1"/>
  <c r="EE110" i="1"/>
  <c r="EG110" i="1"/>
  <c r="GS102" i="1"/>
  <c r="HA102" i="1" s="1"/>
  <c r="EP108" i="1"/>
  <c r="EQ108" i="1"/>
  <c r="EZ108" i="1" s="1"/>
  <c r="FC108" i="1" s="1"/>
  <c r="GA104" i="1"/>
  <c r="GD104" i="1"/>
  <c r="GP104" i="1"/>
  <c r="HR16" i="1" s="1"/>
  <c r="GY100" i="1"/>
  <c r="GZ100" i="1" s="1"/>
  <c r="IE14" i="1" s="1"/>
  <c r="FP104" i="1"/>
  <c r="FR104" i="1"/>
  <c r="FQ104" i="1"/>
  <c r="GR99" i="1"/>
  <c r="HA99" i="1"/>
  <c r="HC99" i="1" s="1"/>
  <c r="GZ99" i="1"/>
  <c r="IE12" i="1" s="1"/>
  <c r="GS100" i="1"/>
  <c r="IA14" i="1"/>
  <c r="HL126" i="1"/>
  <c r="HK126" i="1"/>
  <c r="HS127" i="1" s="1"/>
  <c r="HN125" i="1"/>
  <c r="ID125" i="1"/>
  <c r="HM125" i="1"/>
  <c r="HU125" i="1"/>
  <c r="IC125" i="1"/>
  <c r="HT125" i="1"/>
  <c r="IE125" i="1"/>
  <c r="HX125" i="1"/>
  <c r="HZ125" i="1"/>
  <c r="HY125" i="1"/>
  <c r="IA125" i="1"/>
  <c r="HV125" i="1"/>
  <c r="IB125" i="1"/>
  <c r="HW125" i="1"/>
  <c r="HQ125" i="1"/>
  <c r="HR125" i="1"/>
  <c r="AS122" i="1"/>
  <c r="AT122" i="1" s="1"/>
  <c r="BB122" i="1" s="1"/>
  <c r="BE122" i="1" s="1"/>
  <c r="IB12" i="1" l="1"/>
  <c r="EB112" i="1"/>
  <c r="EC112" i="1"/>
  <c r="EG112" i="1" s="1"/>
  <c r="BU122" i="1"/>
  <c r="BX122" i="1"/>
  <c r="CA122" i="1"/>
  <c r="FS104" i="1"/>
  <c r="EL112" i="1"/>
  <c r="EJ112" i="1"/>
  <c r="EH112" i="1"/>
  <c r="EI112" i="1"/>
  <c r="FM106" i="1"/>
  <c r="FN106" i="1" s="1"/>
  <c r="FP106" i="1" s="1"/>
  <c r="FJ106" i="1"/>
  <c r="GQ106" i="1" s="1"/>
  <c r="GR102" i="1"/>
  <c r="EN110" i="1"/>
  <c r="EM110" i="1"/>
  <c r="EO110" i="1"/>
  <c r="ER110" i="1" s="1"/>
  <c r="HD99" i="1"/>
  <c r="GT102" i="1"/>
  <c r="FY108" i="1"/>
  <c r="HE108" i="1" s="1"/>
  <c r="FF108" i="1"/>
  <c r="FI108" i="1" s="1"/>
  <c r="EV108" i="1"/>
  <c r="FB108" i="1"/>
  <c r="FA108" i="1"/>
  <c r="GD106" i="1"/>
  <c r="GA106" i="1"/>
  <c r="GP106" i="1"/>
  <c r="FT104" i="1"/>
  <c r="GO104" i="1"/>
  <c r="HM16" i="1" s="1"/>
  <c r="GB104" i="1"/>
  <c r="GC104" i="1"/>
  <c r="GR100" i="1"/>
  <c r="IB14" i="1" s="1"/>
  <c r="HA100" i="1"/>
  <c r="HD100" i="1" s="1"/>
  <c r="HD102" i="1"/>
  <c r="HC102" i="1"/>
  <c r="HY14" i="1"/>
  <c r="GT100" i="1"/>
  <c r="IC14" i="1" s="1"/>
  <c r="HL127" i="1"/>
  <c r="HK127" i="1"/>
  <c r="HS128" i="1" s="1"/>
  <c r="HN126" i="1"/>
  <c r="HT126" i="1"/>
  <c r="HX126" i="1"/>
  <c r="HM126" i="1"/>
  <c r="IB126" i="1"/>
  <c r="IE126" i="1"/>
  <c r="IA126" i="1"/>
  <c r="HZ126" i="1"/>
  <c r="IC126" i="1"/>
  <c r="HV126" i="1"/>
  <c r="HR126" i="1"/>
  <c r="ID126" i="1"/>
  <c r="HY126" i="1"/>
  <c r="HW126" i="1"/>
  <c r="HU126" i="1"/>
  <c r="HQ126" i="1"/>
  <c r="AS123" i="1"/>
  <c r="AT123" i="1" s="1"/>
  <c r="EF112" i="1" l="1"/>
  <c r="EE112" i="1"/>
  <c r="EK112" i="1"/>
  <c r="EN112" i="1" s="1"/>
  <c r="CB122" i="1"/>
  <c r="CG122" i="1" s="1"/>
  <c r="CC122" i="1"/>
  <c r="CE122" i="1"/>
  <c r="FQ106" i="1"/>
  <c r="FR106" i="1"/>
  <c r="EP110" i="1"/>
  <c r="EQ110" i="1"/>
  <c r="EZ110" i="1" s="1"/>
  <c r="FC110" i="1" s="1"/>
  <c r="GH104" i="1"/>
  <c r="FL108" i="1"/>
  <c r="FO108" i="1"/>
  <c r="FE108" i="1"/>
  <c r="HB108" i="1"/>
  <c r="HF108" i="1" s="1"/>
  <c r="HG108" i="1" s="1"/>
  <c r="EX108" i="1"/>
  <c r="EW108" i="1"/>
  <c r="FD108" i="1"/>
  <c r="FV108" i="1" s="1"/>
  <c r="GC106" i="1"/>
  <c r="GO106" i="1"/>
  <c r="GB106" i="1"/>
  <c r="HC100" i="1"/>
  <c r="GI104" i="1"/>
  <c r="GG104" i="1"/>
  <c r="GE104" i="1"/>
  <c r="GF104" i="1" s="1"/>
  <c r="HL128" i="1"/>
  <c r="HK128" i="1"/>
  <c r="HS129" i="1" s="1"/>
  <c r="HN127" i="1"/>
  <c r="IE127" i="1"/>
  <c r="IC127" i="1"/>
  <c r="HQ127" i="1"/>
  <c r="HR127" i="1"/>
  <c r="HV127" i="1"/>
  <c r="IB127" i="1"/>
  <c r="ID127" i="1"/>
  <c r="HW127" i="1"/>
  <c r="HU127" i="1"/>
  <c r="IA127" i="1"/>
  <c r="HT127" i="1"/>
  <c r="HY127" i="1"/>
  <c r="HM127" i="1"/>
  <c r="HZ127" i="1"/>
  <c r="HX127" i="1"/>
  <c r="AS124" i="1"/>
  <c r="AT124" i="1" s="1"/>
  <c r="BB124" i="1" s="1"/>
  <c r="BE124" i="1" s="1"/>
  <c r="EM112" i="1" l="1"/>
  <c r="EP112" i="1" s="1"/>
  <c r="EO112" i="1"/>
  <c r="ER112" i="1" s="1"/>
  <c r="FS106" i="1"/>
  <c r="CJ122" i="1"/>
  <c r="CM122" i="1" s="1"/>
  <c r="CA124" i="1"/>
  <c r="BX124" i="1"/>
  <c r="BU124" i="1"/>
  <c r="FT106" i="1"/>
  <c r="CK122" i="1"/>
  <c r="CF122" i="1"/>
  <c r="CL122" i="1" s="1"/>
  <c r="CH122" i="1"/>
  <c r="GS104" i="1"/>
  <c r="GT104" i="1" s="1"/>
  <c r="IC16" i="1" s="1"/>
  <c r="GY104" i="1"/>
  <c r="FH108" i="1"/>
  <c r="FY110" i="1"/>
  <c r="HE110" i="1" s="1"/>
  <c r="FF110" i="1"/>
  <c r="FI110" i="1" s="1"/>
  <c r="EV110" i="1"/>
  <c r="FA110" i="1"/>
  <c r="FB110" i="1"/>
  <c r="FG108" i="1"/>
  <c r="FU108" i="1"/>
  <c r="HH108" i="1"/>
  <c r="GI106" i="1"/>
  <c r="GG106" i="1"/>
  <c r="GE106" i="1"/>
  <c r="GF106" i="1" s="1"/>
  <c r="GH106" i="1"/>
  <c r="HY16" i="1"/>
  <c r="IA16" i="1"/>
  <c r="HL129" i="1"/>
  <c r="HK129" i="1"/>
  <c r="HS130" i="1" s="1"/>
  <c r="HN128" i="1"/>
  <c r="HU128" i="1"/>
  <c r="HQ128" i="1"/>
  <c r="IC128" i="1"/>
  <c r="HV128" i="1"/>
  <c r="HM128" i="1"/>
  <c r="HW128" i="1"/>
  <c r="HT128" i="1"/>
  <c r="HY128" i="1"/>
  <c r="HX128" i="1"/>
  <c r="IA128" i="1"/>
  <c r="HZ128" i="1"/>
  <c r="IB128" i="1"/>
  <c r="IE128" i="1"/>
  <c r="HR128" i="1"/>
  <c r="ID128" i="1"/>
  <c r="AS125" i="1"/>
  <c r="AT125" i="1" s="1"/>
  <c r="GZ104" i="1" l="1"/>
  <c r="IE16" i="1" s="1"/>
  <c r="EQ112" i="1"/>
  <c r="EZ112" i="1" s="1"/>
  <c r="FC112" i="1" s="1"/>
  <c r="CE124" i="1"/>
  <c r="CB124" i="1"/>
  <c r="CG124" i="1" s="1"/>
  <c r="CC124" i="1"/>
  <c r="HA104" i="1"/>
  <c r="HC104" i="1" s="1"/>
  <c r="CN122" i="1"/>
  <c r="CQ122" i="1" s="1"/>
  <c r="CR122" i="1"/>
  <c r="FY112" i="1"/>
  <c r="HE112" i="1" s="1"/>
  <c r="FF112" i="1"/>
  <c r="FI112" i="1" s="1"/>
  <c r="EV112" i="1"/>
  <c r="FA112" i="1"/>
  <c r="FB112" i="1"/>
  <c r="GR104" i="1"/>
  <c r="FL110" i="1"/>
  <c r="FO110" i="1"/>
  <c r="EX110" i="1"/>
  <c r="HB110" i="1"/>
  <c r="HF110" i="1" s="1"/>
  <c r="HH110" i="1" s="1"/>
  <c r="EW110" i="1"/>
  <c r="FE110" i="1"/>
  <c r="FD110" i="1"/>
  <c r="FV110" i="1" s="1"/>
  <c r="FM108" i="1"/>
  <c r="FN108" i="1" s="1"/>
  <c r="FJ108" i="1"/>
  <c r="GQ108" i="1" s="1"/>
  <c r="HQ18" i="1" s="1"/>
  <c r="FW108" i="1"/>
  <c r="FX108" i="1" s="1"/>
  <c r="FZ108" i="1" s="1"/>
  <c r="GY106" i="1"/>
  <c r="GS106" i="1"/>
  <c r="HL130" i="1"/>
  <c r="HK130" i="1"/>
  <c r="HS131" i="1" s="1"/>
  <c r="HN129" i="1"/>
  <c r="HZ129" i="1"/>
  <c r="HM129" i="1"/>
  <c r="HY129" i="1"/>
  <c r="ID129" i="1"/>
  <c r="HX129" i="1"/>
  <c r="IE129" i="1"/>
  <c r="IA129" i="1"/>
  <c r="HU129" i="1"/>
  <c r="HQ129" i="1"/>
  <c r="IC129" i="1"/>
  <c r="HV129" i="1"/>
  <c r="HW129" i="1"/>
  <c r="HT129" i="1"/>
  <c r="HR129" i="1"/>
  <c r="IB129" i="1"/>
  <c r="AS126" i="1"/>
  <c r="AT126" i="1" s="1"/>
  <c r="BB126" i="1" s="1"/>
  <c r="BE126" i="1" s="1"/>
  <c r="IB16" i="1" l="1"/>
  <c r="HD104" i="1"/>
  <c r="BX126" i="1"/>
  <c r="BU126" i="1"/>
  <c r="CA126" i="1"/>
  <c r="CF124" i="1"/>
  <c r="CL124" i="1" s="1"/>
  <c r="CK124" i="1"/>
  <c r="CH124" i="1"/>
  <c r="CJ124" i="1"/>
  <c r="CP122" i="1"/>
  <c r="CS122" i="1" s="1"/>
  <c r="FL112" i="1"/>
  <c r="FO112" i="1"/>
  <c r="FE112" i="1"/>
  <c r="EW112" i="1"/>
  <c r="EX112" i="1"/>
  <c r="HB112" i="1"/>
  <c r="HF112" i="1" s="1"/>
  <c r="HG112" i="1" s="1"/>
  <c r="FD112" i="1"/>
  <c r="FV112" i="1" s="1"/>
  <c r="HG110" i="1"/>
  <c r="FG110" i="1"/>
  <c r="FU110" i="1"/>
  <c r="FH110" i="1"/>
  <c r="GD108" i="1"/>
  <c r="GA108" i="1"/>
  <c r="GP108" i="1"/>
  <c r="HR18" i="1" s="1"/>
  <c r="FP108" i="1"/>
  <c r="FR108" i="1"/>
  <c r="FQ108" i="1"/>
  <c r="GT106" i="1"/>
  <c r="GR106" i="1"/>
  <c r="HA106" i="1"/>
  <c r="GZ106" i="1"/>
  <c r="HL131" i="1"/>
  <c r="HK131" i="1"/>
  <c r="HS132" i="1" s="1"/>
  <c r="HN130" i="1"/>
  <c r="ID130" i="1"/>
  <c r="HQ130" i="1"/>
  <c r="IB130" i="1"/>
  <c r="HU130" i="1"/>
  <c r="IE130" i="1"/>
  <c r="IA130" i="1"/>
  <c r="HW130" i="1"/>
  <c r="HZ130" i="1"/>
  <c r="IC130" i="1"/>
  <c r="HY130" i="1"/>
  <c r="HT130" i="1"/>
  <c r="HM130" i="1"/>
  <c r="HV130" i="1"/>
  <c r="HX130" i="1"/>
  <c r="HR130" i="1"/>
  <c r="AS127" i="1"/>
  <c r="AT127" i="1" s="1"/>
  <c r="CB126" i="1" l="1"/>
  <c r="CG126" i="1" s="1"/>
  <c r="CE126" i="1"/>
  <c r="CC126" i="1"/>
  <c r="CR124" i="1"/>
  <c r="CM124" i="1"/>
  <c r="CN124" i="1"/>
  <c r="CU122" i="1"/>
  <c r="CT122" i="1"/>
  <c r="FH112" i="1"/>
  <c r="HH112" i="1"/>
  <c r="FG112" i="1"/>
  <c r="FU112" i="1"/>
  <c r="FM110" i="1"/>
  <c r="FN110" i="1" s="1"/>
  <c r="FJ110" i="1"/>
  <c r="GQ110" i="1" s="1"/>
  <c r="FW110" i="1"/>
  <c r="FX110" i="1" s="1"/>
  <c r="FZ110" i="1" s="1"/>
  <c r="FS108" i="1"/>
  <c r="FT108" i="1"/>
  <c r="GC108" i="1"/>
  <c r="GB108" i="1"/>
  <c r="GO108" i="1"/>
  <c r="HM18" i="1" s="1"/>
  <c r="HD106" i="1"/>
  <c r="HC106" i="1"/>
  <c r="HL132" i="1"/>
  <c r="HK132" i="1"/>
  <c r="HS133" i="1" s="1"/>
  <c r="HN131" i="1"/>
  <c r="HT131" i="1"/>
  <c r="HM131" i="1"/>
  <c r="IB131" i="1"/>
  <c r="HZ131" i="1"/>
  <c r="HU131" i="1"/>
  <c r="IC131" i="1"/>
  <c r="HX131" i="1"/>
  <c r="HW131" i="1"/>
  <c r="IA131" i="1"/>
  <c r="HV131" i="1"/>
  <c r="HY131" i="1"/>
  <c r="IE131" i="1"/>
  <c r="ID131" i="1"/>
  <c r="HQ131" i="1"/>
  <c r="HR131" i="1"/>
  <c r="AS128" i="1"/>
  <c r="AT128" i="1" s="1"/>
  <c r="BB128" i="1" s="1"/>
  <c r="BE128" i="1" s="1"/>
  <c r="BU128" i="1" l="1"/>
  <c r="CA128" i="1"/>
  <c r="BX128" i="1"/>
  <c r="CQ124" i="1"/>
  <c r="CJ126" i="1"/>
  <c r="CM126" i="1" s="1"/>
  <c r="CF126" i="1"/>
  <c r="CL126" i="1" s="1"/>
  <c r="CK126" i="1"/>
  <c r="CH126" i="1"/>
  <c r="CP124" i="1"/>
  <c r="CV122" i="1"/>
  <c r="CW122" i="1"/>
  <c r="CX122" i="1"/>
  <c r="CY122" i="1"/>
  <c r="CZ122" i="1"/>
  <c r="DA122" i="1"/>
  <c r="GI108" i="1"/>
  <c r="FM112" i="1"/>
  <c r="FN112" i="1" s="1"/>
  <c r="FW112" i="1"/>
  <c r="FX112" i="1" s="1"/>
  <c r="FZ112" i="1" s="1"/>
  <c r="FJ112" i="1"/>
  <c r="GQ112" i="1" s="1"/>
  <c r="HQ26" i="1" s="1"/>
  <c r="GD110" i="1"/>
  <c r="GP110" i="1"/>
  <c r="GA110" i="1"/>
  <c r="FQ110" i="1"/>
  <c r="FR110" i="1"/>
  <c r="FP110" i="1"/>
  <c r="GE108" i="1"/>
  <c r="GF108" i="1" s="1"/>
  <c r="GG108" i="1"/>
  <c r="GH108" i="1"/>
  <c r="HL133" i="1"/>
  <c r="HK133" i="1"/>
  <c r="HS134" i="1" s="1"/>
  <c r="HN132" i="1"/>
  <c r="HY132" i="1"/>
  <c r="HU132" i="1"/>
  <c r="HX132" i="1"/>
  <c r="ID132" i="1"/>
  <c r="HR132" i="1"/>
  <c r="HM132" i="1"/>
  <c r="IC132" i="1"/>
  <c r="IE132" i="1"/>
  <c r="HT132" i="1"/>
  <c r="HV132" i="1"/>
  <c r="HZ132" i="1"/>
  <c r="HW132" i="1"/>
  <c r="IB132" i="1"/>
  <c r="IA132" i="1"/>
  <c r="HQ132" i="1"/>
  <c r="AS129" i="1"/>
  <c r="AT129" i="1" s="1"/>
  <c r="HQ24" i="1" l="1"/>
  <c r="CR126" i="1"/>
  <c r="CB128" i="1"/>
  <c r="CG128" i="1" s="1"/>
  <c r="CE128" i="1"/>
  <c r="CC128" i="1"/>
  <c r="CS124" i="1"/>
  <c r="CT124" i="1" s="1"/>
  <c r="HQ22" i="1"/>
  <c r="CN126" i="1"/>
  <c r="CQ126" i="1" s="1"/>
  <c r="DQ122" i="1"/>
  <c r="DN122" i="1"/>
  <c r="HQ20" i="1"/>
  <c r="DP122" i="1"/>
  <c r="DM122" i="1"/>
  <c r="DO122" i="1"/>
  <c r="DL122" i="1"/>
  <c r="GA112" i="1"/>
  <c r="GD112" i="1"/>
  <c r="GP112" i="1"/>
  <c r="HR26" i="1" s="1"/>
  <c r="FR112" i="1"/>
  <c r="FP112" i="1"/>
  <c r="FQ112" i="1"/>
  <c r="FT110" i="1"/>
  <c r="GC110" i="1"/>
  <c r="GO110" i="1"/>
  <c r="GB110" i="1"/>
  <c r="FS110" i="1"/>
  <c r="GS108" i="1"/>
  <c r="GY108" i="1"/>
  <c r="HL134" i="1"/>
  <c r="HK134" i="1"/>
  <c r="HS135" i="1" s="1"/>
  <c r="HN133" i="1"/>
  <c r="ID133" i="1"/>
  <c r="HM133" i="1"/>
  <c r="HU133" i="1"/>
  <c r="HZ133" i="1"/>
  <c r="IC133" i="1"/>
  <c r="HT133" i="1"/>
  <c r="IB133" i="1"/>
  <c r="HV133" i="1"/>
  <c r="HY133" i="1"/>
  <c r="IA133" i="1"/>
  <c r="HR133" i="1"/>
  <c r="HX133" i="1"/>
  <c r="IE133" i="1"/>
  <c r="HW133" i="1"/>
  <c r="HQ133" i="1"/>
  <c r="AS130" i="1"/>
  <c r="AT130" i="1" s="1"/>
  <c r="BB130" i="1" s="1"/>
  <c r="BE130" i="1" s="1"/>
  <c r="BU130" i="1" l="1"/>
  <c r="BX130" i="1"/>
  <c r="CA130" i="1"/>
  <c r="HR24" i="1"/>
  <c r="CU124" i="1"/>
  <c r="CZ124" i="1" s="1"/>
  <c r="CF128" i="1"/>
  <c r="CL128" i="1" s="1"/>
  <c r="CH128" i="1"/>
  <c r="CK128" i="1"/>
  <c r="CJ128" i="1"/>
  <c r="CP126" i="1"/>
  <c r="CS126" i="1" s="1"/>
  <c r="CU126" i="1" s="1"/>
  <c r="HR22" i="1"/>
  <c r="DA124" i="1"/>
  <c r="CV124" i="1"/>
  <c r="CX124" i="1"/>
  <c r="CW124" i="1"/>
  <c r="HR20" i="1"/>
  <c r="DV122" i="1"/>
  <c r="DW122" i="1"/>
  <c r="DX122" i="1" s="1"/>
  <c r="DR122" i="1"/>
  <c r="DU122" i="1"/>
  <c r="DS122" i="1"/>
  <c r="FS112" i="1"/>
  <c r="GB112" i="1"/>
  <c r="GC112" i="1"/>
  <c r="GO112" i="1"/>
  <c r="HM26" i="1" s="1"/>
  <c r="FT112" i="1"/>
  <c r="GI110" i="1"/>
  <c r="GE110" i="1"/>
  <c r="GF110" i="1" s="1"/>
  <c r="GG110" i="1"/>
  <c r="GH110" i="1"/>
  <c r="GZ108" i="1"/>
  <c r="IE18" i="1" s="1"/>
  <c r="IA18" i="1"/>
  <c r="GT108" i="1"/>
  <c r="IC18" i="1" s="1"/>
  <c r="GR108" i="1"/>
  <c r="IB18" i="1" s="1"/>
  <c r="HY18" i="1"/>
  <c r="HA108" i="1"/>
  <c r="HL135" i="1"/>
  <c r="HK135" i="1"/>
  <c r="HS136" i="1" s="1"/>
  <c r="HN134" i="1"/>
  <c r="HT134" i="1"/>
  <c r="HM134" i="1"/>
  <c r="IB134" i="1"/>
  <c r="HX134" i="1"/>
  <c r="HR134" i="1"/>
  <c r="IC134" i="1"/>
  <c r="IE134" i="1"/>
  <c r="IA134" i="1"/>
  <c r="HV134" i="1"/>
  <c r="HZ134" i="1"/>
  <c r="ID134" i="1"/>
  <c r="HY134" i="1"/>
  <c r="HW134" i="1"/>
  <c r="HU134" i="1"/>
  <c r="HQ134" i="1"/>
  <c r="AS131" i="1"/>
  <c r="AT131" i="1" s="1"/>
  <c r="CY124" i="1" l="1"/>
  <c r="DO124" i="1" s="1"/>
  <c r="HM24" i="1"/>
  <c r="CB130" i="1"/>
  <c r="CG130" i="1" s="1"/>
  <c r="CE130" i="1"/>
  <c r="CC130" i="1"/>
  <c r="CM128" i="1"/>
  <c r="CR128" i="1"/>
  <c r="CN128" i="1"/>
  <c r="HM22" i="1"/>
  <c r="CT126" i="1"/>
  <c r="CY126" i="1"/>
  <c r="CZ126" i="1"/>
  <c r="DA126" i="1"/>
  <c r="DM124" i="1"/>
  <c r="DN124" i="1"/>
  <c r="DL124" i="1"/>
  <c r="DP124" i="1"/>
  <c r="DQ124" i="1"/>
  <c r="EA122" i="1"/>
  <c r="GH112" i="1"/>
  <c r="DY122" i="1"/>
  <c r="GI112" i="1"/>
  <c r="HM20" i="1"/>
  <c r="DZ122" i="1"/>
  <c r="GE112" i="1"/>
  <c r="GF112" i="1" s="1"/>
  <c r="GG112" i="1"/>
  <c r="GY110" i="1"/>
  <c r="GS110" i="1"/>
  <c r="HD108" i="1"/>
  <c r="HC108" i="1"/>
  <c r="HL136" i="1"/>
  <c r="HK136" i="1"/>
  <c r="HS137" i="1" s="1"/>
  <c r="HN135" i="1"/>
  <c r="IE135" i="1"/>
  <c r="HR135" i="1"/>
  <c r="HV135" i="1"/>
  <c r="ID135" i="1"/>
  <c r="HW135" i="1"/>
  <c r="HY135" i="1"/>
  <c r="HX135" i="1"/>
  <c r="IC135" i="1"/>
  <c r="IB135" i="1"/>
  <c r="HT135" i="1"/>
  <c r="HU135" i="1"/>
  <c r="IA135" i="1"/>
  <c r="HQ135" i="1"/>
  <c r="HM135" i="1"/>
  <c r="HZ135" i="1"/>
  <c r="AS132" i="1"/>
  <c r="AT132" i="1" s="1"/>
  <c r="BB132" i="1" s="1"/>
  <c r="BE132" i="1" s="1"/>
  <c r="CP128" i="1" l="1"/>
  <c r="BU132" i="1"/>
  <c r="CA132" i="1"/>
  <c r="BX132" i="1"/>
  <c r="CQ128" i="1"/>
  <c r="CS128" i="1" s="1"/>
  <c r="CT128" i="1" s="1"/>
  <c r="CJ130" i="1"/>
  <c r="CM130" i="1" s="1"/>
  <c r="CF130" i="1"/>
  <c r="CL130" i="1" s="1"/>
  <c r="CK130" i="1"/>
  <c r="CH130" i="1"/>
  <c r="GY112" i="1"/>
  <c r="CV126" i="1"/>
  <c r="CW126" i="1"/>
  <c r="CX126" i="1"/>
  <c r="GS112" i="1"/>
  <c r="HY26" i="1" s="1"/>
  <c r="IA22" i="1"/>
  <c r="DV124" i="1"/>
  <c r="DW124" i="1"/>
  <c r="DX124" i="1" s="1"/>
  <c r="DR124" i="1"/>
  <c r="HY22" i="1"/>
  <c r="DS124" i="1"/>
  <c r="DU124" i="1"/>
  <c r="EC122" i="1"/>
  <c r="EB122" i="1"/>
  <c r="ED122" i="1"/>
  <c r="HY20" i="1"/>
  <c r="IA20" i="1"/>
  <c r="GT110" i="1"/>
  <c r="GR110" i="1"/>
  <c r="HA110" i="1"/>
  <c r="GZ110" i="1"/>
  <c r="HL137" i="1"/>
  <c r="HK137" i="1"/>
  <c r="HS138" i="1" s="1"/>
  <c r="HN136" i="1"/>
  <c r="HU136" i="1"/>
  <c r="HQ136" i="1"/>
  <c r="HM136" i="1"/>
  <c r="IC136" i="1"/>
  <c r="HW136" i="1"/>
  <c r="HT136" i="1"/>
  <c r="IB136" i="1"/>
  <c r="HV136" i="1"/>
  <c r="HY136" i="1"/>
  <c r="HR136" i="1"/>
  <c r="HX136" i="1"/>
  <c r="IA136" i="1"/>
  <c r="ID136" i="1"/>
  <c r="IE136" i="1"/>
  <c r="HZ136" i="1"/>
  <c r="AS133" i="1"/>
  <c r="AT133" i="1" s="1"/>
  <c r="CR130" i="1" l="1"/>
  <c r="IA26" i="1"/>
  <c r="CB132" i="1"/>
  <c r="CG132" i="1" s="1"/>
  <c r="CC132" i="1"/>
  <c r="CE132" i="1"/>
  <c r="GZ112" i="1"/>
  <c r="IE26" i="1" s="1"/>
  <c r="CU128" i="1"/>
  <c r="CZ128" i="1" s="1"/>
  <c r="HA112" i="1"/>
  <c r="HD112" i="1" s="1"/>
  <c r="CN130" i="1"/>
  <c r="CP130" i="1" s="1"/>
  <c r="IE24" i="1"/>
  <c r="HY24" i="1"/>
  <c r="IA24" i="1"/>
  <c r="CV128" i="1"/>
  <c r="CW128" i="1"/>
  <c r="CX128" i="1"/>
  <c r="GR112" i="1"/>
  <c r="IB26" i="1" s="1"/>
  <c r="IE22" i="1"/>
  <c r="DY124" i="1"/>
  <c r="DN126" i="1"/>
  <c r="IB22" i="1"/>
  <c r="DM126" i="1"/>
  <c r="GT112" i="1"/>
  <c r="IC26" i="1" s="1"/>
  <c r="DL126" i="1"/>
  <c r="DO126" i="1"/>
  <c r="DP126" i="1"/>
  <c r="DQ126" i="1"/>
  <c r="EA124" i="1"/>
  <c r="DZ124" i="1"/>
  <c r="IE20" i="1"/>
  <c r="IB20" i="1"/>
  <c r="IC20" i="1"/>
  <c r="EI122" i="1"/>
  <c r="EL122" i="1"/>
  <c r="EH122" i="1"/>
  <c r="EJ122" i="1"/>
  <c r="EK122" i="1"/>
  <c r="EG122" i="1"/>
  <c r="EE122" i="1"/>
  <c r="EF122" i="1"/>
  <c r="HD110" i="1"/>
  <c r="HC110" i="1"/>
  <c r="HL138" i="1"/>
  <c r="HK138" i="1"/>
  <c r="HS139" i="1" s="1"/>
  <c r="HN137" i="1"/>
  <c r="HZ137" i="1"/>
  <c r="HM137" i="1"/>
  <c r="HY137" i="1"/>
  <c r="HR137" i="1"/>
  <c r="IB137" i="1"/>
  <c r="ID137" i="1"/>
  <c r="HX137" i="1"/>
  <c r="HU137" i="1"/>
  <c r="IC137" i="1"/>
  <c r="HQ137" i="1"/>
  <c r="HV137" i="1"/>
  <c r="IA137" i="1"/>
  <c r="IE137" i="1"/>
  <c r="HT137" i="1"/>
  <c r="HW137" i="1"/>
  <c r="AS134" i="1"/>
  <c r="AT134" i="1" s="1"/>
  <c r="CJ132" i="1" l="1"/>
  <c r="HC112" i="1"/>
  <c r="CY128" i="1"/>
  <c r="DA128" i="1"/>
  <c r="DQ128" i="1" s="1"/>
  <c r="CM132" i="1"/>
  <c r="CH132" i="1"/>
  <c r="CK132" i="1"/>
  <c r="CF132" i="1"/>
  <c r="CL132" i="1" s="1"/>
  <c r="IC24" i="1"/>
  <c r="IB24" i="1"/>
  <c r="CQ130" i="1"/>
  <c r="DL128" i="1"/>
  <c r="DP128" i="1"/>
  <c r="DO128" i="1"/>
  <c r="DN128" i="1"/>
  <c r="DM128" i="1"/>
  <c r="DW126" i="1"/>
  <c r="DX126" i="1" s="1"/>
  <c r="DR126" i="1"/>
  <c r="DV126" i="1"/>
  <c r="IC22" i="1"/>
  <c r="DS126" i="1"/>
  <c r="DU126" i="1"/>
  <c r="EC124" i="1"/>
  <c r="EB124" i="1"/>
  <c r="ED124" i="1"/>
  <c r="EM122" i="1"/>
  <c r="EN122" i="1"/>
  <c r="EO122" i="1"/>
  <c r="ER122" i="1" s="1"/>
  <c r="HL139" i="1"/>
  <c r="HK139" i="1"/>
  <c r="HS140" i="1" s="1"/>
  <c r="HN138" i="1"/>
  <c r="ID138" i="1"/>
  <c r="HQ138" i="1"/>
  <c r="HU138" i="1"/>
  <c r="IA138" i="1"/>
  <c r="HW138" i="1"/>
  <c r="HX138" i="1"/>
  <c r="IE138" i="1"/>
  <c r="HZ138" i="1"/>
  <c r="IC138" i="1"/>
  <c r="HT138" i="1"/>
  <c r="IB138" i="1"/>
  <c r="HY138" i="1"/>
  <c r="HM138" i="1"/>
  <c r="HV138" i="1"/>
  <c r="HR138" i="1"/>
  <c r="AS135" i="1"/>
  <c r="AT135" i="1" s="1"/>
  <c r="CN132" i="1" l="1"/>
  <c r="CQ132" i="1" s="1"/>
  <c r="CR132" i="1"/>
  <c r="CS130" i="1"/>
  <c r="CT130" i="1" s="1"/>
  <c r="DU128" i="1"/>
  <c r="DS128" i="1"/>
  <c r="DW128" i="1"/>
  <c r="DX128" i="1" s="1"/>
  <c r="DV128" i="1"/>
  <c r="DR128" i="1"/>
  <c r="DY126" i="1"/>
  <c r="DZ126" i="1"/>
  <c r="EA126" i="1"/>
  <c r="EL124" i="1"/>
  <c r="EJ124" i="1"/>
  <c r="EH124" i="1"/>
  <c r="EI124" i="1"/>
  <c r="EK124" i="1"/>
  <c r="EG124" i="1"/>
  <c r="EF124" i="1"/>
  <c r="EE124" i="1"/>
  <c r="EP122" i="1"/>
  <c r="EQ122" i="1"/>
  <c r="EZ122" i="1" s="1"/>
  <c r="FC122" i="1" s="1"/>
  <c r="HL140" i="1"/>
  <c r="HK140" i="1"/>
  <c r="HS141" i="1" s="1"/>
  <c r="HN139" i="1"/>
  <c r="HT139" i="1"/>
  <c r="HM139" i="1"/>
  <c r="HZ139" i="1"/>
  <c r="IB139" i="1"/>
  <c r="HU139" i="1"/>
  <c r="HX139" i="1"/>
  <c r="HW139" i="1"/>
  <c r="IA139" i="1"/>
  <c r="HR139" i="1"/>
  <c r="IE139" i="1"/>
  <c r="HQ139" i="1"/>
  <c r="HY139" i="1"/>
  <c r="HV139" i="1"/>
  <c r="ID139" i="1"/>
  <c r="IC139" i="1"/>
  <c r="AS136" i="1"/>
  <c r="AT136" i="1" s="1"/>
  <c r="CP132" i="1" l="1"/>
  <c r="CS132" i="1" s="1"/>
  <c r="DY128" i="1"/>
  <c r="CU130" i="1"/>
  <c r="CW130" i="1"/>
  <c r="CV130" i="1"/>
  <c r="CX130" i="1"/>
  <c r="DZ128" i="1"/>
  <c r="EA128" i="1"/>
  <c r="ED126" i="1"/>
  <c r="EL126" i="1" s="1"/>
  <c r="EB126" i="1"/>
  <c r="EC126" i="1"/>
  <c r="EO124" i="1"/>
  <c r="ER124" i="1" s="1"/>
  <c r="EN124" i="1"/>
  <c r="EM124" i="1"/>
  <c r="FF122" i="1"/>
  <c r="FI122" i="1" s="1"/>
  <c r="FY122" i="1"/>
  <c r="HE122" i="1" s="1"/>
  <c r="FA122" i="1"/>
  <c r="EV122" i="1"/>
  <c r="FB122" i="1"/>
  <c r="HL141" i="1"/>
  <c r="HK141" i="1"/>
  <c r="HS142" i="1" s="1"/>
  <c r="HN140" i="1"/>
  <c r="HY140" i="1"/>
  <c r="HU140" i="1"/>
  <c r="HX140" i="1"/>
  <c r="HT140" i="1"/>
  <c r="HV140" i="1"/>
  <c r="ID140" i="1"/>
  <c r="HQ140" i="1"/>
  <c r="HR140" i="1"/>
  <c r="IC140" i="1"/>
  <c r="IE140" i="1"/>
  <c r="IB140" i="1"/>
  <c r="HZ140" i="1"/>
  <c r="HW140" i="1"/>
  <c r="HM140" i="1"/>
  <c r="IA140" i="1"/>
  <c r="AS137" i="1"/>
  <c r="AT137" i="1" s="1"/>
  <c r="CU132" i="1" l="1"/>
  <c r="CT132" i="1"/>
  <c r="EC128" i="1"/>
  <c r="EF128" i="1" s="1"/>
  <c r="ED128" i="1"/>
  <c r="EL128" i="1" s="1"/>
  <c r="EB128" i="1"/>
  <c r="DN130" i="1"/>
  <c r="DL130" i="1"/>
  <c r="DM130" i="1"/>
  <c r="CY130" i="1"/>
  <c r="DO130" i="1" s="1"/>
  <c r="CZ130" i="1"/>
  <c r="DP130" i="1" s="1"/>
  <c r="DA130" i="1"/>
  <c r="DQ130" i="1" s="1"/>
  <c r="EJ126" i="1"/>
  <c r="EH126" i="1"/>
  <c r="EI126" i="1"/>
  <c r="EI128" i="1"/>
  <c r="EK126" i="1"/>
  <c r="EE126" i="1"/>
  <c r="EF126" i="1"/>
  <c r="EG126" i="1"/>
  <c r="EP124" i="1"/>
  <c r="EQ124" i="1"/>
  <c r="EZ124" i="1" s="1"/>
  <c r="FC124" i="1" s="1"/>
  <c r="FE122" i="1"/>
  <c r="FD122" i="1"/>
  <c r="FV122" i="1" s="1"/>
  <c r="EW122" i="1"/>
  <c r="HB122" i="1"/>
  <c r="HF122" i="1" s="1"/>
  <c r="HG122" i="1" s="1"/>
  <c r="EX122" i="1"/>
  <c r="FL122" i="1"/>
  <c r="FO122" i="1"/>
  <c r="HL142" i="1"/>
  <c r="HK142" i="1"/>
  <c r="HS143" i="1" s="1"/>
  <c r="HN141" i="1"/>
  <c r="ID141" i="1"/>
  <c r="HR141" i="1"/>
  <c r="HU141" i="1"/>
  <c r="IE141" i="1"/>
  <c r="HZ141" i="1"/>
  <c r="IC141" i="1"/>
  <c r="HY141" i="1"/>
  <c r="IA141" i="1"/>
  <c r="HV141" i="1"/>
  <c r="HT141" i="1"/>
  <c r="HX141" i="1"/>
  <c r="IB141" i="1"/>
  <c r="HQ141" i="1"/>
  <c r="HW141" i="1"/>
  <c r="HM141" i="1"/>
  <c r="AS138" i="1"/>
  <c r="EJ128" i="1" l="1"/>
  <c r="EG128" i="1"/>
  <c r="EK128" i="1"/>
  <c r="EO128" i="1" s="1"/>
  <c r="ER128" i="1" s="1"/>
  <c r="CV132" i="1"/>
  <c r="CW132" i="1"/>
  <c r="CX132" i="1"/>
  <c r="EH128" i="1"/>
  <c r="CY132" i="1"/>
  <c r="CZ132" i="1"/>
  <c r="DA132" i="1"/>
  <c r="EE128" i="1"/>
  <c r="DW130" i="1"/>
  <c r="DX130" i="1" s="1"/>
  <c r="DR130" i="1"/>
  <c r="DV130" i="1"/>
  <c r="DS130" i="1"/>
  <c r="DU130" i="1"/>
  <c r="FH122" i="1"/>
  <c r="EM126" i="1"/>
  <c r="EN126" i="1"/>
  <c r="EO126" i="1"/>
  <c r="ER126" i="1" s="1"/>
  <c r="HH122" i="1"/>
  <c r="FF124" i="1"/>
  <c r="FI124" i="1" s="1"/>
  <c r="FY124" i="1"/>
  <c r="HE124" i="1" s="1"/>
  <c r="FA124" i="1"/>
  <c r="EV124" i="1"/>
  <c r="FB124" i="1"/>
  <c r="FU122" i="1"/>
  <c r="FG122" i="1"/>
  <c r="AT138" i="1"/>
  <c r="AS139" i="1"/>
  <c r="HL143" i="1"/>
  <c r="HK143" i="1"/>
  <c r="HS144" i="1" s="1"/>
  <c r="HN142" i="1"/>
  <c r="HT142" i="1"/>
  <c r="HM142" i="1"/>
  <c r="IB142" i="1"/>
  <c r="HX142" i="1"/>
  <c r="IC142" i="1"/>
  <c r="HR142" i="1"/>
  <c r="IE142" i="1"/>
  <c r="IA142" i="1"/>
  <c r="HY142" i="1"/>
  <c r="HW142" i="1"/>
  <c r="HV142" i="1"/>
  <c r="HZ142" i="1"/>
  <c r="ID142" i="1"/>
  <c r="HQ142" i="1"/>
  <c r="HU142" i="1"/>
  <c r="EN128" i="1" l="1"/>
  <c r="EM128" i="1"/>
  <c r="DQ132" i="1"/>
  <c r="DN132" i="1"/>
  <c r="DP132" i="1"/>
  <c r="DM132" i="1"/>
  <c r="DO132" i="1"/>
  <c r="DL132" i="1"/>
  <c r="DY130" i="1"/>
  <c r="DZ130" i="1"/>
  <c r="EA130" i="1"/>
  <c r="EQ128" i="1"/>
  <c r="EZ128" i="1" s="1"/>
  <c r="FC128" i="1" s="1"/>
  <c r="EP128" i="1"/>
  <c r="EQ126" i="1"/>
  <c r="EZ126" i="1" s="1"/>
  <c r="FC126" i="1" s="1"/>
  <c r="EP126" i="1"/>
  <c r="FE124" i="1"/>
  <c r="FD124" i="1"/>
  <c r="FV124" i="1" s="1"/>
  <c r="HB124" i="1"/>
  <c r="HF124" i="1" s="1"/>
  <c r="HH124" i="1" s="1"/>
  <c r="EX124" i="1"/>
  <c r="EW124" i="1"/>
  <c r="FL124" i="1"/>
  <c r="FO124" i="1"/>
  <c r="FW122" i="1"/>
  <c r="FX122" i="1" s="1"/>
  <c r="FZ122" i="1" s="1"/>
  <c r="FM122" i="1"/>
  <c r="FN122" i="1" s="1"/>
  <c r="FJ122" i="1"/>
  <c r="GQ122" i="1" s="1"/>
  <c r="HQ15" i="1" s="1"/>
  <c r="AT139" i="1"/>
  <c r="AS140" i="1"/>
  <c r="HL144" i="1"/>
  <c r="HK144" i="1"/>
  <c r="HS145" i="1" s="1"/>
  <c r="HN143" i="1"/>
  <c r="IE143" i="1"/>
  <c r="IC143" i="1"/>
  <c r="HV143" i="1"/>
  <c r="HR143" i="1"/>
  <c r="IB143" i="1"/>
  <c r="ID143" i="1"/>
  <c r="HW143" i="1"/>
  <c r="HU143" i="1"/>
  <c r="HT143" i="1"/>
  <c r="HX143" i="1"/>
  <c r="IA143" i="1"/>
  <c r="HZ143" i="1"/>
  <c r="HQ143" i="1"/>
  <c r="HM143" i="1"/>
  <c r="HY143" i="1"/>
  <c r="DW132" i="1" l="1"/>
  <c r="DX132" i="1" s="1"/>
  <c r="DV132" i="1"/>
  <c r="DR132" i="1"/>
  <c r="DS132" i="1"/>
  <c r="DU132" i="1"/>
  <c r="EB130" i="1"/>
  <c r="EC130" i="1"/>
  <c r="ED130" i="1"/>
  <c r="EV128" i="1"/>
  <c r="FA128" i="1"/>
  <c r="FB128" i="1"/>
  <c r="FH124" i="1"/>
  <c r="FF128" i="1"/>
  <c r="FI128" i="1" s="1"/>
  <c r="FY128" i="1"/>
  <c r="HE128" i="1" s="1"/>
  <c r="HG124" i="1"/>
  <c r="EV126" i="1"/>
  <c r="FA126" i="1"/>
  <c r="FB126" i="1"/>
  <c r="FY126" i="1"/>
  <c r="HE126" i="1" s="1"/>
  <c r="FF126" i="1"/>
  <c r="FI126" i="1" s="1"/>
  <c r="FG124" i="1"/>
  <c r="FU124" i="1"/>
  <c r="FP122" i="1"/>
  <c r="FQ122" i="1"/>
  <c r="FR122" i="1"/>
  <c r="GD122" i="1"/>
  <c r="GA122" i="1"/>
  <c r="GP122" i="1"/>
  <c r="HR15" i="1" s="1"/>
  <c r="AT140" i="1"/>
  <c r="AS141" i="1"/>
  <c r="HL145" i="1"/>
  <c r="HK145" i="1"/>
  <c r="HS146" i="1" s="1"/>
  <c r="HN144" i="1"/>
  <c r="HU144" i="1"/>
  <c r="HQ144" i="1"/>
  <c r="IC144" i="1"/>
  <c r="HM144" i="1"/>
  <c r="ID144" i="1"/>
  <c r="HW144" i="1"/>
  <c r="HT144" i="1"/>
  <c r="HZ144" i="1"/>
  <c r="HY144" i="1"/>
  <c r="IB144" i="1"/>
  <c r="IA144" i="1"/>
  <c r="HX144" i="1"/>
  <c r="HR144" i="1"/>
  <c r="IE144" i="1"/>
  <c r="HV144" i="1"/>
  <c r="DY132" i="1" l="1"/>
  <c r="DZ132" i="1"/>
  <c r="EA132" i="1"/>
  <c r="EL130" i="1"/>
  <c r="EH130" i="1"/>
  <c r="EI130" i="1"/>
  <c r="EJ130" i="1"/>
  <c r="EK130" i="1"/>
  <c r="EE130" i="1"/>
  <c r="EF130" i="1"/>
  <c r="EG130" i="1"/>
  <c r="FL128" i="1"/>
  <c r="FO128" i="1"/>
  <c r="FD128" i="1"/>
  <c r="FV128" i="1" s="1"/>
  <c r="EX128" i="1"/>
  <c r="FE128" i="1"/>
  <c r="HB128" i="1"/>
  <c r="HF128" i="1" s="1"/>
  <c r="HH128" i="1" s="1"/>
  <c r="EW128" i="1"/>
  <c r="FL126" i="1"/>
  <c r="FO126" i="1"/>
  <c r="HB126" i="1"/>
  <c r="HF126" i="1" s="1"/>
  <c r="HH126" i="1" s="1"/>
  <c r="EW126" i="1"/>
  <c r="EX126" i="1"/>
  <c r="FE126" i="1"/>
  <c r="FD126" i="1"/>
  <c r="FV126" i="1" s="1"/>
  <c r="FT122" i="1"/>
  <c r="FJ124" i="1"/>
  <c r="GQ124" i="1" s="1"/>
  <c r="HQ17" i="1" s="1"/>
  <c r="FM124" i="1"/>
  <c r="FN124" i="1" s="1"/>
  <c r="FW124" i="1"/>
  <c r="FX124" i="1" s="1"/>
  <c r="FZ124" i="1" s="1"/>
  <c r="FS122" i="1"/>
  <c r="GO122" i="1"/>
  <c r="HM15" i="1" s="1"/>
  <c r="GB122" i="1"/>
  <c r="GC122" i="1"/>
  <c r="AT141" i="1"/>
  <c r="AS142" i="1"/>
  <c r="HL146" i="1"/>
  <c r="HK146" i="1"/>
  <c r="HS147" i="1" s="1"/>
  <c r="HN145" i="1"/>
  <c r="HZ145" i="1"/>
  <c r="HV145" i="1"/>
  <c r="HY145" i="1"/>
  <c r="HR145" i="1"/>
  <c r="HQ145" i="1"/>
  <c r="IE145" i="1"/>
  <c r="HM145" i="1"/>
  <c r="ID145" i="1"/>
  <c r="HX145" i="1"/>
  <c r="IC145" i="1"/>
  <c r="HU145" i="1"/>
  <c r="HW145" i="1"/>
  <c r="IB145" i="1"/>
  <c r="HT145" i="1"/>
  <c r="IA145" i="1"/>
  <c r="ED132" i="1" l="1"/>
  <c r="EC132" i="1"/>
  <c r="EB132" i="1"/>
  <c r="EM130" i="1"/>
  <c r="EO130" i="1"/>
  <c r="ER130" i="1" s="1"/>
  <c r="EN130" i="1"/>
  <c r="FU128" i="1"/>
  <c r="FG128" i="1"/>
  <c r="FH128" i="1"/>
  <c r="HG128" i="1"/>
  <c r="FH126" i="1"/>
  <c r="FU126" i="1"/>
  <c r="FG126" i="1"/>
  <c r="HG126" i="1"/>
  <c r="GH122" i="1"/>
  <c r="GP124" i="1"/>
  <c r="HR17" i="1" s="1"/>
  <c r="GA124" i="1"/>
  <c r="GD124" i="1"/>
  <c r="FQ124" i="1"/>
  <c r="FR124" i="1"/>
  <c r="FP124" i="1"/>
  <c r="GE122" i="1"/>
  <c r="GF122" i="1" s="1"/>
  <c r="GG122" i="1"/>
  <c r="GI122" i="1"/>
  <c r="GY122" i="1" s="1"/>
  <c r="AT142" i="1"/>
  <c r="AS143" i="1"/>
  <c r="HL147" i="1"/>
  <c r="HK147" i="1"/>
  <c r="HS148" i="1" s="1"/>
  <c r="HN146" i="1"/>
  <c r="ID146" i="1"/>
  <c r="HQ146" i="1"/>
  <c r="HU146" i="1"/>
  <c r="IE146" i="1"/>
  <c r="IA146" i="1"/>
  <c r="HW146" i="1"/>
  <c r="IB146" i="1"/>
  <c r="HR146" i="1"/>
  <c r="HZ146" i="1"/>
  <c r="IC146" i="1"/>
  <c r="HY146" i="1"/>
  <c r="HM146" i="1"/>
  <c r="HT146" i="1"/>
  <c r="HX146" i="1"/>
  <c r="HV146" i="1"/>
  <c r="GS122" i="1" l="1"/>
  <c r="EK132" i="1"/>
  <c r="EG132" i="1"/>
  <c r="EE132" i="1"/>
  <c r="EF132" i="1"/>
  <c r="EL132" i="1"/>
  <c r="EJ132" i="1"/>
  <c r="EH132" i="1"/>
  <c r="EI132" i="1"/>
  <c r="EQ130" i="1"/>
  <c r="EZ130" i="1" s="1"/>
  <c r="FC130" i="1" s="1"/>
  <c r="EP130" i="1"/>
  <c r="FT124" i="1"/>
  <c r="FW128" i="1"/>
  <c r="FX128" i="1" s="1"/>
  <c r="FZ128" i="1" s="1"/>
  <c r="FM128" i="1"/>
  <c r="FN128" i="1" s="1"/>
  <c r="FJ128" i="1"/>
  <c r="GQ128" i="1" s="1"/>
  <c r="HQ21" i="1" s="1"/>
  <c r="FW126" i="1"/>
  <c r="FX126" i="1" s="1"/>
  <c r="FZ126" i="1" s="1"/>
  <c r="FM126" i="1"/>
  <c r="FN126" i="1" s="1"/>
  <c r="FJ126" i="1"/>
  <c r="GQ126" i="1" s="1"/>
  <c r="HQ19" i="1" s="1"/>
  <c r="GC124" i="1"/>
  <c r="GO124" i="1"/>
  <c r="HM17" i="1" s="1"/>
  <c r="GB124" i="1"/>
  <c r="FS124" i="1"/>
  <c r="GZ122" i="1"/>
  <c r="IE15" i="1" s="1"/>
  <c r="IA15" i="1"/>
  <c r="GR122" i="1"/>
  <c r="IB15" i="1" s="1"/>
  <c r="GT122" i="1"/>
  <c r="IC15" i="1" s="1"/>
  <c r="HY15" i="1"/>
  <c r="HA122" i="1"/>
  <c r="AT143" i="1"/>
  <c r="AS144" i="1"/>
  <c r="HL148" i="1"/>
  <c r="HK148" i="1"/>
  <c r="HS149" i="1" s="1"/>
  <c r="HN147" i="1"/>
  <c r="HT147" i="1"/>
  <c r="HM147" i="1"/>
  <c r="IB147" i="1"/>
  <c r="ID147" i="1"/>
  <c r="HX147" i="1"/>
  <c r="HW147" i="1"/>
  <c r="HZ147" i="1"/>
  <c r="HY147" i="1"/>
  <c r="HQ147" i="1"/>
  <c r="IE147" i="1"/>
  <c r="IA147" i="1"/>
  <c r="HU147" i="1"/>
  <c r="HV147" i="1"/>
  <c r="IC147" i="1"/>
  <c r="HR147" i="1"/>
  <c r="IE10" i="1"/>
  <c r="HZ10" i="1"/>
  <c r="HX10" i="1"/>
  <c r="IB10" i="1"/>
  <c r="ID10" i="1"/>
  <c r="HY10" i="1"/>
  <c r="IC10" i="1"/>
  <c r="IA10" i="1"/>
  <c r="HM10" i="1"/>
  <c r="HQ10" i="1"/>
  <c r="HV10" i="1"/>
  <c r="HU10" i="1"/>
  <c r="HR10" i="1"/>
  <c r="HT10" i="1"/>
  <c r="EM132" i="1" l="1"/>
  <c r="EO132" i="1"/>
  <c r="ER132" i="1" s="1"/>
  <c r="EN132" i="1"/>
  <c r="FA130" i="1"/>
  <c r="EV130" i="1"/>
  <c r="FB130" i="1"/>
  <c r="FY130" i="1"/>
  <c r="HE130" i="1" s="1"/>
  <c r="FF130" i="1"/>
  <c r="FI130" i="1" s="1"/>
  <c r="FR128" i="1"/>
  <c r="FP128" i="1"/>
  <c r="FQ128" i="1"/>
  <c r="GI124" i="1"/>
  <c r="GD128" i="1"/>
  <c r="GA128" i="1"/>
  <c r="GP128" i="1"/>
  <c r="HR21" i="1" s="1"/>
  <c r="FP126" i="1"/>
  <c r="FR126" i="1"/>
  <c r="FQ126" i="1"/>
  <c r="GD126" i="1"/>
  <c r="GP126" i="1"/>
  <c r="HR19" i="1" s="1"/>
  <c r="GA126" i="1"/>
  <c r="GE124" i="1"/>
  <c r="GF124" i="1" s="1"/>
  <c r="GG124" i="1"/>
  <c r="GH124" i="1"/>
  <c r="HD122" i="1"/>
  <c r="HC122" i="1"/>
  <c r="AT144" i="1"/>
  <c r="AS145" i="1"/>
  <c r="HL149" i="1"/>
  <c r="HK149" i="1"/>
  <c r="HS150" i="1" s="1"/>
  <c r="HN148" i="1"/>
  <c r="HY148" i="1"/>
  <c r="HM148" i="1"/>
  <c r="HX148" i="1"/>
  <c r="IA148" i="1"/>
  <c r="IC148" i="1"/>
  <c r="IE148" i="1"/>
  <c r="HV148" i="1"/>
  <c r="ID148" i="1"/>
  <c r="HZ148" i="1"/>
  <c r="HW148" i="1"/>
  <c r="HT148" i="1"/>
  <c r="IB148" i="1"/>
  <c r="HR148" i="1"/>
  <c r="HU148" i="1"/>
  <c r="HQ148" i="1"/>
  <c r="EP132" i="1" l="1"/>
  <c r="EQ132" i="1"/>
  <c r="EZ132" i="1" s="1"/>
  <c r="FC132" i="1" s="1"/>
  <c r="FS128" i="1"/>
  <c r="FE130" i="1"/>
  <c r="HB130" i="1"/>
  <c r="HF130" i="1" s="1"/>
  <c r="HH130" i="1" s="1"/>
  <c r="EW130" i="1"/>
  <c r="FD130" i="1"/>
  <c r="FV130" i="1" s="1"/>
  <c r="EX130" i="1"/>
  <c r="FL130" i="1"/>
  <c r="FO130" i="1"/>
  <c r="GC128" i="1"/>
  <c r="GB128" i="1"/>
  <c r="GO128" i="1"/>
  <c r="HM21" i="1" s="1"/>
  <c r="FT128" i="1"/>
  <c r="FS126" i="1"/>
  <c r="FT126" i="1"/>
  <c r="GC126" i="1"/>
  <c r="GO126" i="1"/>
  <c r="HM19" i="1" s="1"/>
  <c r="GB126" i="1"/>
  <c r="GS124" i="1"/>
  <c r="GY124" i="1"/>
  <c r="AT145" i="1"/>
  <c r="AS146" i="1"/>
  <c r="HL150" i="1"/>
  <c r="HK150" i="1"/>
  <c r="HN149" i="1"/>
  <c r="ID149" i="1"/>
  <c r="HM149" i="1"/>
  <c r="HU149" i="1"/>
  <c r="IA149" i="1"/>
  <c r="IE149" i="1"/>
  <c r="HZ149" i="1"/>
  <c r="IC149" i="1"/>
  <c r="HY149" i="1"/>
  <c r="HT149" i="1"/>
  <c r="IB149" i="1"/>
  <c r="HW149" i="1"/>
  <c r="HQ149" i="1"/>
  <c r="HX149" i="1"/>
  <c r="HV149" i="1"/>
  <c r="HR149" i="1"/>
  <c r="FY132" i="1" l="1"/>
  <c r="HE132" i="1" s="1"/>
  <c r="FF132" i="1"/>
  <c r="FI132" i="1" s="1"/>
  <c r="FH130" i="1"/>
  <c r="FB132" i="1"/>
  <c r="EV132" i="1"/>
  <c r="FA132" i="1"/>
  <c r="FU130" i="1"/>
  <c r="FG130" i="1"/>
  <c r="HG130" i="1"/>
  <c r="GG128" i="1"/>
  <c r="GE128" i="1"/>
  <c r="GF128" i="1" s="1"/>
  <c r="GH128" i="1"/>
  <c r="GI128" i="1"/>
  <c r="GH126" i="1"/>
  <c r="GG126" i="1"/>
  <c r="GE126" i="1"/>
  <c r="GF126" i="1" s="1"/>
  <c r="GI126" i="1"/>
  <c r="GZ124" i="1"/>
  <c r="IE17" i="1" s="1"/>
  <c r="IA17" i="1"/>
  <c r="GT124" i="1"/>
  <c r="IC17" i="1" s="1"/>
  <c r="GR124" i="1"/>
  <c r="IB17" i="1" s="1"/>
  <c r="HY17" i="1"/>
  <c r="HA124" i="1"/>
  <c r="AT146" i="1"/>
  <c r="AS147" i="1"/>
  <c r="HN150" i="1"/>
  <c r="HT150" i="1"/>
  <c r="HM150" i="1"/>
  <c r="IB150" i="1"/>
  <c r="IE150" i="1"/>
  <c r="IA150" i="1"/>
  <c r="HV150" i="1"/>
  <c r="HZ150" i="1"/>
  <c r="HZ6" i="1" s="1"/>
  <c r="IC150" i="1"/>
  <c r="ID150" i="1"/>
  <c r="ID6" i="1" s="1"/>
  <c r="HY150" i="1"/>
  <c r="HQ150" i="1"/>
  <c r="HU150" i="1"/>
  <c r="HX150" i="1"/>
  <c r="HX6" i="1" s="1"/>
  <c r="HW150" i="1"/>
  <c r="HW6" i="1" s="1"/>
  <c r="HW4" i="1" s="1"/>
  <c r="HR150" i="1"/>
  <c r="FL132" i="1" l="1"/>
  <c r="FO132" i="1"/>
  <c r="HB132" i="1"/>
  <c r="HF132" i="1" s="1"/>
  <c r="HG132" i="1" s="1"/>
  <c r="HG8" i="1" s="1"/>
  <c r="EW132" i="1"/>
  <c r="EX132" i="1"/>
  <c r="FE132" i="1"/>
  <c r="FD132" i="1"/>
  <c r="FV132" i="1" s="1"/>
  <c r="GY126" i="1"/>
  <c r="GZ126" i="1" s="1"/>
  <c r="IE19" i="1" s="1"/>
  <c r="FM130" i="1"/>
  <c r="FN130" i="1" s="1"/>
  <c r="FJ130" i="1"/>
  <c r="GQ130" i="1" s="1"/>
  <c r="HQ23" i="1" s="1"/>
  <c r="FW130" i="1"/>
  <c r="FX130" i="1" s="1"/>
  <c r="FZ130" i="1" s="1"/>
  <c r="GS126" i="1"/>
  <c r="HA126" i="1" s="1"/>
  <c r="GY128" i="1"/>
  <c r="GS128" i="1"/>
  <c r="IA19" i="1"/>
  <c r="HY19" i="1"/>
  <c r="HD124" i="1"/>
  <c r="HC124" i="1"/>
  <c r="AT147" i="1"/>
  <c r="AS148" i="1"/>
  <c r="HH132" i="1" l="1"/>
  <c r="HH8" i="1" s="1"/>
  <c r="HF8" i="1" s="1"/>
  <c r="FH132" i="1"/>
  <c r="FU132" i="1"/>
  <c r="FG132" i="1"/>
  <c r="GR126" i="1"/>
  <c r="IB19" i="1" s="1"/>
  <c r="GT126" i="1"/>
  <c r="IC19" i="1" s="1"/>
  <c r="GD130" i="1"/>
  <c r="GP130" i="1"/>
  <c r="HR23" i="1" s="1"/>
  <c r="GA130" i="1"/>
  <c r="FP130" i="1"/>
  <c r="FR130" i="1"/>
  <c r="FQ130" i="1"/>
  <c r="GT128" i="1"/>
  <c r="IC21" i="1" s="1"/>
  <c r="GR128" i="1"/>
  <c r="IB21" i="1" s="1"/>
  <c r="HY21" i="1"/>
  <c r="HA128" i="1"/>
  <c r="GZ128" i="1"/>
  <c r="IE21" i="1" s="1"/>
  <c r="IA21" i="1"/>
  <c r="HC126" i="1"/>
  <c r="HD126" i="1"/>
  <c r="AT148" i="1"/>
  <c r="AS149" i="1"/>
  <c r="HE8" i="1" l="1"/>
  <c r="FJ132" i="1"/>
  <c r="GQ132" i="1" s="1"/>
  <c r="HQ25" i="1" s="1"/>
  <c r="FM132" i="1"/>
  <c r="FN132" i="1" s="1"/>
  <c r="FW132" i="1"/>
  <c r="FX132" i="1" s="1"/>
  <c r="FZ132" i="1" s="1"/>
  <c r="FS130" i="1"/>
  <c r="FT130" i="1"/>
  <c r="GC130" i="1"/>
  <c r="GB130" i="1"/>
  <c r="GI130" i="1" s="1"/>
  <c r="GO130" i="1"/>
  <c r="HM23" i="1" s="1"/>
  <c r="HC128" i="1"/>
  <c r="HD128" i="1"/>
  <c r="AT149" i="1"/>
  <c r="AS150" i="1"/>
  <c r="AT150" i="1" s="1"/>
  <c r="GD132" i="1" l="1"/>
  <c r="GP132" i="1"/>
  <c r="HR25" i="1" s="1"/>
  <c r="GA132" i="1"/>
  <c r="FP132" i="1"/>
  <c r="FQ132" i="1"/>
  <c r="FR132" i="1"/>
  <c r="GG130" i="1"/>
  <c r="GE130" i="1"/>
  <c r="GF130" i="1" s="1"/>
  <c r="GH130" i="1"/>
  <c r="FT132" i="1" l="1"/>
  <c r="FS132" i="1"/>
  <c r="GC132" i="1"/>
  <c r="GO132" i="1"/>
  <c r="HM25" i="1" s="1"/>
  <c r="GB132" i="1"/>
  <c r="GY130" i="1"/>
  <c r="GS130" i="1"/>
  <c r="GE132" i="1" l="1"/>
  <c r="GF132" i="1" s="1"/>
  <c r="GG132" i="1"/>
  <c r="GH132" i="1"/>
  <c r="GI132" i="1"/>
  <c r="HA130" i="1"/>
  <c r="GT130" i="1"/>
  <c r="IC23" i="1" s="1"/>
  <c r="GR130" i="1"/>
  <c r="IB23" i="1" s="1"/>
  <c r="HY23" i="1"/>
  <c r="GZ130" i="1"/>
  <c r="IE23" i="1" s="1"/>
  <c r="IA23" i="1"/>
  <c r="GS132" i="1" l="1"/>
  <c r="GS2" i="1" s="1"/>
  <c r="GY132" i="1"/>
  <c r="GY2" i="1" s="1"/>
  <c r="HD130" i="1"/>
  <c r="HC130" i="1"/>
  <c r="GZ132" i="1" l="1"/>
  <c r="IE25" i="1" s="1"/>
  <c r="IE6" i="1" s="1"/>
  <c r="IA25" i="1"/>
  <c r="IA6" i="1" s="1"/>
  <c r="GT132" i="1"/>
  <c r="IC25" i="1" s="1"/>
  <c r="IC6" i="1" s="1"/>
  <c r="GR132" i="1"/>
  <c r="HY25" i="1"/>
  <c r="HY6" i="1" s="1"/>
  <c r="HA132" i="1"/>
  <c r="IB25" i="1" l="1"/>
  <c r="IB6" i="1" s="1"/>
  <c r="GR2" i="1"/>
  <c r="HD132" i="1"/>
  <c r="HD8" i="1" s="1"/>
  <c r="HH3" i="1" s="1"/>
  <c r="HC132" i="1"/>
  <c r="HC8" i="1" s="1"/>
  <c r="HG3" i="1" l="1"/>
  <c r="HB8" i="1"/>
  <c r="HA8" i="1"/>
  <c r="HF3" i="1" l="1"/>
  <c r="HE3" i="1"/>
  <c r="HA4" i="1" l="1"/>
  <c r="HW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<sst xmlns="http://schemas.openxmlformats.org/spreadsheetml/2006/main" count="921" uniqueCount="407">
  <si>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</si>
  <si>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</si>
  <si>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</si>
  <si>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</si>
  <si>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</si>
  <si>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</si>
  <si>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</si>
  <si>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</si>
  <si>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</si>
  <si>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</si>
  <si>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</si>
  <si>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</si>
  <si>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</si>
  <si>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</si>
  <si>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</si>
  <si>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</si>
  <si>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</si>
  <si>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</si>
  <si>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</si>
  <si>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</si>
  <si>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</si>
  <si>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</si>
  <si>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</si>
  <si>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</si>
  <si>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</si>
  <si>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</si>
  <si>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</si>
  <si>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</si>
  <si>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</si>
  <si>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</si>
  <si>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</si>
  <si>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</si>
  <si>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</si>
  <si>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</si>
  <si>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</si>
  <si>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</si>
  <si>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</si>
  <si>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</si>
  <si>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</si>
  <si>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</si>
  <si>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</si>
  <si>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</si>
  <si>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</si>
  <si>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</si>
  <si>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</si>
  <si>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</si>
  <si>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</si>
  <si>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</si>
  <si>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</si>
  <si>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</si>
  <si>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</si>
  <si>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</si>
  <si>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</si>
  <si>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</si>
  <si>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</si>
  <si>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</si>
  <si>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</si>
  <si>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</si>
  <si>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</si>
  <si>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</si>
  <si>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</si>
  <si>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</si>
  <si>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</si>
  <si>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</si>
  <si>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</si>
  <si>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</si>
  <si>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</si>
  <si>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</si>
  <si>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</si>
  <si>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</si>
  <si>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</si>
  <si>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</si>
  <si>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</si>
  <si>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</si>
  <si>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</si>
  <si>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</si>
  <si>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</si>
  <si>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</si>
  <si>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</si>
  <si>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</si>
  <si>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</si>
  <si>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</si>
  <si>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</si>
  <si>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</si>
  <si>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</si>
  <si>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</si>
  <si>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</si>
  <si>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</si>
  <si>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</si>
  <si>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</si>
  <si>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</si>
  <si>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</si>
  <si>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</si>
  <si>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</si>
  <si>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</si>
  <si>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</si>
  <si>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</si>
  <si>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</si>
  <si>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</si>
  <si>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</si>
  <si>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</si>
  <si>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</si>
  <si>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</si>
  <si>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</si>
  <si>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</si>
  <si>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</si>
  <si>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</si>
  <si>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</si>
  <si>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</si>
  <si>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</si>
  <si>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</si>
  <si>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</si>
  <si>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</si>
  <si>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</si>
  <si>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</si>
  <si>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</si>
  <si>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</si>
  <si>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</si>
  <si>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</si>
  <si>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</si>
  <si>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</si>
  <si>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</si>
  <si>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</si>
  <si>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</si>
  <si>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</si>
  <si>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</si>
  <si>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</si>
  <si>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</si>
  <si>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</si>
  <si>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</si>
  <si>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</si>
  <si>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</si>
  <si>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</si>
  <si>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</si>
  <si>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</si>
  <si>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</si>
  <si>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</si>
  <si>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</si>
  <si>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</si>
  <si>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</si>
  <si>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</si>
  <si>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</si>
  <si>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</si>
  <si>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</si>
  <si>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</si>
  <si>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</si>
  <si>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</si>
  <si>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</si>
  <si>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</si>
  <si>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</si>
  <si>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</si>
  <si>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</si>
  <si>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</si>
  <si>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</si>
  <si>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</si>
  <si>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</si>
  <si>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</si>
  <si>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</si>
  <si>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</si>
  <si>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</si>
  <si>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</si>
  <si>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</si>
  <si>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</si>
  <si>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</si>
  <si>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</si>
  <si>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</si>
  <si>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</si>
  <si>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</si>
  <si>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</si>
  <si>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</si>
  <si>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</si>
  <si>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</si>
  <si>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</si>
  <si>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</si>
  <si>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</si>
  <si>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</si>
  <si>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</si>
  <si>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</si>
  <si>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</si>
  <si>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</si>
  <si>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</si>
  <si>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</si>
  <si>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</si>
  <si>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</si>
  <si>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</si>
  <si>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</si>
  <si>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</si>
  <si>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</si>
  <si>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</si>
  <si>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</si>
  <si>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</si>
  <si>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</si>
  <si>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</si>
  <si>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</si>
  <si>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</si>
  <si>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</si>
  <si>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</si>
  <si>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</si>
  <si>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</si>
  <si>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</si>
  <si>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</si>
  <si>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</si>
  <si>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</si>
  <si>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</si>
  <si>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</si>
  <si>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</si>
  <si>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</si>
  <si>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</si>
  <si>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</si>
  <si>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</si>
  <si>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</si>
  <si>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</si>
  <si>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</si>
  <si>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</si>
  <si>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</si>
  <si>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</si>
  <si>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</si>
  <si>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</si>
  <si>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</si>
  <si>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</si>
  <si>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</si>
  <si>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</si>
  <si>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</si>
  <si>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</si>
  <si>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</si>
  <si>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</si>
  <si>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</si>
  <si>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</si>
  <si>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</si>
  <si>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</si>
  <si>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</si>
  <si>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</si>
  <si>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</si>
  <si>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</si>
  <si>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</si>
  <si>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</si>
  <si>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</si>
  <si>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</si>
  <si>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</si>
  <si>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</si>
  <si>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</si>
  <si>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</si>
  <si>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</si>
  <si>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</si>
  <si>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</si>
  <si>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</si>
  <si>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</si>
  <si>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</si>
  <si>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</si>
  <si>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</si>
  <si>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</si>
  <si>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</si>
  <si>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</si>
  <si>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</si>
  <si>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</si>
  <si>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</si>
  <si>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</si>
  <si>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</si>
  <si>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</si>
  <si>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</si>
  <si>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Helical Circumference</t>
  </si>
  <si>
    <t>in</t>
  </si>
  <si>
    <t>Centroid Radius</t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</si>
  <si>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</si>
  <si>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</si>
  <si>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</si>
  <si>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</si>
  <si>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</si>
  <si>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</si>
  <si>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</si>
  <si>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</si>
  <si>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</si>
  <si>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</si>
  <si>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</si>
  <si>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</si>
  <si>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</si>
  <si>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</si>
  <si>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</si>
  <si>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</si>
  <si>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</si>
  <si>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</si>
  <si>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</si>
  <si>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</si>
  <si>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</si>
  <si>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</si>
  <si>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</si>
  <si>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</si>
  <si>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</si>
  <si>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</si>
  <si>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</si>
  <si>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</si>
  <si>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</si>
  <si>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</si>
  <si>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</si>
  <si>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</si>
  <si>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</si>
  <si>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</si>
  <si>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</si>
  <si>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</si>
  <si>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</si>
  <si>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</si>
  <si>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</si>
  <si>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</si>
  <si>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</si>
  <si>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</si>
  <si>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</si>
  <si>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</si>
  <si>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</si>
  <si>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</si>
  <si>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</si>
  <si>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</si>
  <si>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</si>
  <si>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</si>
  <si>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</si>
  <si>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</si>
  <si>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</si>
  <si>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</si>
  <si>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</si>
  <si>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</si>
  <si>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</si>
  <si>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</si>
  <si>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</si>
  <si>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</si>
  <si>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</si>
  <si>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</si>
  <si>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</si>
  <si>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</si>
  <si>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</si>
  <si>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</si>
  <si>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</si>
  <si>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</si>
  <si>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</si>
  <si>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</si>
  <si>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</si>
  <si>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</si>
  <si>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</si>
  <si>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</si>
  <si>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</si>
  <si>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</si>
  <si>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</si>
  <si>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</si>
  <si>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</si>
  <si>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</si>
  <si>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</si>
  <si>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</si>
  <si>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</si>
  <si>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</si>
  <si>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</si>
  <si>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</si>
  <si>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</si>
  <si>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</si>
  <si>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</si>
  <si>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</si>
  <si>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</si>
  <si>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</si>
  <si>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</si>
  <si>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</si>
  <si>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</si>
  <si>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</si>
  <si>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</si>
  <si>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</si>
  <si>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</si>
  <si>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</si>
  <si>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</si>
  <si>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</si>
  <si>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</si>
  <si>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</si>
  <si>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</si>
  <si>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</si>
  <si>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</si>
  <si>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</si>
  <si>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</si>
  <si>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</si>
  <si>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</si>
  <si>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</si>
  <si>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</si>
  <si>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</si>
  <si>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</si>
  <si>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</si>
  <si>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</si>
  <si>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</si>
  <si>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>&lt;&gt;CS CPS-31783r1</t>
  </si>
  <si>
    <t>&lt;&gt;CS CPS-32193r1</t>
  </si>
  <si>
    <t>&lt;&gt;CS CPS-31837r1</t>
  </si>
  <si>
    <t>Σ Cutlet</t>
  </si>
  <si>
    <r>
      <t>ft·lbs Σ</t>
    </r>
    <r>
      <rPr>
        <vertAlign val="subscript"/>
        <sz val="11"/>
        <color theme="1"/>
        <rFont val="Calibri"/>
        <family val="2"/>
        <scheme val="minor"/>
      </rPr>
      <t>comp's</t>
    </r>
  </si>
  <si>
    <t>Element</t>
  </si>
  <si>
    <t>Position</t>
  </si>
  <si>
    <r>
      <t xml:space="preserve">Magnitudes of </t>
    </r>
    <r>
      <rPr>
        <b/>
        <i/>
        <sz val="11"/>
        <color rgb="FF000000"/>
        <rFont val="Calibri"/>
        <family val="2"/>
      </rPr>
      <t>Work</t>
    </r>
    <r>
      <rPr>
        <sz val="11"/>
        <color rgb="FF000000"/>
        <rFont val="Calibri"/>
        <family val="2"/>
      </rPr>
      <t xml:space="preserve"> @ IDS</t>
    </r>
    <r>
      <rPr>
        <sz val="11"/>
        <color theme="1"/>
        <rFont val="Calibri"/>
        <family val="2"/>
        <scheme val="minor"/>
      </rPr>
      <t xml:space="preserve"> (Linear ft·lbs)</t>
    </r>
  </si>
  <si>
    <t>Intersection of a Segment &amp; Cylinder (Finds the 3D Location of the Centroid)</t>
  </si>
  <si>
    <t>Face↔POM</t>
  </si>
  <si>
    <r>
      <t>Volume</t>
    </r>
    <r>
      <rPr>
        <vertAlign val="subscript"/>
        <sz val="10"/>
        <rFont val="Arial"/>
        <family val="2"/>
      </rPr>
      <t>IDS</t>
    </r>
  </si>
  <si>
    <t>Side Rake°</t>
  </si>
  <si>
    <t>Back Rake°</t>
  </si>
  <si>
    <t>YZ Projection</t>
  </si>
  <si>
    <r>
      <t>Y→X</t>
    </r>
    <r>
      <rPr>
        <vertAlign val="subscript"/>
        <sz val="11"/>
        <color theme="1"/>
        <rFont val="Calibri"/>
        <family val="2"/>
        <scheme val="minor"/>
      </rPr>
      <t>Suc. Rot.</t>
    </r>
  </si>
  <si>
    <t>At the rig our customer states 2176 Produces ≈8,500 ft·lbs of torque at the motor</t>
  </si>
  <si>
    <t>Exclude?</t>
  </si>
  <si>
    <t>Flip Vector?</t>
  </si>
  <si>
    <t>Boolean (Y)</t>
  </si>
  <si>
    <t/>
  </si>
  <si>
    <t>Chamfer</t>
  </si>
  <si>
    <t>Display</t>
  </si>
  <si>
    <t>Back rake</t>
  </si>
  <si>
    <t>radius</t>
  </si>
  <si>
    <t>% radius</t>
  </si>
  <si>
    <t>4720r01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</si>
</sst>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"/>
  </numFmts>
  <fonts count="51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b/>
      <sz val="20"/>
      <color theme="3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i/>
      <sz val="11"/>
      <color rgb="FF000000"/>
      <name val="Calibri"/>
      <family val="2"/>
    </font>
    <font>
      <vertAlign val="subscript"/>
      <sz val="10"/>
      <name val="Arial"/>
      <family val="2"/>
    </font>
  </fonts>
  <fills count="68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358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ck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/>
      <bottom style="thick">
        <color indexed="64"/>
      </bottom>
      <diagonal/>
    </border>
    <border>
      <left style="double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rgb="FF76933C"/>
      </left>
      <right/>
      <top/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ck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slantDashDot">
        <color rgb="FF76933C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slantDashDot">
        <color indexed="64"/>
      </left>
      <right style="thin">
        <color indexed="64"/>
      </right>
      <top/>
      <bottom style="thin">
        <color indexed="64"/>
      </bottom>
      <diagonal/>
    </border>
  </borders>
  <cellStyleXfs count="44">
    <xf numFmtId="0" fontId="0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10" fillId="26" borderId="0" applyNumberFormat="0" applyBorder="0" applyAlignment="0" applyProtection="0"/>
    <xf numFmtId="0" fontId="11" fillId="27" borderId="279" applyNumberFormat="0" applyAlignment="0" applyProtection="0"/>
    <xf numFmtId="0" fontId="12" fillId="28" borderId="280" applyNumberFormat="0" applyAlignment="0" applyProtection="0"/>
    <xf numFmtId="0" fontId="13" fillId="0" borderId="0" applyNumberFormat="0" applyFill="0" applyBorder="0" applyAlignment="0" applyProtection="0"/>
    <xf numFmtId="0" fontId="14" fillId="29" borderId="0" applyNumberFormat="0" applyBorder="0" applyAlignment="0" applyProtection="0"/>
    <xf numFmtId="0" fontId="15" fillId="0" borderId="281" applyNumberFormat="0" applyFill="0" applyAlignment="0" applyProtection="0"/>
    <xf numFmtId="0" fontId="16" fillId="0" borderId="282" applyNumberFormat="0" applyFill="0" applyAlignment="0" applyProtection="0"/>
    <xf numFmtId="0" fontId="17" fillId="0" borderId="283" applyNumberFormat="0" applyFill="0" applyAlignment="0" applyProtection="0"/>
    <xf numFmtId="0" fontId="17" fillId="0" borderId="0" applyNumberFormat="0" applyFill="0" applyBorder="0" applyAlignment="0" applyProtection="0"/>
    <xf numFmtId="0" fontId="18" fillId="30" borderId="279" applyNumberFormat="0" applyAlignment="0" applyProtection="0"/>
    <xf numFmtId="0" fontId="19" fillId="0" borderId="284" applyNumberFormat="0" applyFill="0" applyAlignment="0" applyProtection="0"/>
    <xf numFmtId="0" fontId="20" fillId="31" borderId="0" applyNumberFormat="0" applyBorder="0" applyAlignment="0" applyProtection="0"/>
    <xf numFmtId="0" fontId="3" fillId="0" borderId="0"/>
    <xf numFmtId="0" fontId="8" fillId="32" borderId="285" applyNumberFormat="0" applyFont="0" applyAlignment="0" applyProtection="0"/>
    <xf numFmtId="0" fontId="21" fillId="27" borderId="286" applyNumberFormat="0" applyAlignment="0" applyProtection="0"/>
    <xf numFmtId="0" fontId="22" fillId="0" borderId="0" applyNumberFormat="0" applyFill="0" applyBorder="0" applyAlignment="0" applyProtection="0"/>
    <xf numFmtId="0" fontId="23" fillId="0" borderId="287" applyNumberFormat="0" applyFill="0" applyAlignment="0" applyProtection="0"/>
    <xf numFmtId="0" fontId="24" fillId="0" borderId="0" applyNumberFormat="0" applyFill="0" applyBorder="0" applyAlignment="0" applyProtection="0"/>
    <xf numFmtId="9" fontId="8" fillId="0" borderId="0" applyFont="0" applyFill="0" applyBorder="0" applyAlignment="0" applyProtection="0"/>
  </cellStyleXfs>
  <cellXfs count="1436">
    <xf numFmtId="0" fontId="0" fillId="0" borderId="0" xfId="0"/>
    <xf numFmtId="164" fontId="0" fillId="0" borderId="0" xfId="0" applyNumberFormat="1"/>
    <xf numFmtId="0" fontId="23" fillId="0" borderId="2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164" fontId="25" fillId="0" borderId="4" xfId="0" applyNumberFormat="1" applyFont="1" applyBorder="1" applyAlignment="1">
      <alignment horizontal="center"/>
    </xf>
    <xf numFmtId="164" fontId="25" fillId="0" borderId="5" xfId="0" applyNumberFormat="1" applyFont="1" applyBorder="1" applyAlignment="1">
      <alignment horizontal="center"/>
    </xf>
    <xf numFmtId="164" fontId="25" fillId="0" borderId="6" xfId="0" applyNumberFormat="1" applyFont="1" applyBorder="1" applyAlignment="1">
      <alignment horizontal="center"/>
    </xf>
    <xf numFmtId="164" fontId="25" fillId="0" borderId="7" xfId="0" applyNumberFormat="1" applyFont="1" applyBorder="1" applyAlignment="1">
      <alignment horizontal="center"/>
    </xf>
    <xf numFmtId="164" fontId="25" fillId="0" borderId="8" xfId="0" applyNumberFormat="1" applyFont="1" applyBorder="1" applyAlignment="1">
      <alignment horizontal="center"/>
    </xf>
    <xf numFmtId="164" fontId="25" fillId="0" borderId="9" xfId="0" applyNumberFormat="1" applyFont="1" applyBorder="1" applyAlignment="1">
      <alignment horizontal="center"/>
    </xf>
    <xf numFmtId="164" fontId="25" fillId="0" borderId="10" xfId="0" applyNumberFormat="1" applyFont="1" applyBorder="1" applyAlignment="1">
      <alignment horizontal="center"/>
    </xf>
    <xf numFmtId="164" fontId="25" fillId="0" borderId="11" xfId="0" applyNumberFormat="1" applyFont="1" applyBorder="1" applyAlignment="1">
      <alignment horizontal="center"/>
    </xf>
    <xf numFmtId="164" fontId="25" fillId="0" borderId="12" xfId="0" applyNumberFormat="1" applyFont="1" applyBorder="1" applyAlignment="1">
      <alignment horizontal="center"/>
    </xf>
    <xf numFmtId="164" fontId="25" fillId="0" borderId="13" xfId="0" applyNumberFormat="1" applyFont="1" applyBorder="1" applyAlignment="1">
      <alignment horizontal="center"/>
    </xf>
    <xf numFmtId="164" fontId="25" fillId="0" borderId="14" xfId="0" applyNumberFormat="1" applyFont="1" applyBorder="1" applyAlignment="1">
      <alignment horizontal="center"/>
    </xf>
    <xf numFmtId="164" fontId="25" fillId="0" borderId="15" xfId="0" applyNumberFormat="1" applyFont="1" applyBorder="1" applyAlignment="1">
      <alignment horizontal="center"/>
    </xf>
    <xf numFmtId="164" fontId="25" fillId="0" borderId="16" xfId="0" applyNumberFormat="1" applyFont="1" applyBorder="1" applyAlignment="1">
      <alignment horizontal="center"/>
    </xf>
    <xf numFmtId="164" fontId="25" fillId="0" borderId="17" xfId="0" applyNumberFormat="1" applyFont="1" applyBorder="1" applyAlignment="1">
      <alignment horizontal="center"/>
    </xf>
    <xf numFmtId="164" fontId="25" fillId="0" borderId="18" xfId="0" applyNumberFormat="1" applyFont="1" applyBorder="1" applyAlignment="1">
      <alignment horizontal="center"/>
    </xf>
    <xf numFmtId="164" fontId="25" fillId="0" borderId="19" xfId="0" applyNumberFormat="1" applyFont="1" applyBorder="1" applyAlignment="1">
      <alignment horizontal="center"/>
    </xf>
    <xf numFmtId="164" fontId="25" fillId="0" borderId="20" xfId="0" applyNumberFormat="1" applyFont="1" applyBorder="1" applyAlignment="1">
      <alignment horizontal="center"/>
    </xf>
    <xf numFmtId="164" fontId="25" fillId="0" borderId="21" xfId="0" applyNumberFormat="1" applyFont="1" applyBorder="1" applyAlignment="1">
      <alignment horizontal="center"/>
    </xf>
    <xf numFmtId="164" fontId="25" fillId="0" borderId="23" xfId="0" applyNumberFormat="1" applyFont="1" applyBorder="1" applyAlignment="1">
      <alignment horizontal="center"/>
    </xf>
    <xf numFmtId="164" fontId="25" fillId="0" borderId="27" xfId="0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164" fontId="25" fillId="0" borderId="29" xfId="0" applyNumberFormat="1" applyFont="1" applyBorder="1" applyAlignment="1">
      <alignment horizontal="center"/>
    </xf>
    <xf numFmtId="0" fontId="17" fillId="0" borderId="30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0" fontId="17" fillId="0" borderId="32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6" fillId="0" borderId="30" xfId="0" applyFont="1" applyBorder="1" applyAlignment="1">
      <alignment horizontal="center" vertical="center"/>
    </xf>
    <xf numFmtId="0" fontId="27" fillId="0" borderId="37" xfId="0" applyFont="1" applyBorder="1" applyAlignment="1">
      <alignment horizontal="center" vertical="center"/>
    </xf>
    <xf numFmtId="0" fontId="23" fillId="0" borderId="32" xfId="0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164" fontId="25" fillId="0" borderId="40" xfId="0" applyNumberFormat="1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 vertical="center"/>
    </xf>
    <xf numFmtId="164" fontId="25" fillId="0" borderId="43" xfId="0" applyNumberFormat="1" applyFont="1" applyBorder="1" applyAlignment="1">
      <alignment horizontal="center" vertical="center"/>
    </xf>
    <xf numFmtId="164" fontId="25" fillId="0" borderId="47" xfId="0" applyNumberFormat="1" applyFont="1" applyBorder="1" applyAlignment="1">
      <alignment horizontal="center" vertical="center"/>
    </xf>
    <xf numFmtId="0" fontId="17" fillId="0" borderId="36" xfId="0" applyFont="1" applyBorder="1" applyAlignment="1">
      <alignment horizontal="center" vertical="center"/>
    </xf>
    <xf numFmtId="0" fontId="27" fillId="0" borderId="32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3" fillId="0" borderId="33" xfId="0" applyFont="1" applyBorder="1" applyAlignment="1">
      <alignment horizontal="center" vertical="center"/>
    </xf>
    <xf numFmtId="164" fontId="25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5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1" fillId="0" borderId="79" xfId="0" applyNumberFormat="1" applyFont="1" applyBorder="1" applyAlignment="1">
      <alignment horizontal="center"/>
    </xf>
    <xf numFmtId="165" fontId="31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5" fillId="0" borderId="61" xfId="0" applyNumberFormat="1" applyFont="1" applyBorder="1" applyAlignment="1">
      <alignment horizontal="center"/>
    </xf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5" fillId="0" borderId="0" xfId="0" applyNumberFormat="1" applyFont="1" applyAlignment="1">
      <alignment horizontal="center"/>
    </xf>
    <xf numFmtId="1" fontId="31" fillId="0" borderId="82" xfId="0" applyNumberFormat="1" applyFont="1" applyBorder="1" applyAlignment="1">
      <alignment horizontal="center"/>
    </xf>
    <xf numFmtId="1" fontId="31" fillId="0" borderId="83" xfId="0" applyNumberFormat="1" applyFont="1" applyBorder="1" applyAlignment="1">
      <alignment horizontal="center"/>
    </xf>
    <xf numFmtId="1" fontId="31" fillId="0" borderId="84" xfId="0" applyNumberFormat="1" applyFont="1" applyBorder="1" applyAlignment="1">
      <alignment horizontal="center"/>
    </xf>
    <xf numFmtId="1" fontId="31" fillId="0" borderId="0" xfId="0" applyNumberFormat="1" applyFont="1" applyAlignment="1">
      <alignment horizontal="center"/>
    </xf>
    <xf numFmtId="1" fontId="31" fillId="0" borderId="85" xfId="0" applyNumberFormat="1" applyFont="1" applyBorder="1" applyAlignment="1">
      <alignment horizontal="center"/>
    </xf>
    <xf numFmtId="1" fontId="31" fillId="0" borderId="86" xfId="0" applyNumberFormat="1" applyFont="1" applyBorder="1" applyAlignment="1">
      <alignment horizontal="center"/>
    </xf>
    <xf numFmtId="0" fontId="25" fillId="0" borderId="0" xfId="0" applyFont="1" applyAlignment="1">
      <alignment horizontal="center"/>
    </xf>
    <xf numFmtId="1" fontId="25" fillId="0" borderId="0" xfId="0" applyNumberFormat="1" applyFont="1" applyAlignment="1">
      <alignment horizontal="center"/>
    </xf>
    <xf numFmtId="166" fontId="25" fillId="0" borderId="74" xfId="0" applyNumberFormat="1" applyFont="1" applyBorder="1" applyAlignment="1">
      <alignment horizontal="center"/>
    </xf>
    <xf numFmtId="166" fontId="31" fillId="0" borderId="87" xfId="0" applyNumberFormat="1" applyFont="1" applyBorder="1" applyAlignment="1">
      <alignment horizontal="center"/>
    </xf>
    <xf numFmtId="166" fontId="31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1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2" fillId="0" borderId="0" xfId="0" applyFont="1"/>
    <xf numFmtId="165" fontId="25" fillId="0" borderId="88" xfId="0" applyNumberFormat="1" applyFont="1" applyBorder="1" applyAlignment="1">
      <alignment horizontal="center"/>
    </xf>
    <xf numFmtId="0" fontId="25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1" fillId="0" borderId="94" xfId="0" applyNumberFormat="1" applyFont="1" applyBorder="1" applyAlignment="1">
      <alignment horizontal="center"/>
    </xf>
    <xf numFmtId="1" fontId="31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1" fillId="0" borderId="0" xfId="0" applyNumberFormat="1" applyFont="1" applyAlignment="1">
      <alignment horizontal="center"/>
    </xf>
    <xf numFmtId="165" fontId="31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5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1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1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1" fillId="0" borderId="8" xfId="0" applyNumberFormat="1" applyFont="1" applyBorder="1" applyAlignment="1">
      <alignment horizontal="center"/>
    </xf>
    <xf numFmtId="166" fontId="31" fillId="0" borderId="90" xfId="0" applyNumberFormat="1" applyFont="1" applyBorder="1" applyAlignment="1">
      <alignment horizontal="center"/>
    </xf>
    <xf numFmtId="166" fontId="31" fillId="0" borderId="73" xfId="0" applyNumberFormat="1" applyFont="1" applyBorder="1" applyAlignment="1">
      <alignment horizontal="center"/>
    </xf>
    <xf numFmtId="1" fontId="31" fillId="0" borderId="99" xfId="0" applyNumberFormat="1" applyFont="1" applyBorder="1" applyAlignment="1">
      <alignment horizontal="center"/>
    </xf>
    <xf numFmtId="1" fontId="31" fillId="0" borderId="100" xfId="0" applyNumberFormat="1" applyFont="1" applyBorder="1" applyAlignment="1">
      <alignment horizontal="center"/>
    </xf>
    <xf numFmtId="1" fontId="31" fillId="0" borderId="101" xfId="0" applyNumberFormat="1" applyFont="1" applyBorder="1" applyAlignment="1">
      <alignment horizontal="center"/>
    </xf>
    <xf numFmtId="2" fontId="25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1" fillId="0" borderId="53" xfId="0" applyNumberFormat="1" applyFont="1" applyBorder="1" applyAlignment="1">
      <alignment horizontal="center"/>
    </xf>
    <xf numFmtId="166" fontId="31" fillId="0" borderId="103" xfId="0" applyNumberFormat="1" applyFont="1" applyBorder="1" applyAlignment="1">
      <alignment horizontal="center"/>
    </xf>
    <xf numFmtId="166" fontId="31" fillId="0" borderId="0" xfId="0" applyNumberFormat="1" applyFont="1" applyAlignment="1">
      <alignment horizontal="center"/>
    </xf>
    <xf numFmtId="166" fontId="31" fillId="44" borderId="29" xfId="0" applyNumberFormat="1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2" fontId="25" fillId="0" borderId="0" xfId="0" applyNumberFormat="1" applyFont="1" applyAlignment="1">
      <alignment horizontal="center" vertical="center"/>
    </xf>
    <xf numFmtId="165" fontId="25" fillId="0" borderId="0" xfId="0" applyNumberFormat="1" applyFont="1" applyAlignment="1">
      <alignment horizontal="center" vertical="center"/>
    </xf>
    <xf numFmtId="1" fontId="3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3" fillId="0" borderId="105" xfId="0" applyFont="1" applyBorder="1" applyAlignment="1">
      <alignment horizontal="center" vertical="center"/>
    </xf>
    <xf numFmtId="0" fontId="33" fillId="0" borderId="106" xfId="0" applyFont="1" applyBorder="1" applyAlignment="1">
      <alignment horizontal="center" vertical="center"/>
    </xf>
    <xf numFmtId="165" fontId="33" fillId="0" borderId="60" xfId="0" applyNumberFormat="1" applyFont="1" applyBorder="1" applyAlignment="1">
      <alignment horizontal="center" vertical="center"/>
    </xf>
    <xf numFmtId="165" fontId="33" fillId="0" borderId="107" xfId="0" applyNumberFormat="1" applyFont="1" applyBorder="1" applyAlignment="1">
      <alignment horizontal="center" vertical="center"/>
    </xf>
    <xf numFmtId="166" fontId="31" fillId="44" borderId="108" xfId="0" applyNumberFormat="1" applyFont="1" applyFill="1" applyBorder="1" applyAlignment="1">
      <alignment horizontal="center"/>
    </xf>
    <xf numFmtId="166" fontId="31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3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1" fillId="0" borderId="28" xfId="0" applyNumberFormat="1" applyFont="1" applyBorder="1" applyAlignment="1">
      <alignment horizontal="center"/>
    </xf>
    <xf numFmtId="166" fontId="31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5" fillId="0" borderId="0" xfId="0" applyNumberFormat="1" applyFont="1" applyAlignment="1">
      <alignment horizontal="center"/>
    </xf>
    <xf numFmtId="166" fontId="17" fillId="0" borderId="116" xfId="0" applyNumberFormat="1" applyFont="1" applyBorder="1" applyAlignment="1">
      <alignment horizontal="center"/>
    </xf>
    <xf numFmtId="166" fontId="17" fillId="0" borderId="117" xfId="0" applyNumberFormat="1" applyFont="1" applyBorder="1" applyAlignment="1">
      <alignment horizontal="center"/>
    </xf>
    <xf numFmtId="166" fontId="17" fillId="0" borderId="118" xfId="0" applyNumberFormat="1" applyFont="1" applyBorder="1" applyAlignment="1">
      <alignment horizontal="center"/>
    </xf>
    <xf numFmtId="165" fontId="25" fillId="0" borderId="0" xfId="0" applyNumberFormat="1" applyFont="1" applyAlignment="1">
      <alignment horizontal="center"/>
    </xf>
    <xf numFmtId="164" fontId="25" fillId="0" borderId="66" xfId="0" applyNumberFormat="1" applyFont="1" applyBorder="1" applyAlignment="1">
      <alignment horizontal="center"/>
    </xf>
    <xf numFmtId="167" fontId="25" fillId="0" borderId="67" xfId="0" applyNumberFormat="1" applyFont="1" applyBorder="1" applyAlignment="1">
      <alignment horizontal="center"/>
    </xf>
    <xf numFmtId="0" fontId="23" fillId="0" borderId="119" xfId="0" applyFont="1" applyBorder="1" applyAlignment="1">
      <alignment horizontal="center" vertical="center"/>
    </xf>
    <xf numFmtId="0" fontId="23" fillId="0" borderId="120" xfId="0" applyFont="1" applyBorder="1" applyAlignment="1">
      <alignment horizontal="center" vertical="center"/>
    </xf>
    <xf numFmtId="0" fontId="17" fillId="0" borderId="35" xfId="0" applyFont="1" applyBorder="1" applyAlignment="1">
      <alignment horizontal="center" vertical="center"/>
    </xf>
    <xf numFmtId="0" fontId="17" fillId="0" borderId="37" xfId="0" applyFont="1" applyBorder="1" applyAlignment="1">
      <alignment horizontal="center" vertical="center"/>
    </xf>
    <xf numFmtId="164" fontId="25" fillId="0" borderId="109" xfId="0" applyNumberFormat="1" applyFont="1" applyBorder="1" applyAlignment="1">
      <alignment horizontal="center"/>
    </xf>
    <xf numFmtId="164" fontId="25" fillId="0" borderId="54" xfId="0" applyNumberFormat="1" applyFont="1" applyBorder="1" applyAlignment="1">
      <alignment horizontal="center"/>
    </xf>
    <xf numFmtId="164" fontId="25" fillId="0" borderId="124" xfId="0" applyNumberFormat="1" applyFont="1" applyBorder="1" applyAlignment="1">
      <alignment horizontal="center"/>
    </xf>
    <xf numFmtId="164" fontId="25" fillId="0" borderId="110" xfId="0" applyNumberFormat="1" applyFont="1" applyBorder="1" applyAlignment="1">
      <alignment horizontal="center"/>
    </xf>
    <xf numFmtId="164" fontId="25" fillId="0" borderId="126" xfId="0" applyNumberFormat="1" applyFont="1" applyBorder="1" applyAlignment="1">
      <alignment horizontal="center"/>
    </xf>
    <xf numFmtId="164" fontId="25" fillId="0" borderId="129" xfId="0" applyNumberFormat="1" applyFont="1" applyBorder="1" applyAlignment="1">
      <alignment horizontal="center"/>
    </xf>
    <xf numFmtId="0" fontId="23" fillId="0" borderId="134" xfId="0" applyFont="1" applyBorder="1" applyAlignment="1">
      <alignment horizontal="center" vertical="center"/>
    </xf>
    <xf numFmtId="164" fontId="25" fillId="0" borderId="72" xfId="0" applyNumberFormat="1" applyFont="1" applyBorder="1" applyAlignment="1">
      <alignment horizontal="center"/>
    </xf>
    <xf numFmtId="164" fontId="25" fillId="0" borderId="136" xfId="0" applyNumberFormat="1" applyFont="1" applyBorder="1" applyAlignment="1">
      <alignment horizontal="center"/>
    </xf>
    <xf numFmtId="165" fontId="25" fillId="0" borderId="59" xfId="0" applyNumberFormat="1" applyFont="1" applyBorder="1" applyAlignment="1">
      <alignment horizontal="center"/>
    </xf>
    <xf numFmtId="165" fontId="25" fillId="0" borderId="61" xfId="0" applyNumberFormat="1" applyFont="1" applyBorder="1" applyAlignment="1">
      <alignment horizontal="center"/>
    </xf>
    <xf numFmtId="165" fontId="25" fillId="0" borderId="137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25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2" fontId="29" fillId="0" borderId="0" xfId="37" applyNumberFormat="1" applyFont="1" applyAlignment="1">
      <alignment horizontal="center"/>
    </xf>
    <xf numFmtId="164" fontId="29" fillId="0" borderId="126" xfId="37" applyNumberFormat="1" applyFont="1" applyBorder="1" applyAlignment="1">
      <alignment horizontal="center"/>
    </xf>
    <xf numFmtId="164" fontId="25" fillId="0" borderId="70" xfId="0" applyNumberFormat="1" applyFont="1" applyBorder="1" applyAlignment="1">
      <alignment horizontal="center"/>
    </xf>
    <xf numFmtId="0" fontId="3" fillId="0" borderId="138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39" xfId="37" applyNumberFormat="1" applyBorder="1" applyAlignment="1">
      <alignment horizontal="center" vertical="center"/>
    </xf>
    <xf numFmtId="0" fontId="3" fillId="0" borderId="142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1" fillId="0" borderId="0" xfId="0" applyNumberFormat="1" applyFont="1" applyAlignment="1">
      <alignment horizontal="center"/>
    </xf>
    <xf numFmtId="0" fontId="0" fillId="0" borderId="143" xfId="0" applyBorder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6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5" fillId="0" borderId="147" xfId="0" applyNumberFormat="1" applyFont="1" applyBorder="1" applyAlignment="1">
      <alignment horizontal="center"/>
    </xf>
    <xf numFmtId="0" fontId="0" fillId="0" borderId="148" xfId="0" applyBorder="1" applyAlignment="1">
      <alignment horizontal="center"/>
    </xf>
    <xf numFmtId="0" fontId="0" fillId="0" borderId="149" xfId="0" applyBorder="1"/>
    <xf numFmtId="0" fontId="0" fillId="0" borderId="44" xfId="0" applyBorder="1"/>
    <xf numFmtId="164" fontId="25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6" fillId="0" borderId="32" xfId="0" applyFont="1" applyBorder="1" applyAlignment="1">
      <alignment horizontal="center" vertical="center"/>
    </xf>
    <xf numFmtId="0" fontId="36" fillId="0" borderId="33" xfId="0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/>
    </xf>
    <xf numFmtId="164" fontId="25" fillId="0" borderId="43" xfId="0" applyNumberFormat="1" applyFont="1" applyBorder="1" applyAlignment="1">
      <alignment horizontal="center"/>
    </xf>
    <xf numFmtId="164" fontId="25" fillId="0" borderId="44" xfId="0" applyNumberFormat="1" applyFont="1" applyBorder="1" applyAlignment="1">
      <alignment horizontal="center"/>
    </xf>
    <xf numFmtId="164" fontId="25" fillId="0" borderId="40" xfId="0" applyNumberFormat="1" applyFont="1" applyBorder="1" applyAlignment="1">
      <alignment horizontal="center"/>
    </xf>
    <xf numFmtId="164" fontId="25" fillId="0" borderId="45" xfId="0" applyNumberFormat="1" applyFont="1" applyBorder="1" applyAlignment="1">
      <alignment horizontal="center"/>
    </xf>
    <xf numFmtId="164" fontId="25" fillId="0" borderId="150" xfId="0" applyNumberFormat="1" applyFont="1" applyBorder="1" applyAlignment="1">
      <alignment horizontal="center"/>
    </xf>
    <xf numFmtId="164" fontId="25" fillId="0" borderId="151" xfId="0" applyNumberFormat="1" applyFont="1" applyBorder="1" applyAlignment="1">
      <alignment horizontal="center"/>
    </xf>
    <xf numFmtId="0" fontId="36" fillId="0" borderId="37" xfId="0" applyFont="1" applyBorder="1" applyAlignment="1">
      <alignment horizontal="center" vertical="center"/>
    </xf>
    <xf numFmtId="164" fontId="25" fillId="0" borderId="41" xfId="0" applyNumberFormat="1" applyFont="1" applyBorder="1" applyAlignment="1">
      <alignment horizontal="center"/>
    </xf>
    <xf numFmtId="0" fontId="0" fillId="0" borderId="139" xfId="0" applyBorder="1" applyAlignment="1">
      <alignment horizontal="center"/>
    </xf>
    <xf numFmtId="164" fontId="25" fillId="0" borderId="152" xfId="0" applyNumberFormat="1" applyFont="1" applyBorder="1" applyAlignment="1">
      <alignment horizontal="center"/>
    </xf>
    <xf numFmtId="164" fontId="25" fillId="0" borderId="153" xfId="0" applyNumberFormat="1" applyFont="1" applyBorder="1" applyAlignment="1">
      <alignment horizontal="center"/>
    </xf>
    <xf numFmtId="164" fontId="25" fillId="0" borderId="46" xfId="0" applyNumberFormat="1" applyFont="1" applyBorder="1" applyAlignment="1">
      <alignment horizontal="center"/>
    </xf>
    <xf numFmtId="0" fontId="36" fillId="0" borderId="3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/>
    </xf>
    <xf numFmtId="164" fontId="25" fillId="0" borderId="48" xfId="0" applyNumberFormat="1" applyFont="1" applyBorder="1" applyAlignment="1">
      <alignment horizontal="center"/>
    </xf>
    <xf numFmtId="0" fontId="25" fillId="0" borderId="6" xfId="0" applyFont="1" applyBorder="1" applyAlignment="1">
      <alignment horizontal="center"/>
    </xf>
    <xf numFmtId="0" fontId="36" fillId="0" borderId="30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36" fillId="0" borderId="155" xfId="0" applyFont="1" applyBorder="1" applyAlignment="1">
      <alignment horizontal="center" vertical="center"/>
    </xf>
    <xf numFmtId="164" fontId="25" fillId="0" borderId="115" xfId="0" applyNumberFormat="1" applyFont="1" applyBorder="1" applyAlignment="1">
      <alignment horizontal="center"/>
    </xf>
    <xf numFmtId="164" fontId="25" fillId="0" borderId="156" xfId="0" applyNumberFormat="1" applyFont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164" fontId="25" fillId="0" borderId="39" xfId="0" applyNumberFormat="1" applyFont="1" applyBorder="1" applyAlignment="1">
      <alignment horizontal="center"/>
    </xf>
    <xf numFmtId="164" fontId="25" fillId="0" borderId="157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3" fillId="0" borderId="158" xfId="0" applyFont="1" applyBorder="1" applyAlignment="1">
      <alignment horizontal="center" vertical="center"/>
    </xf>
    <xf numFmtId="0" fontId="25" fillId="0" borderId="149" xfId="0" applyFont="1" applyBorder="1" applyAlignment="1">
      <alignment horizontal="center"/>
    </xf>
    <xf numFmtId="0" fontId="0" fillId="0" borderId="158" xfId="0" applyBorder="1" applyAlignment="1">
      <alignment horizontal="center"/>
    </xf>
    <xf numFmtId="164" fontId="25" fillId="0" borderId="47" xfId="0" applyNumberFormat="1" applyFont="1" applyBorder="1" applyAlignment="1">
      <alignment horizontal="center"/>
    </xf>
    <xf numFmtId="164" fontId="25" fillId="0" borderId="49" xfId="0" applyNumberFormat="1" applyFont="1" applyBorder="1" applyAlignment="1">
      <alignment horizontal="center"/>
    </xf>
    <xf numFmtId="164" fontId="25" fillId="0" borderId="2" xfId="0" applyNumberFormat="1" applyFont="1" applyBorder="1" applyAlignment="1">
      <alignment horizontal="center"/>
    </xf>
    <xf numFmtId="164" fontId="25" fillId="0" borderId="31" xfId="0" applyNumberFormat="1" applyFont="1" applyBorder="1" applyAlignment="1">
      <alignment horizontal="center"/>
    </xf>
    <xf numFmtId="164" fontId="25" fillId="0" borderId="30" xfId="0" applyNumberFormat="1" applyFont="1" applyBorder="1" applyAlignment="1">
      <alignment horizontal="center"/>
    </xf>
    <xf numFmtId="164" fontId="25" fillId="0" borderId="33" xfId="0" applyNumberFormat="1" applyFont="1" applyBorder="1" applyAlignment="1">
      <alignment horizontal="center"/>
    </xf>
    <xf numFmtId="164" fontId="25" fillId="0" borderId="106" xfId="0" applyNumberFormat="1" applyFont="1" applyBorder="1" applyAlignment="1">
      <alignment horizontal="center"/>
    </xf>
    <xf numFmtId="164" fontId="25" fillId="0" borderId="37" xfId="0" applyNumberFormat="1" applyFont="1" applyBorder="1" applyAlignment="1">
      <alignment horizontal="center"/>
    </xf>
    <xf numFmtId="164" fontId="25" fillId="0" borderId="158" xfId="0" applyNumberFormat="1" applyFont="1" applyBorder="1" applyAlignment="1">
      <alignment horizontal="center"/>
    </xf>
    <xf numFmtId="0" fontId="0" fillId="0" borderId="159" xfId="0" applyBorder="1" applyAlignment="1">
      <alignment horizontal="center" vertical="center"/>
    </xf>
    <xf numFmtId="164" fontId="25" fillId="0" borderId="160" xfId="0" applyNumberFormat="1" applyFont="1" applyBorder="1" applyAlignment="1">
      <alignment horizontal="center"/>
    </xf>
    <xf numFmtId="0" fontId="0" fillId="0" borderId="161" xfId="0" applyBorder="1" applyAlignment="1">
      <alignment horizontal="center"/>
    </xf>
    <xf numFmtId="168" fontId="25" fillId="0" borderId="109" xfId="0" applyNumberFormat="1" applyFont="1" applyBorder="1" applyAlignment="1">
      <alignment horizontal="center"/>
    </xf>
    <xf numFmtId="168" fontId="25" fillId="0" borderId="5" xfId="0" applyNumberFormat="1" applyFont="1" applyBorder="1" applyAlignment="1">
      <alignment horizontal="center"/>
    </xf>
    <xf numFmtId="168" fontId="25" fillId="0" borderId="136" xfId="0" applyNumberFormat="1" applyFont="1" applyBorder="1" applyAlignment="1">
      <alignment horizontal="center"/>
    </xf>
    <xf numFmtId="168" fontId="25" fillId="0" borderId="6" xfId="0" applyNumberFormat="1" applyFont="1" applyBorder="1" applyAlignment="1">
      <alignment horizontal="center"/>
    </xf>
    <xf numFmtId="164" fontId="25" fillId="0" borderId="32" xfId="0" applyNumberFormat="1" applyFont="1" applyBorder="1" applyAlignment="1">
      <alignment horizontal="center"/>
    </xf>
    <xf numFmtId="0" fontId="0" fillId="0" borderId="41" xfId="0" applyBorder="1"/>
    <xf numFmtId="168" fontId="25" fillId="0" borderId="4" xfId="0" applyNumberFormat="1" applyFont="1" applyBorder="1" applyAlignment="1">
      <alignment horizontal="center"/>
    </xf>
    <xf numFmtId="168" fontId="25" fillId="0" borderId="10" xfId="0" applyNumberFormat="1" applyFont="1" applyBorder="1" applyAlignment="1">
      <alignment horizontal="center"/>
    </xf>
    <xf numFmtId="168" fontId="25" fillId="0" borderId="21" xfId="0" applyNumberFormat="1" applyFont="1" applyBorder="1" applyAlignment="1">
      <alignment horizontal="center"/>
    </xf>
    <xf numFmtId="0" fontId="0" fillId="45" borderId="160" xfId="0" applyFill="1" applyBorder="1"/>
    <xf numFmtId="164" fontId="25" fillId="45" borderId="123" xfId="0" applyNumberFormat="1" applyFont="1" applyFill="1" applyBorder="1" applyAlignment="1">
      <alignment horizontal="center"/>
    </xf>
    <xf numFmtId="164" fontId="25" fillId="45" borderId="54" xfId="0" applyNumberFormat="1" applyFont="1" applyFill="1" applyBorder="1" applyAlignment="1">
      <alignment horizontal="center"/>
    </xf>
    <xf numFmtId="0" fontId="0" fillId="0" borderId="162" xfId="0" applyBorder="1"/>
    <xf numFmtId="164" fontId="25" fillId="0" borderId="163" xfId="0" applyNumberFormat="1" applyFont="1" applyBorder="1" applyAlignment="1">
      <alignment horizontal="center"/>
    </xf>
    <xf numFmtId="10" fontId="25" fillId="0" borderId="10" xfId="0" applyNumberFormat="1" applyFont="1" applyBorder="1" applyAlignment="1">
      <alignment horizontal="center"/>
    </xf>
    <xf numFmtId="10" fontId="25" fillId="0" borderId="6" xfId="0" applyNumberFormat="1" applyFont="1" applyBorder="1" applyAlignment="1">
      <alignment horizontal="center"/>
    </xf>
    <xf numFmtId="0" fontId="25" fillId="0" borderId="42" xfId="0" applyFont="1" applyBorder="1" applyAlignment="1">
      <alignment horizontal="center"/>
    </xf>
    <xf numFmtId="0" fontId="25" fillId="0" borderId="43" xfId="0" applyFont="1" applyBorder="1" applyAlignment="1">
      <alignment horizontal="center"/>
    </xf>
    <xf numFmtId="0" fontId="25" fillId="0" borderId="44" xfId="0" applyFont="1" applyBorder="1" applyAlignment="1">
      <alignment horizontal="center"/>
    </xf>
    <xf numFmtId="10" fontId="25" fillId="0" borderId="4" xfId="0" applyNumberFormat="1" applyFont="1" applyBorder="1" applyAlignment="1">
      <alignment horizontal="center"/>
    </xf>
    <xf numFmtId="10" fontId="25" fillId="0" borderId="5" xfId="0" applyNumberFormat="1" applyFont="1" applyBorder="1" applyAlignment="1">
      <alignment horizontal="center"/>
    </xf>
    <xf numFmtId="0" fontId="25" fillId="0" borderId="40" xfId="0" applyFont="1" applyBorder="1" applyAlignment="1">
      <alignment horizontal="center"/>
    </xf>
    <xf numFmtId="10" fontId="29" fillId="0" borderId="83" xfId="37" applyNumberFormat="1" applyFont="1" applyBorder="1" applyAlignment="1">
      <alignment horizontal="center"/>
    </xf>
    <xf numFmtId="0" fontId="3" fillId="0" borderId="153" xfId="37" applyBorder="1" applyAlignment="1">
      <alignment horizontal="center" vertical="center"/>
    </xf>
    <xf numFmtId="164" fontId="29" fillId="0" borderId="164" xfId="37" applyNumberFormat="1" applyFont="1" applyBorder="1" applyAlignment="1">
      <alignment horizontal="center"/>
    </xf>
    <xf numFmtId="164" fontId="29" fillId="0" borderId="129" xfId="37" applyNumberFormat="1" applyFont="1" applyBorder="1" applyAlignment="1">
      <alignment horizontal="center"/>
    </xf>
    <xf numFmtId="164" fontId="3" fillId="0" borderId="143" xfId="37" applyNumberFormat="1" applyBorder="1" applyAlignment="1">
      <alignment horizontal="center" vertical="center"/>
    </xf>
    <xf numFmtId="0" fontId="3" fillId="0" borderId="145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29" fillId="0" borderId="6" xfId="37" applyNumberFormat="1" applyFont="1" applyBorder="1" applyAlignment="1">
      <alignment horizontal="center"/>
    </xf>
    <xf numFmtId="164" fontId="29" fillId="0" borderId="4" xfId="37" applyNumberFormat="1" applyFont="1" applyBorder="1" applyAlignment="1">
      <alignment horizontal="center"/>
    </xf>
    <xf numFmtId="10" fontId="29" fillId="0" borderId="14" xfId="37" applyNumberFormat="1" applyFont="1" applyBorder="1" applyAlignment="1">
      <alignment horizontal="center"/>
    </xf>
    <xf numFmtId="168" fontId="0" fillId="0" borderId="0" xfId="0" applyNumberFormat="1"/>
    <xf numFmtId="0" fontId="25" fillId="0" borderId="115" xfId="0" applyFont="1" applyBorder="1" applyAlignment="1">
      <alignment horizontal="center"/>
    </xf>
    <xf numFmtId="0" fontId="25" fillId="0" borderId="152" xfId="0" applyFont="1" applyBorder="1" applyAlignment="1">
      <alignment horizontal="center"/>
    </xf>
    <xf numFmtId="10" fontId="0" fillId="0" borderId="0" xfId="0" applyNumberFormat="1"/>
    <xf numFmtId="10" fontId="25" fillId="0" borderId="27" xfId="0" applyNumberFormat="1" applyFont="1" applyBorder="1" applyAlignment="1">
      <alignment horizontal="center"/>
    </xf>
    <xf numFmtId="10" fontId="25" fillId="0" borderId="20" xfId="0" applyNumberFormat="1" applyFont="1" applyBorder="1" applyAlignment="1">
      <alignment horizontal="center"/>
    </xf>
    <xf numFmtId="10" fontId="25" fillId="0" borderId="23" xfId="0" applyNumberFormat="1" applyFont="1" applyBorder="1" applyAlignment="1">
      <alignment horizontal="center"/>
    </xf>
    <xf numFmtId="10" fontId="25" fillId="0" borderId="143" xfId="0" applyNumberFormat="1" applyFont="1" applyBorder="1" applyAlignment="1">
      <alignment horizontal="center"/>
    </xf>
    <xf numFmtId="10" fontId="25" fillId="0" borderId="144" xfId="0" applyNumberFormat="1" applyFont="1" applyBorder="1" applyAlignment="1">
      <alignment horizontal="center"/>
    </xf>
    <xf numFmtId="10" fontId="25" fillId="0" borderId="145" xfId="0" applyNumberFormat="1" applyFont="1" applyBorder="1" applyAlignment="1">
      <alignment horizontal="center"/>
    </xf>
    <xf numFmtId="3" fontId="25" fillId="0" borderId="0" xfId="0" applyNumberFormat="1" applyFont="1" applyAlignment="1">
      <alignment horizontal="center"/>
    </xf>
    <xf numFmtId="0" fontId="25" fillId="0" borderId="78" xfId="0" applyFont="1" applyBorder="1" applyAlignment="1">
      <alignment horizontal="center"/>
    </xf>
    <xf numFmtId="10" fontId="25" fillId="0" borderId="61" xfId="0" applyNumberFormat="1" applyFont="1" applyBorder="1" applyAlignment="1">
      <alignment horizontal="center"/>
    </xf>
    <xf numFmtId="0" fontId="25" fillId="0" borderId="41" xfId="0" applyFont="1" applyBorder="1" applyAlignment="1">
      <alignment horizontal="center"/>
    </xf>
    <xf numFmtId="0" fontId="25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65" xfId="0" applyBorder="1" applyAlignment="1">
      <alignment horizontal="center"/>
    </xf>
    <xf numFmtId="0" fontId="3" fillId="0" borderId="157" xfId="37" applyBorder="1" applyAlignment="1">
      <alignment vertical="center"/>
    </xf>
    <xf numFmtId="166" fontId="17" fillId="0" borderId="60" xfId="0" applyNumberFormat="1" applyFont="1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169" fontId="25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5" fillId="0" borderId="160" xfId="0" applyFont="1" applyBorder="1" applyAlignment="1">
      <alignment horizontal="center"/>
    </xf>
    <xf numFmtId="0" fontId="0" fillId="0" borderId="170" xfId="0" applyBorder="1"/>
    <xf numFmtId="0" fontId="0" fillId="0" borderId="171" xfId="0" applyBorder="1" applyAlignment="1">
      <alignment horizontal="center"/>
    </xf>
    <xf numFmtId="0" fontId="0" fillId="0" borderId="172" xfId="0" applyBorder="1" applyAlignment="1">
      <alignment horizontal="center"/>
    </xf>
    <xf numFmtId="0" fontId="0" fillId="0" borderId="173" xfId="0" applyBorder="1" applyAlignment="1">
      <alignment horizontal="center"/>
    </xf>
    <xf numFmtId="0" fontId="37" fillId="0" borderId="49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1" xfId="0" applyFont="1" applyBorder="1" applyAlignment="1">
      <alignment horizontal="center" vertical="center"/>
    </xf>
    <xf numFmtId="0" fontId="0" fillId="0" borderId="177" xfId="0" applyBorder="1" applyAlignment="1">
      <alignment horizontal="center"/>
    </xf>
    <xf numFmtId="0" fontId="0" fillId="0" borderId="178" xfId="0" applyBorder="1" applyAlignment="1">
      <alignment horizont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1" xfId="0" applyBorder="1" applyAlignment="1">
      <alignment horizontal="center" vertical="center" wrapText="1"/>
    </xf>
    <xf numFmtId="0" fontId="25" fillId="0" borderId="182" xfId="0" applyFont="1" applyBorder="1" applyAlignment="1">
      <alignment horizontal="center"/>
    </xf>
    <xf numFmtId="0" fontId="0" fillId="0" borderId="183" xfId="0" applyBorder="1" applyAlignment="1">
      <alignment horizontal="center"/>
    </xf>
    <xf numFmtId="10" fontId="25" fillId="0" borderId="126" xfId="0" applyNumberFormat="1" applyFont="1" applyBorder="1" applyAlignment="1">
      <alignment horizontal="center"/>
    </xf>
    <xf numFmtId="3" fontId="25" fillId="0" borderId="4" xfId="0" applyNumberFormat="1" applyFont="1" applyBorder="1" applyAlignment="1">
      <alignment horizontal="center"/>
    </xf>
    <xf numFmtId="3" fontId="25" fillId="0" borderId="5" xfId="0" applyNumberFormat="1" applyFont="1" applyBorder="1" applyAlignment="1">
      <alignment horizontal="center"/>
    </xf>
    <xf numFmtId="3" fontId="25" fillId="0" borderId="9" xfId="0" applyNumberFormat="1" applyFont="1" applyBorder="1" applyAlignment="1">
      <alignment horizontal="center"/>
    </xf>
    <xf numFmtId="3" fontId="25" fillId="0" borderId="10" xfId="0" applyNumberFormat="1" applyFont="1" applyBorder="1" applyAlignment="1">
      <alignment horizontal="center"/>
    </xf>
    <xf numFmtId="3" fontId="25" fillId="0" borderId="184" xfId="0" applyNumberFormat="1" applyFont="1" applyBorder="1" applyAlignment="1">
      <alignment horizontal="center"/>
    </xf>
    <xf numFmtId="166" fontId="17" fillId="0" borderId="185" xfId="0" applyNumberFormat="1" applyFont="1" applyBorder="1" applyAlignment="1">
      <alignment horizontal="center"/>
    </xf>
    <xf numFmtId="166" fontId="17" fillId="0" borderId="186" xfId="0" applyNumberFormat="1" applyFont="1" applyBorder="1" applyAlignment="1">
      <alignment horizontal="center"/>
    </xf>
    <xf numFmtId="3" fontId="25" fillId="0" borderId="6" xfId="0" applyNumberFormat="1" applyFont="1" applyBorder="1" applyAlignment="1">
      <alignment horizontal="center"/>
    </xf>
    <xf numFmtId="3" fontId="31" fillId="0" borderId="165" xfId="0" applyNumberFormat="1" applyFont="1" applyBorder="1" applyAlignment="1">
      <alignment horizontal="right"/>
    </xf>
    <xf numFmtId="3" fontId="31" fillId="0" borderId="78" xfId="0" applyNumberFormat="1" applyFont="1" applyBorder="1" applyAlignment="1">
      <alignment horizontal="right"/>
    </xf>
    <xf numFmtId="0" fontId="0" fillId="0" borderId="161" xfId="0" applyBorder="1" applyAlignment="1">
      <alignment horizontal="center" vertical="center" wrapText="1"/>
    </xf>
    <xf numFmtId="164" fontId="3" fillId="0" borderId="161" xfId="37" applyNumberFormat="1" applyBorder="1" applyAlignment="1">
      <alignment horizontal="center" vertical="center"/>
    </xf>
    <xf numFmtId="0" fontId="25" fillId="0" borderId="157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4" xfId="0" applyBorder="1" applyAlignment="1">
      <alignment horizontal="center"/>
    </xf>
    <xf numFmtId="3" fontId="25" fillId="0" borderId="44" xfId="0" applyNumberFormat="1" applyFont="1" applyBorder="1" applyAlignment="1">
      <alignment horizontal="center"/>
    </xf>
    <xf numFmtId="3" fontId="25" fillId="0" borderId="40" xfId="0" applyNumberFormat="1" applyFont="1" applyBorder="1" applyAlignment="1">
      <alignment horizontal="center"/>
    </xf>
    <xf numFmtId="0" fontId="0" fillId="0" borderId="175" xfId="0" applyBorder="1" applyAlignment="1">
      <alignment horizontal="center"/>
    </xf>
    <xf numFmtId="3" fontId="25" fillId="0" borderId="70" xfId="0" applyNumberFormat="1" applyFont="1" applyBorder="1" applyAlignment="1">
      <alignment horizontal="center"/>
    </xf>
    <xf numFmtId="3" fontId="25" fillId="0" borderId="8" xfId="0" applyNumberFormat="1" applyFont="1" applyBorder="1" applyAlignment="1">
      <alignment horizontal="center"/>
    </xf>
    <xf numFmtId="3" fontId="25" fillId="0" borderId="41" xfId="0" applyNumberFormat="1" applyFont="1" applyBorder="1" applyAlignment="1">
      <alignment horizontal="center"/>
    </xf>
    <xf numFmtId="3" fontId="25" fillId="0" borderId="71" xfId="0" applyNumberFormat="1" applyFont="1" applyBorder="1" applyAlignment="1">
      <alignment horizontal="center"/>
    </xf>
    <xf numFmtId="3" fontId="25" fillId="0" borderId="42" xfId="0" applyNumberFormat="1" applyFont="1" applyBorder="1" applyAlignment="1">
      <alignment horizontal="center"/>
    </xf>
    <xf numFmtId="3" fontId="25" fillId="0" borderId="43" xfId="0" applyNumberFormat="1" applyFont="1" applyBorder="1" applyAlignment="1">
      <alignment horizontal="center"/>
    </xf>
    <xf numFmtId="3" fontId="25" fillId="0" borderId="136" xfId="0" applyNumberFormat="1" applyFont="1" applyBorder="1" applyAlignment="1">
      <alignment horizontal="center"/>
    </xf>
    <xf numFmtId="3" fontId="31" fillId="0" borderId="0" xfId="0" applyNumberFormat="1" applyFont="1" applyAlignment="1">
      <alignment horizontal="center"/>
    </xf>
    <xf numFmtId="0" fontId="25" fillId="0" borderId="162" xfId="0" applyFont="1" applyBorder="1" applyAlignment="1">
      <alignment horizontal="center"/>
    </xf>
    <xf numFmtId="3" fontId="25" fillId="0" borderId="163" xfId="0" applyNumberFormat="1" applyFont="1" applyBorder="1" applyAlignment="1">
      <alignment horizontal="center"/>
    </xf>
    <xf numFmtId="164" fontId="25" fillId="0" borderId="193" xfId="0" applyNumberFormat="1" applyFont="1" applyBorder="1" applyAlignment="1">
      <alignment horizontal="center"/>
    </xf>
    <xf numFmtId="166" fontId="0" fillId="0" borderId="0" xfId="0" applyNumberFormat="1"/>
    <xf numFmtId="0" fontId="17" fillId="0" borderId="1" xfId="0" applyFont="1" applyBorder="1" applyAlignment="1">
      <alignment horizontal="center" vertical="center"/>
    </xf>
    <xf numFmtId="0" fontId="17" fillId="0" borderId="38" xfId="0" applyFont="1" applyBorder="1" applyAlignment="1">
      <alignment horizontal="center" vertical="center"/>
    </xf>
    <xf numFmtId="0" fontId="17" fillId="0" borderId="159" xfId="0" applyFont="1" applyBorder="1" applyAlignment="1">
      <alignment horizontal="center" vertical="center"/>
    </xf>
    <xf numFmtId="0" fontId="27" fillId="0" borderId="50" xfId="0" applyFont="1" applyBorder="1" applyAlignment="1">
      <alignment horizontal="center" vertical="center"/>
    </xf>
    <xf numFmtId="0" fontId="17" fillId="0" borderId="144" xfId="0" applyFont="1" applyBorder="1" applyAlignment="1">
      <alignment horizontal="center" vertical="center"/>
    </xf>
    <xf numFmtId="0" fontId="17" fillId="0" borderId="194" xfId="0" applyFont="1" applyBorder="1" applyAlignment="1">
      <alignment horizontal="center" vertical="center"/>
    </xf>
    <xf numFmtId="166" fontId="0" fillId="0" borderId="197" xfId="0" applyNumberFormat="1" applyBorder="1" applyAlignment="1">
      <alignment horizontal="center"/>
    </xf>
    <xf numFmtId="166" fontId="0" fillId="0" borderId="197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7" xfId="0" applyNumberFormat="1" applyBorder="1" applyAlignment="1">
      <alignment horizontal="center"/>
    </xf>
    <xf numFmtId="0" fontId="17" fillId="0" borderId="168" xfId="0" applyFont="1" applyBorder="1" applyAlignment="1">
      <alignment horizontal="center" vertical="center"/>
    </xf>
    <xf numFmtId="0" fontId="17" fillId="0" borderId="146" xfId="0" applyFont="1" applyBorder="1" applyAlignment="1">
      <alignment horizontal="center" vertical="center"/>
    </xf>
    <xf numFmtId="0" fontId="17" fillId="0" borderId="57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274" xfId="0" applyFont="1" applyBorder="1" applyAlignment="1">
      <alignment horizontal="center" vertical="center"/>
    </xf>
    <xf numFmtId="0" fontId="23" fillId="0" borderId="275" xfId="0" applyFont="1" applyBorder="1" applyAlignment="1">
      <alignment horizontal="center" vertical="center"/>
    </xf>
    <xf numFmtId="0" fontId="23" fillId="0" borderId="276" xfId="0" applyFont="1" applyBorder="1" applyAlignment="1">
      <alignment horizontal="center" vertical="center"/>
    </xf>
    <xf numFmtId="0" fontId="43" fillId="0" borderId="277" xfId="0" applyFont="1" applyBorder="1" applyAlignment="1">
      <alignment horizontal="center"/>
    </xf>
    <xf numFmtId="0" fontId="43" fillId="0" borderId="81" xfId="0" applyFont="1" applyBorder="1" applyAlignment="1">
      <alignment horizontal="center"/>
    </xf>
    <xf numFmtId="0" fontId="43" fillId="0" borderId="278" xfId="0" applyFont="1" applyBorder="1" applyAlignment="1">
      <alignment horizontal="center"/>
    </xf>
    <xf numFmtId="0" fontId="23" fillId="0" borderId="9" xfId="0" applyFont="1" applyBorder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23" fillId="0" borderId="89" xfId="0" applyFont="1" applyBorder="1" applyAlignment="1">
      <alignment horizontal="center" vertical="center"/>
    </xf>
    <xf numFmtId="0" fontId="23" fillId="0" borderId="124" xfId="0" applyFont="1" applyBorder="1" applyAlignment="1">
      <alignment horizontal="center" vertical="center"/>
    </xf>
    <xf numFmtId="0" fontId="23" fillId="0" borderId="90" xfId="0" applyFont="1" applyBorder="1" applyAlignment="1">
      <alignment horizontal="center" vertical="center"/>
    </xf>
    <xf numFmtId="165" fontId="25" fillId="0" borderId="134" xfId="0" applyNumberFormat="1" applyFont="1" applyBorder="1" applyAlignment="1">
      <alignment horizontal="center"/>
    </xf>
    <xf numFmtId="165" fontId="25" fillId="0" borderId="167" xfId="0" applyNumberFormat="1" applyFont="1" applyBorder="1" applyAlignment="1">
      <alignment horizontal="center"/>
    </xf>
    <xf numFmtId="165" fontId="25" fillId="0" borderId="36" xfId="0" applyNumberFormat="1" applyFont="1" applyBorder="1" applyAlignment="1">
      <alignment horizontal="center"/>
    </xf>
    <xf numFmtId="165" fontId="25" fillId="0" borderId="9" xfId="0" applyNumberFormat="1" applyFont="1" applyBorder="1" applyAlignment="1">
      <alignment horizontal="center"/>
    </xf>
    <xf numFmtId="165" fontId="25" fillId="0" borderId="5" xfId="0" applyNumberFormat="1" applyFont="1" applyBorder="1" applyAlignment="1">
      <alignment horizontal="center"/>
    </xf>
    <xf numFmtId="165" fontId="25" fillId="0" borderId="8" xfId="0" applyNumberFormat="1" applyFont="1" applyBorder="1" applyAlignment="1">
      <alignment horizontal="center"/>
    </xf>
    <xf numFmtId="165" fontId="25" fillId="0" borderId="89" xfId="0" applyNumberFormat="1" applyFont="1" applyBorder="1" applyAlignment="1">
      <alignment horizontal="center"/>
    </xf>
    <xf numFmtId="165" fontId="25" fillId="0" borderId="124" xfId="0" applyNumberFormat="1" applyFont="1" applyBorder="1" applyAlignment="1">
      <alignment horizontal="center"/>
    </xf>
    <xf numFmtId="165" fontId="25" fillId="0" borderId="90" xfId="0" applyNumberFormat="1" applyFont="1" applyBorder="1" applyAlignment="1">
      <alignment horizontal="center"/>
    </xf>
    <xf numFmtId="164" fontId="25" fillId="0" borderId="0" xfId="0" applyNumberFormat="1" applyFont="1"/>
    <xf numFmtId="166" fontId="17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1" fillId="0" borderId="0" xfId="0" applyFont="1"/>
    <xf numFmtId="166" fontId="31" fillId="0" borderId="0" xfId="0" applyNumberFormat="1" applyFont="1"/>
    <xf numFmtId="0" fontId="31" fillId="0" borderId="0" xfId="0" applyFont="1" applyAlignment="1">
      <alignment horizontal="center"/>
    </xf>
    <xf numFmtId="2" fontId="25" fillId="0" borderId="0" xfId="0" applyNumberFormat="1" applyFont="1"/>
    <xf numFmtId="2" fontId="25" fillId="0" borderId="5" xfId="0" applyNumberFormat="1" applyFont="1" applyBorder="1"/>
    <xf numFmtId="2" fontId="25" fillId="0" borderId="8" xfId="0" applyNumberFormat="1" applyFont="1" applyBorder="1"/>
    <xf numFmtId="2" fontId="25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47" xfId="0" applyBorder="1"/>
    <xf numFmtId="0" fontId="0" fillId="0" borderId="254" xfId="0" applyBorder="1"/>
    <xf numFmtId="0" fontId="25" fillId="0" borderId="195" xfId="0" applyFont="1" applyBorder="1"/>
    <xf numFmtId="0" fontId="25" fillId="0" borderId="88" xfId="0" applyFont="1" applyBorder="1"/>
    <xf numFmtId="2" fontId="25" fillId="0" borderId="144" xfId="0" applyNumberFormat="1" applyFont="1" applyBorder="1"/>
    <xf numFmtId="2" fontId="25" fillId="0" borderId="51" xfId="0" applyNumberFormat="1" applyFont="1" applyBorder="1"/>
    <xf numFmtId="2" fontId="25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5" fillId="0" borderId="195" xfId="0" applyNumberFormat="1" applyFont="1" applyBorder="1"/>
    <xf numFmtId="2" fontId="25" fillId="0" borderId="289" xfId="0" applyNumberFormat="1" applyFont="1" applyBorder="1"/>
    <xf numFmtId="0" fontId="0" fillId="0" borderId="289" xfId="0" applyBorder="1"/>
    <xf numFmtId="0" fontId="0" fillId="0" borderId="290" xfId="0" applyBorder="1"/>
    <xf numFmtId="0" fontId="0" fillId="0" borderId="169" xfId="0" applyBorder="1"/>
    <xf numFmtId="0" fontId="25" fillId="0" borderId="196" xfId="0" applyFont="1" applyBorder="1"/>
    <xf numFmtId="2" fontId="25" fillId="0" borderId="194" xfId="0" applyNumberFormat="1" applyFont="1" applyBorder="1"/>
    <xf numFmtId="2" fontId="25" fillId="0" borderId="291" xfId="0" applyNumberFormat="1" applyFont="1" applyBorder="1"/>
    <xf numFmtId="2" fontId="25" fillId="0" borderId="110" xfId="0" applyNumberFormat="1" applyFont="1" applyBorder="1"/>
    <xf numFmtId="2" fontId="25" fillId="0" borderId="135" xfId="0" applyNumberFormat="1" applyFont="1" applyBorder="1"/>
    <xf numFmtId="0" fontId="0" fillId="0" borderId="216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39" xfId="0" applyBorder="1" applyAlignment="1">
      <alignment horizontal="right"/>
    </xf>
    <xf numFmtId="0" fontId="0" fillId="0" borderId="292" xfId="0" applyBorder="1" applyAlignment="1">
      <alignment horizontal="right"/>
    </xf>
    <xf numFmtId="0" fontId="0" fillId="0" borderId="137" xfId="0" applyBorder="1" applyAlignment="1">
      <alignment horizontal="right"/>
    </xf>
    <xf numFmtId="0" fontId="0" fillId="0" borderId="141" xfId="0" applyBorder="1" applyAlignment="1">
      <alignment horizontal="right"/>
    </xf>
    <xf numFmtId="2" fontId="25" fillId="0" borderId="90" xfId="0" applyNumberFormat="1" applyFont="1" applyBorder="1"/>
    <xf numFmtId="2" fontId="25" fillId="0" borderId="88" xfId="0" applyNumberFormat="1" applyFont="1" applyBorder="1"/>
    <xf numFmtId="2" fontId="25" fillId="0" borderId="196" xfId="0" applyNumberFormat="1" applyFont="1" applyBorder="1"/>
    <xf numFmtId="2" fontId="25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6" fillId="0" borderId="293" xfId="0" applyNumberFormat="1" applyFont="1" applyBorder="1" applyAlignment="1">
      <alignment horizontal="center"/>
    </xf>
    <xf numFmtId="166" fontId="36" fillId="0" borderId="187" xfId="0" applyNumberFormat="1" applyFont="1" applyBorder="1" applyAlignment="1">
      <alignment horizontal="center"/>
    </xf>
    <xf numFmtId="0" fontId="36" fillId="0" borderId="204" xfId="0" applyFont="1" applyBorder="1" applyAlignment="1">
      <alignment horizontal="center"/>
    </xf>
    <xf numFmtId="166" fontId="36" fillId="0" borderId="56" xfId="0" applyNumberFormat="1" applyFont="1" applyBorder="1" applyAlignment="1">
      <alignment horizontal="center"/>
    </xf>
    <xf numFmtId="166" fontId="34" fillId="0" borderId="34" xfId="0" applyNumberFormat="1" applyFont="1" applyBorder="1" applyAlignment="1">
      <alignment horizontal="center"/>
    </xf>
    <xf numFmtId="49" fontId="36" fillId="35" borderId="133" xfId="0" applyNumberFormat="1" applyFont="1" applyFill="1" applyBorder="1" applyAlignment="1">
      <alignment horizontal="center"/>
    </xf>
    <xf numFmtId="49" fontId="36" fillId="36" borderId="55" xfId="0" applyNumberFormat="1" applyFont="1" applyFill="1" applyBorder="1" applyAlignment="1">
      <alignment horizontal="center"/>
    </xf>
    <xf numFmtId="49" fontId="36" fillId="37" borderId="55" xfId="0" applyNumberFormat="1" applyFont="1" applyFill="1" applyBorder="1" applyAlignment="1">
      <alignment horizontal="center"/>
    </xf>
    <xf numFmtId="49" fontId="36" fillId="38" borderId="55" xfId="0" applyNumberFormat="1" applyFont="1" applyFill="1" applyBorder="1" applyAlignment="1">
      <alignment horizontal="center"/>
    </xf>
    <xf numFmtId="49" fontId="36" fillId="39" borderId="55" xfId="0" applyNumberFormat="1" applyFont="1" applyFill="1" applyBorder="1" applyAlignment="1">
      <alignment horizontal="center"/>
    </xf>
    <xf numFmtId="49" fontId="36" fillId="40" borderId="55" xfId="0" applyNumberFormat="1" applyFont="1" applyFill="1" applyBorder="1" applyAlignment="1">
      <alignment horizontal="center"/>
    </xf>
    <xf numFmtId="49" fontId="36" fillId="41" borderId="55" xfId="0" applyNumberFormat="1" applyFont="1" applyFill="1" applyBorder="1" applyAlignment="1">
      <alignment horizontal="center"/>
    </xf>
    <xf numFmtId="49" fontId="36" fillId="42" borderId="55" xfId="0" applyNumberFormat="1" applyFont="1" applyFill="1" applyBorder="1" applyAlignment="1">
      <alignment horizontal="center"/>
    </xf>
    <xf numFmtId="49" fontId="36" fillId="43" borderId="55" xfId="0" applyNumberFormat="1" applyFont="1" applyFill="1" applyBorder="1" applyAlignment="1">
      <alignment horizontal="center"/>
    </xf>
    <xf numFmtId="49" fontId="36" fillId="51" borderId="77" xfId="0" applyNumberFormat="1" applyFont="1" applyFill="1" applyBorder="1" applyAlignment="1">
      <alignment horizontal="center"/>
    </xf>
    <xf numFmtId="49" fontId="36" fillId="52" borderId="78" xfId="0" applyNumberFormat="1" applyFont="1" applyFill="1" applyBorder="1" applyAlignment="1">
      <alignment horizontal="center"/>
    </xf>
    <xf numFmtId="49" fontId="36" fillId="53" borderId="78" xfId="0" applyNumberFormat="1" applyFont="1" applyFill="1" applyBorder="1" applyAlignment="1">
      <alignment horizontal="center"/>
    </xf>
    <xf numFmtId="49" fontId="36" fillId="54" borderId="78" xfId="0" applyNumberFormat="1" applyFont="1" applyFill="1" applyBorder="1" applyAlignment="1">
      <alignment horizontal="center"/>
    </xf>
    <xf numFmtId="49" fontId="36" fillId="55" borderId="78" xfId="0" applyNumberFormat="1" applyFont="1" applyFill="1" applyBorder="1" applyAlignment="1">
      <alignment horizontal="center"/>
    </xf>
    <xf numFmtId="49" fontId="36" fillId="56" borderId="78" xfId="0" applyNumberFormat="1" applyFont="1" applyFill="1" applyBorder="1" applyAlignment="1">
      <alignment horizontal="center"/>
    </xf>
    <xf numFmtId="49" fontId="36" fillId="57" borderId="78" xfId="0" applyNumberFormat="1" applyFont="1" applyFill="1" applyBorder="1" applyAlignment="1">
      <alignment horizontal="center"/>
    </xf>
    <xf numFmtId="49" fontId="36" fillId="58" borderId="78" xfId="0" applyNumberFormat="1" applyFont="1" applyFill="1" applyBorder="1" applyAlignment="1">
      <alignment horizontal="center"/>
    </xf>
    <xf numFmtId="49" fontId="36" fillId="59" borderId="78" xfId="0" applyNumberFormat="1" applyFont="1" applyFill="1" applyBorder="1" applyAlignment="1">
      <alignment horizontal="center"/>
    </xf>
    <xf numFmtId="0" fontId="25" fillId="0" borderId="70" xfId="0" applyFont="1" applyBorder="1" applyAlignment="1">
      <alignment horizontal="center"/>
    </xf>
    <xf numFmtId="0" fontId="25" fillId="0" borderId="5" xfId="0" applyFont="1" applyBorder="1" applyAlignment="1">
      <alignment horizontal="center"/>
    </xf>
    <xf numFmtId="166" fontId="25" fillId="0" borderId="8" xfId="0" applyNumberFormat="1" applyFont="1" applyBorder="1" applyAlignment="1">
      <alignment horizontal="center"/>
    </xf>
    <xf numFmtId="0" fontId="25" fillId="0" borderId="13" xfId="0" applyFont="1" applyBorder="1" applyAlignment="1">
      <alignment horizontal="center"/>
    </xf>
    <xf numFmtId="166" fontId="25" fillId="0" borderId="16" xfId="0" applyNumberFormat="1" applyFont="1" applyBorder="1" applyAlignment="1">
      <alignment horizontal="center"/>
    </xf>
    <xf numFmtId="166" fontId="42" fillId="0" borderId="272" xfId="0" applyNumberFormat="1" applyFont="1" applyBorder="1" applyAlignment="1">
      <alignment vertical="center"/>
    </xf>
    <xf numFmtId="0" fontId="23" fillId="0" borderId="217" xfId="0" applyFont="1" applyBorder="1" applyAlignment="1">
      <alignment horizontal="center" vertical="center"/>
    </xf>
    <xf numFmtId="0" fontId="0" fillId="0" borderId="216" xfId="0" applyBorder="1"/>
    <xf numFmtId="0" fontId="25" fillId="0" borderId="0" xfId="0" applyFont="1"/>
    <xf numFmtId="0" fontId="25" fillId="0" borderId="144" xfId="0" applyFont="1" applyBorder="1" applyAlignment="1">
      <alignment horizontal="center"/>
    </xf>
    <xf numFmtId="166" fontId="25" fillId="0" borderId="51" xfId="0" applyNumberFormat="1" applyFont="1" applyBorder="1" applyAlignment="1">
      <alignment horizontal="center"/>
    </xf>
    <xf numFmtId="166" fontId="17" fillId="0" borderId="296" xfId="0" applyNumberFormat="1" applyFont="1" applyBorder="1" applyAlignment="1">
      <alignment horizontal="center"/>
    </xf>
    <xf numFmtId="164" fontId="25" fillId="0" borderId="138" xfId="0" applyNumberFormat="1" applyFont="1" applyBorder="1" applyAlignment="1">
      <alignment horizontal="center"/>
    </xf>
    <xf numFmtId="164" fontId="25" fillId="0" borderId="144" xfId="0" applyNumberFormat="1" applyFont="1" applyBorder="1" applyAlignment="1">
      <alignment horizontal="center"/>
    </xf>
    <xf numFmtId="164" fontId="25" fillId="0" borderId="146" xfId="0" applyNumberFormat="1" applyFont="1" applyBorder="1" applyAlignment="1">
      <alignment horizontal="center"/>
    </xf>
    <xf numFmtId="164" fontId="25" fillId="0" borderId="50" xfId="0" applyNumberFormat="1" applyFont="1" applyBorder="1" applyAlignment="1">
      <alignment horizontal="center"/>
    </xf>
    <xf numFmtId="164" fontId="25" fillId="0" borderId="145" xfId="0" applyNumberFormat="1" applyFont="1" applyBorder="1" applyAlignment="1">
      <alignment horizontal="center"/>
    </xf>
    <xf numFmtId="164" fontId="25" fillId="0" borderId="143" xfId="0" applyNumberFormat="1" applyFont="1" applyBorder="1" applyAlignment="1">
      <alignment horizontal="center"/>
    </xf>
    <xf numFmtId="164" fontId="25" fillId="0" borderId="51" xfId="0" applyNumberFormat="1" applyFont="1" applyBorder="1" applyAlignment="1">
      <alignment horizontal="center"/>
    </xf>
    <xf numFmtId="164" fontId="25" fillId="0" borderId="297" xfId="0" applyNumberFormat="1" applyFont="1" applyBorder="1" applyAlignment="1">
      <alignment horizontal="center"/>
    </xf>
    <xf numFmtId="164" fontId="25" fillId="0" borderId="139" xfId="0" applyNumberFormat="1" applyFont="1" applyBorder="1" applyAlignment="1">
      <alignment horizontal="center"/>
    </xf>
    <xf numFmtId="164" fontId="25" fillId="0" borderId="194" xfId="0" applyNumberFormat="1" applyFont="1" applyBorder="1" applyAlignment="1">
      <alignment horizontal="center"/>
    </xf>
    <xf numFmtId="164" fontId="25" fillId="0" borderId="68" xfId="0" applyNumberFormat="1" applyFont="1" applyBorder="1" applyAlignment="1">
      <alignment horizontal="center"/>
    </xf>
    <xf numFmtId="164" fontId="25" fillId="0" borderId="298" xfId="0" applyNumberFormat="1" applyFont="1" applyBorder="1" applyAlignment="1">
      <alignment horizontal="center"/>
    </xf>
    <xf numFmtId="10" fontId="29" fillId="0" borderId="145" xfId="37" applyNumberFormat="1" applyFont="1" applyBorder="1" applyAlignment="1">
      <alignment horizontal="center"/>
    </xf>
    <xf numFmtId="164" fontId="25" fillId="0" borderId="299" xfId="0" applyNumberFormat="1" applyFont="1" applyBorder="1" applyAlignment="1">
      <alignment horizontal="center"/>
    </xf>
    <xf numFmtId="164" fontId="25" fillId="0" borderId="67" xfId="0" applyNumberFormat="1" applyFont="1" applyBorder="1" applyAlignment="1">
      <alignment horizontal="center"/>
    </xf>
    <xf numFmtId="164" fontId="25" fillId="0" borderId="300" xfId="0" applyNumberFormat="1" applyFont="1" applyBorder="1" applyAlignment="1">
      <alignment horizontal="center"/>
    </xf>
    <xf numFmtId="0" fontId="25" fillId="0" borderId="143" xfId="0" applyFont="1" applyBorder="1" applyAlignment="1">
      <alignment horizontal="center"/>
    </xf>
    <xf numFmtId="0" fontId="25" fillId="0" borderId="145" xfId="0" applyFont="1" applyBorder="1" applyAlignment="1">
      <alignment horizontal="center"/>
    </xf>
    <xf numFmtId="166" fontId="25" fillId="0" borderId="28" xfId="0" applyNumberFormat="1" applyFont="1" applyBorder="1" applyAlignment="1">
      <alignment horizontal="center"/>
    </xf>
    <xf numFmtId="166" fontId="25" fillId="0" borderId="9" xfId="0" applyNumberFormat="1" applyFont="1" applyBorder="1" applyAlignment="1">
      <alignment horizontal="center"/>
    </xf>
    <xf numFmtId="166" fontId="25" fillId="0" borderId="50" xfId="0" applyNumberFormat="1" applyFont="1" applyBorder="1" applyAlignment="1">
      <alignment horizontal="center"/>
    </xf>
    <xf numFmtId="166" fontId="25" fillId="0" borderId="89" xfId="0" applyNumberFormat="1" applyFont="1" applyBorder="1" applyAlignment="1">
      <alignment horizontal="center"/>
    </xf>
    <xf numFmtId="166" fontId="9" fillId="0" borderId="0" xfId="0" applyNumberFormat="1" applyFont="1"/>
    <xf numFmtId="0" fontId="30" fillId="48" borderId="70" xfId="0" applyFont="1" applyFill="1" applyBorder="1" applyAlignment="1">
      <alignment horizontal="center"/>
    </xf>
    <xf numFmtId="0" fontId="30" fillId="48" borderId="121" xfId="0" applyFont="1" applyFill="1" applyBorder="1" applyAlignment="1">
      <alignment horizontal="center"/>
    </xf>
    <xf numFmtId="0" fontId="30" fillId="48" borderId="5" xfId="0" applyFont="1" applyFill="1" applyBorder="1" applyAlignment="1">
      <alignment horizontal="center"/>
    </xf>
    <xf numFmtId="0" fontId="30" fillId="48" borderId="11" xfId="0" applyFont="1" applyFill="1" applyBorder="1" applyAlignment="1">
      <alignment horizontal="center"/>
    </xf>
    <xf numFmtId="0" fontId="30" fillId="48" borderId="144" xfId="0" applyFont="1" applyFill="1" applyBorder="1" applyAlignment="1">
      <alignment horizontal="center"/>
    </xf>
    <xf numFmtId="0" fontId="30" fillId="48" borderId="68" xfId="0" applyFont="1" applyFill="1" applyBorder="1" applyAlignment="1">
      <alignment horizontal="center"/>
    </xf>
    <xf numFmtId="0" fontId="30" fillId="48" borderId="13" xfId="0" applyFont="1" applyFill="1" applyBorder="1" applyAlignment="1">
      <alignment horizontal="center"/>
    </xf>
    <xf numFmtId="0" fontId="30" fillId="48" borderId="19" xfId="0" applyFont="1" applyFill="1" applyBorder="1" applyAlignment="1">
      <alignment horizontal="center"/>
    </xf>
    <xf numFmtId="171" fontId="25" fillId="0" borderId="4" xfId="0" applyNumberFormat="1" applyFont="1" applyBorder="1" applyAlignment="1">
      <alignment horizontal="right"/>
    </xf>
    <xf numFmtId="171" fontId="25" fillId="0" borderId="8" xfId="0" applyNumberFormat="1" applyFont="1" applyBorder="1" applyAlignment="1">
      <alignment horizontal="right"/>
    </xf>
    <xf numFmtId="172" fontId="25" fillId="0" borderId="28" xfId="0" applyNumberFormat="1" applyFont="1" applyBorder="1" applyAlignment="1">
      <alignment horizontal="right"/>
    </xf>
    <xf numFmtId="172" fontId="25" fillId="0" borderId="136" xfId="0" applyNumberFormat="1" applyFont="1" applyBorder="1" applyAlignment="1">
      <alignment horizontal="right"/>
    </xf>
    <xf numFmtId="172" fontId="25" fillId="0" borderId="9" xfId="0" applyNumberFormat="1" applyFont="1" applyBorder="1" applyAlignment="1">
      <alignment horizontal="right"/>
    </xf>
    <xf numFmtId="172" fontId="25" fillId="0" borderId="6" xfId="0" applyNumberFormat="1" applyFont="1" applyBorder="1" applyAlignment="1">
      <alignment horizontal="right"/>
    </xf>
    <xf numFmtId="171" fontId="25" fillId="44" borderId="46" xfId="0" applyNumberFormat="1" applyFont="1" applyFill="1" applyBorder="1" applyAlignment="1">
      <alignment horizontal="right" vertical="center"/>
    </xf>
    <xf numFmtId="171" fontId="25" fillId="44" borderId="45" xfId="0" applyNumberFormat="1" applyFont="1" applyFill="1" applyBorder="1" applyAlignment="1">
      <alignment horizontal="right" vertical="center"/>
    </xf>
    <xf numFmtId="172" fontId="25" fillId="44" borderId="42" xfId="0" applyNumberFormat="1" applyFont="1" applyFill="1" applyBorder="1" applyAlignment="1">
      <alignment horizontal="right" vertical="center"/>
    </xf>
    <xf numFmtId="172" fontId="25" fillId="44" borderId="43" xfId="0" applyNumberFormat="1" applyFont="1" applyFill="1" applyBorder="1" applyAlignment="1">
      <alignment horizontal="right" vertical="center"/>
    </xf>
    <xf numFmtId="171" fontId="25" fillId="0" borderId="143" xfId="0" applyNumberFormat="1" applyFont="1" applyBorder="1" applyAlignment="1">
      <alignment horizontal="right"/>
    </xf>
    <xf numFmtId="171" fontId="25" fillId="0" borderId="51" xfId="0" applyNumberFormat="1" applyFont="1" applyBorder="1" applyAlignment="1">
      <alignment horizontal="right"/>
    </xf>
    <xf numFmtId="172" fontId="25" fillId="0" borderId="50" xfId="0" applyNumberFormat="1" applyFont="1" applyBorder="1" applyAlignment="1">
      <alignment horizontal="right"/>
    </xf>
    <xf numFmtId="172" fontId="25" fillId="0" borderId="145" xfId="0" applyNumberFormat="1" applyFont="1" applyBorder="1" applyAlignment="1">
      <alignment horizontal="right"/>
    </xf>
    <xf numFmtId="171" fontId="25" fillId="0" borderId="12" xfId="0" applyNumberFormat="1" applyFont="1" applyBorder="1" applyAlignment="1">
      <alignment horizontal="right"/>
    </xf>
    <xf numFmtId="171" fontId="25" fillId="0" borderId="16" xfId="0" applyNumberFormat="1" applyFont="1" applyBorder="1" applyAlignment="1">
      <alignment horizontal="right"/>
    </xf>
    <xf numFmtId="172" fontId="25" fillId="0" borderId="17" xfId="0" applyNumberFormat="1" applyFont="1" applyBorder="1" applyAlignment="1">
      <alignment horizontal="right"/>
    </xf>
    <xf numFmtId="172" fontId="25" fillId="0" borderId="14" xfId="0" applyNumberFormat="1" applyFont="1" applyBorder="1" applyAlignment="1">
      <alignment horizontal="right"/>
    </xf>
    <xf numFmtId="172" fontId="25" fillId="0" borderId="27" xfId="0" applyNumberFormat="1" applyFont="1" applyBorder="1" applyAlignment="1">
      <alignment horizontal="right"/>
    </xf>
    <xf numFmtId="172" fontId="25" fillId="0" borderId="26" xfId="0" applyNumberFormat="1" applyFont="1" applyBorder="1" applyAlignment="1">
      <alignment horizontal="right"/>
    </xf>
    <xf numFmtId="172" fontId="25" fillId="0" borderId="23" xfId="0" applyNumberFormat="1" applyFont="1" applyBorder="1" applyAlignment="1">
      <alignment horizontal="right"/>
    </xf>
    <xf numFmtId="172" fontId="25" fillId="0" borderId="4" xfId="0" applyNumberFormat="1" applyFont="1" applyBorder="1" applyAlignment="1">
      <alignment horizontal="right"/>
    </xf>
    <xf numFmtId="172" fontId="25" fillId="0" borderId="10" xfId="0" applyNumberFormat="1" applyFont="1" applyBorder="1" applyAlignment="1">
      <alignment horizontal="right"/>
    </xf>
    <xf numFmtId="172" fontId="25" fillId="0" borderId="143" xfId="0" applyNumberFormat="1" applyFont="1" applyBorder="1" applyAlignment="1">
      <alignment horizontal="right"/>
    </xf>
    <xf numFmtId="172" fontId="25" fillId="0" borderId="146" xfId="0" applyNumberFormat="1" applyFont="1" applyBorder="1" applyAlignment="1">
      <alignment horizontal="right"/>
    </xf>
    <xf numFmtId="172" fontId="25" fillId="0" borderId="12" xfId="0" applyNumberFormat="1" applyFont="1" applyBorder="1" applyAlignment="1">
      <alignment horizontal="right"/>
    </xf>
    <xf numFmtId="172" fontId="25" fillId="0" borderId="18" xfId="0" applyNumberFormat="1" applyFont="1" applyBorder="1" applyAlignment="1">
      <alignment horizontal="right"/>
    </xf>
    <xf numFmtId="164" fontId="28" fillId="44" borderId="39" xfId="0" applyNumberFormat="1" applyFont="1" applyFill="1" applyBorder="1" applyAlignment="1">
      <alignment horizontal="right" vertical="center"/>
    </xf>
    <xf numFmtId="164" fontId="25" fillId="44" borderId="40" xfId="0" applyNumberFormat="1" applyFont="1" applyFill="1" applyBorder="1" applyAlignment="1">
      <alignment horizontal="right" vertical="center"/>
    </xf>
    <xf numFmtId="164" fontId="25" fillId="60" borderId="41" xfId="0" applyNumberFormat="1" applyFont="1" applyFill="1" applyBorder="1" applyAlignment="1">
      <alignment horizontal="right" vertical="center"/>
    </xf>
    <xf numFmtId="172" fontId="25" fillId="60" borderId="42" xfId="0" applyNumberFormat="1" applyFont="1" applyFill="1" applyBorder="1" applyAlignment="1">
      <alignment horizontal="right" vertical="center"/>
    </xf>
    <xf numFmtId="164" fontId="25" fillId="60" borderId="43" xfId="0" applyNumberFormat="1" applyFont="1" applyFill="1" applyBorder="1" applyAlignment="1">
      <alignment horizontal="right" vertical="center"/>
    </xf>
    <xf numFmtId="164" fontId="25" fillId="44" borderId="44" xfId="0" applyNumberFormat="1" applyFont="1" applyFill="1" applyBorder="1" applyAlignment="1">
      <alignment horizontal="right" vertical="center"/>
    </xf>
    <xf numFmtId="164" fontId="25" fillId="44" borderId="45" xfId="0" applyNumberFormat="1" applyFont="1" applyFill="1" applyBorder="1" applyAlignment="1">
      <alignment horizontal="right" vertical="center"/>
    </xf>
    <xf numFmtId="172" fontId="25" fillId="44" borderId="46" xfId="0" applyNumberFormat="1" applyFont="1" applyFill="1" applyBorder="1" applyAlignment="1">
      <alignment horizontal="right" vertical="center"/>
    </xf>
    <xf numFmtId="164" fontId="25" fillId="44" borderId="47" xfId="0" applyNumberFormat="1" applyFont="1" applyFill="1" applyBorder="1" applyAlignment="1">
      <alignment horizontal="right" vertical="center"/>
    </xf>
    <xf numFmtId="164" fontId="25" fillId="44" borderId="39" xfId="0" applyNumberFormat="1" applyFont="1" applyFill="1" applyBorder="1" applyAlignment="1">
      <alignment horizontal="right" vertical="center"/>
    </xf>
    <xf numFmtId="164" fontId="25" fillId="44" borderId="42" xfId="0" applyNumberFormat="1" applyFont="1" applyFill="1" applyBorder="1" applyAlignment="1">
      <alignment horizontal="right" vertical="center"/>
    </xf>
    <xf numFmtId="164" fontId="25" fillId="44" borderId="41" xfId="0" applyNumberFormat="1" applyFont="1" applyFill="1" applyBorder="1" applyAlignment="1">
      <alignment horizontal="right" vertical="center"/>
    </xf>
    <xf numFmtId="172" fontId="25" fillId="44" borderId="44" xfId="0" applyNumberFormat="1" applyFont="1" applyFill="1" applyBorder="1" applyAlignment="1">
      <alignment horizontal="right" vertical="center"/>
    </xf>
    <xf numFmtId="172" fontId="25" fillId="44" borderId="41" xfId="0" applyNumberFormat="1" applyFont="1" applyFill="1" applyBorder="1" applyAlignment="1">
      <alignment horizontal="right" vertical="center"/>
    </xf>
    <xf numFmtId="164" fontId="25" fillId="44" borderId="43" xfId="0" applyNumberFormat="1" applyFont="1" applyFill="1" applyBorder="1" applyAlignment="1">
      <alignment horizontal="right" vertical="center"/>
    </xf>
    <xf numFmtId="164" fontId="25" fillId="0" borderId="24" xfId="0" applyNumberFormat="1" applyFont="1" applyBorder="1" applyAlignment="1">
      <alignment horizontal="right"/>
    </xf>
    <xf numFmtId="164" fontId="25" fillId="0" borderId="20" xfId="0" applyNumberFormat="1" applyFont="1" applyBorder="1" applyAlignment="1">
      <alignment horizontal="right"/>
    </xf>
    <xf numFmtId="164" fontId="25" fillId="0" borderId="26" xfId="0" applyNumberFormat="1" applyFont="1" applyBorder="1" applyAlignment="1">
      <alignment horizontal="right"/>
    </xf>
    <xf numFmtId="164" fontId="25" fillId="0" borderId="23" xfId="0" applyNumberFormat="1" applyFont="1" applyBorder="1" applyAlignment="1">
      <alignment horizontal="right"/>
    </xf>
    <xf numFmtId="164" fontId="25" fillId="0" borderId="27" xfId="0" applyNumberFormat="1" applyFont="1" applyBorder="1" applyAlignment="1">
      <alignment horizontal="right"/>
    </xf>
    <xf numFmtId="164" fontId="25" fillId="0" borderId="29" xfId="0" applyNumberFormat="1" applyFont="1" applyBorder="1" applyAlignment="1">
      <alignment horizontal="right"/>
    </xf>
    <xf numFmtId="164" fontId="25" fillId="0" borderId="5" xfId="0" applyNumberFormat="1" applyFont="1" applyBorder="1" applyAlignment="1">
      <alignment horizontal="right"/>
    </xf>
    <xf numFmtId="164" fontId="25" fillId="0" borderId="7" xfId="0" applyNumberFormat="1" applyFont="1" applyBorder="1" applyAlignment="1">
      <alignment horizontal="right"/>
    </xf>
    <xf numFmtId="164" fontId="25" fillId="0" borderId="28" xfId="0" applyNumberFormat="1" applyFont="1" applyBorder="1" applyAlignment="1">
      <alignment horizontal="right"/>
    </xf>
    <xf numFmtId="164" fontId="25" fillId="0" borderId="21" xfId="0" applyNumberFormat="1" applyFont="1" applyBorder="1" applyAlignment="1">
      <alignment horizontal="right"/>
    </xf>
    <xf numFmtId="164" fontId="25" fillId="0" borderId="10" xfId="0" applyNumberFormat="1" applyFont="1" applyBorder="1" applyAlignment="1">
      <alignment horizontal="right"/>
    </xf>
    <xf numFmtId="164" fontId="25" fillId="0" borderId="6" xfId="0" applyNumberFormat="1" applyFont="1" applyBorder="1" applyAlignment="1">
      <alignment horizontal="right"/>
    </xf>
    <xf numFmtId="164" fontId="25" fillId="0" borderId="4" xfId="0" applyNumberFormat="1" applyFont="1" applyBorder="1" applyAlignment="1">
      <alignment horizontal="right"/>
    </xf>
    <xf numFmtId="164" fontId="25" fillId="0" borderId="8" xfId="0" applyNumberFormat="1" applyFont="1" applyBorder="1" applyAlignment="1">
      <alignment horizontal="right"/>
    </xf>
    <xf numFmtId="164" fontId="25" fillId="0" borderId="9" xfId="0" applyNumberFormat="1" applyFont="1" applyBorder="1" applyAlignment="1">
      <alignment horizontal="right"/>
    </xf>
    <xf numFmtId="164" fontId="25" fillId="0" borderId="138" xfId="0" applyNumberFormat="1" applyFont="1" applyBorder="1" applyAlignment="1">
      <alignment horizontal="right"/>
    </xf>
    <xf numFmtId="164" fontId="25" fillId="0" borderId="144" xfId="0" applyNumberFormat="1" applyFont="1" applyBorder="1" applyAlignment="1">
      <alignment horizontal="right"/>
    </xf>
    <xf numFmtId="164" fontId="25" fillId="0" borderId="146" xfId="0" applyNumberFormat="1" applyFont="1" applyBorder="1" applyAlignment="1">
      <alignment horizontal="right"/>
    </xf>
    <xf numFmtId="164" fontId="25" fillId="0" borderId="145" xfId="0" applyNumberFormat="1" applyFont="1" applyBorder="1" applyAlignment="1">
      <alignment horizontal="right"/>
    </xf>
    <xf numFmtId="164" fontId="25" fillId="0" borderId="143" xfId="0" applyNumberFormat="1" applyFont="1" applyBorder="1" applyAlignment="1">
      <alignment horizontal="right"/>
    </xf>
    <xf numFmtId="164" fontId="25" fillId="0" borderId="51" xfId="0" applyNumberFormat="1" applyFont="1" applyBorder="1" applyAlignment="1">
      <alignment horizontal="right"/>
    </xf>
    <xf numFmtId="164" fontId="25" fillId="0" borderId="297" xfId="0" applyNumberFormat="1" applyFont="1" applyBorder="1" applyAlignment="1">
      <alignment horizontal="right"/>
    </xf>
    <xf numFmtId="164" fontId="25" fillId="0" borderId="50" xfId="0" applyNumberFormat="1" applyFont="1" applyBorder="1" applyAlignment="1">
      <alignment horizontal="right"/>
    </xf>
    <xf numFmtId="164" fontId="25" fillId="0" borderId="22" xfId="0" applyNumberFormat="1" applyFont="1" applyBorder="1" applyAlignment="1">
      <alignment horizontal="right"/>
    </xf>
    <xf numFmtId="164" fontId="25" fillId="0" borderId="13" xfId="0" applyNumberFormat="1" applyFont="1" applyBorder="1" applyAlignment="1">
      <alignment horizontal="right"/>
    </xf>
    <xf numFmtId="164" fontId="25" fillId="0" borderId="18" xfId="0" applyNumberFormat="1" applyFont="1" applyBorder="1" applyAlignment="1">
      <alignment horizontal="right"/>
    </xf>
    <xf numFmtId="164" fontId="25" fillId="0" borderId="14" xfId="0" applyNumberFormat="1" applyFont="1" applyBorder="1" applyAlignment="1">
      <alignment horizontal="right"/>
    </xf>
    <xf numFmtId="164" fontId="25" fillId="0" borderId="12" xfId="0" applyNumberFormat="1" applyFont="1" applyBorder="1" applyAlignment="1">
      <alignment horizontal="right"/>
    </xf>
    <xf numFmtId="164" fontId="25" fillId="0" borderId="16" xfId="0" applyNumberFormat="1" applyFont="1" applyBorder="1" applyAlignment="1">
      <alignment horizontal="right"/>
    </xf>
    <xf numFmtId="164" fontId="25" fillId="0" borderId="15" xfId="0" applyNumberFormat="1" applyFont="1" applyBorder="1" applyAlignment="1">
      <alignment horizontal="right"/>
    </xf>
    <xf numFmtId="164" fontId="25" fillId="0" borderId="17" xfId="0" applyNumberFormat="1" applyFont="1" applyBorder="1" applyAlignment="1">
      <alignment horizontal="right"/>
    </xf>
    <xf numFmtId="172" fontId="25" fillId="0" borderId="58" xfId="0" applyNumberFormat="1" applyFont="1" applyBorder="1" applyAlignment="1">
      <alignment horizontal="right"/>
    </xf>
    <xf numFmtId="172" fontId="25" fillId="0" borderId="60" xfId="0" applyNumberFormat="1" applyFont="1" applyBorder="1" applyAlignment="1">
      <alignment horizontal="right"/>
    </xf>
    <xf numFmtId="172" fontId="25" fillId="0" borderId="298" xfId="0" applyNumberFormat="1" applyFont="1" applyBorder="1" applyAlignment="1">
      <alignment horizontal="right"/>
    </xf>
    <xf numFmtId="172" fontId="25" fillId="0" borderId="62" xfId="0" applyNumberFormat="1" applyFont="1" applyBorder="1" applyAlignment="1">
      <alignment horizontal="right"/>
    </xf>
    <xf numFmtId="169" fontId="25" fillId="0" borderId="59" xfId="0" applyNumberFormat="1" applyFont="1" applyBorder="1" applyAlignment="1">
      <alignment horizontal="right"/>
    </xf>
    <xf numFmtId="169" fontId="25" fillId="0" borderId="61" xfId="0" applyNumberFormat="1" applyFont="1" applyBorder="1" applyAlignment="1">
      <alignment horizontal="right"/>
    </xf>
    <xf numFmtId="169" fontId="25" fillId="0" borderId="139" xfId="0" applyNumberFormat="1" applyFont="1" applyBorder="1" applyAlignment="1">
      <alignment horizontal="right"/>
    </xf>
    <xf numFmtId="169" fontId="25" fillId="0" borderId="63" xfId="0" applyNumberFormat="1" applyFont="1" applyBorder="1" applyAlignment="1">
      <alignment horizontal="right"/>
    </xf>
    <xf numFmtId="172" fontId="25" fillId="0" borderId="195" xfId="0" applyNumberFormat="1" applyFont="1" applyBorder="1" applyAlignment="1">
      <alignment horizontal="right"/>
    </xf>
    <xf numFmtId="172" fontId="25" fillId="0" borderId="5" xfId="0" applyNumberFormat="1" applyFont="1" applyBorder="1" applyAlignment="1">
      <alignment horizontal="right"/>
    </xf>
    <xf numFmtId="172" fontId="25" fillId="0" borderId="124" xfId="0" applyNumberFormat="1" applyFont="1" applyBorder="1" applyAlignment="1">
      <alignment horizontal="right"/>
    </xf>
    <xf numFmtId="171" fontId="25" fillId="0" borderId="108" xfId="0" applyNumberFormat="1" applyFont="1" applyBorder="1" applyAlignment="1">
      <alignment horizontal="right"/>
    </xf>
    <xf numFmtId="171" fontId="25" fillId="0" borderId="29" xfId="0" applyNumberFormat="1" applyFont="1" applyBorder="1" applyAlignment="1">
      <alignment horizontal="right"/>
    </xf>
    <xf numFmtId="171" fontId="25" fillId="0" borderId="109" xfId="0" applyNumberFormat="1" applyFont="1" applyBorder="1" applyAlignment="1">
      <alignment horizontal="right"/>
    </xf>
    <xf numFmtId="171" fontId="25" fillId="0" borderId="194" xfId="0" applyNumberFormat="1" applyFont="1" applyBorder="1" applyAlignment="1">
      <alignment horizontal="right"/>
    </xf>
    <xf numFmtId="171" fontId="25" fillId="0" borderId="147" xfId="0" applyNumberFormat="1" applyFont="1" applyBorder="1" applyAlignment="1">
      <alignment horizontal="right"/>
    </xf>
    <xf numFmtId="171" fontId="25" fillId="0" borderId="196" xfId="0" applyNumberFormat="1" applyFont="1" applyBorder="1" applyAlignment="1">
      <alignment horizontal="right"/>
    </xf>
    <xf numFmtId="171" fontId="25" fillId="0" borderId="198" xfId="0" applyNumberFormat="1" applyFont="1" applyBorder="1" applyAlignment="1">
      <alignment horizontal="right"/>
    </xf>
    <xf numFmtId="171" fontId="25" fillId="0" borderId="10" xfId="0" applyNumberFormat="1" applyFont="1" applyBorder="1" applyAlignment="1">
      <alignment horizontal="right"/>
    </xf>
    <xf numFmtId="171" fontId="25" fillId="0" borderId="110" xfId="0" applyNumberFormat="1" applyFont="1" applyBorder="1" applyAlignment="1">
      <alignment horizontal="right"/>
    </xf>
    <xf numFmtId="171" fontId="25" fillId="0" borderId="132" xfId="0" applyNumberFormat="1" applyFont="1" applyBorder="1" applyAlignment="1">
      <alignment horizontal="right"/>
    </xf>
    <xf numFmtId="172" fontId="25" fillId="0" borderId="25" xfId="0" applyNumberFormat="1" applyFont="1" applyBorder="1" applyAlignment="1">
      <alignment horizontal="right"/>
    </xf>
    <xf numFmtId="172" fontId="25" fillId="0" borderId="11" xfId="0" applyNumberFormat="1" applyFont="1" applyBorder="1" applyAlignment="1">
      <alignment horizontal="right"/>
    </xf>
    <xf numFmtId="172" fontId="25" fillId="0" borderId="68" xfId="0" applyNumberFormat="1" applyFont="1" applyBorder="1" applyAlignment="1">
      <alignment horizontal="right"/>
    </xf>
    <xf numFmtId="172" fontId="25" fillId="0" borderId="19" xfId="0" applyNumberFormat="1" applyFont="1" applyBorder="1" applyAlignment="1">
      <alignment horizontal="right"/>
    </xf>
    <xf numFmtId="172" fontId="25" fillId="0" borderId="52" xfId="0" applyNumberFormat="1" applyFont="1" applyBorder="1" applyAlignment="1">
      <alignment horizontal="right"/>
    </xf>
    <xf numFmtId="172" fontId="25" fillId="0" borderId="54" xfId="0" applyNumberFormat="1" applyFont="1" applyBorder="1" applyAlignment="1">
      <alignment horizontal="right"/>
    </xf>
    <xf numFmtId="172" fontId="25" fillId="0" borderId="74" xfId="0" applyNumberFormat="1" applyFont="1" applyBorder="1" applyAlignment="1">
      <alignment horizontal="right"/>
    </xf>
    <xf numFmtId="169" fontId="25" fillId="0" borderId="20" xfId="0" applyNumberFormat="1" applyFont="1" applyBorder="1" applyAlignment="1">
      <alignment horizontal="right"/>
    </xf>
    <xf numFmtId="169" fontId="25" fillId="0" borderId="26" xfId="0" applyNumberFormat="1" applyFont="1" applyBorder="1" applyAlignment="1">
      <alignment horizontal="right"/>
    </xf>
    <xf numFmtId="169" fontId="25" fillId="0" borderId="114" xfId="0" applyNumberFormat="1" applyFont="1" applyBorder="1" applyAlignment="1">
      <alignment horizontal="right"/>
    </xf>
    <xf numFmtId="169" fontId="25" fillId="0" borderId="5" xfId="0" applyNumberFormat="1" applyFont="1" applyBorder="1" applyAlignment="1">
      <alignment horizontal="right"/>
    </xf>
    <xf numFmtId="169" fontId="25" fillId="0" borderId="10" xfId="0" applyNumberFormat="1" applyFont="1" applyBorder="1" applyAlignment="1">
      <alignment horizontal="right"/>
    </xf>
    <xf numFmtId="169" fontId="25" fillId="0" borderId="144" xfId="0" applyNumberFormat="1" applyFont="1" applyBorder="1" applyAlignment="1">
      <alignment horizontal="right"/>
    </xf>
    <xf numFmtId="169" fontId="25" fillId="0" borderId="146" xfId="0" applyNumberFormat="1" applyFont="1" applyBorder="1" applyAlignment="1">
      <alignment horizontal="right"/>
    </xf>
    <xf numFmtId="169" fontId="25" fillId="0" borderId="13" xfId="0" applyNumberFormat="1" applyFont="1" applyBorder="1" applyAlignment="1">
      <alignment horizontal="right"/>
    </xf>
    <xf numFmtId="169" fontId="25" fillId="0" borderId="18" xfId="0" applyNumberFormat="1" applyFont="1" applyBorder="1" applyAlignment="1">
      <alignment horizontal="right"/>
    </xf>
    <xf numFmtId="169" fontId="25" fillId="0" borderId="195" xfId="0" applyNumberFormat="1" applyFont="1" applyBorder="1" applyAlignment="1">
      <alignment horizontal="right"/>
    </xf>
    <xf numFmtId="169" fontId="25" fillId="0" borderId="198" xfId="0" applyNumberFormat="1" applyFont="1" applyBorder="1" applyAlignment="1">
      <alignment horizontal="right"/>
    </xf>
    <xf numFmtId="169" fontId="25" fillId="0" borderId="124" xfId="0" applyNumberFormat="1" applyFont="1" applyBorder="1" applyAlignment="1">
      <alignment horizontal="right"/>
    </xf>
    <xf numFmtId="169" fontId="25" fillId="0" borderId="132" xfId="0" applyNumberFormat="1" applyFont="1" applyBorder="1" applyAlignment="1">
      <alignment horizontal="right"/>
    </xf>
    <xf numFmtId="169" fontId="25" fillId="0" borderId="137" xfId="0" applyNumberFormat="1" applyFont="1" applyBorder="1" applyAlignment="1">
      <alignment horizontal="right"/>
    </xf>
    <xf numFmtId="169" fontId="25" fillId="0" borderId="0" xfId="0" applyNumberFormat="1" applyFont="1" applyAlignment="1">
      <alignment horizontal="right"/>
    </xf>
    <xf numFmtId="164" fontId="25" fillId="0" borderId="69" xfId="0" applyNumberFormat="1" applyFont="1" applyBorder="1" applyAlignment="1">
      <alignment horizontal="right"/>
    </xf>
    <xf numFmtId="164" fontId="25" fillId="0" borderId="70" xfId="0" applyNumberFormat="1" applyFont="1" applyBorder="1" applyAlignment="1">
      <alignment horizontal="right"/>
    </xf>
    <xf numFmtId="164" fontId="25" fillId="0" borderId="71" xfId="0" applyNumberFormat="1" applyFont="1" applyBorder="1" applyAlignment="1">
      <alignment horizontal="right"/>
    </xf>
    <xf numFmtId="164" fontId="25" fillId="0" borderId="72" xfId="0" applyNumberFormat="1" applyFont="1" applyBorder="1" applyAlignment="1">
      <alignment horizontal="right"/>
    </xf>
    <xf numFmtId="164" fontId="25" fillId="0" borderId="73" xfId="0" applyNumberFormat="1" applyFont="1" applyBorder="1" applyAlignment="1">
      <alignment horizontal="right"/>
    </xf>
    <xf numFmtId="164" fontId="30" fillId="48" borderId="69" xfId="0" applyNumberFormat="1" applyFont="1" applyFill="1" applyBorder="1" applyAlignment="1">
      <alignment horizontal="right"/>
    </xf>
    <xf numFmtId="164" fontId="30" fillId="48" borderId="70" xfId="0" applyNumberFormat="1" applyFont="1" applyFill="1" applyBorder="1" applyAlignment="1">
      <alignment horizontal="right"/>
    </xf>
    <xf numFmtId="164" fontId="30" fillId="48" borderId="71" xfId="0" applyNumberFormat="1" applyFont="1" applyFill="1" applyBorder="1" applyAlignment="1">
      <alignment horizontal="right"/>
    </xf>
    <xf numFmtId="164" fontId="30" fillId="48" borderId="72" xfId="0" applyNumberFormat="1" applyFont="1" applyFill="1" applyBorder="1" applyAlignment="1">
      <alignment horizontal="right"/>
    </xf>
    <xf numFmtId="164" fontId="30" fillId="48" borderId="73" xfId="0" applyNumberFormat="1" applyFont="1" applyFill="1" applyBorder="1" applyAlignment="1">
      <alignment horizontal="right"/>
    </xf>
    <xf numFmtId="164" fontId="30" fillId="48" borderId="4" xfId="0" applyNumberFormat="1" applyFont="1" applyFill="1" applyBorder="1" applyAlignment="1">
      <alignment horizontal="right"/>
    </xf>
    <xf numFmtId="164" fontId="30" fillId="48" borderId="5" xfId="0" applyNumberFormat="1" applyFont="1" applyFill="1" applyBorder="1" applyAlignment="1">
      <alignment horizontal="right"/>
    </xf>
    <xf numFmtId="164" fontId="30" fillId="48" borderId="10" xfId="0" applyNumberFormat="1" applyFont="1" applyFill="1" applyBorder="1" applyAlignment="1">
      <alignment horizontal="right"/>
    </xf>
    <xf numFmtId="164" fontId="30" fillId="48" borderId="9" xfId="0" applyNumberFormat="1" applyFont="1" applyFill="1" applyBorder="1" applyAlignment="1">
      <alignment horizontal="right"/>
    </xf>
    <xf numFmtId="164" fontId="30" fillId="48" borderId="8" xfId="0" applyNumberFormat="1" applyFont="1" applyFill="1" applyBorder="1" applyAlignment="1">
      <alignment horizontal="right"/>
    </xf>
    <xf numFmtId="164" fontId="30" fillId="48" borderId="143" xfId="0" applyNumberFormat="1" applyFont="1" applyFill="1" applyBorder="1" applyAlignment="1">
      <alignment horizontal="right"/>
    </xf>
    <xf numFmtId="164" fontId="30" fillId="48" borderId="144" xfId="0" applyNumberFormat="1" applyFont="1" applyFill="1" applyBorder="1" applyAlignment="1">
      <alignment horizontal="right"/>
    </xf>
    <xf numFmtId="164" fontId="30" fillId="48" borderId="146" xfId="0" applyNumberFormat="1" applyFont="1" applyFill="1" applyBorder="1" applyAlignment="1">
      <alignment horizontal="right"/>
    </xf>
    <xf numFmtId="164" fontId="30" fillId="48" borderId="50" xfId="0" applyNumberFormat="1" applyFont="1" applyFill="1" applyBorder="1" applyAlignment="1">
      <alignment horizontal="right"/>
    </xf>
    <xf numFmtId="164" fontId="30" fillId="48" borderId="51" xfId="0" applyNumberFormat="1" applyFont="1" applyFill="1" applyBorder="1" applyAlignment="1">
      <alignment horizontal="right"/>
    </xf>
    <xf numFmtId="164" fontId="30" fillId="48" borderId="12" xfId="0" applyNumberFormat="1" applyFont="1" applyFill="1" applyBorder="1" applyAlignment="1">
      <alignment horizontal="right"/>
    </xf>
    <xf numFmtId="164" fontId="30" fillId="48" borderId="13" xfId="0" applyNumberFormat="1" applyFont="1" applyFill="1" applyBorder="1" applyAlignment="1">
      <alignment horizontal="right"/>
    </xf>
    <xf numFmtId="164" fontId="30" fillId="48" borderId="18" xfId="0" applyNumberFormat="1" applyFont="1" applyFill="1" applyBorder="1" applyAlignment="1">
      <alignment horizontal="right"/>
    </xf>
    <xf numFmtId="164" fontId="30" fillId="48" borderId="17" xfId="0" applyNumberFormat="1" applyFont="1" applyFill="1" applyBorder="1" applyAlignment="1">
      <alignment horizontal="right"/>
    </xf>
    <xf numFmtId="164" fontId="30" fillId="48" borderId="16" xfId="0" applyNumberFormat="1" applyFont="1" applyFill="1" applyBorder="1" applyAlignment="1">
      <alignment horizontal="right"/>
    </xf>
    <xf numFmtId="164" fontId="25" fillId="0" borderId="90" xfId="0" applyNumberFormat="1" applyFont="1" applyBorder="1" applyAlignment="1">
      <alignment horizontal="center"/>
    </xf>
    <xf numFmtId="164" fontId="25" fillId="0" borderId="295" xfId="0" applyNumberFormat="1" applyFont="1" applyBorder="1" applyAlignment="1">
      <alignment horizontal="right"/>
    </xf>
    <xf numFmtId="164" fontId="25" fillId="0" borderId="124" xfId="0" applyNumberFormat="1" applyFont="1" applyBorder="1" applyAlignment="1">
      <alignment horizontal="right"/>
    </xf>
    <xf numFmtId="164" fontId="25" fillId="0" borderId="90" xfId="0" applyNumberFormat="1" applyFont="1" applyBorder="1" applyAlignment="1">
      <alignment horizontal="right"/>
    </xf>
    <xf numFmtId="164" fontId="25" fillId="0" borderId="89" xfId="0" applyNumberFormat="1" applyFont="1" applyBorder="1" applyAlignment="1">
      <alignment horizontal="right"/>
    </xf>
    <xf numFmtId="170" fontId="25" fillId="0" borderId="5" xfId="0" applyNumberFormat="1" applyFont="1" applyBorder="1" applyAlignment="1">
      <alignment horizontal="center"/>
    </xf>
    <xf numFmtId="170" fontId="25" fillId="0" borderId="124" xfId="0" applyNumberFormat="1" applyFont="1" applyBorder="1" applyAlignment="1">
      <alignment horizontal="center"/>
    </xf>
    <xf numFmtId="170" fontId="25" fillId="0" borderId="20" xfId="0" applyNumberFormat="1" applyFont="1" applyBorder="1" applyAlignment="1">
      <alignment horizontal="center"/>
    </xf>
    <xf numFmtId="166" fontId="25" fillId="0" borderId="26" xfId="0" applyNumberFormat="1" applyFont="1" applyBorder="1" applyAlignment="1">
      <alignment horizontal="center"/>
    </xf>
    <xf numFmtId="166" fontId="25" fillId="0" borderId="10" xfId="0" applyNumberFormat="1" applyFont="1" applyBorder="1" applyAlignment="1">
      <alignment horizontal="center"/>
    </xf>
    <xf numFmtId="166" fontId="25" fillId="0" borderId="132" xfId="0" applyNumberFormat="1" applyFont="1" applyBorder="1" applyAlignment="1">
      <alignment horizontal="center"/>
    </xf>
    <xf numFmtId="166" fontId="25" fillId="0" borderId="27" xfId="0" applyNumberFormat="1" applyFont="1" applyBorder="1" applyAlignment="1">
      <alignment horizontal="center"/>
    </xf>
    <xf numFmtId="166" fontId="25" fillId="0" borderId="4" xfId="0" applyNumberFormat="1" applyFont="1" applyBorder="1" applyAlignment="1">
      <alignment horizontal="center"/>
    </xf>
    <xf numFmtId="166" fontId="25" fillId="0" borderId="93" xfId="0" applyNumberFormat="1" applyFont="1" applyBorder="1" applyAlignment="1">
      <alignment horizontal="center"/>
    </xf>
    <xf numFmtId="0" fontId="23" fillId="61" borderId="3" xfId="0" applyFont="1" applyFill="1" applyBorder="1" applyAlignment="1">
      <alignment horizontal="center" vertical="center"/>
    </xf>
    <xf numFmtId="0" fontId="23" fillId="61" borderId="134" xfId="0" applyFont="1" applyFill="1" applyBorder="1" applyAlignment="1">
      <alignment horizontal="center" vertical="center"/>
    </xf>
    <xf numFmtId="0" fontId="17" fillId="61" borderId="49" xfId="0" applyFont="1" applyFill="1" applyBorder="1" applyAlignment="1">
      <alignment horizontal="center" vertical="center"/>
    </xf>
    <xf numFmtId="0" fontId="17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295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5" fillId="0" borderId="135" xfId="0" applyNumberFormat="1" applyFont="1" applyBorder="1" applyAlignment="1">
      <alignment horizontal="center"/>
    </xf>
    <xf numFmtId="164" fontId="25" fillId="0" borderId="69" xfId="0" applyNumberFormat="1" applyFont="1" applyBorder="1" applyAlignment="1">
      <alignment horizontal="center"/>
    </xf>
    <xf numFmtId="164" fontId="25" fillId="0" borderId="73" xfId="0" applyNumberFormat="1" applyFont="1" applyBorder="1" applyAlignment="1">
      <alignment horizontal="center"/>
    </xf>
    <xf numFmtId="0" fontId="44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5" fillId="49" borderId="20" xfId="0" applyNumberFormat="1" applyFont="1" applyFill="1" applyBorder="1" applyAlignment="1">
      <alignment horizontal="center"/>
    </xf>
    <xf numFmtId="164" fontId="25" fillId="49" borderId="5" xfId="0" applyNumberFormat="1" applyFont="1" applyFill="1" applyBorder="1" applyAlignment="1">
      <alignment horizontal="center"/>
    </xf>
    <xf numFmtId="164" fontId="25" fillId="49" borderId="124" xfId="0" applyNumberFormat="1" applyFont="1" applyFill="1" applyBorder="1" applyAlignment="1">
      <alignment horizontal="center"/>
    </xf>
    <xf numFmtId="170" fontId="25" fillId="0" borderId="29" xfId="0" applyNumberFormat="1" applyFont="1" applyBorder="1" applyAlignment="1">
      <alignment horizontal="center"/>
    </xf>
    <xf numFmtId="170" fontId="25" fillId="0" borderId="8" xfId="0" applyNumberFormat="1" applyFont="1" applyBorder="1" applyAlignment="1">
      <alignment horizontal="center"/>
    </xf>
    <xf numFmtId="170" fontId="25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3" fillId="0" borderId="0" xfId="0" applyFont="1"/>
    <xf numFmtId="164" fontId="35" fillId="0" borderId="0" xfId="0" applyNumberFormat="1" applyFont="1" applyAlignment="1">
      <alignment horizontal="center" wrapText="1"/>
    </xf>
    <xf numFmtId="0" fontId="25" fillId="0" borderId="0" xfId="0" applyFont="1" applyAlignment="1">
      <alignment horizontal="left"/>
    </xf>
    <xf numFmtId="164" fontId="25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5" fillId="49" borderId="29" xfId="0" applyNumberFormat="1" applyFont="1" applyFill="1" applyBorder="1" applyAlignment="1">
      <alignment horizontal="center"/>
    </xf>
    <xf numFmtId="1" fontId="25" fillId="49" borderId="8" xfId="0" applyNumberFormat="1" applyFont="1" applyFill="1" applyBorder="1" applyAlignment="1">
      <alignment horizontal="center"/>
    </xf>
    <xf numFmtId="1" fontId="25" fillId="49" borderId="90" xfId="0" applyNumberFormat="1" applyFont="1" applyFill="1" applyBorder="1" applyAlignment="1">
      <alignment horizontal="center"/>
    </xf>
    <xf numFmtId="3" fontId="31" fillId="49" borderId="0" xfId="0" applyNumberFormat="1" applyFont="1" applyFill="1" applyAlignment="1">
      <alignment horizontal="center"/>
    </xf>
    <xf numFmtId="3" fontId="25" fillId="49" borderId="0" xfId="0" applyNumberFormat="1" applyFont="1" applyFill="1" applyAlignment="1">
      <alignment horizontal="center"/>
    </xf>
    <xf numFmtId="0" fontId="31" fillId="49" borderId="0" xfId="0" applyFont="1" applyFill="1" applyAlignment="1">
      <alignment horizontal="center"/>
    </xf>
    <xf numFmtId="1" fontId="31" fillId="63" borderId="0" xfId="0" applyNumberFormat="1" applyFont="1" applyFill="1" applyAlignment="1">
      <alignment horizontal="center"/>
    </xf>
    <xf numFmtId="0" fontId="35" fillId="0" borderId="0" xfId="0" applyFont="1" applyAlignment="1">
      <alignment horizontal="center"/>
    </xf>
    <xf numFmtId="164" fontId="25" fillId="60" borderId="47" xfId="0" applyNumberFormat="1" applyFont="1" applyFill="1" applyBorder="1" applyAlignment="1">
      <alignment horizontal="right" vertical="center"/>
    </xf>
    <xf numFmtId="172" fontId="25" fillId="0" borderId="72" xfId="0" applyNumberFormat="1" applyFont="1" applyBorder="1" applyAlignment="1">
      <alignment horizontal="right"/>
    </xf>
    <xf numFmtId="0" fontId="23" fillId="61" borderId="30" xfId="0" applyFont="1" applyFill="1" applyBorder="1" applyAlignment="1">
      <alignment horizontal="center" vertical="center"/>
    </xf>
    <xf numFmtId="0" fontId="0" fillId="0" borderId="147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204" xfId="0" applyBorder="1" applyAlignment="1">
      <alignment horizontal="center"/>
    </xf>
    <xf numFmtId="0" fontId="25" fillId="0" borderId="135" xfId="0" applyFont="1" applyBorder="1" applyAlignment="1">
      <alignment horizontal="center"/>
    </xf>
    <xf numFmtId="0" fontId="25" fillId="0" borderId="109" xfId="0" applyFont="1" applyBorder="1" applyAlignment="1">
      <alignment horizontal="center"/>
    </xf>
    <xf numFmtId="0" fontId="25" fillId="0" borderId="110" xfId="0" applyFont="1" applyBorder="1" applyAlignment="1">
      <alignment horizontal="center"/>
    </xf>
    <xf numFmtId="0" fontId="25" fillId="0" borderId="141" xfId="0" applyFont="1" applyBorder="1" applyAlignment="1">
      <alignment horizontal="center"/>
    </xf>
    <xf numFmtId="0" fontId="25" fillId="0" borderId="61" xfId="0" applyFont="1" applyBorder="1" applyAlignment="1">
      <alignment horizontal="center"/>
    </xf>
    <xf numFmtId="0" fontId="25" fillId="0" borderId="137" xfId="0" applyFont="1" applyBorder="1" applyAlignment="1">
      <alignment horizontal="center"/>
    </xf>
    <xf numFmtId="164" fontId="0" fillId="0" borderId="206" xfId="0" applyNumberFormat="1" applyBorder="1" applyAlignment="1">
      <alignment horizontal="center"/>
    </xf>
    <xf numFmtId="164" fontId="0" fillId="0" borderId="265" xfId="0" applyNumberFormat="1" applyBorder="1" applyAlignment="1">
      <alignment horizontal="center"/>
    </xf>
    <xf numFmtId="164" fontId="0" fillId="0" borderId="266" xfId="0" applyNumberFormat="1" applyBorder="1" applyAlignment="1">
      <alignment horizontal="center"/>
    </xf>
    <xf numFmtId="164" fontId="0" fillId="0" borderId="262" xfId="0" applyNumberFormat="1" applyBorder="1" applyAlignment="1">
      <alignment horizontal="center"/>
    </xf>
    <xf numFmtId="0" fontId="25" fillId="0" borderId="69" xfId="0" applyFont="1" applyBorder="1" applyAlignment="1">
      <alignment horizontal="center"/>
    </xf>
    <xf numFmtId="0" fontId="25" fillId="0" borderId="93" xfId="0" applyFont="1" applyBorder="1" applyAlignment="1">
      <alignment horizontal="center"/>
    </xf>
    <xf numFmtId="0" fontId="25" fillId="0" borderId="53" xfId="0" applyFont="1" applyBorder="1" applyAlignment="1">
      <alignment horizontal="center"/>
    </xf>
    <xf numFmtId="0" fontId="25" fillId="0" borderId="103" xfId="0" applyFont="1" applyBorder="1" applyAlignment="1">
      <alignment horizontal="center"/>
    </xf>
    <xf numFmtId="3" fontId="25" fillId="0" borderId="135" xfId="0" applyNumberFormat="1" applyFont="1" applyBorder="1" applyAlignment="1">
      <alignment horizontal="center"/>
    </xf>
    <xf numFmtId="0" fontId="25" fillId="0" borderId="73" xfId="0" applyFont="1" applyBorder="1" applyAlignment="1">
      <alignment horizontal="center"/>
    </xf>
    <xf numFmtId="0" fontId="0" fillId="0" borderId="231" xfId="0" applyBorder="1" applyAlignment="1">
      <alignment horizontal="center"/>
    </xf>
    <xf numFmtId="0" fontId="25" fillId="0" borderId="8" xfId="0" applyFont="1" applyBorder="1" applyAlignment="1">
      <alignment horizontal="center"/>
    </xf>
    <xf numFmtId="0" fontId="17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5" fillId="0" borderId="71" xfId="0" applyFont="1" applyBorder="1" applyAlignment="1">
      <alignment horizontal="center"/>
    </xf>
    <xf numFmtId="0" fontId="25" fillId="0" borderId="10" xfId="0" applyFont="1" applyBorder="1" applyAlignment="1">
      <alignment horizontal="center"/>
    </xf>
    <xf numFmtId="0" fontId="25" fillId="0" borderId="146" xfId="0" applyFont="1" applyBorder="1" applyAlignment="1">
      <alignment horizontal="center"/>
    </xf>
    <xf numFmtId="164" fontId="0" fillId="0" borderId="138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198" xfId="0" applyBorder="1" applyAlignment="1">
      <alignment horizontal="center"/>
    </xf>
    <xf numFmtId="164" fontId="0" fillId="0" borderId="304" xfId="0" applyNumberFormat="1" applyBorder="1" applyAlignment="1">
      <alignment horizontal="center"/>
    </xf>
    <xf numFmtId="164" fontId="0" fillId="0" borderId="195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5" fillId="0" borderId="196" xfId="0" applyNumberFormat="1" applyFont="1" applyBorder="1" applyAlignment="1">
      <alignment horizontal="center"/>
    </xf>
    <xf numFmtId="164" fontId="25" fillId="0" borderId="92" xfId="0" applyNumberFormat="1" applyFont="1" applyBorder="1" applyAlignment="1">
      <alignment horizontal="center"/>
    </xf>
    <xf numFmtId="164" fontId="25" fillId="0" borderId="88" xfId="0" applyNumberFormat="1" applyFont="1" applyBorder="1" applyAlignment="1">
      <alignment horizontal="center"/>
    </xf>
    <xf numFmtId="164" fontId="25" fillId="63" borderId="109" xfId="0" applyNumberFormat="1" applyFont="1" applyFill="1" applyBorder="1" applyAlignment="1">
      <alignment horizontal="center"/>
    </xf>
    <xf numFmtId="164" fontId="25" fillId="63" borderId="6" xfId="0" applyNumberFormat="1" applyFont="1" applyFill="1" applyBorder="1" applyAlignment="1">
      <alignment horizontal="center"/>
    </xf>
    <xf numFmtId="164" fontId="25" fillId="63" borderId="110" xfId="0" applyNumberFormat="1" applyFont="1" applyFill="1" applyBorder="1" applyAlignment="1">
      <alignment horizontal="center"/>
    </xf>
    <xf numFmtId="164" fontId="25" fillId="63" borderId="98" xfId="0" applyNumberFormat="1" applyFont="1" applyFill="1" applyBorder="1" applyAlignment="1">
      <alignment horizontal="center"/>
    </xf>
    <xf numFmtId="164" fontId="25" fillId="0" borderId="223" xfId="0" applyNumberFormat="1" applyFont="1" applyBorder="1" applyAlignment="1">
      <alignment horizontal="center"/>
    </xf>
    <xf numFmtId="164" fontId="25" fillId="0" borderId="306" xfId="0" applyNumberFormat="1" applyFont="1" applyBorder="1" applyAlignment="1">
      <alignment horizontal="center"/>
    </xf>
    <xf numFmtId="164" fontId="25" fillId="0" borderId="127" xfId="0" applyNumberFormat="1" applyFont="1" applyBorder="1" applyAlignment="1">
      <alignment horizontal="center"/>
    </xf>
    <xf numFmtId="164" fontId="25" fillId="63" borderId="72" xfId="0" applyNumberFormat="1" applyFont="1" applyFill="1" applyBorder="1" applyAlignment="1">
      <alignment horizontal="center"/>
    </xf>
    <xf numFmtId="164" fontId="25" fillId="63" borderId="9" xfId="0" applyNumberFormat="1" applyFont="1" applyFill="1" applyBorder="1" applyAlignment="1">
      <alignment horizontal="center"/>
    </xf>
    <xf numFmtId="164" fontId="25" fillId="63" borderId="88" xfId="0" applyNumberFormat="1" applyFont="1" applyFill="1" applyBorder="1" applyAlignment="1">
      <alignment horizontal="center"/>
    </xf>
    <xf numFmtId="164" fontId="25" fillId="63" borderId="87" xfId="0" applyNumberFormat="1" applyFont="1" applyFill="1" applyBorder="1" applyAlignment="1">
      <alignment horizontal="center"/>
    </xf>
    <xf numFmtId="164" fontId="25" fillId="63" borderId="89" xfId="0" applyNumberFormat="1" applyFont="1" applyFill="1" applyBorder="1" applyAlignment="1">
      <alignment horizontal="center"/>
    </xf>
    <xf numFmtId="164" fontId="25" fillId="63" borderId="8" xfId="0" applyNumberFormat="1" applyFont="1" applyFill="1" applyBorder="1" applyAlignment="1">
      <alignment horizontal="center"/>
    </xf>
    <xf numFmtId="164" fontId="25" fillId="63" borderId="4" xfId="0" applyNumberFormat="1" applyFont="1" applyFill="1" applyBorder="1" applyAlignment="1">
      <alignment horizontal="center"/>
    </xf>
    <xf numFmtId="164" fontId="25" fillId="63" borderId="93" xfId="0" applyNumberFormat="1" applyFont="1" applyFill="1" applyBorder="1" applyAlignment="1">
      <alignment horizontal="center"/>
    </xf>
    <xf numFmtId="164" fontId="25" fillId="63" borderId="90" xfId="0" applyNumberFormat="1" applyFont="1" applyFill="1" applyBorder="1" applyAlignment="1">
      <alignment horizontal="center"/>
    </xf>
    <xf numFmtId="164" fontId="25" fillId="63" borderId="196" xfId="0" applyNumberFormat="1" applyFont="1" applyFill="1" applyBorder="1" applyAlignment="1">
      <alignment horizontal="center"/>
    </xf>
    <xf numFmtId="164" fontId="25" fillId="63" borderId="305" xfId="0" applyNumberFormat="1" applyFont="1" applyFill="1" applyBorder="1" applyAlignment="1">
      <alignment horizontal="center"/>
    </xf>
    <xf numFmtId="167" fontId="0" fillId="0" borderId="0" xfId="0" applyNumberFormat="1"/>
    <xf numFmtId="0" fontId="25" fillId="0" borderId="20" xfId="0" applyFont="1" applyBorder="1" applyAlignment="1">
      <alignment horizontal="center"/>
    </xf>
    <xf numFmtId="0" fontId="25" fillId="0" borderId="124" xfId="0" applyFont="1" applyBorder="1" applyAlignment="1">
      <alignment horizontal="center"/>
    </xf>
    <xf numFmtId="167" fontId="25" fillId="0" borderId="0" xfId="0" applyNumberFormat="1" applyFont="1"/>
    <xf numFmtId="0" fontId="0" fillId="0" borderId="264" xfId="0" applyBorder="1" applyAlignment="1">
      <alignment vertical="center" wrapText="1"/>
    </xf>
    <xf numFmtId="0" fontId="0" fillId="0" borderId="134" xfId="0" applyBorder="1" applyAlignment="1">
      <alignment horizontal="center"/>
    </xf>
    <xf numFmtId="0" fontId="23" fillId="0" borderId="0" xfId="0" applyFont="1" applyAlignment="1">
      <alignment horizontal="center"/>
    </xf>
    <xf numFmtId="166" fontId="25" fillId="62" borderId="108" xfId="0" applyNumberFormat="1" applyFont="1" applyFill="1" applyBorder="1" applyAlignment="1">
      <alignment horizontal="center"/>
    </xf>
    <xf numFmtId="166" fontId="25" fillId="62" borderId="109" xfId="0" applyNumberFormat="1" applyFont="1" applyFill="1" applyBorder="1" applyAlignment="1">
      <alignment horizontal="center"/>
    </xf>
    <xf numFmtId="166" fontId="25" fillId="62" borderId="110" xfId="0" applyNumberFormat="1" applyFont="1" applyFill="1" applyBorder="1" applyAlignment="1">
      <alignment horizontal="center"/>
    </xf>
    <xf numFmtId="0" fontId="25" fillId="0" borderId="9" xfId="0" applyFont="1" applyBorder="1" applyAlignment="1">
      <alignment horizontal="center"/>
    </xf>
    <xf numFmtId="0" fontId="25" fillId="0" borderId="89" xfId="0" applyFont="1" applyBorder="1" applyAlignment="1">
      <alignment horizontal="center"/>
    </xf>
    <xf numFmtId="0" fontId="25" fillId="0" borderId="72" xfId="0" applyFont="1" applyBorder="1" applyAlignment="1">
      <alignment horizontal="center"/>
    </xf>
    <xf numFmtId="174" fontId="31" fillId="0" borderId="30" xfId="0" applyNumberFormat="1" applyFont="1" applyBorder="1" applyAlignment="1">
      <alignment horizontal="center"/>
    </xf>
    <xf numFmtId="0" fontId="0" fillId="0" borderId="86" xfId="0" applyBorder="1"/>
    <xf numFmtId="164" fontId="25" fillId="0" borderId="132" xfId="0" applyNumberFormat="1" applyFont="1" applyBorder="1" applyAlignment="1">
      <alignment horizontal="center"/>
    </xf>
    <xf numFmtId="0" fontId="25" fillId="0" borderId="113" xfId="0" applyFont="1" applyBorder="1" applyAlignment="1">
      <alignment horizontal="center"/>
    </xf>
    <xf numFmtId="0" fontId="25" fillId="0" borderId="21" xfId="0" applyFont="1" applyBorder="1" applyAlignment="1">
      <alignment horizontal="center"/>
    </xf>
    <xf numFmtId="0" fontId="25" fillId="0" borderId="295" xfId="0" applyFont="1" applyBorder="1" applyAlignment="1">
      <alignment horizontal="center"/>
    </xf>
    <xf numFmtId="164" fontId="31" fillId="0" borderId="2" xfId="0" applyNumberFormat="1" applyFont="1" applyBorder="1" applyAlignment="1">
      <alignment horizontal="center"/>
    </xf>
    <xf numFmtId="0" fontId="25" fillId="0" borderId="140" xfId="0" applyFont="1" applyBorder="1" applyAlignment="1">
      <alignment horizontal="center"/>
    </xf>
    <xf numFmtId="0" fontId="0" fillId="0" borderId="246" xfId="0" applyBorder="1" applyAlignment="1">
      <alignment horizontal="center"/>
    </xf>
    <xf numFmtId="3" fontId="31" fillId="0" borderId="32" xfId="0" applyNumberFormat="1" applyFont="1" applyBorder="1" applyAlignment="1">
      <alignment horizontal="center"/>
    </xf>
    <xf numFmtId="1" fontId="31" fillId="0" borderId="3" xfId="0" applyNumberFormat="1" applyFont="1" applyBorder="1" applyAlignment="1">
      <alignment horizontal="center"/>
    </xf>
    <xf numFmtId="3" fontId="31" fillId="0" borderId="37" xfId="0" applyNumberFormat="1" applyFont="1" applyBorder="1" applyAlignment="1">
      <alignment horizontal="center"/>
    </xf>
    <xf numFmtId="0" fontId="25" fillId="0" borderId="121" xfId="0" applyFont="1" applyBorder="1" applyAlignment="1">
      <alignment horizontal="center"/>
    </xf>
    <xf numFmtId="0" fontId="25" fillId="0" borderId="11" xfId="0" applyFont="1" applyBorder="1" applyAlignment="1">
      <alignment horizontal="center"/>
    </xf>
    <xf numFmtId="0" fontId="25" fillId="0" borderId="68" xfId="0" applyFont="1" applyBorder="1" applyAlignment="1">
      <alignment horizontal="center"/>
    </xf>
    <xf numFmtId="0" fontId="25" fillId="0" borderId="19" xfId="0" applyFont="1" applyBorder="1" applyAlignment="1">
      <alignment horizontal="center"/>
    </xf>
    <xf numFmtId="0" fontId="25" fillId="0" borderId="302" xfId="0" applyFont="1" applyBorder="1" applyAlignment="1">
      <alignment horizontal="center"/>
    </xf>
    <xf numFmtId="0" fontId="25" fillId="0" borderId="249" xfId="0" applyFont="1" applyBorder="1" applyAlignment="1">
      <alignment horizontal="center"/>
    </xf>
    <xf numFmtId="0" fontId="25" fillId="0" borderId="303" xfId="0" applyFont="1" applyBorder="1" applyAlignment="1">
      <alignment horizontal="center"/>
    </xf>
    <xf numFmtId="164" fontId="25" fillId="0" borderId="71" xfId="0" applyNumberFormat="1" applyFont="1" applyBorder="1" applyAlignment="1">
      <alignment horizontal="center"/>
    </xf>
    <xf numFmtId="0" fontId="0" fillId="0" borderId="264" xfId="0" applyBorder="1" applyAlignment="1">
      <alignment horizontal="center" vertical="center" wrapText="1"/>
    </xf>
    <xf numFmtId="3" fontId="25" fillId="63" borderId="0" xfId="0" applyNumberFormat="1" applyFont="1" applyFill="1" applyAlignment="1">
      <alignment horizontal="center"/>
    </xf>
    <xf numFmtId="0" fontId="0" fillId="64" borderId="9" xfId="0" applyFill="1" applyBorder="1" applyAlignment="1">
      <alignment horizontal="center"/>
    </xf>
    <xf numFmtId="2" fontId="30" fillId="48" borderId="73" xfId="0" applyNumberFormat="1" applyFont="1" applyFill="1" applyBorder="1" applyAlignment="1">
      <alignment horizontal="center"/>
    </xf>
    <xf numFmtId="2" fontId="30" fillId="48" borderId="8" xfId="0" applyNumberFormat="1" applyFont="1" applyFill="1" applyBorder="1" applyAlignment="1">
      <alignment horizontal="center"/>
    </xf>
    <xf numFmtId="2" fontId="30" fillId="48" borderId="51" xfId="0" applyNumberFormat="1" applyFont="1" applyFill="1" applyBorder="1" applyAlignment="1">
      <alignment horizontal="center"/>
    </xf>
    <xf numFmtId="2" fontId="30" fillId="48" borderId="16" xfId="0" applyNumberFormat="1" applyFont="1" applyFill="1" applyBorder="1" applyAlignment="1">
      <alignment horizontal="center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17" xfId="0" applyBorder="1" applyAlignment="1">
      <alignment horizontal="center"/>
    </xf>
    <xf numFmtId="0" fontId="0" fillId="0" borderId="111" xfId="0" applyBorder="1" applyAlignment="1">
      <alignment horizontal="center" vertical="center" wrapText="1"/>
    </xf>
    <xf numFmtId="0" fontId="0" fillId="0" borderId="164" xfId="0" applyBorder="1" applyAlignment="1">
      <alignment horizontal="center" vertical="center"/>
    </xf>
    <xf numFmtId="0" fontId="0" fillId="0" borderId="212" xfId="0" applyBorder="1" applyAlignment="1">
      <alignment horizontal="center" vertical="center" wrapText="1"/>
    </xf>
    <xf numFmtId="164" fontId="29" fillId="0" borderId="140" xfId="37" applyNumberFormat="1" applyFont="1" applyBorder="1" applyAlignment="1">
      <alignment horizontal="center"/>
    </xf>
    <xf numFmtId="164" fontId="29" fillId="0" borderId="73" xfId="37" applyNumberFormat="1" applyFont="1" applyBorder="1" applyAlignment="1">
      <alignment horizontal="center"/>
    </xf>
    <xf numFmtId="164" fontId="29" fillId="0" borderId="141" xfId="37" applyNumberFormat="1" applyFont="1" applyBorder="1" applyAlignment="1">
      <alignment horizontal="center"/>
    </xf>
    <xf numFmtId="164" fontId="29" fillId="0" borderId="21" xfId="37" applyNumberFormat="1" applyFont="1" applyBorder="1" applyAlignment="1">
      <alignment horizontal="center"/>
    </xf>
    <xf numFmtId="164" fontId="29" fillId="0" borderId="8" xfId="37" applyNumberFormat="1" applyFont="1" applyBorder="1" applyAlignment="1">
      <alignment horizontal="center"/>
    </xf>
    <xf numFmtId="164" fontId="29" fillId="0" borderId="61" xfId="37" applyNumberFormat="1" applyFont="1" applyBorder="1" applyAlignment="1">
      <alignment horizontal="center"/>
    </xf>
    <xf numFmtId="0" fontId="25" fillId="0" borderId="138" xfId="0" applyFont="1" applyBorder="1" applyAlignment="1">
      <alignment horizontal="center"/>
    </xf>
    <xf numFmtId="0" fontId="25" fillId="0" borderId="51" xfId="0" applyFont="1" applyBorder="1" applyAlignment="1">
      <alignment horizontal="center"/>
    </xf>
    <xf numFmtId="0" fontId="25" fillId="0" borderId="139" xfId="0" applyFont="1" applyBorder="1" applyAlignment="1">
      <alignment horizontal="center"/>
    </xf>
    <xf numFmtId="0" fontId="25" fillId="0" borderId="22" xfId="0" applyFont="1" applyBorder="1" applyAlignment="1">
      <alignment horizontal="center"/>
    </xf>
    <xf numFmtId="0" fontId="25" fillId="0" borderId="16" xfId="0" applyFont="1" applyBorder="1" applyAlignment="1">
      <alignment horizontal="center"/>
    </xf>
    <xf numFmtId="0" fontId="25" fillId="0" borderId="63" xfId="0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32" xfId="0" applyFont="1" applyBorder="1" applyAlignment="1">
      <alignment horizontal="center"/>
    </xf>
    <xf numFmtId="0" fontId="30" fillId="65" borderId="222" xfId="0" applyFont="1" applyFill="1" applyBorder="1" applyAlignment="1">
      <alignment horizontal="center"/>
    </xf>
    <xf numFmtId="0" fontId="30" fillId="65" borderId="69" xfId="0" applyFont="1" applyFill="1" applyBorder="1" applyAlignment="1">
      <alignment horizontal="center"/>
    </xf>
    <xf numFmtId="0" fontId="30" fillId="65" borderId="73" xfId="0" applyFont="1" applyFill="1" applyBorder="1" applyAlignment="1">
      <alignment horizontal="center"/>
    </xf>
    <xf numFmtId="0" fontId="30" fillId="65" borderId="164" xfId="0" applyFont="1" applyFill="1" applyBorder="1" applyAlignment="1">
      <alignment horizontal="center"/>
    </xf>
    <xf numFmtId="0" fontId="30" fillId="65" borderId="53" xfId="0" applyFont="1" applyFill="1" applyBorder="1" applyAlignment="1">
      <alignment horizontal="center"/>
    </xf>
    <xf numFmtId="0" fontId="30" fillId="65" borderId="4" xfId="0" applyFont="1" applyFill="1" applyBorder="1" applyAlignment="1">
      <alignment horizontal="center"/>
    </xf>
    <xf numFmtId="0" fontId="30" fillId="65" borderId="8" xfId="0" applyFont="1" applyFill="1" applyBorder="1" applyAlignment="1">
      <alignment horizontal="center"/>
    </xf>
    <xf numFmtId="0" fontId="30" fillId="65" borderId="129" xfId="0" applyFont="1" applyFill="1" applyBorder="1" applyAlignment="1">
      <alignment horizontal="center"/>
    </xf>
    <xf numFmtId="0" fontId="30" fillId="65" borderId="103" xfId="0" applyFont="1" applyFill="1" applyBorder="1" applyAlignment="1">
      <alignment horizontal="center"/>
    </xf>
    <xf numFmtId="0" fontId="30" fillId="65" borderId="93" xfId="0" applyFont="1" applyFill="1" applyBorder="1" applyAlignment="1">
      <alignment horizontal="center"/>
    </xf>
    <xf numFmtId="0" fontId="30" fillId="65" borderId="90" xfId="0" applyFont="1" applyFill="1" applyBorder="1" applyAlignment="1">
      <alignment horizontal="center"/>
    </xf>
    <xf numFmtId="0" fontId="30" fillId="65" borderId="130" xfId="0" applyFont="1" applyFill="1" applyBorder="1" applyAlignment="1">
      <alignment horizontal="center"/>
    </xf>
    <xf numFmtId="0" fontId="47" fillId="0" borderId="0" xfId="0" applyFont="1"/>
    <xf numFmtId="0" fontId="0" fillId="0" borderId="192" xfId="0" applyBorder="1" applyAlignment="1">
      <alignment horizontal="center" vertical="center"/>
    </xf>
    <xf numFmtId="3" fontId="31" fillId="0" borderId="95" xfId="0" applyNumberFormat="1" applyFont="1" applyBorder="1" applyAlignment="1">
      <alignment horizontal="right"/>
    </xf>
    <xf numFmtId="3" fontId="31" fillId="0" borderId="77" xfId="0" applyNumberFormat="1" applyFont="1" applyBorder="1" applyAlignment="1">
      <alignment horizontal="right"/>
    </xf>
    <xf numFmtId="3" fontId="31" fillId="0" borderId="185" xfId="0" applyNumberFormat="1" applyFont="1" applyBorder="1" applyAlignment="1">
      <alignment horizontal="right"/>
    </xf>
    <xf numFmtId="3" fontId="31" fillId="0" borderId="186" xfId="0" applyNumberFormat="1" applyFont="1" applyBorder="1" applyAlignment="1">
      <alignment horizontal="right"/>
    </xf>
    <xf numFmtId="0" fontId="0" fillId="0" borderId="84" xfId="0" applyBorder="1"/>
    <xf numFmtId="1" fontId="0" fillId="0" borderId="84" xfId="0" applyNumberFormat="1" applyBorder="1"/>
    <xf numFmtId="0" fontId="0" fillId="0" borderId="320" xfId="0" applyBorder="1"/>
    <xf numFmtId="0" fontId="0" fillId="0" borderId="252" xfId="0" applyBorder="1"/>
    <xf numFmtId="0" fontId="0" fillId="0" borderId="321" xfId="0" applyBorder="1" applyAlignment="1">
      <alignment horizontal="center" vertical="center"/>
    </xf>
    <xf numFmtId="0" fontId="0" fillId="0" borderId="322" xfId="0" applyBorder="1" applyAlignment="1">
      <alignment horizontal="center" vertical="center"/>
    </xf>
    <xf numFmtId="0" fontId="0" fillId="0" borderId="323" xfId="0" applyBorder="1" applyAlignment="1">
      <alignment horizontal="center" vertical="center"/>
    </xf>
    <xf numFmtId="0" fontId="0" fillId="0" borderId="324" xfId="0" applyBorder="1" applyAlignment="1">
      <alignment horizontal="center" vertical="center" wrapText="1"/>
    </xf>
    <xf numFmtId="0" fontId="0" fillId="0" borderId="217" xfId="0" applyBorder="1" applyAlignment="1">
      <alignment horizontal="center" vertical="center" wrapText="1"/>
    </xf>
    <xf numFmtId="0" fontId="0" fillId="0" borderId="213" xfId="0" applyBorder="1" applyAlignment="1">
      <alignment horizontal="center"/>
    </xf>
    <xf numFmtId="0" fontId="0" fillId="0" borderId="210" xfId="0" applyBorder="1" applyAlignment="1">
      <alignment horizontal="center"/>
    </xf>
    <xf numFmtId="0" fontId="0" fillId="0" borderId="325" xfId="0" applyBorder="1" applyAlignment="1">
      <alignment horizontal="center" vertical="center"/>
    </xf>
    <xf numFmtId="0" fontId="0" fillId="0" borderId="326" xfId="0" applyBorder="1" applyAlignment="1">
      <alignment horizontal="center"/>
    </xf>
    <xf numFmtId="0" fontId="47" fillId="0" borderId="329" xfId="0" applyFont="1" applyBorder="1"/>
    <xf numFmtId="0" fontId="0" fillId="0" borderId="314" xfId="0" applyBorder="1" applyAlignment="1">
      <alignment horizontal="center" wrapText="1"/>
    </xf>
    <xf numFmtId="164" fontId="31" fillId="0" borderId="318" xfId="0" applyNumberFormat="1" applyFont="1" applyBorder="1"/>
    <xf numFmtId="3" fontId="31" fillId="0" borderId="95" xfId="0" applyNumberFormat="1" applyFont="1" applyBorder="1"/>
    <xf numFmtId="3" fontId="31" fillId="0" borderId="187" xfId="0" applyNumberFormat="1" applyFont="1" applyBorder="1"/>
    <xf numFmtId="3" fontId="31" fillId="0" borderId="165" xfId="0" applyNumberFormat="1" applyFont="1" applyBorder="1"/>
    <xf numFmtId="3" fontId="31" fillId="0" borderId="327" xfId="0" applyNumberFormat="1" applyFont="1" applyBorder="1"/>
    <xf numFmtId="3" fontId="31" fillId="0" borderId="315" xfId="0" applyNumberFormat="1" applyFont="1" applyBorder="1"/>
    <xf numFmtId="164" fontId="31" fillId="0" borderId="319" xfId="0" applyNumberFormat="1" applyFont="1" applyBorder="1"/>
    <xf numFmtId="3" fontId="31" fillId="0" borderId="77" xfId="0" applyNumberFormat="1" applyFont="1" applyBorder="1"/>
    <xf numFmtId="3" fontId="31" fillId="0" borderId="96" xfId="0" applyNumberFormat="1" applyFont="1" applyBorder="1"/>
    <xf numFmtId="3" fontId="31" fillId="0" borderId="78" xfId="0" applyNumberFormat="1" applyFont="1" applyBorder="1"/>
    <xf numFmtId="3" fontId="31" fillId="0" borderId="328" xfId="0" applyNumberFormat="1" applyFont="1" applyBorder="1"/>
    <xf numFmtId="3" fontId="31" fillId="0" borderId="316" xfId="0" applyNumberFormat="1" applyFont="1" applyBorder="1"/>
    <xf numFmtId="10" fontId="31" fillId="0" borderId="312" xfId="0" applyNumberFormat="1" applyFont="1" applyBorder="1"/>
    <xf numFmtId="10" fontId="31" fillId="0" borderId="313" xfId="0" applyNumberFormat="1" applyFont="1" applyBorder="1"/>
    <xf numFmtId="164" fontId="31" fillId="0" borderId="165" xfId="0" applyNumberFormat="1" applyFont="1" applyBorder="1"/>
    <xf numFmtId="164" fontId="31" fillId="0" borderId="327" xfId="0" applyNumberFormat="1" applyFont="1" applyBorder="1"/>
    <xf numFmtId="164" fontId="31" fillId="0" borderId="78" xfId="0" applyNumberFormat="1" applyFont="1" applyBorder="1"/>
    <xf numFmtId="164" fontId="31" fillId="0" borderId="328" xfId="0" applyNumberFormat="1" applyFont="1" applyBorder="1"/>
    <xf numFmtId="3" fontId="25" fillId="0" borderId="330" xfId="0" applyNumberFormat="1" applyFont="1" applyBorder="1" applyAlignment="1">
      <alignment horizontal="center" vertical="center"/>
    </xf>
    <xf numFmtId="3" fontId="25" fillId="0" borderId="331" xfId="0" applyNumberFormat="1" applyFont="1" applyBorder="1" applyAlignment="1">
      <alignment horizontal="center" vertical="center"/>
    </xf>
    <xf numFmtId="3" fontId="25" fillId="0" borderId="332" xfId="0" applyNumberFormat="1" applyFont="1" applyBorder="1" applyAlignment="1">
      <alignment horizontal="center" vertical="center"/>
    </xf>
    <xf numFmtId="3" fontId="25" fillId="0" borderId="333" xfId="0" applyNumberFormat="1" applyFont="1" applyBorder="1" applyAlignment="1">
      <alignment horizontal="center" vertical="center"/>
    </xf>
    <xf numFmtId="3" fontId="25" fillId="0" borderId="334" xfId="0" applyNumberFormat="1" applyFont="1" applyBorder="1" applyAlignment="1">
      <alignment horizontal="center" vertical="center"/>
    </xf>
    <xf numFmtId="3" fontId="25" fillId="0" borderId="335" xfId="0" applyNumberFormat="1" applyFont="1" applyBorder="1" applyAlignment="1">
      <alignment horizontal="center" vertical="center"/>
    </xf>
    <xf numFmtId="0" fontId="0" fillId="0" borderId="319" xfId="0" applyBorder="1" applyAlignment="1">
      <alignment horizontal="center" vertical="center" wrapText="1"/>
    </xf>
    <xf numFmtId="164" fontId="3" fillId="0" borderId="78" xfId="37" applyNumberFormat="1" applyBorder="1" applyAlignment="1">
      <alignment horizontal="center" vertical="center"/>
    </xf>
    <xf numFmtId="0" fontId="0" fillId="0" borderId="310" xfId="0" applyBorder="1" applyAlignment="1">
      <alignment horizontal="center" vertical="center" wrapText="1"/>
    </xf>
    <xf numFmtId="164" fontId="3" fillId="0" borderId="309" xfId="37" applyNumberFormat="1" applyBorder="1" applyAlignment="1">
      <alignment horizontal="center" vertical="center"/>
    </xf>
    <xf numFmtId="0" fontId="3" fillId="0" borderId="336" xfId="37" applyBorder="1" applyAlignment="1">
      <alignment horizontal="center" vertical="center"/>
    </xf>
    <xf numFmtId="0" fontId="3" fillId="0" borderId="337" xfId="37" applyBorder="1" applyAlignment="1">
      <alignment horizontal="center" vertical="center"/>
    </xf>
    <xf numFmtId="3" fontId="25" fillId="0" borderId="339" xfId="0" applyNumberFormat="1" applyFont="1" applyBorder="1" applyAlignment="1">
      <alignment horizontal="center" vertical="center"/>
    </xf>
    <xf numFmtId="3" fontId="25" fillId="0" borderId="340" xfId="0" applyNumberFormat="1" applyFont="1" applyBorder="1" applyAlignment="1">
      <alignment horizontal="center" vertical="center"/>
    </xf>
    <xf numFmtId="0" fontId="0" fillId="0" borderId="341" xfId="0" applyBorder="1" applyAlignment="1">
      <alignment horizontal="center" vertical="center"/>
    </xf>
    <xf numFmtId="0" fontId="0" fillId="0" borderId="215" xfId="0" applyBorder="1" applyAlignment="1">
      <alignment horizontal="center"/>
    </xf>
    <xf numFmtId="0" fontId="0" fillId="0" borderId="176" xfId="0" applyBorder="1" applyAlignment="1">
      <alignment horizontal="center"/>
    </xf>
    <xf numFmtId="0" fontId="0" fillId="0" borderId="345" xfId="0" applyBorder="1" applyAlignment="1">
      <alignment horizontal="center" vertical="center" wrapText="1"/>
    </xf>
    <xf numFmtId="0" fontId="0" fillId="0" borderId="272" xfId="0" applyBorder="1"/>
    <xf numFmtId="0" fontId="0" fillId="0" borderId="346" xfId="0" applyBorder="1"/>
    <xf numFmtId="0" fontId="0" fillId="0" borderId="348" xfId="0" applyBorder="1" applyAlignment="1">
      <alignment horizontal="center" vertical="center"/>
    </xf>
    <xf numFmtId="0" fontId="0" fillId="0" borderId="347" xfId="0" applyBorder="1" applyAlignment="1">
      <alignment horizontal="center" vertical="center" wrapText="1"/>
    </xf>
    <xf numFmtId="0" fontId="0" fillId="0" borderId="349" xfId="0" applyBorder="1" applyAlignment="1">
      <alignment horizontal="center" vertical="center" wrapText="1"/>
    </xf>
    <xf numFmtId="0" fontId="0" fillId="0" borderId="351" xfId="0" applyBorder="1" applyAlignment="1">
      <alignment horizontal="center" vertical="center" wrapText="1"/>
    </xf>
    <xf numFmtId="0" fontId="0" fillId="0" borderId="353" xfId="0" applyBorder="1" applyAlignment="1">
      <alignment horizontal="center" vertical="center" wrapText="1"/>
    </xf>
    <xf numFmtId="0" fontId="0" fillId="0" borderId="356" xfId="0" applyBorder="1" applyAlignment="1">
      <alignment horizontal="center" vertical="center" wrapText="1"/>
    </xf>
    <xf numFmtId="172" fontId="31" fillId="0" borderId="354" xfId="0" applyNumberFormat="1" applyFont="1" applyBorder="1"/>
    <xf numFmtId="172" fontId="31" fillId="0" borderId="95" xfId="0" applyNumberFormat="1" applyFont="1" applyBorder="1"/>
    <xf numFmtId="172" fontId="31" fillId="0" borderId="357" xfId="0" applyNumberFormat="1" applyFont="1" applyBorder="1"/>
    <xf numFmtId="172" fontId="31" fillId="0" borderId="352" xfId="0" applyNumberFormat="1" applyFont="1" applyBorder="1"/>
    <xf numFmtId="172" fontId="31" fillId="0" borderId="101" xfId="0" applyNumberFormat="1" applyFont="1" applyBorder="1"/>
    <xf numFmtId="172" fontId="31" fillId="0" borderId="343" xfId="0" applyNumberFormat="1" applyFont="1" applyBorder="1"/>
    <xf numFmtId="172" fontId="31" fillId="0" borderId="348" xfId="0" applyNumberFormat="1" applyFont="1" applyBorder="1"/>
    <xf numFmtId="172" fontId="31" fillId="0" borderId="77" xfId="0" applyNumberFormat="1" applyFont="1" applyBorder="1"/>
    <xf numFmtId="172" fontId="31" fillId="0" borderId="355" xfId="0" applyNumberFormat="1" applyFont="1" applyBorder="1"/>
    <xf numFmtId="172" fontId="31" fillId="0" borderId="350" xfId="0" applyNumberFormat="1" applyFont="1" applyBorder="1"/>
    <xf numFmtId="172" fontId="31" fillId="0" borderId="344" xfId="0" applyNumberFormat="1" applyFont="1" applyBorder="1"/>
    <xf numFmtId="0" fontId="0" fillId="0" borderId="77" xfId="0" applyBorder="1" applyAlignment="1">
      <alignment horizontal="center" vertical="center" wrapText="1"/>
    </xf>
    <xf numFmtId="0" fontId="23" fillId="0" borderId="212" xfId="0" applyFont="1" applyBorder="1" applyAlignment="1">
      <alignment horizontal="center" vertical="center"/>
    </xf>
    <xf numFmtId="0" fontId="25" fillId="0" borderId="223" xfId="0" applyFont="1" applyBorder="1" applyAlignment="1">
      <alignment horizontal="center"/>
    </xf>
    <xf numFmtId="0" fontId="25" fillId="0" borderId="126" xfId="0" applyFont="1" applyBorder="1" applyAlignment="1">
      <alignment horizontal="center"/>
    </xf>
    <xf numFmtId="0" fontId="25" fillId="0" borderId="299" xfId="0" applyFont="1" applyBorder="1" applyAlignment="1">
      <alignment horizontal="center"/>
    </xf>
    <xf numFmtId="0" fontId="25" fillId="0" borderId="193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23" fillId="0" borderId="179" xfId="0" applyFont="1" applyBorder="1" applyAlignment="1">
      <alignment horizontal="center"/>
    </xf>
    <xf numFmtId="0" fontId="23" fillId="0" borderId="180" xfId="0" applyFont="1" applyBorder="1" applyAlignment="1">
      <alignment horizontal="center"/>
    </xf>
    <xf numFmtId="49" fontId="25" fillId="0" borderId="0" xfId="0" applyNumberFormat="1" applyFont="1" applyAlignment="1">
      <alignment horizontal="center"/>
    </xf>
    <xf numFmtId="0" fontId="0" fillId="0" borderId="136" xfId="0" applyBorder="1" applyAlignment="1">
      <alignment horizontal="center"/>
    </xf>
    <xf numFmtId="0" fontId="0" fillId="0" borderId="14" xfId="0" applyBorder="1" applyAlignment="1">
      <alignment horizontal="center"/>
    </xf>
    <xf numFmtId="166" fontId="25" fillId="0" borderId="73" xfId="0" applyNumberFormat="1" applyFont="1" applyBorder="1" applyAlignment="1">
      <alignment horizontal="center"/>
    </xf>
    <xf numFmtId="164" fontId="30" fillId="48" borderId="70" xfId="0" applyNumberFormat="1" applyFont="1" applyFill="1" applyBorder="1" applyAlignment="1">
      <alignment horizontal="center"/>
    </xf>
    <xf numFmtId="164" fontId="30" fillId="48" borderId="5" xfId="0" applyNumberFormat="1" applyFont="1" applyFill="1" applyBorder="1" applyAlignment="1">
      <alignment horizontal="center"/>
    </xf>
    <xf numFmtId="164" fontId="30" fillId="48" borderId="144" xfId="0" applyNumberFormat="1" applyFont="1" applyFill="1" applyBorder="1" applyAlignment="1">
      <alignment horizontal="center"/>
    </xf>
    <xf numFmtId="164" fontId="30" fillId="48" borderId="13" xfId="0" applyNumberFormat="1" applyFont="1" applyFill="1" applyBorder="1" applyAlignment="1">
      <alignment horizontal="center"/>
    </xf>
    <xf numFmtId="166" fontId="30" fillId="48" borderId="73" xfId="0" applyNumberFormat="1" applyFont="1" applyFill="1" applyBorder="1" applyAlignment="1">
      <alignment horizontal="center"/>
    </xf>
    <xf numFmtId="166" fontId="30" fillId="48" borderId="8" xfId="0" applyNumberFormat="1" applyFont="1" applyFill="1" applyBorder="1" applyAlignment="1">
      <alignment horizontal="center"/>
    </xf>
    <xf numFmtId="166" fontId="30" fillId="48" borderId="51" xfId="0" applyNumberFormat="1" applyFont="1" applyFill="1" applyBorder="1" applyAlignment="1">
      <alignment horizontal="center"/>
    </xf>
    <xf numFmtId="166" fontId="30" fillId="48" borderId="16" xfId="0" applyNumberFormat="1" applyFont="1" applyFill="1" applyBorder="1" applyAlignment="1">
      <alignment horizontal="center"/>
    </xf>
    <xf numFmtId="169" fontId="25" fillId="0" borderId="59" xfId="0" applyNumberFormat="1" applyFont="1" applyBorder="1" applyAlignment="1">
      <alignment horizontal="center"/>
    </xf>
    <xf numFmtId="169" fontId="25" fillId="0" borderId="61" xfId="0" applyNumberFormat="1" applyFont="1" applyBorder="1" applyAlignment="1">
      <alignment horizontal="center"/>
    </xf>
    <xf numFmtId="169" fontId="25" fillId="0" borderId="139" xfId="0" applyNumberFormat="1" applyFont="1" applyBorder="1" applyAlignment="1">
      <alignment horizontal="center"/>
    </xf>
    <xf numFmtId="169" fontId="25" fillId="0" borderId="63" xfId="0" applyNumberFormat="1" applyFont="1" applyBorder="1" applyAlignment="1">
      <alignment horizontal="center"/>
    </xf>
    <xf numFmtId="170" fontId="25" fillId="0" borderId="58" xfId="0" applyNumberFormat="1" applyFont="1" applyBorder="1" applyAlignment="1">
      <alignment horizontal="center"/>
    </xf>
    <xf numFmtId="170" fontId="25" fillId="0" borderId="60" xfId="0" applyNumberFormat="1" applyFont="1" applyBorder="1" applyAlignment="1">
      <alignment horizontal="center"/>
    </xf>
    <xf numFmtId="170" fontId="25" fillId="0" borderId="298" xfId="0" applyNumberFormat="1" applyFont="1" applyBorder="1" applyAlignment="1">
      <alignment horizontal="center"/>
    </xf>
    <xf numFmtId="170" fontId="25" fillId="0" borderId="62" xfId="0" applyNumberFormat="1" applyFont="1" applyBorder="1" applyAlignment="1">
      <alignment horizontal="center"/>
    </xf>
    <xf numFmtId="167" fontId="25" fillId="0" borderId="0" xfId="0" applyNumberFormat="1" applyFont="1" applyAlignment="1">
      <alignment horizontal="center"/>
    </xf>
    <xf numFmtId="166" fontId="25" fillId="0" borderId="0" xfId="0" applyNumberFormat="1" applyFont="1" applyAlignment="1">
      <alignment horizontal="center" vertical="center"/>
    </xf>
    <xf numFmtId="171" fontId="0" fillId="0" borderId="0" xfId="0" applyNumberFormat="1" applyAlignment="1">
      <alignment horizontal="center"/>
    </xf>
    <xf numFmtId="174" fontId="25" fillId="0" borderId="0" xfId="43" applyNumberFormat="1" applyFont="1" applyAlignment="1">
      <alignment horizontal="center"/>
    </xf>
    <xf numFmtId="171" fontId="25" fillId="0" borderId="0" xfId="0" applyNumberFormat="1" applyFont="1" applyAlignment="1">
      <alignment horizontal="center"/>
    </xf>
    <xf numFmtId="10" fontId="0" fillId="0" borderId="0" xfId="0" applyNumberFormat="1" applyAlignment="1">
      <alignment horizontal="center"/>
    </xf>
    <xf numFmtId="10" fontId="25" fillId="0" borderId="0" xfId="0" applyNumberFormat="1" applyFont="1" applyAlignment="1">
      <alignment horizontal="center"/>
    </xf>
    <xf numFmtId="171" fontId="25" fillId="44" borderId="0" xfId="0" applyNumberFormat="1" applyFont="1" applyFill="1" applyAlignment="1">
      <alignment horizontal="center"/>
    </xf>
    <xf numFmtId="10" fontId="25" fillId="0" borderId="0" xfId="0" applyNumberFormat="1" applyFont="1"/>
    <xf numFmtId="175" fontId="0" fillId="0" borderId="0" xfId="0" applyNumberFormat="1"/>
    <xf numFmtId="0" fontId="0" fillId="49" borderId="0" xfId="0" applyFill="1" applyAlignment="1">
      <alignment horizontal="center"/>
    </xf>
    <xf numFmtId="175" fontId="25" fillId="49" borderId="0" xfId="0" applyNumberFormat="1" applyFont="1" applyFill="1" applyAlignment="1">
      <alignment horizontal="center"/>
    </xf>
    <xf numFmtId="175" fontId="31" fillId="49" borderId="0" xfId="0" applyNumberFormat="1" applyFont="1" applyFill="1" applyAlignment="1">
      <alignment horizontal="center"/>
    </xf>
    <xf numFmtId="175" fontId="3" fillId="49" borderId="0" xfId="37" applyNumberFormat="1" applyFill="1" applyAlignment="1">
      <alignment horizontal="center"/>
    </xf>
    <xf numFmtId="175" fontId="25" fillId="45" borderId="0" xfId="0" applyNumberFormat="1" applyFont="1" applyFill="1" applyAlignment="1">
      <alignment horizontal="center"/>
    </xf>
    <xf numFmtId="175" fontId="0" fillId="49" borderId="0" xfId="0" applyNumberFormat="1" applyFill="1" applyAlignment="1">
      <alignment horizontal="center"/>
    </xf>
    <xf numFmtId="175" fontId="31" fillId="0" borderId="0" xfId="0" applyNumberFormat="1" applyFont="1"/>
    <xf numFmtId="0" fontId="25" fillId="67" borderId="0" xfId="0" applyFont="1" applyFill="1" applyAlignment="1">
      <alignment horizontal="center"/>
    </xf>
    <xf numFmtId="0" fontId="31" fillId="46" borderId="0" xfId="0" applyFont="1" applyFill="1" applyAlignment="1">
      <alignment horizontal="center"/>
    </xf>
    <xf numFmtId="0" fontId="25" fillId="46" borderId="0" xfId="0" applyFont="1" applyFill="1" applyAlignment="1">
      <alignment horizontal="center"/>
    </xf>
    <xf numFmtId="0" fontId="25" fillId="49" borderId="0" xfId="0" applyFont="1" applyFill="1" applyAlignment="1">
      <alignment horizontal="center"/>
    </xf>
    <xf numFmtId="175" fontId="25" fillId="46" borderId="0" xfId="0" applyNumberFormat="1" applyFont="1" applyFill="1" applyAlignment="1">
      <alignment horizontal="center"/>
    </xf>
    <xf numFmtId="4" fontId="0" fillId="0" borderId="0" xfId="0" applyNumberFormat="1"/>
    <xf numFmtId="0" fontId="0" fillId="0" borderId="86" xfId="0" applyBorder="1" applyAlignment="1">
      <alignment horizontal="center"/>
    </xf>
    <xf numFmtId="0" fontId="2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59" xfId="0" applyBorder="1" applyAlignment="1">
      <alignment horizontal="center"/>
    </xf>
    <xf numFmtId="0" fontId="0" fillId="0" borderId="201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99" xfId="0" applyBorder="1" applyAlignment="1">
      <alignment horizontal="center" vertical="center" textRotation="90"/>
    </xf>
    <xf numFmtId="0" fontId="0" fillId="0" borderId="165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3" xfId="0" applyBorder="1" applyAlignment="1">
      <alignment horizontal="center" vertical="center"/>
    </xf>
    <xf numFmtId="0" fontId="0" fillId="0" borderId="204" xfId="0" applyBorder="1" applyAlignment="1">
      <alignment horizontal="center" vertical="center"/>
    </xf>
    <xf numFmtId="0" fontId="0" fillId="34" borderId="75" xfId="0" applyFill="1" applyBorder="1" applyAlignment="1">
      <alignment horizontal="center"/>
    </xf>
    <xf numFmtId="0" fontId="0" fillId="34" borderId="200" xfId="0" applyFill="1" applyBorder="1" applyAlignment="1">
      <alignment horizontal="center"/>
    </xf>
    <xf numFmtId="0" fontId="0" fillId="0" borderId="186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0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165" fontId="25" fillId="0" borderId="201" xfId="0" applyNumberFormat="1" applyFont="1" applyBorder="1" applyAlignment="1">
      <alignment horizontal="center" vertical="center"/>
    </xf>
    <xf numFmtId="165" fontId="25" fillId="0" borderId="165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134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2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88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2" xfId="0" applyFont="1" applyBorder="1" applyAlignment="1">
      <alignment horizontal="center" vertical="center"/>
    </xf>
    <xf numFmtId="0" fontId="0" fillId="0" borderId="202" xfId="0" applyBorder="1" applyAlignment="1">
      <alignment horizontal="center"/>
    </xf>
    <xf numFmtId="0" fontId="0" fillId="34" borderId="199" xfId="0" applyFill="1" applyBorder="1" applyAlignment="1">
      <alignment horizontal="center"/>
    </xf>
    <xf numFmtId="2" fontId="25" fillId="0" borderId="201" xfId="0" applyNumberFormat="1" applyFont="1" applyBorder="1" applyAlignment="1">
      <alignment horizontal="center" vertical="center"/>
    </xf>
    <xf numFmtId="2" fontId="25" fillId="0" borderId="165" xfId="0" applyNumberFormat="1" applyFont="1" applyBorder="1" applyAlignment="1">
      <alignment horizontal="center" vertical="center"/>
    </xf>
    <xf numFmtId="165" fontId="25" fillId="0" borderId="205" xfId="0" applyNumberFormat="1" applyFont="1" applyBorder="1" applyAlignment="1">
      <alignment horizontal="center" vertical="center"/>
    </xf>
    <xf numFmtId="165" fontId="25" fillId="0" borderId="206" xfId="0" applyNumberFormat="1" applyFont="1" applyBorder="1" applyAlignment="1">
      <alignment horizontal="center" vertical="center"/>
    </xf>
    <xf numFmtId="0" fontId="0" fillId="33" borderId="186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25" xfId="0" applyBorder="1" applyAlignment="1">
      <alignment horizontal="center"/>
    </xf>
    <xf numFmtId="0" fontId="0" fillId="0" borderId="190" xfId="0" applyBorder="1" applyAlignment="1">
      <alignment horizontal="center"/>
    </xf>
    <xf numFmtId="0" fontId="0" fillId="0" borderId="207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167" xfId="0" applyBorder="1" applyAlignment="1">
      <alignment horizontal="center"/>
    </xf>
    <xf numFmtId="0" fontId="31" fillId="0" borderId="0" xfId="0" applyFont="1" applyAlignment="1">
      <alignment horizontal="center" wrapText="1"/>
    </xf>
    <xf numFmtId="0" fontId="0" fillId="0" borderId="16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28" xfId="0" applyBorder="1" applyAlignment="1">
      <alignment horizontal="center"/>
    </xf>
    <xf numFmtId="0" fontId="0" fillId="0" borderId="250" xfId="0" applyBorder="1" applyAlignment="1">
      <alignment horizontal="center"/>
    </xf>
    <xf numFmtId="0" fontId="0" fillId="0" borderId="247" xfId="0" applyBorder="1" applyAlignment="1">
      <alignment horizontal="center"/>
    </xf>
    <xf numFmtId="0" fontId="0" fillId="0" borderId="173" xfId="0" applyBorder="1" applyAlignment="1">
      <alignment horizontal="center"/>
    </xf>
    <xf numFmtId="0" fontId="0" fillId="0" borderId="209" xfId="0" applyBorder="1" applyAlignment="1">
      <alignment horizontal="center"/>
    </xf>
    <xf numFmtId="0" fontId="0" fillId="0" borderId="191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7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5" fillId="0" borderId="128" xfId="0" applyFont="1" applyBorder="1" applyAlignment="1">
      <alignment horizontal="center" vertical="center"/>
    </xf>
    <xf numFmtId="0" fontId="25" fillId="0" borderId="129" xfId="0" applyFont="1" applyBorder="1" applyAlignment="1">
      <alignment horizontal="center" vertical="center"/>
    </xf>
    <xf numFmtId="0" fontId="25" fillId="0" borderId="130" xfId="0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54" xfId="0" applyBorder="1"/>
    <xf numFmtId="0" fontId="0" fillId="0" borderId="217" xfId="0" applyBorder="1"/>
    <xf numFmtId="0" fontId="25" fillId="0" borderId="29" xfId="0" applyFont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3" xfId="0" applyBorder="1" applyAlignment="1">
      <alignment horizontal="center" vertical="center" wrapText="1"/>
    </xf>
    <xf numFmtId="0" fontId="25" fillId="0" borderId="112" xfId="0" applyFont="1" applyBorder="1" applyAlignment="1">
      <alignment horizontal="center" vertical="center"/>
    </xf>
    <xf numFmtId="0" fontId="25" fillId="0" borderId="60" xfId="0" applyFont="1" applyBorder="1" applyAlignment="1">
      <alignment horizontal="center" vertical="center"/>
    </xf>
    <xf numFmtId="0" fontId="25" fillId="0" borderId="107" xfId="0" applyFont="1" applyBorder="1" applyAlignment="1">
      <alignment horizontal="center" vertical="center"/>
    </xf>
    <xf numFmtId="2" fontId="25" fillId="0" borderId="123" xfId="0" applyNumberFormat="1" applyFont="1" applyBorder="1" applyAlignment="1">
      <alignment horizontal="center" vertical="center"/>
    </xf>
    <xf numFmtId="2" fontId="25" fillId="0" borderId="54" xfId="0" applyNumberFormat="1" applyFont="1" applyBorder="1" applyAlignment="1">
      <alignment horizontal="center" vertical="center"/>
    </xf>
    <xf numFmtId="2" fontId="25" fillId="0" borderId="74" xfId="0" applyNumberFormat="1" applyFont="1" applyBorder="1" applyAlignment="1">
      <alignment horizontal="center" vertical="center"/>
    </xf>
    <xf numFmtId="165" fontId="25" fillId="0" borderId="28" xfId="0" applyNumberFormat="1" applyFont="1" applyBorder="1" applyAlignment="1">
      <alignment horizontal="center" vertical="center"/>
    </xf>
    <xf numFmtId="165" fontId="25" fillId="0" borderId="9" xfId="0" applyNumberFormat="1" applyFont="1" applyBorder="1" applyAlignment="1">
      <alignment horizontal="center" vertical="center"/>
    </xf>
    <xf numFmtId="165" fontId="25" fillId="0" borderId="89" xfId="0" applyNumberFormat="1" applyFont="1" applyBorder="1" applyAlignment="1">
      <alignment horizontal="center" vertical="center"/>
    </xf>
    <xf numFmtId="165" fontId="25" fillId="0" borderId="123" xfId="0" applyNumberFormat="1" applyFont="1" applyBorder="1" applyAlignment="1">
      <alignment horizontal="center" vertical="center"/>
    </xf>
    <xf numFmtId="165" fontId="25" fillId="0" borderId="54" xfId="0" applyNumberFormat="1" applyFont="1" applyBorder="1" applyAlignment="1">
      <alignment horizontal="center" vertical="center"/>
    </xf>
    <xf numFmtId="165" fontId="25" fillId="0" borderId="74" xfId="0" applyNumberFormat="1" applyFont="1" applyBorder="1" applyAlignment="1">
      <alignment horizontal="center" vertical="center"/>
    </xf>
    <xf numFmtId="0" fontId="0" fillId="0" borderId="161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14" xfId="0" applyBorder="1" applyAlignment="1">
      <alignment horizontal="center" vertical="center" wrapText="1"/>
    </xf>
    <xf numFmtId="0" fontId="0" fillId="0" borderId="215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165" fontId="25" fillId="0" borderId="113" xfId="0" applyNumberFormat="1" applyFont="1" applyBorder="1" applyAlignment="1">
      <alignment horizontal="center" vertical="center"/>
    </xf>
    <xf numFmtId="165" fontId="25" fillId="0" borderId="53" xfId="0" applyNumberFormat="1" applyFont="1" applyBorder="1" applyAlignment="1">
      <alignment horizontal="center" vertical="center"/>
    </xf>
    <xf numFmtId="165" fontId="25" fillId="0" borderId="103" xfId="0" applyNumberFormat="1" applyFont="1" applyBorder="1" applyAlignment="1">
      <alignment horizontal="center" vertical="center"/>
    </xf>
    <xf numFmtId="1" fontId="31" fillId="0" borderId="54" xfId="0" applyNumberFormat="1" applyFont="1" applyBorder="1" applyAlignment="1">
      <alignment horizontal="center" vertical="center"/>
    </xf>
    <xf numFmtId="1" fontId="31" fillId="0" borderId="74" xfId="0" applyNumberFormat="1" applyFont="1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2" xfId="0" applyBorder="1" applyAlignment="1">
      <alignment horizontal="center" vertical="center"/>
    </xf>
    <xf numFmtId="0" fontId="0" fillId="0" borderId="208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191" xfId="0" applyBorder="1" applyAlignment="1">
      <alignment horizontal="center" vertical="center"/>
    </xf>
    <xf numFmtId="0" fontId="0" fillId="0" borderId="211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23" fillId="0" borderId="171" xfId="0" applyFont="1" applyBorder="1" applyAlignment="1">
      <alignment horizontal="center" vertical="center"/>
    </xf>
    <xf numFmtId="0" fontId="23" fillId="0" borderId="178" xfId="0" applyFont="1" applyBorder="1" applyAlignment="1">
      <alignment horizontal="center" vertical="center"/>
    </xf>
    <xf numFmtId="0" fontId="23" fillId="0" borderId="103" xfId="0" applyFont="1" applyBorder="1" applyAlignment="1">
      <alignment horizontal="center" vertical="center"/>
    </xf>
    <xf numFmtId="0" fontId="23" fillId="0" borderId="127" xfId="0" applyFont="1" applyBorder="1" applyAlignment="1">
      <alignment horizontal="center" vertical="center"/>
    </xf>
    <xf numFmtId="0" fontId="23" fillId="0" borderId="131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/>
    </xf>
    <xf numFmtId="0" fontId="23" fillId="0" borderId="191" xfId="0" applyFont="1" applyBorder="1" applyAlignment="1">
      <alignment horizontal="center"/>
    </xf>
    <xf numFmtId="0" fontId="23" fillId="0" borderId="234" xfId="0" applyFont="1" applyBorder="1" applyAlignment="1">
      <alignment horizontal="center"/>
    </xf>
    <xf numFmtId="0" fontId="23" fillId="0" borderId="79" xfId="0" applyFont="1" applyBorder="1" applyAlignment="1">
      <alignment horizontal="center"/>
    </xf>
    <xf numFmtId="0" fontId="23" fillId="0" borderId="97" xfId="0" applyFont="1" applyBorder="1" applyAlignment="1">
      <alignment horizontal="center"/>
    </xf>
    <xf numFmtId="0" fontId="0" fillId="0" borderId="241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0" fillId="0" borderId="260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31" fillId="0" borderId="135" xfId="0" applyFont="1" applyBorder="1" applyAlignment="1">
      <alignment horizontal="center"/>
    </xf>
    <xf numFmtId="0" fontId="31" fillId="0" borderId="73" xfId="0" applyFont="1" applyBorder="1" applyAlignment="1">
      <alignment horizontal="center"/>
    </xf>
    <xf numFmtId="0" fontId="0" fillId="0" borderId="264" xfId="0" applyBorder="1" applyAlignment="1">
      <alignment horizontal="center" vertical="center" wrapText="1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3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7" fillId="0" borderId="242" xfId="0" applyFont="1" applyBorder="1" applyAlignment="1">
      <alignment horizontal="center" vertical="center"/>
    </xf>
    <xf numFmtId="0" fontId="17" fillId="0" borderId="127" xfId="0" applyFont="1" applyBorder="1" applyAlignment="1">
      <alignment horizontal="center" vertical="center"/>
    </xf>
    <xf numFmtId="0" fontId="17" fillId="0" borderId="131" xfId="0" applyFont="1" applyBorder="1" applyAlignment="1">
      <alignment horizontal="center" vertical="center"/>
    </xf>
    <xf numFmtId="0" fontId="23" fillId="0" borderId="209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 vertical="center"/>
    </xf>
    <xf numFmtId="0" fontId="23" fillId="0" borderId="208" xfId="0" applyFont="1" applyBorder="1" applyAlignment="1">
      <alignment horizontal="center" vertical="center"/>
    </xf>
    <xf numFmtId="0" fontId="23" fillId="0" borderId="122" xfId="0" applyFont="1" applyBorder="1" applyAlignment="1">
      <alignment horizontal="center" vertical="center"/>
    </xf>
    <xf numFmtId="0" fontId="23" fillId="0" borderId="170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94" xfId="0" applyFont="1" applyBorder="1" applyAlignment="1">
      <alignment horizontal="center" vertical="center"/>
    </xf>
    <xf numFmtId="0" fontId="23" fillId="0" borderId="232" xfId="0" applyFont="1" applyBorder="1" applyAlignment="1">
      <alignment horizontal="center" vertical="center"/>
    </xf>
    <xf numFmtId="0" fontId="23" fillId="0" borderId="233" xfId="0" applyFont="1" applyBorder="1" applyAlignment="1">
      <alignment horizontal="center" vertical="center"/>
    </xf>
    <xf numFmtId="0" fontId="38" fillId="0" borderId="241" xfId="0" applyFont="1" applyBorder="1" applyAlignment="1">
      <alignment horizontal="center" vertical="center"/>
    </xf>
    <xf numFmtId="0" fontId="38" fillId="0" borderId="83" xfId="0" applyFont="1" applyBorder="1" applyAlignment="1">
      <alignment horizontal="center" vertical="center"/>
    </xf>
    <xf numFmtId="0" fontId="38" fillId="0" borderId="251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8" fillId="0" borderId="252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vertical="center" wrapText="1"/>
    </xf>
    <xf numFmtId="0" fontId="23" fillId="0" borderId="145" xfId="0" applyFont="1" applyBorder="1" applyAlignment="1">
      <alignment horizontal="center" vertical="center" wrapText="1"/>
    </xf>
    <xf numFmtId="0" fontId="0" fillId="0" borderId="236" xfId="0" applyBorder="1" applyAlignment="1">
      <alignment horizontal="center"/>
    </xf>
    <xf numFmtId="0" fontId="0" fillId="0" borderId="237" xfId="0" applyBorder="1" applyAlignment="1">
      <alignment horizontal="center"/>
    </xf>
    <xf numFmtId="0" fontId="0" fillId="0" borderId="238" xfId="0" applyBorder="1" applyAlignment="1">
      <alignment horizontal="center" vertical="center" wrapText="1"/>
    </xf>
    <xf numFmtId="0" fontId="0" fillId="0" borderId="204" xfId="0" applyBorder="1" applyAlignment="1">
      <alignment horizontal="center" vertical="center" wrapText="1"/>
    </xf>
    <xf numFmtId="0" fontId="0" fillId="0" borderId="239" xfId="0" applyBorder="1" applyAlignment="1">
      <alignment horizontal="center" vertical="center" wrapText="1"/>
    </xf>
    <xf numFmtId="0" fontId="0" fillId="0" borderId="240" xfId="0" applyBorder="1" applyAlignment="1">
      <alignment horizontal="center" vertical="center" wrapText="1"/>
    </xf>
    <xf numFmtId="0" fontId="17" fillId="0" borderId="249" xfId="0" applyFont="1" applyBorder="1" applyAlignment="1">
      <alignment horizontal="center" vertical="center"/>
    </xf>
    <xf numFmtId="0" fontId="17" fillId="0" borderId="158" xfId="0" applyFont="1" applyBorder="1" applyAlignment="1">
      <alignment horizontal="center" vertical="center"/>
    </xf>
    <xf numFmtId="0" fontId="17" fillId="0" borderId="250" xfId="0" applyFont="1" applyBorder="1" applyAlignment="1">
      <alignment horizontal="center" vertical="center"/>
    </xf>
    <xf numFmtId="0" fontId="17" fillId="0" borderId="174" xfId="0" applyFont="1" applyBorder="1" applyAlignment="1">
      <alignment horizontal="center" vertical="center"/>
    </xf>
    <xf numFmtId="0" fontId="17" fillId="0" borderId="247" xfId="0" applyFont="1" applyBorder="1" applyAlignment="1">
      <alignment horizontal="center" vertical="center"/>
    </xf>
    <xf numFmtId="0" fontId="17" fillId="0" borderId="175" xfId="0" applyFont="1" applyBorder="1" applyAlignment="1">
      <alignment horizontal="center" vertical="center"/>
    </xf>
    <xf numFmtId="173" fontId="45" fillId="0" borderId="272" xfId="0" applyNumberFormat="1" applyFont="1" applyBorder="1" applyAlignment="1">
      <alignment horizontal="center" vertical="center"/>
    </xf>
    <xf numFmtId="0" fontId="23" fillId="0" borderId="134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17" fillId="0" borderId="231" xfId="0" applyFont="1" applyBorder="1" applyAlignment="1">
      <alignment horizontal="center" vertical="center"/>
    </xf>
    <xf numFmtId="0" fontId="17" fillId="0" borderId="253" xfId="0" applyFont="1" applyBorder="1" applyAlignment="1">
      <alignment horizontal="center" vertical="center"/>
    </xf>
    <xf numFmtId="0" fontId="39" fillId="0" borderId="84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19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35" xfId="0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23" fillId="0" borderId="83" xfId="0" applyFont="1" applyBorder="1" applyAlignment="1">
      <alignment horizontal="center" vertical="center"/>
    </xf>
    <xf numFmtId="0" fontId="23" fillId="0" borderId="238" xfId="0" applyFont="1" applyBorder="1" applyAlignment="1">
      <alignment horizontal="center" vertical="center"/>
    </xf>
    <xf numFmtId="0" fontId="23" fillId="0" borderId="84" xfId="0" applyFont="1" applyBorder="1" applyAlignment="1">
      <alignment horizontal="center" vertical="center"/>
    </xf>
    <xf numFmtId="0" fontId="23" fillId="0" borderId="197" xfId="0" applyFont="1" applyBorder="1" applyAlignment="1">
      <alignment horizontal="center" vertical="center"/>
    </xf>
    <xf numFmtId="0" fontId="23" fillId="0" borderId="85" xfId="0" applyFont="1" applyBorder="1" applyAlignment="1">
      <alignment horizontal="center" vertical="center"/>
    </xf>
    <xf numFmtId="0" fontId="23" fillId="0" borderId="86" xfId="0" applyFont="1" applyBorder="1" applyAlignment="1">
      <alignment horizontal="center" vertical="center"/>
    </xf>
    <xf numFmtId="0" fontId="23" fillId="0" borderId="235" xfId="0" applyFont="1" applyBorder="1" applyAlignment="1">
      <alignment horizontal="center" vertical="center"/>
    </xf>
    <xf numFmtId="0" fontId="23" fillId="0" borderId="82" xfId="0" applyFont="1" applyBorder="1" applyAlignment="1">
      <alignment horizontal="center" vertical="center"/>
    </xf>
    <xf numFmtId="0" fontId="23" fillId="0" borderId="221" xfId="0" applyFont="1" applyBorder="1" applyAlignment="1">
      <alignment horizontal="center" vertical="center"/>
    </xf>
    <xf numFmtId="0" fontId="25" fillId="0" borderId="135" xfId="0" applyFont="1" applyBorder="1" applyAlignment="1">
      <alignment horizontal="center" vertical="center"/>
    </xf>
    <xf numFmtId="0" fontId="25" fillId="0" borderId="70" xfId="0" applyFont="1" applyBorder="1" applyAlignment="1">
      <alignment horizontal="center" vertical="center"/>
    </xf>
    <xf numFmtId="0" fontId="23" fillId="0" borderId="244" xfId="0" applyFont="1" applyBorder="1" applyAlignment="1">
      <alignment horizontal="center" vertical="center"/>
    </xf>
    <xf numFmtId="0" fontId="17" fillId="0" borderId="248" xfId="0" applyFont="1" applyBorder="1" applyAlignment="1">
      <alignment horizontal="center" vertical="center"/>
    </xf>
    <xf numFmtId="0" fontId="23" fillId="0" borderId="69" xfId="0" applyFont="1" applyBorder="1" applyAlignment="1">
      <alignment horizontal="center" vertical="center"/>
    </xf>
    <xf numFmtId="0" fontId="23" fillId="0" borderId="70" xfId="0" applyFont="1" applyBorder="1" applyAlignment="1">
      <alignment horizontal="center" vertical="center"/>
    </xf>
    <xf numFmtId="0" fontId="23" fillId="0" borderId="71" xfId="0" applyFont="1" applyBorder="1" applyAlignment="1">
      <alignment horizontal="center" vertical="center"/>
    </xf>
    <xf numFmtId="0" fontId="23" fillId="0" borderId="72" xfId="0" applyFont="1" applyBorder="1" applyAlignment="1">
      <alignment horizontal="center" vertical="center"/>
    </xf>
    <xf numFmtId="0" fontId="23" fillId="0" borderId="73" xfId="0" applyFont="1" applyBorder="1" applyAlignment="1">
      <alignment horizontal="center" vertical="center"/>
    </xf>
    <xf numFmtId="0" fontId="17" fillId="0" borderId="254" xfId="0" applyFont="1" applyBorder="1" applyAlignment="1">
      <alignment horizontal="center" vertical="center"/>
    </xf>
    <xf numFmtId="0" fontId="17" fillId="0" borderId="176" xfId="0" applyFont="1" applyBorder="1" applyAlignment="1">
      <alignment horizontal="center" vertical="center"/>
    </xf>
    <xf numFmtId="0" fontId="17" fillId="0" borderId="209" xfId="0" applyFont="1" applyBorder="1" applyAlignment="1">
      <alignment horizontal="center" vertical="center"/>
    </xf>
    <xf numFmtId="0" fontId="17" fillId="0" borderId="191" xfId="0" applyFont="1" applyBorder="1" applyAlignment="1">
      <alignment horizontal="center" vertical="center"/>
    </xf>
    <xf numFmtId="0" fontId="17" fillId="0" borderId="255" xfId="0" applyFont="1" applyBorder="1" applyAlignment="1">
      <alignment horizontal="center" vertical="center"/>
    </xf>
    <xf numFmtId="0" fontId="23" fillId="0" borderId="136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0" fillId="0" borderId="166" xfId="0" applyBorder="1" applyAlignment="1">
      <alignment horizontal="center" wrapText="1"/>
    </xf>
    <xf numFmtId="0" fontId="23" fillId="0" borderId="245" xfId="0" applyFont="1" applyBorder="1" applyAlignment="1">
      <alignment horizontal="center" vertical="center"/>
    </xf>
    <xf numFmtId="0" fontId="23" fillId="0" borderId="246" xfId="0" applyFont="1" applyBorder="1" applyAlignment="1">
      <alignment horizontal="center" vertical="center"/>
    </xf>
    <xf numFmtId="0" fontId="23" fillId="0" borderId="247" xfId="0" applyFont="1" applyBorder="1" applyAlignment="1">
      <alignment horizontal="center" vertical="center"/>
    </xf>
    <xf numFmtId="0" fontId="23" fillId="0" borderId="175" xfId="0" applyFont="1" applyBorder="1" applyAlignment="1">
      <alignment horizontal="center" vertical="center"/>
    </xf>
    <xf numFmtId="0" fontId="23" fillId="0" borderId="248" xfId="0" applyFont="1" applyBorder="1" applyAlignment="1">
      <alignment horizontal="center" vertical="center"/>
    </xf>
    <xf numFmtId="0" fontId="17" fillId="0" borderId="130" xfId="0" applyFont="1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17" fillId="0" borderId="224" xfId="0" applyFont="1" applyBorder="1" applyAlignment="1">
      <alignment horizontal="center" vertical="center"/>
    </xf>
    <xf numFmtId="0" fontId="17" fillId="0" borderId="223" xfId="0" applyFont="1" applyBorder="1" applyAlignment="1">
      <alignment horizontal="center" vertical="center"/>
    </xf>
    <xf numFmtId="0" fontId="17" fillId="0" borderId="121" xfId="0" applyFont="1" applyBorder="1" applyAlignment="1">
      <alignment horizontal="center" vertical="center"/>
    </xf>
    <xf numFmtId="0" fontId="38" fillId="0" borderId="238" xfId="0" applyFont="1" applyBorder="1" applyAlignment="1">
      <alignment horizontal="center" vertical="center"/>
    </xf>
    <xf numFmtId="0" fontId="38" fillId="0" borderId="197" xfId="0" applyFont="1" applyBorder="1" applyAlignment="1">
      <alignment horizontal="center" vertical="center"/>
    </xf>
    <xf numFmtId="0" fontId="35" fillId="0" borderId="209" xfId="0" applyFont="1" applyBorder="1" applyAlignment="1">
      <alignment horizontal="center" vertical="center"/>
    </xf>
    <xf numFmtId="0" fontId="35" fillId="0" borderId="231" xfId="0" applyFont="1" applyBorder="1" applyAlignment="1">
      <alignment horizontal="center" vertical="center"/>
    </xf>
    <xf numFmtId="0" fontId="35" fillId="0" borderId="122" xfId="0" applyFont="1" applyBorder="1" applyAlignment="1">
      <alignment horizontal="center" vertical="center"/>
    </xf>
    <xf numFmtId="0" fontId="23" fillId="0" borderId="242" xfId="0" applyFont="1" applyBorder="1" applyAlignment="1">
      <alignment horizontal="center" vertical="center"/>
    </xf>
    <xf numFmtId="0" fontId="38" fillId="0" borderId="82" xfId="0" applyFont="1" applyBorder="1" applyAlignment="1">
      <alignment horizontal="center" vertical="center"/>
    </xf>
    <xf numFmtId="0" fontId="38" fillId="0" borderId="85" xfId="0" applyFont="1" applyBorder="1" applyAlignment="1">
      <alignment horizontal="center" vertical="center"/>
    </xf>
    <xf numFmtId="0" fontId="38" fillId="0" borderId="86" xfId="0" applyFont="1" applyBorder="1" applyAlignment="1">
      <alignment horizontal="center" vertical="center"/>
    </xf>
    <xf numFmtId="0" fontId="38" fillId="0" borderId="256" xfId="0" applyFont="1" applyBorder="1" applyAlignment="1">
      <alignment horizontal="center" vertical="center"/>
    </xf>
    <xf numFmtId="0" fontId="0" fillId="47" borderId="211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07" xfId="0" applyFill="1" applyBorder="1" applyAlignment="1">
      <alignment horizontal="center"/>
    </xf>
    <xf numFmtId="0" fontId="0" fillId="0" borderId="220" xfId="0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164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231" xfId="0" applyBorder="1" applyAlignment="1">
      <alignment horizontal="center"/>
    </xf>
    <xf numFmtId="0" fontId="0" fillId="0" borderId="220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8" fillId="0" borderId="189" xfId="0" applyFont="1" applyBorder="1" applyAlignment="1">
      <alignment horizontal="center" vertical="center"/>
    </xf>
    <xf numFmtId="0" fontId="38" fillId="0" borderId="235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14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7" fillId="0" borderId="122" xfId="0" applyFont="1" applyBorder="1" applyAlignment="1">
      <alignment horizontal="center" vertical="center"/>
    </xf>
    <xf numFmtId="0" fontId="17" fillId="0" borderId="136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17" fillId="0" borderId="103" xfId="0" applyFont="1" applyBorder="1" applyAlignment="1">
      <alignment horizontal="center" vertical="center"/>
    </xf>
    <xf numFmtId="0" fontId="3" fillId="0" borderId="166" xfId="37" applyBorder="1" applyAlignment="1">
      <alignment horizontal="center" vertical="center"/>
    </xf>
    <xf numFmtId="0" fontId="3" fillId="0" borderId="228" xfId="37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189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48" borderId="211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07" xfId="0" applyFill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231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09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1" fillId="0" borderId="218" xfId="0" applyNumberFormat="1" applyFont="1" applyBorder="1" applyAlignment="1">
      <alignment horizontal="center" vertical="center"/>
    </xf>
    <xf numFmtId="167" fontId="31" fillId="0" borderId="220" xfId="0" applyNumberFormat="1" applyFont="1" applyBorder="1" applyAlignment="1">
      <alignment horizontal="center" vertical="center"/>
    </xf>
    <xf numFmtId="167" fontId="31" fillId="0" borderId="229" xfId="0" applyNumberFormat="1" applyFont="1" applyBorder="1" applyAlignment="1">
      <alignment horizontal="center" vertical="center"/>
    </xf>
    <xf numFmtId="167" fontId="31" fillId="0" borderId="224" xfId="0" applyNumberFormat="1" applyFont="1" applyBorder="1" applyAlignment="1">
      <alignment horizontal="center" vertical="center"/>
    </xf>
    <xf numFmtId="0" fontId="31" fillId="0" borderId="119" xfId="0" applyFont="1" applyBorder="1" applyAlignment="1">
      <alignment horizontal="center" vertical="center"/>
    </xf>
    <xf numFmtId="0" fontId="31" fillId="0" borderId="218" xfId="0" applyFont="1" applyBorder="1" applyAlignment="1">
      <alignment horizontal="center" vertical="center"/>
    </xf>
    <xf numFmtId="0" fontId="31" fillId="0" borderId="121" xfId="0" applyFont="1" applyBorder="1" applyAlignment="1">
      <alignment horizontal="center" vertical="center"/>
    </xf>
    <xf numFmtId="0" fontId="31" fillId="0" borderId="229" xfId="0" applyFont="1" applyBorder="1" applyAlignment="1">
      <alignment horizontal="center" vertical="center"/>
    </xf>
    <xf numFmtId="0" fontId="0" fillId="0" borderId="355" xfId="0" applyBorder="1" applyAlignment="1">
      <alignment horizontal="center" vertical="center" wrapText="1"/>
    </xf>
    <xf numFmtId="0" fontId="0" fillId="0" borderId="350" xfId="0" applyBorder="1" applyAlignment="1">
      <alignment horizontal="center" vertical="center" wrapText="1"/>
    </xf>
    <xf numFmtId="0" fontId="0" fillId="0" borderId="307" xfId="0" applyBorder="1" applyAlignment="1">
      <alignment horizontal="center" vertical="center"/>
    </xf>
    <xf numFmtId="0" fontId="0" fillId="0" borderId="342" xfId="0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254" xfId="0" applyBorder="1" applyAlignment="1">
      <alignment horizontal="center" vertical="center" wrapText="1"/>
    </xf>
    <xf numFmtId="0" fontId="0" fillId="0" borderId="176" xfId="0" applyBorder="1" applyAlignment="1">
      <alignment horizontal="center" vertical="center" wrapText="1"/>
    </xf>
    <xf numFmtId="0" fontId="0" fillId="45" borderId="75" xfId="0" applyFill="1" applyBorder="1" applyAlignment="1">
      <alignment horizontal="center" vertical="center" wrapText="1"/>
    </xf>
    <xf numFmtId="0" fontId="0" fillId="45" borderId="210" xfId="0" applyFill="1" applyBorder="1" applyAlignment="1">
      <alignment horizontal="center" vertical="center" wrapText="1"/>
    </xf>
    <xf numFmtId="0" fontId="0" fillId="0" borderId="223" xfId="0" applyBorder="1" applyAlignment="1">
      <alignment horizontal="center" wrapText="1"/>
    </xf>
    <xf numFmtId="0" fontId="0" fillId="0" borderId="223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72" xfId="0" applyBorder="1" applyAlignment="1">
      <alignment horizontal="center" vertical="center"/>
    </xf>
    <xf numFmtId="0" fontId="0" fillId="0" borderId="179" xfId="0" applyBorder="1" applyAlignment="1">
      <alignment horizontal="center" vertical="center"/>
    </xf>
    <xf numFmtId="0" fontId="0" fillId="0" borderId="134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0" fillId="0" borderId="69" xfId="0" applyBorder="1" applyAlignment="1">
      <alignment horizontal="center"/>
    </xf>
    <xf numFmtId="0" fontId="0" fillId="49" borderId="234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6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228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5" xfId="0" applyBorder="1" applyAlignment="1">
      <alignment horizontal="center"/>
    </xf>
    <xf numFmtId="0" fontId="0" fillId="0" borderId="338" xfId="0" applyBorder="1" applyAlignment="1">
      <alignment horizontal="center"/>
    </xf>
    <xf numFmtId="0" fontId="0" fillId="0" borderId="311" xfId="0" applyBorder="1" applyAlignment="1">
      <alignment horizontal="center"/>
    </xf>
    <xf numFmtId="0" fontId="0" fillId="0" borderId="317" xfId="0" applyBorder="1" applyAlignment="1">
      <alignment horizontal="center"/>
    </xf>
    <xf numFmtId="0" fontId="0" fillId="0" borderId="222" xfId="0" applyBorder="1" applyAlignment="1">
      <alignment horizontal="center"/>
    </xf>
    <xf numFmtId="0" fontId="0" fillId="0" borderId="267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269" xfId="0" applyBorder="1" applyAlignment="1">
      <alignment horizontal="center"/>
    </xf>
    <xf numFmtId="0" fontId="17" fillId="45" borderId="211" xfId="0" applyFont="1" applyFill="1" applyBorder="1" applyAlignment="1">
      <alignment horizontal="center"/>
    </xf>
    <xf numFmtId="0" fontId="17" fillId="45" borderId="76" xfId="0" applyFont="1" applyFill="1" applyBorder="1" applyAlignment="1">
      <alignment horizontal="center"/>
    </xf>
    <xf numFmtId="0" fontId="17" fillId="45" borderId="207" xfId="0" applyFont="1" applyFill="1" applyBorder="1" applyAlignment="1">
      <alignment horizontal="center"/>
    </xf>
    <xf numFmtId="0" fontId="0" fillId="0" borderId="224" xfId="0" applyBorder="1" applyAlignment="1">
      <alignment horizontal="center"/>
    </xf>
    <xf numFmtId="0" fontId="0" fillId="0" borderId="164" xfId="0" applyBorder="1" applyAlignment="1">
      <alignment horizontal="center"/>
    </xf>
    <xf numFmtId="0" fontId="23" fillId="0" borderId="104" xfId="0" applyFont="1" applyBorder="1" applyAlignment="1">
      <alignment horizontal="center" vertical="center"/>
    </xf>
    <xf numFmtId="0" fontId="23" fillId="0" borderId="214" xfId="0" applyFont="1" applyBorder="1" applyAlignment="1">
      <alignment horizontal="center" vertical="center"/>
    </xf>
    <xf numFmtId="0" fontId="23" fillId="0" borderId="215" xfId="0" applyFont="1" applyBorder="1" applyAlignment="1">
      <alignment horizontal="center" vertical="center"/>
    </xf>
    <xf numFmtId="0" fontId="0" fillId="0" borderId="270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49" borderId="220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27" xfId="0" applyFill="1" applyBorder="1" applyAlignment="1">
      <alignment horizontal="center" vertical="center" wrapText="1"/>
    </xf>
    <xf numFmtId="0" fontId="0" fillId="0" borderId="228" xfId="0" applyBorder="1" applyAlignment="1">
      <alignment horizontal="center" vertical="center"/>
    </xf>
    <xf numFmtId="0" fontId="0" fillId="0" borderId="166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37" fillId="0" borderId="243" xfId="0" applyFont="1" applyBorder="1" applyAlignment="1">
      <alignment horizontal="center" vertical="center"/>
    </xf>
    <xf numFmtId="0" fontId="37" fillId="0" borderId="167" xfId="0" applyFont="1" applyBorder="1" applyAlignment="1">
      <alignment horizontal="center" vertical="center"/>
    </xf>
    <xf numFmtId="0" fontId="37" fillId="0" borderId="168" xfId="0" applyFont="1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1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308" xfId="0" applyBorder="1" applyAlignment="1">
      <alignment horizontal="center"/>
    </xf>
    <xf numFmtId="0" fontId="0" fillId="0" borderId="307" xfId="0" applyBorder="1" applyAlignment="1">
      <alignment horizontal="center"/>
    </xf>
    <xf numFmtId="0" fontId="0" fillId="0" borderId="133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16" xfId="0" applyBorder="1" applyAlignment="1">
      <alignment horizontal="center"/>
    </xf>
    <xf numFmtId="0" fontId="0" fillId="0" borderId="217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0" xfId="0" applyBorder="1" applyAlignment="1">
      <alignment horizontal="center" wrapText="1"/>
    </xf>
    <xf numFmtId="0" fontId="0" fillId="0" borderId="261" xfId="0" applyBorder="1" applyAlignment="1">
      <alignment horizontal="center" wrapText="1"/>
    </xf>
    <xf numFmtId="0" fontId="0" fillId="45" borderId="250" xfId="0" applyFill="1" applyBorder="1" applyAlignment="1">
      <alignment horizontal="center" vertical="center" wrapText="1"/>
    </xf>
    <xf numFmtId="0" fontId="0" fillId="45" borderId="174" xfId="0" applyFill="1" applyBorder="1" applyAlignment="1">
      <alignment horizontal="center" vertical="center" wrapText="1"/>
    </xf>
    <xf numFmtId="0" fontId="0" fillId="0" borderId="254" xfId="0" applyBorder="1" applyAlignment="1">
      <alignment horizontal="center" wrapText="1"/>
    </xf>
    <xf numFmtId="0" fontId="0" fillId="0" borderId="262" xfId="0" applyBorder="1" applyAlignment="1">
      <alignment horizontal="center" wrapText="1"/>
    </xf>
    <xf numFmtId="0" fontId="0" fillId="45" borderId="254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3" xfId="0" applyBorder="1" applyAlignment="1">
      <alignment horizontal="center" vertical="center"/>
    </xf>
    <xf numFmtId="0" fontId="0" fillId="0" borderId="218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0" fillId="0" borderId="206" xfId="0" applyBorder="1" applyAlignment="1">
      <alignment horizontal="center"/>
    </xf>
    <xf numFmtId="0" fontId="0" fillId="0" borderId="265" xfId="0" applyBorder="1" applyAlignment="1">
      <alignment horizontal="center"/>
    </xf>
    <xf numFmtId="0" fontId="0" fillId="0" borderId="266" xfId="0" applyBorder="1" applyAlignment="1">
      <alignment horizontal="center"/>
    </xf>
    <xf numFmtId="0" fontId="0" fillId="0" borderId="262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9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165" xfId="0" applyBorder="1" applyAlignment="1">
      <alignment horizontal="center" wrapText="1"/>
    </xf>
    <xf numFmtId="0" fontId="0" fillId="0" borderId="141" xfId="0" applyBorder="1" applyAlignment="1">
      <alignment horizontal="center" vertical="center"/>
    </xf>
    <xf numFmtId="0" fontId="23" fillId="0" borderId="166" xfId="0" applyFont="1" applyBorder="1" applyAlignment="1">
      <alignment horizontal="center" vertical="center"/>
    </xf>
    <xf numFmtId="0" fontId="23" fillId="0" borderId="168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38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197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35" xfId="0" applyFont="1" applyBorder="1" applyAlignment="1">
      <alignment horizontal="center" vertical="center"/>
    </xf>
    <xf numFmtId="0" fontId="39" fillId="0" borderId="220" xfId="0" applyFont="1" applyBorder="1" applyAlignment="1">
      <alignment horizontal="center" vertical="center"/>
    </xf>
    <xf numFmtId="0" fontId="39" fillId="0" borderId="79" xfId="0" applyFont="1" applyBorder="1" applyAlignment="1">
      <alignment horizontal="center" vertical="center"/>
    </xf>
    <xf numFmtId="0" fontId="39" fillId="0" borderId="119" xfId="0" applyFont="1" applyBorder="1" applyAlignment="1">
      <alignment horizontal="center" vertical="center"/>
    </xf>
    <xf numFmtId="0" fontId="23" fillId="0" borderId="186" xfId="0" applyFont="1" applyBorder="1" applyAlignment="1">
      <alignment horizontal="center"/>
    </xf>
    <xf numFmtId="0" fontId="23" fillId="0" borderId="207" xfId="0" applyFont="1" applyBorder="1" applyAlignment="1">
      <alignment horizontal="center"/>
    </xf>
    <xf numFmtId="0" fontId="41" fillId="50" borderId="288" xfId="0" applyFont="1" applyFill="1" applyBorder="1" applyAlignment="1">
      <alignment horizontal="center"/>
    </xf>
    <xf numFmtId="0" fontId="17" fillId="66" borderId="79" xfId="0" applyFont="1" applyFill="1" applyBorder="1" applyAlignment="1">
      <alignment horizontal="center"/>
    </xf>
    <xf numFmtId="0" fontId="0" fillId="0" borderId="256" xfId="0" applyBorder="1" applyAlignment="1">
      <alignment horizontal="center" vertical="center"/>
    </xf>
    <xf numFmtId="0" fontId="3" fillId="0" borderId="186" xfId="37" applyBorder="1" applyAlignment="1">
      <alignment horizontal="center" vertical="center"/>
    </xf>
    <xf numFmtId="0" fontId="3" fillId="0" borderId="226" xfId="37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167" fontId="31" fillId="0" borderId="216" xfId="0" applyNumberFormat="1" applyFont="1" applyBorder="1" applyAlignment="1">
      <alignment horizontal="center" vertical="center"/>
    </xf>
    <xf numFmtId="167" fontId="31" fillId="0" borderId="104" xfId="0" applyNumberFormat="1" applyFont="1" applyBorder="1" applyAlignment="1">
      <alignment horizontal="center" vertical="center"/>
    </xf>
    <xf numFmtId="167" fontId="31" fillId="0" borderId="141" xfId="0" applyNumberFormat="1" applyFont="1" applyBorder="1" applyAlignment="1">
      <alignment horizontal="center" vertical="center"/>
    </xf>
    <xf numFmtId="167" fontId="31" fillId="0" borderId="230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2" xfId="0" applyBorder="1" applyAlignment="1">
      <alignment horizontal="center" vertical="center" wrapText="1"/>
    </xf>
    <xf numFmtId="0" fontId="0" fillId="0" borderId="223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159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59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0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27" xfId="0" applyFill="1" applyBorder="1" applyAlignment="1">
      <alignment horizontal="center"/>
    </xf>
    <xf numFmtId="0" fontId="38" fillId="0" borderId="257" xfId="0" applyFont="1" applyBorder="1" applyAlignment="1">
      <alignment horizontal="center" vertical="center"/>
    </xf>
    <xf numFmtId="0" fontId="38" fillId="0" borderId="258" xfId="0" applyFont="1" applyBorder="1" applyAlignment="1">
      <alignment horizontal="center" vertical="center"/>
    </xf>
    <xf numFmtId="0" fontId="38" fillId="0" borderId="259" xfId="0" applyFont="1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23" fillId="0" borderId="209" xfId="0" applyFont="1" applyBorder="1" applyAlignment="1">
      <alignment horizontal="center"/>
    </xf>
    <xf numFmtId="0" fontId="23" fillId="0" borderId="111" xfId="0" applyFont="1" applyBorder="1" applyAlignment="1">
      <alignment horizontal="center"/>
    </xf>
    <xf numFmtId="0" fontId="0" fillId="0" borderId="238" xfId="0" applyBorder="1" applyAlignment="1">
      <alignment horizontal="center" wrapText="1"/>
    </xf>
    <xf numFmtId="0" fontId="0" fillId="0" borderId="204" xfId="0" applyBorder="1" applyAlignment="1">
      <alignment horizontal="center" wrapText="1"/>
    </xf>
    <xf numFmtId="0" fontId="35" fillId="0" borderId="224" xfId="0" applyFont="1" applyBorder="1" applyAlignment="1">
      <alignment horizontal="center" vertical="center"/>
    </xf>
    <xf numFmtId="0" fontId="35" fillId="0" borderId="223" xfId="0" applyFont="1" applyBorder="1" applyAlignment="1">
      <alignment horizontal="center" vertical="center"/>
    </xf>
    <xf numFmtId="0" fontId="35" fillId="0" borderId="121" xfId="0" applyFont="1" applyBorder="1" applyAlignment="1">
      <alignment horizontal="center" vertical="center"/>
    </xf>
    <xf numFmtId="0" fontId="23" fillId="0" borderId="35" xfId="0" applyFont="1" applyBorder="1" applyAlignment="1">
      <alignment horizontal="center"/>
    </xf>
    <xf numFmtId="0" fontId="23" fillId="0" borderId="167" xfId="0" applyFont="1" applyBorder="1" applyAlignment="1">
      <alignment horizontal="center"/>
    </xf>
    <xf numFmtId="0" fontId="23" fillId="0" borderId="36" xfId="0" applyFont="1" applyBorder="1" applyAlignment="1">
      <alignment horizontal="center"/>
    </xf>
    <xf numFmtId="0" fontId="23" fillId="0" borderId="134" xfId="0" applyFont="1" applyBorder="1" applyAlignment="1">
      <alignment horizontal="center"/>
    </xf>
    <xf numFmtId="0" fontId="23" fillId="0" borderId="186" xfId="0" applyFont="1" applyBorder="1" applyAlignment="1">
      <alignment horizontal="center" vertical="center"/>
    </xf>
    <xf numFmtId="0" fontId="23" fillId="0" borderId="76" xfId="0" applyFont="1" applyBorder="1" applyAlignment="1">
      <alignment horizontal="center" vertical="center"/>
    </xf>
    <xf numFmtId="0" fontId="23" fillId="0" borderId="77" xfId="0" applyFont="1" applyBorder="1" applyAlignment="1">
      <alignment horizontal="center" vertical="center"/>
    </xf>
    <xf numFmtId="0" fontId="17" fillId="0" borderId="216" xfId="0" applyFont="1" applyBorder="1" applyAlignment="1">
      <alignment horizontal="center"/>
    </xf>
    <xf numFmtId="0" fontId="17" fillId="0" borderId="154" xfId="0" applyFont="1" applyBorder="1" applyAlignment="1">
      <alignment horizontal="center"/>
    </xf>
    <xf numFmtId="0" fontId="17" fillId="0" borderId="171" xfId="0" applyFont="1" applyBorder="1" applyAlignment="1">
      <alignment horizontal="center"/>
    </xf>
    <xf numFmtId="0" fontId="17" fillId="0" borderId="273" xfId="0" applyFont="1" applyBorder="1" applyAlignment="1">
      <alignment horizontal="center"/>
    </xf>
    <xf numFmtId="0" fontId="17" fillId="0" borderId="76" xfId="0" applyFont="1" applyBorder="1" applyAlignment="1">
      <alignment horizontal="center" vertical="center"/>
    </xf>
    <xf numFmtId="0" fontId="17" fillId="0" borderId="207" xfId="0" applyFont="1" applyBorder="1" applyAlignment="1">
      <alignment horizontal="center" vertical="center"/>
    </xf>
    <xf numFmtId="0" fontId="23" fillId="0" borderId="224" xfId="0" applyFont="1" applyBorder="1" applyAlignment="1">
      <alignment horizontal="center" vertical="center"/>
    </xf>
    <xf numFmtId="0" fontId="23" fillId="0" borderId="223" xfId="0" applyFont="1" applyBorder="1" applyAlignment="1">
      <alignment horizontal="center" vertical="center"/>
    </xf>
    <xf numFmtId="0" fontId="23" fillId="0" borderId="121" xfId="0" applyFont="1" applyBorder="1" applyAlignment="1">
      <alignment horizontal="center" vertical="center"/>
    </xf>
    <xf numFmtId="0" fontId="0" fillId="0" borderId="239" xfId="0" applyBorder="1" applyAlignment="1">
      <alignment horizontal="center" wrapText="1"/>
    </xf>
    <xf numFmtId="0" fontId="0" fillId="0" borderId="240" xfId="0" applyBorder="1" applyAlignment="1">
      <alignment horizontal="center" wrapText="1"/>
    </xf>
    <xf numFmtId="0" fontId="0" fillId="0" borderId="0" xfId="0" applyAlignment="1">
      <alignment horizontal="left"/>
    </xf>
    <xf numFmtId="0" fontId="0" fillId="0" borderId="227" xfId="0" applyBorder="1" applyAlignment="1">
      <alignment horizontal="center" vertical="center" wrapText="1"/>
    </xf>
    <xf numFmtId="0" fontId="0" fillId="0" borderId="212" xfId="0" applyBorder="1" applyAlignment="1">
      <alignment horizontal="center" vertical="center" wrapText="1"/>
    </xf>
    <xf numFmtId="0" fontId="0" fillId="0" borderId="301" xfId="0" applyBorder="1" applyAlignment="1">
      <alignment horizontal="center" vertical="center" wrapText="1"/>
    </xf>
    <xf numFmtId="0" fontId="25" fillId="0" borderId="208" xfId="0" applyFont="1" applyBorder="1" applyAlignment="1">
      <alignment horizontal="center" vertical="center"/>
    </xf>
    <xf numFmtId="0" fontId="25" fillId="0" borderId="35" xfId="0" applyFont="1" applyBorder="1" applyAlignment="1">
      <alignment horizontal="center" vertical="center"/>
    </xf>
    <xf numFmtId="0" fontId="25" fillId="0" borderId="69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17" fillId="0" borderId="71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166" fontId="17" fillId="0" borderId="232" xfId="0" applyNumberFormat="1" applyFont="1" applyBorder="1" applyAlignment="1">
      <alignment horizontal="center" vertical="center"/>
    </xf>
    <xf numFmtId="166" fontId="17" fillId="0" borderId="233" xfId="0" applyNumberFormat="1" applyFont="1" applyBorder="1" applyAlignment="1">
      <alignment horizontal="center" vertical="center"/>
    </xf>
    <xf numFmtId="166" fontId="17" fillId="0" borderId="294" xfId="0" applyNumberFormat="1" applyFont="1" applyBorder="1" applyAlignment="1">
      <alignment horizontal="center" vertical="center"/>
    </xf>
    <xf numFmtId="166" fontId="23" fillId="0" borderId="82" xfId="0" applyNumberFormat="1" applyFont="1" applyBorder="1" applyAlignment="1">
      <alignment horizontal="center" vertical="center"/>
    </xf>
    <xf numFmtId="166" fontId="23" fillId="0" borderId="84" xfId="0" applyNumberFormat="1" applyFont="1" applyBorder="1" applyAlignment="1">
      <alignment horizontal="center" vertical="center"/>
    </xf>
    <xf numFmtId="166" fontId="23" fillId="0" borderId="221" xfId="0" applyNumberFormat="1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38" xfId="0" applyFont="1" applyBorder="1" applyAlignment="1">
      <alignment horizontal="center" vertical="center"/>
    </xf>
    <xf numFmtId="0" fontId="0" fillId="0" borderId="235" xfId="0" applyBorder="1" applyAlignment="1">
      <alignment horizontal="center"/>
    </xf>
    <xf numFmtId="0" fontId="0" fillId="0" borderId="272" xfId="0" applyBorder="1" applyAlignment="1">
      <alignment horizontal="center" vertical="center"/>
    </xf>
    <xf numFmtId="0" fontId="23" fillId="0" borderId="260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wrapText="1"/>
    </xf>
    <xf numFmtId="0" fontId="23" fillId="0" borderId="145" xfId="0" applyFont="1" applyBorder="1" applyAlignment="1">
      <alignment horizontal="center" wrapText="1"/>
    </xf>
    <xf numFmtId="0" fontId="23" fillId="0" borderId="166" xfId="0" applyFont="1" applyBorder="1" applyAlignment="1">
      <alignment horizontal="center"/>
    </xf>
    <xf numFmtId="0" fontId="23" fillId="0" borderId="212" xfId="0" applyFont="1" applyBorder="1" applyAlignment="1">
      <alignment horizontal="center"/>
    </xf>
    <xf numFmtId="0" fontId="23" fillId="0" borderId="75" xfId="0" applyFont="1" applyBorder="1" applyAlignment="1">
      <alignment horizontal="center"/>
    </xf>
    <xf numFmtId="0" fontId="23" fillId="0" borderId="210" xfId="0" applyFont="1" applyBorder="1" applyAlignment="1">
      <alignment horizontal="center"/>
    </xf>
  </cellXfs>
  <cellStyles count="44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Percent" xfId="43" builtinId="5"/>
    <cellStyle name="Title" xfId="40" builtinId="15" customBuiltin="1"/>
    <cellStyle name="Total" xfId="41" builtinId="25" customBuiltin="1"/>
    <cellStyle name="Warning Text" xfId="42" builtinId="11" customBuiltin="1"/>
  </cellStyles>
  <dxfs count="51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76933C"/>
      <color rgb="FF7030A0"/>
      <color rgb="FFE4DFEC"/>
      <color rgb="FFFF7D7D"/>
      <color rgb="FFFF7979"/>
      <color rgb="FFFF6565"/>
      <color rgb="FFFF5353"/>
      <color rgb="FF354F6B"/>
      <color rgb="FFD9D9D9"/>
      <color rgb="FFA77D2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Assy.Model!$KC$8</c:f>
              <c:strCache>
                <c:ptCount val="1"/>
                <c:pt idx="0">
                  <c:v>Tilt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Assy.Model!$KB$9:$KB$48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Assy.Model!$KC$9:$KC$48</c:f>
            </c:numRef>
          </c:yVal>
          <c:smooth val="0"/>
          <c:extLst>
            <c:ext xmlns:c16="http://schemas.microsoft.com/office/drawing/2014/chart" uri="{C3380CC4-5D6E-409C-BE32-E72D297353CC}">
              <c16:uniqueId val="{00000006-A04B-43D1-9BF3-B841BF02D767}"/>
            </c:ext>
          </c:extLst>
        </c:ser>
        <c:ser>
          <c:idx val="0"/>
          <c:order val="1"/>
          <c:tx>
            <c:strRef>
              <c:f>Assy.Model!$KF$8</c:f>
              <c:strCache>
                <c:ptCount val="1"/>
                <c:pt idx="0">
                  <c:v>Back rake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Assy.Model!$KB$9:$KB$48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Assy.Model!$KF$9:$KF$48</c:f>
              <c:numCache>
                <c:formatCode>0.0</c:formatCode>
                <c:ptCount val="40"/>
                <c:pt idx="0">
                  <c:v>22.5</c:v>
                </c:pt>
                <c:pt idx="1">
                  <c:v>20</c:v>
                </c:pt>
                <c:pt idx="2">
                  <c:v>17.5</c:v>
                </c:pt>
                <c:pt idx="3">
                  <c:v>16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15</c:v>
                </c:pt>
                <c:pt idx="13">
                  <c:v>15.033788429334036</c:v>
                </c:pt>
                <c:pt idx="14">
                  <c:v>15.003763532306285</c:v>
                </c:pt>
                <c:pt idx="15">
                  <c:v>14.977368186359584</c:v>
                </c:pt>
                <c:pt idx="16">
                  <c:v>14.945215211684793</c:v>
                </c:pt>
                <c:pt idx="17">
                  <c:v>14.916620091758523</c:v>
                </c:pt>
                <c:pt idx="18">
                  <c:v>14.891672135540661</c:v>
                </c:pt>
                <c:pt idx="19">
                  <c:v>14.869515568829986</c:v>
                </c:pt>
                <c:pt idx="20">
                  <c:v>14.850214299857472</c:v>
                </c:pt>
                <c:pt idx="21">
                  <c:v>14.833201709842509</c:v>
                </c:pt>
                <c:pt idx="22">
                  <c:v>14.817532869410307</c:v>
                </c:pt>
                <c:pt idx="23">
                  <c:v>15.356743679360108</c:v>
                </c:pt>
                <c:pt idx="24">
                  <c:v>16.702067779305505</c:v>
                </c:pt>
                <c:pt idx="25">
                  <c:v>18.021990328793674</c:v>
                </c:pt>
                <c:pt idx="26">
                  <c:v>19.313095419957275</c:v>
                </c:pt>
                <c:pt idx="27">
                  <c:v>20.500757426154472</c:v>
                </c:pt>
                <c:pt idx="28">
                  <c:v>21.72665160578681</c:v>
                </c:pt>
                <c:pt idx="29">
                  <c:v>22.853157581673322</c:v>
                </c:pt>
                <c:pt idx="30">
                  <c:v>23.740103037309165</c:v>
                </c:pt>
                <c:pt idx="31">
                  <c:v>24.761495702836257</c:v>
                </c:pt>
                <c:pt idx="32">
                  <c:v>25.702457516786993</c:v>
                </c:pt>
                <c:pt idx="33">
                  <c:v>26.456097700900354</c:v>
                </c:pt>
                <c:pt idx="34">
                  <c:v>27.684868959072574</c:v>
                </c:pt>
                <c:pt idx="35">
                  <c:v>30.1</c:v>
                </c:pt>
                <c:pt idx="36">
                  <c:v>31.2</c:v>
                </c:pt>
                <c:pt idx="37">
                  <c:v>32.4</c:v>
                </c:pt>
                <c:pt idx="38">
                  <c:v>32.4</c:v>
                </c:pt>
                <c:pt idx="39">
                  <c:v>32.4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04B-43D1-9BF3-B841BF02D767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Assy.Model!$KB$9:$KB$48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Assy.Model!$KD$9:$KD$48</c:f>
              <c:numCache>
                <c:formatCode>0.0</c:formatCode>
                <c:ptCount val="40"/>
                <c:pt idx="0">
                  <c:v>9</c:v>
                </c:pt>
                <c:pt idx="1">
                  <c:v>6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2</c:v>
                </c:pt>
                <c:pt idx="11">
                  <c:v>0.41733333333333</c:v>
                </c:pt>
                <c:pt idx="12">
                  <c:v>-3.5625733333333294</c:v>
                </c:pt>
                <c:pt idx="13">
                  <c:v>-7.4</c:v>
                </c:pt>
                <c:pt idx="14">
                  <c:v>-11.212033333333332</c:v>
                </c:pt>
                <c:pt idx="15">
                  <c:v>-15.036806666666671</c:v>
                </c:pt>
                <c:pt idx="16">
                  <c:v>-19.035433333333334</c:v>
                </c:pt>
                <c:pt idx="17">
                  <c:v>-23.03406</c:v>
                </c:pt>
                <c:pt idx="18">
                  <c:v>-27.032773333333331</c:v>
                </c:pt>
                <c:pt idx="19">
                  <c:v>-30.969086666666662</c:v>
                </c:pt>
                <c:pt idx="20">
                  <c:v>-34.905486666666668</c:v>
                </c:pt>
                <c:pt idx="21">
                  <c:v>-38.841799999999999</c:v>
                </c:pt>
                <c:pt idx="22">
                  <c:v>-42.77811333333333</c:v>
                </c:pt>
                <c:pt idx="23">
                  <c:v>-46.714513333333329</c:v>
                </c:pt>
                <c:pt idx="24">
                  <c:v>-50.650826666666667</c:v>
                </c:pt>
                <c:pt idx="25">
                  <c:v>-54.587139999999998</c:v>
                </c:pt>
                <c:pt idx="26">
                  <c:v>-58.523539999999997</c:v>
                </c:pt>
                <c:pt idx="27">
                  <c:v>-62.459853333333328</c:v>
                </c:pt>
                <c:pt idx="28">
                  <c:v>-66.344253333333327</c:v>
                </c:pt>
                <c:pt idx="29">
                  <c:v>-70.228653333333327</c:v>
                </c:pt>
                <c:pt idx="30">
                  <c:v>-74.113140000000001</c:v>
                </c:pt>
                <c:pt idx="31">
                  <c:v>-76.096977142857128</c:v>
                </c:pt>
                <c:pt idx="32">
                  <c:v>-78.080814285714283</c:v>
                </c:pt>
                <c:pt idx="33">
                  <c:v>-80.064651428571423</c:v>
                </c:pt>
                <c:pt idx="34">
                  <c:v>-82.048488571428578</c:v>
                </c:pt>
                <c:pt idx="35">
                  <c:v>-84.032325714285719</c:v>
                </c:pt>
                <c:pt idx="36">
                  <c:v>-86.016162857142845</c:v>
                </c:pt>
                <c:pt idx="37">
                  <c:v>-88</c:v>
                </c:pt>
                <c:pt idx="38">
                  <c:v>-88</c:v>
                </c:pt>
                <c:pt idx="39">
                  <c:v>-88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04B-43D1-9BF3-B841BF02D7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2199352"/>
        <c:axId val="1102196832"/>
      </c:scatterChart>
      <c:valAx>
        <c:axId val="1102199352"/>
        <c:scaling>
          <c:orientation val="minMax"/>
          <c:max val="4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2196832"/>
        <c:crosses val="autoZero"/>
        <c:crossBetween val="midCat"/>
      </c:valAx>
      <c:valAx>
        <c:axId val="1102196832"/>
        <c:scaling>
          <c:orientation val="minMax"/>
          <c:max val="35"/>
          <c:min val="-9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2199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239</xdr:col>
      <xdr:colOff>180974</xdr:colOff>
      <xdr:row>8</xdr:row>
      <xdr:rowOff>111918</xdr:rowOff>
    </xdr:from>
    <xdr:to>
      <xdr:col>239</xdr:col>
      <xdr:colOff>2619374</xdr:colOff>
      <xdr:row>21</xdr:row>
      <xdr:rowOff>142874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4546755" y="2016918"/>
          <a:ext cx="2438400" cy="2507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294</xdr:col>
      <xdr:colOff>160735</xdr:colOff>
      <xdr:row>6</xdr:row>
      <xdr:rowOff>116682</xdr:rowOff>
    </xdr:from>
    <xdr:to>
      <xdr:col>314</xdr:col>
      <xdr:colOff>523876</xdr:colOff>
      <xdr:row>54</xdr:row>
      <xdr:rowOff>130970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4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4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2"/>
  <sheetViews>
    <sheetView showGridLines="0" zoomScaleNormal="100" workbookViewId="0">
      <selection activeCell="B29" sqref="B29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6.42578125" style="31" bestFit="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2" bestFit="1" customWidth="1"/>
  </cols>
  <sheetData>
    <row r="1" spans="1:55" x14ac:dyDescent="0.25">
      <c r="C1" s="980" t="s">
        <v>77</v>
      </c>
      <c r="D1" s="980"/>
      <c r="E1" s="980"/>
      <c r="F1" s="980"/>
      <c r="G1" s="980"/>
      <c r="H1" s="980"/>
      <c r="I1" s="980"/>
      <c r="J1" s="980"/>
      <c r="K1" s="980"/>
      <c r="BC1" s="419"/>
    </row>
    <row r="2" spans="1:55" ht="15.75" thickBot="1" x14ac:dyDescent="0.3">
      <c r="B2" s="460"/>
      <c r="C2" s="461">
        <v>1</v>
      </c>
      <c r="D2" s="462">
        <f t="shared" ref="D2:K2" si="0">C2+1</f>
        <v>2</v>
      </c>
      <c r="E2" s="462">
        <f t="shared" si="0"/>
        <v>3</v>
      </c>
      <c r="F2" s="462">
        <f t="shared" si="0"/>
        <v>4</v>
      </c>
      <c r="G2" s="462">
        <f t="shared" si="0"/>
        <v>5</v>
      </c>
      <c r="H2" s="462">
        <f t="shared" si="0"/>
        <v>6</v>
      </c>
      <c r="I2" s="462">
        <f t="shared" si="0"/>
        <v>7</v>
      </c>
      <c r="J2" s="462">
        <f t="shared" si="0"/>
        <v>8</v>
      </c>
      <c r="K2" s="462">
        <f t="shared" si="0"/>
        <v>9</v>
      </c>
      <c r="BC2" s="419"/>
    </row>
    <row r="3" spans="1:55" x14ac:dyDescent="0.25">
      <c r="B3" s="458">
        <v>0.1</v>
      </c>
      <c r="C3" s="463" t="s">
        <v>68</v>
      </c>
      <c r="D3" s="464" t="s">
        <v>69</v>
      </c>
      <c r="E3" s="465" t="s">
        <v>70</v>
      </c>
      <c r="F3" s="466" t="s">
        <v>66</v>
      </c>
      <c r="G3" s="467" t="s">
        <v>71</v>
      </c>
      <c r="H3" s="468" t="s">
        <v>72</v>
      </c>
      <c r="I3" s="469" t="s">
        <v>73</v>
      </c>
      <c r="J3" s="470" t="s">
        <v>74</v>
      </c>
      <c r="K3" s="471" t="s">
        <v>75</v>
      </c>
      <c r="BC3" s="419"/>
    </row>
    <row r="4" spans="1:55" x14ac:dyDescent="0.25">
      <c r="B4" s="459">
        <v>0.2</v>
      </c>
      <c r="C4" s="472" t="s">
        <v>298</v>
      </c>
      <c r="D4" s="473" t="s">
        <v>293</v>
      </c>
      <c r="E4" s="474" t="s">
        <v>294</v>
      </c>
      <c r="F4" s="475" t="s">
        <v>299</v>
      </c>
      <c r="G4" s="476" t="s">
        <v>300</v>
      </c>
      <c r="H4" s="477" t="s">
        <v>301</v>
      </c>
      <c r="I4" s="478" t="s">
        <v>295</v>
      </c>
      <c r="J4" s="479" t="s">
        <v>296</v>
      </c>
      <c r="K4" s="480" t="s">
        <v>297</v>
      </c>
      <c r="BC4" s="419"/>
    </row>
    <row r="5" spans="1:55" x14ac:dyDescent="0.25">
      <c r="BC5" s="419"/>
    </row>
    <row r="6" spans="1:55" x14ac:dyDescent="0.25">
      <c r="A6" s="1005" t="s">
        <v>80</v>
      </c>
      <c r="B6" s="1005"/>
      <c r="C6" s="82" t="str">
        <f>SUBSTITUTE(ADDRESS(1,COLUMN(Assy.Model!B9),4),"1","")</f>
        <v>B</v>
      </c>
      <c r="BC6" s="419"/>
    </row>
    <row r="7" spans="1:55" x14ac:dyDescent="0.25">
      <c r="Q7" s="31"/>
      <c r="R7" s="31">
        <v>10</v>
      </c>
      <c r="S7" s="82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1002" t="s">
        <v>370</v>
      </c>
      <c r="AQ7" s="1002"/>
      <c r="AR7" s="1002"/>
      <c r="BC7" s="419"/>
    </row>
    <row r="8" spans="1:55" x14ac:dyDescent="0.25">
      <c r="B8" s="31"/>
      <c r="C8" s="99"/>
      <c r="D8" s="99"/>
      <c r="E8" s="99"/>
      <c r="F8" s="99"/>
      <c r="G8" s="99"/>
      <c r="Q8" s="31"/>
      <c r="R8" s="82">
        <f>R7</f>
        <v>10</v>
      </c>
      <c r="S8" s="82">
        <f t="shared" ref="S8:AE8" si="1">R8+$S$7</f>
        <v>10.65934076923077</v>
      </c>
      <c r="T8" s="82">
        <f t="shared" si="1"/>
        <v>11.31868153846154</v>
      </c>
      <c r="U8" s="82">
        <f t="shared" si="1"/>
        <v>11.97802230769231</v>
      </c>
      <c r="V8" s="82">
        <f t="shared" si="1"/>
        <v>12.63736307692308</v>
      </c>
      <c r="W8" s="82">
        <f t="shared" si="1"/>
        <v>13.29670384615385</v>
      </c>
      <c r="X8" s="82">
        <f t="shared" si="1"/>
        <v>13.95604461538462</v>
      </c>
      <c r="Y8" s="82">
        <f t="shared" si="1"/>
        <v>14.61538538461539</v>
      </c>
      <c r="Z8" s="82">
        <f t="shared" si="1"/>
        <v>15.27472615384616</v>
      </c>
      <c r="AA8" s="82">
        <f t="shared" si="1"/>
        <v>15.93406692307693</v>
      </c>
      <c r="AB8" s="82">
        <f t="shared" si="1"/>
        <v>16.5934076923077</v>
      </c>
      <c r="AC8" s="82">
        <f t="shared" si="1"/>
        <v>17.25274846153847</v>
      </c>
      <c r="AD8" s="82">
        <f t="shared" si="1"/>
        <v>17.91208923076924</v>
      </c>
      <c r="AE8" s="82">
        <f t="shared" si="1"/>
        <v>18.57143000000001</v>
      </c>
      <c r="AO8" s="31"/>
      <c r="AP8" s="199"/>
      <c r="AQ8" s="199"/>
      <c r="AR8" s="199"/>
      <c r="AS8" s="219"/>
      <c r="AT8" s="219"/>
      <c r="AU8" s="219"/>
      <c r="AV8" s="219"/>
      <c r="BC8" s="419"/>
    </row>
    <row r="9" spans="1:55" x14ac:dyDescent="0.25">
      <c r="A9" s="67"/>
      <c r="B9" s="57" t="s">
        <v>37</v>
      </c>
      <c r="C9" s="995">
        <v>9</v>
      </c>
      <c r="D9" s="999"/>
      <c r="E9" s="999"/>
      <c r="F9" s="999"/>
      <c r="G9" s="999"/>
      <c r="H9" s="999"/>
      <c r="I9" s="999"/>
      <c r="J9" s="999"/>
      <c r="K9" s="996"/>
      <c r="Q9" s="95">
        <v>50</v>
      </c>
      <c r="R9" s="83">
        <f>$Q$9+R8</f>
        <v>60</v>
      </c>
      <c r="S9" s="83">
        <f t="shared" ref="S9:AE9" si="2">R9+S8</f>
        <v>70.659340769230766</v>
      </c>
      <c r="T9" s="83">
        <f t="shared" si="2"/>
        <v>81.978022307692299</v>
      </c>
      <c r="U9" s="83">
        <f t="shared" si="2"/>
        <v>93.956044615384613</v>
      </c>
      <c r="V9" s="83">
        <f t="shared" si="2"/>
        <v>106.59340769230769</v>
      </c>
      <c r="W9" s="83">
        <f t="shared" si="2"/>
        <v>119.89011153846154</v>
      </c>
      <c r="X9" s="83">
        <f t="shared" si="2"/>
        <v>133.84615615384615</v>
      </c>
      <c r="Y9" s="83">
        <f t="shared" si="2"/>
        <v>148.46154153846155</v>
      </c>
      <c r="Z9" s="83">
        <f t="shared" si="2"/>
        <v>163.73626769230771</v>
      </c>
      <c r="AA9" s="83">
        <f t="shared" si="2"/>
        <v>179.67033461538463</v>
      </c>
      <c r="AB9" s="83">
        <f t="shared" si="2"/>
        <v>196.26374230769233</v>
      </c>
      <c r="AC9" s="83">
        <f t="shared" si="2"/>
        <v>213.51649076923078</v>
      </c>
      <c r="AD9" s="83">
        <f t="shared" si="2"/>
        <v>231.42858000000001</v>
      </c>
      <c r="AE9" s="83">
        <f t="shared" si="2"/>
        <v>250.00001000000003</v>
      </c>
      <c r="AO9" s="31"/>
      <c r="AP9" s="199">
        <v>3.0000000000000001E-3</v>
      </c>
      <c r="AQ9" s="199"/>
      <c r="AR9" s="199"/>
      <c r="AS9" s="219">
        <v>-1E-3</v>
      </c>
      <c r="AT9" s="219">
        <v>1E-3</v>
      </c>
      <c r="AU9" s="219">
        <v>1E-3</v>
      </c>
      <c r="AV9" s="219">
        <v>4.0000000000000001E-3</v>
      </c>
      <c r="AW9" s="219"/>
      <c r="AX9" s="219"/>
      <c r="BC9" s="419"/>
    </row>
    <row r="10" spans="1:55" ht="3.95" customHeight="1" x14ac:dyDescent="0.25">
      <c r="A10" s="62"/>
      <c r="B10" s="1017"/>
      <c r="C10" s="1018"/>
      <c r="D10" s="1018"/>
      <c r="E10" s="1018"/>
      <c r="F10" s="1018"/>
      <c r="G10" s="1018"/>
      <c r="H10" s="58"/>
      <c r="I10" s="58"/>
      <c r="J10" s="59"/>
      <c r="K10" s="60"/>
      <c r="Q10" s="31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82"/>
      <c r="AE10" s="82"/>
      <c r="BC10" s="419"/>
    </row>
    <row r="11" spans="1:55" ht="18" customHeight="1" x14ac:dyDescent="0.25">
      <c r="A11" s="993"/>
      <c r="B11" s="1006" t="s">
        <v>33</v>
      </c>
      <c r="C11" s="1011" t="s">
        <v>34</v>
      </c>
      <c r="D11" s="1011"/>
      <c r="E11" s="1010" t="s">
        <v>39</v>
      </c>
      <c r="F11" s="1006" t="s">
        <v>35</v>
      </c>
      <c r="G11" s="1006" t="s">
        <v>36</v>
      </c>
      <c r="H11" s="1006" t="s">
        <v>43</v>
      </c>
      <c r="I11" s="997" t="s">
        <v>67</v>
      </c>
      <c r="J11" s="1011" t="s">
        <v>56</v>
      </c>
      <c r="K11" s="1011"/>
      <c r="M11" s="31"/>
      <c r="N11" s="31"/>
      <c r="P11" s="71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1020" t="s">
        <v>338</v>
      </c>
      <c r="AN11" s="999"/>
      <c r="AO11" s="999"/>
      <c r="AP11" s="999"/>
      <c r="AQ11" s="999"/>
      <c r="AR11" s="1021"/>
      <c r="AS11" s="1028" t="s">
        <v>345</v>
      </c>
      <c r="AT11" s="1029"/>
      <c r="AU11" s="1029"/>
      <c r="AV11" s="1030"/>
      <c r="BC11" s="419"/>
    </row>
    <row r="12" spans="1:55" ht="15.75" thickBot="1" x14ac:dyDescent="0.3">
      <c r="A12" s="1012"/>
      <c r="B12" s="1007"/>
      <c r="C12" s="48" t="s">
        <v>8</v>
      </c>
      <c r="D12" s="49" t="s">
        <v>10</v>
      </c>
      <c r="E12" s="1007"/>
      <c r="F12" s="1007"/>
      <c r="G12" s="1007"/>
      <c r="H12" s="1007"/>
      <c r="I12" s="998"/>
      <c r="J12" s="52" t="s">
        <v>8</v>
      </c>
      <c r="K12" s="53" t="s">
        <v>10</v>
      </c>
      <c r="M12" s="31"/>
      <c r="N12" s="31"/>
      <c r="O12" s="989" t="s">
        <v>46</v>
      </c>
      <c r="P12" s="990"/>
      <c r="Q12" s="1008" t="s">
        <v>45</v>
      </c>
      <c r="R12" s="1009"/>
      <c r="S12" s="1009"/>
      <c r="T12" s="1009"/>
      <c r="U12" s="1009"/>
      <c r="V12" s="1009"/>
      <c r="W12" s="1009"/>
      <c r="X12" s="1009"/>
      <c r="Y12" s="1009"/>
      <c r="Z12" s="1009"/>
      <c r="AA12" s="1009"/>
      <c r="AB12" s="1009"/>
      <c r="AC12" s="1009"/>
      <c r="AD12" s="1009"/>
      <c r="AE12" s="995"/>
      <c r="AF12" s="983" t="s">
        <v>56</v>
      </c>
      <c r="AG12" s="984"/>
      <c r="AH12" s="31"/>
      <c r="AK12" s="1003" t="s">
        <v>346</v>
      </c>
      <c r="AL12" s="1019"/>
      <c r="AM12" s="1022" t="s">
        <v>343</v>
      </c>
      <c r="AN12" s="1023"/>
      <c r="AO12" s="1004"/>
      <c r="AP12" s="1003" t="s">
        <v>371</v>
      </c>
      <c r="AQ12" s="1004"/>
      <c r="AR12" s="743" t="s">
        <v>369</v>
      </c>
      <c r="AS12" s="1025" t="s">
        <v>343</v>
      </c>
      <c r="AT12" s="1004"/>
      <c r="AU12" s="1026" t="s">
        <v>344</v>
      </c>
      <c r="AV12" s="1027"/>
      <c r="AW12" s="1031" t="s">
        <v>342</v>
      </c>
      <c r="AX12" s="1032"/>
      <c r="AZ12" s="1003" t="s">
        <v>60</v>
      </c>
      <c r="BA12" s="1004"/>
      <c r="BC12" s="1024" t="s">
        <v>374</v>
      </c>
    </row>
    <row r="13" spans="1:55" ht="15.75" thickBot="1" x14ac:dyDescent="0.3">
      <c r="A13" s="63" t="s">
        <v>57</v>
      </c>
      <c r="B13" s="1013" t="s">
        <v>97</v>
      </c>
      <c r="C13" s="1015" t="str">
        <f>SUBSTITUTE(ADDRESS(1,COLUMN(Assy.Model!X9),4),"1","")</f>
        <v>X</v>
      </c>
      <c r="D13" s="97" t="str">
        <f>SUBSTITUTE(ADDRESS(1,COLUMN(Assy.Model!Y9),4),"1","")</f>
        <v>Y</v>
      </c>
      <c r="E13" s="1000" t="str">
        <f>SUBSTITUTE(ADDRESS(1,COLUMN(Assy.Model!H9),4),"1","")</f>
        <v>H</v>
      </c>
      <c r="F13" s="1000" t="str">
        <f>SUBSTITUTE(ADDRESS(1,COLUMN(Assy.Model!AN9),4),"1","")</f>
        <v>AN</v>
      </c>
      <c r="G13" s="1000" t="str">
        <f>SUBSTITUTE(ADDRESS(1,COLUMN(Assy.Model!AO9),4),"1","")</f>
        <v>AO</v>
      </c>
      <c r="H13" s="1000" t="str">
        <f>SUBSTITUTE(ADDRESS(1,COLUMN(Assy.Model!AO9),4),"1","")</f>
        <v>AO</v>
      </c>
      <c r="I13" s="1000" t="str">
        <f>SUBSTITUTE(ADDRESS(1,COLUMN(Assy.Model!Q9),4),"1","")</f>
        <v>Q</v>
      </c>
      <c r="J13" s="85">
        <v>0</v>
      </c>
      <c r="K13" s="86">
        <v>0</v>
      </c>
      <c r="M13" s="186">
        <v>1.5</v>
      </c>
      <c r="N13" s="31"/>
      <c r="O13" s="991"/>
      <c r="P13" s="992"/>
      <c r="Q13" s="72">
        <v>50</v>
      </c>
      <c r="R13" s="73">
        <f>Q13+10</f>
        <v>60</v>
      </c>
      <c r="S13" s="73">
        <f>R13+10</f>
        <v>70</v>
      </c>
      <c r="T13" s="73">
        <f>S13+10</f>
        <v>80</v>
      </c>
      <c r="U13" s="73">
        <v>90</v>
      </c>
      <c r="V13" s="73">
        <f>U13+10</f>
        <v>100</v>
      </c>
      <c r="W13" s="73">
        <f t="shared" ref="W13:AB13" si="3">V13+15</f>
        <v>115</v>
      </c>
      <c r="X13" s="73">
        <f t="shared" si="3"/>
        <v>130</v>
      </c>
      <c r="Y13" s="73">
        <f t="shared" si="3"/>
        <v>145</v>
      </c>
      <c r="Z13" s="73">
        <f t="shared" si="3"/>
        <v>160</v>
      </c>
      <c r="AA13" s="73">
        <f t="shared" si="3"/>
        <v>175</v>
      </c>
      <c r="AB13" s="73">
        <f t="shared" si="3"/>
        <v>190</v>
      </c>
      <c r="AC13" s="73">
        <f>AB13+20</f>
        <v>210</v>
      </c>
      <c r="AD13" s="73">
        <f>AC13+20</f>
        <v>230</v>
      </c>
      <c r="AE13" s="89">
        <f>AD13+20</f>
        <v>250</v>
      </c>
      <c r="AF13" s="90" t="s">
        <v>8</v>
      </c>
      <c r="AG13" s="53" t="s">
        <v>10</v>
      </c>
      <c r="AH13" s="31"/>
      <c r="AI13" t="s">
        <v>375</v>
      </c>
      <c r="AJ13" s="31" t="s">
        <v>373</v>
      </c>
      <c r="AK13" s="104" t="s">
        <v>337</v>
      </c>
      <c r="AL13" s="253" t="s">
        <v>336</v>
      </c>
      <c r="AM13" s="250" t="s">
        <v>328</v>
      </c>
      <c r="AN13" s="127" t="s">
        <v>60</v>
      </c>
      <c r="AO13" s="105" t="s">
        <v>329</v>
      </c>
      <c r="AP13" s="104" t="s">
        <v>339</v>
      </c>
      <c r="AQ13" s="105" t="s">
        <v>55</v>
      </c>
      <c r="AR13" s="215" t="s">
        <v>317</v>
      </c>
      <c r="AS13" s="212" t="s">
        <v>340</v>
      </c>
      <c r="AT13" s="105" t="s">
        <v>341</v>
      </c>
      <c r="AU13" s="128" t="s">
        <v>340</v>
      </c>
      <c r="AV13" s="123" t="s">
        <v>341</v>
      </c>
      <c r="AW13" s="128" t="s">
        <v>340</v>
      </c>
      <c r="AX13" s="105" t="s">
        <v>341</v>
      </c>
      <c r="AY13" s="31"/>
      <c r="AZ13" s="52" t="s">
        <v>368</v>
      </c>
      <c r="BA13" s="53" t="s">
        <v>60</v>
      </c>
      <c r="BC13" s="1024"/>
    </row>
    <row r="14" spans="1:55" x14ac:dyDescent="0.25">
      <c r="A14" s="61" t="s">
        <v>58</v>
      </c>
      <c r="B14" s="1014"/>
      <c r="C14" s="1016"/>
      <c r="D14" s="98" t="str">
        <f>SUBSTITUTE(ADDRESS(1,COLUMN(Assy.Model!AT9),4),"1","")</f>
        <v>AT</v>
      </c>
      <c r="E14" s="1001"/>
      <c r="F14" s="1001"/>
      <c r="G14" s="1001"/>
      <c r="H14" s="1001"/>
      <c r="I14" s="1001"/>
      <c r="J14" s="87">
        <v>0</v>
      </c>
      <c r="K14" s="88">
        <v>0</v>
      </c>
      <c r="L14" s="31"/>
      <c r="M14" s="185">
        <v>6.25E-2</v>
      </c>
      <c r="N14" s="31">
        <v>32</v>
      </c>
      <c r="O14" s="987" t="s">
        <v>47</v>
      </c>
      <c r="P14" s="182">
        <f t="shared" ref="P14:P19" si="4">ROUND(M14/(1/N14),0)/N14</f>
        <v>6.25E-2</v>
      </c>
      <c r="Q14" s="76">
        <f t="shared" ref="Q14:AE20" si="5">IF(ROUNDDOWN(((Q$13*$P14*60)/12),0)&gt;$P$11,"",(Q$13*$P14*60)/12)</f>
        <v>15.625</v>
      </c>
      <c r="R14" s="77">
        <f t="shared" si="5"/>
        <v>18.75</v>
      </c>
      <c r="S14" s="77">
        <f t="shared" si="5"/>
        <v>21.875</v>
      </c>
      <c r="T14" s="77">
        <f t="shared" si="5"/>
        <v>25</v>
      </c>
      <c r="U14" s="77">
        <f t="shared" si="5"/>
        <v>28.125</v>
      </c>
      <c r="V14" s="77">
        <f t="shared" si="5"/>
        <v>31.25</v>
      </c>
      <c r="W14" s="77">
        <f t="shared" si="5"/>
        <v>35.9375</v>
      </c>
      <c r="X14" s="77">
        <f t="shared" si="5"/>
        <v>40.625</v>
      </c>
      <c r="Y14" s="77">
        <f t="shared" si="5"/>
        <v>45.3125</v>
      </c>
      <c r="Z14" s="77">
        <f t="shared" si="5"/>
        <v>50</v>
      </c>
      <c r="AA14" s="77">
        <f t="shared" si="5"/>
        <v>54.6875</v>
      </c>
      <c r="AB14" s="77">
        <f t="shared" si="5"/>
        <v>59.375</v>
      </c>
      <c r="AC14" s="77">
        <f t="shared" si="5"/>
        <v>65.625</v>
      </c>
      <c r="AD14" s="77">
        <f t="shared" si="5"/>
        <v>71.875</v>
      </c>
      <c r="AE14" s="77">
        <f t="shared" si="5"/>
        <v>78.125</v>
      </c>
      <c r="AF14" s="91">
        <v>32</v>
      </c>
      <c r="AG14" s="86">
        <v>18</v>
      </c>
      <c r="AH14" s="139"/>
      <c r="AI14" s="783">
        <f>ROUND(((ROUND(AP14,6)*1000000)+AQ14),6)</f>
        <v>438000.315</v>
      </c>
      <c r="AJ14" s="780" t="b">
        <f>TRUE</f>
        <v>1</v>
      </c>
      <c r="AK14" s="693">
        <v>1108</v>
      </c>
      <c r="AL14" s="749">
        <f t="shared" ref="AL14:AL16" si="6">AK14</f>
        <v>1108</v>
      </c>
      <c r="AM14" s="694">
        <v>0.433</v>
      </c>
      <c r="AN14" s="191">
        <f t="shared" ref="AN14:AN17" si="7">INDEX($BA$14:$BA$18,MATCH(RIGHT($AK14,2),$AZ$14:$AZ$18,0))</f>
        <v>0.315</v>
      </c>
      <c r="AO14" s="695"/>
      <c r="AP14" s="769">
        <f>($AM14+AP$9)+0.002</f>
        <v>0.438</v>
      </c>
      <c r="AQ14" s="698">
        <f t="shared" ref="AQ14:AQ17" si="8">($AN14-($AO14/2))</f>
        <v>0.315</v>
      </c>
      <c r="AR14" s="766">
        <f t="shared" ref="AR14:AR17" si="9">IF($AO14&lt;0,$AO14/2,$AM14/2)</f>
        <v>0.2165</v>
      </c>
      <c r="AS14" s="697">
        <f>($AM14+AS$9)</f>
        <v>0.432</v>
      </c>
      <c r="AT14" s="698">
        <f>($AM14+AT$9)</f>
        <v>0.434</v>
      </c>
      <c r="AU14" s="696">
        <f>($AP14+AU$9)</f>
        <v>0.439</v>
      </c>
      <c r="AV14" s="181">
        <f>($AP14+AV$9)</f>
        <v>0.442</v>
      </c>
      <c r="AW14" s="696">
        <f t="shared" ref="AW14:AW17" si="10">($AU14-$AT14)/2</f>
        <v>2.5000000000000022E-3</v>
      </c>
      <c r="AX14" s="698">
        <f t="shared" ref="AX14:AX17" si="11">($AV14-$AS14)/2</f>
        <v>5.0000000000000044E-3</v>
      </c>
      <c r="AY14" s="219"/>
      <c r="AZ14" s="748" t="s">
        <v>363</v>
      </c>
      <c r="BA14" s="695">
        <v>0.315</v>
      </c>
      <c r="BC14" s="82" cm="1">
        <f t="array" ref="BC14:BC47">_xlfn._xlws.FILTER(IF(AJ14:AJ60,AK14:AK60,""),IF(AJ14:AJ60,AK14:AK60,"")&lt;&gt;"")</f>
        <v>1108</v>
      </c>
    </row>
    <row r="15" spans="1:55" x14ac:dyDescent="0.25">
      <c r="A15" s="64"/>
      <c r="B15" s="65"/>
      <c r="C15" s="66" t="s">
        <v>38</v>
      </c>
      <c r="D15" s="66"/>
      <c r="E15" s="66"/>
      <c r="F15" s="66" t="s">
        <v>38</v>
      </c>
      <c r="G15" s="66"/>
      <c r="H15" s="66"/>
      <c r="I15" s="66"/>
      <c r="J15" s="64"/>
      <c r="K15" s="64"/>
      <c r="M15" s="166">
        <f t="shared" ref="M15:M20" si="12">M14*$M$13</f>
        <v>9.375E-2</v>
      </c>
      <c r="N15" s="31">
        <v>32</v>
      </c>
      <c r="O15" s="987"/>
      <c r="P15" s="183">
        <f t="shared" si="4"/>
        <v>9.375E-2</v>
      </c>
      <c r="Q15" s="78">
        <f t="shared" si="5"/>
        <v>23.4375</v>
      </c>
      <c r="R15" s="79">
        <f t="shared" si="5"/>
        <v>28.125</v>
      </c>
      <c r="S15" s="79">
        <f t="shared" si="5"/>
        <v>32.8125</v>
      </c>
      <c r="T15" s="79">
        <f t="shared" si="5"/>
        <v>37.5</v>
      </c>
      <c r="U15" s="79">
        <f t="shared" si="5"/>
        <v>42.1875</v>
      </c>
      <c r="V15" s="79">
        <f t="shared" si="5"/>
        <v>46.875</v>
      </c>
      <c r="W15" s="79">
        <f t="shared" si="5"/>
        <v>53.90625</v>
      </c>
      <c r="X15" s="79">
        <f t="shared" si="5"/>
        <v>60.9375</v>
      </c>
      <c r="Y15" s="79">
        <f t="shared" si="5"/>
        <v>67.96875</v>
      </c>
      <c r="Z15" s="79">
        <f t="shared" si="5"/>
        <v>75</v>
      </c>
      <c r="AA15" s="79">
        <f t="shared" si="5"/>
        <v>82.03125</v>
      </c>
      <c r="AB15" s="79">
        <f t="shared" si="5"/>
        <v>89.0625</v>
      </c>
      <c r="AC15" s="79">
        <f t="shared" si="5"/>
        <v>98.4375</v>
      </c>
      <c r="AD15" s="79">
        <f t="shared" si="5"/>
        <v>107.8125</v>
      </c>
      <c r="AE15" s="79">
        <f t="shared" si="5"/>
        <v>117.1875</v>
      </c>
      <c r="AF15" s="93">
        <v>28</v>
      </c>
      <c r="AG15" s="94">
        <v>18</v>
      </c>
      <c r="AH15" s="74"/>
      <c r="AI15" s="783">
        <f t="shared" ref="AI15:AI16" si="13">ROUND(((ROUND(AP15,6)*1000000)+AQ15),6)</f>
        <v>438000.39399999997</v>
      </c>
      <c r="AJ15" s="780" t="b">
        <f>TRUE</f>
        <v>1</v>
      </c>
      <c r="AK15" s="683">
        <v>1110</v>
      </c>
      <c r="AL15" s="750">
        <f t="shared" si="6"/>
        <v>1110</v>
      </c>
      <c r="AM15" s="689">
        <v>0.433</v>
      </c>
      <c r="AN15" s="5">
        <f t="shared" si="7"/>
        <v>0.39400000000000002</v>
      </c>
      <c r="AO15" s="691"/>
      <c r="AP15" s="770">
        <f>($AM15+AP$9)+0.002</f>
        <v>0.438</v>
      </c>
      <c r="AQ15" s="8">
        <f t="shared" si="8"/>
        <v>0.39400000000000002</v>
      </c>
      <c r="AR15" s="177">
        <f t="shared" si="9"/>
        <v>0.2165</v>
      </c>
      <c r="AS15" s="4">
        <f t="shared" ref="AS15:AT17" si="14">($AM15+AS$9)</f>
        <v>0.432</v>
      </c>
      <c r="AT15" s="8">
        <f t="shared" si="14"/>
        <v>0.434</v>
      </c>
      <c r="AU15" s="173">
        <f t="shared" ref="AU15:AV17" si="15">($AP15+AU$9)</f>
        <v>0.439</v>
      </c>
      <c r="AV15" s="6">
        <f t="shared" si="15"/>
        <v>0.442</v>
      </c>
      <c r="AW15" s="173">
        <f t="shared" si="10"/>
        <v>2.5000000000000022E-3</v>
      </c>
      <c r="AX15" s="8">
        <f t="shared" si="11"/>
        <v>5.0000000000000044E-3</v>
      </c>
      <c r="AY15" s="219"/>
      <c r="AZ15" s="746" t="s">
        <v>364</v>
      </c>
      <c r="BA15" s="691">
        <v>0.39400000000000002</v>
      </c>
      <c r="BC15" s="82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66">
        <f t="shared" si="12"/>
        <v>0.140625</v>
      </c>
      <c r="N16" s="31">
        <v>32</v>
      </c>
      <c r="O16" s="987"/>
      <c r="P16" s="183">
        <f t="shared" si="4"/>
        <v>0.15625</v>
      </c>
      <c r="Q16" s="78">
        <f t="shared" si="5"/>
        <v>39.0625</v>
      </c>
      <c r="R16" s="79">
        <f t="shared" si="5"/>
        <v>46.875</v>
      </c>
      <c r="S16" s="79">
        <f t="shared" si="5"/>
        <v>54.6875</v>
      </c>
      <c r="T16" s="79">
        <f t="shared" si="5"/>
        <v>62.5</v>
      </c>
      <c r="U16" s="79">
        <f t="shared" si="5"/>
        <v>70.3125</v>
      </c>
      <c r="V16" s="79">
        <f t="shared" si="5"/>
        <v>78.125</v>
      </c>
      <c r="W16" s="79">
        <f t="shared" si="5"/>
        <v>89.84375</v>
      </c>
      <c r="X16" s="79">
        <f t="shared" si="5"/>
        <v>101.5625</v>
      </c>
      <c r="Y16" s="79">
        <f t="shared" si="5"/>
        <v>113.28125</v>
      </c>
      <c r="Z16" s="79">
        <f t="shared" si="5"/>
        <v>125</v>
      </c>
      <c r="AA16" s="79">
        <f t="shared" si="5"/>
        <v>136.71875</v>
      </c>
      <c r="AB16" s="79">
        <f t="shared" si="5"/>
        <v>148.4375</v>
      </c>
      <c r="AC16" s="79">
        <f t="shared" si="5"/>
        <v>164.0625</v>
      </c>
      <c r="AD16" s="79">
        <f t="shared" si="5"/>
        <v>179.6875</v>
      </c>
      <c r="AE16" s="79">
        <f t="shared" si="5"/>
        <v>195.3125</v>
      </c>
      <c r="AF16" s="93">
        <v>24</v>
      </c>
      <c r="AG16" s="94">
        <v>18</v>
      </c>
      <c r="AH16" s="74"/>
      <c r="AI16" s="783">
        <f t="shared" si="13"/>
        <v>438000.42</v>
      </c>
      <c r="AJ16" s="780" t="b">
        <f>TRUE</f>
        <v>1</v>
      </c>
      <c r="AK16" s="683">
        <v>1111</v>
      </c>
      <c r="AL16" s="750">
        <f t="shared" si="6"/>
        <v>1111</v>
      </c>
      <c r="AM16" s="689">
        <v>0.433</v>
      </c>
      <c r="AN16" s="5">
        <f t="shared" si="7"/>
        <v>0.42</v>
      </c>
      <c r="AO16" s="691"/>
      <c r="AP16" s="770">
        <f>($AM16+AP$9)+0.002</f>
        <v>0.438</v>
      </c>
      <c r="AQ16" s="8">
        <f t="shared" si="8"/>
        <v>0.42</v>
      </c>
      <c r="AR16" s="177">
        <f t="shared" si="9"/>
        <v>0.2165</v>
      </c>
      <c r="AS16" s="4">
        <f t="shared" si="14"/>
        <v>0.432</v>
      </c>
      <c r="AT16" s="8">
        <f t="shared" si="14"/>
        <v>0.434</v>
      </c>
      <c r="AU16" s="173">
        <f t="shared" si="15"/>
        <v>0.439</v>
      </c>
      <c r="AV16" s="6">
        <f t="shared" si="15"/>
        <v>0.442</v>
      </c>
      <c r="AW16" s="173">
        <f t="shared" si="10"/>
        <v>2.5000000000000022E-3</v>
      </c>
      <c r="AX16" s="8">
        <f t="shared" si="11"/>
        <v>5.0000000000000044E-3</v>
      </c>
      <c r="AY16" s="219"/>
      <c r="AZ16" s="746" t="s">
        <v>365</v>
      </c>
      <c r="BA16" s="691">
        <v>0.42</v>
      </c>
      <c r="BC16" s="82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66">
        <f t="shared" si="12"/>
        <v>0.2109375</v>
      </c>
      <c r="N17" s="31">
        <v>32</v>
      </c>
      <c r="O17" s="987"/>
      <c r="P17" s="183">
        <f t="shared" si="4"/>
        <v>0.21875</v>
      </c>
      <c r="Q17" s="78">
        <f t="shared" si="5"/>
        <v>54.6875</v>
      </c>
      <c r="R17" s="79">
        <f t="shared" si="5"/>
        <v>65.625</v>
      </c>
      <c r="S17" s="79">
        <f t="shared" si="5"/>
        <v>76.5625</v>
      </c>
      <c r="T17" s="79">
        <f t="shared" si="5"/>
        <v>87.5</v>
      </c>
      <c r="U17" s="79">
        <f t="shared" si="5"/>
        <v>98.4375</v>
      </c>
      <c r="V17" s="79">
        <f t="shared" si="5"/>
        <v>109.375</v>
      </c>
      <c r="W17" s="79">
        <f t="shared" si="5"/>
        <v>125.78125</v>
      </c>
      <c r="X17" s="79">
        <f t="shared" si="5"/>
        <v>142.1875</v>
      </c>
      <c r="Y17" s="79">
        <f t="shared" si="5"/>
        <v>158.59375</v>
      </c>
      <c r="Z17" s="79">
        <f t="shared" si="5"/>
        <v>175</v>
      </c>
      <c r="AA17" s="79">
        <f t="shared" si="5"/>
        <v>191.40625</v>
      </c>
      <c r="AB17" s="79">
        <f t="shared" si="5"/>
        <v>207.8125</v>
      </c>
      <c r="AC17" s="79">
        <f t="shared" si="5"/>
        <v>229.6875</v>
      </c>
      <c r="AD17" s="79">
        <f t="shared" si="5"/>
        <v>251.5625</v>
      </c>
      <c r="AE17" s="79">
        <f t="shared" si="5"/>
        <v>273.4375</v>
      </c>
      <c r="AF17" s="93">
        <v>20</v>
      </c>
      <c r="AG17" s="94">
        <v>18</v>
      </c>
      <c r="AH17" s="74"/>
      <c r="AI17" s="783">
        <f t="shared" ref="AI17" si="16">ROUND(((ROUND(AP17,6)*1000000)+AQ17),6)</f>
        <v>438000.52</v>
      </c>
      <c r="AJ17" s="780" t="b">
        <f>TRUE</f>
        <v>1</v>
      </c>
      <c r="AK17" s="683">
        <v>1113</v>
      </c>
      <c r="AL17" s="750">
        <f t="shared" ref="AL17" si="17">AK17</f>
        <v>1113</v>
      </c>
      <c r="AM17" s="689">
        <v>0.433</v>
      </c>
      <c r="AN17" s="5">
        <f t="shared" si="7"/>
        <v>0.52</v>
      </c>
      <c r="AO17" s="691"/>
      <c r="AP17" s="770">
        <f>($AM17+AP$9)+0.002</f>
        <v>0.438</v>
      </c>
      <c r="AQ17" s="8">
        <f t="shared" si="8"/>
        <v>0.52</v>
      </c>
      <c r="AR17" s="177">
        <f t="shared" si="9"/>
        <v>0.2165</v>
      </c>
      <c r="AS17" s="4">
        <f t="shared" si="14"/>
        <v>0.432</v>
      </c>
      <c r="AT17" s="8">
        <f t="shared" si="14"/>
        <v>0.434</v>
      </c>
      <c r="AU17" s="173">
        <f t="shared" si="15"/>
        <v>0.439</v>
      </c>
      <c r="AV17" s="6">
        <f t="shared" si="15"/>
        <v>0.442</v>
      </c>
      <c r="AW17" s="173">
        <f t="shared" si="10"/>
        <v>2.5000000000000022E-3</v>
      </c>
      <c r="AX17" s="8">
        <f t="shared" si="11"/>
        <v>5.0000000000000044E-3</v>
      </c>
      <c r="AY17" s="219"/>
      <c r="AZ17" s="746" t="s">
        <v>366</v>
      </c>
      <c r="BA17" s="691">
        <v>0.52</v>
      </c>
      <c r="BC17" s="82">
        <v>1113</v>
      </c>
    </row>
    <row r="18" spans="2:55" x14ac:dyDescent="0.25">
      <c r="B18" s="31" t="s">
        <v>65</v>
      </c>
      <c r="C18" s="82" t="str">
        <f>SUBSTITUTE(ADDRESS(1,COLUMN(Assy.Model!AS9),4),"1","")</f>
        <v>AS</v>
      </c>
      <c r="D18" s="82">
        <f>ROW(Assy.Model!AS5)</f>
        <v>5</v>
      </c>
      <c r="E18" s="31"/>
      <c r="F18" s="31"/>
      <c r="G18" s="31"/>
      <c r="H18" s="31"/>
      <c r="I18" s="31"/>
      <c r="M18" s="166">
        <f t="shared" si="12"/>
        <v>0.31640625</v>
      </c>
      <c r="N18" s="31">
        <v>32</v>
      </c>
      <c r="O18" s="987"/>
      <c r="P18" s="183">
        <f t="shared" si="4"/>
        <v>0.3125</v>
      </c>
      <c r="Q18" s="78">
        <f t="shared" si="5"/>
        <v>78.125</v>
      </c>
      <c r="R18" s="79">
        <f t="shared" si="5"/>
        <v>93.75</v>
      </c>
      <c r="S18" s="79">
        <f t="shared" si="5"/>
        <v>109.375</v>
      </c>
      <c r="T18" s="79">
        <f t="shared" si="5"/>
        <v>125</v>
      </c>
      <c r="U18" s="79">
        <f t="shared" si="5"/>
        <v>140.625</v>
      </c>
      <c r="V18" s="79">
        <f t="shared" si="5"/>
        <v>156.25</v>
      </c>
      <c r="W18" s="79">
        <f t="shared" si="5"/>
        <v>179.6875</v>
      </c>
      <c r="X18" s="79">
        <f t="shared" si="5"/>
        <v>203.125</v>
      </c>
      <c r="Y18" s="79">
        <f t="shared" si="5"/>
        <v>226.5625</v>
      </c>
      <c r="Z18" s="79">
        <f t="shared" si="5"/>
        <v>250</v>
      </c>
      <c r="AA18" s="79">
        <f t="shared" si="5"/>
        <v>273.4375</v>
      </c>
      <c r="AB18" s="79">
        <f t="shared" si="5"/>
        <v>296.875</v>
      </c>
      <c r="AC18" s="79">
        <f t="shared" si="5"/>
        <v>328.125</v>
      </c>
      <c r="AD18" s="79" t="str">
        <f t="shared" si="5"/>
        <v/>
      </c>
      <c r="AE18" s="79" t="str">
        <f t="shared" si="5"/>
        <v/>
      </c>
      <c r="AF18" s="93">
        <v>16</v>
      </c>
      <c r="AG18" s="94">
        <v>18</v>
      </c>
      <c r="AH18" s="74"/>
      <c r="AI18" s="783">
        <f t="shared" ref="AI18:AI30" si="18">ROUND(((ROUND(AP18,6)*1000000)+AQ18),6)</f>
        <v>484000.52</v>
      </c>
      <c r="AJ18" s="780" t="b">
        <f>TRUE</f>
        <v>1</v>
      </c>
      <c r="AK18" s="683">
        <v>1213</v>
      </c>
      <c r="AL18" s="750">
        <f>AK18</f>
        <v>1213</v>
      </c>
      <c r="AM18" s="689">
        <v>0.48099999999999998</v>
      </c>
      <c r="AN18" s="5">
        <f t="shared" ref="AN18:AN28" si="19">INDEX($BA$14:$BA$18,MATCH(RIGHT($AK18,2),$AZ$14:$AZ$18,0))</f>
        <v>0.52</v>
      </c>
      <c r="AO18" s="691"/>
      <c r="AP18" s="9">
        <f t="shared" ref="AP18:AP28" si="20">($AM18+AP$9)</f>
        <v>0.48399999999999999</v>
      </c>
      <c r="AQ18" s="8">
        <f t="shared" ref="AQ18:AQ28" si="21">($AN18-($AO18/2))</f>
        <v>0.52</v>
      </c>
      <c r="AR18" s="177">
        <f t="shared" ref="AR18:AR37" si="22">IF($AO18&lt;0,$AO18/2,$AM18/2)</f>
        <v>0.24049999999999999</v>
      </c>
      <c r="AS18" s="4">
        <f t="shared" ref="AS18:AT34" si="23">($AM18+AS$9)</f>
        <v>0.48</v>
      </c>
      <c r="AT18" s="8">
        <f t="shared" si="23"/>
        <v>0.48199999999999998</v>
      </c>
      <c r="AU18" s="173">
        <f t="shared" ref="AU18:AV28" si="24">($AP18+AU$9)</f>
        <v>0.48499999999999999</v>
      </c>
      <c r="AV18" s="6">
        <f t="shared" si="24"/>
        <v>0.48799999999999999</v>
      </c>
      <c r="AW18" s="173">
        <f t="shared" ref="AW18:AW37" si="25">($AU18-$AT18)/2</f>
        <v>1.5000000000000013E-3</v>
      </c>
      <c r="AX18" s="8">
        <f t="shared" ref="AX18:AX37" si="26">($AV18-$AS18)/2</f>
        <v>4.0000000000000036E-3</v>
      </c>
      <c r="AY18" s="219"/>
      <c r="AZ18" s="747" t="s">
        <v>367</v>
      </c>
      <c r="BA18" s="692">
        <v>0.63</v>
      </c>
      <c r="BC18" s="82">
        <v>1213</v>
      </c>
    </row>
    <row r="19" spans="2:55" x14ac:dyDescent="0.25">
      <c r="B19" s="31" t="s">
        <v>79</v>
      </c>
      <c r="C19" s="74">
        <v>7.875</v>
      </c>
      <c r="D19" s="31"/>
      <c r="E19" s="31"/>
      <c r="F19" s="31"/>
      <c r="G19" s="31"/>
      <c r="H19" s="31"/>
      <c r="I19" s="31"/>
      <c r="M19" s="166">
        <f t="shared" si="12"/>
        <v>0.474609375</v>
      </c>
      <c r="N19" s="31">
        <v>32</v>
      </c>
      <c r="O19" s="987"/>
      <c r="P19" s="183">
        <f t="shared" si="4"/>
        <v>0.46875</v>
      </c>
      <c r="Q19" s="78">
        <f t="shared" si="5"/>
        <v>117.1875</v>
      </c>
      <c r="R19" s="79">
        <f t="shared" si="5"/>
        <v>140.625</v>
      </c>
      <c r="S19" s="79">
        <f t="shared" si="5"/>
        <v>164.0625</v>
      </c>
      <c r="T19" s="79">
        <f t="shared" si="5"/>
        <v>187.5</v>
      </c>
      <c r="U19" s="79">
        <f t="shared" si="5"/>
        <v>210.9375</v>
      </c>
      <c r="V19" s="79">
        <f t="shared" si="5"/>
        <v>234.375</v>
      </c>
      <c r="W19" s="79">
        <f t="shared" si="5"/>
        <v>269.53125</v>
      </c>
      <c r="X19" s="79">
        <f t="shared" si="5"/>
        <v>304.6875</v>
      </c>
      <c r="Y19" s="79">
        <f t="shared" si="5"/>
        <v>339.84375</v>
      </c>
      <c r="Z19" s="79" t="str">
        <f t="shared" si="5"/>
        <v/>
      </c>
      <c r="AA19" s="79" t="str">
        <f t="shared" si="5"/>
        <v/>
      </c>
      <c r="AB19" s="79" t="str">
        <f t="shared" si="5"/>
        <v/>
      </c>
      <c r="AC19" s="79" t="str">
        <f t="shared" si="5"/>
        <v/>
      </c>
      <c r="AD19" s="79" t="str">
        <f t="shared" si="5"/>
        <v/>
      </c>
      <c r="AE19" s="79" t="str">
        <f t="shared" si="5"/>
        <v/>
      </c>
      <c r="AF19" s="93">
        <v>8</v>
      </c>
      <c r="AG19" s="94">
        <v>18</v>
      </c>
      <c r="AH19" s="74"/>
      <c r="AI19" s="783">
        <f t="shared" si="18"/>
        <v>532000.31499999994</v>
      </c>
      <c r="AJ19" s="780" t="b">
        <f>TRUE</f>
        <v>1</v>
      </c>
      <c r="AK19" s="683">
        <v>1308</v>
      </c>
      <c r="AL19" s="750">
        <f>AK19</f>
        <v>1308</v>
      </c>
      <c r="AM19" s="689">
        <v>0.52900000000000003</v>
      </c>
      <c r="AN19" s="5">
        <f t="shared" si="19"/>
        <v>0.315</v>
      </c>
      <c r="AO19" s="691"/>
      <c r="AP19" s="9">
        <f t="shared" si="20"/>
        <v>0.53200000000000003</v>
      </c>
      <c r="AQ19" s="8">
        <f t="shared" si="21"/>
        <v>0.315</v>
      </c>
      <c r="AR19" s="177">
        <f t="shared" si="22"/>
        <v>0.26450000000000001</v>
      </c>
      <c r="AS19" s="4">
        <f t="shared" si="23"/>
        <v>0.52800000000000002</v>
      </c>
      <c r="AT19" s="8">
        <f t="shared" si="23"/>
        <v>0.53</v>
      </c>
      <c r="AU19" s="173">
        <f t="shared" si="24"/>
        <v>0.53300000000000003</v>
      </c>
      <c r="AV19" s="6">
        <f t="shared" si="24"/>
        <v>0.53600000000000003</v>
      </c>
      <c r="AW19" s="173">
        <f t="shared" si="25"/>
        <v>1.5000000000000013E-3</v>
      </c>
      <c r="AX19" s="8">
        <f t="shared" si="26"/>
        <v>4.0000000000000036E-3</v>
      </c>
      <c r="BC19" s="82">
        <v>1308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66">
        <f t="shared" si="12"/>
        <v>0.7119140625</v>
      </c>
      <c r="N20" s="31">
        <v>32</v>
      </c>
      <c r="O20" s="988"/>
      <c r="P20" s="184">
        <f>ROUND(M20/(1/N20),0)/N20</f>
        <v>0.71875</v>
      </c>
      <c r="Q20" s="80">
        <f t="shared" si="5"/>
        <v>179.6875</v>
      </c>
      <c r="R20" s="81">
        <f t="shared" si="5"/>
        <v>215.625</v>
      </c>
      <c r="S20" s="81">
        <f t="shared" si="5"/>
        <v>251.5625</v>
      </c>
      <c r="T20" s="81">
        <f t="shared" si="5"/>
        <v>287.5</v>
      </c>
      <c r="U20" s="81">
        <f t="shared" si="5"/>
        <v>323.4375</v>
      </c>
      <c r="V20" s="81" t="str">
        <f t="shared" si="5"/>
        <v/>
      </c>
      <c r="W20" s="81" t="str">
        <f t="shared" si="5"/>
        <v/>
      </c>
      <c r="X20" s="81" t="str">
        <f t="shared" si="5"/>
        <v/>
      </c>
      <c r="Y20" s="81" t="str">
        <f t="shared" si="5"/>
        <v/>
      </c>
      <c r="Z20" s="81" t="str">
        <f t="shared" si="5"/>
        <v/>
      </c>
      <c r="AA20" s="81" t="str">
        <f t="shared" si="5"/>
        <v/>
      </c>
      <c r="AB20" s="81" t="str">
        <f t="shared" si="5"/>
        <v/>
      </c>
      <c r="AC20" s="81" t="str">
        <f t="shared" si="5"/>
        <v/>
      </c>
      <c r="AD20" s="81" t="str">
        <f t="shared" si="5"/>
        <v/>
      </c>
      <c r="AE20" s="81" t="str">
        <f t="shared" si="5"/>
        <v/>
      </c>
      <c r="AF20" s="92">
        <v>4</v>
      </c>
      <c r="AG20" s="88">
        <v>18</v>
      </c>
      <c r="AH20" s="74"/>
      <c r="AI20" s="783">
        <f t="shared" si="18"/>
        <v>532000.39399999997</v>
      </c>
      <c r="AJ20" s="780" t="b">
        <f>TRUE</f>
        <v>1</v>
      </c>
      <c r="AK20" s="683">
        <v>1310</v>
      </c>
      <c r="AL20" s="750">
        <f>AK20</f>
        <v>1310</v>
      </c>
      <c r="AM20" s="689">
        <v>0.52900000000000003</v>
      </c>
      <c r="AN20" s="5">
        <f t="shared" si="19"/>
        <v>0.39400000000000002</v>
      </c>
      <c r="AO20" s="691"/>
      <c r="AP20" s="9">
        <f t="shared" si="20"/>
        <v>0.53200000000000003</v>
      </c>
      <c r="AQ20" s="8">
        <f t="shared" si="21"/>
        <v>0.39400000000000002</v>
      </c>
      <c r="AR20" s="177">
        <f t="shared" si="22"/>
        <v>0.26450000000000001</v>
      </c>
      <c r="AS20" s="4">
        <f t="shared" si="23"/>
        <v>0.52800000000000002</v>
      </c>
      <c r="AT20" s="8">
        <f t="shared" si="23"/>
        <v>0.53</v>
      </c>
      <c r="AU20" s="173">
        <f t="shared" si="24"/>
        <v>0.53300000000000003</v>
      </c>
      <c r="AV20" s="6">
        <f t="shared" si="24"/>
        <v>0.53600000000000003</v>
      </c>
      <c r="AW20" s="173">
        <f t="shared" si="25"/>
        <v>1.5000000000000013E-3</v>
      </c>
      <c r="AX20" s="8">
        <f t="shared" si="26"/>
        <v>4.0000000000000036E-3</v>
      </c>
      <c r="BC20" s="82">
        <v>1310</v>
      </c>
    </row>
    <row r="21" spans="2:55" x14ac:dyDescent="0.25">
      <c r="B21" s="995" t="s">
        <v>64</v>
      </c>
      <c r="C21" s="999"/>
      <c r="D21" s="999"/>
      <c r="E21" s="999"/>
      <c r="F21" s="996"/>
      <c r="G21" s="31"/>
      <c r="H21" s="31"/>
      <c r="I21" s="31"/>
      <c r="AI21" s="783">
        <f t="shared" si="18"/>
        <v>532000.52</v>
      </c>
      <c r="AJ21" s="780" t="b">
        <f>TRUE</f>
        <v>1</v>
      </c>
      <c r="AK21" s="683">
        <v>1313</v>
      </c>
      <c r="AL21" s="750">
        <f t="shared" ref="AL21:AL28" si="27">AK21</f>
        <v>1313</v>
      </c>
      <c r="AM21" s="689">
        <v>0.52900000000000003</v>
      </c>
      <c r="AN21" s="5">
        <f t="shared" si="19"/>
        <v>0.52</v>
      </c>
      <c r="AO21" s="691"/>
      <c r="AP21" s="9">
        <f t="shared" si="20"/>
        <v>0.53200000000000003</v>
      </c>
      <c r="AQ21" s="8">
        <f t="shared" si="21"/>
        <v>0.52</v>
      </c>
      <c r="AR21" s="177">
        <f t="shared" si="22"/>
        <v>0.26450000000000001</v>
      </c>
      <c r="AS21" s="4">
        <f t="shared" si="23"/>
        <v>0.52800000000000002</v>
      </c>
      <c r="AT21" s="8">
        <f t="shared" si="23"/>
        <v>0.53</v>
      </c>
      <c r="AU21" s="173">
        <f t="shared" si="24"/>
        <v>0.53300000000000003</v>
      </c>
      <c r="AV21" s="6">
        <f t="shared" si="24"/>
        <v>0.53600000000000003</v>
      </c>
      <c r="AW21" s="173">
        <f t="shared" si="25"/>
        <v>1.5000000000000013E-3</v>
      </c>
      <c r="AX21" s="8">
        <f t="shared" si="26"/>
        <v>4.0000000000000036E-3</v>
      </c>
      <c r="BC21" s="82">
        <v>1313</v>
      </c>
    </row>
    <row r="22" spans="2:55" x14ac:dyDescent="0.25">
      <c r="B22" s="993"/>
      <c r="C22" s="995" t="s">
        <v>63</v>
      </c>
      <c r="D22" s="996"/>
      <c r="E22" s="997" t="s">
        <v>60</v>
      </c>
      <c r="F22" s="997" t="s">
        <v>61</v>
      </c>
      <c r="G22" s="31"/>
      <c r="H22" s="31"/>
      <c r="I22" s="31"/>
      <c r="AI22" s="783">
        <f t="shared" si="18"/>
        <v>580000.52</v>
      </c>
      <c r="AJ22" s="780" t="b">
        <f>TRUE</f>
        <v>1</v>
      </c>
      <c r="AK22" s="683">
        <v>1513</v>
      </c>
      <c r="AL22" s="750">
        <f t="shared" si="27"/>
        <v>1513</v>
      </c>
      <c r="AM22" s="689">
        <v>0.57699999999999996</v>
      </c>
      <c r="AN22" s="5">
        <f t="shared" si="19"/>
        <v>0.52</v>
      </c>
      <c r="AO22" s="691"/>
      <c r="AP22" s="9">
        <f t="shared" si="20"/>
        <v>0.57999999999999996</v>
      </c>
      <c r="AQ22" s="8">
        <f t="shared" si="21"/>
        <v>0.52</v>
      </c>
      <c r="AR22" s="177">
        <f t="shared" si="22"/>
        <v>0.28849999999999998</v>
      </c>
      <c r="AS22" s="4">
        <f t="shared" si="23"/>
        <v>0.57599999999999996</v>
      </c>
      <c r="AT22" s="8">
        <f t="shared" si="23"/>
        <v>0.57799999999999996</v>
      </c>
      <c r="AU22" s="173">
        <f t="shared" si="24"/>
        <v>0.58099999999999996</v>
      </c>
      <c r="AV22" s="6">
        <f t="shared" si="24"/>
        <v>0.58399999999999996</v>
      </c>
      <c r="AW22" s="173">
        <f t="shared" si="25"/>
        <v>1.5000000000000013E-3</v>
      </c>
      <c r="AX22" s="8">
        <f t="shared" si="26"/>
        <v>4.0000000000000036E-3</v>
      </c>
      <c r="BC22" s="82">
        <v>1513</v>
      </c>
    </row>
    <row r="23" spans="2:55" ht="15.75" thickBot="1" x14ac:dyDescent="0.3">
      <c r="B23" s="994"/>
      <c r="C23" s="56" t="s">
        <v>8</v>
      </c>
      <c r="D23" s="56" t="s">
        <v>9</v>
      </c>
      <c r="E23" s="998"/>
      <c r="F23" s="998"/>
      <c r="G23" s="31"/>
      <c r="H23" s="31"/>
      <c r="I23" s="31"/>
      <c r="N23" s="31"/>
      <c r="AI23" s="783">
        <f t="shared" si="18"/>
        <v>628000.31499999994</v>
      </c>
      <c r="AJ23" s="780" t="b">
        <f>TRUE</f>
        <v>1</v>
      </c>
      <c r="AK23" s="683">
        <v>1608</v>
      </c>
      <c r="AL23" s="750">
        <f t="shared" si="27"/>
        <v>1608</v>
      </c>
      <c r="AM23" s="689">
        <v>0.625</v>
      </c>
      <c r="AN23" s="5">
        <f t="shared" si="19"/>
        <v>0.315</v>
      </c>
      <c r="AO23" s="691"/>
      <c r="AP23" s="9">
        <f t="shared" si="20"/>
        <v>0.628</v>
      </c>
      <c r="AQ23" s="8">
        <f t="shared" si="21"/>
        <v>0.315</v>
      </c>
      <c r="AR23" s="177">
        <f t="shared" si="22"/>
        <v>0.3125</v>
      </c>
      <c r="AS23" s="4">
        <f t="shared" si="23"/>
        <v>0.624</v>
      </c>
      <c r="AT23" s="8">
        <f t="shared" si="23"/>
        <v>0.626</v>
      </c>
      <c r="AU23" s="173">
        <f t="shared" si="24"/>
        <v>0.629</v>
      </c>
      <c r="AV23" s="6">
        <f t="shared" si="24"/>
        <v>0.63200000000000001</v>
      </c>
      <c r="AW23" s="173">
        <f t="shared" si="25"/>
        <v>1.5000000000000013E-3</v>
      </c>
      <c r="AX23" s="8">
        <f t="shared" si="26"/>
        <v>4.0000000000000036E-3</v>
      </c>
      <c r="BC23" s="82">
        <v>1608</v>
      </c>
    </row>
    <row r="24" spans="2:55" x14ac:dyDescent="0.25">
      <c r="B24" s="54" t="s">
        <v>59</v>
      </c>
      <c r="C24" s="54">
        <v>0</v>
      </c>
      <c r="D24" s="985">
        <v>0</v>
      </c>
      <c r="E24" s="985">
        <v>2</v>
      </c>
      <c r="F24" s="985">
        <v>270</v>
      </c>
      <c r="G24" s="31"/>
      <c r="H24" s="31"/>
      <c r="I24" s="31"/>
      <c r="N24" s="31"/>
      <c r="AI24" s="783">
        <f t="shared" si="18"/>
        <v>628000.39399999997</v>
      </c>
      <c r="AJ24" s="780" t="b">
        <f>TRUE</f>
        <v>1</v>
      </c>
      <c r="AK24" s="683">
        <v>1610</v>
      </c>
      <c r="AL24" s="750">
        <f t="shared" si="27"/>
        <v>1610</v>
      </c>
      <c r="AM24" s="689">
        <v>0.625</v>
      </c>
      <c r="AN24" s="5">
        <f t="shared" si="19"/>
        <v>0.39400000000000002</v>
      </c>
      <c r="AO24" s="691"/>
      <c r="AP24" s="9">
        <f t="shared" si="20"/>
        <v>0.628</v>
      </c>
      <c r="AQ24" s="8">
        <f t="shared" si="21"/>
        <v>0.39400000000000002</v>
      </c>
      <c r="AR24" s="177">
        <f t="shared" si="22"/>
        <v>0.3125</v>
      </c>
      <c r="AS24" s="4">
        <f t="shared" si="23"/>
        <v>0.624</v>
      </c>
      <c r="AT24" s="8">
        <f t="shared" si="23"/>
        <v>0.626</v>
      </c>
      <c r="AU24" s="173">
        <f t="shared" si="24"/>
        <v>0.629</v>
      </c>
      <c r="AV24" s="6">
        <f t="shared" si="24"/>
        <v>0.63200000000000001</v>
      </c>
      <c r="AW24" s="173">
        <f t="shared" si="25"/>
        <v>1.5000000000000013E-3</v>
      </c>
      <c r="AX24" s="8">
        <f t="shared" si="26"/>
        <v>4.0000000000000036E-3</v>
      </c>
      <c r="BC24" s="82">
        <v>1610</v>
      </c>
    </row>
    <row r="25" spans="2:55" x14ac:dyDescent="0.25">
      <c r="B25" s="55" t="s">
        <v>62</v>
      </c>
      <c r="C25" s="84">
        <f>C19/2</f>
        <v>3.9375</v>
      </c>
      <c r="D25" s="986"/>
      <c r="E25" s="986"/>
      <c r="F25" s="986"/>
      <c r="G25" s="31"/>
      <c r="H25" s="31"/>
      <c r="I25" s="31"/>
      <c r="AI25" s="783">
        <f t="shared" si="18"/>
        <v>628000.52</v>
      </c>
      <c r="AJ25" s="780" t="b">
        <f>TRUE</f>
        <v>1</v>
      </c>
      <c r="AK25" s="683">
        <v>1613</v>
      </c>
      <c r="AL25" s="750">
        <f t="shared" si="27"/>
        <v>1613</v>
      </c>
      <c r="AM25" s="689">
        <v>0.625</v>
      </c>
      <c r="AN25" s="5">
        <f t="shared" si="19"/>
        <v>0.52</v>
      </c>
      <c r="AO25" s="691"/>
      <c r="AP25" s="9">
        <f t="shared" si="20"/>
        <v>0.628</v>
      </c>
      <c r="AQ25" s="8">
        <f t="shared" si="21"/>
        <v>0.52</v>
      </c>
      <c r="AR25" s="177">
        <f t="shared" si="22"/>
        <v>0.3125</v>
      </c>
      <c r="AS25" s="4">
        <f t="shared" si="23"/>
        <v>0.624</v>
      </c>
      <c r="AT25" s="8">
        <f t="shared" si="23"/>
        <v>0.626</v>
      </c>
      <c r="AU25" s="173">
        <f t="shared" si="24"/>
        <v>0.629</v>
      </c>
      <c r="AV25" s="6">
        <f t="shared" si="24"/>
        <v>0.63200000000000001</v>
      </c>
      <c r="AW25" s="173">
        <f t="shared" si="25"/>
        <v>1.5000000000000013E-3</v>
      </c>
      <c r="AX25" s="8">
        <f t="shared" si="26"/>
        <v>4.0000000000000036E-3</v>
      </c>
      <c r="BC25" s="82">
        <v>1613</v>
      </c>
    </row>
    <row r="26" spans="2:55" x14ac:dyDescent="0.25">
      <c r="G26" s="31"/>
      <c r="H26" s="31"/>
      <c r="I26" s="31"/>
      <c r="AI26" s="783">
        <f t="shared" si="18"/>
        <v>668000.52</v>
      </c>
      <c r="AJ26" s="780" t="b">
        <f>TRUE</f>
        <v>1</v>
      </c>
      <c r="AK26" s="683">
        <v>1713</v>
      </c>
      <c r="AL26" s="750">
        <f t="shared" si="27"/>
        <v>1713</v>
      </c>
      <c r="AM26" s="689">
        <v>0.66500000000000004</v>
      </c>
      <c r="AN26" s="5">
        <f t="shared" si="19"/>
        <v>0.52</v>
      </c>
      <c r="AO26" s="691"/>
      <c r="AP26" s="9">
        <f t="shared" si="20"/>
        <v>0.66800000000000004</v>
      </c>
      <c r="AQ26" s="8">
        <f t="shared" si="21"/>
        <v>0.52</v>
      </c>
      <c r="AR26" s="177">
        <f t="shared" si="22"/>
        <v>0.33250000000000002</v>
      </c>
      <c r="AS26" s="4">
        <f t="shared" si="23"/>
        <v>0.66400000000000003</v>
      </c>
      <c r="AT26" s="8">
        <f t="shared" si="23"/>
        <v>0.66600000000000004</v>
      </c>
      <c r="AU26" s="173">
        <f t="shared" si="24"/>
        <v>0.66900000000000004</v>
      </c>
      <c r="AV26" s="6">
        <f t="shared" si="24"/>
        <v>0.67200000000000004</v>
      </c>
      <c r="AW26" s="173">
        <f t="shared" si="25"/>
        <v>1.5000000000000013E-3</v>
      </c>
      <c r="AX26" s="8">
        <f t="shared" si="26"/>
        <v>4.0000000000000036E-3</v>
      </c>
      <c r="BC26" s="82">
        <v>1713</v>
      </c>
    </row>
    <row r="27" spans="2:55" x14ac:dyDescent="0.25">
      <c r="B27" s="981" t="s">
        <v>302</v>
      </c>
      <c r="C27" s="981"/>
      <c r="D27" s="981"/>
      <c r="E27" s="981"/>
      <c r="F27" s="981"/>
      <c r="G27" s="31"/>
      <c r="H27" s="31"/>
      <c r="I27" s="31"/>
      <c r="AI27" s="783">
        <f t="shared" si="18"/>
        <v>711000.52</v>
      </c>
      <c r="AJ27" s="780" t="b">
        <f>TRUE</f>
        <v>1</v>
      </c>
      <c r="AK27" s="683">
        <v>1813</v>
      </c>
      <c r="AL27" s="750">
        <f t="shared" si="27"/>
        <v>1813</v>
      </c>
      <c r="AM27" s="689">
        <v>0.70799999999999996</v>
      </c>
      <c r="AN27" s="5">
        <f t="shared" si="19"/>
        <v>0.52</v>
      </c>
      <c r="AO27" s="691"/>
      <c r="AP27" s="9">
        <f t="shared" si="20"/>
        <v>0.71099999999999997</v>
      </c>
      <c r="AQ27" s="8">
        <f t="shared" si="21"/>
        <v>0.52</v>
      </c>
      <c r="AR27" s="177">
        <f t="shared" si="22"/>
        <v>0.35399999999999998</v>
      </c>
      <c r="AS27" s="4">
        <f t="shared" si="23"/>
        <v>0.70699999999999996</v>
      </c>
      <c r="AT27" s="8">
        <f t="shared" si="23"/>
        <v>0.70899999999999996</v>
      </c>
      <c r="AU27" s="173">
        <f t="shared" si="24"/>
        <v>0.71199999999999997</v>
      </c>
      <c r="AV27" s="6">
        <f t="shared" si="24"/>
        <v>0.71499999999999997</v>
      </c>
      <c r="AW27" s="173">
        <f t="shared" si="25"/>
        <v>1.5000000000000013E-3</v>
      </c>
      <c r="AX27" s="8">
        <f t="shared" si="26"/>
        <v>4.0000000000000036E-3</v>
      </c>
      <c r="BC27" s="82">
        <v>1813</v>
      </c>
    </row>
    <row r="28" spans="2:55" ht="15.75" thickBot="1" x14ac:dyDescent="0.3">
      <c r="B28" s="982" t="s">
        <v>406</v>
      </c>
      <c r="C28" s="982"/>
      <c r="D28" s="982"/>
      <c r="E28" s="982"/>
      <c r="F28" s="982"/>
      <c r="G28" s="31"/>
      <c r="H28" s="31"/>
      <c r="I28" s="31"/>
      <c r="AI28" s="783">
        <f t="shared" si="18"/>
        <v>753000.52</v>
      </c>
      <c r="AJ28" s="780" t="b">
        <f>TRUE</f>
        <v>1</v>
      </c>
      <c r="AK28" s="48">
        <v>1913</v>
      </c>
      <c r="AL28" s="751">
        <f t="shared" si="27"/>
        <v>1913</v>
      </c>
      <c r="AM28" s="752">
        <v>0.75</v>
      </c>
      <c r="AN28" s="494">
        <f t="shared" si="19"/>
        <v>0.52</v>
      </c>
      <c r="AO28" s="753"/>
      <c r="AP28" s="496">
        <f t="shared" si="20"/>
        <v>0.753</v>
      </c>
      <c r="AQ28" s="499">
        <f t="shared" si="21"/>
        <v>0.52</v>
      </c>
      <c r="AR28" s="506">
        <f t="shared" si="22"/>
        <v>0.375</v>
      </c>
      <c r="AS28" s="498">
        <f t="shared" si="23"/>
        <v>0.749</v>
      </c>
      <c r="AT28" s="499">
        <f t="shared" si="23"/>
        <v>0.751</v>
      </c>
      <c r="AU28" s="502">
        <f t="shared" si="24"/>
        <v>0.754</v>
      </c>
      <c r="AV28" s="497">
        <f t="shared" si="24"/>
        <v>0.75700000000000001</v>
      </c>
      <c r="AW28" s="502">
        <f t="shared" si="25"/>
        <v>1.5000000000000013E-3</v>
      </c>
      <c r="AX28" s="499">
        <f t="shared" si="26"/>
        <v>4.0000000000000036E-3</v>
      </c>
      <c r="BC28" s="82">
        <v>1913</v>
      </c>
    </row>
    <row r="29" spans="2:55" x14ac:dyDescent="0.25">
      <c r="B29" s="96"/>
      <c r="D29" s="96"/>
      <c r="AI29" s="783">
        <f t="shared" si="18"/>
        <v>390000.212</v>
      </c>
      <c r="AJ29" s="780" t="b">
        <v>1</v>
      </c>
      <c r="AK29" s="754" t="s">
        <v>330</v>
      </c>
      <c r="AL29" s="755" t="s">
        <v>332</v>
      </c>
      <c r="AM29" s="756">
        <v>0.38</v>
      </c>
      <c r="AN29" s="757">
        <v>0.438</v>
      </c>
      <c r="AO29" s="758">
        <f>0.225*2</f>
        <v>0.45</v>
      </c>
      <c r="AP29" s="772">
        <f t="shared" ref="AP29:AP34" si="28">($AM29+AP$9)+0.007</f>
        <v>0.39</v>
      </c>
      <c r="AQ29" s="771">
        <f>($AN29-($AO29/2))-0.001</f>
        <v>0.21199999999999999</v>
      </c>
      <c r="AR29" s="767">
        <f t="shared" si="22"/>
        <v>0.19</v>
      </c>
      <c r="AS29" s="760">
        <f t="shared" si="23"/>
        <v>0.379</v>
      </c>
      <c r="AT29" s="761">
        <f t="shared" si="23"/>
        <v>0.38100000000000001</v>
      </c>
      <c r="AU29" s="778">
        <f>($AP29+AU$9)-0.002</f>
        <v>0.38900000000000001</v>
      </c>
      <c r="AV29" s="779">
        <f>($AP29+AV$9)-0.002</f>
        <v>0.39200000000000002</v>
      </c>
      <c r="AW29" s="759">
        <f t="shared" si="25"/>
        <v>4.0000000000000036E-3</v>
      </c>
      <c r="AX29" s="761">
        <f t="shared" si="26"/>
        <v>6.5000000000000058E-3</v>
      </c>
      <c r="BC29" s="82" t="str">
        <v>CPS-31783r1</v>
      </c>
    </row>
    <row r="30" spans="2:55" x14ac:dyDescent="0.25">
      <c r="AF30" s="96"/>
      <c r="AI30" s="783">
        <f t="shared" si="18"/>
        <v>390000.43800000002</v>
      </c>
      <c r="AJ30" s="780" t="b">
        <f>TRUE</f>
        <v>1</v>
      </c>
      <c r="AK30" s="815" t="s">
        <v>381</v>
      </c>
      <c r="AL30" s="687" t="s">
        <v>332</v>
      </c>
      <c r="AM30" s="689">
        <v>0.38</v>
      </c>
      <c r="AN30" s="684">
        <v>0.438</v>
      </c>
      <c r="AO30" s="691">
        <f>0.225*2</f>
        <v>0.45</v>
      </c>
      <c r="AP30" s="770">
        <f t="shared" si="28"/>
        <v>0.39</v>
      </c>
      <c r="AQ30" s="774">
        <f>AN30</f>
        <v>0.438</v>
      </c>
      <c r="AR30" s="177">
        <f t="shared" si="22"/>
        <v>0.19</v>
      </c>
      <c r="AS30" s="4">
        <f t="shared" si="23"/>
        <v>0.379</v>
      </c>
      <c r="AT30" s="8">
        <f t="shared" si="23"/>
        <v>0.38100000000000001</v>
      </c>
      <c r="AU30" s="762">
        <f>($AP30+AU$9)-0.002</f>
        <v>0.38900000000000001</v>
      </c>
      <c r="AV30" s="763">
        <f>($AP30+AV$9)-0.002</f>
        <v>0.39200000000000002</v>
      </c>
      <c r="AW30" s="173">
        <f t="shared" si="25"/>
        <v>4.0000000000000036E-3</v>
      </c>
      <c r="AX30" s="8">
        <f t="shared" si="26"/>
        <v>6.5000000000000058E-3</v>
      </c>
      <c r="BC30" s="82" t="str">
        <v>&lt;&gt;CS CPS-31783r1</v>
      </c>
    </row>
    <row r="31" spans="2:55" x14ac:dyDescent="0.25">
      <c r="AF31" s="96"/>
      <c r="AI31" s="783">
        <f t="shared" ref="AI31:AI37" si="29">ROUND(((ROUND(AP31,6)*1000000)+AQ31),6)</f>
        <v>514000.45500000002</v>
      </c>
      <c r="AJ31" s="780" t="b">
        <v>0</v>
      </c>
      <c r="AK31" s="683" t="s">
        <v>327</v>
      </c>
      <c r="AL31" s="687" t="s">
        <v>333</v>
      </c>
      <c r="AM31" s="689">
        <v>0.504</v>
      </c>
      <c r="AN31" s="684">
        <v>0.71</v>
      </c>
      <c r="AO31" s="691">
        <f>0.255*2</f>
        <v>0.51</v>
      </c>
      <c r="AP31" s="770">
        <f t="shared" si="28"/>
        <v>0.51400000000000001</v>
      </c>
      <c r="AQ31" s="8">
        <f>($AN31-($AO31/2))</f>
        <v>0.45499999999999996</v>
      </c>
      <c r="AR31" s="177">
        <f t="shared" si="22"/>
        <v>0.252</v>
      </c>
      <c r="AS31" s="4">
        <f t="shared" si="23"/>
        <v>0.503</v>
      </c>
      <c r="AT31" s="8">
        <f t="shared" si="23"/>
        <v>0.505</v>
      </c>
      <c r="AU31" s="762">
        <f>($AP31+AU$9)-0.003</f>
        <v>0.51200000000000001</v>
      </c>
      <c r="AV31" s="763">
        <f>($AP31+AV$9)-0.004</f>
        <v>0.51400000000000001</v>
      </c>
      <c r="AW31" s="173">
        <f t="shared" si="25"/>
        <v>3.5000000000000031E-3</v>
      </c>
      <c r="AX31" s="8">
        <f t="shared" si="26"/>
        <v>5.5000000000000049E-3</v>
      </c>
      <c r="BC31" s="82" t="str">
        <v>CPS-32193r1</v>
      </c>
    </row>
    <row r="32" spans="2:55" x14ac:dyDescent="0.25">
      <c r="AI32" s="783">
        <f t="shared" si="29"/>
        <v>514000.71</v>
      </c>
      <c r="AJ32" s="780" t="b">
        <v>0</v>
      </c>
      <c r="AK32" s="815" t="s">
        <v>383</v>
      </c>
      <c r="AL32" s="687" t="s">
        <v>333</v>
      </c>
      <c r="AM32" s="689">
        <v>0.504</v>
      </c>
      <c r="AN32" s="684">
        <v>0.71</v>
      </c>
      <c r="AO32" s="691">
        <f>0.255*2</f>
        <v>0.51</v>
      </c>
      <c r="AP32" s="770">
        <f t="shared" si="28"/>
        <v>0.51400000000000001</v>
      </c>
      <c r="AQ32" s="774">
        <f>AN32</f>
        <v>0.71</v>
      </c>
      <c r="AR32" s="177">
        <f t="shared" si="22"/>
        <v>0.252</v>
      </c>
      <c r="AS32" s="4">
        <f t="shared" si="23"/>
        <v>0.503</v>
      </c>
      <c r="AT32" s="8">
        <f t="shared" si="23"/>
        <v>0.505</v>
      </c>
      <c r="AU32" s="762">
        <f>($AP32+AU$9)-0.003</f>
        <v>0.51200000000000001</v>
      </c>
      <c r="AV32" s="763">
        <f>($AP32+AV$9)-0.004</f>
        <v>0.51400000000000001</v>
      </c>
      <c r="AW32" s="173">
        <f t="shared" si="25"/>
        <v>3.5000000000000031E-3</v>
      </c>
      <c r="AX32" s="8">
        <f t="shared" si="26"/>
        <v>5.5000000000000049E-3</v>
      </c>
      <c r="BC32" s="82" t="str">
        <v>&lt;&gt;CS CPS-32193r1</v>
      </c>
    </row>
    <row r="33" spans="35:55" x14ac:dyDescent="0.25">
      <c r="AI33" s="783">
        <f t="shared" si="29"/>
        <v>514000.41499999998</v>
      </c>
      <c r="AJ33" s="780" t="b">
        <f>TRUE</f>
        <v>1</v>
      </c>
      <c r="AK33" s="683" t="s">
        <v>325</v>
      </c>
      <c r="AL33" s="687" t="s">
        <v>333</v>
      </c>
      <c r="AM33" s="689">
        <v>0.504</v>
      </c>
      <c r="AN33" s="684">
        <v>0.67</v>
      </c>
      <c r="AO33" s="691">
        <f>0.255*2</f>
        <v>0.51</v>
      </c>
      <c r="AP33" s="770">
        <f t="shared" si="28"/>
        <v>0.51400000000000001</v>
      </c>
      <c r="AQ33" s="8">
        <f>($AN33-($AO33/2))</f>
        <v>0.41500000000000004</v>
      </c>
      <c r="AR33" s="177">
        <f t="shared" si="22"/>
        <v>0.252</v>
      </c>
      <c r="AS33" s="4">
        <f t="shared" si="23"/>
        <v>0.503</v>
      </c>
      <c r="AT33" s="8">
        <f t="shared" si="23"/>
        <v>0.505</v>
      </c>
      <c r="AU33" s="762">
        <f>($AP33+AU$9)-0.003</f>
        <v>0.51200000000000001</v>
      </c>
      <c r="AV33" s="763">
        <f>($AP33+AV$9)-0.004</f>
        <v>0.51400000000000001</v>
      </c>
      <c r="AW33" s="173">
        <f t="shared" si="25"/>
        <v>3.5000000000000031E-3</v>
      </c>
      <c r="AX33" s="8">
        <f t="shared" si="26"/>
        <v>5.5000000000000049E-3</v>
      </c>
      <c r="BC33" s="82">
        <v>1213</v>
      </c>
    </row>
    <row r="34" spans="35:55" x14ac:dyDescent="0.25">
      <c r="AI34" s="783">
        <f t="shared" si="29"/>
        <v>514000.67</v>
      </c>
      <c r="AJ34" s="780" t="b">
        <f>TRUE</f>
        <v>1</v>
      </c>
      <c r="AK34" s="815" t="s">
        <v>382</v>
      </c>
      <c r="AL34" s="687" t="s">
        <v>333</v>
      </c>
      <c r="AM34" s="689">
        <v>0.504</v>
      </c>
      <c r="AN34" s="684">
        <v>0.67</v>
      </c>
      <c r="AO34" s="691">
        <f>0.255*2</f>
        <v>0.51</v>
      </c>
      <c r="AP34" s="770">
        <f t="shared" si="28"/>
        <v>0.51400000000000001</v>
      </c>
      <c r="AQ34" s="774">
        <f>AN34</f>
        <v>0.67</v>
      </c>
      <c r="AR34" s="177">
        <f t="shared" si="22"/>
        <v>0.252</v>
      </c>
      <c r="AS34" s="4">
        <f t="shared" si="23"/>
        <v>0.503</v>
      </c>
      <c r="AT34" s="8">
        <f t="shared" si="23"/>
        <v>0.505</v>
      </c>
      <c r="AU34" s="762">
        <f>($AP34+AU$9)-0.003</f>
        <v>0.51200000000000001</v>
      </c>
      <c r="AV34" s="763">
        <f>($AP34+AV$9)-0.004</f>
        <v>0.51400000000000001</v>
      </c>
      <c r="AW34" s="173">
        <f t="shared" si="25"/>
        <v>3.5000000000000031E-3</v>
      </c>
      <c r="AX34" s="8">
        <f t="shared" si="26"/>
        <v>5.5000000000000049E-3</v>
      </c>
      <c r="BC34" s="82">
        <v>1308</v>
      </c>
    </row>
    <row r="35" spans="35:55" ht="15" customHeight="1" x14ac:dyDescent="0.25">
      <c r="AI35" s="783">
        <f t="shared" si="29"/>
        <v>450000.33189999999</v>
      </c>
      <c r="AJ35" s="780" t="b">
        <f>FALSE</f>
        <v>0</v>
      </c>
      <c r="AK35" s="683" t="s">
        <v>331</v>
      </c>
      <c r="AL35" s="687" t="s">
        <v>334</v>
      </c>
      <c r="AM35" s="689">
        <v>0.4415</v>
      </c>
      <c r="AN35" s="684">
        <v>0.55000000000000004</v>
      </c>
      <c r="AO35" s="691">
        <f>0.2181*2</f>
        <v>0.43619999999999998</v>
      </c>
      <c r="AP35" s="770">
        <f>($AM35+AP$9)+0.0055</f>
        <v>0.45</v>
      </c>
      <c r="AQ35" s="8">
        <f>($AN35-($AO35/2))</f>
        <v>0.33190000000000008</v>
      </c>
      <c r="AR35" s="177">
        <f t="shared" si="22"/>
        <v>0.22075</v>
      </c>
      <c r="AS35" s="775">
        <f>($AM35+AS$9)+0.0008</f>
        <v>0.44130000000000003</v>
      </c>
      <c r="AT35" s="774">
        <f>($AM35+AT$9)-0.0008</f>
        <v>0.44169999999999998</v>
      </c>
      <c r="AU35" s="762">
        <f>($AP35+AU$9)-0.005</f>
        <v>0.44600000000000001</v>
      </c>
      <c r="AV35" s="763">
        <f>($AP35+AV$9)-0.002</f>
        <v>0.45200000000000001</v>
      </c>
      <c r="AW35" s="173">
        <f t="shared" si="25"/>
        <v>2.150000000000013E-3</v>
      </c>
      <c r="AX35" s="8">
        <f t="shared" si="26"/>
        <v>5.3499999999999936E-3</v>
      </c>
      <c r="BC35" s="82">
        <v>1310</v>
      </c>
    </row>
    <row r="36" spans="35:55" x14ac:dyDescent="0.25">
      <c r="AI36" s="783">
        <f t="shared" si="29"/>
        <v>450000.33199999999</v>
      </c>
      <c r="AJ36" s="780" t="b">
        <f>FALSE</f>
        <v>0</v>
      </c>
      <c r="AK36" s="683" t="s">
        <v>331</v>
      </c>
      <c r="AL36" s="687" t="s">
        <v>334</v>
      </c>
      <c r="AM36" s="689">
        <v>0.4415</v>
      </c>
      <c r="AN36" s="684">
        <v>0.55000000000000004</v>
      </c>
      <c r="AO36" s="691">
        <f>0.2181*2</f>
        <v>0.43619999999999998</v>
      </c>
      <c r="AP36" s="770">
        <f>($AM36+AP$9)+0.0055</f>
        <v>0.45</v>
      </c>
      <c r="AQ36" s="774">
        <f>($AN36-($AO36/2))+0.0001</f>
        <v>0.33200000000000007</v>
      </c>
      <c r="AR36" s="177">
        <f t="shared" si="22"/>
        <v>0.22075</v>
      </c>
      <c r="AS36" s="775">
        <f>($AM36+AS$9)+0.0008</f>
        <v>0.44130000000000003</v>
      </c>
      <c r="AT36" s="774">
        <f>($AM36+AT$9)-0.0008</f>
        <v>0.44169999999999998</v>
      </c>
      <c r="AU36" s="762">
        <f>($AP36+AU$9)-0.005</f>
        <v>0.44600000000000001</v>
      </c>
      <c r="AV36" s="763">
        <f>($AP36+AV$9)-0.002</f>
        <v>0.45200000000000001</v>
      </c>
      <c r="AW36" s="173">
        <f t="shared" si="25"/>
        <v>2.150000000000013E-3</v>
      </c>
      <c r="AX36" s="8">
        <f t="shared" si="26"/>
        <v>5.3499999999999936E-3</v>
      </c>
      <c r="BC36" s="82">
        <v>1313</v>
      </c>
    </row>
    <row r="37" spans="35:55" x14ac:dyDescent="0.25">
      <c r="AI37" s="783">
        <f t="shared" si="29"/>
        <v>525000.40700000001</v>
      </c>
      <c r="AJ37" s="780" t="b">
        <f>FALSE</f>
        <v>0</v>
      </c>
      <c r="AK37" s="685" t="s">
        <v>326</v>
      </c>
      <c r="AL37" s="688" t="s">
        <v>335</v>
      </c>
      <c r="AM37" s="690">
        <v>0.51459999999999995</v>
      </c>
      <c r="AN37" s="686">
        <v>0.67</v>
      </c>
      <c r="AO37" s="692">
        <f>0.263*2</f>
        <v>0.52600000000000002</v>
      </c>
      <c r="AP37" s="773">
        <f>($AM37+AP$9)+0.0074</f>
        <v>0.52499999999999991</v>
      </c>
      <c r="AQ37" s="665">
        <f>($AN37-($AO37/2))</f>
        <v>0.40700000000000003</v>
      </c>
      <c r="AR37" s="768">
        <f t="shared" si="22"/>
        <v>0.25729999999999997</v>
      </c>
      <c r="AS37" s="776">
        <f>($AM37+AS$9)+0.0008</f>
        <v>0.51439999999999997</v>
      </c>
      <c r="AT37" s="777">
        <f>($AM37+AT$9)-0.0008</f>
        <v>0.51479999999999992</v>
      </c>
      <c r="AU37" s="764">
        <f>($AP37+AU$9)-0.005</f>
        <v>0.52099999999999991</v>
      </c>
      <c r="AV37" s="765">
        <f>($AP37+AV$9)-0.002</f>
        <v>0.52699999999999991</v>
      </c>
      <c r="AW37" s="176">
        <f t="shared" si="25"/>
        <v>3.0999999999999917E-3</v>
      </c>
      <c r="AX37" s="665">
        <f t="shared" si="26"/>
        <v>6.2999999999999723E-3</v>
      </c>
      <c r="BC37" s="82">
        <v>1513</v>
      </c>
    </row>
    <row r="38" spans="35:55" x14ac:dyDescent="0.25">
      <c r="AI38" s="417"/>
      <c r="AJ38" s="417"/>
      <c r="AK38" s="417"/>
      <c r="AL38" s="417"/>
      <c r="BC38" s="82">
        <v>1608</v>
      </c>
    </row>
    <row r="39" spans="35:55" x14ac:dyDescent="0.25">
      <c r="AI39" s="417"/>
      <c r="AK39" s="417"/>
      <c r="AL39" s="417"/>
      <c r="BC39" s="82">
        <v>1610</v>
      </c>
    </row>
    <row r="40" spans="35:55" x14ac:dyDescent="0.25">
      <c r="AI40" s="417"/>
      <c r="AJ40" s="417"/>
      <c r="AK40" s="417"/>
      <c r="AL40" s="417"/>
      <c r="BC40" s="82">
        <v>1613</v>
      </c>
    </row>
    <row r="41" spans="35:55" x14ac:dyDescent="0.25">
      <c r="AI41" s="783">
        <f t="shared" ref="AI41:AI53" si="30">ROUND(((ROUND(AP41,6)*1000000)+AQ41),6)</f>
        <v>484000.52</v>
      </c>
      <c r="AJ41" s="780" t="b">
        <f>TRUE</f>
        <v>1</v>
      </c>
      <c r="AK41" s="683">
        <v>1213</v>
      </c>
      <c r="AL41" s="750">
        <f>AK41</f>
        <v>1213</v>
      </c>
      <c r="AM41" s="689">
        <v>0.48099999999999998</v>
      </c>
      <c r="AN41" s="5">
        <f t="shared" ref="AN41:AN51" si="31">INDEX($BA$14:$BA$18,MATCH(RIGHT($AK41,2),$AZ$14:$AZ$18,0))</f>
        <v>0.52</v>
      </c>
      <c r="AO41" s="691"/>
      <c r="AP41" s="9">
        <f t="shared" ref="AP41:AP51" si="32">($AM41+AP$9)</f>
        <v>0.48399999999999999</v>
      </c>
      <c r="AQ41" s="8">
        <f t="shared" ref="AQ41:AQ51" si="33">($AN41-($AO41/2))</f>
        <v>0.52</v>
      </c>
      <c r="AR41" s="177">
        <f t="shared" ref="AR41:AR60" si="34">IF($AO41&lt;0,$AO41/2,$AM41/2)</f>
        <v>0.24049999999999999</v>
      </c>
      <c r="AS41" s="4">
        <f t="shared" ref="AS41:AT57" si="35">($AM41+AS$9)</f>
        <v>0.48</v>
      </c>
      <c r="AT41" s="8">
        <f t="shared" si="35"/>
        <v>0.48199999999999998</v>
      </c>
      <c r="AU41" s="173">
        <f t="shared" ref="AU41:AV51" si="36">($AP41+AU$9)</f>
        <v>0.48499999999999999</v>
      </c>
      <c r="AV41" s="6">
        <f t="shared" si="36"/>
        <v>0.48799999999999999</v>
      </c>
      <c r="AW41" s="173">
        <f t="shared" ref="AW41:AW60" si="37">($AU41-$AT41)/2</f>
        <v>1.5000000000000013E-3</v>
      </c>
      <c r="AX41" s="8">
        <f t="shared" ref="AX41:AX60" si="38">($AV41-$AS41)/2</f>
        <v>4.0000000000000036E-3</v>
      </c>
      <c r="BC41" s="82">
        <v>1713</v>
      </c>
    </row>
    <row r="42" spans="35:55" x14ac:dyDescent="0.25">
      <c r="AI42" s="783">
        <f t="shared" si="30"/>
        <v>532000.31499999994</v>
      </c>
      <c r="AJ42" s="780" t="b">
        <f>TRUE</f>
        <v>1</v>
      </c>
      <c r="AK42" s="683">
        <v>1308</v>
      </c>
      <c r="AL42" s="750">
        <f>AK42</f>
        <v>1308</v>
      </c>
      <c r="AM42" s="689">
        <v>0.52900000000000003</v>
      </c>
      <c r="AN42" s="5">
        <f t="shared" si="31"/>
        <v>0.315</v>
      </c>
      <c r="AO42" s="691"/>
      <c r="AP42" s="9">
        <f t="shared" si="32"/>
        <v>0.53200000000000003</v>
      </c>
      <c r="AQ42" s="8">
        <f t="shared" si="33"/>
        <v>0.315</v>
      </c>
      <c r="AR42" s="177">
        <f t="shared" si="34"/>
        <v>0.26450000000000001</v>
      </c>
      <c r="AS42" s="4">
        <f t="shared" si="35"/>
        <v>0.52800000000000002</v>
      </c>
      <c r="AT42" s="8">
        <f t="shared" si="35"/>
        <v>0.53</v>
      </c>
      <c r="AU42" s="173">
        <f t="shared" si="36"/>
        <v>0.53300000000000003</v>
      </c>
      <c r="AV42" s="6">
        <f t="shared" si="36"/>
        <v>0.53600000000000003</v>
      </c>
      <c r="AW42" s="173">
        <f t="shared" si="37"/>
        <v>1.5000000000000013E-3</v>
      </c>
      <c r="AX42" s="8">
        <f t="shared" si="38"/>
        <v>4.0000000000000036E-3</v>
      </c>
      <c r="BC42" s="82">
        <v>1813</v>
      </c>
    </row>
    <row r="43" spans="35:55" x14ac:dyDescent="0.25">
      <c r="AI43" s="783">
        <f t="shared" si="30"/>
        <v>532000.39399999997</v>
      </c>
      <c r="AJ43" s="780" t="b">
        <f>TRUE</f>
        <v>1</v>
      </c>
      <c r="AK43" s="683">
        <v>1310</v>
      </c>
      <c r="AL43" s="750">
        <f>AK43</f>
        <v>1310</v>
      </c>
      <c r="AM43" s="689">
        <v>0.52900000000000003</v>
      </c>
      <c r="AN43" s="5">
        <f t="shared" si="31"/>
        <v>0.39400000000000002</v>
      </c>
      <c r="AO43" s="691"/>
      <c r="AP43" s="9">
        <f t="shared" si="32"/>
        <v>0.53200000000000003</v>
      </c>
      <c r="AQ43" s="8">
        <f t="shared" si="33"/>
        <v>0.39400000000000002</v>
      </c>
      <c r="AR43" s="177">
        <f t="shared" si="34"/>
        <v>0.26450000000000001</v>
      </c>
      <c r="AS43" s="4">
        <f t="shared" si="35"/>
        <v>0.52800000000000002</v>
      </c>
      <c r="AT43" s="8">
        <f t="shared" si="35"/>
        <v>0.53</v>
      </c>
      <c r="AU43" s="173">
        <f t="shared" si="36"/>
        <v>0.53300000000000003</v>
      </c>
      <c r="AV43" s="6">
        <f t="shared" si="36"/>
        <v>0.53600000000000003</v>
      </c>
      <c r="AW43" s="173">
        <f t="shared" si="37"/>
        <v>1.5000000000000013E-3</v>
      </c>
      <c r="AX43" s="8">
        <f t="shared" si="38"/>
        <v>4.0000000000000036E-3</v>
      </c>
      <c r="BC43" s="82">
        <v>1913</v>
      </c>
    </row>
    <row r="44" spans="35:55" x14ac:dyDescent="0.25">
      <c r="AI44" s="783">
        <f t="shared" si="30"/>
        <v>532000.52</v>
      </c>
      <c r="AJ44" s="780" t="b">
        <f>TRUE</f>
        <v>1</v>
      </c>
      <c r="AK44" s="683">
        <v>1313</v>
      </c>
      <c r="AL44" s="750">
        <f t="shared" ref="AL44:AL51" si="39">AK44</f>
        <v>1313</v>
      </c>
      <c r="AM44" s="689">
        <v>0.52900000000000003</v>
      </c>
      <c r="AN44" s="5">
        <f t="shared" si="31"/>
        <v>0.52</v>
      </c>
      <c r="AO44" s="691"/>
      <c r="AP44" s="9">
        <f t="shared" si="32"/>
        <v>0.53200000000000003</v>
      </c>
      <c r="AQ44" s="8">
        <f t="shared" si="33"/>
        <v>0.52</v>
      </c>
      <c r="AR44" s="177">
        <f t="shared" si="34"/>
        <v>0.26450000000000001</v>
      </c>
      <c r="AS44" s="4">
        <f t="shared" si="35"/>
        <v>0.52800000000000002</v>
      </c>
      <c r="AT44" s="8">
        <f t="shared" si="35"/>
        <v>0.53</v>
      </c>
      <c r="AU44" s="173">
        <f t="shared" si="36"/>
        <v>0.53300000000000003</v>
      </c>
      <c r="AV44" s="6">
        <f t="shared" si="36"/>
        <v>0.53600000000000003</v>
      </c>
      <c r="AW44" s="173">
        <f t="shared" si="37"/>
        <v>1.5000000000000013E-3</v>
      </c>
      <c r="AX44" s="8">
        <f t="shared" si="38"/>
        <v>4.0000000000000036E-3</v>
      </c>
      <c r="BC44" s="82" t="str">
        <v>CPS-31783r1</v>
      </c>
    </row>
    <row r="45" spans="35:55" x14ac:dyDescent="0.25">
      <c r="AI45" s="783">
        <f t="shared" si="30"/>
        <v>580000.52</v>
      </c>
      <c r="AJ45" s="780" t="b">
        <f>TRUE</f>
        <v>1</v>
      </c>
      <c r="AK45" s="683">
        <v>1513</v>
      </c>
      <c r="AL45" s="750">
        <f t="shared" si="39"/>
        <v>1513</v>
      </c>
      <c r="AM45" s="689">
        <v>0.57699999999999996</v>
      </c>
      <c r="AN45" s="5">
        <f t="shared" si="31"/>
        <v>0.52</v>
      </c>
      <c r="AO45" s="691"/>
      <c r="AP45" s="9">
        <f t="shared" si="32"/>
        <v>0.57999999999999996</v>
      </c>
      <c r="AQ45" s="8">
        <f t="shared" si="33"/>
        <v>0.52</v>
      </c>
      <c r="AR45" s="177">
        <f t="shared" si="34"/>
        <v>0.28849999999999998</v>
      </c>
      <c r="AS45" s="4">
        <f t="shared" si="35"/>
        <v>0.57599999999999996</v>
      </c>
      <c r="AT45" s="8">
        <f t="shared" si="35"/>
        <v>0.57799999999999996</v>
      </c>
      <c r="AU45" s="173">
        <f t="shared" si="36"/>
        <v>0.58099999999999996</v>
      </c>
      <c r="AV45" s="6">
        <f t="shared" si="36"/>
        <v>0.58399999999999996</v>
      </c>
      <c r="AW45" s="173">
        <f t="shared" si="37"/>
        <v>1.5000000000000013E-3</v>
      </c>
      <c r="AX45" s="8">
        <f t="shared" si="38"/>
        <v>4.0000000000000036E-3</v>
      </c>
      <c r="BC45" s="82" t="str">
        <v>&lt;&gt;CS CPS-31783r1</v>
      </c>
    </row>
    <row r="46" spans="35:55" ht="15" customHeight="1" x14ac:dyDescent="0.25">
      <c r="AI46" s="783">
        <f t="shared" si="30"/>
        <v>628000.31499999994</v>
      </c>
      <c r="AJ46" s="780" t="b">
        <f>TRUE</f>
        <v>1</v>
      </c>
      <c r="AK46" s="683">
        <v>1608</v>
      </c>
      <c r="AL46" s="750">
        <f t="shared" si="39"/>
        <v>1608</v>
      </c>
      <c r="AM46" s="689">
        <v>0.625</v>
      </c>
      <c r="AN46" s="5">
        <f t="shared" si="31"/>
        <v>0.315</v>
      </c>
      <c r="AO46" s="691"/>
      <c r="AP46" s="9">
        <f t="shared" si="32"/>
        <v>0.628</v>
      </c>
      <c r="AQ46" s="8">
        <f t="shared" si="33"/>
        <v>0.315</v>
      </c>
      <c r="AR46" s="177">
        <f t="shared" si="34"/>
        <v>0.3125</v>
      </c>
      <c r="AS46" s="4">
        <f t="shared" si="35"/>
        <v>0.624</v>
      </c>
      <c r="AT46" s="8">
        <f t="shared" si="35"/>
        <v>0.626</v>
      </c>
      <c r="AU46" s="173">
        <f t="shared" si="36"/>
        <v>0.629</v>
      </c>
      <c r="AV46" s="6">
        <f t="shared" si="36"/>
        <v>0.63200000000000001</v>
      </c>
      <c r="AW46" s="173">
        <f t="shared" si="37"/>
        <v>1.5000000000000013E-3</v>
      </c>
      <c r="AX46" s="8">
        <f t="shared" si="38"/>
        <v>4.0000000000000036E-3</v>
      </c>
      <c r="BC46" s="82" t="str">
        <v>CPS-32193r1</v>
      </c>
    </row>
    <row r="47" spans="35:55" x14ac:dyDescent="0.25">
      <c r="AI47" s="783">
        <f t="shared" si="30"/>
        <v>628000.39399999997</v>
      </c>
      <c r="AJ47" s="780" t="b">
        <f>TRUE</f>
        <v>1</v>
      </c>
      <c r="AK47" s="683">
        <v>1610</v>
      </c>
      <c r="AL47" s="750">
        <f t="shared" si="39"/>
        <v>1610</v>
      </c>
      <c r="AM47" s="689">
        <v>0.625</v>
      </c>
      <c r="AN47" s="5">
        <f t="shared" si="31"/>
        <v>0.39400000000000002</v>
      </c>
      <c r="AO47" s="691"/>
      <c r="AP47" s="9">
        <f t="shared" si="32"/>
        <v>0.628</v>
      </c>
      <c r="AQ47" s="8">
        <f t="shared" si="33"/>
        <v>0.39400000000000002</v>
      </c>
      <c r="AR47" s="177">
        <f t="shared" si="34"/>
        <v>0.3125</v>
      </c>
      <c r="AS47" s="4">
        <f t="shared" si="35"/>
        <v>0.624</v>
      </c>
      <c r="AT47" s="8">
        <f t="shared" si="35"/>
        <v>0.626</v>
      </c>
      <c r="AU47" s="173">
        <f t="shared" si="36"/>
        <v>0.629</v>
      </c>
      <c r="AV47" s="6">
        <f t="shared" si="36"/>
        <v>0.63200000000000001</v>
      </c>
      <c r="AW47" s="173">
        <f t="shared" si="37"/>
        <v>1.5000000000000013E-3</v>
      </c>
      <c r="AX47" s="8">
        <f t="shared" si="38"/>
        <v>4.0000000000000036E-3</v>
      </c>
      <c r="BC47" s="82" t="str">
        <v>&lt;&gt;CS CPS-32193r1</v>
      </c>
    </row>
    <row r="48" spans="35:55" x14ac:dyDescent="0.25">
      <c r="AI48" s="783">
        <f t="shared" si="30"/>
        <v>628000.52</v>
      </c>
      <c r="AJ48" s="780" t="b">
        <f>TRUE</f>
        <v>1</v>
      </c>
      <c r="AK48" s="683">
        <v>1613</v>
      </c>
      <c r="AL48" s="750">
        <f t="shared" si="39"/>
        <v>1613</v>
      </c>
      <c r="AM48" s="689">
        <v>0.625</v>
      </c>
      <c r="AN48" s="5">
        <f t="shared" si="31"/>
        <v>0.52</v>
      </c>
      <c r="AO48" s="691"/>
      <c r="AP48" s="9">
        <f t="shared" si="32"/>
        <v>0.628</v>
      </c>
      <c r="AQ48" s="8">
        <f t="shared" si="33"/>
        <v>0.52</v>
      </c>
      <c r="AR48" s="177">
        <f t="shared" si="34"/>
        <v>0.3125</v>
      </c>
      <c r="AS48" s="4">
        <f t="shared" si="35"/>
        <v>0.624</v>
      </c>
      <c r="AT48" s="8">
        <f t="shared" si="35"/>
        <v>0.626</v>
      </c>
      <c r="AU48" s="173">
        <f t="shared" si="36"/>
        <v>0.629</v>
      </c>
      <c r="AV48" s="6">
        <f t="shared" si="36"/>
        <v>0.63200000000000001</v>
      </c>
      <c r="AW48" s="173">
        <f t="shared" si="37"/>
        <v>1.5000000000000013E-3</v>
      </c>
      <c r="AX48" s="8">
        <f t="shared" si="38"/>
        <v>4.0000000000000036E-3</v>
      </c>
    </row>
    <row r="49" spans="2:50" x14ac:dyDescent="0.25">
      <c r="AI49" s="783">
        <f t="shared" si="30"/>
        <v>668000.52</v>
      </c>
      <c r="AJ49" s="780" t="b">
        <f>TRUE</f>
        <v>1</v>
      </c>
      <c r="AK49" s="683">
        <v>1713</v>
      </c>
      <c r="AL49" s="750">
        <f t="shared" si="39"/>
        <v>1713</v>
      </c>
      <c r="AM49" s="689">
        <v>0.66500000000000004</v>
      </c>
      <c r="AN49" s="5">
        <f t="shared" si="31"/>
        <v>0.52</v>
      </c>
      <c r="AO49" s="691"/>
      <c r="AP49" s="9">
        <f t="shared" si="32"/>
        <v>0.66800000000000004</v>
      </c>
      <c r="AQ49" s="8">
        <f t="shared" si="33"/>
        <v>0.52</v>
      </c>
      <c r="AR49" s="177">
        <f t="shared" si="34"/>
        <v>0.33250000000000002</v>
      </c>
      <c r="AS49" s="4">
        <f t="shared" si="35"/>
        <v>0.66400000000000003</v>
      </c>
      <c r="AT49" s="8">
        <f t="shared" si="35"/>
        <v>0.66600000000000004</v>
      </c>
      <c r="AU49" s="173">
        <f t="shared" si="36"/>
        <v>0.66900000000000004</v>
      </c>
      <c r="AV49" s="6">
        <f t="shared" si="36"/>
        <v>0.67200000000000004</v>
      </c>
      <c r="AW49" s="173">
        <f t="shared" si="37"/>
        <v>1.5000000000000013E-3</v>
      </c>
      <c r="AX49" s="8">
        <f t="shared" si="38"/>
        <v>4.0000000000000036E-3</v>
      </c>
    </row>
    <row r="50" spans="2:50" x14ac:dyDescent="0.25">
      <c r="AI50" s="783">
        <f t="shared" si="30"/>
        <v>711000.52</v>
      </c>
      <c r="AJ50" s="780" t="b">
        <f>TRUE</f>
        <v>1</v>
      </c>
      <c r="AK50" s="683">
        <v>1813</v>
      </c>
      <c r="AL50" s="750">
        <f t="shared" si="39"/>
        <v>1813</v>
      </c>
      <c r="AM50" s="689">
        <v>0.70799999999999996</v>
      </c>
      <c r="AN50" s="5">
        <f t="shared" si="31"/>
        <v>0.52</v>
      </c>
      <c r="AO50" s="691"/>
      <c r="AP50" s="9">
        <f t="shared" si="32"/>
        <v>0.71099999999999997</v>
      </c>
      <c r="AQ50" s="8">
        <f t="shared" si="33"/>
        <v>0.52</v>
      </c>
      <c r="AR50" s="177">
        <f t="shared" si="34"/>
        <v>0.35399999999999998</v>
      </c>
      <c r="AS50" s="4">
        <f t="shared" si="35"/>
        <v>0.70699999999999996</v>
      </c>
      <c r="AT50" s="8">
        <f t="shared" si="35"/>
        <v>0.70899999999999996</v>
      </c>
      <c r="AU50" s="173">
        <f t="shared" si="36"/>
        <v>0.71199999999999997</v>
      </c>
      <c r="AV50" s="6">
        <f t="shared" si="36"/>
        <v>0.71499999999999997</v>
      </c>
      <c r="AW50" s="173">
        <f t="shared" si="37"/>
        <v>1.5000000000000013E-3</v>
      </c>
      <c r="AX50" s="8">
        <f t="shared" si="38"/>
        <v>4.0000000000000036E-3</v>
      </c>
    </row>
    <row r="51" spans="2:50" ht="15.75" thickBot="1" x14ac:dyDescent="0.3">
      <c r="AI51" s="783">
        <f t="shared" si="30"/>
        <v>753000.52</v>
      </c>
      <c r="AJ51" s="780" t="b">
        <f>TRUE</f>
        <v>1</v>
      </c>
      <c r="AK51" s="48">
        <v>1913</v>
      </c>
      <c r="AL51" s="751">
        <f t="shared" si="39"/>
        <v>1913</v>
      </c>
      <c r="AM51" s="752">
        <v>0.75</v>
      </c>
      <c r="AN51" s="494">
        <f t="shared" si="31"/>
        <v>0.52</v>
      </c>
      <c r="AO51" s="753"/>
      <c r="AP51" s="496">
        <f t="shared" si="32"/>
        <v>0.753</v>
      </c>
      <c r="AQ51" s="499">
        <f t="shared" si="33"/>
        <v>0.52</v>
      </c>
      <c r="AR51" s="506">
        <f t="shared" si="34"/>
        <v>0.375</v>
      </c>
      <c r="AS51" s="498">
        <f t="shared" si="35"/>
        <v>0.749</v>
      </c>
      <c r="AT51" s="499">
        <f t="shared" si="35"/>
        <v>0.751</v>
      </c>
      <c r="AU51" s="502">
        <f t="shared" si="36"/>
        <v>0.754</v>
      </c>
      <c r="AV51" s="497">
        <f t="shared" si="36"/>
        <v>0.75700000000000001</v>
      </c>
      <c r="AW51" s="502">
        <f t="shared" si="37"/>
        <v>1.5000000000000013E-3</v>
      </c>
      <c r="AX51" s="499">
        <f t="shared" si="38"/>
        <v>4.0000000000000036E-3</v>
      </c>
    </row>
    <row r="52" spans="2:50" x14ac:dyDescent="0.25">
      <c r="AI52" s="783">
        <f t="shared" si="30"/>
        <v>390000.212</v>
      </c>
      <c r="AJ52" s="780" t="b">
        <v>1</v>
      </c>
      <c r="AK52" s="754" t="s">
        <v>330</v>
      </c>
      <c r="AL52" s="755" t="s">
        <v>332</v>
      </c>
      <c r="AM52" s="756">
        <v>0.38</v>
      </c>
      <c r="AN52" s="757">
        <v>0.438</v>
      </c>
      <c r="AO52" s="758">
        <f>0.225*2</f>
        <v>0.45</v>
      </c>
      <c r="AP52" s="772">
        <f t="shared" ref="AP52:AP57" si="40">($AM52+AP$9)+0.007</f>
        <v>0.39</v>
      </c>
      <c r="AQ52" s="771">
        <f>($AN52-($AO52/2))-0.001</f>
        <v>0.21199999999999999</v>
      </c>
      <c r="AR52" s="767">
        <f t="shared" si="34"/>
        <v>0.19</v>
      </c>
      <c r="AS52" s="760">
        <f t="shared" si="35"/>
        <v>0.379</v>
      </c>
      <c r="AT52" s="761">
        <f t="shared" si="35"/>
        <v>0.38100000000000001</v>
      </c>
      <c r="AU52" s="778">
        <f>($AP52+AU$9)-0.002</f>
        <v>0.38900000000000001</v>
      </c>
      <c r="AV52" s="779">
        <f>($AP52+AV$9)-0.002</f>
        <v>0.39200000000000002</v>
      </c>
      <c r="AW52" s="759">
        <f t="shared" si="37"/>
        <v>4.0000000000000036E-3</v>
      </c>
      <c r="AX52" s="761">
        <f t="shared" si="38"/>
        <v>6.5000000000000058E-3</v>
      </c>
    </row>
    <row r="53" spans="2:50" x14ac:dyDescent="0.25">
      <c r="AI53" s="783">
        <f t="shared" si="30"/>
        <v>390000.43800000002</v>
      </c>
      <c r="AJ53" s="780" t="b">
        <f>TRUE</f>
        <v>1</v>
      </c>
      <c r="AK53" s="815" t="s">
        <v>381</v>
      </c>
      <c r="AL53" s="687" t="s">
        <v>332</v>
      </c>
      <c r="AM53" s="689">
        <v>0.38</v>
      </c>
      <c r="AN53" s="684">
        <v>0.438</v>
      </c>
      <c r="AO53" s="691">
        <f>0.225*2</f>
        <v>0.45</v>
      </c>
      <c r="AP53" s="770">
        <f t="shared" si="40"/>
        <v>0.39</v>
      </c>
      <c r="AQ53" s="774">
        <f>AN53</f>
        <v>0.438</v>
      </c>
      <c r="AR53" s="177">
        <f t="shared" si="34"/>
        <v>0.19</v>
      </c>
      <c r="AS53" s="4">
        <f t="shared" si="35"/>
        <v>0.379</v>
      </c>
      <c r="AT53" s="8">
        <f t="shared" si="35"/>
        <v>0.38100000000000001</v>
      </c>
      <c r="AU53" s="762">
        <f>($AP53+AU$9)-0.002</f>
        <v>0.38900000000000001</v>
      </c>
      <c r="AV53" s="763">
        <f>($AP53+AV$9)-0.002</f>
        <v>0.39200000000000002</v>
      </c>
      <c r="AW53" s="173">
        <f t="shared" si="37"/>
        <v>4.0000000000000036E-3</v>
      </c>
      <c r="AX53" s="8">
        <f t="shared" si="38"/>
        <v>6.5000000000000058E-3</v>
      </c>
    </row>
    <row r="54" spans="2:50" x14ac:dyDescent="0.25">
      <c r="AI54" s="783">
        <f t="shared" ref="AI54:AI60" si="41">ROUND(((ROUND(AP54,6)*1000000)+AQ54),6)</f>
        <v>514000.45500000002</v>
      </c>
      <c r="AJ54" s="780" t="b">
        <v>0</v>
      </c>
      <c r="AK54" s="683" t="s">
        <v>327</v>
      </c>
      <c r="AL54" s="687" t="s">
        <v>333</v>
      </c>
      <c r="AM54" s="689">
        <v>0.504</v>
      </c>
      <c r="AN54" s="684">
        <v>0.71</v>
      </c>
      <c r="AO54" s="691">
        <f>0.255*2</f>
        <v>0.51</v>
      </c>
      <c r="AP54" s="770">
        <f t="shared" si="40"/>
        <v>0.51400000000000001</v>
      </c>
      <c r="AQ54" s="8">
        <f>($AN54-($AO54/2))</f>
        <v>0.45499999999999996</v>
      </c>
      <c r="AR54" s="177">
        <f t="shared" si="34"/>
        <v>0.252</v>
      </c>
      <c r="AS54" s="4">
        <f t="shared" si="35"/>
        <v>0.503</v>
      </c>
      <c r="AT54" s="8">
        <f t="shared" si="35"/>
        <v>0.505</v>
      </c>
      <c r="AU54" s="762">
        <f>($AP54+AU$9)-0.003</f>
        <v>0.51200000000000001</v>
      </c>
      <c r="AV54" s="763">
        <f>($AP54+AV$9)-0.004</f>
        <v>0.51400000000000001</v>
      </c>
      <c r="AW54" s="173">
        <f t="shared" si="37"/>
        <v>3.5000000000000031E-3</v>
      </c>
      <c r="AX54" s="8">
        <f t="shared" si="38"/>
        <v>5.5000000000000049E-3</v>
      </c>
    </row>
    <row r="55" spans="2:50" x14ac:dyDescent="0.25">
      <c r="AI55" s="783">
        <f t="shared" si="41"/>
        <v>514000.71</v>
      </c>
      <c r="AJ55" s="780" t="b">
        <v>0</v>
      </c>
      <c r="AK55" s="815" t="s">
        <v>383</v>
      </c>
      <c r="AL55" s="687" t="s">
        <v>333</v>
      </c>
      <c r="AM55" s="689">
        <v>0.504</v>
      </c>
      <c r="AN55" s="684">
        <v>0.71</v>
      </c>
      <c r="AO55" s="691">
        <f>0.255*2</f>
        <v>0.51</v>
      </c>
      <c r="AP55" s="770">
        <f t="shared" si="40"/>
        <v>0.51400000000000001</v>
      </c>
      <c r="AQ55" s="774">
        <f>AN55</f>
        <v>0.71</v>
      </c>
      <c r="AR55" s="177">
        <f t="shared" si="34"/>
        <v>0.252</v>
      </c>
      <c r="AS55" s="4">
        <f t="shared" si="35"/>
        <v>0.503</v>
      </c>
      <c r="AT55" s="8">
        <f t="shared" si="35"/>
        <v>0.505</v>
      </c>
      <c r="AU55" s="762">
        <f>($AP55+AU$9)-0.003</f>
        <v>0.51200000000000001</v>
      </c>
      <c r="AV55" s="763">
        <f>($AP55+AV$9)-0.004</f>
        <v>0.51400000000000001</v>
      </c>
      <c r="AW55" s="173">
        <f t="shared" si="37"/>
        <v>3.5000000000000031E-3</v>
      </c>
      <c r="AX55" s="8">
        <f t="shared" si="38"/>
        <v>5.5000000000000049E-3</v>
      </c>
    </row>
    <row r="56" spans="2:50" x14ac:dyDescent="0.25">
      <c r="AI56" s="783">
        <f t="shared" si="41"/>
        <v>514000.41499999998</v>
      </c>
      <c r="AJ56" s="780" t="b">
        <f>TRUE</f>
        <v>1</v>
      </c>
      <c r="AK56" s="683" t="s">
        <v>325</v>
      </c>
      <c r="AL56" s="687" t="s">
        <v>333</v>
      </c>
      <c r="AM56" s="689">
        <v>0.504</v>
      </c>
      <c r="AN56" s="684">
        <v>0.67</v>
      </c>
      <c r="AO56" s="691">
        <f>0.255*2</f>
        <v>0.51</v>
      </c>
      <c r="AP56" s="770">
        <f t="shared" si="40"/>
        <v>0.51400000000000001</v>
      </c>
      <c r="AQ56" s="8">
        <f>($AN56-($AO56/2))</f>
        <v>0.41500000000000004</v>
      </c>
      <c r="AR56" s="177">
        <f t="shared" si="34"/>
        <v>0.252</v>
      </c>
      <c r="AS56" s="4">
        <f t="shared" si="35"/>
        <v>0.503</v>
      </c>
      <c r="AT56" s="8">
        <f t="shared" si="35"/>
        <v>0.505</v>
      </c>
      <c r="AU56" s="762">
        <f>($AP56+AU$9)-0.003</f>
        <v>0.51200000000000001</v>
      </c>
      <c r="AV56" s="763">
        <f>($AP56+AV$9)-0.004</f>
        <v>0.51400000000000001</v>
      </c>
      <c r="AW56" s="173">
        <f t="shared" si="37"/>
        <v>3.5000000000000031E-3</v>
      </c>
      <c r="AX56" s="8">
        <f t="shared" si="38"/>
        <v>5.5000000000000049E-3</v>
      </c>
    </row>
    <row r="57" spans="2:50" x14ac:dyDescent="0.25">
      <c r="AI57" s="783">
        <f t="shared" si="41"/>
        <v>514000.67</v>
      </c>
      <c r="AJ57" s="780" t="b">
        <f>TRUE</f>
        <v>1</v>
      </c>
      <c r="AK57" s="815" t="s">
        <v>382</v>
      </c>
      <c r="AL57" s="687" t="s">
        <v>333</v>
      </c>
      <c r="AM57" s="689">
        <v>0.504</v>
      </c>
      <c r="AN57" s="684">
        <v>0.67</v>
      </c>
      <c r="AO57" s="691">
        <f>0.255*2</f>
        <v>0.51</v>
      </c>
      <c r="AP57" s="770">
        <f t="shared" si="40"/>
        <v>0.51400000000000001</v>
      </c>
      <c r="AQ57" s="774">
        <f>AN57</f>
        <v>0.67</v>
      </c>
      <c r="AR57" s="177">
        <f t="shared" si="34"/>
        <v>0.252</v>
      </c>
      <c r="AS57" s="4">
        <f t="shared" si="35"/>
        <v>0.503</v>
      </c>
      <c r="AT57" s="8">
        <f t="shared" si="35"/>
        <v>0.505</v>
      </c>
      <c r="AU57" s="762">
        <f>($AP57+AU$9)-0.003</f>
        <v>0.51200000000000001</v>
      </c>
      <c r="AV57" s="763">
        <f>($AP57+AV$9)-0.004</f>
        <v>0.51400000000000001</v>
      </c>
      <c r="AW57" s="173">
        <f t="shared" si="37"/>
        <v>3.5000000000000031E-3</v>
      </c>
      <c r="AX57" s="8">
        <f t="shared" si="38"/>
        <v>5.5000000000000049E-3</v>
      </c>
    </row>
    <row r="58" spans="2:50" x14ac:dyDescent="0.25">
      <c r="AI58" s="783">
        <f t="shared" si="41"/>
        <v>450000.33189999999</v>
      </c>
      <c r="AJ58" s="780" t="b">
        <f>FALSE</f>
        <v>0</v>
      </c>
      <c r="AK58" s="683" t="s">
        <v>331</v>
      </c>
      <c r="AL58" s="687" t="s">
        <v>334</v>
      </c>
      <c r="AM58" s="689">
        <v>0.4415</v>
      </c>
      <c r="AN58" s="684">
        <v>0.55000000000000004</v>
      </c>
      <c r="AO58" s="691">
        <f>0.2181*2</f>
        <v>0.43619999999999998</v>
      </c>
      <c r="AP58" s="770">
        <f>($AM58+AP$9)+0.0055</f>
        <v>0.45</v>
      </c>
      <c r="AQ58" s="8">
        <f>($AN58-($AO58/2))</f>
        <v>0.33190000000000008</v>
      </c>
      <c r="AR58" s="177">
        <f t="shared" si="34"/>
        <v>0.22075</v>
      </c>
      <c r="AS58" s="775">
        <f>($AM58+AS$9)+0.0008</f>
        <v>0.44130000000000003</v>
      </c>
      <c r="AT58" s="774">
        <f>($AM58+AT$9)-0.0008</f>
        <v>0.44169999999999998</v>
      </c>
      <c r="AU58" s="762">
        <f>($AP58+AU$9)-0.005</f>
        <v>0.44600000000000001</v>
      </c>
      <c r="AV58" s="763">
        <f>($AP58+AV$9)-0.002</f>
        <v>0.45200000000000001</v>
      </c>
      <c r="AW58" s="173">
        <f t="shared" si="37"/>
        <v>2.150000000000013E-3</v>
      </c>
      <c r="AX58" s="8">
        <f t="shared" si="38"/>
        <v>5.3499999999999936E-3</v>
      </c>
    </row>
    <row r="59" spans="2:50" x14ac:dyDescent="0.25">
      <c r="AI59" s="783">
        <f t="shared" si="41"/>
        <v>450000.33199999999</v>
      </c>
      <c r="AJ59" s="780" t="b">
        <f>FALSE</f>
        <v>0</v>
      </c>
      <c r="AK59" s="683" t="s">
        <v>331</v>
      </c>
      <c r="AL59" s="687" t="s">
        <v>334</v>
      </c>
      <c r="AM59" s="689">
        <v>0.4415</v>
      </c>
      <c r="AN59" s="684">
        <v>0.55000000000000004</v>
      </c>
      <c r="AO59" s="691">
        <f>0.2181*2</f>
        <v>0.43619999999999998</v>
      </c>
      <c r="AP59" s="770">
        <f>($AM59+AP$9)+0.0055</f>
        <v>0.45</v>
      </c>
      <c r="AQ59" s="774">
        <f>($AN59-($AO59/2))+0.0001</f>
        <v>0.33200000000000007</v>
      </c>
      <c r="AR59" s="177">
        <f t="shared" si="34"/>
        <v>0.22075</v>
      </c>
      <c r="AS59" s="775">
        <f>($AM59+AS$9)+0.0008</f>
        <v>0.44130000000000003</v>
      </c>
      <c r="AT59" s="774">
        <f>($AM59+AT$9)-0.0008</f>
        <v>0.44169999999999998</v>
      </c>
      <c r="AU59" s="762">
        <f>($AP59+AU$9)-0.005</f>
        <v>0.44600000000000001</v>
      </c>
      <c r="AV59" s="763">
        <f>($AP59+AV$9)-0.002</f>
        <v>0.45200000000000001</v>
      </c>
      <c r="AW59" s="173">
        <f t="shared" si="37"/>
        <v>2.150000000000013E-3</v>
      </c>
      <c r="AX59" s="8">
        <f t="shared" si="38"/>
        <v>5.3499999999999936E-3</v>
      </c>
    </row>
    <row r="60" spans="2:50" x14ac:dyDescent="0.25">
      <c r="AI60" s="783">
        <f t="shared" si="41"/>
        <v>525000.40700000001</v>
      </c>
      <c r="AJ60" s="780" t="b">
        <f>FALSE</f>
        <v>0</v>
      </c>
      <c r="AK60" s="685" t="s">
        <v>326</v>
      </c>
      <c r="AL60" s="688" t="s">
        <v>335</v>
      </c>
      <c r="AM60" s="690">
        <v>0.51459999999999995</v>
      </c>
      <c r="AN60" s="686">
        <v>0.67</v>
      </c>
      <c r="AO60" s="692">
        <f>0.263*2</f>
        <v>0.52600000000000002</v>
      </c>
      <c r="AP60" s="773">
        <f>($AM60+AP$9)+0.0074</f>
        <v>0.52499999999999991</v>
      </c>
      <c r="AQ60" s="665">
        <f>($AN60-($AO60/2))</f>
        <v>0.40700000000000003</v>
      </c>
      <c r="AR60" s="768">
        <f t="shared" si="34"/>
        <v>0.25729999999999997</v>
      </c>
      <c r="AS60" s="776">
        <f>($AM60+AS$9)+0.0008</f>
        <v>0.51439999999999997</v>
      </c>
      <c r="AT60" s="777">
        <f>($AM60+AT$9)-0.0008</f>
        <v>0.51479999999999992</v>
      </c>
      <c r="AU60" s="764">
        <f>($AP60+AU$9)-0.005</f>
        <v>0.52099999999999991</v>
      </c>
      <c r="AV60" s="765">
        <f>($AP60+AV$9)-0.002</f>
        <v>0.52699999999999991</v>
      </c>
      <c r="AW60" s="176">
        <f t="shared" si="37"/>
        <v>3.0999999999999917E-3</v>
      </c>
      <c r="AX60" s="665">
        <f t="shared" si="38"/>
        <v>6.2999999999999723E-3</v>
      </c>
    </row>
    <row r="62" spans="2:50" x14ac:dyDescent="0.25">
      <c r="B62" s="31"/>
    </row>
    <row r="63" spans="2:50" x14ac:dyDescent="0.25">
      <c r="B63" s="31"/>
    </row>
    <row r="65" spans="2:11" x14ac:dyDescent="0.25">
      <c r="I65" s="457"/>
      <c r="K65" s="457"/>
    </row>
    <row r="66" spans="2:11" x14ac:dyDescent="0.25">
      <c r="I66" s="457"/>
      <c r="K66" s="457"/>
    </row>
    <row r="67" spans="2:11" x14ac:dyDescent="0.25">
      <c r="I67" s="457"/>
      <c r="K67" s="457"/>
    </row>
    <row r="68" spans="2:11" x14ac:dyDescent="0.25">
      <c r="I68" s="457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  <row r="131" spans="2:9" x14ac:dyDescent="0.25">
      <c r="B131" s="31"/>
      <c r="C131" s="31"/>
      <c r="D131" s="31"/>
      <c r="E131" s="31"/>
      <c r="F131" s="31"/>
      <c r="G131" s="31"/>
      <c r="H131" s="31"/>
      <c r="I131" s="31"/>
    </row>
    <row r="132" spans="2:9" x14ac:dyDescent="0.25">
      <c r="B132" s="31"/>
      <c r="C132" s="31"/>
      <c r="D132" s="31"/>
      <c r="E132" s="31"/>
      <c r="F132" s="31"/>
      <c r="G132" s="31"/>
      <c r="H132" s="31"/>
      <c r="I132" s="31"/>
    </row>
  </sheetData>
  <mergeCells count="45">
    <mergeCell ref="AM11:AR11"/>
    <mergeCell ref="AM12:AO12"/>
    <mergeCell ref="AP12:AQ12"/>
    <mergeCell ref="BC12:BC13"/>
    <mergeCell ref="AS12:AT12"/>
    <mergeCell ref="AU12:AV12"/>
    <mergeCell ref="AS11:AV11"/>
    <mergeCell ref="AW12:AX12"/>
    <mergeCell ref="B13:B14"/>
    <mergeCell ref="C13:C14"/>
    <mergeCell ref="B10:G10"/>
    <mergeCell ref="AK12:AL12"/>
    <mergeCell ref="I13:I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2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5"/>
      <c r="C3" s="999" t="s">
        <v>95</v>
      </c>
      <c r="D3" s="999"/>
      <c r="E3" s="999"/>
      <c r="F3" s="999"/>
      <c r="G3" s="999"/>
      <c r="H3" s="999"/>
      <c r="I3" s="999"/>
      <c r="J3" s="999"/>
      <c r="K3" s="1021"/>
      <c r="L3" s="1079"/>
      <c r="M3" s="999"/>
      <c r="N3" s="999"/>
      <c r="O3" s="999"/>
      <c r="P3" s="999"/>
      <c r="Q3" s="999"/>
      <c r="R3" s="996"/>
      <c r="V3" s="31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</row>
    <row r="4" spans="2:38" ht="15" customHeight="1" x14ac:dyDescent="0.25">
      <c r="B4" s="1041" t="s">
        <v>86</v>
      </c>
      <c r="C4" s="1062" t="s">
        <v>82</v>
      </c>
      <c r="D4" s="999" t="s">
        <v>83</v>
      </c>
      <c r="E4" s="999"/>
      <c r="F4" s="999"/>
      <c r="G4" s="999"/>
      <c r="H4" s="999"/>
      <c r="I4" s="999"/>
      <c r="J4" s="999"/>
      <c r="K4" s="999"/>
      <c r="L4" s="146" t="s">
        <v>91</v>
      </c>
      <c r="M4" s="995" t="s">
        <v>94</v>
      </c>
      <c r="N4" s="999"/>
      <c r="O4" s="999"/>
      <c r="P4" s="1021"/>
      <c r="Q4" s="999" t="s">
        <v>52</v>
      </c>
      <c r="R4" s="996"/>
      <c r="S4" s="103"/>
      <c r="T4" s="995">
        <v>350</v>
      </c>
      <c r="U4" s="999"/>
      <c r="V4" s="999" t="s">
        <v>76</v>
      </c>
      <c r="W4" s="999"/>
      <c r="X4" s="106"/>
      <c r="Y4" s="106"/>
      <c r="Z4" s="106"/>
      <c r="AA4" s="106"/>
      <c r="AB4" s="106"/>
      <c r="AC4" s="106"/>
      <c r="AD4" s="64"/>
      <c r="AE4" s="64"/>
      <c r="AF4" s="64"/>
      <c r="AG4" s="64"/>
      <c r="AH4" s="64"/>
      <c r="AI4" s="64"/>
      <c r="AJ4" s="121"/>
    </row>
    <row r="5" spans="2:38" ht="15" customHeight="1" x14ac:dyDescent="0.25">
      <c r="B5" s="1042"/>
      <c r="C5" s="1063"/>
      <c r="D5" s="1047" t="s">
        <v>85</v>
      </c>
      <c r="E5" s="1065" t="s">
        <v>89</v>
      </c>
      <c r="F5" s="1011" t="s">
        <v>34</v>
      </c>
      <c r="G5" s="1011"/>
      <c r="H5" s="1010" t="s">
        <v>39</v>
      </c>
      <c r="I5" s="1006" t="s">
        <v>35</v>
      </c>
      <c r="J5" s="1006" t="s">
        <v>36</v>
      </c>
      <c r="K5" s="1073" t="s">
        <v>67</v>
      </c>
      <c r="L5" s="147" t="s">
        <v>92</v>
      </c>
      <c r="M5" s="997" t="s">
        <v>90</v>
      </c>
      <c r="N5" s="997" t="s">
        <v>47</v>
      </c>
      <c r="O5" s="1075" t="s">
        <v>84</v>
      </c>
      <c r="P5" s="1076"/>
      <c r="Q5" s="1077" t="s">
        <v>84</v>
      </c>
      <c r="R5" s="1078"/>
      <c r="S5" s="103"/>
      <c r="T5" s="989" t="s">
        <v>46</v>
      </c>
      <c r="U5" s="1080"/>
      <c r="V5" s="1032" t="s">
        <v>45</v>
      </c>
      <c r="W5" s="984"/>
      <c r="X5" s="984"/>
      <c r="Y5" s="984"/>
      <c r="Z5" s="984"/>
      <c r="AA5" s="984"/>
      <c r="AB5" s="984"/>
      <c r="AC5" s="984"/>
      <c r="AD5" s="984"/>
      <c r="AE5" s="984"/>
      <c r="AF5" s="984"/>
      <c r="AG5" s="984"/>
      <c r="AH5" s="984"/>
      <c r="AI5" s="984"/>
      <c r="AJ5" s="984"/>
      <c r="AK5" s="31"/>
      <c r="AL5" s="31"/>
    </row>
    <row r="6" spans="2:38" ht="15" customHeight="1" thickBot="1" x14ac:dyDescent="0.3">
      <c r="B6" s="1043"/>
      <c r="C6" s="1064"/>
      <c r="D6" s="1048"/>
      <c r="E6" s="1066"/>
      <c r="F6" s="104" t="s">
        <v>8</v>
      </c>
      <c r="G6" s="105" t="s">
        <v>10</v>
      </c>
      <c r="H6" s="1061"/>
      <c r="I6" s="1061"/>
      <c r="J6" s="1061"/>
      <c r="K6" s="1074"/>
      <c r="L6" s="148" t="s">
        <v>93</v>
      </c>
      <c r="M6" s="1072"/>
      <c r="N6" s="1072"/>
      <c r="O6" s="104" t="s">
        <v>8</v>
      </c>
      <c r="P6" s="123" t="s">
        <v>10</v>
      </c>
      <c r="Q6" s="128" t="s">
        <v>8</v>
      </c>
      <c r="R6" s="105" t="s">
        <v>10</v>
      </c>
      <c r="S6" s="31"/>
      <c r="T6" s="1074"/>
      <c r="U6" s="1081"/>
      <c r="V6" s="128">
        <v>50</v>
      </c>
      <c r="W6" s="127">
        <v>60</v>
      </c>
      <c r="X6" s="127">
        <v>70</v>
      </c>
      <c r="Y6" s="127">
        <v>80</v>
      </c>
      <c r="Z6" s="127">
        <v>90</v>
      </c>
      <c r="AA6" s="127">
        <v>100</v>
      </c>
      <c r="AB6" s="127">
        <v>115</v>
      </c>
      <c r="AC6" s="127">
        <v>130</v>
      </c>
      <c r="AD6" s="127">
        <v>145</v>
      </c>
      <c r="AE6" s="127">
        <v>160</v>
      </c>
      <c r="AF6" s="127">
        <v>175</v>
      </c>
      <c r="AG6" s="127">
        <v>190</v>
      </c>
      <c r="AH6" s="127">
        <v>210</v>
      </c>
      <c r="AI6" s="127">
        <v>230</v>
      </c>
      <c r="AJ6" s="105">
        <v>250</v>
      </c>
      <c r="AK6" s="31"/>
      <c r="AL6" s="31"/>
    </row>
    <row r="7" spans="2:38" ht="15.75" thickTop="1" x14ac:dyDescent="0.25">
      <c r="B7" s="161" t="s">
        <v>96</v>
      </c>
      <c r="C7" s="1049">
        <f>ROW(Assy.Model!B9)</f>
        <v>9</v>
      </c>
      <c r="D7" s="1038" t="str">
        <f>SUBSTITUTE(ADDRESS(1,COLUMN(Assy.Model!B9),4),"1","")</f>
        <v>B</v>
      </c>
      <c r="E7" s="1052" t="str">
        <f>SUBSTITUTE(ADDRESS(1,COLUMN(Assy.Model!M9),4),"1","")</f>
        <v>M</v>
      </c>
      <c r="F7" s="1055" t="str">
        <f>SUBSTITUTE(ADDRESS(1,COLUMN(Assy.Model!X9),4),"1","")</f>
        <v>X</v>
      </c>
      <c r="G7" s="1044" t="str">
        <f>SUBSTITUTE(ADDRESS(1,COLUMN(Assy.Model!AT9),4),"1","")</f>
        <v>AT</v>
      </c>
      <c r="H7" s="1058" t="str">
        <f>SUBSTITUTE(ADDRESS(1,COLUMN(Assy.Model!H9),4),"1","")</f>
        <v>H</v>
      </c>
      <c r="I7" s="1058" t="str">
        <f>SUBSTITUTE(ADDRESS(1,COLUMN(Assy.Model!AN9),4),"1","")</f>
        <v>AN</v>
      </c>
      <c r="J7" s="1058" t="str">
        <f>SUBSTITUTE(ADDRESS(1,COLUMN(Assy.Model!AO9),4),"1","")</f>
        <v>AO</v>
      </c>
      <c r="K7" s="1067" t="str">
        <f>SUBSTITUTE(ADDRESS(1,COLUMN(Assy.Model!Q9),4),"1","")</f>
        <v>Q</v>
      </c>
      <c r="L7" s="156" t="s">
        <v>92</v>
      </c>
      <c r="M7" s="157">
        <v>1</v>
      </c>
      <c r="N7" s="158">
        <v>0</v>
      </c>
      <c r="O7" s="159">
        <v>36</v>
      </c>
      <c r="P7" s="160">
        <v>18</v>
      </c>
      <c r="Q7" s="151"/>
      <c r="R7" s="140"/>
      <c r="S7" s="139"/>
      <c r="T7" s="1035" t="s">
        <v>47</v>
      </c>
      <c r="U7" s="136">
        <v>0</v>
      </c>
      <c r="V7" s="132">
        <f t="shared" ref="V7:AJ14" si="0">IF(ROUNDDOWN(((V$6*$U7*60)/12),0)&gt;$T$4,"",(V$6*$U7*60)/12)</f>
        <v>0</v>
      </c>
      <c r="W7" s="133">
        <f t="shared" si="0"/>
        <v>0</v>
      </c>
      <c r="X7" s="133">
        <f t="shared" si="0"/>
        <v>0</v>
      </c>
      <c r="Y7" s="133">
        <f t="shared" si="0"/>
        <v>0</v>
      </c>
      <c r="Z7" s="133">
        <f t="shared" si="0"/>
        <v>0</v>
      </c>
      <c r="AA7" s="133">
        <f t="shared" si="0"/>
        <v>0</v>
      </c>
      <c r="AB7" s="133">
        <f t="shared" si="0"/>
        <v>0</v>
      </c>
      <c r="AC7" s="133">
        <f t="shared" si="0"/>
        <v>0</v>
      </c>
      <c r="AD7" s="133">
        <f t="shared" si="0"/>
        <v>0</v>
      </c>
      <c r="AE7" s="133">
        <f t="shared" si="0"/>
        <v>0</v>
      </c>
      <c r="AF7" s="133">
        <f t="shared" si="0"/>
        <v>0</v>
      </c>
      <c r="AG7" s="133">
        <f t="shared" si="0"/>
        <v>0</v>
      </c>
      <c r="AH7" s="133">
        <f t="shared" si="0"/>
        <v>0</v>
      </c>
      <c r="AI7" s="133">
        <f t="shared" si="0"/>
        <v>0</v>
      </c>
      <c r="AJ7" s="134">
        <f t="shared" si="0"/>
        <v>0</v>
      </c>
      <c r="AK7" s="31"/>
      <c r="AL7" s="31"/>
    </row>
    <row r="8" spans="2:38" ht="15" customHeight="1" x14ac:dyDescent="0.25">
      <c r="B8" s="1033" t="s">
        <v>81</v>
      </c>
      <c r="C8" s="1050"/>
      <c r="D8" s="1039"/>
      <c r="E8" s="1053"/>
      <c r="F8" s="1056"/>
      <c r="G8" s="1045"/>
      <c r="H8" s="1059"/>
      <c r="I8" s="1059"/>
      <c r="J8" s="1059"/>
      <c r="K8" s="1068"/>
      <c r="L8" s="149" t="s">
        <v>93</v>
      </c>
      <c r="M8" s="1070">
        <v>3</v>
      </c>
      <c r="N8" s="137">
        <v>6.25E-2</v>
      </c>
      <c r="O8" s="122">
        <v>32</v>
      </c>
      <c r="P8" s="124">
        <v>18</v>
      </c>
      <c r="Q8" s="152">
        <v>32</v>
      </c>
      <c r="R8" s="129">
        <v>18</v>
      </c>
      <c r="S8" s="139"/>
      <c r="T8" s="1036"/>
      <c r="U8" s="131">
        <v>6.25E-2</v>
      </c>
      <c r="V8" s="79">
        <f t="shared" si="0"/>
        <v>15.625</v>
      </c>
      <c r="W8" s="79">
        <f t="shared" si="0"/>
        <v>18.75</v>
      </c>
      <c r="X8" s="79">
        <f t="shared" si="0"/>
        <v>21.875</v>
      </c>
      <c r="Y8" s="79">
        <f t="shared" si="0"/>
        <v>25</v>
      </c>
      <c r="Z8" s="79">
        <f t="shared" si="0"/>
        <v>28.125</v>
      </c>
      <c r="AA8" s="79">
        <f t="shared" si="0"/>
        <v>31.25</v>
      </c>
      <c r="AB8" s="79">
        <f t="shared" si="0"/>
        <v>35.9375</v>
      </c>
      <c r="AC8" s="79">
        <f t="shared" si="0"/>
        <v>40.625</v>
      </c>
      <c r="AD8" s="79">
        <f t="shared" si="0"/>
        <v>45.3125</v>
      </c>
      <c r="AE8" s="79">
        <f t="shared" si="0"/>
        <v>50</v>
      </c>
      <c r="AF8" s="79">
        <f t="shared" si="0"/>
        <v>54.6875</v>
      </c>
      <c r="AG8" s="79">
        <f t="shared" si="0"/>
        <v>59.375</v>
      </c>
      <c r="AH8" s="79">
        <f t="shared" si="0"/>
        <v>65.625</v>
      </c>
      <c r="AI8" s="79">
        <f t="shared" si="0"/>
        <v>71.875</v>
      </c>
      <c r="AJ8" s="101">
        <f t="shared" si="0"/>
        <v>78.125</v>
      </c>
      <c r="AK8" s="74"/>
      <c r="AL8" s="31"/>
    </row>
    <row r="9" spans="2:38" x14ac:dyDescent="0.25">
      <c r="B9" s="1033"/>
      <c r="C9" s="1050"/>
      <c r="D9" s="1039"/>
      <c r="E9" s="1053"/>
      <c r="F9" s="1056"/>
      <c r="G9" s="1045"/>
      <c r="H9" s="1059"/>
      <c r="I9" s="1059"/>
      <c r="J9" s="1059"/>
      <c r="K9" s="1068"/>
      <c r="L9" s="149" t="s">
        <v>92</v>
      </c>
      <c r="M9" s="1070"/>
      <c r="N9" s="137">
        <v>9.375E-2</v>
      </c>
      <c r="O9" s="100">
        <v>28</v>
      </c>
      <c r="P9" s="125">
        <v>18</v>
      </c>
      <c r="Q9" s="153">
        <v>28</v>
      </c>
      <c r="R9" s="94">
        <v>18</v>
      </c>
      <c r="S9" s="74"/>
      <c r="T9" s="1036"/>
      <c r="U9" s="129">
        <v>9.375E-2</v>
      </c>
      <c r="V9" s="79">
        <f t="shared" si="0"/>
        <v>23.4375</v>
      </c>
      <c r="W9" s="79">
        <f t="shared" si="0"/>
        <v>28.125</v>
      </c>
      <c r="X9" s="79">
        <f t="shared" si="0"/>
        <v>32.8125</v>
      </c>
      <c r="Y9" s="79">
        <f t="shared" si="0"/>
        <v>37.5</v>
      </c>
      <c r="Z9" s="79">
        <f t="shared" si="0"/>
        <v>42.1875</v>
      </c>
      <c r="AA9" s="79">
        <f t="shared" si="0"/>
        <v>46.875</v>
      </c>
      <c r="AB9" s="79">
        <f t="shared" si="0"/>
        <v>53.90625</v>
      </c>
      <c r="AC9" s="79">
        <f t="shared" si="0"/>
        <v>60.9375</v>
      </c>
      <c r="AD9" s="79">
        <f t="shared" si="0"/>
        <v>67.96875</v>
      </c>
      <c r="AE9" s="79">
        <f t="shared" si="0"/>
        <v>75</v>
      </c>
      <c r="AF9" s="79">
        <f t="shared" si="0"/>
        <v>82.03125</v>
      </c>
      <c r="AG9" s="79">
        <f t="shared" si="0"/>
        <v>89.0625</v>
      </c>
      <c r="AH9" s="79">
        <f t="shared" si="0"/>
        <v>98.4375</v>
      </c>
      <c r="AI9" s="79">
        <f t="shared" si="0"/>
        <v>107.8125</v>
      </c>
      <c r="AJ9" s="101">
        <f t="shared" si="0"/>
        <v>117.1875</v>
      </c>
      <c r="AK9" s="75"/>
      <c r="AL9" s="31"/>
    </row>
    <row r="10" spans="2:38" x14ac:dyDescent="0.25">
      <c r="B10" s="1033"/>
      <c r="C10" s="1050"/>
      <c r="D10" s="1039"/>
      <c r="E10" s="1053"/>
      <c r="F10" s="1056"/>
      <c r="G10" s="1045"/>
      <c r="H10" s="1059"/>
      <c r="I10" s="1059"/>
      <c r="J10" s="1059"/>
      <c r="K10" s="1068"/>
      <c r="L10" s="149" t="s">
        <v>92</v>
      </c>
      <c r="M10" s="1070"/>
      <c r="N10" s="137">
        <v>0.15625</v>
      </c>
      <c r="O10" s="100">
        <v>24</v>
      </c>
      <c r="P10" s="125">
        <v>18</v>
      </c>
      <c r="Q10" s="153">
        <v>24</v>
      </c>
      <c r="R10" s="94">
        <v>18</v>
      </c>
      <c r="S10" s="74"/>
      <c r="T10" s="1036"/>
      <c r="U10" s="129">
        <v>0.15625</v>
      </c>
      <c r="V10" s="79">
        <f t="shared" si="0"/>
        <v>39.0625</v>
      </c>
      <c r="W10" s="79">
        <f t="shared" si="0"/>
        <v>46.875</v>
      </c>
      <c r="X10" s="79">
        <f t="shared" si="0"/>
        <v>54.6875</v>
      </c>
      <c r="Y10" s="79">
        <f t="shared" si="0"/>
        <v>62.5</v>
      </c>
      <c r="Z10" s="79">
        <f t="shared" si="0"/>
        <v>70.3125</v>
      </c>
      <c r="AA10" s="79">
        <f t="shared" si="0"/>
        <v>78.125</v>
      </c>
      <c r="AB10" s="79">
        <f t="shared" si="0"/>
        <v>89.84375</v>
      </c>
      <c r="AC10" s="79">
        <f t="shared" si="0"/>
        <v>101.5625</v>
      </c>
      <c r="AD10" s="79">
        <f t="shared" si="0"/>
        <v>113.28125</v>
      </c>
      <c r="AE10" s="79">
        <f t="shared" si="0"/>
        <v>125</v>
      </c>
      <c r="AF10" s="79">
        <f t="shared" si="0"/>
        <v>136.71875</v>
      </c>
      <c r="AG10" s="79">
        <f t="shared" si="0"/>
        <v>148.4375</v>
      </c>
      <c r="AH10" s="79">
        <f t="shared" si="0"/>
        <v>164.0625</v>
      </c>
      <c r="AI10" s="79">
        <f t="shared" si="0"/>
        <v>179.6875</v>
      </c>
      <c r="AJ10" s="101">
        <f t="shared" si="0"/>
        <v>195.3125</v>
      </c>
      <c r="AK10" s="75"/>
      <c r="AL10" s="31"/>
    </row>
    <row r="11" spans="2:38" x14ac:dyDescent="0.25">
      <c r="B11" s="1033"/>
      <c r="C11" s="1050"/>
      <c r="D11" s="1039"/>
      <c r="E11" s="1053"/>
      <c r="F11" s="1056"/>
      <c r="G11" s="1045"/>
      <c r="H11" s="1059"/>
      <c r="I11" s="1059"/>
      <c r="J11" s="1059"/>
      <c r="K11" s="1068"/>
      <c r="L11" s="149" t="s">
        <v>92</v>
      </c>
      <c r="M11" s="1070"/>
      <c r="N11" s="137">
        <v>0.21875</v>
      </c>
      <c r="O11" s="100">
        <v>20</v>
      </c>
      <c r="P11" s="125">
        <v>18</v>
      </c>
      <c r="Q11" s="153">
        <v>20</v>
      </c>
      <c r="R11" s="94">
        <v>18</v>
      </c>
      <c r="S11" s="74"/>
      <c r="T11" s="1036"/>
      <c r="U11" s="129">
        <v>0.21875</v>
      </c>
      <c r="V11" s="79">
        <f t="shared" si="0"/>
        <v>54.6875</v>
      </c>
      <c r="W11" s="79">
        <f t="shared" si="0"/>
        <v>65.625</v>
      </c>
      <c r="X11" s="79">
        <f t="shared" si="0"/>
        <v>76.5625</v>
      </c>
      <c r="Y11" s="79">
        <f t="shared" si="0"/>
        <v>87.5</v>
      </c>
      <c r="Z11" s="79">
        <f t="shared" si="0"/>
        <v>98.4375</v>
      </c>
      <c r="AA11" s="79">
        <f t="shared" si="0"/>
        <v>109.375</v>
      </c>
      <c r="AB11" s="79">
        <f t="shared" si="0"/>
        <v>125.78125</v>
      </c>
      <c r="AC11" s="79">
        <f t="shared" si="0"/>
        <v>142.1875</v>
      </c>
      <c r="AD11" s="79">
        <f t="shared" si="0"/>
        <v>158.59375</v>
      </c>
      <c r="AE11" s="79">
        <f t="shared" si="0"/>
        <v>175</v>
      </c>
      <c r="AF11" s="79">
        <f t="shared" si="0"/>
        <v>191.40625</v>
      </c>
      <c r="AG11" s="79">
        <f t="shared" si="0"/>
        <v>207.8125</v>
      </c>
      <c r="AH11" s="79">
        <f t="shared" si="0"/>
        <v>229.6875</v>
      </c>
      <c r="AI11" s="79">
        <f t="shared" si="0"/>
        <v>251.5625</v>
      </c>
      <c r="AJ11" s="101">
        <f t="shared" si="0"/>
        <v>273.4375</v>
      </c>
      <c r="AK11" s="75"/>
      <c r="AL11" s="31"/>
    </row>
    <row r="12" spans="2:38" x14ac:dyDescent="0.25">
      <c r="B12" s="1033"/>
      <c r="C12" s="1050"/>
      <c r="D12" s="1039"/>
      <c r="E12" s="1053"/>
      <c r="F12" s="1056"/>
      <c r="G12" s="1045"/>
      <c r="H12" s="1059"/>
      <c r="I12" s="1059"/>
      <c r="J12" s="1059"/>
      <c r="K12" s="1068"/>
      <c r="L12" s="149" t="s">
        <v>92</v>
      </c>
      <c r="M12" s="1070"/>
      <c r="N12" s="137">
        <v>0.3125</v>
      </c>
      <c r="O12" s="100">
        <v>16</v>
      </c>
      <c r="P12" s="125">
        <v>18</v>
      </c>
      <c r="Q12" s="153">
        <v>16</v>
      </c>
      <c r="R12" s="94">
        <v>18</v>
      </c>
      <c r="S12" s="74"/>
      <c r="T12" s="1036"/>
      <c r="U12" s="129">
        <v>0.3125</v>
      </c>
      <c r="V12" s="79">
        <f t="shared" si="0"/>
        <v>78.125</v>
      </c>
      <c r="W12" s="79">
        <f t="shared" si="0"/>
        <v>93.75</v>
      </c>
      <c r="X12" s="79">
        <f t="shared" si="0"/>
        <v>109.375</v>
      </c>
      <c r="Y12" s="79">
        <f t="shared" si="0"/>
        <v>125</v>
      </c>
      <c r="Z12" s="79">
        <f t="shared" si="0"/>
        <v>140.625</v>
      </c>
      <c r="AA12" s="79">
        <f t="shared" si="0"/>
        <v>156.25</v>
      </c>
      <c r="AB12" s="79">
        <f t="shared" si="0"/>
        <v>179.6875</v>
      </c>
      <c r="AC12" s="79">
        <f t="shared" si="0"/>
        <v>203.125</v>
      </c>
      <c r="AD12" s="79">
        <f t="shared" si="0"/>
        <v>226.5625</v>
      </c>
      <c r="AE12" s="79">
        <f t="shared" si="0"/>
        <v>250</v>
      </c>
      <c r="AF12" s="79">
        <f t="shared" si="0"/>
        <v>273.4375</v>
      </c>
      <c r="AG12" s="79">
        <f t="shared" si="0"/>
        <v>296.875</v>
      </c>
      <c r="AH12" s="79">
        <f t="shared" si="0"/>
        <v>328.125</v>
      </c>
      <c r="AI12" s="79" t="str">
        <f t="shared" si="0"/>
        <v/>
      </c>
      <c r="AJ12" s="101" t="str">
        <f t="shared" si="0"/>
        <v/>
      </c>
      <c r="AK12" s="75"/>
      <c r="AL12" s="31"/>
    </row>
    <row r="13" spans="2:38" x14ac:dyDescent="0.25">
      <c r="B13" s="1033"/>
      <c r="C13" s="1050"/>
      <c r="D13" s="1039"/>
      <c r="E13" s="1053"/>
      <c r="F13" s="1056"/>
      <c r="G13" s="1045"/>
      <c r="H13" s="1059"/>
      <c r="I13" s="1059"/>
      <c r="J13" s="1059"/>
      <c r="K13" s="1068"/>
      <c r="L13" s="149" t="s">
        <v>92</v>
      </c>
      <c r="M13" s="1070"/>
      <c r="N13" s="137">
        <v>0.46875</v>
      </c>
      <c r="O13" s="100">
        <v>8</v>
      </c>
      <c r="P13" s="125">
        <v>18</v>
      </c>
      <c r="Q13" s="153">
        <v>8</v>
      </c>
      <c r="R13" s="94">
        <v>18</v>
      </c>
      <c r="S13" s="74"/>
      <c r="T13" s="1036"/>
      <c r="U13" s="129">
        <v>0.46875</v>
      </c>
      <c r="V13" s="79">
        <f t="shared" si="0"/>
        <v>117.1875</v>
      </c>
      <c r="W13" s="79">
        <f t="shared" si="0"/>
        <v>140.625</v>
      </c>
      <c r="X13" s="79">
        <f t="shared" si="0"/>
        <v>164.0625</v>
      </c>
      <c r="Y13" s="79">
        <f t="shared" si="0"/>
        <v>187.5</v>
      </c>
      <c r="Z13" s="79">
        <f t="shared" si="0"/>
        <v>210.9375</v>
      </c>
      <c r="AA13" s="79">
        <f t="shared" si="0"/>
        <v>234.375</v>
      </c>
      <c r="AB13" s="79">
        <f t="shared" si="0"/>
        <v>269.53125</v>
      </c>
      <c r="AC13" s="79">
        <f t="shared" si="0"/>
        <v>304.6875</v>
      </c>
      <c r="AD13" s="79">
        <f t="shared" si="0"/>
        <v>339.84375</v>
      </c>
      <c r="AE13" s="79" t="str">
        <f t="shared" si="0"/>
        <v/>
      </c>
      <c r="AF13" s="79" t="str">
        <f t="shared" si="0"/>
        <v/>
      </c>
      <c r="AG13" s="79" t="str">
        <f t="shared" si="0"/>
        <v/>
      </c>
      <c r="AH13" s="79" t="str">
        <f t="shared" si="0"/>
        <v/>
      </c>
      <c r="AI13" s="79" t="str">
        <f t="shared" si="0"/>
        <v/>
      </c>
      <c r="AJ13" s="101" t="str">
        <f t="shared" si="0"/>
        <v/>
      </c>
      <c r="AK13" s="75"/>
      <c r="AL13" s="31"/>
    </row>
    <row r="14" spans="2:38" x14ac:dyDescent="0.25">
      <c r="B14" s="1034"/>
      <c r="C14" s="1051"/>
      <c r="D14" s="1040"/>
      <c r="E14" s="1054"/>
      <c r="F14" s="1057"/>
      <c r="G14" s="1046"/>
      <c r="H14" s="1060"/>
      <c r="I14" s="1060"/>
      <c r="J14" s="1060"/>
      <c r="K14" s="1069"/>
      <c r="L14" s="150" t="s">
        <v>93</v>
      </c>
      <c r="M14" s="1071"/>
      <c r="N14" s="138">
        <v>0.71875</v>
      </c>
      <c r="O14" s="87">
        <v>4</v>
      </c>
      <c r="P14" s="126">
        <v>18</v>
      </c>
      <c r="Q14" s="154">
        <v>4</v>
      </c>
      <c r="R14" s="88">
        <v>18</v>
      </c>
      <c r="S14" s="74"/>
      <c r="T14" s="1037"/>
      <c r="U14" s="130">
        <v>0.71875</v>
      </c>
      <c r="V14" s="81">
        <f t="shared" si="0"/>
        <v>179.6875</v>
      </c>
      <c r="W14" s="81">
        <f t="shared" si="0"/>
        <v>215.625</v>
      </c>
      <c r="X14" s="81">
        <f t="shared" si="0"/>
        <v>251.5625</v>
      </c>
      <c r="Y14" s="81">
        <f t="shared" si="0"/>
        <v>287.5</v>
      </c>
      <c r="Z14" s="81">
        <f t="shared" si="0"/>
        <v>323.4375</v>
      </c>
      <c r="AA14" s="81" t="str">
        <f t="shared" si="0"/>
        <v/>
      </c>
      <c r="AB14" s="81" t="str">
        <f t="shared" si="0"/>
        <v/>
      </c>
      <c r="AC14" s="81" t="str">
        <f t="shared" si="0"/>
        <v/>
      </c>
      <c r="AD14" s="81" t="str">
        <f t="shared" si="0"/>
        <v/>
      </c>
      <c r="AE14" s="81" t="str">
        <f t="shared" si="0"/>
        <v/>
      </c>
      <c r="AF14" s="81" t="str">
        <f t="shared" si="0"/>
        <v/>
      </c>
      <c r="AG14" s="81" t="str">
        <f t="shared" si="0"/>
        <v/>
      </c>
      <c r="AH14" s="81" t="str">
        <f t="shared" si="0"/>
        <v/>
      </c>
      <c r="AI14" s="81" t="str">
        <f t="shared" si="0"/>
        <v/>
      </c>
      <c r="AJ14" s="102" t="str">
        <f t="shared" si="0"/>
        <v/>
      </c>
      <c r="AK14" s="75"/>
      <c r="AL14" s="31"/>
    </row>
    <row r="15" spans="2:38" x14ac:dyDescent="0.25">
      <c r="B15" s="103"/>
      <c r="C15" s="141"/>
      <c r="D15" s="141"/>
      <c r="E15" s="142"/>
      <c r="F15" s="143"/>
      <c r="G15" s="141"/>
      <c r="H15" s="143"/>
      <c r="I15" s="143"/>
      <c r="J15" s="143"/>
      <c r="K15" s="143"/>
      <c r="L15" s="143"/>
      <c r="M15" s="144"/>
      <c r="N15" s="139"/>
      <c r="O15" s="74"/>
      <c r="P15" s="74"/>
      <c r="Q15" s="74"/>
      <c r="R15" s="74"/>
      <c r="S15" s="74"/>
      <c r="T15" s="145"/>
      <c r="U15" s="13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5"/>
      <c r="AL15" s="31"/>
    </row>
    <row r="16" spans="2:38" x14ac:dyDescent="0.25">
      <c r="B16" s="111" t="s">
        <v>87</v>
      </c>
      <c r="C16" s="109">
        <v>1</v>
      </c>
      <c r="D16" s="110">
        <f t="shared" ref="D16:J16" si="1">C16+1</f>
        <v>2</v>
      </c>
      <c r="E16" s="110">
        <f t="shared" si="1"/>
        <v>3</v>
      </c>
      <c r="F16" s="110">
        <f t="shared" si="1"/>
        <v>4</v>
      </c>
      <c r="G16" s="110">
        <f t="shared" si="1"/>
        <v>5</v>
      </c>
      <c r="H16" s="110">
        <f t="shared" si="1"/>
        <v>6</v>
      </c>
      <c r="I16" s="110">
        <f t="shared" si="1"/>
        <v>7</v>
      </c>
      <c r="J16" s="110">
        <f t="shared" si="1"/>
        <v>8</v>
      </c>
      <c r="K16" s="110">
        <f>J16+1</f>
        <v>9</v>
      </c>
      <c r="L16" s="135"/>
      <c r="M16" s="135"/>
      <c r="N16" s="135"/>
    </row>
    <row r="17" spans="2:19" x14ac:dyDescent="0.25">
      <c r="B17" s="111" t="s">
        <v>78</v>
      </c>
      <c r="C17" s="112" t="s">
        <v>68</v>
      </c>
      <c r="D17" s="113" t="s">
        <v>69</v>
      </c>
      <c r="E17" s="114" t="s">
        <v>70</v>
      </c>
      <c r="F17" s="115" t="s">
        <v>66</v>
      </c>
      <c r="G17" s="116" t="s">
        <v>71</v>
      </c>
      <c r="H17" s="117" t="s">
        <v>72</v>
      </c>
      <c r="I17" s="118" t="s">
        <v>73</v>
      </c>
      <c r="J17" s="119" t="s">
        <v>74</v>
      </c>
      <c r="K17" s="120" t="s">
        <v>75</v>
      </c>
      <c r="L17" s="31"/>
      <c r="M17" s="31"/>
      <c r="N17" s="31"/>
    </row>
    <row r="18" spans="2:19" x14ac:dyDescent="0.25">
      <c r="E18" s="107"/>
      <c r="F18" s="108"/>
      <c r="G18" s="108"/>
      <c r="H18" s="108"/>
      <c r="I18" s="108"/>
      <c r="J18" s="108"/>
      <c r="K18" s="108"/>
      <c r="L18" s="108"/>
      <c r="M18" s="108"/>
      <c r="N18" s="108"/>
    </row>
    <row r="19" spans="2:19" x14ac:dyDescent="0.25">
      <c r="B19" s="31" t="s">
        <v>88</v>
      </c>
      <c r="C19" s="74">
        <v>6.375</v>
      </c>
    </row>
    <row r="20" spans="2:19" x14ac:dyDescent="0.25">
      <c r="D20" s="107"/>
      <c r="E20" s="108"/>
      <c r="F20" s="108"/>
    </row>
    <row r="26" spans="2:19" x14ac:dyDescent="0.25">
      <c r="E26" s="31"/>
      <c r="F26" s="74"/>
      <c r="G26" s="107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</row>
    <row r="27" spans="2:19" ht="15" customHeight="1" x14ac:dyDescent="0.25"/>
    <row r="29" spans="2:19" x14ac:dyDescent="0.25">
      <c r="J29" s="108"/>
      <c r="K29" s="108"/>
      <c r="L29" s="108"/>
      <c r="M29" s="108"/>
      <c r="N29" s="108"/>
      <c r="O29" s="108"/>
      <c r="P29" s="108"/>
      <c r="Q29" s="108"/>
      <c r="R29" s="108"/>
      <c r="S29" s="108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KJ1048576"/>
  <sheetViews>
    <sheetView showGridLines="0" tabSelected="1" zoomScale="80" zoomScaleNormal="80" workbookViewId="0">
      <selection activeCell="AS4" sqref="AS4"/>
    </sheetView>
  </sheetViews>
  <sheetFormatPr defaultRowHeight="15" x14ac:dyDescent="0.25"/>
  <cols>
    <col min="1" max="1" width="9.7109375" style="31" customWidth="1"/>
    <col min="2" max="10" width="9.7109375" customWidth="1"/>
    <col min="11" max="11" width="17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17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6" width="10.7109375" customWidth="1"/>
    <col min="167" max="168" width="11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1" max="225" width="11.7109375" customWidth="1"/>
    <col min="226" max="226" width="12.5703125" customWidth="1"/>
    <col min="227" max="227" width="10.7109375" bestFit="1" customWidth="1"/>
    <col min="228" max="230" width="7.7109375" customWidth="1"/>
    <col min="231" max="235" width="11.7109375" customWidth="1"/>
    <col min="236" max="236" width="12.7109375" customWidth="1"/>
    <col min="237" max="237" width="10.7109375" customWidth="1"/>
    <col min="238" max="238" width="11.7109375" customWidth="1"/>
    <col min="239" max="239" width="10.7109375" customWidth="1"/>
    <col min="240" max="240" width="41.7109375" customWidth="1"/>
    <col min="242" max="242" width="9.140625" style="31"/>
    <col min="243" max="243" width="9.140625" style="31" customWidth="1"/>
    <col min="244" max="245" width="9.140625" customWidth="1"/>
    <col min="246" max="247" width="12.7109375" customWidth="1"/>
    <col min="263" max="263" width="12.7109375" customWidth="1"/>
    <col min="279" max="283" width="9.140625" style="31"/>
    <col min="285" max="285" width="0" hidden="1" customWidth="1"/>
    <col min="286" max="287" width="10.5703125" hidden="1" customWidth="1"/>
    <col min="288" max="288" width="10.7109375" style="31" customWidth="1"/>
    <col min="289" max="289" width="10.7109375" hidden="1" customWidth="1"/>
    <col min="290" max="290" width="10.7109375" customWidth="1"/>
    <col min="291" max="291" width="10.7109375" hidden="1" customWidth="1"/>
    <col min="292" max="292" width="10.7109375" customWidth="1"/>
    <col min="293" max="293" width="10.7109375" hidden="1" customWidth="1"/>
    <col min="294" max="294" width="5.7109375" hidden="1" customWidth="1"/>
  </cols>
  <sheetData>
    <row r="1" spans="1:296" ht="45" customHeight="1" thickBot="1" x14ac:dyDescent="0.3">
      <c r="A1" s="699"/>
      <c r="B1" s="31"/>
      <c r="C1" s="1135" t="str">
        <f>CONCATENATE(Settings!$C$19," ",Settings!$B$28)</f>
        <v>7.875 4720r01</v>
      </c>
      <c r="D1" s="1135"/>
      <c r="E1" s="1135"/>
      <c r="F1" s="1135"/>
      <c r="G1" s="1135"/>
      <c r="H1" s="1135"/>
      <c r="I1" s="1135"/>
      <c r="J1" s="1135"/>
      <c r="K1" s="1135"/>
      <c r="L1" s="709"/>
      <c r="M1" s="958">
        <f>IFERROR(LARGE(M9:M150,1),"Null")</f>
        <v>8.1389999999999993</v>
      </c>
      <c r="N1" s="419"/>
      <c r="O1" s="419"/>
      <c r="P1" s="957"/>
      <c r="Q1" s="82"/>
      <c r="R1" s="957"/>
      <c r="S1" s="166"/>
      <c r="T1" s="166"/>
      <c r="U1" s="82"/>
      <c r="V1" s="82"/>
      <c r="W1" s="162"/>
      <c r="X1" s="82"/>
      <c r="Y1" s="16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135"/>
      <c r="AL1" s="82"/>
      <c r="AM1" s="82"/>
      <c r="AN1" s="82"/>
      <c r="AO1" s="82"/>
      <c r="AP1" s="82"/>
      <c r="AQ1" s="82"/>
      <c r="AR1" s="82"/>
      <c r="AS1" s="82"/>
      <c r="AT1" s="82"/>
      <c r="AU1" s="419"/>
      <c r="AV1" s="82"/>
      <c r="AW1" s="82"/>
      <c r="AX1" s="82"/>
      <c r="AY1" s="82"/>
      <c r="AZ1" s="82"/>
      <c r="BA1" s="82"/>
      <c r="BB1" s="82"/>
      <c r="BC1" s="82"/>
      <c r="BD1" s="82"/>
      <c r="BE1" s="82"/>
      <c r="BF1" s="82"/>
      <c r="BG1" s="82"/>
      <c r="BH1" s="82"/>
      <c r="BI1" s="82"/>
      <c r="BJ1" s="82"/>
      <c r="BK1" s="82"/>
      <c r="BL1" s="82"/>
      <c r="BM1" s="82"/>
      <c r="BN1" s="82"/>
      <c r="BO1" s="82"/>
      <c r="BP1" s="82"/>
      <c r="BQ1" s="82"/>
      <c r="BR1" s="82"/>
      <c r="BS1" s="82"/>
      <c r="BT1" s="82"/>
      <c r="BU1" s="82"/>
      <c r="BV1" s="82"/>
      <c r="BW1" s="82"/>
      <c r="BX1" s="82"/>
      <c r="BY1" s="82"/>
      <c r="BZ1" s="82"/>
      <c r="CA1" s="82"/>
      <c r="CB1" s="82"/>
      <c r="CC1" s="82"/>
      <c r="CD1" s="82"/>
      <c r="CE1" s="82"/>
      <c r="CF1" s="82"/>
      <c r="CG1" s="82"/>
      <c r="CH1" s="82"/>
      <c r="CI1" s="82"/>
      <c r="CJ1" s="82"/>
      <c r="CK1" s="82"/>
      <c r="CL1" s="82"/>
      <c r="CM1" s="82"/>
      <c r="CN1" s="82"/>
      <c r="CO1" s="82"/>
      <c r="CP1" s="82"/>
      <c r="CQ1" s="82"/>
      <c r="CR1" s="82"/>
      <c r="CS1" s="82"/>
      <c r="CT1" s="82"/>
      <c r="CU1" s="82"/>
      <c r="CV1" s="82"/>
      <c r="CW1" s="82"/>
      <c r="CX1" s="82"/>
      <c r="CY1" s="82"/>
      <c r="CZ1" s="82"/>
      <c r="DA1" s="82"/>
      <c r="DB1" s="82"/>
      <c r="DC1" s="82"/>
      <c r="DD1" s="82"/>
      <c r="DE1" s="82"/>
      <c r="DF1" s="82"/>
      <c r="DG1" s="82"/>
      <c r="DH1" s="82"/>
      <c r="DI1" s="82"/>
      <c r="DJ1" s="82"/>
      <c r="DK1" s="82"/>
      <c r="DL1" s="82"/>
      <c r="DM1" s="82"/>
      <c r="DN1" s="82"/>
      <c r="DO1" s="82"/>
      <c r="DP1" s="82"/>
      <c r="DQ1" s="82"/>
      <c r="DR1" s="82"/>
      <c r="DS1" s="82"/>
      <c r="DT1" s="82"/>
      <c r="DU1" s="82"/>
      <c r="DV1" s="82"/>
      <c r="DW1" s="82"/>
      <c r="DX1" s="82"/>
      <c r="DY1" s="82"/>
      <c r="DZ1" s="82"/>
      <c r="EA1" s="82"/>
      <c r="EB1" s="82"/>
      <c r="EC1" s="82"/>
      <c r="ED1" s="82"/>
      <c r="EE1" s="82"/>
      <c r="EF1" s="82"/>
      <c r="EG1" s="82"/>
      <c r="EH1" s="162"/>
      <c r="EI1" s="82"/>
      <c r="EJ1" s="82"/>
      <c r="EK1" s="82"/>
      <c r="EL1" s="82"/>
      <c r="EM1" s="82"/>
      <c r="EN1" s="82"/>
      <c r="EO1" s="82"/>
      <c r="ES1" s="82"/>
      <c r="ET1" s="82"/>
      <c r="EU1" s="71" t="s">
        <v>219</v>
      </c>
      <c r="EV1" s="31">
        <v>90</v>
      </c>
      <c r="EW1" s="82">
        <v>0.91236023973856395</v>
      </c>
      <c r="EX1" s="82">
        <v>0.24177896483129099</v>
      </c>
      <c r="EY1" s="82">
        <v>-0.33036604714967344</v>
      </c>
      <c r="EZ1" s="82"/>
      <c r="FA1" s="82"/>
      <c r="FB1" s="82"/>
      <c r="FC1" s="82"/>
      <c r="FD1" s="82">
        <v>0.95284226176036202</v>
      </c>
      <c r="FE1" s="82">
        <v>2.7755575615628914E-17</v>
      </c>
      <c r="FF1" s="82">
        <v>-0.30346601820203545</v>
      </c>
      <c r="FG1" s="82"/>
      <c r="FH1" s="82"/>
      <c r="FI1" s="82"/>
      <c r="FJ1" s="31"/>
      <c r="FK1" s="82"/>
      <c r="FL1" s="82"/>
      <c r="FM1" s="82"/>
      <c r="FN1" s="82"/>
      <c r="FO1" s="82"/>
      <c r="FP1" s="82"/>
      <c r="FQ1" s="82"/>
      <c r="FR1" s="82"/>
      <c r="FS1" s="82"/>
      <c r="FT1" s="82"/>
      <c r="FU1" s="82"/>
      <c r="FV1" s="82"/>
      <c r="FW1" s="82"/>
      <c r="FX1" s="82"/>
      <c r="FY1" s="82"/>
      <c r="FZ1" s="82"/>
      <c r="GA1" s="82"/>
      <c r="GB1" s="82"/>
      <c r="GC1" s="82"/>
      <c r="GD1" s="82"/>
      <c r="GE1" s="82"/>
      <c r="GF1" s="82"/>
      <c r="GG1" s="82"/>
      <c r="GH1" s="82"/>
      <c r="GI1" s="82"/>
      <c r="GJ1" s="31"/>
      <c r="GK1" s="82"/>
      <c r="GL1" s="82"/>
      <c r="GM1" s="82"/>
      <c r="GN1" s="82"/>
      <c r="GO1" s="82"/>
      <c r="GP1" s="82"/>
      <c r="GQ1" s="82"/>
      <c r="GR1" s="82"/>
      <c r="GS1" s="82"/>
      <c r="GT1" s="82"/>
      <c r="GU1" s="82"/>
      <c r="GV1" s="82"/>
      <c r="GW1" s="82"/>
      <c r="GX1" s="82"/>
      <c r="GY1" s="82"/>
      <c r="GZ1" s="82"/>
      <c r="HA1" s="82"/>
      <c r="HB1" s="82"/>
      <c r="HC1" s="82"/>
      <c r="HD1" s="82"/>
      <c r="HE1" s="82"/>
      <c r="HF1" s="82"/>
      <c r="HG1" s="82"/>
      <c r="HH1" s="82"/>
      <c r="HI1" s="82"/>
      <c r="HL1" s="141"/>
      <c r="HM1" s="141"/>
      <c r="HN1" s="141"/>
      <c r="HO1" s="141"/>
      <c r="HP1" s="141"/>
      <c r="HQ1" s="141"/>
      <c r="HR1" s="141"/>
      <c r="HS1" s="141"/>
      <c r="HT1" s="141"/>
      <c r="HU1" s="141"/>
      <c r="HV1" s="141"/>
      <c r="HW1" s="141"/>
      <c r="HX1" s="141"/>
      <c r="HY1" s="141"/>
      <c r="HZ1" s="141"/>
      <c r="IA1" s="141"/>
      <c r="IB1" s="141"/>
      <c r="IC1" s="141"/>
      <c r="ID1" s="141"/>
      <c r="IE1" s="141"/>
      <c r="IN1" s="31"/>
      <c r="IO1" s="323"/>
      <c r="JC1" s="82"/>
      <c r="JD1" s="82"/>
      <c r="JE1" s="82"/>
    </row>
    <row r="2" spans="1:296" ht="15" customHeight="1" thickTop="1" thickBot="1" x14ac:dyDescent="0.3">
      <c r="B2" s="1147" t="s">
        <v>306</v>
      </c>
      <c r="C2" s="1148"/>
      <c r="D2" s="1148"/>
      <c r="E2" s="1148"/>
      <c r="F2" s="1148"/>
      <c r="G2" s="1148"/>
      <c r="H2" s="1148"/>
      <c r="I2" s="1148"/>
      <c r="J2" s="1148"/>
      <c r="K2" s="1149"/>
      <c r="L2" s="1098" t="str" cm="1">
        <f t="array" ref="L2">IF(OR($K$9:$K$150="Undefined"),"Undefined Element","")</f>
        <v/>
      </c>
      <c r="M2" s="1155" t="s">
        <v>0</v>
      </c>
      <c r="N2" s="1115" t="s">
        <v>1</v>
      </c>
      <c r="O2" s="1116"/>
      <c r="P2" s="1116"/>
      <c r="Q2" s="1116"/>
      <c r="R2" s="1116"/>
      <c r="S2" s="1116"/>
      <c r="T2" s="1116"/>
      <c r="U2" s="1116"/>
      <c r="V2" s="1116"/>
      <c r="W2" s="1116"/>
      <c r="X2" s="1116"/>
      <c r="Y2" s="1117"/>
      <c r="Z2" s="1115" t="s">
        <v>2</v>
      </c>
      <c r="AA2" s="1116"/>
      <c r="AB2" s="1116"/>
      <c r="AC2" s="1116"/>
      <c r="AD2" s="1116"/>
      <c r="AE2" s="1116"/>
      <c r="AF2" s="1116"/>
      <c r="AG2" s="1116"/>
      <c r="AH2" s="1116"/>
      <c r="AI2" s="1116"/>
      <c r="AJ2" s="1116"/>
      <c r="AK2" s="1116"/>
      <c r="AL2" s="1116"/>
      <c r="AM2" s="1116"/>
      <c r="AN2" s="1116"/>
      <c r="AO2" s="1116"/>
      <c r="AP2" s="1116"/>
      <c r="AQ2" s="1185"/>
      <c r="AS2" s="1123" t="s">
        <v>44</v>
      </c>
      <c r="AT2" s="1124"/>
      <c r="AV2" s="1113" t="s">
        <v>0</v>
      </c>
      <c r="AW2" s="1115" t="s">
        <v>109</v>
      </c>
      <c r="AX2" s="1116"/>
      <c r="AY2" s="1116"/>
      <c r="AZ2" s="1116"/>
      <c r="BA2" s="1116"/>
      <c r="BB2" s="1116"/>
      <c r="BC2" s="1116"/>
      <c r="BD2" s="1116"/>
      <c r="BE2" s="1185"/>
      <c r="BF2" s="1191" t="s">
        <v>115</v>
      </c>
      <c r="BG2" s="1116"/>
      <c r="BH2" s="1116"/>
      <c r="BI2" s="1116"/>
      <c r="BJ2" s="1116"/>
      <c r="BK2" s="1116"/>
      <c r="BL2" s="1116"/>
      <c r="BM2" s="1116"/>
      <c r="BN2" s="1116"/>
      <c r="BO2" s="1116"/>
      <c r="BP2" s="1116"/>
      <c r="BQ2" s="1116"/>
      <c r="BR2" s="1116"/>
      <c r="BS2" s="1116"/>
      <c r="BT2" s="1116"/>
      <c r="BU2" s="1116"/>
      <c r="BV2" s="1116"/>
      <c r="BW2" s="1116"/>
      <c r="BX2" s="1116"/>
      <c r="BY2" s="1116"/>
      <c r="BZ2" s="1116"/>
      <c r="CA2" s="1116"/>
      <c r="CB2" s="1116"/>
      <c r="CC2" s="1116"/>
      <c r="CD2" s="1116"/>
      <c r="CE2" s="1116"/>
      <c r="CF2" s="1116"/>
      <c r="CG2" s="1116"/>
      <c r="CH2" s="1116"/>
      <c r="CI2" s="1116"/>
      <c r="CJ2" s="1116"/>
      <c r="CK2" s="1116"/>
      <c r="CL2" s="1116"/>
      <c r="CM2" s="1116"/>
      <c r="CN2" s="1116"/>
      <c r="CO2" s="1116"/>
      <c r="CP2" s="1116"/>
      <c r="CQ2" s="1116"/>
      <c r="CR2" s="1116"/>
      <c r="CS2" s="1116"/>
      <c r="CT2" s="1116"/>
      <c r="CU2" s="1116"/>
      <c r="CV2" s="1116"/>
      <c r="CW2" s="1116"/>
      <c r="CX2" s="1116"/>
      <c r="CY2" s="1116"/>
      <c r="CZ2" s="1116"/>
      <c r="DA2" s="1116"/>
      <c r="DB2" s="1116"/>
      <c r="DC2" s="1116"/>
      <c r="DD2" s="1116"/>
      <c r="DE2" s="1116"/>
      <c r="DF2" s="1116"/>
      <c r="DG2" s="1116"/>
      <c r="DH2" s="1116"/>
      <c r="DI2" s="1116"/>
      <c r="DJ2" s="1116"/>
      <c r="DK2" s="1116"/>
      <c r="DL2" s="1116"/>
      <c r="DM2" s="1116"/>
      <c r="DN2" s="1116"/>
      <c r="DO2" s="1116"/>
      <c r="DP2" s="1116"/>
      <c r="DQ2" s="1116"/>
      <c r="DR2" s="1116"/>
      <c r="DS2" s="1116"/>
      <c r="DT2" s="1116"/>
      <c r="DU2" s="1116"/>
      <c r="DV2" s="1116"/>
      <c r="DW2" s="1116"/>
      <c r="DX2" s="1116"/>
      <c r="DY2" s="1116"/>
      <c r="DZ2" s="1116"/>
      <c r="EA2" s="1116"/>
      <c r="EB2" s="1116"/>
      <c r="EC2" s="1116"/>
      <c r="ED2" s="1116"/>
      <c r="EE2" s="1116"/>
      <c r="EF2" s="1116"/>
      <c r="EG2" s="1116"/>
      <c r="EH2" s="1116"/>
      <c r="EI2" s="1116"/>
      <c r="EJ2" s="1116"/>
      <c r="EK2" s="1116"/>
      <c r="EL2" s="1116"/>
      <c r="EM2" s="1116"/>
      <c r="EN2" s="1116"/>
      <c r="EO2" s="1116"/>
      <c r="EP2" s="1116"/>
      <c r="EQ2" s="1116"/>
      <c r="ER2" s="1117"/>
      <c r="ES2" s="1378" t="s">
        <v>196</v>
      </c>
      <c r="ET2" s="1379"/>
      <c r="EU2" s="1379"/>
      <c r="EV2" s="1379"/>
      <c r="EW2" s="1379"/>
      <c r="EX2" s="1379"/>
      <c r="EY2" s="1379"/>
      <c r="EZ2" s="1379"/>
      <c r="FA2" s="1379"/>
      <c r="FB2" s="1379"/>
      <c r="FC2" s="1379"/>
      <c r="FD2" s="1379"/>
      <c r="FE2" s="1379"/>
      <c r="FF2" s="1380"/>
      <c r="FP2" t="s">
        <v>204</v>
      </c>
      <c r="GB2" s="1"/>
      <c r="GE2" s="302"/>
      <c r="GF2" s="302"/>
      <c r="GI2" s="302"/>
      <c r="GL2" s="322">
        <f>SUM(GL9:GL150)</f>
        <v>0</v>
      </c>
      <c r="GM2" s="322">
        <f>SUM(GM9:GM150)</f>
        <v>0</v>
      </c>
      <c r="GR2" s="309">
        <f>SUM(GR9:GR150)</f>
        <v>0</v>
      </c>
      <c r="GS2" s="309">
        <f>SUM(GS9:GS150)</f>
        <v>0</v>
      </c>
      <c r="GT2" s="309"/>
      <c r="GU2" s="309">
        <f>SUM(GU9:GU150)</f>
        <v>0</v>
      </c>
      <c r="GV2" s="309"/>
      <c r="GW2" s="369">
        <v>29500</v>
      </c>
      <c r="GX2" s="309">
        <f>SUM(GX9:GX150)</f>
        <v>0</v>
      </c>
      <c r="GY2" s="309">
        <f>SUM(GY9:GY150)</f>
        <v>0</v>
      </c>
      <c r="GZ2" s="309"/>
      <c r="HE2" s="309"/>
      <c r="HF2" s="309"/>
      <c r="HG2" s="309"/>
      <c r="HH2" s="309"/>
      <c r="HM2" t="s">
        <v>396</v>
      </c>
      <c r="HU2" s="852"/>
      <c r="HV2" s="871"/>
      <c r="HW2" s="1353" t="str">
        <f>IFERROR(CONCATENATE("Sum of Lateral Forces = ",ROUND(HE3,0)," lbs @ ",ROUND(HF3,1),"° Relative to Blade 1"),"")</f>
        <v/>
      </c>
      <c r="HX2" s="1353"/>
      <c r="HY2" s="1353"/>
      <c r="HZ2" s="1353"/>
      <c r="IA2" s="1353"/>
      <c r="IB2" s="1353"/>
      <c r="IC2" s="1353"/>
      <c r="ID2" s="1353"/>
      <c r="IE2" s="1353"/>
      <c r="IF2" s="860"/>
      <c r="IN2" s="31"/>
      <c r="IO2" s="323"/>
      <c r="JC2" s="82"/>
      <c r="JD2" s="82"/>
      <c r="JE2" s="82"/>
    </row>
    <row r="3" spans="1:296" ht="15" customHeight="1" x14ac:dyDescent="0.25">
      <c r="B3" s="1150"/>
      <c r="C3" s="1111"/>
      <c r="D3" s="1111"/>
      <c r="E3" s="1111"/>
      <c r="F3" s="1111"/>
      <c r="G3" s="1111"/>
      <c r="H3" s="1111"/>
      <c r="I3" s="1111"/>
      <c r="J3" s="1111"/>
      <c r="K3" s="1151"/>
      <c r="L3" s="1098"/>
      <c r="M3" s="1150"/>
      <c r="N3" s="1118"/>
      <c r="O3" s="1119"/>
      <c r="P3" s="1119"/>
      <c r="Q3" s="1119"/>
      <c r="R3" s="1119"/>
      <c r="S3" s="1119"/>
      <c r="T3" s="1119"/>
      <c r="U3" s="1119"/>
      <c r="V3" s="1119"/>
      <c r="W3" s="1119"/>
      <c r="X3" s="1119"/>
      <c r="Y3" s="1120"/>
      <c r="Z3" s="1118"/>
      <c r="AA3" s="1119"/>
      <c r="AB3" s="1119"/>
      <c r="AC3" s="1119"/>
      <c r="AD3" s="1119"/>
      <c r="AE3" s="1119"/>
      <c r="AF3" s="1119"/>
      <c r="AG3" s="1119"/>
      <c r="AH3" s="1119"/>
      <c r="AI3" s="1119"/>
      <c r="AJ3" s="1119"/>
      <c r="AK3" s="1119"/>
      <c r="AL3" s="1119"/>
      <c r="AM3" s="1119"/>
      <c r="AN3" s="1119"/>
      <c r="AO3" s="1119"/>
      <c r="AP3" s="1119"/>
      <c r="AQ3" s="1186"/>
      <c r="AS3" s="415">
        <v>200</v>
      </c>
      <c r="AT3" s="412" t="s">
        <v>45</v>
      </c>
      <c r="AV3" s="1114"/>
      <c r="AW3" s="1207"/>
      <c r="AX3" s="1193"/>
      <c r="AY3" s="1193"/>
      <c r="AZ3" s="1193"/>
      <c r="BA3" s="1193"/>
      <c r="BB3" s="1193"/>
      <c r="BC3" s="1193"/>
      <c r="BD3" s="1193"/>
      <c r="BE3" s="1208"/>
      <c r="BF3" s="1192"/>
      <c r="BG3" s="1193"/>
      <c r="BH3" s="1193"/>
      <c r="BI3" s="1193"/>
      <c r="BJ3" s="1193"/>
      <c r="BK3" s="1193"/>
      <c r="BL3" s="1193"/>
      <c r="BM3" s="1193"/>
      <c r="BN3" s="1193"/>
      <c r="BO3" s="1193"/>
      <c r="BP3" s="1193"/>
      <c r="BQ3" s="1193"/>
      <c r="BR3" s="1193"/>
      <c r="BS3" s="1193"/>
      <c r="BT3" s="1193"/>
      <c r="BU3" s="1193"/>
      <c r="BV3" s="1193"/>
      <c r="BW3" s="1193"/>
      <c r="BX3" s="1193"/>
      <c r="BY3" s="1193"/>
      <c r="BZ3" s="1193"/>
      <c r="CA3" s="1193"/>
      <c r="CB3" s="1193"/>
      <c r="CC3" s="1193"/>
      <c r="CD3" s="1193"/>
      <c r="CE3" s="1193"/>
      <c r="CF3" s="1193"/>
      <c r="CG3" s="1193"/>
      <c r="CH3" s="1193"/>
      <c r="CI3" s="1193"/>
      <c r="CJ3" s="1193"/>
      <c r="CK3" s="1193"/>
      <c r="CL3" s="1193"/>
      <c r="CM3" s="1193"/>
      <c r="CN3" s="1193"/>
      <c r="CO3" s="1193"/>
      <c r="CP3" s="1193"/>
      <c r="CQ3" s="1193"/>
      <c r="CR3" s="1193"/>
      <c r="CS3" s="1193"/>
      <c r="CT3" s="1193"/>
      <c r="CU3" s="1193"/>
      <c r="CV3" s="1193"/>
      <c r="CW3" s="1193"/>
      <c r="CX3" s="1193"/>
      <c r="CY3" s="1193"/>
      <c r="CZ3" s="1193"/>
      <c r="DA3" s="1193"/>
      <c r="DB3" s="1193"/>
      <c r="DC3" s="1193"/>
      <c r="DD3" s="1193"/>
      <c r="DE3" s="1193"/>
      <c r="DF3" s="1193"/>
      <c r="DG3" s="1193"/>
      <c r="DH3" s="1193"/>
      <c r="DI3" s="1193"/>
      <c r="DJ3" s="1193"/>
      <c r="DK3" s="1193"/>
      <c r="DL3" s="1193"/>
      <c r="DM3" s="1193"/>
      <c r="DN3" s="1193"/>
      <c r="DO3" s="1193"/>
      <c r="DP3" s="1193"/>
      <c r="DQ3" s="1193"/>
      <c r="DR3" s="1193"/>
      <c r="DS3" s="1193"/>
      <c r="DT3" s="1193"/>
      <c r="DU3" s="1193"/>
      <c r="DV3" s="1193"/>
      <c r="DW3" s="1193"/>
      <c r="DX3" s="1193"/>
      <c r="DY3" s="1193"/>
      <c r="DZ3" s="1193"/>
      <c r="EA3" s="1193"/>
      <c r="EB3" s="1193"/>
      <c r="EC3" s="1193"/>
      <c r="ED3" s="1193"/>
      <c r="EE3" s="1193"/>
      <c r="EF3" s="1193"/>
      <c r="EG3" s="1193"/>
      <c r="EH3" s="1193"/>
      <c r="EI3" s="1193"/>
      <c r="EJ3" s="1193"/>
      <c r="EK3" s="1193"/>
      <c r="EL3" s="1193"/>
      <c r="EM3" s="1193"/>
      <c r="EN3" s="1193"/>
      <c r="EO3" s="1193"/>
      <c r="EP3" s="1193"/>
      <c r="EQ3" s="1193"/>
      <c r="ER3" s="1194"/>
      <c r="ES3" s="1207"/>
      <c r="ET3" s="1193"/>
      <c r="EU3" s="1193"/>
      <c r="EV3" s="1193"/>
      <c r="EW3" s="1193"/>
      <c r="EX3" s="1193"/>
      <c r="EY3" s="1193"/>
      <c r="EZ3" s="1193"/>
      <c r="FA3" s="1193"/>
      <c r="FB3" s="1193"/>
      <c r="FC3" s="1193"/>
      <c r="FD3" s="1193"/>
      <c r="FE3" s="1193"/>
      <c r="FF3" s="1194"/>
      <c r="FI3" s="1"/>
      <c r="FP3" t="s">
        <v>205</v>
      </c>
      <c r="GA3" s="299"/>
      <c r="GB3" s="1"/>
      <c r="GE3" s="302"/>
      <c r="GF3" s="302"/>
      <c r="GG3" s="299"/>
      <c r="GH3" s="299"/>
      <c r="GI3" s="299"/>
      <c r="GJ3" s="31"/>
      <c r="GK3" s="31"/>
      <c r="GL3" s="31"/>
      <c r="GM3" s="31"/>
      <c r="GN3" s="31"/>
      <c r="GO3" s="31"/>
      <c r="GP3" s="31"/>
      <c r="GQ3" s="31"/>
      <c r="GR3" s="323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09">
        <f>SQRT(HG3^2+HH3^2)</f>
        <v>0</v>
      </c>
      <c r="HF3" s="162" t="str">
        <f>IFERROR(IF((DEGREES(ATAN2(HG3,HH3)))&lt;0,(360+(DEGREES(ATAN2(HG3,HH3)))),(DEGREES(ATAN2(HG3,HH3)))),"")</f>
        <v/>
      </c>
      <c r="HG3" s="309">
        <f>HC8+HG8</f>
        <v>0</v>
      </c>
      <c r="HH3" s="309">
        <f>HD8+HH8</f>
        <v>0</v>
      </c>
      <c r="HI3" s="103"/>
      <c r="HJ3" s="31"/>
      <c r="IN3" s="31"/>
      <c r="IO3" s="710"/>
      <c r="JC3" s="82"/>
      <c r="JD3" s="82"/>
      <c r="JE3" s="82"/>
    </row>
    <row r="4" spans="1:296" ht="15" customHeight="1" x14ac:dyDescent="0.25">
      <c r="A4" s="31" t="s">
        <v>401</v>
      </c>
      <c r="B4" s="1152"/>
      <c r="C4" s="1153"/>
      <c r="D4" s="1153"/>
      <c r="E4" s="1153"/>
      <c r="F4" s="1153"/>
      <c r="G4" s="1153"/>
      <c r="H4" s="1153"/>
      <c r="I4" s="1153"/>
      <c r="J4" s="1153"/>
      <c r="K4" s="1154"/>
      <c r="L4" s="1098"/>
      <c r="M4" s="1150"/>
      <c r="N4" s="1159" t="s">
        <v>3</v>
      </c>
      <c r="O4" s="1107"/>
      <c r="P4" s="1107"/>
      <c r="Q4" s="1108" t="s">
        <v>4</v>
      </c>
      <c r="R4" s="1107"/>
      <c r="S4" s="1109"/>
      <c r="T4" s="1168" t="str">
        <f>N4</f>
        <v>Cartesian Coordinates</v>
      </c>
      <c r="U4" s="1139"/>
      <c r="V4" s="1169"/>
      <c r="W4" s="1139" t="str">
        <f>$Q$4</f>
        <v>Polar XY; Cartesian Z</v>
      </c>
      <c r="X4" s="1139"/>
      <c r="Y4" s="1140"/>
      <c r="Z4" s="1159" t="s">
        <v>3</v>
      </c>
      <c r="AA4" s="1107"/>
      <c r="AB4" s="1107"/>
      <c r="AC4" s="1107"/>
      <c r="AD4" s="1107"/>
      <c r="AE4" s="1107"/>
      <c r="AF4" s="1107"/>
      <c r="AG4" s="1106" t="s">
        <v>31</v>
      </c>
      <c r="AH4" s="1107"/>
      <c r="AI4" s="1107"/>
      <c r="AJ4" s="1109"/>
      <c r="AK4" s="1187" t="s">
        <v>32</v>
      </c>
      <c r="AL4" s="1188"/>
      <c r="AM4" s="1188"/>
      <c r="AN4" s="1188"/>
      <c r="AO4" s="1188"/>
      <c r="AP4" s="1188"/>
      <c r="AQ4" s="1189"/>
      <c r="AS4" s="416">
        <v>300</v>
      </c>
      <c r="AT4" s="413" t="s">
        <v>46</v>
      </c>
      <c r="AV4" s="1114"/>
      <c r="AW4" s="1218" t="s">
        <v>112</v>
      </c>
      <c r="AX4" s="1200"/>
      <c r="AY4" s="990"/>
      <c r="AZ4" s="1204"/>
      <c r="BA4" s="1205"/>
      <c r="BB4" s="1209" t="s">
        <v>113</v>
      </c>
      <c r="BC4" s="1139" t="str">
        <f>$Q$4</f>
        <v>Polar XY; Cartesian Z</v>
      </c>
      <c r="BD4" s="1139"/>
      <c r="BE4" s="1212"/>
      <c r="BF4" s="1222" t="s">
        <v>129</v>
      </c>
      <c r="BG4" s="1223"/>
      <c r="BH4" s="1223"/>
      <c r="BI4" s="1223"/>
      <c r="BJ4" s="1223"/>
      <c r="BK4" s="1223"/>
      <c r="BL4" s="1223"/>
      <c r="BM4" s="1223"/>
      <c r="BN4" s="1223"/>
      <c r="BO4" s="1223"/>
      <c r="BP4" s="1223"/>
      <c r="BQ4" s="1223"/>
      <c r="BR4" s="1223"/>
      <c r="BS4" s="1223"/>
      <c r="BT4" s="1223"/>
      <c r="BU4" s="1223"/>
      <c r="BV4" s="1223"/>
      <c r="BW4" s="1223"/>
      <c r="BX4" s="1223"/>
      <c r="BY4" s="1223"/>
      <c r="BZ4" s="1223"/>
      <c r="CA4" s="1223"/>
      <c r="CB4" s="1223"/>
      <c r="CC4" s="1223"/>
      <c r="CD4" s="1223"/>
      <c r="CE4" s="1223"/>
      <c r="CF4" s="1223"/>
      <c r="CG4" s="1223"/>
      <c r="CH4" s="1223"/>
      <c r="CI4" s="1223"/>
      <c r="CJ4" s="1223"/>
      <c r="CK4" s="1223"/>
      <c r="CL4" s="1223"/>
      <c r="CM4" s="1223"/>
      <c r="CN4" s="1224"/>
      <c r="CO4" s="1195" t="s">
        <v>192</v>
      </c>
      <c r="CP4" s="1196"/>
      <c r="CQ4" s="1196"/>
      <c r="CR4" s="1196"/>
      <c r="CS4" s="1196"/>
      <c r="CT4" s="1196"/>
      <c r="CU4" s="1196"/>
      <c r="CV4" s="1196"/>
      <c r="CW4" s="1196"/>
      <c r="CX4" s="1196"/>
      <c r="CY4" s="1196"/>
      <c r="CZ4" s="1196"/>
      <c r="DA4" s="1197"/>
      <c r="DB4" s="1375" t="s">
        <v>389</v>
      </c>
      <c r="DC4" s="1376"/>
      <c r="DD4" s="1376"/>
      <c r="DE4" s="1376"/>
      <c r="DF4" s="1376"/>
      <c r="DG4" s="1376"/>
      <c r="DH4" s="1376"/>
      <c r="DI4" s="1376"/>
      <c r="DJ4" s="1376"/>
      <c r="DK4" s="1376"/>
      <c r="DL4" s="1376"/>
      <c r="DM4" s="1376"/>
      <c r="DN4" s="1376"/>
      <c r="DO4" s="1376"/>
      <c r="DP4" s="1376"/>
      <c r="DQ4" s="1376"/>
      <c r="DR4" s="1376"/>
      <c r="DS4" s="1376"/>
      <c r="DT4" s="1376"/>
      <c r="DU4" s="1376"/>
      <c r="DV4" s="1376"/>
      <c r="DW4" s="1376"/>
      <c r="DX4" s="1376"/>
      <c r="DY4" s="1376"/>
      <c r="DZ4" s="1376"/>
      <c r="EA4" s="1376"/>
      <c r="EB4" s="1376"/>
      <c r="EC4" s="1376"/>
      <c r="ED4" s="1376"/>
      <c r="EE4" s="1376"/>
      <c r="EF4" s="1376"/>
      <c r="EG4" s="1376"/>
      <c r="EH4" s="1376"/>
      <c r="EI4" s="1376"/>
      <c r="EJ4" s="1376"/>
      <c r="EK4" s="1376"/>
      <c r="EL4" s="1376"/>
      <c r="EM4" s="1376"/>
      <c r="EN4" s="1376"/>
      <c r="EO4" s="1376"/>
      <c r="EP4" s="1376"/>
      <c r="EQ4" s="1376"/>
      <c r="ER4" s="1377"/>
      <c r="ES4" s="1262" t="s">
        <v>195</v>
      </c>
      <c r="ET4" s="1263"/>
      <c r="EU4" s="1263"/>
      <c r="EV4" s="1263"/>
      <c r="EW4" s="1263"/>
      <c r="EX4" s="1263"/>
      <c r="EY4" s="1264"/>
      <c r="EZ4" s="1288" t="s">
        <v>200</v>
      </c>
      <c r="FA4" s="1289"/>
      <c r="FB4" s="1289"/>
      <c r="FC4" s="1289"/>
      <c r="FD4" s="1289"/>
      <c r="FE4" s="1289"/>
      <c r="FF4" s="1290"/>
      <c r="FG4" s="325"/>
      <c r="FP4" s="1335" t="s">
        <v>228</v>
      </c>
      <c r="FZ4" s="1335" t="s">
        <v>227</v>
      </c>
      <c r="GA4" s="299"/>
      <c r="GB4" s="299"/>
      <c r="GC4" s="299"/>
      <c r="GD4" s="299"/>
      <c r="GE4" s="299"/>
      <c r="GF4" s="299"/>
      <c r="GG4" s="299"/>
      <c r="GH4" s="299"/>
      <c r="GI4" s="299"/>
      <c r="GJ4" s="1008" t="s">
        <v>235</v>
      </c>
      <c r="GK4" s="1009"/>
      <c r="GL4" s="1009"/>
      <c r="GM4" s="1009"/>
      <c r="GN4" s="1315"/>
      <c r="GO4" s="1317" t="s">
        <v>228</v>
      </c>
      <c r="GP4" s="1321" t="s">
        <v>227</v>
      </c>
      <c r="GR4" s="1326" t="s">
        <v>257</v>
      </c>
      <c r="GS4" s="1079" t="s">
        <v>255</v>
      </c>
      <c r="GT4" s="999"/>
      <c r="GU4" s="999"/>
      <c r="GV4" s="999"/>
      <c r="GW4" s="999"/>
      <c r="GX4" s="999"/>
      <c r="GY4" s="999"/>
      <c r="GZ4" s="999"/>
      <c r="HA4" s="1278" t="str">
        <f>IFERROR(CONCATENATE("Lateral Forces = ",ROUND(HE3,0)," lbs @ ",ROUND(HF3,1),"° Relative to Blade 1"),"")</f>
        <v/>
      </c>
      <c r="HB4" s="1279"/>
      <c r="HC4" s="1279"/>
      <c r="HD4" s="1279"/>
      <c r="HE4" s="1279"/>
      <c r="HF4" s="1279"/>
      <c r="HG4" s="1279"/>
      <c r="HH4" s="1280"/>
      <c r="HI4" s="1283" t="s">
        <v>0</v>
      </c>
      <c r="HV4" s="861"/>
      <c r="HW4" s="1354" t="e">
        <f>CONCATENATE("Yeield Strength of Rock = ",IF(HW6&gt;1000,(ROUNDDOWN(HW6,-3)/1000),""), IF(HW6&gt;1000,",",""),RIGHT(HW6,3)," psi (Tangential Force)")</f>
        <v>#DIV/0!</v>
      </c>
      <c r="HX4" s="1354"/>
      <c r="HY4" s="1354"/>
      <c r="HZ4" s="1354"/>
      <c r="IA4" s="1354"/>
      <c r="IB4" s="1354"/>
      <c r="IC4" s="1354"/>
      <c r="ID4" s="1354"/>
      <c r="IE4" s="1354"/>
      <c r="IF4" s="858"/>
      <c r="IG4" s="1005" t="s">
        <v>372</v>
      </c>
      <c r="IH4" s="1005"/>
      <c r="II4" s="710" cm="1">
        <f t="array" ref="II4">MAX(MOD(IF($II$9:$II$150="",0,($II$9:$II$150*1000)),100))</f>
        <v>46</v>
      </c>
      <c r="IN4" s="31"/>
      <c r="IO4" s="710"/>
    </row>
    <row r="5" spans="1:296" ht="15" customHeight="1" thickBot="1" x14ac:dyDescent="0.3">
      <c r="A5" s="139">
        <v>0.02</v>
      </c>
      <c r="B5" s="1141" t="str">
        <f>CONCATENATE(B7," ; ",E7," ; ",H7)</f>
        <v>Absolute-Point ; Incremental-Vector Point ; Pocket Info.</v>
      </c>
      <c r="C5" s="1142"/>
      <c r="D5" s="1142"/>
      <c r="E5" s="1142"/>
      <c r="F5" s="1142"/>
      <c r="G5" s="1142"/>
      <c r="H5" s="1142"/>
      <c r="I5" s="1142"/>
      <c r="J5" s="1142"/>
      <c r="K5" s="1143"/>
      <c r="L5" s="813" t="str" cm="1">
        <f t="array" ref="L5">IF(OR(IF(LEFT($K$9:$K$150,4)="&lt;&gt;CS",TRUE,FALSE)),"Wrong CS","")</f>
        <v/>
      </c>
      <c r="M5" s="1150"/>
      <c r="N5" s="1178" t="s">
        <v>5</v>
      </c>
      <c r="O5" s="1085"/>
      <c r="P5" s="1085"/>
      <c r="Q5" s="1084" t="s">
        <v>6</v>
      </c>
      <c r="R5" s="1085"/>
      <c r="S5" s="1086"/>
      <c r="T5" s="1103" t="str">
        <f>CONCATENATE("Relative to ",M8,"'s θ about Z Axis")</f>
        <v>Relative to 1.122's θ about Z Axis</v>
      </c>
      <c r="U5" s="1104"/>
      <c r="V5" s="1179"/>
      <c r="W5" s="1104" t="str">
        <f>CONCATENATE("Relative to ",M8,"'s θ about Z Axis")</f>
        <v>Relative to 1.122's θ about Z Axis</v>
      </c>
      <c r="X5" s="1104"/>
      <c r="Y5" s="1170"/>
      <c r="Z5" s="1160" t="str">
        <f>N5</f>
        <v>Relative to World_CS</v>
      </c>
      <c r="AA5" s="1104"/>
      <c r="AB5" s="1104"/>
      <c r="AC5" s="1104"/>
      <c r="AD5" s="1104"/>
      <c r="AE5" s="1104"/>
      <c r="AF5" s="1104"/>
      <c r="AG5" s="1103" t="str">
        <f>N5</f>
        <v>Relative to World_CS</v>
      </c>
      <c r="AH5" s="1104"/>
      <c r="AI5" s="1104"/>
      <c r="AJ5" s="1105"/>
      <c r="AK5" s="1190" t="s">
        <v>7</v>
      </c>
      <c r="AL5" s="1085"/>
      <c r="AM5" s="1085"/>
      <c r="AN5" s="1085"/>
      <c r="AO5" s="1085"/>
      <c r="AP5" s="1085"/>
      <c r="AQ5" s="1086"/>
      <c r="AS5" s="167">
        <f>(((AS4*12)/60)/AS3)</f>
        <v>0.3</v>
      </c>
      <c r="AT5" s="413" t="s">
        <v>47</v>
      </c>
      <c r="AV5" s="1114"/>
      <c r="AW5" s="1219"/>
      <c r="AX5" s="1220"/>
      <c r="AY5" s="1221"/>
      <c r="AZ5" s="1206"/>
      <c r="BA5" s="980"/>
      <c r="BB5" s="1210"/>
      <c r="BC5" s="1215" t="str">
        <f>$W$5</f>
        <v>Relative to 1.122's θ about Z Axis</v>
      </c>
      <c r="BD5" s="1104"/>
      <c r="BE5" s="1105"/>
      <c r="BF5" s="1079" t="s">
        <v>128</v>
      </c>
      <c r="BG5" s="999"/>
      <c r="BH5" s="999"/>
      <c r="BI5" s="999"/>
      <c r="BJ5" s="999"/>
      <c r="BK5" s="999"/>
      <c r="BL5" s="999"/>
      <c r="BM5" s="999"/>
      <c r="BN5" s="999"/>
      <c r="BO5" s="999"/>
      <c r="BP5" s="999"/>
      <c r="BQ5" s="999"/>
      <c r="BR5" s="1021"/>
      <c r="BS5" s="1079" t="s">
        <v>130</v>
      </c>
      <c r="BT5" s="999"/>
      <c r="BU5" s="999"/>
      <c r="BV5" s="999"/>
      <c r="BW5" s="999"/>
      <c r="BX5" s="999"/>
      <c r="BY5" s="999"/>
      <c r="BZ5" s="999"/>
      <c r="CA5" s="999"/>
      <c r="CB5" s="999"/>
      <c r="CC5" s="999"/>
      <c r="CD5" s="999"/>
      <c r="CE5" s="1021"/>
      <c r="CF5" s="1079" t="s">
        <v>138</v>
      </c>
      <c r="CG5" s="999"/>
      <c r="CH5" s="1021"/>
      <c r="CI5" s="1079" t="s">
        <v>139</v>
      </c>
      <c r="CJ5" s="999"/>
      <c r="CK5" s="999"/>
      <c r="CL5" s="999"/>
      <c r="CM5" s="999"/>
      <c r="CN5" s="1021"/>
      <c r="CO5" s="1198" t="s">
        <v>266</v>
      </c>
      <c r="CP5" s="1198" t="s">
        <v>149</v>
      </c>
      <c r="CQ5" s="1200"/>
      <c r="CR5" s="1200"/>
      <c r="CS5" s="1080"/>
      <c r="CT5" s="1200" t="s">
        <v>150</v>
      </c>
      <c r="CU5" s="990"/>
      <c r="CV5" s="1079" t="s">
        <v>161</v>
      </c>
      <c r="CW5" s="999"/>
      <c r="CX5" s="999"/>
      <c r="CY5" s="999"/>
      <c r="CZ5" s="999"/>
      <c r="DA5" s="1021"/>
      <c r="DB5" s="1079" t="s">
        <v>162</v>
      </c>
      <c r="DC5" s="999"/>
      <c r="DD5" s="999"/>
      <c r="DE5" s="999"/>
      <c r="DF5" s="999"/>
      <c r="DG5" s="999"/>
      <c r="DH5" s="1021"/>
      <c r="DI5" s="1234" t="s">
        <v>172</v>
      </c>
      <c r="DJ5" s="1234"/>
      <c r="DK5" s="1235"/>
      <c r="DL5" s="1359" t="s">
        <v>173</v>
      </c>
      <c r="DM5" s="1234"/>
      <c r="DN5" s="1360"/>
      <c r="DO5" s="1238" t="s">
        <v>174</v>
      </c>
      <c r="DP5" s="1239"/>
      <c r="DQ5" s="1239"/>
      <c r="DR5" s="1180" t="s">
        <v>186</v>
      </c>
      <c r="DS5" s="1180"/>
      <c r="DT5" s="1180"/>
      <c r="DU5" s="1180"/>
      <c r="DV5" s="1180"/>
      <c r="DW5" s="1180"/>
      <c r="DX5" s="1198" t="s">
        <v>189</v>
      </c>
      <c r="DY5" s="1041" t="s">
        <v>149</v>
      </c>
      <c r="DZ5" s="1180"/>
      <c r="EA5" s="1180"/>
      <c r="EB5" s="1180"/>
      <c r="EC5" s="1180" t="s">
        <v>150</v>
      </c>
      <c r="ED5" s="1180"/>
      <c r="EE5" s="1326" t="s">
        <v>193</v>
      </c>
      <c r="EF5" s="1326"/>
      <c r="EG5" s="1304"/>
      <c r="EH5" s="1363" t="s">
        <v>194</v>
      </c>
      <c r="EI5" s="1364"/>
      <c r="EJ5" s="1365"/>
      <c r="EK5" s="1180" t="s">
        <v>187</v>
      </c>
      <c r="EL5" s="1198"/>
      <c r="EM5" s="1079" t="s">
        <v>188</v>
      </c>
      <c r="EN5" s="999"/>
      <c r="EO5" s="999"/>
      <c r="EP5" s="999"/>
      <c r="EQ5" s="999"/>
      <c r="ER5" s="1226"/>
      <c r="ES5" s="1218" t="s">
        <v>201</v>
      </c>
      <c r="ET5" s="1200"/>
      <c r="EU5" s="1080"/>
      <c r="EV5" s="1265" t="s">
        <v>221</v>
      </c>
      <c r="EW5" s="1266"/>
      <c r="EX5" s="1266"/>
      <c r="EY5" s="1267"/>
      <c r="EZ5" s="1246" t="s">
        <v>199</v>
      </c>
      <c r="FA5" s="1075" t="s">
        <v>201</v>
      </c>
      <c r="FB5" s="1297"/>
      <c r="FC5" s="1076"/>
      <c r="FD5" s="1301" t="s">
        <v>221</v>
      </c>
      <c r="FE5" s="1302"/>
      <c r="FF5" s="1303"/>
      <c r="FJ5" s="31" t="s">
        <v>390</v>
      </c>
      <c r="FP5" s="1336"/>
      <c r="FQ5" s="31"/>
      <c r="FR5" s="31"/>
      <c r="FS5" s="31"/>
      <c r="FT5" s="31"/>
      <c r="FZ5" s="1336"/>
      <c r="GJ5" s="1313" t="s">
        <v>262</v>
      </c>
      <c r="GK5" s="1369" t="s">
        <v>260</v>
      </c>
      <c r="GL5" s="1371" t="s">
        <v>110</v>
      </c>
      <c r="GM5" s="1371" t="s">
        <v>111</v>
      </c>
      <c r="GN5" s="1372"/>
      <c r="GO5" s="1318"/>
      <c r="GP5" s="1322"/>
      <c r="GQ5" s="31"/>
      <c r="GR5" s="1098"/>
      <c r="GS5" s="1206" t="s">
        <v>244</v>
      </c>
      <c r="GT5" s="1332"/>
      <c r="GU5" s="1328" t="s">
        <v>245</v>
      </c>
      <c r="GV5" s="1329"/>
      <c r="GW5" s="1330"/>
      <c r="GX5" s="1331"/>
      <c r="GY5" s="1316" t="s">
        <v>107</v>
      </c>
      <c r="GZ5" s="982"/>
      <c r="HA5" s="1275" t="s">
        <v>244</v>
      </c>
      <c r="HB5" s="1276"/>
      <c r="HC5" s="1276"/>
      <c r="HD5" s="1277"/>
      <c r="HE5" s="1286" t="s">
        <v>245</v>
      </c>
      <c r="HF5" s="1276"/>
      <c r="HG5" s="1276"/>
      <c r="HH5" s="1287"/>
      <c r="HI5" s="1284"/>
      <c r="HM5" s="909"/>
      <c r="HS5" s="909"/>
      <c r="HT5" s="909"/>
      <c r="HU5" s="909"/>
      <c r="HV5" s="910"/>
      <c r="HW5" s="1272" t="s">
        <v>245</v>
      </c>
      <c r="HX5" s="1273"/>
      <c r="HY5" s="1271" t="s">
        <v>388</v>
      </c>
      <c r="HZ5" s="1272"/>
      <c r="IA5" s="1272"/>
      <c r="IB5" s="1273"/>
      <c r="IC5" s="1271" t="s">
        <v>254</v>
      </c>
      <c r="ID5" s="1272"/>
      <c r="IE5" s="1273"/>
      <c r="IF5" s="858"/>
    </row>
    <row r="6" spans="1:296" ht="15" customHeight="1" thickBot="1" x14ac:dyDescent="0.4">
      <c r="B6" s="1144"/>
      <c r="C6" s="1145"/>
      <c r="D6" s="1145"/>
      <c r="E6" s="1145"/>
      <c r="F6" s="1145"/>
      <c r="G6" s="1145"/>
      <c r="H6" s="1145"/>
      <c r="I6" s="1145"/>
      <c r="J6" s="1145"/>
      <c r="K6" s="1146"/>
      <c r="L6" s="1098" t="str" cm="1">
        <f t="array" ref="L6">IF(OR($K$9:$K$150="Inactive"),"Inactive Element","")</f>
        <v/>
      </c>
      <c r="M6" s="1150"/>
      <c r="N6" s="1174" t="s">
        <v>8</v>
      </c>
      <c r="O6" s="1176" t="s">
        <v>9</v>
      </c>
      <c r="P6" s="1082" t="s">
        <v>10</v>
      </c>
      <c r="Q6" s="1099" t="s">
        <v>11</v>
      </c>
      <c r="R6" s="1100"/>
      <c r="S6" s="1171" t="s">
        <v>10</v>
      </c>
      <c r="T6" s="1131" t="str">
        <f>N6</f>
        <v>X</v>
      </c>
      <c r="U6" s="1133" t="str">
        <f>O6</f>
        <v>Y</v>
      </c>
      <c r="V6" s="1166" t="str">
        <f>P6</f>
        <v>Z</v>
      </c>
      <c r="W6" s="1157" t="str">
        <f>$Q$6</f>
        <v>Projected XY</v>
      </c>
      <c r="X6" s="1158"/>
      <c r="Y6" s="1129" t="str">
        <f>$S$6</f>
        <v>Z</v>
      </c>
      <c r="Z6" s="1110" t="s">
        <v>12</v>
      </c>
      <c r="AA6" s="1111"/>
      <c r="AB6" s="1111"/>
      <c r="AC6" s="1112"/>
      <c r="AD6" s="1108" t="s">
        <v>13</v>
      </c>
      <c r="AE6" s="1107"/>
      <c r="AF6" s="1107"/>
      <c r="AG6" s="1106" t="s">
        <v>7</v>
      </c>
      <c r="AH6" s="1107"/>
      <c r="AI6" s="1108" t="s">
        <v>14</v>
      </c>
      <c r="AJ6" s="1109"/>
      <c r="AK6" s="1182" t="str">
        <f>AD6</f>
        <v>Unit Vector</v>
      </c>
      <c r="AL6" s="1183"/>
      <c r="AM6" s="1184"/>
      <c r="AN6" s="34" t="s">
        <v>15</v>
      </c>
      <c r="AO6" s="35" t="s">
        <v>16</v>
      </c>
      <c r="AP6" s="680" t="s">
        <v>17</v>
      </c>
      <c r="AQ6" s="1121" t="s">
        <v>108</v>
      </c>
      <c r="AS6" s="168">
        <f>(AS5/360)</f>
        <v>8.3333333333333328E-4</v>
      </c>
      <c r="AT6" s="414" t="s">
        <v>48</v>
      </c>
      <c r="AV6" s="1114"/>
      <c r="AW6" s="1101" t="s">
        <v>105</v>
      </c>
      <c r="AX6" s="1102"/>
      <c r="AY6" s="188" t="s">
        <v>110</v>
      </c>
      <c r="AZ6" s="1216" t="s">
        <v>111</v>
      </c>
      <c r="BA6" s="1217"/>
      <c r="BB6" s="1211"/>
      <c r="BC6" s="1157" t="str">
        <f>$Q$6</f>
        <v>Projected XY</v>
      </c>
      <c r="BD6" s="1158"/>
      <c r="BE6" s="1213" t="str">
        <f>$S$6</f>
        <v>Z</v>
      </c>
      <c r="BF6" s="1025" t="s">
        <v>125</v>
      </c>
      <c r="BG6" s="1023"/>
      <c r="BH6" s="1225"/>
      <c r="BI6" s="1003" t="s">
        <v>126</v>
      </c>
      <c r="BJ6" s="1023"/>
      <c r="BK6" s="1004"/>
      <c r="BL6" s="1026" t="s">
        <v>127</v>
      </c>
      <c r="BM6" s="1023"/>
      <c r="BN6" s="1027"/>
      <c r="BO6" s="1025" t="s">
        <v>135</v>
      </c>
      <c r="BP6" s="1023"/>
      <c r="BQ6" s="1023"/>
      <c r="BR6" s="1027"/>
      <c r="BS6" s="1025" t="s">
        <v>125</v>
      </c>
      <c r="BT6" s="1023"/>
      <c r="BU6" s="1225"/>
      <c r="BV6" s="1003" t="s">
        <v>126</v>
      </c>
      <c r="BW6" s="1023"/>
      <c r="BX6" s="1004"/>
      <c r="BY6" s="1026" t="s">
        <v>127</v>
      </c>
      <c r="BZ6" s="1023"/>
      <c r="CA6" s="1027"/>
      <c r="CB6" s="1025" t="s">
        <v>135</v>
      </c>
      <c r="CC6" s="1023"/>
      <c r="CD6" s="1023"/>
      <c r="CE6" s="1027"/>
      <c r="CF6" s="1031" t="s">
        <v>136</v>
      </c>
      <c r="CG6" s="1203"/>
      <c r="CH6" s="1203"/>
      <c r="CI6" s="1229" t="s">
        <v>137</v>
      </c>
      <c r="CJ6" s="1203"/>
      <c r="CK6" s="1032"/>
      <c r="CL6" s="1227" t="s">
        <v>140</v>
      </c>
      <c r="CM6" s="1203"/>
      <c r="CN6" s="1228"/>
      <c r="CO6" s="1199"/>
      <c r="CP6" s="1199"/>
      <c r="CQ6" s="1095"/>
      <c r="CR6" s="1095"/>
      <c r="CS6" s="1201"/>
      <c r="CT6" s="1095"/>
      <c r="CU6" s="1202"/>
      <c r="CV6" s="1173" t="s">
        <v>147</v>
      </c>
      <c r="CW6" s="1023"/>
      <c r="CX6" s="1004"/>
      <c r="CY6" s="1253" t="s">
        <v>148</v>
      </c>
      <c r="CZ6" s="1254"/>
      <c r="DA6" s="1255"/>
      <c r="DB6" s="1230" t="s">
        <v>175</v>
      </c>
      <c r="DC6" s="1231"/>
      <c r="DD6" s="1232"/>
      <c r="DE6" s="1233" t="s">
        <v>176</v>
      </c>
      <c r="DF6" s="1231"/>
      <c r="DG6" s="1232"/>
      <c r="DH6" s="242" t="s">
        <v>29</v>
      </c>
      <c r="DI6" s="1236"/>
      <c r="DJ6" s="1236"/>
      <c r="DK6" s="1237"/>
      <c r="DL6" s="1361"/>
      <c r="DM6" s="1236"/>
      <c r="DN6" s="1362"/>
      <c r="DO6" s="1240"/>
      <c r="DP6" s="1241"/>
      <c r="DQ6" s="1241"/>
      <c r="DR6" s="1181"/>
      <c r="DS6" s="1181"/>
      <c r="DT6" s="1181"/>
      <c r="DU6" s="1181"/>
      <c r="DV6" s="1181"/>
      <c r="DW6" s="1181"/>
      <c r="DX6" s="1199"/>
      <c r="DY6" s="1337"/>
      <c r="DZ6" s="1181"/>
      <c r="EA6" s="1181"/>
      <c r="EB6" s="1181"/>
      <c r="EC6" s="1181"/>
      <c r="ED6" s="1181"/>
      <c r="EE6" s="1333"/>
      <c r="EF6" s="1333"/>
      <c r="EG6" s="1334"/>
      <c r="EH6" s="1366"/>
      <c r="EI6" s="1367"/>
      <c r="EJ6" s="1368"/>
      <c r="EK6" s="1181"/>
      <c r="EL6" s="1199"/>
      <c r="EM6" s="1292" t="s">
        <v>198</v>
      </c>
      <c r="EN6" s="1259"/>
      <c r="EO6" s="1358"/>
      <c r="EP6" s="1258" t="s">
        <v>197</v>
      </c>
      <c r="EQ6" s="1259"/>
      <c r="ER6" s="1260"/>
      <c r="ES6" s="1094"/>
      <c r="ET6" s="1095"/>
      <c r="EU6" s="1201"/>
      <c r="EV6" s="263" t="s">
        <v>220</v>
      </c>
      <c r="EW6" s="1258" t="s">
        <v>201</v>
      </c>
      <c r="EX6" s="1259"/>
      <c r="EY6" s="1291"/>
      <c r="EZ6" s="1247"/>
      <c r="FA6" s="1298"/>
      <c r="FB6" s="1299"/>
      <c r="FC6" s="1300"/>
      <c r="FD6" s="1292" t="s">
        <v>201</v>
      </c>
      <c r="FE6" s="1259"/>
      <c r="FF6" s="1260"/>
      <c r="FG6" s="1294" t="s">
        <v>223</v>
      </c>
      <c r="FH6" s="1295"/>
      <c r="FI6" s="1296"/>
      <c r="FJ6" s="1180" t="s">
        <v>202</v>
      </c>
      <c r="FK6" s="1198" t="s">
        <v>213</v>
      </c>
      <c r="FL6" s="1200"/>
      <c r="FM6" s="1080"/>
      <c r="FN6" s="1256" t="s">
        <v>203</v>
      </c>
      <c r="FO6" s="1249" t="s">
        <v>226</v>
      </c>
      <c r="FP6" s="1251" t="s">
        <v>236</v>
      </c>
      <c r="FQ6" s="321" t="s">
        <v>206</v>
      </c>
      <c r="FR6" s="326" t="s">
        <v>106</v>
      </c>
      <c r="FS6" s="327" t="s">
        <v>206</v>
      </c>
      <c r="FT6" s="328" t="s">
        <v>106</v>
      </c>
      <c r="FU6" s="1077" t="s">
        <v>217</v>
      </c>
      <c r="FV6" s="1297"/>
      <c r="FW6" s="1078"/>
      <c r="FX6" s="1256" t="s">
        <v>218</v>
      </c>
      <c r="FY6" s="1249" t="s">
        <v>226</v>
      </c>
      <c r="FZ6" s="1251" t="s">
        <v>224</v>
      </c>
      <c r="GA6" s="1381" t="s">
        <v>237</v>
      </c>
      <c r="GB6" s="318" t="s">
        <v>206</v>
      </c>
      <c r="GC6" s="319" t="s">
        <v>238</v>
      </c>
      <c r="GD6" s="320" t="s">
        <v>225</v>
      </c>
      <c r="GE6" s="1311"/>
      <c r="GF6" s="1304" t="s">
        <v>256</v>
      </c>
      <c r="GG6" s="318" t="s">
        <v>206</v>
      </c>
      <c r="GH6" s="319" t="s">
        <v>238</v>
      </c>
      <c r="GI6" s="320" t="s">
        <v>225</v>
      </c>
      <c r="GJ6" s="1314"/>
      <c r="GK6" s="1370"/>
      <c r="GL6" s="1373"/>
      <c r="GM6" s="1373"/>
      <c r="GN6" s="1374"/>
      <c r="GO6" s="1319" t="s">
        <v>236</v>
      </c>
      <c r="GP6" s="1323" t="s">
        <v>224</v>
      </c>
      <c r="GQ6" s="1200" t="s">
        <v>202</v>
      </c>
      <c r="GR6" s="1098"/>
      <c r="GS6" s="1281" t="s">
        <v>248</v>
      </c>
      <c r="GT6" s="1282"/>
      <c r="GU6" s="1274" t="s">
        <v>247</v>
      </c>
      <c r="GV6" s="1254"/>
      <c r="GW6" s="1254"/>
      <c r="GX6" s="340" t="s">
        <v>106</v>
      </c>
      <c r="GY6" s="1003" t="s">
        <v>246</v>
      </c>
      <c r="GZ6" s="1225"/>
      <c r="HA6" s="1261" t="s">
        <v>248</v>
      </c>
      <c r="HB6" s="1231"/>
      <c r="HC6" s="1231"/>
      <c r="HD6" s="1232"/>
      <c r="HE6" s="1003" t="s">
        <v>247</v>
      </c>
      <c r="HF6" s="1023"/>
      <c r="HG6" s="1023"/>
      <c r="HH6" s="1027"/>
      <c r="HI6" s="1284"/>
      <c r="HM6" s="915" t="s">
        <v>392</v>
      </c>
      <c r="HN6" s="1244" t="s">
        <v>393</v>
      </c>
      <c r="HO6" s="1244"/>
      <c r="HP6" s="1244"/>
      <c r="HQ6" s="1244"/>
      <c r="HR6" s="1245"/>
      <c r="HS6" s="1219" t="s">
        <v>105</v>
      </c>
      <c r="HT6" s="1220"/>
      <c r="HU6" s="1220"/>
      <c r="HV6" s="1355"/>
      <c r="HW6" s="891" t="e">
        <f>AVERAGE(HW$9:HW$150)</f>
        <v>#DIV/0!</v>
      </c>
      <c r="HX6" s="892">
        <f t="shared" ref="HX6:IE6" si="0">SUM(HX$9:HX$150)</f>
        <v>0</v>
      </c>
      <c r="HY6" s="893">
        <f t="shared" si="0"/>
        <v>0</v>
      </c>
      <c r="HZ6" s="894">
        <f t="shared" si="0"/>
        <v>0</v>
      </c>
      <c r="IA6" s="895">
        <f t="shared" si="0"/>
        <v>0</v>
      </c>
      <c r="IB6" s="896">
        <f t="shared" si="0"/>
        <v>0</v>
      </c>
      <c r="IC6" s="903">
        <f t="shared" si="0"/>
        <v>0</v>
      </c>
      <c r="ID6" s="904">
        <f t="shared" si="0"/>
        <v>0</v>
      </c>
      <c r="IE6" s="904">
        <f t="shared" si="0"/>
        <v>0</v>
      </c>
      <c r="IF6" s="858"/>
      <c r="IG6" s="794"/>
      <c r="IH6" s="794"/>
      <c r="KD6">
        <v>0.71</v>
      </c>
    </row>
    <row r="7" spans="1:296" ht="15" customHeight="1" thickTop="1" thickBot="1" x14ac:dyDescent="0.4">
      <c r="A7" s="139" t="s">
        <v>402</v>
      </c>
      <c r="B7" s="1161" t="s">
        <v>40</v>
      </c>
      <c r="C7" s="1162"/>
      <c r="D7" s="1163"/>
      <c r="E7" s="1164" t="s">
        <v>41</v>
      </c>
      <c r="F7" s="1162"/>
      <c r="G7" s="1165"/>
      <c r="H7" s="1136" t="s">
        <v>98</v>
      </c>
      <c r="I7" s="1137"/>
      <c r="J7" s="1138"/>
      <c r="K7" s="169"/>
      <c r="L7" s="1098"/>
      <c r="M7" s="1156"/>
      <c r="N7" s="1175"/>
      <c r="O7" s="1177"/>
      <c r="P7" s="1083"/>
      <c r="Q7" s="36" t="s">
        <v>18</v>
      </c>
      <c r="R7" s="2" t="s">
        <v>19</v>
      </c>
      <c r="S7" s="1172"/>
      <c r="T7" s="1132"/>
      <c r="U7" s="1134"/>
      <c r="V7" s="1167"/>
      <c r="W7" s="37" t="str">
        <f>$Q$7</f>
        <v>&lt; θ°</v>
      </c>
      <c r="X7" s="27" t="str">
        <f>$R$7</f>
        <v>r</v>
      </c>
      <c r="Y7" s="1130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122"/>
      <c r="AS7" s="1127" t="s">
        <v>54</v>
      </c>
      <c r="AT7" s="1125" t="s">
        <v>53</v>
      </c>
      <c r="AV7" s="1114"/>
      <c r="AW7" s="192" t="s">
        <v>114</v>
      </c>
      <c r="AX7" s="193" t="s">
        <v>10</v>
      </c>
      <c r="AY7" s="194" t="s">
        <v>49</v>
      </c>
      <c r="AZ7" s="292" t="s">
        <v>50</v>
      </c>
      <c r="BA7" s="293" t="s">
        <v>51</v>
      </c>
      <c r="BB7" s="1211"/>
      <c r="BC7" s="37" t="str">
        <f>$Q$7</f>
        <v>&lt; θ°</v>
      </c>
      <c r="BD7" s="27" t="str">
        <f>$R$7</f>
        <v>r</v>
      </c>
      <c r="BE7" s="1214"/>
      <c r="BF7" s="212" t="s">
        <v>119</v>
      </c>
      <c r="BG7" s="127" t="s">
        <v>120</v>
      </c>
      <c r="BH7" s="213" t="s">
        <v>121</v>
      </c>
      <c r="BI7" s="104" t="s">
        <v>116</v>
      </c>
      <c r="BJ7" s="127" t="s">
        <v>118</v>
      </c>
      <c r="BK7" s="105" t="s">
        <v>117</v>
      </c>
      <c r="BL7" s="128" t="s">
        <v>122</v>
      </c>
      <c r="BM7" s="127" t="s">
        <v>123</v>
      </c>
      <c r="BN7" s="123" t="s">
        <v>124</v>
      </c>
      <c r="BO7" s="212" t="s">
        <v>131</v>
      </c>
      <c r="BP7" s="127" t="s">
        <v>132</v>
      </c>
      <c r="BQ7" s="127" t="s">
        <v>133</v>
      </c>
      <c r="BR7" s="123" t="s">
        <v>134</v>
      </c>
      <c r="BS7" s="212" t="s">
        <v>119</v>
      </c>
      <c r="BT7" s="127" t="s">
        <v>120</v>
      </c>
      <c r="BU7" s="213" t="s">
        <v>121</v>
      </c>
      <c r="BV7" s="104" t="s">
        <v>116</v>
      </c>
      <c r="BW7" s="127" t="s">
        <v>118</v>
      </c>
      <c r="BX7" s="105" t="s">
        <v>117</v>
      </c>
      <c r="BY7" s="128" t="s">
        <v>122</v>
      </c>
      <c r="BZ7" s="127" t="s">
        <v>123</v>
      </c>
      <c r="CA7" s="123" t="s">
        <v>124</v>
      </c>
      <c r="CB7" s="212" t="s">
        <v>131</v>
      </c>
      <c r="CC7" s="127" t="s">
        <v>132</v>
      </c>
      <c r="CD7" s="127" t="s">
        <v>133</v>
      </c>
      <c r="CE7" s="123" t="s">
        <v>134</v>
      </c>
      <c r="CF7" s="212" t="s">
        <v>131</v>
      </c>
      <c r="CG7" s="127" t="s">
        <v>132</v>
      </c>
      <c r="CH7" s="127" t="s">
        <v>133</v>
      </c>
      <c r="CI7" s="212" t="s">
        <v>8</v>
      </c>
      <c r="CJ7" s="127" t="s">
        <v>9</v>
      </c>
      <c r="CK7" s="105" t="s">
        <v>10</v>
      </c>
      <c r="CL7" s="128" t="s">
        <v>8</v>
      </c>
      <c r="CM7" s="127" t="s">
        <v>9</v>
      </c>
      <c r="CN7" s="123" t="s">
        <v>10</v>
      </c>
      <c r="CO7" s="215" t="s">
        <v>19</v>
      </c>
      <c r="CP7" s="220" t="s">
        <v>141</v>
      </c>
      <c r="CQ7" s="240" t="s">
        <v>142</v>
      </c>
      <c r="CR7" s="240" t="s">
        <v>143</v>
      </c>
      <c r="CS7" s="241" t="s">
        <v>144</v>
      </c>
      <c r="CT7" s="229" t="s">
        <v>145</v>
      </c>
      <c r="CU7" s="221" t="s">
        <v>146</v>
      </c>
      <c r="CV7" s="200" t="s">
        <v>8</v>
      </c>
      <c r="CW7" s="201" t="s">
        <v>9</v>
      </c>
      <c r="CX7" s="49" t="s">
        <v>10</v>
      </c>
      <c r="CY7" s="48" t="s">
        <v>8</v>
      </c>
      <c r="CZ7" s="201" t="s">
        <v>9</v>
      </c>
      <c r="DA7" s="202" t="s">
        <v>10</v>
      </c>
      <c r="DB7" s="200" t="s">
        <v>8</v>
      </c>
      <c r="DC7" s="201" t="s">
        <v>9</v>
      </c>
      <c r="DD7" s="207" t="s">
        <v>10</v>
      </c>
      <c r="DE7" s="48" t="s">
        <v>8</v>
      </c>
      <c r="DF7" s="201" t="s">
        <v>9</v>
      </c>
      <c r="DG7" s="207" t="s">
        <v>10</v>
      </c>
      <c r="DH7" s="231" t="s">
        <v>19</v>
      </c>
      <c r="DI7" s="220" t="s">
        <v>177</v>
      </c>
      <c r="DJ7" s="240" t="s">
        <v>178</v>
      </c>
      <c r="DK7" s="235" t="s">
        <v>179</v>
      </c>
      <c r="DL7" s="239" t="s">
        <v>180</v>
      </c>
      <c r="DM7" s="240" t="s">
        <v>181</v>
      </c>
      <c r="DN7" s="241" t="s">
        <v>182</v>
      </c>
      <c r="DO7" s="229" t="s">
        <v>183</v>
      </c>
      <c r="DP7" s="240" t="s">
        <v>184</v>
      </c>
      <c r="DQ7" s="221" t="s">
        <v>185</v>
      </c>
      <c r="DR7" s="229" t="s">
        <v>163</v>
      </c>
      <c r="DS7" s="240" t="s">
        <v>164</v>
      </c>
      <c r="DT7" s="240" t="s">
        <v>165</v>
      </c>
      <c r="DU7" s="240" t="s">
        <v>166</v>
      </c>
      <c r="DV7" s="240" t="s">
        <v>167</v>
      </c>
      <c r="DW7" s="240" t="s">
        <v>168</v>
      </c>
      <c r="DX7" s="243" t="s">
        <v>169</v>
      </c>
      <c r="DY7" s="239" t="s">
        <v>141</v>
      </c>
      <c r="DZ7" s="240" t="s">
        <v>142</v>
      </c>
      <c r="EA7" s="235" t="s">
        <v>143</v>
      </c>
      <c r="EB7" s="221" t="s">
        <v>144</v>
      </c>
      <c r="EC7" s="229" t="s">
        <v>190</v>
      </c>
      <c r="ED7" s="240" t="s">
        <v>191</v>
      </c>
      <c r="EE7" s="212" t="s">
        <v>8</v>
      </c>
      <c r="EF7" s="127" t="s">
        <v>9</v>
      </c>
      <c r="EG7" s="213" t="s">
        <v>10</v>
      </c>
      <c r="EH7" s="104" t="s">
        <v>8</v>
      </c>
      <c r="EI7" s="127" t="s">
        <v>9</v>
      </c>
      <c r="EJ7" s="123" t="s">
        <v>10</v>
      </c>
      <c r="EK7" s="220" t="s">
        <v>170</v>
      </c>
      <c r="EL7" s="235" t="s">
        <v>171</v>
      </c>
      <c r="EM7" s="212" t="s">
        <v>8</v>
      </c>
      <c r="EN7" s="127" t="s">
        <v>9</v>
      </c>
      <c r="EO7" s="213" t="s">
        <v>10</v>
      </c>
      <c r="EP7" s="36" t="s">
        <v>18</v>
      </c>
      <c r="EQ7" s="2" t="s">
        <v>19</v>
      </c>
      <c r="ER7" s="251" t="s">
        <v>10</v>
      </c>
      <c r="ES7" s="250" t="s">
        <v>8</v>
      </c>
      <c r="ET7" s="127" t="s">
        <v>9</v>
      </c>
      <c r="EU7" s="213" t="s">
        <v>10</v>
      </c>
      <c r="EV7" s="265" t="s">
        <v>222</v>
      </c>
      <c r="EW7" s="104" t="s">
        <v>8</v>
      </c>
      <c r="EX7" s="127" t="s">
        <v>9</v>
      </c>
      <c r="EY7" s="123" t="s">
        <v>10</v>
      </c>
      <c r="EZ7" s="1248"/>
      <c r="FA7" s="104" t="s">
        <v>8</v>
      </c>
      <c r="FB7" s="127" t="s">
        <v>9</v>
      </c>
      <c r="FC7" s="123" t="s">
        <v>10</v>
      </c>
      <c r="FD7" s="104" t="s">
        <v>8</v>
      </c>
      <c r="FE7" s="127" t="s">
        <v>9</v>
      </c>
      <c r="FF7" s="253" t="s">
        <v>10</v>
      </c>
      <c r="FG7" s="329" t="s">
        <v>207</v>
      </c>
      <c r="FH7" s="330" t="s">
        <v>208</v>
      </c>
      <c r="FI7" s="331" t="s">
        <v>209</v>
      </c>
      <c r="FJ7" s="1293"/>
      <c r="FK7" s="358" t="s">
        <v>210</v>
      </c>
      <c r="FL7" s="361" t="s">
        <v>211</v>
      </c>
      <c r="FM7" s="907" t="s">
        <v>212</v>
      </c>
      <c r="FN7" s="1257"/>
      <c r="FO7" s="1250"/>
      <c r="FP7" s="1252"/>
      <c r="FQ7" s="332" t="s">
        <v>231</v>
      </c>
      <c r="FR7" s="333" t="s">
        <v>232</v>
      </c>
      <c r="FS7" s="334" t="s">
        <v>229</v>
      </c>
      <c r="FT7" s="335" t="s">
        <v>230</v>
      </c>
      <c r="FU7" s="212" t="s">
        <v>214</v>
      </c>
      <c r="FV7" s="127" t="s">
        <v>215</v>
      </c>
      <c r="FW7" s="105" t="s">
        <v>216</v>
      </c>
      <c r="FX7" s="1257"/>
      <c r="FY7" s="1250"/>
      <c r="FZ7" s="1252"/>
      <c r="GA7" s="1382"/>
      <c r="GB7" s="212" t="s">
        <v>231</v>
      </c>
      <c r="GC7" s="127" t="s">
        <v>232</v>
      </c>
      <c r="GD7" s="213" t="s">
        <v>233</v>
      </c>
      <c r="GE7" s="1312"/>
      <c r="GF7" s="1305"/>
      <c r="GG7" s="212" t="s">
        <v>229</v>
      </c>
      <c r="GH7" s="127" t="s">
        <v>230</v>
      </c>
      <c r="GI7" s="213" t="s">
        <v>234</v>
      </c>
      <c r="GJ7" s="355" t="s">
        <v>261</v>
      </c>
      <c r="GK7" s="352" t="s">
        <v>252</v>
      </c>
      <c r="GL7" s="353" t="s">
        <v>49</v>
      </c>
      <c r="GM7" s="356" t="s">
        <v>50</v>
      </c>
      <c r="GN7" s="357" t="s">
        <v>51</v>
      </c>
      <c r="GO7" s="1320"/>
      <c r="GP7" s="1324"/>
      <c r="GQ7" s="1325"/>
      <c r="GR7" s="1327"/>
      <c r="GS7" s="212" t="s">
        <v>249</v>
      </c>
      <c r="GT7" s="105" t="s">
        <v>253</v>
      </c>
      <c r="GU7" s="104" t="s">
        <v>250</v>
      </c>
      <c r="GV7" s="314" t="s">
        <v>253</v>
      </c>
      <c r="GW7" s="337" t="s">
        <v>243</v>
      </c>
      <c r="GX7" s="338" t="s">
        <v>239</v>
      </c>
      <c r="GY7" s="104" t="s">
        <v>251</v>
      </c>
      <c r="GZ7" s="213" t="s">
        <v>253</v>
      </c>
      <c r="HA7" s="358" t="s">
        <v>253</v>
      </c>
      <c r="HB7" s="361" t="s">
        <v>263</v>
      </c>
      <c r="HC7" s="361" t="s">
        <v>264</v>
      </c>
      <c r="HD7" s="333" t="s">
        <v>265</v>
      </c>
      <c r="HE7" s="334" t="s">
        <v>253</v>
      </c>
      <c r="HF7" s="361" t="s">
        <v>263</v>
      </c>
      <c r="HG7" s="361" t="s">
        <v>264</v>
      </c>
      <c r="HH7" s="335" t="s">
        <v>265</v>
      </c>
      <c r="HI7" s="1285"/>
      <c r="HJ7" s="31"/>
      <c r="HK7" s="820" t="s">
        <v>244</v>
      </c>
      <c r="HL7" s="823" t="s">
        <v>386</v>
      </c>
      <c r="HM7" s="911" t="s">
        <v>259</v>
      </c>
      <c r="HN7" s="928" t="s">
        <v>395</v>
      </c>
      <c r="HO7" s="1242" t="s">
        <v>394</v>
      </c>
      <c r="HP7" s="1243"/>
      <c r="HQ7" s="1302" t="s">
        <v>390</v>
      </c>
      <c r="HR7" s="1303"/>
      <c r="HS7" s="897" t="s">
        <v>29</v>
      </c>
      <c r="HT7" s="898" t="s">
        <v>110</v>
      </c>
      <c r="HU7" s="1356" t="s">
        <v>391</v>
      </c>
      <c r="HV7" s="1357"/>
      <c r="HW7" s="824" t="s">
        <v>258</v>
      </c>
      <c r="HX7" s="862" t="s">
        <v>106</v>
      </c>
      <c r="HY7" s="863" t="s">
        <v>244</v>
      </c>
      <c r="HZ7" s="864" t="s">
        <v>245</v>
      </c>
      <c r="IA7" s="869" t="s">
        <v>107</v>
      </c>
      <c r="IB7" s="865" t="s">
        <v>384</v>
      </c>
      <c r="IC7" s="905" t="s">
        <v>244</v>
      </c>
      <c r="ID7" s="864" t="s">
        <v>245</v>
      </c>
      <c r="IE7" s="862" t="s">
        <v>107</v>
      </c>
      <c r="IF7" s="858"/>
      <c r="IG7" s="785" t="s">
        <v>359</v>
      </c>
      <c r="IH7" s="319" t="s">
        <v>377</v>
      </c>
      <c r="II7" s="1029" t="s">
        <v>33</v>
      </c>
      <c r="IJ7" s="1268" t="s">
        <v>376</v>
      </c>
      <c r="IK7" s="1025" t="s">
        <v>324</v>
      </c>
      <c r="IL7" s="1026"/>
      <c r="IM7" s="1026"/>
      <c r="IN7" s="1023"/>
      <c r="IO7" s="1023"/>
      <c r="IP7" s="1023"/>
      <c r="IQ7" s="1004"/>
      <c r="IR7" s="1003" t="s">
        <v>320</v>
      </c>
      <c r="IS7" s="1023"/>
      <c r="IT7" s="1023"/>
      <c r="IU7" s="1023"/>
      <c r="IV7" s="1023"/>
      <c r="IW7" s="1003" t="s">
        <v>319</v>
      </c>
      <c r="IX7" s="1023"/>
      <c r="IY7" s="1023"/>
      <c r="IZ7" s="1023"/>
      <c r="JA7" s="1004"/>
      <c r="JC7" s="725"/>
      <c r="JD7" s="1087" t="s">
        <v>355</v>
      </c>
      <c r="JE7" s="1087"/>
      <c r="JF7" s="1087"/>
      <c r="JG7" s="1088"/>
      <c r="JH7" s="786"/>
      <c r="JI7" s="786"/>
      <c r="JY7">
        <v>14.75</v>
      </c>
    </row>
    <row r="8" spans="1:296" ht="15" customHeight="1" thickTop="1" thickBot="1" x14ac:dyDescent="0.4">
      <c r="A8" s="103" t="s">
        <v>9</v>
      </c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0" t="s">
        <v>386</v>
      </c>
      <c r="L8" s="1098"/>
      <c r="M8" s="411" cm="1">
        <f t="array" ref="M8">IF(AND(ISNUMBER('SN#.Run#'!$P$1),COUNT($M$9:$M$150)&gt;='SN#.Run#'!$P$1),INDEX($M$9:$M$150,'SN#.Run#'!$P$1),"")</f>
        <v>1.1220000000000001</v>
      </c>
      <c r="N8" s="551"/>
      <c r="O8" s="552"/>
      <c r="P8" s="562"/>
      <c r="Q8" s="554">
        <f>IFERROR(INDEX(Q$9:Q$150,MATCH($M$8,$M$9:$M$150,0)),"")</f>
        <v>88.296739230325016</v>
      </c>
      <c r="R8" s="552"/>
      <c r="S8" s="565"/>
      <c r="T8" s="556"/>
      <c r="U8" s="552"/>
      <c r="V8" s="557"/>
      <c r="W8" s="558"/>
      <c r="X8" s="552"/>
      <c r="Y8" s="721">
        <f>IFERROR(INDEX(Y$9:Y$150,MATCH($M$8,$M$9:$M$150,0)),"")</f>
        <v>-0.23470855742453181</v>
      </c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128"/>
      <c r="AT8" s="1126"/>
      <c r="AV8" s="195"/>
      <c r="AW8" s="196"/>
      <c r="AX8" s="197"/>
      <c r="AY8" s="198"/>
      <c r="AZ8" s="294"/>
      <c r="BA8" s="295"/>
      <c r="BB8" s="289"/>
      <c r="BC8" s="42"/>
      <c r="BD8" s="41"/>
      <c r="BE8" s="43"/>
      <c r="BF8" s="203"/>
      <c r="BG8" s="204"/>
      <c r="BH8" s="208"/>
      <c r="BI8" s="210"/>
      <c r="BJ8" s="205"/>
      <c r="BK8" s="211"/>
      <c r="BL8" s="209"/>
      <c r="BM8" s="205"/>
      <c r="BN8" s="206"/>
      <c r="BO8" s="217"/>
      <c r="BP8" s="205"/>
      <c r="BQ8" s="205"/>
      <c r="BR8" s="206"/>
      <c r="BS8" s="203"/>
      <c r="BT8" s="204"/>
      <c r="BU8" s="208"/>
      <c r="BV8" s="210"/>
      <c r="BW8" s="205"/>
      <c r="BX8" s="211"/>
      <c r="BY8" s="209"/>
      <c r="BZ8" s="205"/>
      <c r="CA8" s="206"/>
      <c r="CB8" s="217"/>
      <c r="CC8" s="205"/>
      <c r="CD8" s="205"/>
      <c r="CE8" s="206"/>
      <c r="CF8" s="217"/>
      <c r="CG8" s="205"/>
      <c r="CH8" s="205"/>
      <c r="CI8" s="217"/>
      <c r="CJ8" s="205"/>
      <c r="CK8" s="211"/>
      <c r="CL8" s="209"/>
      <c r="CM8" s="205"/>
      <c r="CN8" s="206"/>
      <c r="CO8" s="216"/>
      <c r="CP8" s="224"/>
      <c r="CQ8" s="225"/>
      <c r="CR8" s="225"/>
      <c r="CS8" s="226"/>
      <c r="CT8" s="222"/>
      <c r="CU8" s="223"/>
      <c r="CV8" s="224"/>
      <c r="CW8" s="225"/>
      <c r="CX8" s="226"/>
      <c r="CY8" s="222"/>
      <c r="CZ8" s="225"/>
      <c r="DA8" s="223"/>
      <c r="DB8" s="224"/>
      <c r="DC8" s="225"/>
      <c r="DD8" s="230"/>
      <c r="DE8" s="222"/>
      <c r="DF8" s="225"/>
      <c r="DG8" s="230"/>
      <c r="DH8" s="232"/>
      <c r="DI8" s="224"/>
      <c r="DJ8" s="225"/>
      <c r="DK8" s="230"/>
      <c r="DL8" s="222"/>
      <c r="DM8" s="234"/>
      <c r="DN8" s="233"/>
      <c r="DO8" s="234"/>
      <c r="DP8" s="234"/>
      <c r="DQ8" s="237"/>
      <c r="DR8" s="234"/>
      <c r="DS8" s="225"/>
      <c r="DT8" s="225"/>
      <c r="DU8" s="225"/>
      <c r="DV8" s="225"/>
      <c r="DW8" s="225"/>
      <c r="DX8" s="244"/>
      <c r="DY8" s="222"/>
      <c r="DZ8" s="225"/>
      <c r="EA8" s="230"/>
      <c r="EB8" s="223"/>
      <c r="EC8" s="234"/>
      <c r="ED8" s="225"/>
      <c r="EE8" s="224"/>
      <c r="EF8" s="225"/>
      <c r="EG8" s="230"/>
      <c r="EH8" s="222"/>
      <c r="EI8" s="225"/>
      <c r="EJ8" s="223"/>
      <c r="EK8" s="224"/>
      <c r="EL8" s="223"/>
      <c r="EM8" s="224"/>
      <c r="EN8" s="225"/>
      <c r="EO8" s="230"/>
      <c r="EP8" s="42"/>
      <c r="EQ8" s="41"/>
      <c r="ER8" s="44"/>
      <c r="ES8" s="248"/>
      <c r="ET8" s="225"/>
      <c r="EU8" s="230"/>
      <c r="EV8" s="264"/>
      <c r="EW8" s="222"/>
      <c r="EX8" s="225"/>
      <c r="EY8" s="223"/>
      <c r="EZ8" s="249"/>
      <c r="FA8" s="234"/>
      <c r="FB8" s="225"/>
      <c r="FC8" s="223"/>
      <c r="FD8" s="222"/>
      <c r="FE8" s="225"/>
      <c r="FF8" s="254"/>
      <c r="FG8" s="234"/>
      <c r="FH8" s="205"/>
      <c r="FI8" s="271"/>
      <c r="FJ8" s="278"/>
      <c r="FK8" s="217"/>
      <c r="FL8" s="205"/>
      <c r="FM8" s="211"/>
      <c r="FN8" s="210"/>
      <c r="FO8" s="271"/>
      <c r="FP8" s="275"/>
      <c r="FQ8" s="209"/>
      <c r="FR8" s="271"/>
      <c r="FS8" s="282"/>
      <c r="FT8" s="283"/>
      <c r="FU8" s="217"/>
      <c r="FV8" s="205"/>
      <c r="FW8" s="211"/>
      <c r="FX8" s="210"/>
      <c r="FY8" s="271"/>
      <c r="FZ8" s="275"/>
      <c r="GA8" s="252"/>
      <c r="GB8" s="300"/>
      <c r="GC8" s="252"/>
      <c r="GD8" s="252"/>
      <c r="GE8" s="301"/>
      <c r="GF8" s="252"/>
      <c r="GG8" s="284"/>
      <c r="GH8" s="287"/>
      <c r="GI8" s="312"/>
      <c r="GJ8" s="354"/>
      <c r="GK8" s="324"/>
      <c r="GL8" s="324"/>
      <c r="GM8" s="282"/>
      <c r="GN8" s="283"/>
      <c r="GO8" s="284"/>
      <c r="GP8" s="313"/>
      <c r="GQ8" s="252"/>
      <c r="GR8" s="370"/>
      <c r="GS8" s="284"/>
      <c r="GT8" s="313"/>
      <c r="GU8" s="282"/>
      <c r="GV8" s="287"/>
      <c r="GW8" s="312"/>
      <c r="GX8" s="339"/>
      <c r="GY8" s="282"/>
      <c r="GZ8" s="312"/>
      <c r="HA8" s="359">
        <f>SQRT(HC8^2+HD8^2)</f>
        <v>0</v>
      </c>
      <c r="HB8" s="360" t="str">
        <f>IFERROR(IF((DEGREES(ATAN2(HC8,HD8)))&lt;0,(360+(DEGREES(ATAN2(HC8,HD8)))),(DEGREES(ATAN2(HC8,HD8)))),"")</f>
        <v/>
      </c>
      <c r="HC8" s="360">
        <f>SUM(HC9:HC150)</f>
        <v>0</v>
      </c>
      <c r="HD8" s="364">
        <f>SUM(HD9:HD150)</f>
        <v>0</v>
      </c>
      <c r="HE8" s="366">
        <f>SQRT(HG8^2+HH8^2)</f>
        <v>0</v>
      </c>
      <c r="HF8" s="360" t="str">
        <f>IFERROR(IF((DEGREES(ATAN2(HG8,HH8)))&lt;0,(360+(DEGREES(ATAN2(HG8,HH8)))),(DEGREES(ATAN2(HG8,HH8)))),"")</f>
        <v/>
      </c>
      <c r="HG8" s="360">
        <f>SUM(HG9:HG150)</f>
        <v>0</v>
      </c>
      <c r="HH8" s="367">
        <f>SUM(HH9:HH150)</f>
        <v>0</v>
      </c>
      <c r="HI8" s="316"/>
      <c r="HK8" s="821" t="s">
        <v>387</v>
      </c>
      <c r="HL8" s="825" t="s">
        <v>33</v>
      </c>
      <c r="HM8" s="912" t="str">
        <f>"@ 0 IPR"</f>
        <v>@ 0 IPR</v>
      </c>
      <c r="HN8" s="913" t="str">
        <f>"@ 0 IPR"</f>
        <v>@ 0 IPR</v>
      </c>
      <c r="HO8" s="916" t="str">
        <f>"@ 0 IPR"</f>
        <v>@ 0 IPR</v>
      </c>
      <c r="HP8" s="914" t="str">
        <f>"@ IDS"</f>
        <v>@ IDS</v>
      </c>
      <c r="HQ8" s="913" t="str">
        <f>"@ 0 IPR"</f>
        <v>@ 0 IPR</v>
      </c>
      <c r="HR8" s="908" t="str">
        <f>"@ IDS"</f>
        <v>@ IDS</v>
      </c>
      <c r="HS8" s="899" t="s">
        <v>261</v>
      </c>
      <c r="HT8" s="900" t="s">
        <v>49</v>
      </c>
      <c r="HU8" s="901" t="s">
        <v>50</v>
      </c>
      <c r="HV8" s="902" t="s">
        <v>51</v>
      </c>
      <c r="HW8" s="853" t="s">
        <v>243</v>
      </c>
      <c r="HX8" s="866" t="s">
        <v>239</v>
      </c>
      <c r="HY8" s="867" t="s">
        <v>249</v>
      </c>
      <c r="HZ8" s="868" t="s">
        <v>250</v>
      </c>
      <c r="IA8" s="870" t="s">
        <v>251</v>
      </c>
      <c r="IB8" s="872" t="s">
        <v>385</v>
      </c>
      <c r="IC8" s="906" t="s">
        <v>240</v>
      </c>
      <c r="ID8" s="868" t="s">
        <v>241</v>
      </c>
      <c r="IE8" s="822" t="s">
        <v>242</v>
      </c>
      <c r="IF8" s="858"/>
      <c r="IG8" s="793">
        <v>0.75</v>
      </c>
      <c r="IH8" s="799">
        <v>-6.25E-2</v>
      </c>
      <c r="II8" s="1270"/>
      <c r="IJ8" s="1269"/>
      <c r="IK8" s="212" t="s">
        <v>314</v>
      </c>
      <c r="IL8" s="128" t="s">
        <v>347</v>
      </c>
      <c r="IM8" s="128" t="s">
        <v>348</v>
      </c>
      <c r="IN8" s="127" t="s">
        <v>315</v>
      </c>
      <c r="IO8" s="700" t="s">
        <v>321</v>
      </c>
      <c r="IP8" s="127" t="s">
        <v>47</v>
      </c>
      <c r="IQ8" s="712" t="s">
        <v>46</v>
      </c>
      <c r="IR8" s="104" t="s">
        <v>351</v>
      </c>
      <c r="IS8" s="127" t="s">
        <v>316</v>
      </c>
      <c r="IT8" s="127" t="s">
        <v>317</v>
      </c>
      <c r="IU8" s="127" t="s">
        <v>318</v>
      </c>
      <c r="IV8" s="127" t="s">
        <v>26</v>
      </c>
      <c r="IW8" s="104" t="s">
        <v>351</v>
      </c>
      <c r="IX8" s="127" t="s">
        <v>316</v>
      </c>
      <c r="IY8" s="127" t="s">
        <v>317</v>
      </c>
      <c r="IZ8" s="127" t="s">
        <v>318</v>
      </c>
      <c r="JA8" s="105" t="s">
        <v>26</v>
      </c>
      <c r="JC8" s="726" t="s">
        <v>352</v>
      </c>
      <c r="JD8" s="724" t="s">
        <v>379</v>
      </c>
      <c r="JE8" s="707"/>
      <c r="JF8" s="707"/>
      <c r="JG8" s="53"/>
      <c r="JH8" s="31"/>
      <c r="JI8" s="31"/>
      <c r="JM8" t="s">
        <v>387</v>
      </c>
      <c r="JN8" s="31" t="s">
        <v>405</v>
      </c>
      <c r="JO8" s="31" t="s">
        <v>404</v>
      </c>
      <c r="JP8" s="31" t="s">
        <v>26</v>
      </c>
      <c r="JQ8" s="31" t="s">
        <v>403</v>
      </c>
      <c r="JS8" s="31" t="s">
        <v>387</v>
      </c>
      <c r="JT8" s="31" t="s">
        <v>404</v>
      </c>
      <c r="JU8" s="31" t="s">
        <v>405</v>
      </c>
      <c r="JV8" s="31" t="s">
        <v>26</v>
      </c>
      <c r="JW8" s="31" t="s">
        <v>403</v>
      </c>
      <c r="KB8" s="31" t="s">
        <v>387</v>
      </c>
      <c r="KC8" s="718" t="s">
        <v>26</v>
      </c>
      <c r="KD8" s="718" t="s">
        <v>26</v>
      </c>
      <c r="KE8" s="969"/>
      <c r="KF8" s="967" t="s">
        <v>403</v>
      </c>
      <c r="KG8" s="31"/>
      <c r="KI8" s="31"/>
      <c r="KJ8" s="31"/>
    </row>
    <row r="9" spans="1:296" ht="15" customHeight="1" thickTop="1" x14ac:dyDescent="0.25">
      <c r="A9" s="75">
        <f t="shared" ref="A9:A40" si="1">IF($K9="","",IF(AND($A$8="Y",ISNUMBER($K9)),$A$5,0))</f>
        <v>0.02</v>
      </c>
      <c r="B9" s="640">
        <f t="shared" ref="B9:D9" si="2">IFERROR(O164+($A9*-E9),"")</f>
        <v>1.8793852760466693E-2</v>
      </c>
      <c r="C9" s="641">
        <f t="shared" si="2"/>
        <v>0.2969713163690112</v>
      </c>
      <c r="D9" s="642">
        <f t="shared" si="2"/>
        <v>-0.5163088582028299</v>
      </c>
      <c r="E9" s="643">
        <f t="shared" ref="E9:K9" si="3">R164</f>
        <v>-0.93969263802333458</v>
      </c>
      <c r="F9" s="641">
        <f t="shared" si="3"/>
        <v>-8.8521302156295598E-2</v>
      </c>
      <c r="G9" s="644">
        <f t="shared" si="3"/>
        <v>0.33036604714967338</v>
      </c>
      <c r="H9" s="643">
        <f t="shared" si="3"/>
        <v>0.26450000000000001</v>
      </c>
      <c r="I9" s="641">
        <f t="shared" si="3"/>
        <v>0.52</v>
      </c>
      <c r="J9" s="940">
        <f>IF(W164=0,"",W164)</f>
        <v>1.101</v>
      </c>
      <c r="K9" s="805">
        <f t="shared" si="3"/>
        <v>1313</v>
      </c>
      <c r="M9" s="163">
        <f t="shared" ref="M9:M40" si="4">IF(J9="","",VALUE(J9))</f>
        <v>1.101</v>
      </c>
      <c r="N9" s="566">
        <f t="shared" ref="N9:N40" si="5">IF(M9="","",B9)</f>
        <v>1.8793852760466693E-2</v>
      </c>
      <c r="O9" s="567">
        <f t="shared" ref="O9:O40" si="6">IF(M9="","",C9)</f>
        <v>0.2969713163690112</v>
      </c>
      <c r="P9" s="568">
        <f t="shared" ref="P9:P40" si="7">IF(M9="","",D9)</f>
        <v>-0.5163088582028299</v>
      </c>
      <c r="Q9" s="526">
        <f>IF(M9="","",IF(DEGREES(ATAN2(N9,O9))&lt;0,DEGREES(ATAN2(N9,O9))+360,IF(DEGREES(ATAN2(N9,O9))&gt;360,DEGREES(ATAN2(N9,O9))-360,DEGREES(ATAN2(N9,O9)))))</f>
        <v>86.378861224617864</v>
      </c>
      <c r="R9" s="567">
        <f>IF(M9="","",SQRT(N9^2+O9^2))</f>
        <v>0.29756540734353759</v>
      </c>
      <c r="S9" s="569">
        <f>IF(M9="","",P9)</f>
        <v>-0.5163088582028299</v>
      </c>
      <c r="T9" s="570">
        <f>IF(M9="","",X9*COS(RADIANS(W9)))</f>
        <v>0.2973987177115569</v>
      </c>
      <c r="U9" s="567">
        <f>IF(M9="","",X9*SIN(RADIANS(W9)))</f>
        <v>-9.9586319867307534E-3</v>
      </c>
      <c r="V9" s="571">
        <f>IF(M9="","",Y9)</f>
        <v>-0.5163088582028299</v>
      </c>
      <c r="W9" s="526">
        <f t="shared" ref="W9:W14" si="8">IF(M9="","",IF(Q9-$Q$8&lt;0,360+Q9-$Q$8,Q9-$Q$8))</f>
        <v>358.08212199429283</v>
      </c>
      <c r="X9" s="572">
        <f>IF(M9="","",R9)</f>
        <v>0.29756540734353759</v>
      </c>
      <c r="Y9" s="573">
        <f t="shared" ref="Y9:Y15" si="9">IF(M9="","",S9)</f>
        <v>-0.5163088582028299</v>
      </c>
      <c r="Z9" s="566">
        <f t="shared" ref="Z9:Z40" si="10">IF(M9="","",-E9)</f>
        <v>0.93969263802333458</v>
      </c>
      <c r="AA9" s="567">
        <f t="shared" ref="AA9:AA40" si="11">IF(M9="","",-F9)</f>
        <v>8.8521302156295598E-2</v>
      </c>
      <c r="AB9" s="567">
        <f t="shared" ref="AB9:AB40" si="12">IF(M9="","",-G9)</f>
        <v>-0.33036604714967338</v>
      </c>
      <c r="AC9" s="571">
        <f>IF(M9="","",SQRT(Z9^2+AA9^2+AB9^2))</f>
        <v>1</v>
      </c>
      <c r="AD9" s="574">
        <f>IF(M9="","",Z9*(1/SQRT(Z9^2+AA9^2+AB9^2)))</f>
        <v>0.93969263802333458</v>
      </c>
      <c r="AE9" s="567">
        <f>IF(M9="","",AA9*(1/SQRT(Z9^2+AA9^2+AB9^2)))</f>
        <v>8.8521302156295598E-2</v>
      </c>
      <c r="AF9" s="568">
        <f>IF(M9="","",AB9*(1/SQRT(Z9^2+AA9^2+AB9^2)))</f>
        <v>-0.33036604714967338</v>
      </c>
      <c r="AG9" s="542">
        <f>IF(M9="","",DEGREES(ATAN2(-AF9,AE9)))</f>
        <v>14.999997834268267</v>
      </c>
      <c r="AH9" s="543">
        <f>IF(M9="","",DEGREES(ACOS(AD9)))</f>
        <v>19.999997112357679</v>
      </c>
      <c r="AI9" s="526">
        <f>IF(M9="","",DEGREES(-ACOS(-AF9)))</f>
        <v>-70.709005437865216</v>
      </c>
      <c r="AJ9" s="544">
        <f>IF(M9="","",DEGREES(ATAN2(-AE9,AD9)))</f>
        <v>95.38151876223948</v>
      </c>
      <c r="AK9" s="570">
        <f>IF(M9="","",(COS(RADIANS((90-$Q$8)-W9))*AD9)+(-SIN(RADIANS((90-$Q$8)-W9))*AE9))</f>
        <v>0.93222564361089744</v>
      </c>
      <c r="AL9" s="567">
        <f>IF(M9="","",(SIN(RADIANS((90-$Q$8)-W9))*AD9)+(COS(RADIANS((90-$Q$8)-W9))*AE9))</f>
        <v>0.1476943610465476</v>
      </c>
      <c r="AM9" s="569">
        <f>IF(M9="","",AF9)</f>
        <v>-0.33036604714967338</v>
      </c>
      <c r="AN9" s="524">
        <f>IF(M9="","",DEGREES(ATAN2(-AM9,AL9)))</f>
        <v>24.087640889382946</v>
      </c>
      <c r="AO9" s="525">
        <f>IF(ROUND(IF(M9="",0,DEGREES(ACOS(AK9))),4)=90,0,IF(M9="","",DEGREES(ACOS(AK9))))</f>
        <v>21.215546648469058</v>
      </c>
      <c r="AP9" s="722">
        <f>IF(M9="","",DEGREES(ATAN2(AK9,AL9)))</f>
        <v>9.0026575376216762</v>
      </c>
      <c r="AQ9" s="527">
        <f t="shared" ref="AQ9:AQ40" si="13">IF(M9="","",DEGREES(ATAN(($AS$5*SIN(RADIANS(90)))/(($X9*2*PI())-($AS$5*COS(RADIANS(90)))))))</f>
        <v>9.1158113865577661</v>
      </c>
      <c r="AR9" s="979"/>
      <c r="AS9" s="953">
        <f>IF(M9="","",W9)</f>
        <v>358.08212199429283</v>
      </c>
      <c r="AT9" s="949">
        <f t="shared" ref="AT9:AT40" si="14">IF(M9="","",Y9+(((AS9-$AS$9)*$AS$6)*-1))</f>
        <v>-0.5163088582028299</v>
      </c>
      <c r="AU9" s="418"/>
      <c r="AV9" s="164" t="str">
        <f t="shared" ref="AV9:AV40" si="15">IF(AND(ISNUMBER(VALUE(K9)),ISNUMBER(AW9),ISNUMBER(AX9),ISNUMBER(AY9),AY9&gt;=0.0001),$M9,"")</f>
        <v/>
      </c>
      <c r="AW9" s="826" t="str">
        <f>IFERROR(INDEX(MassProp!C$9:C$150,MATCH($M9,MassProp!$B$9:$B$150,0)),"")</f>
        <v/>
      </c>
      <c r="AX9" s="827" t="str">
        <f>IFERROR(INDEX(MassProp!D$9:D$150,MATCH($M9,MassProp!$B$9:$B$150,0)),"")</f>
        <v/>
      </c>
      <c r="AY9" s="828" t="str">
        <f>IFERROR(INDEX(MassProp!E$9:E$150,MATCH($M9,MassProp!$B$9:$B$150,0)),"")</f>
        <v/>
      </c>
      <c r="AZ9" s="297" t="str">
        <f>IF(ISNUMBER(AV9),$AY9*SQRT((2*PI()*$AW9)^2+$AS$5^2),"")</f>
        <v/>
      </c>
      <c r="BA9" s="296" t="str">
        <f t="shared" ref="BA9:BA40" si="16">IF(ISNUMBER(AV9),AZ9/$AZ$151,"")</f>
        <v/>
      </c>
      <c r="BB9" s="290" t="str">
        <f>IF(ISNUMBER($AV9),$AX9-($AT9+$AS$5),"")</f>
        <v/>
      </c>
      <c r="BC9" s="180"/>
      <c r="BD9" s="191" t="str">
        <f>IF(ISNUMBER(AV9),AW9,"")</f>
        <v/>
      </c>
      <c r="BE9" s="181" t="str">
        <f t="shared" ref="BE9:BE40" si="17">IF(ISNUMBER(AV9),Y9+BB9,"")</f>
        <v/>
      </c>
      <c r="BF9" s="4" t="str">
        <f t="shared" ref="BF9:BF40" si="18">IF(ISNUMBER($AV9),N9,"")</f>
        <v/>
      </c>
      <c r="BG9" s="5" t="str">
        <f t="shared" ref="BG9:BG40" si="19">IF(ISNUMBER($AV9),O9,"")</f>
        <v/>
      </c>
      <c r="BH9" s="10" t="str">
        <f t="shared" ref="BH9:BH40" si="20">IF(ISNUMBER($AV9),P9,"")</f>
        <v/>
      </c>
      <c r="BI9" s="9" t="str">
        <f>IF(ISNUMBER($AV9),BF9+0,"")</f>
        <v/>
      </c>
      <c r="BJ9" s="5" t="str">
        <f t="shared" ref="BJ9:BJ40" si="21">IF(ISNUMBER($AV9),BG9+COS(RADIANS($AG9)),"")</f>
        <v/>
      </c>
      <c r="BK9" s="8" t="str">
        <f t="shared" ref="BK9:BK40" si="22">IF(ISNUMBER($AV9),BH9+SIN(RADIANS($AG9)),"")</f>
        <v/>
      </c>
      <c r="BL9" s="173" t="str">
        <f t="shared" ref="BL9:BL40" si="23">IF(ISNUMBER($AV9),BF9+SIN(RADIANS($AH9)),"")</f>
        <v/>
      </c>
      <c r="BM9" s="5" t="str">
        <f t="shared" ref="BM9:BM40" si="24">IF(ISNUMBER($AV9),BG9-SIN(RADIANS($AG9))*COS(RADIANS($AH9)),"")</f>
        <v/>
      </c>
      <c r="BN9" s="6" t="str">
        <f t="shared" ref="BN9:BN40" si="25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3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3" t="str">
        <f>IF(ISNUMBER($AV9),CI9+CF9,"")</f>
        <v/>
      </c>
      <c r="CM9" s="5" t="str">
        <f>IF(ISNUMBER($AV9),CJ9+CG9,"")</f>
        <v/>
      </c>
      <c r="CN9" s="181" t="str">
        <f>IF(ISNUMBER($AV9),CK9+CH9,"")</f>
        <v/>
      </c>
      <c r="CO9" s="228" t="str">
        <f t="shared" ref="CO9:CO40" si="26">IF(ISNUMBER($AV9),IF(AND(($H9*2)&gt;=$AB$161,($H9*2)&lt;=$AC$161),($AA$161/2),IF(AND(($H9*2)&gt;=$AB$163,($H9*2)&lt;=$AC$163),($AA$163/2),IF(AND(($H9*2)&gt;=$AB$165,($H9*2)&lt;=$AC$165),($AA$165/2),IF(AND(($H9*2)&gt;=$AB$168,($H9*2)&lt;=$AC$168),($AA$168/2),"Radius")))),"")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7">IF(ISNUMBER($AV9),CI9+($CT9*(CL9-CI9)),"")</f>
        <v/>
      </c>
      <c r="CW9" s="20" t="str">
        <f t="shared" si="27"/>
        <v/>
      </c>
      <c r="CX9" s="25" t="str">
        <f t="shared" si="27"/>
        <v/>
      </c>
      <c r="CY9" s="24" t="str">
        <f t="shared" ref="CY9:DA10" si="28">IF(ISNUMBER($AV9),CI9+($CU9*(CL9-CI9)),"")</f>
        <v/>
      </c>
      <c r="CZ9" s="20" t="str">
        <f t="shared" si="28"/>
        <v/>
      </c>
      <c r="DA9" s="22" t="str">
        <f t="shared" si="28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0" t="str">
        <f>IF(ISNUMBER($AV9),BD9,"")</f>
        <v/>
      </c>
      <c r="DI9" s="4" t="str">
        <f t="shared" ref="DI9:DK9" si="29">IF(ISNUMBER($AV9),DE9-DB9,"")</f>
        <v/>
      </c>
      <c r="DJ9" s="5" t="str">
        <f t="shared" si="29"/>
        <v/>
      </c>
      <c r="DK9" s="10" t="str">
        <f t="shared" si="29"/>
        <v/>
      </c>
      <c r="DL9" s="9" t="str">
        <f t="shared" ref="DL9:DN9" si="30">IF(ISNUMBER($AV9),CV9-DB9,"")</f>
        <v/>
      </c>
      <c r="DM9" s="173" t="str">
        <f t="shared" si="30"/>
        <v/>
      </c>
      <c r="DN9" s="178" t="str">
        <f t="shared" si="30"/>
        <v/>
      </c>
      <c r="DO9" s="9" t="str">
        <f t="shared" ref="DO9:DQ10" si="31">IF(ISNUMBER($AV9),CY9-CV9,"")</f>
        <v/>
      </c>
      <c r="DP9" s="173" t="str">
        <f t="shared" si="31"/>
        <v/>
      </c>
      <c r="DQ9" s="11" t="str">
        <f t="shared" si="31"/>
        <v/>
      </c>
      <c r="DR9" s="173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67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3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32">IF(ISNUMBER($AV9),CV9+DO9*$EC9,"")</f>
        <v/>
      </c>
      <c r="EF9" s="5" t="str">
        <f t="shared" si="32"/>
        <v/>
      </c>
      <c r="EG9" s="10" t="str">
        <f t="shared" si="32"/>
        <v/>
      </c>
      <c r="EH9" s="9" t="str">
        <f t="shared" ref="EH9:EJ10" si="33">IF(ISNUMBER($AV9),CV9+DO9*$ED9,"")</f>
        <v/>
      </c>
      <c r="EI9" s="5" t="str">
        <f t="shared" si="33"/>
        <v/>
      </c>
      <c r="EJ9" s="6" t="str">
        <f t="shared" si="33"/>
        <v/>
      </c>
      <c r="EK9" s="236" t="str">
        <f>IF(ISNUMBER($AV9),IF(OR($EC9&lt;0,$EC9&gt;1),FALSE,TRUE),"")</f>
        <v/>
      </c>
      <c r="EL9" s="238" t="str">
        <f>IF(ISNUMBER($AV9),IF(OR($ED9&lt;0,$ED9&gt;1),FALSE,TRUE),"")</f>
        <v/>
      </c>
      <c r="EM9" s="4" t="str">
        <f t="shared" ref="EM9:EO10" si="34">IF(ISNUMBER($AV9),IF($EK9=TRUE,EE9,IF($EL9=TRUE,EH9,"")),"")</f>
        <v/>
      </c>
      <c r="EN9" s="5" t="str">
        <f t="shared" si="34"/>
        <v/>
      </c>
      <c r="EO9" s="10" t="str">
        <f t="shared" si="34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74" t="str">
        <f>IF(ISNUMBER($AV9),AD9,"")</f>
        <v/>
      </c>
      <c r="ET9" s="267" t="str">
        <f t="shared" ref="ET9:ET40" si="35">IF(ISNUMBER($AV9),AE9,"")</f>
        <v/>
      </c>
      <c r="EU9" s="273" t="str">
        <f t="shared" ref="EU9:EU40" si="36">IF(ISNUMBER($AV9),AF9,"")</f>
        <v/>
      </c>
      <c r="EV9" s="174" t="str">
        <f>IF(ISNUMBER($AV9),IF(($EV$1-EP9)&lt;0,(360+($EV$1-EP9)),($EV$1-EP9)),"")</f>
        <v/>
      </c>
      <c r="EW9" s="9" t="str">
        <f>IF(ISNUMBER($AV9),(COS(RADIANS($EV9))*ES9)+(-SIN(RADIANS($EV9))*ET9),"")</f>
        <v/>
      </c>
      <c r="EX9" s="5" t="str">
        <f t="shared" ref="EX9:EX40" si="37">IF(ISNUMBER($AV9),(SIN(RADIANS($EV9))*ES9)+(COS(RADIANS($EV9))*ET9),"")</f>
        <v/>
      </c>
      <c r="EY9" s="6" t="str">
        <f>IF(ISNUMBER($AV9),EU9,"")</f>
        <v/>
      </c>
      <c r="EZ9" s="51" t="str">
        <f>IF(ISNUMBER($AV9),DEGREES(ATAN($AS$5/($EQ9*2*PI()))),"")</f>
        <v/>
      </c>
      <c r="FA9" s="266" t="str">
        <f>IF(ISNUMBER($AV9),SIN(RADIANS($EP9))*COS(RADIANS($EZ9)),"")</f>
        <v/>
      </c>
      <c r="FB9" s="267" t="str">
        <f>IF(ISNUMBER($AV9),-1*COS(RADIANS($EP9))*COS(RADIANS($EZ9)),"")</f>
        <v/>
      </c>
      <c r="FC9" s="268" t="str">
        <f t="shared" ref="FC9:FC53" si="38">IF(ISNUMBER($AV9),-1*SIN(RADIANS($EZ9)),"")</f>
        <v/>
      </c>
      <c r="FD9" s="4" t="str">
        <f>IF(ISNUMBER($AV9),(COS(RADIANS($EV9))*FA9)+(-SIN(RADIANS($EV9))*FB9),"")</f>
        <v/>
      </c>
      <c r="FE9" s="5" t="str">
        <f t="shared" ref="FE9:FE40" si="39">IF(ISNUMBER($AV9),(SIN(RADIANS($EV9))*FA9)+(COS(RADIANS($EV9))*FB9),"")</f>
        <v/>
      </c>
      <c r="FF9" s="7" t="str">
        <f>IF(ISNUMBER($AV9),FC9,"")</f>
        <v/>
      </c>
      <c r="FG9" s="173" t="str">
        <f>IF(ISNUMBER($AV9),EW9-FD9,"")</f>
        <v/>
      </c>
      <c r="FH9" s="5" t="str">
        <f t="shared" ref="FH9:FH40" si="40">IF(ISNUMBER($AV9),EX9-FE9,"")</f>
        <v/>
      </c>
      <c r="FI9" s="10" t="str">
        <f t="shared" ref="FI9:FI40" si="41">IF(ISNUMBER($AV9),EY9-FF9,"")</f>
        <v/>
      </c>
      <c r="FJ9" s="279" t="str">
        <f>IF(ISNUMBER($AV9),DEGREES(ACOS((2-SQRT((FG9)^2+(FH9)^2+(FI9)^2)^2)/2)),"")</f>
        <v/>
      </c>
      <c r="FK9" s="23" t="str">
        <f t="shared" ref="FK9:FK40" si="42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3">IF(ISNUMBER($AV9),IF(SQRT((EM9+(ES9/SQRT(ES9^2+(ET9/SQRT(ES9^2+ET9^2))^2)))^2+(EN9+ET9)^2)&gt;SQRT((EM9+(FA9/SQRT(FA9^2+FB9^2)))^2+(EN9+(FB9/SQRT(FA9^2+FB9^2)))^2),-1,1),"")</f>
        <v/>
      </c>
      <c r="FP9" s="276" t="str">
        <f t="shared" ref="FP9:FP40" si="44">IF(ISNUMBER($AV9),FN9*FO9,"")</f>
        <v/>
      </c>
      <c r="FQ9" s="173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5">IF(ISNUMBER($AV9),IF(EU9&lt;FC9,1,-1),"")</f>
        <v/>
      </c>
      <c r="FZ9" s="277" t="str">
        <f>IF(ISNUMBER($AV9),FX9*FY9,"")</f>
        <v/>
      </c>
      <c r="GA9" s="177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11" t="str">
        <f>IF(ISNUMBER($AV9),SUM(ABS(GB9),ABS(GC9),ABS(GD9)),"")</f>
        <v/>
      </c>
      <c r="GF9" s="341" t="str">
        <f>IF(ISNUMBER($AV9),1/GE9,"")</f>
        <v/>
      </c>
      <c r="GG9" s="303" t="str">
        <f t="shared" ref="GG9:GG40" si="46">IF(ISNUMBER($AV9),ABS(GB9)/(ABS($GB9)+ABS($GC9)+ABS($GD9)),"")</f>
        <v/>
      </c>
      <c r="GH9" s="304" t="str">
        <f t="shared" ref="GH9:GH40" si="47">IF(ISNUMBER($AV9),ABS(GC9)/(ABS($GB9)+ABS($GC9)+ABS($GD9)),"")</f>
        <v/>
      </c>
      <c r="GI9" s="305" t="str">
        <f t="shared" ref="GI9:GI40" si="48">IF(ISNUMBER($AV9),ABS(GD9)/(ABS($GB9)+ABS($GC9)+ABS($GD9)),"")</f>
        <v/>
      </c>
      <c r="GJ9" s="167" t="str">
        <f>IF(ISNUMBER($AV9),AW9,"")</f>
        <v/>
      </c>
      <c r="GK9" s="174" t="str">
        <f t="shared" ref="GK9:GK53" si="49">IF(ISNUMBER($AV9),SQRT((2*PI()*$GJ9)^2+$AS$5^2)/12,"")</f>
        <v/>
      </c>
      <c r="GL9" s="174" t="str">
        <f t="shared" ref="GL9:GN10" si="50">IF(ISNUMBER($AV9),AY9,"")</f>
        <v/>
      </c>
      <c r="GM9" s="9" t="str">
        <f t="shared" si="50"/>
        <v/>
      </c>
      <c r="GN9" s="281" t="str">
        <f t="shared" si="50"/>
        <v/>
      </c>
      <c r="GO9" s="4" t="str">
        <f>IF(ISNUMBER($AV9),FP9,"")</f>
        <v/>
      </c>
      <c r="GP9" s="8" t="str">
        <f>IF(ISNUMBER($AV9),FZ9,"")</f>
        <v/>
      </c>
      <c r="GQ9" s="177" t="str">
        <f>IF(ISNUMBER($AV9),FJ9,"")</f>
        <v/>
      </c>
      <c r="GR9" s="371" t="str">
        <f>IF(ISNUMBER($AV9),GS9+GU9+GY9,"")</f>
        <v/>
      </c>
      <c r="GS9" s="342" t="str">
        <f t="shared" ref="GS9:GS40" si="51">IF(ISNUMBER($AV9),GU9/GH9*GG9,"")</f>
        <v/>
      </c>
      <c r="GT9" s="343" t="str">
        <f t="shared" ref="GT9:GT40" si="52">IF(ISNUMBER($AV9),GS9/$GK9,"")</f>
        <v/>
      </c>
      <c r="GU9" s="344" t="str">
        <f t="shared" ref="GU9:GU53" si="53">IF(ISNUMBER($AV9),$GV9*$GK9,"")</f>
        <v/>
      </c>
      <c r="GV9" s="343" t="str">
        <f>IF(ISNUMBER($AV9),GW9*$GL9,"")</f>
        <v/>
      </c>
      <c r="GW9" s="345" t="str">
        <f t="shared" ref="GW9:GW53" si="54">IF(ISNUMBER($AV9),$GW$2,"")</f>
        <v/>
      </c>
      <c r="GX9" s="346" t="str">
        <f t="shared" ref="GX9:GX53" si="55">IF(ISNUMBER($AV9),($GJ9/12)*$GV9,"")</f>
        <v/>
      </c>
      <c r="GY9" s="344" t="str">
        <f t="shared" ref="GY9:GY40" si="56">IF(ISNUMBER($AV9),GU9/GH9*GI9,"")</f>
        <v/>
      </c>
      <c r="GZ9" s="345" t="str">
        <f t="shared" ref="GZ9:GZ40" si="57">IF(ISNUMBER($AV9),GY9/$GK9,"")</f>
        <v/>
      </c>
      <c r="HA9" s="342" t="str">
        <f t="shared" ref="HA9:HA53" si="58">IF(ISNUMBER($AV9),$FO9*$GS9,"")</f>
        <v/>
      </c>
      <c r="HB9" s="191" t="str">
        <f>IF(ISNUMBER($AV9),$EV9,"")</f>
        <v/>
      </c>
      <c r="HC9" s="362" t="str">
        <f>IF(ISNUMBER($AV9),HA9*COS(RADIANS(HB9)),"")</f>
        <v/>
      </c>
      <c r="HD9" s="365" t="str">
        <f>IF(ISNUMBER($AV9),HA9*SIN(RADIANS(HB9)),"")</f>
        <v/>
      </c>
      <c r="HE9" s="344" t="str">
        <f t="shared" ref="HE9:HE53" si="59">IF(ISNUMBER($AV9),$FY9*$GV9,"")</f>
        <v/>
      </c>
      <c r="HF9" s="5" t="str">
        <f t="shared" ref="HF9:HF53" si="60">IF(ISNUMBER($AV9),IF(($HB9+90)&lt;0,(360+($HB9+90)),($HB9+90)),"")</f>
        <v/>
      </c>
      <c r="HG9" s="362" t="str">
        <f>IF(ISNUMBER($AV9),HE9*COS(RADIANS(HF9)),"")</f>
        <v/>
      </c>
      <c r="HH9" s="368" t="str">
        <f>IF(ISNUMBER($AV9),HE9*SIN(RADIANS(HF9)),"")</f>
        <v/>
      </c>
      <c r="HI9" s="317" t="str">
        <f t="shared" ref="HI9:HI40" si="61">IF(ISNUMBER($AV9),$M9,"")</f>
        <v/>
      </c>
      <c r="HJ9" s="336"/>
      <c r="HK9" s="315">
        <v>1</v>
      </c>
      <c r="HL9" s="347" t="str">
        <f t="shared" ref="HL9:HL40" si="62">IF(ISNUMBER($HS9),INDEX(HI$9:HI$150,MATCH($HS9,$GJ$9:$GJ$150,0)),"")</f>
        <v/>
      </c>
      <c r="HM9" s="917" t="str">
        <f t="shared" ref="HM9:HM40" si="63">IF(ISNUMBER($HL9),INDEX(GO$9:GO$150,MATCH($HL9,$AV$9:$AV$150,0)),"")</f>
        <v/>
      </c>
      <c r="HN9" s="918" t="str">
        <f t="shared" ref="HN9:HN40" si="64">IF(ISNUMBER($HL9),INDEX(AO$9:AO$150,MATCH($HL9,$AV$9:$AV$150,0)),"")</f>
        <v/>
      </c>
      <c r="HO9" s="919"/>
      <c r="HP9" s="920"/>
      <c r="HQ9" s="921" t="str">
        <f t="shared" ref="HQ9:HQ40" si="65">IF(ISNUMBER($HL9),INDEX(GQ$9:GQ$150,MATCH($HL9,$AV$9:$AV$150,0)),"")</f>
        <v/>
      </c>
      <c r="HR9" s="922" t="str">
        <f t="shared" ref="HR9:HR40" si="66">IF(ISNUMBER($HL9),INDEX(GP$9:GP$150,MATCH($HL9,$AV$9:$AV$150,0)),"")</f>
        <v/>
      </c>
      <c r="HS9" s="873" t="str">
        <f>IFERROR(SMALL($GJ$9:$GJ$150,$HK9),"")</f>
        <v/>
      </c>
      <c r="HT9" s="887" t="str">
        <f t="shared" ref="HT9:HT40" si="67">IF(ISNUMBER($HL9),INDEX(GL$9:GL$150,MATCH($HL9,$AV$9:$AV$150,0)),"")</f>
        <v/>
      </c>
      <c r="HU9" s="888" t="str">
        <f t="shared" ref="HU9:HU40" si="68">IF(ISNUMBER($HL9),INDEX(GM$9:GM$150,MATCH($HL9,$AV$9:$AV$150,0)),"")</f>
        <v/>
      </c>
      <c r="HV9" s="885" t="str">
        <f t="shared" ref="HV9:HV40" si="69">IF(ISNUMBER($HL9),INDEX(GN$9:GN$150,MATCH($HL9,$AV$9:$AV$150,0)),"")</f>
        <v/>
      </c>
      <c r="HW9" s="874" t="str">
        <f t="shared" ref="HW9:HW40" si="70">IF(ISNUMBER($HL9),INDEX(GW$9:GW$150,MATCH($HL9,$AV$9:$AV$150,0)),"")</f>
        <v/>
      </c>
      <c r="HX9" s="875" t="str">
        <f t="shared" ref="HX9:HX40" si="71">IF(ISNUMBER($HL9),INDEX(GX$9:GX$150,MATCH($HL9,$AV$9:$AV$150,0)),"")</f>
        <v/>
      </c>
      <c r="HY9" s="874" t="str">
        <f t="shared" ref="HY9:HY40" si="72">IF(ISNUMBER($HL9),INDEX(GS$9:GS$150,MATCH($HL9,$AV$9:$AV$150,0)),"")</f>
        <v/>
      </c>
      <c r="HZ9" s="876" t="str">
        <f t="shared" ref="HZ9:HZ40" si="73">IF(ISNUMBER($HL9),INDEX(GU$9:GU$150,MATCH($HL9,$AV$9:$AV$150,0)),"")</f>
        <v/>
      </c>
      <c r="IA9" s="877" t="str">
        <f t="shared" ref="IA9:IA40" si="74">IF(ISNUMBER($HL9),INDEX(GY$9:GY$150,MATCH($HL9,$AV$9:$AV$150,0)),"")</f>
        <v/>
      </c>
      <c r="IB9" s="878" t="str">
        <f t="shared" ref="IB9:IB40" si="75">IF(ISNUMBER($HL9),INDEX(GR$9:GR$150,MATCH($HL9,$AV$9:$AV$150,0)),"")</f>
        <v/>
      </c>
      <c r="IC9" s="854" t="str">
        <f t="shared" ref="IC9:IC40" si="76">IF(ISNUMBER($HL9),INDEX(GT$9:GT$150,MATCH($HL9,$AV$9:$AV$150,0)),"")</f>
        <v/>
      </c>
      <c r="ID9" s="350" t="str">
        <f t="shared" ref="ID9:ID40" si="77">IF(ISNUMBER($HL9),INDEX(GV$9:GV$150,MATCH($HL9,$AV$9:$AV$150,0)),"")</f>
        <v/>
      </c>
      <c r="IE9" s="856" t="str">
        <f t="shared" ref="IE9:IE40" si="78">IF(ISNUMBER($HL9),INDEX(GZ$9:GZ$150,MATCH($HL9,$AV$9:$AV$150,0)),"")</f>
        <v/>
      </c>
      <c r="IF9" s="858"/>
      <c r="IG9" s="792" t="str">
        <f>IFERROR(IF($IW9="","",IF($IW9&lt;(((Settings!$C$19/2)*-1)*$IG$8),"Taper","Nose")),"")</f>
        <v/>
      </c>
      <c r="IH9" s="481" t="str">
        <f>IFERROR(IF((((($IY9*COS(RADIANS(180-$JA9)))*COS(RADIANS($JA9)))-(($IZ9*SIN(RADIANS(180-$JA9)))*SIN(RADIANS($JA9))))+$IW9)&lt;(((Settings!$C$19+$IH$8)/2)*-1),"Gage",""),"")</f>
        <v/>
      </c>
      <c r="II9" s="787">
        <f>$M9</f>
        <v>1.101</v>
      </c>
      <c r="IJ9" s="673" t="str" cm="1">
        <f t="array" ref="IJ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K9" s="676" t="str" cm="1">
        <f t="array" ref="IK9">IFERROR(ROUND(VALUE(IF($IJ9&lt;1,$IJ9+LARGE((IF($M$9:$M$150="",0,$M$9:$M$150)-MOD(IF($M$9:$M$150="",0,$M$9:$M$150),1)),1),$IJ9)),4),"")</f>
        <v/>
      </c>
      <c r="IL9" s="781">
        <f t="shared" ref="IL9:IL40" si="79">IF(ISNUMBER($IK9),INDEX($K$9:$K$150,MATCH($IK9,$M$9:$M$150,0)),$K9)</f>
        <v>1313</v>
      </c>
      <c r="IM9" s="781" t="str">
        <f t="shared" ref="IM9" si="80">IF(ISNUMBER($IK9),INDEX($K$9:$K$150,MATCH($II9,$M$9:$M$150,0)),"")</f>
        <v/>
      </c>
      <c r="IN9" s="672" t="str">
        <f t="shared" ref="IN9:IN40" si="81">IF(ISNUMBER($IK9),IFERROR(IF(INDEX($W$9:$W$150,MATCH($IK9,$M$9:$M$150,0))&lt;$W9,((INDEX($W$9:$W$150,MATCH($IK9,$M$9:$M$150,0))+360)-$W9),INDEX($W$9:$W$150,MATCH($IK9,$M$9:$M$150,0))-$W9),""),"")</f>
        <v/>
      </c>
      <c r="IO9" s="701"/>
      <c r="IP9" s="20" t="str">
        <f t="shared" ref="IP9:IP40" si="82">IF(ISNUMBER($IK9),(($IQ9*12)/60)/$AS$3,"")</f>
        <v/>
      </c>
      <c r="IQ9" s="713"/>
      <c r="IR9" s="24" t="str">
        <f>IF(ISNUMBER($IK9),(INDEX($X$9:$X$150,MATCH($IK9,$M$9:$M$150,0))*-1),"")</f>
        <v/>
      </c>
      <c r="IS9" s="20" t="str">
        <f t="shared" ref="IS9:IS40" si="83">IF(ISNUMBER($IK9),INDEX($Y$9:$Y$150,MATCH($IK9,$M$9:$M$150,0)),"")</f>
        <v/>
      </c>
      <c r="IT9" s="20" t="str">
        <f t="shared" ref="IT9:IT40" si="84">IF(ISNUMBER($IK9),INDEX($H$9:$H$150,MATCH($IK9,$M$9:$M$150,0)),"")</f>
        <v/>
      </c>
      <c r="IU9" s="20" t="str">
        <f t="shared" ref="IU9:IU40" si="85">IF(ISNUMBER($IK9),$IT9*COS(RADIANS(INDEX($AO$9:$AO$150,MATCH($IK9,$M$9:$M$150,0)))),"")</f>
        <v/>
      </c>
      <c r="IV9" s="672" t="str">
        <f t="shared" ref="IV9:IV40" si="86">IF(ISNUMBER($IK9),(-1*INDEX($AN$9:$AN$150,MATCH($IK9,$M$9:$M$150,0))),"")</f>
        <v/>
      </c>
      <c r="IW9" s="24" t="str">
        <f t="shared" ref="IW9:IW40" si="87">IF(ISNUMBER($IK9),-$X9,"")</f>
        <v/>
      </c>
      <c r="IX9" s="20" t="str">
        <f t="shared" ref="IX9:IX40" si="88">IF(ISNUMBER($IK9),$Y9,"")</f>
        <v/>
      </c>
      <c r="IY9" s="20" t="str">
        <f t="shared" ref="IY9:IY40" si="89">IF(ISNUMBER($IK9),$H9,"")</f>
        <v/>
      </c>
      <c r="IZ9" s="20" t="str">
        <f t="shared" ref="IZ9:IZ40" si="90">IF(ISNUMBER($IK9),$IY9*COS(RADIANS($AO9)),"")</f>
        <v/>
      </c>
      <c r="JA9" s="704" t="str">
        <f t="shared" ref="JA9:JA40" si="91">IF(ISNUMBER($IK9),(-1*$AN9),"")</f>
        <v/>
      </c>
      <c r="JC9" s="730" cm="1">
        <f t="array" ref="JC9">IFERROR(_xlfn._xlws.SORT(_xlfn.UNIQUE(_xlfn._xlws.FILTER(IF($IK$9:$IK$150="",$K$9:$K$150,""),IF($IK$9:$IK$150="",$K$9:$K$150,"")&lt;&gt;"")),,-1),"")</f>
        <v>1313</v>
      </c>
      <c r="JD9" s="727" cm="1">
        <f t="array" ref="JD9">IF($JC9="","",COUNT(IF(IF($IK$9:$IK$150="",$IL$9:$IL$150,"")=$JC9,$II$9:$II$150,"")))</f>
        <v>46</v>
      </c>
      <c r="JF9" s="191"/>
      <c r="JG9" s="698"/>
      <c r="JH9" s="162"/>
      <c r="JI9" s="162"/>
      <c r="JM9" s="489">
        <f>VALUE(RIGHT((M9*1000),2))</f>
        <v>1</v>
      </c>
      <c r="JN9" s="960">
        <f>($JO9-SMALL($JO$9:$JO$88,1))/((Settings!$C$19/2)-((Settings!$C$19/2)-LARGE($JO$9:$JO$88,1))-SMALL($JO$9:$JO$88,1))</f>
        <v>0</v>
      </c>
      <c r="JO9" s="162">
        <f>X9</f>
        <v>0.29756540734353759</v>
      </c>
      <c r="JP9" s="961">
        <f>AN9</f>
        <v>24.087640889382946</v>
      </c>
      <c r="JQ9" s="961">
        <f>AO9</f>
        <v>21.215546648469058</v>
      </c>
      <c r="JS9" s="82" cm="1">
        <f t="array" ref="JS9:JS55">_xlfn.UNIQUE(_xlfn.SORTBY(JM$9:JM$88,$JM$9:$JM$88))</f>
        <v>1</v>
      </c>
      <c r="JT9" s="322">
        <f>INDEX($JM$9:$JQ$88,MATCH($JS9,$JM$9:$JM$88,0),3)</f>
        <v>0.29756540734353759</v>
      </c>
      <c r="JU9" s="963">
        <f>INDEX($JM$9:$JQ$88,MATCH($JS9,$JM$9:$JM$88,0),2)</f>
        <v>0</v>
      </c>
      <c r="JV9" s="961">
        <v>12</v>
      </c>
      <c r="JW9" s="961">
        <f t="shared" ref="JW9:JW53" si="92">INDEX($JM$9:$JQ$88,MATCH($JS9,$JM$9:$JM$88,0),5)</f>
        <v>21.215546648469058</v>
      </c>
      <c r="JX9" s="1">
        <v>0.33879999999999999</v>
      </c>
      <c r="JY9" s="965">
        <f>($JX9-SMALL($JX$9:$JX$88,1))/(($JY$7/2)-(($JY$7/2)-LARGE($JX$9:$JX$88,1))-SMALL($JX$9:$JX$88,1))</f>
        <v>0</v>
      </c>
      <c r="JZ9" s="965"/>
      <c r="KA9" s="965"/>
      <c r="KB9" s="975">
        <v>1</v>
      </c>
      <c r="KC9" s="971" cm="1">
        <f t="array" ref="KC9">(((INDEX($JV$9:$JV$53,MATCH(INDEX($JU$9:$JU$53,MATCH(TRUE,INDEX($JU$9:$JU$53&gt;$JY9,0),)),$JU$9:$JU$53,0))-INDEX($JV$9:$JV$53,MATCH(INDEX($JU$9:$JU$53,MATCH(TRUE,INDEX($JU$9:$JU$53&gt;$JY9,0),)-1),$JU$9:$JU$53,0)))*(($JY9-INDEX($JU$9:$JU$53,MATCH(TRUE,INDEX($JU$9:$JU$53&gt;$JY9,0),)-1))/(INDEX($JU$9:$JU$53,MATCH(TRUE,INDEX($JU$9:$JU$53&gt;$JY9,0),))-INDEX($JU$9:$JU$53,MATCH(TRUE,INDEX($JU$9:$JU$53&gt;$JY9,0),)-1))))+INDEX($JV$9:$JV$53,MATCH(INDEX($JU$9:$JU$53,MATCH(TRUE,INDEX($JU$9:$JU$53&gt;$JY9,0),)-1),$JU$9:$JU$53,0)))</f>
        <v>12</v>
      </c>
      <c r="KD9" s="968">
        <v>9</v>
      </c>
      <c r="KE9" s="968">
        <f>KD9-KC9</f>
        <v>-3</v>
      </c>
      <c r="KF9" s="972">
        <v>22.5</v>
      </c>
      <c r="KG9" s="31"/>
      <c r="KJ9" s="31"/>
    </row>
    <row r="10" spans="1:296" ht="15" customHeight="1" x14ac:dyDescent="0.25">
      <c r="A10" s="75">
        <f t="shared" si="1"/>
        <v>0.02</v>
      </c>
      <c r="B10" s="578">
        <f>IFERROR(O165+($A10*-E10),"")</f>
        <v>1.9318516721444148E-2</v>
      </c>
      <c r="C10" s="572">
        <f>IFERROR(P165+($A10*-F10),"")</f>
        <v>0.92824254112299553</v>
      </c>
      <c r="D10" s="576">
        <f>IFERROR(Q165+($A10*-G10),"")</f>
        <v>-0.34540102599479583</v>
      </c>
      <c r="E10" s="580">
        <f t="shared" ref="E10:K10" si="93">R165</f>
        <v>-0.96592583607220739</v>
      </c>
      <c r="F10" s="572">
        <f t="shared" si="93"/>
        <v>-6.6987279208207212E-2</v>
      </c>
      <c r="G10" s="579">
        <f t="shared" si="93"/>
        <v>0.24999996726497564</v>
      </c>
      <c r="H10" s="580">
        <f t="shared" si="93"/>
        <v>0.26450000000000001</v>
      </c>
      <c r="I10" s="572">
        <f t="shared" si="93"/>
        <v>0.52</v>
      </c>
      <c r="J10" s="483">
        <f t="shared" ref="J10:J73" si="94">IF(W165=0,"",W165)</f>
        <v>1.1040000000000001</v>
      </c>
      <c r="K10" s="806">
        <f t="shared" si="93"/>
        <v>1313</v>
      </c>
      <c r="M10" s="164">
        <f t="shared" si="4"/>
        <v>1.1040000000000001</v>
      </c>
      <c r="N10" s="575">
        <f t="shared" si="5"/>
        <v>1.9318516721444148E-2</v>
      </c>
      <c r="O10" s="572">
        <f t="shared" si="6"/>
        <v>0.92824254112299553</v>
      </c>
      <c r="P10" s="576">
        <f t="shared" si="7"/>
        <v>-0.34540102599479583</v>
      </c>
      <c r="Q10" s="528">
        <f>IF(M10="","",IF(DEGREES(ATAN2(N10,O10))&lt;0,DEGREES(ATAN2(N10,O10))+360,IF(DEGREES(ATAN2(N10,O10))&gt;360,DEGREES(ATAN2(N10,O10))-360,DEGREES(ATAN2(N10,O10)))))</f>
        <v>88.807736492762189</v>
      </c>
      <c r="R10" s="572">
        <f t="shared" ref="R10:R105" si="95">IF(M10="","",SQRT(N10^2+O10^2))</f>
        <v>0.92844354714694033</v>
      </c>
      <c r="S10" s="577">
        <f t="shared" ref="S10:S105" si="96">IF(M10="","",P10)</f>
        <v>-0.34540102599479583</v>
      </c>
      <c r="T10" s="578">
        <f t="shared" ref="T10:T105" si="97">IF(M10="","",X10*COS(RADIANS(W10)))</f>
        <v>0.92840662265656604</v>
      </c>
      <c r="U10" s="572">
        <f t="shared" ref="U10:U105" si="98">IF(M10="","",X10*SIN(RADIANS(W10)))</f>
        <v>8.2802926410436625E-3</v>
      </c>
      <c r="V10" s="579">
        <f>IF(M10="","",Y10)</f>
        <v>-0.34540102599479583</v>
      </c>
      <c r="W10" s="528">
        <f t="shared" si="8"/>
        <v>0.51099726243717214</v>
      </c>
      <c r="X10" s="572">
        <f t="shared" ref="X10:X105" si="99">IF(M10="","",R10)</f>
        <v>0.92844354714694033</v>
      </c>
      <c r="Y10" s="573">
        <f t="shared" si="9"/>
        <v>-0.34540102599479583</v>
      </c>
      <c r="Z10" s="575">
        <f>IF(M10="","",-E10)</f>
        <v>0.96592583607220739</v>
      </c>
      <c r="AA10" s="572">
        <f t="shared" si="11"/>
        <v>6.6987279208207212E-2</v>
      </c>
      <c r="AB10" s="572">
        <f t="shared" si="12"/>
        <v>-0.24999996726497564</v>
      </c>
      <c r="AC10" s="579">
        <f t="shared" ref="AC10:AC105" si="100">IF(M10="","",SQRT(Z10^2+AA10^2+AB10^2))</f>
        <v>1</v>
      </c>
      <c r="AD10" s="580">
        <f>IF(M10="","",Z10*(1/SQRT(Z10^2+AA10^2+AB10^2)))</f>
        <v>0.96592583607220739</v>
      </c>
      <c r="AE10" s="572">
        <f t="shared" ref="AE10:AE105" si="101">IF(M10="","",AA10*(1/SQRT(Z10^2+AA10^2+AB10^2)))</f>
        <v>6.6987279208207212E-2</v>
      </c>
      <c r="AF10" s="576">
        <f t="shared" ref="AF10:AF105" si="102">IF(M10="","",AB10*(1/SQRT(Z10^2+AA10^2+AB10^2)))</f>
        <v>-0.24999996726497564</v>
      </c>
      <c r="AG10" s="545">
        <f t="shared" ref="AG10:AG105" si="103">IF(M10="","",DEGREES(ATAN2(-AF10,AE10)))</f>
        <v>14.999997834268271</v>
      </c>
      <c r="AH10" s="546">
        <f t="shared" ref="AH10:AH105" si="104">IF(M10="","",DEGREES(ACOS(AD10)))</f>
        <v>14.999997834268255</v>
      </c>
      <c r="AI10" s="528">
        <f t="shared" ref="AI10:AI105" si="105">IF(M10="","",DEGREES(-ACOS(-AF10)))</f>
        <v>-75.522489751159469</v>
      </c>
      <c r="AJ10" s="529">
        <f t="shared" ref="AJ10:AJ105" si="106">IF(M10="","",DEGREES(ATAN2(-AE10,AD10)))</f>
        <v>93.967129645086573</v>
      </c>
      <c r="AK10" s="578">
        <f>IF(M10="","",(COS(RADIANS((90-$Q$8)-W10))*AD10)+(-SIN(RADIANS((90-$Q$8)-W10))*AE10))</f>
        <v>0.96432288262413235</v>
      </c>
      <c r="AL10" s="572">
        <f t="shared" ref="AL10:AL105" si="107">IF(M10="","",(SIN(RADIANS((90-$Q$8)-W10))*AD10)+(COS(RADIANS((90-$Q$8)-W10))*AE10))</f>
        <v>8.7071203132809777E-2</v>
      </c>
      <c r="AM10" s="577">
        <f t="shared" ref="AM10:AM105" si="108">IF(M10="","",AF10)</f>
        <v>-0.24999996726497564</v>
      </c>
      <c r="AN10" s="524">
        <f t="shared" ref="AN10:AN105" si="109">IF(M10="","",DEGREES(ATAN2(-AM10,AL10)))</f>
        <v>19.202453439279633</v>
      </c>
      <c r="AO10" s="525">
        <f t="shared" ref="AO10:AO54" si="110">IF(ROUND(IF(M10="",0,DEGREES(ACOS(AK10))),4)=90,0,IF(M10="","",DEGREES(ACOS(AK10))))</f>
        <v>15.350843221938074</v>
      </c>
      <c r="AP10" s="528">
        <f t="shared" ref="AP10:AP105" si="111">IF(M10="","",DEGREES(ATAN2(AK10,AL10)))</f>
        <v>5.159393152324383</v>
      </c>
      <c r="AQ10" s="529">
        <f t="shared" si="13"/>
        <v>2.9439206454052287</v>
      </c>
      <c r="AR10" s="979"/>
      <c r="AS10" s="954">
        <f>IF($M10="","",IF(AND($W10&lt;($AS$9+180),$W10&gt;($AS$9-180)),$W10,IF($W10&gt;($AS$9+180),$W10-360,IF($W10&lt;($AS$9-180),$W10+360,"Error"))))</f>
        <v>360.51099726243717</v>
      </c>
      <c r="AT10" s="950">
        <f t="shared" si="14"/>
        <v>-0.34742508871824945</v>
      </c>
      <c r="AU10" s="418"/>
      <c r="AV10" s="164" t="str">
        <f t="shared" si="15"/>
        <v/>
      </c>
      <c r="AW10" s="829" t="str">
        <f>IFERROR(INDEX(MassProp!C$9:C$150,MATCH($M10,MassProp!$B$9:$B$150,0)),"")</f>
        <v/>
      </c>
      <c r="AX10" s="830" t="str">
        <f>IFERROR(INDEX(MassProp!D$9:D$150,MATCH($M10,MassProp!$B$9:$B$150,0)),"")</f>
        <v/>
      </c>
      <c r="AY10" s="831" t="str">
        <f>IFERROR(INDEX(MassProp!E$9:E$150,MATCH($M10,MassProp!$B$9:$B$150,0)),"")</f>
        <v/>
      </c>
      <c r="AZ10" s="297" t="str">
        <f>IF(ISNUMBER(AV10),$AY10*SQRT((2*PI()*$AW10)^2+$AS$5^2),"")</f>
        <v/>
      </c>
      <c r="BA10" s="296" t="str">
        <f t="shared" si="16"/>
        <v/>
      </c>
      <c r="BB10" s="291" t="str">
        <f>IF(ISNUMBER($AV10),$AX10-($AT10+$AS$5),"")</f>
        <v/>
      </c>
      <c r="BC10" s="9"/>
      <c r="BD10" s="5" t="str">
        <f>IF(ISNUMBER(AV10),AW10,"")</f>
        <v/>
      </c>
      <c r="BE10" s="6" t="str">
        <f t="shared" si="17"/>
        <v/>
      </c>
      <c r="BF10" s="4" t="str">
        <f t="shared" si="18"/>
        <v/>
      </c>
      <c r="BG10" s="5" t="str">
        <f t="shared" si="19"/>
        <v/>
      </c>
      <c r="BH10" s="10" t="str">
        <f t="shared" si="20"/>
        <v/>
      </c>
      <c r="BI10" s="9" t="str">
        <f>IF(ISNUMBER($AV10),BF10+0,"")</f>
        <v/>
      </c>
      <c r="BJ10" s="5" t="str">
        <f t="shared" si="21"/>
        <v/>
      </c>
      <c r="BK10" s="8" t="str">
        <f t="shared" si="22"/>
        <v/>
      </c>
      <c r="BL10" s="173" t="str">
        <f t="shared" si="23"/>
        <v/>
      </c>
      <c r="BM10" s="5" t="str">
        <f t="shared" si="24"/>
        <v/>
      </c>
      <c r="BN10" s="6" t="str">
        <f t="shared" si="25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112">IF(ISNUMBER($AV10),0,"")</f>
        <v/>
      </c>
      <c r="BT10" s="5" t="str">
        <f t="shared" si="112"/>
        <v/>
      </c>
      <c r="BU10" s="10" t="str">
        <f t="shared" ref="BU10:BU73" si="113">IF(ISNUMBER($AV10),$BE10,"")</f>
        <v/>
      </c>
      <c r="BV10" s="9" t="str">
        <f t="shared" ref="BV10:BV73" si="114">IF(ISNUMBER($AV10),0,"")</f>
        <v/>
      </c>
      <c r="BW10" s="5" t="str">
        <f t="shared" ref="BW10:BW73" si="115">IF(ISNUMBER($AV10),1,"")</f>
        <v/>
      </c>
      <c r="BX10" s="8" t="str">
        <f t="shared" ref="BX10:BX73" si="116">IF(ISNUMBER($AV10),$BE10,"")</f>
        <v/>
      </c>
      <c r="BY10" s="173" t="str">
        <f t="shared" ref="BY10:BY73" si="117">IF(ISNUMBER($AV10),1,"")</f>
        <v/>
      </c>
      <c r="BZ10" s="5" t="str">
        <f t="shared" ref="BZ10:BZ73" si="118">IF(ISNUMBER($AV10),0,"")</f>
        <v/>
      </c>
      <c r="CA10" s="6" t="str">
        <f t="shared" ref="CA10:CA73" si="119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20">IF(ISNUMBER($AV10),0,"")</f>
        <v/>
      </c>
      <c r="CJ10" s="5" t="str">
        <f t="shared" ref="CJ10:CJ73" si="121">IF(ISNUMBER($AV10),(CD10*BR10-BQ10*CE10)/(BQ10*CC10-CD10*BP10),"")</f>
        <v/>
      </c>
      <c r="CK10" s="8" t="str">
        <f t="shared" ref="CK10:CK73" si="122">IF(ISNUMBER($AV10),(CC10*BR10-BP10*CE10)/(-CC10*BQ10+BP10*CD10),"")</f>
        <v/>
      </c>
      <c r="CL10" s="173" t="str">
        <f t="shared" ref="CL10:CL73" si="123">IF(ISNUMBER($AV10),CI10+CF10,"")</f>
        <v/>
      </c>
      <c r="CM10" s="5" t="str">
        <f t="shared" ref="CM10:CM73" si="124">IF(ISNUMBER($AV10),CJ10+CG10,"")</f>
        <v/>
      </c>
      <c r="CN10" s="6" t="str">
        <f t="shared" ref="CN10:CN73" si="125">IF(ISNUMBER($AV10),CK10+CH10,"")</f>
        <v/>
      </c>
      <c r="CO10" s="167" t="str">
        <f t="shared" si="26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7"/>
        <v/>
      </c>
      <c r="CW10" s="5" t="str">
        <f t="shared" si="27"/>
        <v/>
      </c>
      <c r="CX10" s="8" t="str">
        <f t="shared" si="27"/>
        <v/>
      </c>
      <c r="CY10" s="9" t="str">
        <f t="shared" si="28"/>
        <v/>
      </c>
      <c r="CZ10" s="5" t="str">
        <f t="shared" si="28"/>
        <v/>
      </c>
      <c r="DA10" s="6" t="str">
        <f t="shared" si="28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0" t="str">
        <f>IF(ISNUMBER($AV10),BD10,"")</f>
        <v/>
      </c>
      <c r="DI10" s="4" t="str">
        <f>IF(ISNUMBER($AV10),DE10-DB10,"")</f>
        <v/>
      </c>
      <c r="DJ10" s="5" t="str">
        <f>IF(ISNUMBER($AV10),DF10-DC10,"")</f>
        <v/>
      </c>
      <c r="DK10" s="10" t="str">
        <f>IF(ISNUMBER($AV10),DG10-DD10,"")</f>
        <v/>
      </c>
      <c r="DL10" s="9" t="str">
        <f>IF(ISNUMBER($AV10),CV10-DB10,"")</f>
        <v/>
      </c>
      <c r="DM10" s="173" t="str">
        <f>IF(ISNUMBER($AV10),CW10-DC10,"")</f>
        <v/>
      </c>
      <c r="DN10" s="178" t="str">
        <f>IF(ISNUMBER($AV10),CX10-DD10,"")</f>
        <v/>
      </c>
      <c r="DO10" s="9" t="str">
        <f t="shared" si="31"/>
        <v/>
      </c>
      <c r="DP10" s="173" t="str">
        <f t="shared" si="31"/>
        <v/>
      </c>
      <c r="DQ10" s="11" t="str">
        <f t="shared" si="31"/>
        <v/>
      </c>
      <c r="DR10" s="173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67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3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32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33"/>
        <v/>
      </c>
      <c r="EK10" s="236" t="str">
        <f>IF(ISNUMBER($AV10),IF(OR($EC10&lt;0,$EC10&gt;1),FALSE,TRUE),"")</f>
        <v/>
      </c>
      <c r="EL10" s="238" t="str">
        <f>IF(ISNUMBER($AV10),IF(OR($ED10&lt;0,$ED10&gt;1),FALSE,TRUE),"")</f>
        <v/>
      </c>
      <c r="EM10" s="4" t="str">
        <f t="shared" si="34"/>
        <v/>
      </c>
      <c r="EN10" s="5" t="str">
        <f t="shared" si="34"/>
        <v/>
      </c>
      <c r="EO10" s="10" t="str">
        <f t="shared" si="34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ref="ES10:ES40" si="126">IF(ISNUMBER($AV10),AD10,"")</f>
        <v/>
      </c>
      <c r="ET10" s="5" t="str">
        <f t="shared" si="35"/>
        <v/>
      </c>
      <c r="EU10" s="10" t="str">
        <f t="shared" si="36"/>
        <v/>
      </c>
      <c r="EV10" s="174" t="str">
        <f>IF(ISNUMBER($AV10),IF(($EV$1-EP10)&lt;0,(360+($EV$1-EP10)),($EV$1-EP10)),"")</f>
        <v/>
      </c>
      <c r="EW10" s="9" t="str">
        <f t="shared" ref="EW10:EW40" si="127">IF(ISNUMBER($AV10),(COS(RADIANS($EV10))*ES10)+(-SIN(RADIANS($EV10))*ET10),"")</f>
        <v/>
      </c>
      <c r="EX10" s="5" t="str">
        <f t="shared" si="37"/>
        <v/>
      </c>
      <c r="EY10" s="6" t="str">
        <f>IF(ISNUMBER($AV10),EU10,"")</f>
        <v/>
      </c>
      <c r="EZ10" s="51" t="str">
        <f>IF(ISNUMBER($AV10),DEGREES(ATAN($AS$5/($EQ10*2*PI()))),"")</f>
        <v/>
      </c>
      <c r="FA10" s="266" t="str">
        <f t="shared" ref="FA10:FA53" si="128">IF(ISNUMBER($AV10),SIN(RADIANS($EP10))*COS(RADIANS($EZ10)),"")</f>
        <v/>
      </c>
      <c r="FB10" s="267" t="str">
        <f t="shared" ref="FB10:FB53" si="129">IF(ISNUMBER($AV10),-1*COS(RADIANS($EP10))*COS(RADIANS($EZ10)),"")</f>
        <v/>
      </c>
      <c r="FC10" s="269" t="str">
        <f t="shared" si="38"/>
        <v/>
      </c>
      <c r="FD10" s="4" t="str">
        <f t="shared" ref="FD10:FD40" si="130">IF(ISNUMBER($AV10),(COS(RADIANS($EV10))*FA10)+(-SIN(RADIANS($EV10))*FB10),"")</f>
        <v/>
      </c>
      <c r="FE10" s="5" t="str">
        <f t="shared" si="39"/>
        <v/>
      </c>
      <c r="FF10" s="7" t="str">
        <f>IF(ISNUMBER($AV10),FC10,"")</f>
        <v/>
      </c>
      <c r="FG10" s="173" t="str">
        <f>IF(ISNUMBER($AV10),EW10-FD10,"")</f>
        <v/>
      </c>
      <c r="FH10" s="5" t="str">
        <f t="shared" si="40"/>
        <v/>
      </c>
      <c r="FI10" s="10" t="str">
        <f t="shared" si="41"/>
        <v/>
      </c>
      <c r="FJ10" s="279" t="str">
        <f>IF(ISNUMBER($AV10),DEGREES(ACOS((2-SQRT((FG10)^2+(FH10)^2+(FI10)^2)^2)/2)),"")</f>
        <v/>
      </c>
      <c r="FK10" s="4" t="str">
        <f t="shared" si="42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3"/>
        <v/>
      </c>
      <c r="FP10" s="277" t="str">
        <f t="shared" si="44"/>
        <v/>
      </c>
      <c r="FQ10" s="173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5"/>
        <v/>
      </c>
      <c r="FZ10" s="277" t="str">
        <f>IF(ISNUMBER($AV10),FX10*FY10,"")</f>
        <v/>
      </c>
      <c r="GA10" s="177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11" t="str">
        <f>IF(ISNUMBER($AV10),SUM(ABS(GB10),ABS(GC10),ABS(GD10)),"")</f>
        <v/>
      </c>
      <c r="GF10" s="341" t="str">
        <f>IF(ISNUMBER($AV10),1/GE10,"")</f>
        <v/>
      </c>
      <c r="GG10" s="285" t="str">
        <f t="shared" si="46"/>
        <v/>
      </c>
      <c r="GH10" s="286" t="str">
        <f t="shared" si="47"/>
        <v/>
      </c>
      <c r="GI10" s="281" t="str">
        <f t="shared" si="48"/>
        <v/>
      </c>
      <c r="GJ10" s="167" t="str">
        <f>IF(ISNUMBER($AV10),AW10,"")</f>
        <v/>
      </c>
      <c r="GK10" s="174" t="str">
        <f t="shared" si="49"/>
        <v/>
      </c>
      <c r="GL10" s="174" t="str">
        <f t="shared" si="50"/>
        <v/>
      </c>
      <c r="GM10" s="9" t="str">
        <f>IF(ISNUMBER($AV10),AZ10,"")</f>
        <v/>
      </c>
      <c r="GN10" s="281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77" t="str">
        <f>IF(ISNUMBER($AV10),FJ10,"")</f>
        <v/>
      </c>
      <c r="GR10" s="371" t="str">
        <f>IF(ISNUMBER($AV10),GS10+GU10+GY10,"")</f>
        <v/>
      </c>
      <c r="GS10" s="342" t="str">
        <f t="shared" si="51"/>
        <v/>
      </c>
      <c r="GT10" s="343" t="str">
        <f t="shared" si="52"/>
        <v/>
      </c>
      <c r="GU10" s="344" t="str">
        <f t="shared" si="53"/>
        <v/>
      </c>
      <c r="GV10" s="343" t="str">
        <f>IF(ISNUMBER($AV10),GW10*$GL10,"")</f>
        <v/>
      </c>
      <c r="GW10" s="345" t="str">
        <f t="shared" si="54"/>
        <v/>
      </c>
      <c r="GX10" s="346" t="str">
        <f t="shared" si="55"/>
        <v/>
      </c>
      <c r="GY10" s="344" t="str">
        <f t="shared" si="56"/>
        <v/>
      </c>
      <c r="GZ10" s="345" t="str">
        <f t="shared" si="57"/>
        <v/>
      </c>
      <c r="HA10" s="342" t="str">
        <f t="shared" si="58"/>
        <v/>
      </c>
      <c r="HB10" s="5" t="str">
        <f>IF(ISNUMBER($AV10),$EV10,"")</f>
        <v/>
      </c>
      <c r="HC10" s="343" t="str">
        <f>IF(ISNUMBER($AV10),HA10*COS(RADIANS(HB10)),"")</f>
        <v/>
      </c>
      <c r="HD10" s="345" t="str">
        <f>IF(ISNUMBER($AV10),HA10*SIN(RADIANS(HB10)),"")</f>
        <v/>
      </c>
      <c r="HE10" s="344" t="str">
        <f t="shared" si="59"/>
        <v/>
      </c>
      <c r="HF10" s="5" t="str">
        <f t="shared" si="60"/>
        <v/>
      </c>
      <c r="HG10" s="343" t="str">
        <f>IF(ISNUMBER($AV10),HE10*COS(RADIANS(HF10)),"")</f>
        <v/>
      </c>
      <c r="HH10" s="349" t="str">
        <f>IF(ISNUMBER($AV10),HE10*SIN(RADIANS(HF10)),"")</f>
        <v/>
      </c>
      <c r="HI10" s="317" t="str">
        <f t="shared" si="61"/>
        <v/>
      </c>
      <c r="HJ10" s="336"/>
      <c r="HK10" s="310" t="str">
        <f t="shared" ref="HK10:HK41" si="131">IF(ISNUMBER(HS10),HK9+1,"")</f>
        <v/>
      </c>
      <c r="HL10" s="348" t="str">
        <f t="shared" si="62"/>
        <v/>
      </c>
      <c r="HM10" s="923" t="str">
        <f t="shared" si="63"/>
        <v/>
      </c>
      <c r="HN10" s="924" t="str">
        <f t="shared" si="64"/>
        <v/>
      </c>
      <c r="HO10" s="925"/>
      <c r="HP10" s="926"/>
      <c r="HQ10" s="924" t="str">
        <f t="shared" si="65"/>
        <v/>
      </c>
      <c r="HR10" s="927" t="str">
        <f t="shared" si="66"/>
        <v/>
      </c>
      <c r="HS10" s="879" t="str">
        <f>IFERROR(SMALL($GJ$9:$GJ$150,($HK9+1)),"")</f>
        <v/>
      </c>
      <c r="HT10" s="889" t="str">
        <f t="shared" si="67"/>
        <v/>
      </c>
      <c r="HU10" s="890" t="str">
        <f t="shared" si="68"/>
        <v/>
      </c>
      <c r="HV10" s="886" t="str">
        <f t="shared" si="69"/>
        <v/>
      </c>
      <c r="HW10" s="880" t="str">
        <f t="shared" si="70"/>
        <v/>
      </c>
      <c r="HX10" s="881" t="str">
        <f t="shared" si="71"/>
        <v/>
      </c>
      <c r="HY10" s="880" t="str">
        <f t="shared" si="72"/>
        <v/>
      </c>
      <c r="HZ10" s="882" t="str">
        <f t="shared" si="73"/>
        <v/>
      </c>
      <c r="IA10" s="883" t="str">
        <f t="shared" si="74"/>
        <v/>
      </c>
      <c r="IB10" s="884" t="str">
        <f t="shared" si="75"/>
        <v/>
      </c>
      <c r="IC10" s="855" t="str">
        <f t="shared" si="76"/>
        <v/>
      </c>
      <c r="ID10" s="351" t="str">
        <f t="shared" si="77"/>
        <v/>
      </c>
      <c r="IE10" s="857" t="str">
        <f t="shared" si="78"/>
        <v/>
      </c>
      <c r="IF10" s="858"/>
      <c r="IG10" s="790" t="str">
        <f>IFERROR(IF($IW10="","",IF($IW10&lt;(((Settings!$C$19/2)*-1)*$IG$8),"Taper","Nose")),"")</f>
        <v/>
      </c>
      <c r="IH10" s="482" t="str">
        <f>IFERROR(IF((((($IY10*COS(RADIANS(180-$JA10)))*COS(RADIANS($JA10)))-(($IZ10*SIN(RADIANS(180-$JA10)))*SIN(RADIANS($JA10))))+$IW10)&lt;(((Settings!$C$19+$IH$8)/2)*-1),"Gage",""),"")</f>
        <v/>
      </c>
      <c r="II10" s="788">
        <f>$M10</f>
        <v>1.1040000000000001</v>
      </c>
      <c r="IJ10" s="674" t="str" cm="1">
        <f t="array" ref="IJ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K10" s="677" t="str" cm="1">
        <f t="array" ref="IK10">IFERROR(ROUND(VALUE(IF($IJ10&lt;1,$IJ10+LARGE((IF($M$9:$M$150="",0,$M$9:$M$150)-MOD(IF($M$9:$M$150="",0,$M$9:$M$150),1)),1),$IJ10)),4),"")</f>
        <v/>
      </c>
      <c r="IL10" s="482">
        <f t="shared" si="79"/>
        <v>1313</v>
      </c>
      <c r="IM10" s="482" t="str">
        <f>IF(ISNUMBER($IK10),INDEX($K$9:$K$150,MATCH($II10,$M$9:$M$150,0)),"")</f>
        <v/>
      </c>
      <c r="IN10" s="670" t="str">
        <f t="shared" si="81"/>
        <v/>
      </c>
      <c r="IO10" s="702"/>
      <c r="IP10" s="5" t="str">
        <f t="shared" si="82"/>
        <v/>
      </c>
      <c r="IQ10" s="714"/>
      <c r="IR10" s="9" t="str">
        <f t="shared" ref="IR10:IR40" si="132">IF(ISNUMBER($IK10),(INDEX($X$9:$X$150,MATCH($IK10,$M$9:$M$150,0))*-1),"")</f>
        <v/>
      </c>
      <c r="IS10" s="5" t="str">
        <f t="shared" si="83"/>
        <v/>
      </c>
      <c r="IT10" s="5" t="str">
        <f t="shared" si="84"/>
        <v/>
      </c>
      <c r="IU10" s="5" t="str">
        <f t="shared" si="85"/>
        <v/>
      </c>
      <c r="IV10" s="670" t="str">
        <f t="shared" si="86"/>
        <v/>
      </c>
      <c r="IW10" s="9" t="str">
        <f t="shared" si="87"/>
        <v/>
      </c>
      <c r="IX10" s="5" t="str">
        <f t="shared" si="88"/>
        <v/>
      </c>
      <c r="IY10" s="5" t="str">
        <f t="shared" si="89"/>
        <v/>
      </c>
      <c r="IZ10" s="5" t="str">
        <f t="shared" si="90"/>
        <v/>
      </c>
      <c r="JA10" s="705" t="str">
        <f t="shared" si="91"/>
        <v/>
      </c>
      <c r="JC10" s="731"/>
      <c r="JD10" s="728" t="str" cm="1">
        <f t="array" ref="JD10">IF($JC10="","",COUNT(IF(IF($IK$9:$IK$150="",$IL$9:$IL$150,"")=$JC10,$II$9:$II$150,"")))</f>
        <v/>
      </c>
      <c r="JE10" s="5"/>
      <c r="JF10" s="5"/>
      <c r="JG10" s="8"/>
      <c r="JH10" s="162"/>
      <c r="JI10" s="162"/>
      <c r="JM10" s="489">
        <f t="shared" ref="JM10:JM73" si="133">VALUE(RIGHT((M10*1000),2))</f>
        <v>4</v>
      </c>
      <c r="JN10" s="960">
        <f>($JO10-SMALL($JO$9:$JO$88,1))/((Settings!$C$19/2)-((Settings!$C$19/2)-LARGE($JO$9:$JO$88,1))-SMALL($JO$9:$JO$88,1))</f>
        <v>0.18414175234174274</v>
      </c>
      <c r="JO10" s="162">
        <f t="shared" ref="JO10:JO70" si="134">X10</f>
        <v>0.92844354714694033</v>
      </c>
      <c r="JP10" s="961">
        <f t="shared" ref="JP10:JP70" si="135">AN10</f>
        <v>19.202453439279633</v>
      </c>
      <c r="JQ10" s="961">
        <f t="shared" ref="JQ10:JQ70" si="136">AO10</f>
        <v>15.350843221938074</v>
      </c>
      <c r="JS10" s="82">
        <v>2</v>
      </c>
      <c r="JT10" s="322">
        <f t="shared" ref="JT10:JT53" si="137">INDEX($JM$9:$JQ$88,MATCH($JS10,$JM$9:$JM$88,0),3)</f>
        <v>0.5839112370508629</v>
      </c>
      <c r="JU10" s="963">
        <f t="shared" ref="JU10:JU53" si="138">INDEX($JM$9:$JQ$88,MATCH($JS10,$JM$9:$JM$88,0),2)</f>
        <v>8.3579093221534922E-2</v>
      </c>
      <c r="JV10" s="961">
        <v>9</v>
      </c>
      <c r="JW10" s="961">
        <f t="shared" si="92"/>
        <v>18.567995868160033</v>
      </c>
      <c r="JX10" s="1">
        <v>0.58740000000000003</v>
      </c>
      <c r="JY10" s="965">
        <f t="shared" ref="JY10:JY48" si="139">($JX10-SMALL($JX$9:$JX$88,1))/(($JY$7/2)-(($JY$7/2)-LARGE($JX$9:$JX$88,1))-SMALL($JX$9:$JX$88,1))</f>
        <v>3.6579803122379018E-2</v>
      </c>
      <c r="JZ10" s="965"/>
      <c r="KA10" s="965"/>
      <c r="KB10" s="974">
        <f>KB9+1</f>
        <v>2</v>
      </c>
      <c r="KC10" s="971" cm="1">
        <f t="array" ref="KC10">(((INDEX($JV$9:$JV$53,MATCH(INDEX($JU$9:$JU$53,MATCH(TRUE,INDEX($JU$9:$JU$53&gt;$JY10,0),)),$JU$9:$JU$53,0))-INDEX($JV$9:$JV$53,MATCH(INDEX($JU$9:$JU$53,MATCH(TRUE,INDEX($JU$9:$JU$53&gt;$JY10,0),)-1),$JU$9:$JU$53,0)))*(($JY10-INDEX($JU$9:$JU$53,MATCH(TRUE,INDEX($JU$9:$JU$53&gt;$JY10,0),)-1))/(INDEX($JU$9:$JU$53,MATCH(TRUE,INDEX($JU$9:$JU$53&gt;$JY10,0),))-INDEX($JU$9:$JU$53,MATCH(TRUE,INDEX($JU$9:$JU$53&gt;$JY10,0),)-1))))+INDEX($JV$9:$JV$53,MATCH(INDEX($JU$9:$JU$53,MATCH(TRUE,INDEX($JU$9:$JU$53&gt;$JY10,0),)-1),$JU$9:$JU$53,0)))</f>
        <v>10.686999282508825</v>
      </c>
      <c r="KD10" s="969">
        <v>6</v>
      </c>
      <c r="KE10" s="968">
        <f t="shared" ref="KE10:KE48" si="140">KD10-KC10</f>
        <v>-4.6869992825088254</v>
      </c>
      <c r="KF10" s="972">
        <v>20</v>
      </c>
      <c r="KG10" s="966">
        <f>KD10-KD9</f>
        <v>-3</v>
      </c>
      <c r="KH10" s="966">
        <f t="shared" ref="KH10:KH48" si="141">KF10-KF9</f>
        <v>-2.5</v>
      </c>
      <c r="KJ10" s="31"/>
    </row>
    <row r="11" spans="1:296" ht="15" customHeight="1" x14ac:dyDescent="0.25">
      <c r="A11" s="75">
        <f t="shared" si="1"/>
        <v>0.02</v>
      </c>
      <c r="B11" s="578">
        <f t="shared" ref="B11:D11" si="142">IFERROR(O166+($A11*-E11),"")</f>
        <v>1.9318516721444152E-2</v>
      </c>
      <c r="C11" s="572">
        <f t="shared" si="142"/>
        <v>1.559480146439151</v>
      </c>
      <c r="D11" s="576">
        <f t="shared" si="142"/>
        <v>-0.17630233038399154</v>
      </c>
      <c r="E11" s="580">
        <f>R166</f>
        <v>-0.9659258360722075</v>
      </c>
      <c r="F11" s="572">
        <f t="shared" ref="F11:K11" si="143">S166</f>
        <v>-4.3772284368665593E-2</v>
      </c>
      <c r="G11" s="579">
        <f t="shared" si="143"/>
        <v>0.2550907021617132</v>
      </c>
      <c r="H11" s="580">
        <f t="shared" si="143"/>
        <v>0.26450000000000001</v>
      </c>
      <c r="I11" s="572">
        <f t="shared" si="143"/>
        <v>0.52</v>
      </c>
      <c r="J11" s="483">
        <f t="shared" si="94"/>
        <v>1.1080000000000001</v>
      </c>
      <c r="K11" s="806">
        <f t="shared" si="143"/>
        <v>1313</v>
      </c>
      <c r="L11" s="720" t="s">
        <v>323</v>
      </c>
      <c r="M11" s="164">
        <f t="shared" si="4"/>
        <v>1.1080000000000001</v>
      </c>
      <c r="N11" s="575">
        <f t="shared" si="5"/>
        <v>1.9318516721444152E-2</v>
      </c>
      <c r="O11" s="572">
        <f t="shared" si="6"/>
        <v>1.559480146439151</v>
      </c>
      <c r="P11" s="576">
        <f t="shared" si="7"/>
        <v>-0.17630233038399154</v>
      </c>
      <c r="Q11" s="528">
        <f t="shared" ref="Q11:Q73" si="144">IF(M11="","",IF(DEGREES(ATAN2(N11,O11))&lt;0,DEGREES(ATAN2(N11,O11))+360,IF(DEGREES(ATAN2(N11,O11))&gt;360,DEGREES(ATAN2(N11,O11))-360,DEGREES(ATAN2(N11,O11)))))</f>
        <v>89.290268065787856</v>
      </c>
      <c r="R11" s="572">
        <f t="shared" si="95"/>
        <v>1.5595997987388279</v>
      </c>
      <c r="S11" s="577">
        <f t="shared" si="96"/>
        <v>-0.17630233038399154</v>
      </c>
      <c r="T11" s="578">
        <f t="shared" si="97"/>
        <v>1.5593653283626174</v>
      </c>
      <c r="U11" s="572">
        <f t="shared" si="98"/>
        <v>2.7042650142675491E-2</v>
      </c>
      <c r="V11" s="579">
        <f t="shared" ref="V11:V105" si="145">IF(M11="","",Y11)</f>
        <v>-0.17630233038399154</v>
      </c>
      <c r="W11" s="528">
        <f t="shared" si="8"/>
        <v>0.99352883546283977</v>
      </c>
      <c r="X11" s="572">
        <f>IF(M11="","",R11)</f>
        <v>1.5595997987388279</v>
      </c>
      <c r="Y11" s="573">
        <f t="shared" si="9"/>
        <v>-0.17630233038399154</v>
      </c>
      <c r="Z11" s="575">
        <f t="shared" si="10"/>
        <v>0.9659258360722075</v>
      </c>
      <c r="AA11" s="572">
        <f t="shared" si="11"/>
        <v>4.3772284368665593E-2</v>
      </c>
      <c r="AB11" s="572">
        <f t="shared" si="12"/>
        <v>-0.2550907021617132</v>
      </c>
      <c r="AC11" s="579">
        <f t="shared" si="100"/>
        <v>1</v>
      </c>
      <c r="AD11" s="580">
        <f t="shared" ref="AD11:AD105" si="146">IF(M11="","",Z11*(1/SQRT(Z11^2+AA11^2+AB11^2)))</f>
        <v>0.9659258360722075</v>
      </c>
      <c r="AE11" s="572">
        <f t="shared" si="101"/>
        <v>4.3772284368665593E-2</v>
      </c>
      <c r="AF11" s="576">
        <f t="shared" si="102"/>
        <v>-0.2550907021617132</v>
      </c>
      <c r="AG11" s="545">
        <f>IF(M11="","",DEGREES(ATAN2(-AF11,AE11)))</f>
        <v>9.7368406994372965</v>
      </c>
      <c r="AH11" s="546">
        <f t="shared" si="104"/>
        <v>14.99999783426823</v>
      </c>
      <c r="AI11" s="528">
        <f t="shared" si="105"/>
        <v>-75.221040255335481</v>
      </c>
      <c r="AJ11" s="529">
        <f t="shared" si="106"/>
        <v>92.594663487839327</v>
      </c>
      <c r="AK11" s="578">
        <f>IF(M11="","",(COS(RADIANS((90-$Q$8)-W11))*AD11)+(-SIN(RADIANS((90-$Q$8)-W11))*AE11))</f>
        <v>0.96530952998144459</v>
      </c>
      <c r="AL11" s="572">
        <f t="shared" si="107"/>
        <v>5.573369714676036E-2</v>
      </c>
      <c r="AM11" s="577">
        <f t="shared" si="108"/>
        <v>-0.2550907021617132</v>
      </c>
      <c r="AN11" s="524">
        <f>IF(M11="","",DEGREES(ATAN2(-AM11,AL11)))</f>
        <v>12.324640430414302</v>
      </c>
      <c r="AO11" s="525">
        <f>IF(ROUND(IF(M11="",0,DEGREES(ACOS(AK11))),4)=90,0,IF(M11="","",DEGREES(ACOS(AK11))))</f>
        <v>15.135831151959476</v>
      </c>
      <c r="AP11" s="528">
        <f t="shared" si="111"/>
        <v>3.3043954220514706</v>
      </c>
      <c r="AQ11" s="529">
        <f>IF(M11="","",DEGREES(ATAN(($AS$5*SIN(RADIANS(90)))/(($X11*2*PI())-($AS$5*COS(RADIANS(90)))))))</f>
        <v>1.7535381637074354</v>
      </c>
      <c r="AR11" s="979"/>
      <c r="AS11" s="954">
        <f t="shared" ref="AS11:AS42" si="147">IF(G11="","",IF(AND(W11&lt;(AS10+180),W11&gt;(AS10-180)),W11,IF(W11&gt;(AS10+180),W11-360,IF(W11&lt;(AS10-180),W11+360,"Error"))))</f>
        <v>360.99352883546283</v>
      </c>
      <c r="AT11" s="950">
        <f t="shared" si="14"/>
        <v>-0.17872850275163321</v>
      </c>
      <c r="AU11" s="418"/>
      <c r="AV11" s="164" t="str">
        <f t="shared" si="15"/>
        <v/>
      </c>
      <c r="AW11" s="829" t="str">
        <f>IFERROR(INDEX(MassProp!C$9:C$150,MATCH($M11,MassProp!$B$9:$B$150,0)),"")</f>
        <v/>
      </c>
      <c r="AX11" s="830" t="str">
        <f>IFERROR(INDEX(MassProp!D$9:D$150,MATCH($M11,MassProp!$B$9:$B$150,0)),"")</f>
        <v/>
      </c>
      <c r="AY11" s="831" t="str">
        <f>IFERROR(INDEX(MassProp!E$9:E$150,MATCH($M11,MassProp!$B$9:$B$150,0)),"")</f>
        <v/>
      </c>
      <c r="AZ11" s="297" t="str">
        <f t="shared" ref="AZ11:AZ74" si="148">IF(ISNUMBER(AV11),$AY11*SQRT((2*PI()*$AW11)^2+$AS$5^2),"")</f>
        <v/>
      </c>
      <c r="BA11" s="296" t="str">
        <f t="shared" si="16"/>
        <v/>
      </c>
      <c r="BB11" s="291" t="str">
        <f t="shared" ref="BB11:BB73" si="149">IF(ISNUMBER($AV11),$AX11-($AT11+$AS$5),"")</f>
        <v/>
      </c>
      <c r="BC11" s="9"/>
      <c r="BD11" s="5" t="str">
        <f t="shared" ref="BD11:BD73" si="150">IF(ISNUMBER(AV11),AW11,"")</f>
        <v/>
      </c>
      <c r="BE11" s="6" t="str">
        <f t="shared" si="17"/>
        <v/>
      </c>
      <c r="BF11" s="4" t="str">
        <f t="shared" si="18"/>
        <v/>
      </c>
      <c r="BG11" s="5" t="str">
        <f t="shared" si="19"/>
        <v/>
      </c>
      <c r="BH11" s="10" t="str">
        <f t="shared" si="20"/>
        <v/>
      </c>
      <c r="BI11" s="9" t="str">
        <f t="shared" ref="BI11:BI74" si="151">IF(ISNUMBER($AV11),BF11+0,"")</f>
        <v/>
      </c>
      <c r="BJ11" s="5" t="str">
        <f t="shared" si="21"/>
        <v/>
      </c>
      <c r="BK11" s="8" t="str">
        <f t="shared" si="22"/>
        <v/>
      </c>
      <c r="BL11" s="173" t="str">
        <f t="shared" si="23"/>
        <v/>
      </c>
      <c r="BM11" s="5" t="str">
        <f t="shared" si="24"/>
        <v/>
      </c>
      <c r="BN11" s="6" t="str">
        <f t="shared" si="25"/>
        <v/>
      </c>
      <c r="BO11" s="4" t="str">
        <f t="shared" ref="BO11:BO74" si="152">IF(ISNUMBER($AV11),BJ11*BN11-BM11*BK11-BG11*(BN11-BK11)+BH11*(BM11-BJ11),"")</f>
        <v/>
      </c>
      <c r="BP11" s="5" t="str">
        <f t="shared" ref="BP11:BP74" si="153">IF(ISNUMBER($AV11),BF11*(BN11-BK11)-(BI11*BN11-BL11*BK11)+BH11*(BI11-BL11),"")</f>
        <v/>
      </c>
      <c r="BQ11" s="5" t="str">
        <f t="shared" ref="BQ11:BQ74" si="154">IF(ISNUMBER($AV11),BF11*(BJ11-BM11)-BG11*(BI11-BL11)+(BI11*BM11-BL11*BJ11),"")</f>
        <v/>
      </c>
      <c r="BR11" s="6" t="str">
        <f t="shared" ref="BR11:BR74" si="155">IF(ISNUMBER($AV11),-(BF11*(BJ11*BN11-BM11*BK11)-BG11*(BI11*BN11-BL11*BK11)+BH11*(BI11*BM11-BL11*BJ11)),"")</f>
        <v/>
      </c>
      <c r="BS11" s="4" t="str">
        <f t="shared" si="112"/>
        <v/>
      </c>
      <c r="BT11" s="5" t="str">
        <f t="shared" si="112"/>
        <v/>
      </c>
      <c r="BU11" s="10" t="str">
        <f t="shared" si="113"/>
        <v/>
      </c>
      <c r="BV11" s="9" t="str">
        <f t="shared" si="114"/>
        <v/>
      </c>
      <c r="BW11" s="5" t="str">
        <f t="shared" si="115"/>
        <v/>
      </c>
      <c r="BX11" s="8" t="str">
        <f t="shared" si="116"/>
        <v/>
      </c>
      <c r="BY11" s="173" t="str">
        <f t="shared" si="117"/>
        <v/>
      </c>
      <c r="BZ11" s="5" t="str">
        <f t="shared" si="118"/>
        <v/>
      </c>
      <c r="CA11" s="6" t="str">
        <f t="shared" si="119"/>
        <v/>
      </c>
      <c r="CB11" s="4" t="str">
        <f t="shared" ref="CB11:CB74" si="156">IF(ISNUMBER($AV11),BW11*CA11-BZ11*BX11-BT11*(CA11-BX11)+BU11*(BZ11-BW11),"")</f>
        <v/>
      </c>
      <c r="CC11" s="5" t="str">
        <f t="shared" ref="CC11:CC74" si="157">IF(ISNUMBER($AV11),BS11*(CA11-BX11)-(BV11*CA11-BY11*BX11)+BU11*(BV11-BY11),"")</f>
        <v/>
      </c>
      <c r="CD11" s="5" t="str">
        <f t="shared" ref="CD11:CD74" si="158">IF(ISNUMBER($AV11),BS11*(BW11-BZ11)-BT11*(BV11-BY11)+(BV11*BZ11-BY11*BW11),"")</f>
        <v/>
      </c>
      <c r="CE11" s="6" t="str">
        <f t="shared" ref="CE11:CE74" si="159">IF(ISNUMBER($AV11),-(BS11*(BW11*CA11-BZ11*BX11)-BT11*(BV11*CA11-BY11*BX11)+BU11*(BV11*BZ11-BY11*BW11)),"")</f>
        <v/>
      </c>
      <c r="CF11" s="4" t="str">
        <f t="shared" ref="CF11:CF74" si="160">IF(ISNUMBER($AV11),(BP11*CD11)-(BQ11*CC11),"")</f>
        <v/>
      </c>
      <c r="CG11" s="5" t="str">
        <f t="shared" ref="CG11:CG74" si="161">IF(ISNUMBER($AV11),(BQ11*CB11)-(BO11*CD11),"")</f>
        <v/>
      </c>
      <c r="CH11" s="5" t="str">
        <f t="shared" ref="CH11:CH74" si="162">IF(ISNUMBER($AV11),(BO11*CC11)-(BP11*CB11),"")</f>
        <v/>
      </c>
      <c r="CI11" s="4" t="str">
        <f t="shared" si="120"/>
        <v/>
      </c>
      <c r="CJ11" s="5" t="str">
        <f t="shared" si="121"/>
        <v/>
      </c>
      <c r="CK11" s="8" t="str">
        <f t="shared" si="122"/>
        <v/>
      </c>
      <c r="CL11" s="173" t="str">
        <f t="shared" si="123"/>
        <v/>
      </c>
      <c r="CM11" s="5" t="str">
        <f t="shared" si="124"/>
        <v/>
      </c>
      <c r="CN11" s="6" t="str">
        <f t="shared" si="125"/>
        <v/>
      </c>
      <c r="CO11" s="167" t="str">
        <f t="shared" si="26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63">IF(ISNUMBER($AV11),BF11^2+BG11^2+BH11^2+CI11^2+CJ11^2+CK11^2-2*(BF11*CI11+BG11*CJ11+BH11*CK11)-CO11^2,"")</f>
        <v/>
      </c>
      <c r="CS11" s="8" t="str">
        <f t="shared" ref="CS11:CS74" si="164">IF(ISNUMBER($AV11),CQ11^2-(4*CP11*CR11),"")</f>
        <v/>
      </c>
      <c r="CT11" s="9" t="str">
        <f t="shared" ref="CT11:CT74" si="165">IF(ISNUMBER($AV11),(-CQ11+SQRT(CS11))/(CP11*2),"")</f>
        <v/>
      </c>
      <c r="CU11" s="6" t="str">
        <f t="shared" ref="CU11:CU74" si="166">IF(ISNUMBER($AV11),(-CQ11-SQRT(CS11))/(CP11*2),"")</f>
        <v/>
      </c>
      <c r="CV11" s="4" t="str">
        <f>IF(ISNUMBER($AV11),CI11+($CT11*(CL11-CI11)),"")</f>
        <v/>
      </c>
      <c r="CW11" s="5" t="str">
        <f t="shared" ref="CW11:CW74" si="167">IF(ISNUMBER($AV11),CJ11+($CT11*(CM11-CJ11)),"")</f>
        <v/>
      </c>
      <c r="CX11" s="8" t="str">
        <f t="shared" ref="CX11:CX74" si="168">IF(ISNUMBER($AV11),CK11+($CT11*(CN11-CK11)),"")</f>
        <v/>
      </c>
      <c r="CY11" s="9" t="str">
        <f t="shared" ref="CY11:CY74" si="169">IF(ISNUMBER($AV11),CI11+($CU11*(CL11-CI11)),"")</f>
        <v/>
      </c>
      <c r="CZ11" s="5" t="str">
        <f t="shared" ref="CZ11:CZ74" si="170">IF(ISNUMBER($AV11),CJ11+($CU11*(CM11-CJ11)),"")</f>
        <v/>
      </c>
      <c r="DA11" s="6" t="str">
        <f t="shared" ref="DA11:DA74" si="171">IF(ISNUMBER($AV11),CK11+($CU11*(CN11-CK11)),"")</f>
        <v/>
      </c>
      <c r="DB11" s="4" t="str">
        <f t="shared" ref="DB11:DC42" si="172">IF(ISNUMBER($AV11),0,"")</f>
        <v/>
      </c>
      <c r="DC11" s="5" t="str">
        <f t="shared" si="172"/>
        <v/>
      </c>
      <c r="DD11" s="10" t="str">
        <f t="shared" ref="DD11:DD74" si="173">IF(ISNUMBER($AV11),-10,"")</f>
        <v/>
      </c>
      <c r="DE11" s="9" t="str">
        <f t="shared" ref="DE11:DF42" si="174">IF(ISNUMBER($AV11),0,"")</f>
        <v/>
      </c>
      <c r="DF11" s="5" t="str">
        <f t="shared" si="174"/>
        <v/>
      </c>
      <c r="DG11" s="10" t="str">
        <f t="shared" ref="DG11:DG74" si="175">IF(ISNUMBER($AV11),10,"")</f>
        <v/>
      </c>
      <c r="DH11" s="70" t="str">
        <f t="shared" ref="DH11:DH74" si="176">IF(ISNUMBER($AV11),BD11,"")</f>
        <v/>
      </c>
      <c r="DI11" s="4" t="str">
        <f t="shared" ref="DI11:DI74" si="177">IF(ISNUMBER($AV11),DE11-DB11,"")</f>
        <v/>
      </c>
      <c r="DJ11" s="5" t="str">
        <f t="shared" ref="DJ11:DJ74" si="178">IF(ISNUMBER($AV11),DF11-DC11,"")</f>
        <v/>
      </c>
      <c r="DK11" s="10" t="str">
        <f t="shared" ref="DK11:DK74" si="179">IF(ISNUMBER($AV11),DG11-DD11,"")</f>
        <v/>
      </c>
      <c r="DL11" s="9" t="str">
        <f t="shared" ref="DL11:DL74" si="180">IF(ISNUMBER($AV11),CV11-DB11,"")</f>
        <v/>
      </c>
      <c r="DM11" s="173" t="str">
        <f t="shared" ref="DM11:DM74" si="181">IF(ISNUMBER($AV11),CW11-DC11,"")</f>
        <v/>
      </c>
      <c r="DN11" s="178" t="str">
        <f t="shared" ref="DN11:DN74" si="182">IF(ISNUMBER($AV11),CX11-DD11,"")</f>
        <v/>
      </c>
      <c r="DO11" s="9" t="str">
        <f t="shared" ref="DO11:DO74" si="183">IF(ISNUMBER($AV11),CY11-CV11,"")</f>
        <v/>
      </c>
      <c r="DP11" s="173" t="str">
        <f t="shared" ref="DP11:DP74" si="184">IF(ISNUMBER($AV11),CZ11-CW11,"")</f>
        <v/>
      </c>
      <c r="DQ11" s="11" t="str">
        <f t="shared" ref="DQ11:DQ74" si="185">IF(ISNUMBER($AV11),DA11-CX11,"")</f>
        <v/>
      </c>
      <c r="DR11" s="173" t="str">
        <f t="shared" ref="DR11:DR74" si="186">IF(ISNUMBER($AV11),SUMPRODUCT(DI11:DK11,DL11:DN11),"")</f>
        <v/>
      </c>
      <c r="DS11" s="5" t="str">
        <f t="shared" ref="DS11:DS74" si="187">IF(ISNUMBER($AV11),SUMPRODUCT(DO11:DQ11,DI11:DK11),"")</f>
        <v/>
      </c>
      <c r="DT11" s="5" t="str">
        <f t="shared" ref="DT11:DT74" si="188">IF(ISNUMBER($AV11),SUMPRODUCT(DI11:DK11,DI11:DK11),"")</f>
        <v/>
      </c>
      <c r="DU11" s="5" t="str">
        <f t="shared" ref="DU11:DU74" si="189">IF(ISNUMBER($AV11),SUMPRODUCT(DO11:DQ11,DO11:DQ11),"")</f>
        <v/>
      </c>
      <c r="DV11" s="5" t="str">
        <f t="shared" ref="DV11:DV74" si="190">IF(ISNUMBER($AV11),SUMPRODUCT(DL11:DN11,DO11:DQ11),"")</f>
        <v/>
      </c>
      <c r="DW11" s="5" t="str">
        <f t="shared" ref="DW11:DW74" si="191">IF(ISNUMBER($AV11),SUMPRODUCT(DL11:DN11,DL11:DN11),"")</f>
        <v/>
      </c>
      <c r="DX11" s="167" t="str">
        <f t="shared" ref="DX11:DX74" si="192">IF(ISNUMBER($AV11),DW11-DH11*DH11,"")</f>
        <v/>
      </c>
      <c r="DY11" s="9" t="str">
        <f t="shared" ref="DY11:DY74" si="193">IF(ISNUMBER($AV11),DT11*DU11-DS11*DS11,"")</f>
        <v/>
      </c>
      <c r="DZ11" s="5" t="str">
        <f t="shared" ref="DZ11:DZ74" si="194">IF(ISNUMBER($AV11),DT11*DV11-DS11*DR11,"")</f>
        <v/>
      </c>
      <c r="EA11" s="10" t="str">
        <f t="shared" ref="EA11:EA74" si="195">IF(ISNUMBER($AV11),DT11*DX11-DR11*DR11,"")</f>
        <v/>
      </c>
      <c r="EB11" s="6" t="str">
        <f t="shared" ref="EB11:EB74" si="196">IF(ISNUMBER($AV11),DZ11*DZ11-DY11*EA11,"")</f>
        <v/>
      </c>
      <c r="EC11" s="173" t="str">
        <f t="shared" ref="EC11:EC74" si="197">IF(ISNUMBER($AV11),(-DZ11+SQRT(DZ11^2-DY11*EA11))/DY11,"")</f>
        <v/>
      </c>
      <c r="ED11" s="5" t="str">
        <f t="shared" ref="ED11:ED74" si="198">IF(ISNUMBER($AV11),(-DZ11-SQRT(DZ11^2-DY11*EA11))/DY11,"")</f>
        <v/>
      </c>
      <c r="EE11" s="4" t="str">
        <f t="shared" ref="EE11:EE74" si="199">IF(ISNUMBER($AV11),CV11+DO11*$EC11,"")</f>
        <v/>
      </c>
      <c r="EF11" s="5" t="str">
        <f t="shared" ref="EF11:EF74" si="200">IF(ISNUMBER($AV11),CW11+DP11*$EC11,"")</f>
        <v/>
      </c>
      <c r="EG11" s="10" t="str">
        <f t="shared" ref="EG11:EG74" si="201">IF(ISNUMBER($AV11),CX11+DQ11*$EC11,"")</f>
        <v/>
      </c>
      <c r="EH11" s="9" t="str">
        <f t="shared" ref="EH11:EH74" si="202">IF(ISNUMBER($AV11),CV11+DO11*$ED11,"")</f>
        <v/>
      </c>
      <c r="EI11" s="5" t="str">
        <f t="shared" ref="EI11:EI74" si="203">IF(ISNUMBER($AV11),CW11+DP11*$ED11,"")</f>
        <v/>
      </c>
      <c r="EJ11" s="6" t="str">
        <f t="shared" ref="EJ11:EJ74" si="204">IF(ISNUMBER($AV11),CX11+DQ11*$ED11,"")</f>
        <v/>
      </c>
      <c r="EK11" s="236" t="str">
        <f t="shared" ref="EK11:EK74" si="205">IF(ISNUMBER($AV11),IF(OR($EC11&lt;0,$EC11&gt;1),FALSE,TRUE),"")</f>
        <v/>
      </c>
      <c r="EL11" s="238" t="str">
        <f t="shared" ref="EL11:EL74" si="206">IF(ISNUMBER($AV11),IF(OR($ED11&lt;0,$ED11&gt;1),FALSE,TRUE),"")</f>
        <v/>
      </c>
      <c r="EM11" s="4" t="str">
        <f t="shared" ref="EM11:EM74" si="207">IF(ISNUMBER($AV11),IF($EK11=TRUE,EE11,IF($EL11=TRUE,EH11,"")),"")</f>
        <v/>
      </c>
      <c r="EN11" s="5" t="str">
        <f t="shared" ref="EN11:EN74" si="208">IF(ISNUMBER($AV11),IF($EK11=TRUE,EF11,IF($EL11=TRUE,EI11,"")),"")</f>
        <v/>
      </c>
      <c r="EO11" s="10" t="str">
        <f t="shared" ref="EO11:EO74" si="209">IF(ISNUMBER($AV11),IF($EK11=TRUE,EG11,IF($EL11=TRUE,EJ11,"")),"")</f>
        <v/>
      </c>
      <c r="EP11" s="9" t="str">
        <f t="shared" ref="EP11:EP74" si="210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211">IF(ISNUMBER($AV11),SQRT(EM11^2+EN11^2),"")</f>
        <v/>
      </c>
      <c r="ER11" s="7" t="str">
        <f t="shared" ref="ER11:ER74" si="212">IF(ISNUMBER($AV11),EO11,"")</f>
        <v/>
      </c>
      <c r="ES11" s="21" t="str">
        <f t="shared" si="126"/>
        <v/>
      </c>
      <c r="ET11" s="5" t="str">
        <f t="shared" si="35"/>
        <v/>
      </c>
      <c r="EU11" s="10" t="str">
        <f t="shared" si="36"/>
        <v/>
      </c>
      <c r="EV11" s="174" t="str">
        <f>IF(ISNUMBER($AV11),IF(($EV$1-EP11)&lt;0,(360+($EV$1-EP11)),($EV$1-EP11)),"")</f>
        <v/>
      </c>
      <c r="EW11" s="9" t="str">
        <f t="shared" si="127"/>
        <v/>
      </c>
      <c r="EX11" s="5" t="str">
        <f t="shared" si="37"/>
        <v/>
      </c>
      <c r="EY11" s="6" t="str">
        <f t="shared" ref="EY11:EY74" si="213">IF(ISNUMBER($AV11),EU11,"")</f>
        <v/>
      </c>
      <c r="EZ11" s="51" t="str">
        <f t="shared" ref="EZ11:EZ74" si="214">IF(ISNUMBER($AV11),DEGREES(ATAN($AS$5/($EQ11*2*PI()))),"")</f>
        <v/>
      </c>
      <c r="FA11" s="266" t="str">
        <f t="shared" si="128"/>
        <v/>
      </c>
      <c r="FB11" s="267" t="str">
        <f t="shared" si="129"/>
        <v/>
      </c>
      <c r="FC11" s="269" t="str">
        <f t="shared" si="38"/>
        <v/>
      </c>
      <c r="FD11" s="4" t="str">
        <f t="shared" si="130"/>
        <v/>
      </c>
      <c r="FE11" s="5" t="str">
        <f t="shared" si="39"/>
        <v/>
      </c>
      <c r="FF11" s="7" t="str">
        <f t="shared" ref="FF11:FF74" si="215">IF(ISNUMBER($AV11),FC11,"")</f>
        <v/>
      </c>
      <c r="FG11" s="173" t="str">
        <f t="shared" ref="FG11:FG40" si="216">IF(ISNUMBER($AV11),EW11-FD11,"")</f>
        <v/>
      </c>
      <c r="FH11" s="5" t="str">
        <f t="shared" si="40"/>
        <v/>
      </c>
      <c r="FI11" s="10" t="str">
        <f t="shared" si="41"/>
        <v/>
      </c>
      <c r="FJ11" s="279" t="str">
        <f t="shared" ref="FJ11:FJ74" si="217">IF(ISNUMBER($AV11),DEGREES(ACOS((2-SQRT((FG11)^2+(FH11)^2+(FI11)^2)^2)/2)),"")</f>
        <v/>
      </c>
      <c r="FK11" s="4" t="str">
        <f t="shared" si="42"/>
        <v/>
      </c>
      <c r="FL11" s="5" t="str">
        <f t="shared" ref="FL11:FL73" si="218">IF(ISNUMBER($AV11),SQRT(FA11^2+FB11^2),"")</f>
        <v/>
      </c>
      <c r="FM11" s="8" t="str">
        <f t="shared" ref="FM11:FM73" si="219">IF(ISNUMBER($AV11),SQRT(FG11^2+FH11^2),"")</f>
        <v/>
      </c>
      <c r="FN11" s="9" t="str">
        <f t="shared" ref="FN11:FN73" si="220">IF(ISNUMBER($AV11),DEGREES(ACOS((FK11^2+FL11^2-FM11^2)/(2*FK11*FL11))),"")</f>
        <v/>
      </c>
      <c r="FO11" s="10" t="str">
        <f t="shared" si="43"/>
        <v/>
      </c>
      <c r="FP11" s="277" t="str">
        <f t="shared" si="44"/>
        <v/>
      </c>
      <c r="FQ11" s="173" t="str">
        <f>IF(ISNUMBER($AV11),SIN(RADIANS(FN11)),"")</f>
        <v/>
      </c>
      <c r="FR11" s="10" t="str">
        <f t="shared" ref="FR11:FR74" si="221">IF(ISNUMBER($AV11),COS(RADIANS(FN11)),"")</f>
        <v/>
      </c>
      <c r="FS11" s="9" t="str">
        <f t="shared" ref="FS11:FS74" si="222">IF(ISNUMBER($AV11),FQ11/(FQ11+FR11),"")</f>
        <v/>
      </c>
      <c r="FT11" s="6" t="str">
        <f t="shared" ref="FT11:FT74" si="223">IF(ISNUMBER($AV11),FR11/(FQ11+FR11),"")</f>
        <v/>
      </c>
      <c r="FU11" s="4" t="str">
        <f t="shared" ref="FU11:FU74" si="224">IF(ISNUMBER($AV11),SQRT(EW11^2+EY11^2),"")</f>
        <v/>
      </c>
      <c r="FV11" s="5" t="str">
        <f t="shared" ref="FV11:FV74" si="225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5"/>
        <v/>
      </c>
      <c r="FZ11" s="277" t="str">
        <f>IF(ISNUMBER($AV11),FX11*FY11,"")</f>
        <v/>
      </c>
      <c r="GA11" s="177" t="str">
        <f t="shared" ref="GA11:GA74" si="226">IF(ISNUMBER($AV11),DEGREES(FZ11*SIN(RADIANS(FU11))),"")</f>
        <v/>
      </c>
      <c r="GB11" s="4" t="str">
        <f t="shared" ref="GB11:GB74" si="227">IF(ISNUMBER($AV11),COS(RADIANS(FP11+90))*COS(RADIANS(FZ11)),"")</f>
        <v/>
      </c>
      <c r="GC11" s="5" t="str">
        <f t="shared" ref="GC11:GC74" si="228">IF(ISNUMBER($AV11),SIN(RADIANS(FP11+90))*COS(RADIANS(FZ11)),"")</f>
        <v/>
      </c>
      <c r="GD11" s="10" t="str">
        <f t="shared" ref="GD11:GD74" si="229">IF(ISNUMBER($AV11),-SIN(RADIANS(FZ11)),"")</f>
        <v/>
      </c>
      <c r="GE11" s="311" t="str">
        <f t="shared" ref="GE11:GE74" si="230">IF(ISNUMBER($AV11),SUM(ABS(GB11),ABS(GC11),ABS(GD11)),"")</f>
        <v/>
      </c>
      <c r="GF11" s="341" t="str">
        <f>IF(ISNUMBER($AV11),1/GE11,"")</f>
        <v/>
      </c>
      <c r="GG11" s="285" t="str">
        <f t="shared" si="46"/>
        <v/>
      </c>
      <c r="GH11" s="286" t="str">
        <f t="shared" si="47"/>
        <v/>
      </c>
      <c r="GI11" s="281" t="str">
        <f t="shared" si="48"/>
        <v/>
      </c>
      <c r="GJ11" s="167" t="str">
        <f t="shared" ref="GJ11:GJ74" si="231">IF(ISNUMBER($AV11),AW11,"")</f>
        <v/>
      </c>
      <c r="GK11" s="174" t="str">
        <f t="shared" si="49"/>
        <v/>
      </c>
      <c r="GL11" s="174" t="str">
        <f t="shared" ref="GL11:GL74" si="232">IF(ISNUMBER($AV11),AY11,"")</f>
        <v/>
      </c>
      <c r="GM11" s="9" t="str">
        <f>IF(ISNUMBER($AV11),AZ11,"")</f>
        <v/>
      </c>
      <c r="GN11" s="281" t="str">
        <f t="shared" ref="GN11:GN74" si="233">IF(ISNUMBER($AV11),BA11,"")</f>
        <v/>
      </c>
      <c r="GO11" s="4" t="str">
        <f t="shared" ref="GO11:GO74" si="234">IF(ISNUMBER($AV11),FP11,"")</f>
        <v/>
      </c>
      <c r="GP11" s="8" t="str">
        <f>IF(ISNUMBER($AV11),FZ11,"")</f>
        <v/>
      </c>
      <c r="GQ11" s="177" t="str">
        <f t="shared" ref="GQ11:GQ74" si="235">IF(ISNUMBER($AV11),FJ11,"")</f>
        <v/>
      </c>
      <c r="GR11" s="371" t="str">
        <f>IF(ISNUMBER($AV11),GS11+GU11+GY11,"")</f>
        <v/>
      </c>
      <c r="GS11" s="342" t="str">
        <f>IF(ISNUMBER($AV11),GU11/GH11*GG11,"")</f>
        <v/>
      </c>
      <c r="GT11" s="343" t="str">
        <f t="shared" si="52"/>
        <v/>
      </c>
      <c r="GU11" s="344" t="str">
        <f>IF(ISNUMBER($AV11),$GV11*$GK11,"")</f>
        <v/>
      </c>
      <c r="GV11" s="343" t="str">
        <f>IF(ISNUMBER($AV11),GW11*$GL11,"")</f>
        <v/>
      </c>
      <c r="GW11" s="345" t="str">
        <f>IF(ISNUMBER($AV11),$GW$2,"")</f>
        <v/>
      </c>
      <c r="GX11" s="346" t="str">
        <f t="shared" si="55"/>
        <v/>
      </c>
      <c r="GY11" s="344" t="str">
        <f t="shared" si="56"/>
        <v/>
      </c>
      <c r="GZ11" s="345" t="str">
        <f t="shared" si="57"/>
        <v/>
      </c>
      <c r="HA11" s="342" t="str">
        <f t="shared" si="58"/>
        <v/>
      </c>
      <c r="HB11" s="5" t="str">
        <f t="shared" ref="HB11:HB74" si="236">IF(ISNUMBER($AV11),$EV11,"")</f>
        <v/>
      </c>
      <c r="HC11" s="343" t="str">
        <f t="shared" ref="HC11:HC74" si="237">IF(ISNUMBER($AV11),HA11*COS(RADIANS(HB11)),"")</f>
        <v/>
      </c>
      <c r="HD11" s="345" t="str">
        <f t="shared" ref="HD11:HD74" si="238">IF(ISNUMBER($AV11),HA11*SIN(RADIANS(HB11)),"")</f>
        <v/>
      </c>
      <c r="HE11" s="344" t="str">
        <f t="shared" si="59"/>
        <v/>
      </c>
      <c r="HF11" s="5" t="str">
        <f t="shared" si="60"/>
        <v/>
      </c>
      <c r="HG11" s="343" t="str">
        <f t="shared" ref="HG11:HG74" si="239">IF(ISNUMBER($AV11),HE11*COS(RADIANS(HF11)),"")</f>
        <v/>
      </c>
      <c r="HH11" s="349" t="str">
        <f t="shared" ref="HH11:HH74" si="240">IF(ISNUMBER($AV11),HE11*SIN(RADIANS(HF11)),"")</f>
        <v/>
      </c>
      <c r="HI11" s="317" t="str">
        <f t="shared" si="61"/>
        <v/>
      </c>
      <c r="HJ11" s="336"/>
      <c r="HK11" s="310" t="str">
        <f t="shared" si="131"/>
        <v/>
      </c>
      <c r="HL11" s="348" t="str">
        <f t="shared" si="62"/>
        <v/>
      </c>
      <c r="HM11" s="923" t="str">
        <f t="shared" si="63"/>
        <v/>
      </c>
      <c r="HN11" s="924" t="str">
        <f t="shared" si="64"/>
        <v/>
      </c>
      <c r="HO11" s="925"/>
      <c r="HP11" s="926"/>
      <c r="HQ11" s="924" t="str">
        <f t="shared" si="65"/>
        <v/>
      </c>
      <c r="HR11" s="927" t="str">
        <f t="shared" si="66"/>
        <v/>
      </c>
      <c r="HS11" s="879" t="str">
        <f>IFERROR(SMALL($GJ$9:$GJ$150,($HK10+1)),"")</f>
        <v/>
      </c>
      <c r="HT11" s="889" t="str">
        <f t="shared" si="67"/>
        <v/>
      </c>
      <c r="HU11" s="890" t="str">
        <f t="shared" si="68"/>
        <v/>
      </c>
      <c r="HV11" s="886" t="str">
        <f t="shared" si="69"/>
        <v/>
      </c>
      <c r="HW11" s="880" t="str">
        <f t="shared" si="70"/>
        <v/>
      </c>
      <c r="HX11" s="881" t="str">
        <f t="shared" si="71"/>
        <v/>
      </c>
      <c r="HY11" s="880" t="str">
        <f t="shared" si="72"/>
        <v/>
      </c>
      <c r="HZ11" s="882" t="str">
        <f t="shared" si="73"/>
        <v/>
      </c>
      <c r="IA11" s="883" t="str">
        <f t="shared" si="74"/>
        <v/>
      </c>
      <c r="IB11" s="884" t="str">
        <f t="shared" si="75"/>
        <v/>
      </c>
      <c r="IC11" s="855" t="str">
        <f t="shared" si="76"/>
        <v/>
      </c>
      <c r="ID11" s="351" t="str">
        <f t="shared" si="77"/>
        <v/>
      </c>
      <c r="IE11" s="857" t="str">
        <f t="shared" si="78"/>
        <v/>
      </c>
      <c r="IF11" s="858"/>
      <c r="IG11" s="790" t="str">
        <f>IFERROR(IF($IW11="","",IF($IW11&lt;(((Settings!$C$19/2)*-1)*$IG$8),"Taper","Nose")),"")</f>
        <v/>
      </c>
      <c r="IH11" s="482" t="str">
        <f>IFERROR(IF((((($IY11*COS(RADIANS(180-$JA11)))*COS(RADIANS($JA11)))-(($IZ11*SIN(RADIANS(180-$JA11)))*SIN(RADIANS($JA11))))+$IW11)&lt;(((Settings!$C$19+$IH$8)/2)*-1),"Gage",""),"")</f>
        <v/>
      </c>
      <c r="II11" s="788">
        <f t="shared" ref="II11:II74" si="241">$M11</f>
        <v>1.1080000000000001</v>
      </c>
      <c r="IJ11" s="674" t="str" cm="1">
        <f t="array" ref="IJ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K11" s="677" t="str" cm="1">
        <f t="array" ref="IK11">IFERROR(ROUND(VALUE(IF($IJ11&lt;1,$IJ11+LARGE((IF($M$9:$M$150="",0,$M$9:$M$150)-MOD(IF($M$9:$M$150="",0,$M$9:$M$150),1)),1),$IJ11)),4),"")</f>
        <v/>
      </c>
      <c r="IL11" s="482">
        <f t="shared" si="79"/>
        <v>1313</v>
      </c>
      <c r="IM11" s="482" t="str">
        <f t="shared" ref="IM11:IM74" si="242">IF(ISNUMBER($IK11),INDEX($K$9:$K$150,MATCH($II11,$M$9:$M$150,0)),"")</f>
        <v/>
      </c>
      <c r="IN11" s="670" t="str">
        <f t="shared" si="81"/>
        <v/>
      </c>
      <c r="IO11" s="702"/>
      <c r="IP11" s="5" t="str">
        <f t="shared" si="82"/>
        <v/>
      </c>
      <c r="IQ11" s="714"/>
      <c r="IR11" s="9" t="str">
        <f t="shared" si="132"/>
        <v/>
      </c>
      <c r="IS11" s="5" t="str">
        <f t="shared" si="83"/>
        <v/>
      </c>
      <c r="IT11" s="5" t="str">
        <f t="shared" si="84"/>
        <v/>
      </c>
      <c r="IU11" s="5" t="str">
        <f t="shared" si="85"/>
        <v/>
      </c>
      <c r="IV11" s="670" t="str">
        <f t="shared" si="86"/>
        <v/>
      </c>
      <c r="IW11" s="9" t="str">
        <f t="shared" si="87"/>
        <v/>
      </c>
      <c r="IX11" s="5" t="str">
        <f t="shared" si="88"/>
        <v/>
      </c>
      <c r="IY11" s="5" t="str">
        <f t="shared" si="89"/>
        <v/>
      </c>
      <c r="IZ11" s="5" t="str">
        <f t="shared" si="90"/>
        <v/>
      </c>
      <c r="JA11" s="705" t="str">
        <f t="shared" si="91"/>
        <v/>
      </c>
      <c r="JC11" s="731"/>
      <c r="JD11" s="728" t="str" cm="1">
        <f t="array" ref="JD11">IF($JC11="","",COUNT(IF(IF($IK$9:$IK$150="",$IL$9:$IL$150,"")=$JC11,$II$9:$II$150,"")))</f>
        <v/>
      </c>
      <c r="JE11" s="5"/>
      <c r="JF11" s="5"/>
      <c r="JG11" s="8"/>
      <c r="JH11" s="162"/>
      <c r="JI11" s="162"/>
      <c r="JM11" s="489">
        <f t="shared" si="133"/>
        <v>8</v>
      </c>
      <c r="JN11" s="960">
        <f>($JO11-SMALL($JO$9:$JO$88,1))/((Settings!$C$19/2)-((Settings!$C$19/2)-LARGE($JO$9:$JO$88,1))-SMALL($JO$9:$JO$88,1))</f>
        <v>0.36836468041116954</v>
      </c>
      <c r="JO11" s="162">
        <f t="shared" si="134"/>
        <v>1.5595997987388279</v>
      </c>
      <c r="JP11" s="961">
        <f t="shared" si="135"/>
        <v>12.324640430414302</v>
      </c>
      <c r="JQ11" s="961">
        <f t="shared" si="136"/>
        <v>15.135831151959476</v>
      </c>
      <c r="JS11" s="82">
        <v>3</v>
      </c>
      <c r="JT11" s="322">
        <f t="shared" si="137"/>
        <v>0.77056898891635306</v>
      </c>
      <c r="JU11" s="963">
        <f t="shared" si="138"/>
        <v>0.13806106580564215</v>
      </c>
      <c r="JV11" s="964">
        <v>6</v>
      </c>
      <c r="JW11" s="964">
        <v>17.5</v>
      </c>
      <c r="JX11" s="1">
        <v>0.83589999999999998</v>
      </c>
      <c r="JY11" s="965">
        <f t="shared" si="139"/>
        <v>7.3144891923308961E-2</v>
      </c>
      <c r="JZ11" s="965"/>
      <c r="KA11" s="965"/>
      <c r="KB11" s="977">
        <f t="shared" ref="KB11:KB48" si="243">KB10+1</f>
        <v>3</v>
      </c>
      <c r="KC11" s="971" cm="1">
        <f t="array" ref="KC11">(((INDEX($JV$9:$JV$53,MATCH(INDEX($JU$9:$JU$53,MATCH(TRUE,INDEX($JU$9:$JU$53&gt;$JY11,0),)),$JU$9:$JU$53,0))-INDEX($JV$9:$JV$53,MATCH(INDEX($JU$9:$JU$53,MATCH(TRUE,INDEX($JU$9:$JU$53&gt;$JY11,0),)-1),$JU$9:$JU$53,0)))*(($JY11-INDEX($JU$9:$JU$53,MATCH(TRUE,INDEX($JU$9:$JU$53&gt;$JY11,0),)-1))/(INDEX($JU$9:$JU$53,MATCH(TRUE,INDEX($JU$9:$JU$53&gt;$JY11,0),))-INDEX($JU$9:$JU$53,MATCH(TRUE,INDEX($JU$9:$JU$53&gt;$JY11,0),)-1))))+INDEX($JV$9:$JV$53,MATCH(INDEX($JU$9:$JU$53,MATCH(TRUE,INDEX($JU$9:$JU$53&gt;$JY11,0),)-1),$JU$9:$JU$53,0)))</f>
        <v>9.374526722989291</v>
      </c>
      <c r="KD11" s="969">
        <v>4</v>
      </c>
      <c r="KE11" s="968">
        <f t="shared" si="140"/>
        <v>-5.374526722989291</v>
      </c>
      <c r="KF11" s="972">
        <v>17.5</v>
      </c>
      <c r="KG11" s="966">
        <f t="shared" ref="KG11:KG48" si="244">KD11-KD10</f>
        <v>-2</v>
      </c>
      <c r="KH11" s="966">
        <f t="shared" si="141"/>
        <v>-2.5</v>
      </c>
      <c r="KJ11" s="31"/>
    </row>
    <row r="12" spans="1:296" ht="15" customHeight="1" x14ac:dyDescent="0.25">
      <c r="A12" s="75">
        <f t="shared" si="1"/>
        <v>0.02</v>
      </c>
      <c r="B12" s="578">
        <f t="shared" ref="B12:D12" si="245">IFERROR(O167+($A12*-E12),"")</f>
        <v>3.7387247459773183E-2</v>
      </c>
      <c r="C12" s="572">
        <f t="shared" si="245"/>
        <v>2.2509334002147012</v>
      </c>
      <c r="D12" s="576">
        <f t="shared" si="245"/>
        <v>-6.2247696437987179E-2</v>
      </c>
      <c r="E12" s="580">
        <f t="shared" ref="E12:K12" si="246">R167</f>
        <v>-0.96567566817900163</v>
      </c>
      <c r="F12" s="572">
        <f t="shared" si="246"/>
        <v>3.5042685381898454E-2</v>
      </c>
      <c r="G12" s="579">
        <f t="shared" si="246"/>
        <v>0.25737621119338938</v>
      </c>
      <c r="H12" s="580">
        <f t="shared" si="246"/>
        <v>0.26450000000000001</v>
      </c>
      <c r="I12" s="572">
        <f t="shared" si="246"/>
        <v>0.52</v>
      </c>
      <c r="J12" s="483">
        <f t="shared" si="94"/>
        <v>1.1140000000000001</v>
      </c>
      <c r="K12" s="806">
        <f t="shared" si="246"/>
        <v>1313</v>
      </c>
      <c r="L12" s="716" t="s">
        <v>357</v>
      </c>
      <c r="M12" s="164">
        <f t="shared" si="4"/>
        <v>1.1140000000000001</v>
      </c>
      <c r="N12" s="575">
        <f t="shared" si="5"/>
        <v>3.7387247459773183E-2</v>
      </c>
      <c r="O12" s="572">
        <f t="shared" si="6"/>
        <v>2.2509334002147012</v>
      </c>
      <c r="P12" s="576">
        <f t="shared" si="7"/>
        <v>-6.2247696437987179E-2</v>
      </c>
      <c r="Q12" s="528">
        <f>IF(M12="","",IF(DEGREES(ATAN2(N12,O12))&lt;0,DEGREES(ATAN2(N12,O12))+360,IF(DEGREES(ATAN2(N12,O12))&gt;360,DEGREES(ATAN2(N12,O12))-360,DEGREES(ATAN2(N12,O12)))))</f>
        <v>89.048423854578857</v>
      </c>
      <c r="R12" s="572">
        <f t="shared" si="95"/>
        <v>2.2512438736118163</v>
      </c>
      <c r="S12" s="577">
        <f t="shared" si="96"/>
        <v>-6.2247696437987179E-2</v>
      </c>
      <c r="T12" s="578">
        <f>IF(M12="","",X12*COS(RADIANS(W12)))</f>
        <v>2.2510501366932183</v>
      </c>
      <c r="U12" s="572">
        <f t="shared" si="98"/>
        <v>2.9534057766922004E-2</v>
      </c>
      <c r="V12" s="579">
        <f t="shared" si="145"/>
        <v>-6.2247696437987179E-2</v>
      </c>
      <c r="W12" s="528">
        <f>IF(M12="","",IF(Q12-$Q$8&lt;0,360+Q12-$Q$8,Q12-$Q$8))</f>
        <v>0.75168462425384064</v>
      </c>
      <c r="X12" s="572">
        <f t="shared" si="99"/>
        <v>2.2512438736118163</v>
      </c>
      <c r="Y12" s="573">
        <f t="shared" si="9"/>
        <v>-6.2247696437987179E-2</v>
      </c>
      <c r="Z12" s="575">
        <f t="shared" si="10"/>
        <v>0.96567566817900163</v>
      </c>
      <c r="AA12" s="572">
        <f t="shared" si="11"/>
        <v>-3.5042685381898454E-2</v>
      </c>
      <c r="AB12" s="572">
        <f t="shared" si="12"/>
        <v>-0.25737621119338938</v>
      </c>
      <c r="AC12" s="579">
        <f t="shared" si="100"/>
        <v>1</v>
      </c>
      <c r="AD12" s="580">
        <f t="shared" si="146"/>
        <v>0.96567566817900163</v>
      </c>
      <c r="AE12" s="572">
        <f t="shared" si="101"/>
        <v>-3.5042685381898454E-2</v>
      </c>
      <c r="AF12" s="576">
        <f t="shared" si="102"/>
        <v>-0.25737621119338938</v>
      </c>
      <c r="AG12" s="545">
        <f t="shared" si="103"/>
        <v>-7.7533484863167343</v>
      </c>
      <c r="AH12" s="546">
        <f t="shared" si="104"/>
        <v>15.055278962205012</v>
      </c>
      <c r="AI12" s="528">
        <f t="shared" si="105"/>
        <v>-75.085567426466383</v>
      </c>
      <c r="AJ12" s="529">
        <f t="shared" si="106"/>
        <v>87.92174803358202</v>
      </c>
      <c r="AK12" s="578">
        <f t="shared" ref="AK12:AK105" si="247">IF(M12="","",(COS(RADIANS((90-$Q$8)-W12))*AD12)+(-SIN(RADIANS((90-$Q$8)-W12))*AE12))</f>
        <v>0.9661244569382561</v>
      </c>
      <c r="AL12" s="572">
        <f>IF(M12="","",(SIN(RADIANS((90-$Q$8)-W12))*AD12)+(COS(RADIANS((90-$Q$8)-W12))*AE12))</f>
        <v>-1.9000516242877907E-2</v>
      </c>
      <c r="AM12" s="577">
        <f t="shared" si="108"/>
        <v>-0.25737621119338938</v>
      </c>
      <c r="AN12" s="524">
        <f>IF(M12="","",DEGREES(ATAN2(-AM12,AL12)))</f>
        <v>-4.2221389637638014</v>
      </c>
      <c r="AO12" s="525">
        <f t="shared" si="110"/>
        <v>14.955965203682515</v>
      </c>
      <c r="AP12" s="528">
        <f t="shared" si="111"/>
        <v>-1.1266758209968366</v>
      </c>
      <c r="AQ12" s="529">
        <f t="shared" si="13"/>
        <v>1.2150002562752151</v>
      </c>
      <c r="AR12" s="979"/>
      <c r="AS12" s="954">
        <f t="shared" si="147"/>
        <v>360.75168462425381</v>
      </c>
      <c r="AT12" s="950">
        <f>IF(M12="","",Y12+(((AS12-$AS$9)*$AS$6)*-1))</f>
        <v>-6.4472331962954654E-2</v>
      </c>
      <c r="AU12" s="418"/>
      <c r="AV12" s="164" t="str">
        <f t="shared" si="15"/>
        <v/>
      </c>
      <c r="AW12" s="829" t="str">
        <f>IFERROR(INDEX(MassProp!C$9:C$150,MATCH($M12,MassProp!$B$9:$B$150,0)),"")</f>
        <v/>
      </c>
      <c r="AX12" s="830" t="str">
        <f>IFERROR(INDEX(MassProp!D$9:D$150,MATCH($M12,MassProp!$B$9:$B$150,0)),"")</f>
        <v/>
      </c>
      <c r="AY12" s="831" t="str">
        <f>IFERROR(INDEX(MassProp!E$9:E$150,MATCH($M12,MassProp!$B$9:$B$150,0)),"")</f>
        <v/>
      </c>
      <c r="AZ12" s="297" t="str">
        <f t="shared" si="148"/>
        <v/>
      </c>
      <c r="BA12" s="296" t="str">
        <f t="shared" si="16"/>
        <v/>
      </c>
      <c r="BB12" s="291" t="str">
        <f t="shared" si="149"/>
        <v/>
      </c>
      <c r="BC12" s="9"/>
      <c r="BD12" s="5" t="str">
        <f t="shared" si="150"/>
        <v/>
      </c>
      <c r="BE12" s="6" t="str">
        <f t="shared" si="17"/>
        <v/>
      </c>
      <c r="BF12" s="4" t="str">
        <f t="shared" si="18"/>
        <v/>
      </c>
      <c r="BG12" s="5" t="str">
        <f t="shared" si="19"/>
        <v/>
      </c>
      <c r="BH12" s="10" t="str">
        <f t="shared" si="20"/>
        <v/>
      </c>
      <c r="BI12" s="9" t="str">
        <f t="shared" si="151"/>
        <v/>
      </c>
      <c r="BJ12" s="5" t="str">
        <f t="shared" si="21"/>
        <v/>
      </c>
      <c r="BK12" s="8" t="str">
        <f t="shared" si="22"/>
        <v/>
      </c>
      <c r="BL12" s="173" t="str">
        <f t="shared" si="23"/>
        <v/>
      </c>
      <c r="BM12" s="5" t="str">
        <f t="shared" si="24"/>
        <v/>
      </c>
      <c r="BN12" s="6" t="str">
        <f t="shared" si="25"/>
        <v/>
      </c>
      <c r="BO12" s="4" t="str">
        <f t="shared" si="152"/>
        <v/>
      </c>
      <c r="BP12" s="5" t="str">
        <f t="shared" si="153"/>
        <v/>
      </c>
      <c r="BQ12" s="5" t="str">
        <f t="shared" si="154"/>
        <v/>
      </c>
      <c r="BR12" s="6" t="str">
        <f t="shared" si="155"/>
        <v/>
      </c>
      <c r="BS12" s="4" t="str">
        <f t="shared" si="112"/>
        <v/>
      </c>
      <c r="BT12" s="5" t="str">
        <f t="shared" si="112"/>
        <v/>
      </c>
      <c r="BU12" s="10" t="str">
        <f t="shared" si="113"/>
        <v/>
      </c>
      <c r="BV12" s="9" t="str">
        <f t="shared" si="114"/>
        <v/>
      </c>
      <c r="BW12" s="5" t="str">
        <f t="shared" si="115"/>
        <v/>
      </c>
      <c r="BX12" s="8" t="str">
        <f t="shared" si="116"/>
        <v/>
      </c>
      <c r="BY12" s="173" t="str">
        <f t="shared" si="117"/>
        <v/>
      </c>
      <c r="BZ12" s="5" t="str">
        <f t="shared" si="118"/>
        <v/>
      </c>
      <c r="CA12" s="6" t="str">
        <f t="shared" si="119"/>
        <v/>
      </c>
      <c r="CB12" s="4" t="str">
        <f t="shared" si="156"/>
        <v/>
      </c>
      <c r="CC12" s="5" t="str">
        <f t="shared" si="157"/>
        <v/>
      </c>
      <c r="CD12" s="5" t="str">
        <f t="shared" si="158"/>
        <v/>
      </c>
      <c r="CE12" s="6" t="str">
        <f t="shared" si="159"/>
        <v/>
      </c>
      <c r="CF12" s="4" t="str">
        <f t="shared" si="160"/>
        <v/>
      </c>
      <c r="CG12" s="5" t="str">
        <f t="shared" si="161"/>
        <v/>
      </c>
      <c r="CH12" s="5" t="str">
        <f t="shared" si="162"/>
        <v/>
      </c>
      <c r="CI12" s="4" t="str">
        <f t="shared" si="120"/>
        <v/>
      </c>
      <c r="CJ12" s="5" t="str">
        <f t="shared" si="121"/>
        <v/>
      </c>
      <c r="CK12" s="8" t="str">
        <f t="shared" si="122"/>
        <v/>
      </c>
      <c r="CL12" s="173" t="str">
        <f t="shared" si="123"/>
        <v/>
      </c>
      <c r="CM12" s="5" t="str">
        <f t="shared" si="124"/>
        <v/>
      </c>
      <c r="CN12" s="6" t="str">
        <f t="shared" si="125"/>
        <v/>
      </c>
      <c r="CO12" s="167" t="str">
        <f t="shared" si="26"/>
        <v/>
      </c>
      <c r="CP12" s="4" t="str">
        <f t="shared" ref="CP12:CP74" si="248">IF(ISNUMBER($AV12),(CL12-CI12)^2+(CM12-CJ12)^2+(CN12-CK12)^2,"")</f>
        <v/>
      </c>
      <c r="CQ12" s="5" t="str">
        <f t="shared" ref="CQ12:CQ74" si="249">IF(ISNUMBER($AV12),2*((CL12-CI12)*(CI12-BF12)+(CM12-CJ12)*(CJ12-BG12)+(CN12-CK12)*(CK12-BH12)),"")</f>
        <v/>
      </c>
      <c r="CR12" s="5" t="str">
        <f t="shared" si="163"/>
        <v/>
      </c>
      <c r="CS12" s="8" t="str">
        <f t="shared" si="164"/>
        <v/>
      </c>
      <c r="CT12" s="9" t="str">
        <f t="shared" si="165"/>
        <v/>
      </c>
      <c r="CU12" s="6" t="str">
        <f t="shared" si="166"/>
        <v/>
      </c>
      <c r="CV12" s="4" t="str">
        <f t="shared" ref="CV12:CV74" si="250">IF(ISNUMBER($AV12),CI12+($CT12*(CL12-CI12)),"")</f>
        <v/>
      </c>
      <c r="CW12" s="5" t="str">
        <f t="shared" si="167"/>
        <v/>
      </c>
      <c r="CX12" s="8" t="str">
        <f t="shared" si="168"/>
        <v/>
      </c>
      <c r="CY12" s="9" t="str">
        <f t="shared" si="169"/>
        <v/>
      </c>
      <c r="CZ12" s="5" t="str">
        <f t="shared" si="170"/>
        <v/>
      </c>
      <c r="DA12" s="6" t="str">
        <f t="shared" si="171"/>
        <v/>
      </c>
      <c r="DB12" s="4" t="str">
        <f t="shared" si="172"/>
        <v/>
      </c>
      <c r="DC12" s="5" t="str">
        <f t="shared" si="172"/>
        <v/>
      </c>
      <c r="DD12" s="10" t="str">
        <f t="shared" si="173"/>
        <v/>
      </c>
      <c r="DE12" s="9" t="str">
        <f t="shared" si="174"/>
        <v/>
      </c>
      <c r="DF12" s="5" t="str">
        <f t="shared" si="174"/>
        <v/>
      </c>
      <c r="DG12" s="10" t="str">
        <f t="shared" si="175"/>
        <v/>
      </c>
      <c r="DH12" s="70" t="str">
        <f t="shared" si="176"/>
        <v/>
      </c>
      <c r="DI12" s="4" t="str">
        <f t="shared" si="177"/>
        <v/>
      </c>
      <c r="DJ12" s="5" t="str">
        <f t="shared" si="178"/>
        <v/>
      </c>
      <c r="DK12" s="10" t="str">
        <f t="shared" si="179"/>
        <v/>
      </c>
      <c r="DL12" s="9" t="str">
        <f t="shared" si="180"/>
        <v/>
      </c>
      <c r="DM12" s="173" t="str">
        <f t="shared" si="181"/>
        <v/>
      </c>
      <c r="DN12" s="178" t="str">
        <f t="shared" si="182"/>
        <v/>
      </c>
      <c r="DO12" s="9" t="str">
        <f t="shared" si="183"/>
        <v/>
      </c>
      <c r="DP12" s="173" t="str">
        <f t="shared" si="184"/>
        <v/>
      </c>
      <c r="DQ12" s="11" t="str">
        <f t="shared" si="185"/>
        <v/>
      </c>
      <c r="DR12" s="173" t="str">
        <f t="shared" si="186"/>
        <v/>
      </c>
      <c r="DS12" s="5" t="str">
        <f t="shared" si="187"/>
        <v/>
      </c>
      <c r="DT12" s="5" t="str">
        <f t="shared" si="188"/>
        <v/>
      </c>
      <c r="DU12" s="5" t="str">
        <f t="shared" si="189"/>
        <v/>
      </c>
      <c r="DV12" s="5" t="str">
        <f t="shared" si="190"/>
        <v/>
      </c>
      <c r="DW12" s="5" t="str">
        <f t="shared" si="191"/>
        <v/>
      </c>
      <c r="DX12" s="167" t="str">
        <f t="shared" si="192"/>
        <v/>
      </c>
      <c r="DY12" s="9" t="str">
        <f t="shared" si="193"/>
        <v/>
      </c>
      <c r="DZ12" s="5" t="str">
        <f t="shared" si="194"/>
        <v/>
      </c>
      <c r="EA12" s="10" t="str">
        <f t="shared" si="195"/>
        <v/>
      </c>
      <c r="EB12" s="6" t="str">
        <f t="shared" si="196"/>
        <v/>
      </c>
      <c r="EC12" s="173" t="str">
        <f t="shared" si="197"/>
        <v/>
      </c>
      <c r="ED12" s="5" t="str">
        <f t="shared" si="198"/>
        <v/>
      </c>
      <c r="EE12" s="4" t="str">
        <f t="shared" si="199"/>
        <v/>
      </c>
      <c r="EF12" s="5" t="str">
        <f t="shared" si="200"/>
        <v/>
      </c>
      <c r="EG12" s="10" t="str">
        <f t="shared" si="201"/>
        <v/>
      </c>
      <c r="EH12" s="9" t="str">
        <f t="shared" si="202"/>
        <v/>
      </c>
      <c r="EI12" s="5" t="str">
        <f t="shared" si="203"/>
        <v/>
      </c>
      <c r="EJ12" s="6" t="str">
        <f t="shared" si="204"/>
        <v/>
      </c>
      <c r="EK12" s="236" t="str">
        <f t="shared" si="205"/>
        <v/>
      </c>
      <c r="EL12" s="238" t="str">
        <f t="shared" si="206"/>
        <v/>
      </c>
      <c r="EM12" s="4" t="str">
        <f t="shared" si="207"/>
        <v/>
      </c>
      <c r="EN12" s="5" t="str">
        <f t="shared" si="208"/>
        <v/>
      </c>
      <c r="EO12" s="10" t="str">
        <f t="shared" si="209"/>
        <v/>
      </c>
      <c r="EP12" s="9" t="str">
        <f t="shared" si="210"/>
        <v/>
      </c>
      <c r="EQ12" s="5" t="str">
        <f t="shared" si="211"/>
        <v/>
      </c>
      <c r="ER12" s="7" t="str">
        <f t="shared" si="212"/>
        <v/>
      </c>
      <c r="ES12" s="21" t="str">
        <f t="shared" si="126"/>
        <v/>
      </c>
      <c r="ET12" s="5" t="str">
        <f t="shared" si="35"/>
        <v/>
      </c>
      <c r="EU12" s="10" t="str">
        <f t="shared" si="36"/>
        <v/>
      </c>
      <c r="EV12" s="174" t="str">
        <f>IF(ISNUMBER($AV12),IF(($EV$1-EP12)&lt;0,(360+($EV$1-EP12)),($EV$1-EP12)),"")</f>
        <v/>
      </c>
      <c r="EW12" s="9" t="str">
        <f t="shared" si="127"/>
        <v/>
      </c>
      <c r="EX12" s="5" t="str">
        <f t="shared" si="37"/>
        <v/>
      </c>
      <c r="EY12" s="6" t="str">
        <f t="shared" si="213"/>
        <v/>
      </c>
      <c r="EZ12" s="51" t="str">
        <f t="shared" si="214"/>
        <v/>
      </c>
      <c r="FA12" s="266" t="str">
        <f t="shared" si="128"/>
        <v/>
      </c>
      <c r="FB12" s="267" t="str">
        <f t="shared" si="129"/>
        <v/>
      </c>
      <c r="FC12" s="269" t="str">
        <f t="shared" si="38"/>
        <v/>
      </c>
      <c r="FD12" s="4" t="str">
        <f t="shared" si="130"/>
        <v/>
      </c>
      <c r="FE12" s="5" t="str">
        <f t="shared" si="39"/>
        <v/>
      </c>
      <c r="FF12" s="7" t="str">
        <f t="shared" si="215"/>
        <v/>
      </c>
      <c r="FG12" s="173" t="str">
        <f t="shared" si="216"/>
        <v/>
      </c>
      <c r="FH12" s="5" t="str">
        <f t="shared" si="40"/>
        <v/>
      </c>
      <c r="FI12" s="10" t="str">
        <f t="shared" si="41"/>
        <v/>
      </c>
      <c r="FJ12" s="279" t="str">
        <f t="shared" si="217"/>
        <v/>
      </c>
      <c r="FK12" s="4" t="str">
        <f t="shared" si="42"/>
        <v/>
      </c>
      <c r="FL12" s="5" t="str">
        <f t="shared" si="218"/>
        <v/>
      </c>
      <c r="FM12" s="8" t="str">
        <f t="shared" si="219"/>
        <v/>
      </c>
      <c r="FN12" s="9" t="str">
        <f t="shared" si="220"/>
        <v/>
      </c>
      <c r="FO12" s="10" t="str">
        <f t="shared" si="43"/>
        <v/>
      </c>
      <c r="FP12" s="277" t="str">
        <f t="shared" si="44"/>
        <v/>
      </c>
      <c r="FQ12" s="173" t="str">
        <f t="shared" ref="FQ12:FQ74" si="251">IF(ISNUMBER($AV12),SIN(RADIANS(FN12)),"")</f>
        <v/>
      </c>
      <c r="FR12" s="10" t="str">
        <f t="shared" si="221"/>
        <v/>
      </c>
      <c r="FS12" s="9" t="str">
        <f t="shared" si="222"/>
        <v/>
      </c>
      <c r="FT12" s="6" t="str">
        <f t="shared" si="223"/>
        <v/>
      </c>
      <c r="FU12" s="4" t="str">
        <f t="shared" si="224"/>
        <v/>
      </c>
      <c r="FV12" s="5" t="str">
        <f t="shared" si="225"/>
        <v/>
      </c>
      <c r="FW12" s="8" t="str">
        <f t="shared" ref="FW12:FW74" si="252">IF(ISNUMBER($AV12),SQRT(FG12^2+FI12^2),"")</f>
        <v/>
      </c>
      <c r="FX12" s="9" t="str">
        <f t="shared" ref="FX12:FX74" si="253">IF(ISNUMBER($AV12),DEGREES(ACOS((FU12^2+FV12^2-FW12^2)/(2*FU12*FV12))),"")</f>
        <v/>
      </c>
      <c r="FY12" s="10" t="str">
        <f t="shared" si="45"/>
        <v/>
      </c>
      <c r="FZ12" s="277" t="str">
        <f t="shared" ref="FZ12:FZ74" si="254">IF(ISNUMBER($AV12),FX12*FY12,"")</f>
        <v/>
      </c>
      <c r="GA12" s="177" t="str">
        <f t="shared" si="226"/>
        <v/>
      </c>
      <c r="GB12" s="4" t="str">
        <f t="shared" si="227"/>
        <v/>
      </c>
      <c r="GC12" s="5" t="str">
        <f t="shared" si="228"/>
        <v/>
      </c>
      <c r="GD12" s="10" t="str">
        <f t="shared" si="229"/>
        <v/>
      </c>
      <c r="GE12" s="311" t="str">
        <f t="shared" si="230"/>
        <v/>
      </c>
      <c r="GF12" s="341" t="str">
        <f t="shared" ref="GF12:GF74" si="255">IF(ISNUMBER($AV12),1/GE12,"")</f>
        <v/>
      </c>
      <c r="GG12" s="285" t="str">
        <f t="shared" si="46"/>
        <v/>
      </c>
      <c r="GH12" s="286" t="str">
        <f t="shared" si="47"/>
        <v/>
      </c>
      <c r="GI12" s="281" t="str">
        <f t="shared" si="48"/>
        <v/>
      </c>
      <c r="GJ12" s="167" t="str">
        <f t="shared" si="231"/>
        <v/>
      </c>
      <c r="GK12" s="174" t="str">
        <f t="shared" si="49"/>
        <v/>
      </c>
      <c r="GL12" s="174" t="str">
        <f t="shared" si="232"/>
        <v/>
      </c>
      <c r="GM12" s="177" t="str">
        <f t="shared" ref="GM12:GM74" si="256">IF(ISNUMBER($AV12),AZ12,"")</f>
        <v/>
      </c>
      <c r="GN12" s="280" t="str">
        <f t="shared" si="233"/>
        <v/>
      </c>
      <c r="GO12" s="4" t="str">
        <f t="shared" si="234"/>
        <v/>
      </c>
      <c r="GP12" s="8" t="str">
        <f t="shared" ref="GP12:GP74" si="257">IF(ISNUMBER($AV12),FZ12,"")</f>
        <v/>
      </c>
      <c r="GQ12" s="177" t="str">
        <f t="shared" si="235"/>
        <v/>
      </c>
      <c r="GR12" s="371" t="str">
        <f t="shared" ref="GR12:GR74" si="258">IF(ISNUMBER($AV12),GS12+GU12+GY12,"")</f>
        <v/>
      </c>
      <c r="GS12" s="342" t="str">
        <f t="shared" si="51"/>
        <v/>
      </c>
      <c r="GT12" s="343" t="str">
        <f t="shared" si="52"/>
        <v/>
      </c>
      <c r="GU12" s="344" t="str">
        <f>IF(ISNUMBER($AV12),$GV12*$GK12,"")</f>
        <v/>
      </c>
      <c r="GV12" s="343" t="str">
        <f>IF(ISNUMBER($AV12),GW12*$GL12,"")</f>
        <v/>
      </c>
      <c r="GW12" s="345" t="str">
        <f t="shared" si="54"/>
        <v/>
      </c>
      <c r="GX12" s="346" t="str">
        <f>IF(ISNUMBER($AV12),($GJ12/12)*$GV12,"")</f>
        <v/>
      </c>
      <c r="GY12" s="344" t="str">
        <f t="shared" si="56"/>
        <v/>
      </c>
      <c r="GZ12" s="345" t="str">
        <f t="shared" si="57"/>
        <v/>
      </c>
      <c r="HA12" s="342" t="str">
        <f t="shared" si="58"/>
        <v/>
      </c>
      <c r="HB12" s="5" t="str">
        <f t="shared" si="236"/>
        <v/>
      </c>
      <c r="HC12" s="343" t="str">
        <f t="shared" si="237"/>
        <v/>
      </c>
      <c r="HD12" s="345" t="str">
        <f t="shared" si="238"/>
        <v/>
      </c>
      <c r="HE12" s="344" t="str">
        <f t="shared" si="59"/>
        <v/>
      </c>
      <c r="HF12" s="5" t="str">
        <f t="shared" si="60"/>
        <v/>
      </c>
      <c r="HG12" s="343" t="str">
        <f t="shared" si="239"/>
        <v/>
      </c>
      <c r="HH12" s="349" t="str">
        <f t="shared" si="240"/>
        <v/>
      </c>
      <c r="HI12" s="317" t="str">
        <f t="shared" si="61"/>
        <v/>
      </c>
      <c r="HJ12" s="336"/>
      <c r="HK12" s="310" t="str">
        <f t="shared" si="131"/>
        <v/>
      </c>
      <c r="HL12" s="348" t="str">
        <f t="shared" si="62"/>
        <v/>
      </c>
      <c r="HM12" s="923" t="str">
        <f t="shared" si="63"/>
        <v/>
      </c>
      <c r="HN12" s="924" t="str">
        <f t="shared" si="64"/>
        <v/>
      </c>
      <c r="HO12" s="925"/>
      <c r="HP12" s="926"/>
      <c r="HQ12" s="924" t="str">
        <f t="shared" si="65"/>
        <v/>
      </c>
      <c r="HR12" s="927" t="str">
        <f t="shared" si="66"/>
        <v/>
      </c>
      <c r="HS12" s="879" t="str">
        <f>IFERROR(SMALL($GJ$9:$GJ$150,($HK11+1)),"")</f>
        <v/>
      </c>
      <c r="HT12" s="889" t="str">
        <f t="shared" si="67"/>
        <v/>
      </c>
      <c r="HU12" s="890" t="str">
        <f t="shared" si="68"/>
        <v/>
      </c>
      <c r="HV12" s="886" t="str">
        <f t="shared" si="69"/>
        <v/>
      </c>
      <c r="HW12" s="880" t="str">
        <f t="shared" si="70"/>
        <v/>
      </c>
      <c r="HX12" s="881" t="str">
        <f t="shared" si="71"/>
        <v/>
      </c>
      <c r="HY12" s="880" t="str">
        <f t="shared" si="72"/>
        <v/>
      </c>
      <c r="HZ12" s="882" t="str">
        <f t="shared" si="73"/>
        <v/>
      </c>
      <c r="IA12" s="883" t="str">
        <f t="shared" si="74"/>
        <v/>
      </c>
      <c r="IB12" s="884" t="str">
        <f t="shared" si="75"/>
        <v/>
      </c>
      <c r="IC12" s="855" t="str">
        <f t="shared" si="76"/>
        <v/>
      </c>
      <c r="ID12" s="351" t="str">
        <f t="shared" si="77"/>
        <v/>
      </c>
      <c r="IE12" s="857" t="str">
        <f t="shared" si="78"/>
        <v/>
      </c>
      <c r="IF12" s="858"/>
      <c r="IG12" s="790" t="str">
        <f>IFERROR(IF($IW12="","",IF($IW12&lt;(((Settings!$C$19/2)*-1)*$IG$8),"Taper","Nose")),"")</f>
        <v/>
      </c>
      <c r="IH12" s="482" t="str">
        <f>IFERROR(IF((((($IY12*COS(RADIANS(180-$JA12)))*COS(RADIANS($JA12)))-(($IZ12*SIN(RADIANS(180-$JA12)))*SIN(RADIANS($JA12))))+$IW12)&lt;(((Settings!$C$19+$IH$8)/2)*-1),"Gage",""),"")</f>
        <v/>
      </c>
      <c r="II12" s="788">
        <f t="shared" si="241"/>
        <v>1.1140000000000001</v>
      </c>
      <c r="IJ12" s="674" t="str" cm="1">
        <f t="array" ref="IJ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K12" s="677" t="str" cm="1">
        <f t="array" ref="IK12">IFERROR(ROUND(VALUE(IF($IJ12&lt;1,$IJ12+LARGE((IF($M$9:$M$150="",0,$M$9:$M$150)-MOD(IF($M$9:$M$150="",0,$M$9:$M$150),1)),1),$IJ12)),4),"")</f>
        <v/>
      </c>
      <c r="IL12" s="482">
        <f t="shared" si="79"/>
        <v>1313</v>
      </c>
      <c r="IM12" s="482" t="str">
        <f t="shared" si="242"/>
        <v/>
      </c>
      <c r="IN12" s="670" t="str">
        <f t="shared" si="81"/>
        <v/>
      </c>
      <c r="IO12" s="702"/>
      <c r="IP12" s="5" t="str">
        <f t="shared" si="82"/>
        <v/>
      </c>
      <c r="IQ12" s="714"/>
      <c r="IR12" s="9" t="str">
        <f t="shared" si="132"/>
        <v/>
      </c>
      <c r="IS12" s="5" t="str">
        <f t="shared" si="83"/>
        <v/>
      </c>
      <c r="IT12" s="5" t="str">
        <f t="shared" si="84"/>
        <v/>
      </c>
      <c r="IU12" s="5" t="str">
        <f t="shared" si="85"/>
        <v/>
      </c>
      <c r="IV12" s="670" t="str">
        <f t="shared" si="86"/>
        <v/>
      </c>
      <c r="IW12" s="9" t="str">
        <f t="shared" si="87"/>
        <v/>
      </c>
      <c r="IX12" s="5" t="str">
        <f t="shared" si="88"/>
        <v/>
      </c>
      <c r="IY12" s="5" t="str">
        <f t="shared" si="89"/>
        <v/>
      </c>
      <c r="IZ12" s="5" t="str">
        <f t="shared" si="90"/>
        <v/>
      </c>
      <c r="JA12" s="705" t="str">
        <f t="shared" si="91"/>
        <v/>
      </c>
      <c r="JC12" s="731"/>
      <c r="JD12" s="728" t="str" cm="1">
        <f t="array" ref="JD12">IF($JC12="","",COUNT(IF(IF($IK$9:$IK$150="",$IL$9:$IL$150,"")=$JC12,$II$9:$II$150,"")))</f>
        <v/>
      </c>
      <c r="JE12" s="5"/>
      <c r="JF12" s="5"/>
      <c r="JG12" s="8"/>
      <c r="JH12" s="162"/>
      <c r="JI12" s="162"/>
      <c r="JM12" s="489">
        <f t="shared" si="133"/>
        <v>14</v>
      </c>
      <c r="JN12" s="960">
        <f>($JO12-SMALL($JO$9:$JO$88,1))/((Settings!$C$19/2)-((Settings!$C$19/2)-LARGE($JO$9:$JO$88,1))-SMALL($JO$9:$JO$88,1))</f>
        <v>0.57024289413971041</v>
      </c>
      <c r="JO12" s="162">
        <f t="shared" si="134"/>
        <v>2.2512438736118163</v>
      </c>
      <c r="JP12" s="961">
        <f t="shared" si="135"/>
        <v>-4.2221389637638014</v>
      </c>
      <c r="JQ12" s="961">
        <f t="shared" si="136"/>
        <v>14.955965203682515</v>
      </c>
      <c r="JS12" s="82">
        <v>4</v>
      </c>
      <c r="JT12" s="322">
        <f t="shared" si="137"/>
        <v>0.92844354714694033</v>
      </c>
      <c r="JU12" s="963">
        <f t="shared" si="138"/>
        <v>0.18414175234174274</v>
      </c>
      <c r="JV12" s="964">
        <v>3</v>
      </c>
      <c r="JW12" s="961">
        <f t="shared" si="92"/>
        <v>15.350843221938074</v>
      </c>
      <c r="JX12" s="1">
        <v>1.0838000000000001</v>
      </c>
      <c r="JY12" s="965">
        <f t="shared" si="139"/>
        <v>0.10962169479554452</v>
      </c>
      <c r="JZ12" s="965"/>
      <c r="KA12" s="965"/>
      <c r="KB12" s="976">
        <f t="shared" si="243"/>
        <v>4</v>
      </c>
      <c r="KC12" s="971" cm="1">
        <f t="array" ref="KC12">(((INDEX($JV$9:$JV$53,MATCH(INDEX($JU$9:$JU$53,MATCH(TRUE,INDEX($JU$9:$JU$53&gt;$JY12,0),)),$JU$9:$JU$53,0))-INDEX($JV$9:$JV$53,MATCH(INDEX($JU$9:$JU$53,MATCH(TRUE,INDEX($JU$9:$JU$53&gt;$JY12,0),)-1),$JU$9:$JU$53,0)))*(($JY12-INDEX($JU$9:$JU$53,MATCH(TRUE,INDEX($JU$9:$JU$53&gt;$JY12,0),)-1))/(INDEX($JU$9:$JU$53,MATCH(TRUE,INDEX($JU$9:$JU$53&gt;$JY12,0),))-INDEX($JU$9:$JU$53,MATCH(TRUE,INDEX($JU$9:$JU$53&gt;$JY12,0),)-1))))+INDEX($JV$9:$JV$53,MATCH(INDEX($JU$9:$JU$53,MATCH(TRUE,INDEX($JU$9:$JU$53&gt;$JY12,0),)-1),$JU$9:$JU$53,0)))</f>
        <v>7.5659879586514966</v>
      </c>
      <c r="KD12" s="968">
        <v>3</v>
      </c>
      <c r="KE12" s="968">
        <f t="shared" si="140"/>
        <v>-4.5659879586514966</v>
      </c>
      <c r="KF12" s="972">
        <v>16</v>
      </c>
      <c r="KG12" s="966">
        <f t="shared" si="244"/>
        <v>-1</v>
      </c>
      <c r="KH12" s="966">
        <f t="shared" si="141"/>
        <v>-1.5</v>
      </c>
      <c r="KJ12" s="31"/>
    </row>
    <row r="13" spans="1:296" ht="15" customHeight="1" x14ac:dyDescent="0.25">
      <c r="A13" s="75">
        <f t="shared" si="1"/>
        <v>0.02</v>
      </c>
      <c r="B13" s="578">
        <f t="shared" ref="B13:D13" si="259">IFERROR(O168+($A13*-E13),"")</f>
        <v>8.6405569425857143E-2</v>
      </c>
      <c r="C13" s="572">
        <f t="shared" si="259"/>
        <v>2.905730063292562</v>
      </c>
      <c r="D13" s="576">
        <f t="shared" si="259"/>
        <v>-0.23470855742453181</v>
      </c>
      <c r="E13" s="580">
        <f t="shared" ref="E13:K13" si="260">R168</f>
        <v>-0.96294683926068059</v>
      </c>
      <c r="F13" s="572">
        <f t="shared" si="260"/>
        <v>0.14018691463299643</v>
      </c>
      <c r="G13" s="579">
        <f t="shared" si="260"/>
        <v>0.23039317204193785</v>
      </c>
      <c r="H13" s="580">
        <f t="shared" si="260"/>
        <v>0.26450000000000001</v>
      </c>
      <c r="I13" s="572">
        <f t="shared" si="260"/>
        <v>0.52</v>
      </c>
      <c r="J13" s="483">
        <f t="shared" si="94"/>
        <v>1.1220000000000001</v>
      </c>
      <c r="K13" s="806">
        <f t="shared" si="260"/>
        <v>1313</v>
      </c>
      <c r="L13" s="717" t="str">
        <f>IF($L12=$JJ$22,$JJ$29,IF($L12=$JK$22,$JK$29,""))</f>
        <v/>
      </c>
      <c r="M13" s="164">
        <f t="shared" si="4"/>
        <v>1.1220000000000001</v>
      </c>
      <c r="N13" s="575">
        <f t="shared" si="5"/>
        <v>8.6405569425857143E-2</v>
      </c>
      <c r="O13" s="572">
        <f t="shared" si="6"/>
        <v>2.905730063292562</v>
      </c>
      <c r="P13" s="576">
        <f t="shared" si="7"/>
        <v>-0.23470855742453181</v>
      </c>
      <c r="Q13" s="528">
        <f t="shared" si="144"/>
        <v>88.296739230325016</v>
      </c>
      <c r="R13" s="572">
        <f t="shared" si="95"/>
        <v>2.9070144690300399</v>
      </c>
      <c r="S13" s="577">
        <f t="shared" si="96"/>
        <v>-0.23470855742453181</v>
      </c>
      <c r="T13" s="578">
        <f>IF(M13="","",X13*COS(RADIANS(W13)))</f>
        <v>2.9070144690300399</v>
      </c>
      <c r="U13" s="572">
        <f t="shared" si="98"/>
        <v>0</v>
      </c>
      <c r="V13" s="579">
        <f t="shared" si="145"/>
        <v>-0.23470855742453181</v>
      </c>
      <c r="W13" s="528">
        <f t="shared" si="8"/>
        <v>0</v>
      </c>
      <c r="X13" s="572">
        <f t="shared" si="99"/>
        <v>2.9070144690300399</v>
      </c>
      <c r="Y13" s="573">
        <f t="shared" si="9"/>
        <v>-0.23470855742453181</v>
      </c>
      <c r="Z13" s="575">
        <f t="shared" si="10"/>
        <v>0.96294683926068059</v>
      </c>
      <c r="AA13" s="572">
        <f t="shared" si="11"/>
        <v>-0.14018691463299643</v>
      </c>
      <c r="AB13" s="572">
        <f t="shared" si="12"/>
        <v>-0.23039317204193785</v>
      </c>
      <c r="AC13" s="579">
        <f t="shared" si="100"/>
        <v>1</v>
      </c>
      <c r="AD13" s="580">
        <f>IF(M13="","",Z13*(1/SQRT(Z13^2+AA13^2+AB13^2)))</f>
        <v>0.96294683926068059</v>
      </c>
      <c r="AE13" s="572">
        <f t="shared" si="101"/>
        <v>-0.14018691463299643</v>
      </c>
      <c r="AF13" s="576">
        <f t="shared" si="102"/>
        <v>-0.23039317204193785</v>
      </c>
      <c r="AG13" s="545">
        <f>IF(M13="","",DEGREES(ATAN2(-AF13,AE13)))</f>
        <v>-31.319182269457436</v>
      </c>
      <c r="AH13" s="546">
        <f t="shared" si="104"/>
        <v>15.645896851338422</v>
      </c>
      <c r="AI13" s="528">
        <f t="shared" si="105"/>
        <v>-76.679779473791712</v>
      </c>
      <c r="AJ13" s="529">
        <f t="shared" si="106"/>
        <v>81.717003314294956</v>
      </c>
      <c r="AK13" s="578">
        <f t="shared" si="247"/>
        <v>0.96668817452252898</v>
      </c>
      <c r="AL13" s="572">
        <f t="shared" si="107"/>
        <v>-0.11150318163511956</v>
      </c>
      <c r="AM13" s="577">
        <f t="shared" si="108"/>
        <v>-0.23039317204193785</v>
      </c>
      <c r="AN13" s="524">
        <f t="shared" si="109"/>
        <v>-25.825548799180581</v>
      </c>
      <c r="AO13" s="525">
        <f t="shared" si="110"/>
        <v>14.830297828073032</v>
      </c>
      <c r="AP13" s="528">
        <f t="shared" si="111"/>
        <v>-6.5797359160300646</v>
      </c>
      <c r="AQ13" s="529">
        <f t="shared" si="13"/>
        <v>0.94097433278575737</v>
      </c>
      <c r="AR13" s="979"/>
      <c r="AS13" s="954">
        <f t="shared" si="147"/>
        <v>360</v>
      </c>
      <c r="AT13" s="950">
        <f t="shared" si="14"/>
        <v>-0.23630678909595446</v>
      </c>
      <c r="AU13" s="418"/>
      <c r="AV13" s="164" t="str">
        <f t="shared" si="15"/>
        <v/>
      </c>
      <c r="AW13" s="829" t="str">
        <f>IFERROR(INDEX(MassProp!C$9:C$150,MATCH($M13,MassProp!$B$9:$B$150,0)),"")</f>
        <v/>
      </c>
      <c r="AX13" s="830" t="str">
        <f>IFERROR(INDEX(MassProp!D$9:D$150,MATCH($M13,MassProp!$B$9:$B$150,0)),"")</f>
        <v/>
      </c>
      <c r="AY13" s="831" t="str">
        <f>IFERROR(INDEX(MassProp!E$9:E$150,MATCH($M13,MassProp!$B$9:$B$150,0)),"")</f>
        <v/>
      </c>
      <c r="AZ13" s="297" t="str">
        <f t="shared" si="148"/>
        <v/>
      </c>
      <c r="BA13" s="296" t="str">
        <f t="shared" si="16"/>
        <v/>
      </c>
      <c r="BB13" s="291" t="str">
        <f t="shared" si="149"/>
        <v/>
      </c>
      <c r="BC13" s="9"/>
      <c r="BD13" s="5" t="str">
        <f t="shared" si="150"/>
        <v/>
      </c>
      <c r="BE13" s="6" t="str">
        <f t="shared" si="17"/>
        <v/>
      </c>
      <c r="BF13" s="4" t="str">
        <f t="shared" si="18"/>
        <v/>
      </c>
      <c r="BG13" s="5" t="str">
        <f t="shared" si="19"/>
        <v/>
      </c>
      <c r="BH13" s="10" t="str">
        <f t="shared" si="20"/>
        <v/>
      </c>
      <c r="BI13" s="9" t="str">
        <f t="shared" si="151"/>
        <v/>
      </c>
      <c r="BJ13" s="5" t="str">
        <f t="shared" si="21"/>
        <v/>
      </c>
      <c r="BK13" s="8" t="str">
        <f t="shared" si="22"/>
        <v/>
      </c>
      <c r="BL13" s="173" t="str">
        <f t="shared" si="23"/>
        <v/>
      </c>
      <c r="BM13" s="5" t="str">
        <f t="shared" si="24"/>
        <v/>
      </c>
      <c r="BN13" s="6" t="str">
        <f t="shared" si="25"/>
        <v/>
      </c>
      <c r="BO13" s="4" t="str">
        <f t="shared" si="152"/>
        <v/>
      </c>
      <c r="BP13" s="5" t="str">
        <f t="shared" si="153"/>
        <v/>
      </c>
      <c r="BQ13" s="5" t="str">
        <f t="shared" si="154"/>
        <v/>
      </c>
      <c r="BR13" s="6" t="str">
        <f t="shared" si="155"/>
        <v/>
      </c>
      <c r="BS13" s="4" t="str">
        <f t="shared" si="112"/>
        <v/>
      </c>
      <c r="BT13" s="5" t="str">
        <f t="shared" si="112"/>
        <v/>
      </c>
      <c r="BU13" s="10" t="str">
        <f t="shared" si="113"/>
        <v/>
      </c>
      <c r="BV13" s="9" t="str">
        <f t="shared" si="114"/>
        <v/>
      </c>
      <c r="BW13" s="5" t="str">
        <f t="shared" si="115"/>
        <v/>
      </c>
      <c r="BX13" s="8" t="str">
        <f t="shared" si="116"/>
        <v/>
      </c>
      <c r="BY13" s="173" t="str">
        <f t="shared" si="117"/>
        <v/>
      </c>
      <c r="BZ13" s="5" t="str">
        <f t="shared" si="118"/>
        <v/>
      </c>
      <c r="CA13" s="6" t="str">
        <f t="shared" si="119"/>
        <v/>
      </c>
      <c r="CB13" s="4" t="str">
        <f t="shared" si="156"/>
        <v/>
      </c>
      <c r="CC13" s="5" t="str">
        <f t="shared" si="157"/>
        <v/>
      </c>
      <c r="CD13" s="5" t="str">
        <f t="shared" si="158"/>
        <v/>
      </c>
      <c r="CE13" s="6" t="str">
        <f t="shared" si="159"/>
        <v/>
      </c>
      <c r="CF13" s="4" t="str">
        <f t="shared" si="160"/>
        <v/>
      </c>
      <c r="CG13" s="5" t="str">
        <f t="shared" si="161"/>
        <v/>
      </c>
      <c r="CH13" s="5" t="str">
        <f t="shared" si="162"/>
        <v/>
      </c>
      <c r="CI13" s="4" t="str">
        <f t="shared" si="120"/>
        <v/>
      </c>
      <c r="CJ13" s="5" t="str">
        <f t="shared" si="121"/>
        <v/>
      </c>
      <c r="CK13" s="8" t="str">
        <f t="shared" si="122"/>
        <v/>
      </c>
      <c r="CL13" s="173" t="str">
        <f t="shared" si="123"/>
        <v/>
      </c>
      <c r="CM13" s="5" t="str">
        <f t="shared" si="124"/>
        <v/>
      </c>
      <c r="CN13" s="6" t="str">
        <f t="shared" si="125"/>
        <v/>
      </c>
      <c r="CO13" s="167" t="str">
        <f t="shared" si="26"/>
        <v/>
      </c>
      <c r="CP13" s="4" t="str">
        <f t="shared" si="248"/>
        <v/>
      </c>
      <c r="CQ13" s="5" t="str">
        <f t="shared" si="249"/>
        <v/>
      </c>
      <c r="CR13" s="5" t="str">
        <f t="shared" si="163"/>
        <v/>
      </c>
      <c r="CS13" s="8" t="str">
        <f t="shared" si="164"/>
        <v/>
      </c>
      <c r="CT13" s="9" t="str">
        <f t="shared" si="165"/>
        <v/>
      </c>
      <c r="CU13" s="6" t="str">
        <f t="shared" si="166"/>
        <v/>
      </c>
      <c r="CV13" s="4" t="str">
        <f t="shared" si="250"/>
        <v/>
      </c>
      <c r="CW13" s="5" t="str">
        <f t="shared" si="167"/>
        <v/>
      </c>
      <c r="CX13" s="8" t="str">
        <f t="shared" si="168"/>
        <v/>
      </c>
      <c r="CY13" s="9" t="str">
        <f t="shared" si="169"/>
        <v/>
      </c>
      <c r="CZ13" s="5" t="str">
        <f t="shared" si="170"/>
        <v/>
      </c>
      <c r="DA13" s="6" t="str">
        <f t="shared" si="171"/>
        <v/>
      </c>
      <c r="DB13" s="4" t="str">
        <f t="shared" si="172"/>
        <v/>
      </c>
      <c r="DC13" s="5" t="str">
        <f t="shared" si="172"/>
        <v/>
      </c>
      <c r="DD13" s="10" t="str">
        <f t="shared" si="173"/>
        <v/>
      </c>
      <c r="DE13" s="9" t="str">
        <f t="shared" si="174"/>
        <v/>
      </c>
      <c r="DF13" s="5" t="str">
        <f t="shared" si="174"/>
        <v/>
      </c>
      <c r="DG13" s="10" t="str">
        <f t="shared" si="175"/>
        <v/>
      </c>
      <c r="DH13" s="70" t="str">
        <f t="shared" si="176"/>
        <v/>
      </c>
      <c r="DI13" s="4" t="str">
        <f t="shared" si="177"/>
        <v/>
      </c>
      <c r="DJ13" s="5" t="str">
        <f t="shared" si="178"/>
        <v/>
      </c>
      <c r="DK13" s="10" t="str">
        <f t="shared" si="179"/>
        <v/>
      </c>
      <c r="DL13" s="9" t="str">
        <f t="shared" si="180"/>
        <v/>
      </c>
      <c r="DM13" s="173" t="str">
        <f t="shared" si="181"/>
        <v/>
      </c>
      <c r="DN13" s="178" t="str">
        <f t="shared" si="182"/>
        <v/>
      </c>
      <c r="DO13" s="9" t="str">
        <f t="shared" si="183"/>
        <v/>
      </c>
      <c r="DP13" s="173" t="str">
        <f t="shared" si="184"/>
        <v/>
      </c>
      <c r="DQ13" s="11" t="str">
        <f t="shared" si="185"/>
        <v/>
      </c>
      <c r="DR13" s="173" t="str">
        <f t="shared" si="186"/>
        <v/>
      </c>
      <c r="DS13" s="5" t="str">
        <f t="shared" si="187"/>
        <v/>
      </c>
      <c r="DT13" s="5" t="str">
        <f t="shared" si="188"/>
        <v/>
      </c>
      <c r="DU13" s="5" t="str">
        <f t="shared" si="189"/>
        <v/>
      </c>
      <c r="DV13" s="5" t="str">
        <f t="shared" si="190"/>
        <v/>
      </c>
      <c r="DW13" s="5" t="str">
        <f t="shared" si="191"/>
        <v/>
      </c>
      <c r="DX13" s="167" t="str">
        <f t="shared" si="192"/>
        <v/>
      </c>
      <c r="DY13" s="9" t="str">
        <f t="shared" si="193"/>
        <v/>
      </c>
      <c r="DZ13" s="5" t="str">
        <f t="shared" si="194"/>
        <v/>
      </c>
      <c r="EA13" s="10" t="str">
        <f t="shared" si="195"/>
        <v/>
      </c>
      <c r="EB13" s="6" t="str">
        <f t="shared" si="196"/>
        <v/>
      </c>
      <c r="EC13" s="173" t="str">
        <f t="shared" si="197"/>
        <v/>
      </c>
      <c r="ED13" s="5" t="str">
        <f t="shared" si="198"/>
        <v/>
      </c>
      <c r="EE13" s="4" t="str">
        <f t="shared" si="199"/>
        <v/>
      </c>
      <c r="EF13" s="5" t="str">
        <f t="shared" si="200"/>
        <v/>
      </c>
      <c r="EG13" s="10" t="str">
        <f t="shared" si="201"/>
        <v/>
      </c>
      <c r="EH13" s="9" t="str">
        <f t="shared" si="202"/>
        <v/>
      </c>
      <c r="EI13" s="5" t="str">
        <f t="shared" si="203"/>
        <v/>
      </c>
      <c r="EJ13" s="6" t="str">
        <f t="shared" si="204"/>
        <v/>
      </c>
      <c r="EK13" s="236" t="str">
        <f t="shared" si="205"/>
        <v/>
      </c>
      <c r="EL13" s="238" t="str">
        <f t="shared" si="206"/>
        <v/>
      </c>
      <c r="EM13" s="4" t="str">
        <f t="shared" si="207"/>
        <v/>
      </c>
      <c r="EN13" s="5" t="str">
        <f t="shared" si="208"/>
        <v/>
      </c>
      <c r="EO13" s="10" t="str">
        <f t="shared" si="209"/>
        <v/>
      </c>
      <c r="EP13" s="9" t="str">
        <f t="shared" si="210"/>
        <v/>
      </c>
      <c r="EQ13" s="5" t="str">
        <f t="shared" si="211"/>
        <v/>
      </c>
      <c r="ER13" s="7" t="str">
        <f t="shared" si="212"/>
        <v/>
      </c>
      <c r="ES13" s="21" t="str">
        <f t="shared" si="126"/>
        <v/>
      </c>
      <c r="ET13" s="5" t="str">
        <f t="shared" si="35"/>
        <v/>
      </c>
      <c r="EU13" s="10" t="str">
        <f t="shared" si="36"/>
        <v/>
      </c>
      <c r="EV13" s="174" t="str">
        <f>IF(ISNUMBER($AV13),IF(($EV$1-EP13)&lt;0,(360+($EV$1-EP13)),($EV$1-EP13)),"")</f>
        <v/>
      </c>
      <c r="EW13" s="9" t="str">
        <f t="shared" si="127"/>
        <v/>
      </c>
      <c r="EX13" s="5" t="str">
        <f t="shared" si="37"/>
        <v/>
      </c>
      <c r="EY13" s="6" t="str">
        <f t="shared" si="213"/>
        <v/>
      </c>
      <c r="EZ13" s="51" t="str">
        <f t="shared" si="214"/>
        <v/>
      </c>
      <c r="FA13" s="266" t="str">
        <f t="shared" si="128"/>
        <v/>
      </c>
      <c r="FB13" s="267" t="str">
        <f t="shared" si="129"/>
        <v/>
      </c>
      <c r="FC13" s="269" t="str">
        <f t="shared" si="38"/>
        <v/>
      </c>
      <c r="FD13" s="4" t="str">
        <f t="shared" si="130"/>
        <v/>
      </c>
      <c r="FE13" s="5" t="str">
        <f t="shared" si="39"/>
        <v/>
      </c>
      <c r="FF13" s="7" t="str">
        <f t="shared" si="215"/>
        <v/>
      </c>
      <c r="FG13" s="173" t="str">
        <f t="shared" si="216"/>
        <v/>
      </c>
      <c r="FH13" s="5" t="str">
        <f t="shared" si="40"/>
        <v/>
      </c>
      <c r="FI13" s="10" t="str">
        <f t="shared" si="41"/>
        <v/>
      </c>
      <c r="FJ13" s="279" t="str">
        <f t="shared" si="217"/>
        <v/>
      </c>
      <c r="FK13" s="4" t="str">
        <f t="shared" si="42"/>
        <v/>
      </c>
      <c r="FL13" s="5" t="str">
        <f t="shared" si="218"/>
        <v/>
      </c>
      <c r="FM13" s="8" t="str">
        <f t="shared" si="219"/>
        <v/>
      </c>
      <c r="FN13" s="9" t="str">
        <f t="shared" si="220"/>
        <v/>
      </c>
      <c r="FO13" s="10" t="str">
        <f t="shared" si="43"/>
        <v/>
      </c>
      <c r="FP13" s="277" t="str">
        <f t="shared" si="44"/>
        <v/>
      </c>
      <c r="FQ13" s="173" t="str">
        <f t="shared" si="251"/>
        <v/>
      </c>
      <c r="FR13" s="10" t="str">
        <f t="shared" si="221"/>
        <v/>
      </c>
      <c r="FS13" s="9" t="str">
        <f t="shared" si="222"/>
        <v/>
      </c>
      <c r="FT13" s="6" t="str">
        <f t="shared" si="223"/>
        <v/>
      </c>
      <c r="FU13" s="4" t="str">
        <f t="shared" si="224"/>
        <v/>
      </c>
      <c r="FV13" s="5" t="str">
        <f t="shared" si="225"/>
        <v/>
      </c>
      <c r="FW13" s="8" t="str">
        <f t="shared" si="252"/>
        <v/>
      </c>
      <c r="FX13" s="9" t="str">
        <f t="shared" si="253"/>
        <v/>
      </c>
      <c r="FY13" s="10" t="str">
        <f t="shared" si="45"/>
        <v/>
      </c>
      <c r="FZ13" s="277" t="str">
        <f t="shared" si="254"/>
        <v/>
      </c>
      <c r="GA13" s="177" t="str">
        <f t="shared" si="226"/>
        <v/>
      </c>
      <c r="GB13" s="4" t="str">
        <f t="shared" si="227"/>
        <v/>
      </c>
      <c r="GC13" s="5" t="str">
        <f t="shared" si="228"/>
        <v/>
      </c>
      <c r="GD13" s="10" t="str">
        <f t="shared" si="229"/>
        <v/>
      </c>
      <c r="GE13" s="311" t="str">
        <f t="shared" si="230"/>
        <v/>
      </c>
      <c r="GF13" s="341" t="str">
        <f t="shared" si="255"/>
        <v/>
      </c>
      <c r="GG13" s="285" t="str">
        <f t="shared" si="46"/>
        <v/>
      </c>
      <c r="GH13" s="286" t="str">
        <f t="shared" si="47"/>
        <v/>
      </c>
      <c r="GI13" s="281" t="str">
        <f t="shared" si="48"/>
        <v/>
      </c>
      <c r="GJ13" s="167" t="str">
        <f t="shared" si="231"/>
        <v/>
      </c>
      <c r="GK13" s="174" t="str">
        <f t="shared" si="49"/>
        <v/>
      </c>
      <c r="GL13" s="174" t="str">
        <f t="shared" si="232"/>
        <v/>
      </c>
      <c r="GM13" s="177" t="str">
        <f t="shared" si="256"/>
        <v/>
      </c>
      <c r="GN13" s="280" t="str">
        <f t="shared" si="233"/>
        <v/>
      </c>
      <c r="GO13" s="4" t="str">
        <f t="shared" si="234"/>
        <v/>
      </c>
      <c r="GP13" s="8" t="str">
        <f t="shared" si="257"/>
        <v/>
      </c>
      <c r="GQ13" s="177" t="str">
        <f t="shared" si="235"/>
        <v/>
      </c>
      <c r="GR13" s="371" t="str">
        <f t="shared" si="258"/>
        <v/>
      </c>
      <c r="GS13" s="342" t="str">
        <f t="shared" si="51"/>
        <v/>
      </c>
      <c r="GT13" s="343" t="str">
        <f t="shared" si="52"/>
        <v/>
      </c>
      <c r="GU13" s="344" t="str">
        <f t="shared" si="53"/>
        <v/>
      </c>
      <c r="GV13" s="343" t="str">
        <f>IF(ISNUMBER($AV13),GW13*$GL13,"")</f>
        <v/>
      </c>
      <c r="GW13" s="345" t="str">
        <f t="shared" si="54"/>
        <v/>
      </c>
      <c r="GX13" s="346" t="str">
        <f>IF(ISNUMBER($AV13),($GJ13/12)*$GV13,"")</f>
        <v/>
      </c>
      <c r="GY13" s="344" t="str">
        <f t="shared" si="56"/>
        <v/>
      </c>
      <c r="GZ13" s="345" t="str">
        <f t="shared" si="57"/>
        <v/>
      </c>
      <c r="HA13" s="342" t="str">
        <f t="shared" si="58"/>
        <v/>
      </c>
      <c r="HB13" s="5" t="str">
        <f t="shared" si="236"/>
        <v/>
      </c>
      <c r="HC13" s="343" t="str">
        <f t="shared" si="237"/>
        <v/>
      </c>
      <c r="HD13" s="345" t="str">
        <f t="shared" si="238"/>
        <v/>
      </c>
      <c r="HE13" s="344" t="str">
        <f t="shared" si="59"/>
        <v/>
      </c>
      <c r="HF13" s="5" t="str">
        <f t="shared" si="60"/>
        <v/>
      </c>
      <c r="HG13" s="343" t="str">
        <f t="shared" si="239"/>
        <v/>
      </c>
      <c r="HH13" s="349" t="str">
        <f t="shared" si="240"/>
        <v/>
      </c>
      <c r="HI13" s="317" t="str">
        <f t="shared" si="61"/>
        <v/>
      </c>
      <c r="HJ13" s="336"/>
      <c r="HK13" s="310" t="str">
        <f t="shared" si="131"/>
        <v/>
      </c>
      <c r="HL13" s="348" t="str">
        <f t="shared" si="62"/>
        <v/>
      </c>
      <c r="HM13" s="923" t="str">
        <f t="shared" si="63"/>
        <v/>
      </c>
      <c r="HN13" s="924" t="str">
        <f t="shared" si="64"/>
        <v/>
      </c>
      <c r="HO13" s="925"/>
      <c r="HP13" s="926"/>
      <c r="HQ13" s="924" t="str">
        <f t="shared" si="65"/>
        <v/>
      </c>
      <c r="HR13" s="927" t="str">
        <f t="shared" si="66"/>
        <v/>
      </c>
      <c r="HS13" s="879" t="str">
        <f t="shared" ref="HS13:HS41" si="261">IFERROR(SMALL($GJ$9:$GJ$150,($HK12+1)),"")</f>
        <v/>
      </c>
      <c r="HT13" s="889" t="str">
        <f t="shared" si="67"/>
        <v/>
      </c>
      <c r="HU13" s="890" t="str">
        <f t="shared" si="68"/>
        <v/>
      </c>
      <c r="HV13" s="886" t="str">
        <f t="shared" si="69"/>
        <v/>
      </c>
      <c r="HW13" s="880" t="str">
        <f t="shared" si="70"/>
        <v/>
      </c>
      <c r="HX13" s="881" t="str">
        <f t="shared" si="71"/>
        <v/>
      </c>
      <c r="HY13" s="880" t="str">
        <f t="shared" si="72"/>
        <v/>
      </c>
      <c r="HZ13" s="882" t="str">
        <f t="shared" si="73"/>
        <v/>
      </c>
      <c r="IA13" s="883" t="str">
        <f t="shared" si="74"/>
        <v/>
      </c>
      <c r="IB13" s="884" t="str">
        <f t="shared" si="75"/>
        <v/>
      </c>
      <c r="IC13" s="855" t="str">
        <f t="shared" si="76"/>
        <v/>
      </c>
      <c r="ID13" s="351" t="str">
        <f t="shared" si="77"/>
        <v/>
      </c>
      <c r="IE13" s="857" t="str">
        <f t="shared" si="78"/>
        <v/>
      </c>
      <c r="IF13" s="858"/>
      <c r="IG13" s="790" t="str">
        <f>IFERROR(IF($IW13="","",IF($IW13&lt;(((Settings!$C$19/2)*-1)*$IG$8),"Taper","Nose")),"")</f>
        <v/>
      </c>
      <c r="IH13" s="482" t="str">
        <f>IFERROR(IF((((($IY13*COS(RADIANS(180-$JA13)))*COS(RADIANS($JA13)))-(($IZ13*SIN(RADIANS(180-$JA13)))*SIN(RADIANS($JA13))))+$IW13)&lt;(((Settings!$C$19+$IH$8)/2)*-1),"Gage",""),"")</f>
        <v/>
      </c>
      <c r="II13" s="788">
        <f t="shared" si="241"/>
        <v>1.1220000000000001</v>
      </c>
      <c r="IJ13" s="674" t="str" cm="1">
        <f t="array" ref="IJ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K13" s="677" t="str" cm="1">
        <f t="array" ref="IK13">IFERROR(ROUND(VALUE(IF($IJ13&lt;1,$IJ13+LARGE((IF($M$9:$M$150="",0,$M$9:$M$150)-MOD(IF($M$9:$M$150="",0,$M$9:$M$150),1)),1),$IJ13)),4),"")</f>
        <v/>
      </c>
      <c r="IL13" s="482">
        <f t="shared" si="79"/>
        <v>1313</v>
      </c>
      <c r="IM13" s="482" t="str">
        <f t="shared" si="242"/>
        <v/>
      </c>
      <c r="IN13" s="670" t="str">
        <f t="shared" si="81"/>
        <v/>
      </c>
      <c r="IO13" s="702"/>
      <c r="IP13" s="5" t="str">
        <f t="shared" si="82"/>
        <v/>
      </c>
      <c r="IQ13" s="714"/>
      <c r="IR13" s="9" t="str">
        <f t="shared" si="132"/>
        <v/>
      </c>
      <c r="IS13" s="5" t="str">
        <f t="shared" si="83"/>
        <v/>
      </c>
      <c r="IT13" s="5" t="str">
        <f t="shared" si="84"/>
        <v/>
      </c>
      <c r="IU13" s="5" t="str">
        <f t="shared" si="85"/>
        <v/>
      </c>
      <c r="IV13" s="670" t="str">
        <f t="shared" si="86"/>
        <v/>
      </c>
      <c r="IW13" s="9" t="str">
        <f t="shared" si="87"/>
        <v/>
      </c>
      <c r="IX13" s="5" t="str">
        <f t="shared" si="88"/>
        <v/>
      </c>
      <c r="IY13" s="5" t="str">
        <f t="shared" si="89"/>
        <v/>
      </c>
      <c r="IZ13" s="5" t="str">
        <f t="shared" si="90"/>
        <v/>
      </c>
      <c r="JA13" s="705" t="str">
        <f t="shared" si="91"/>
        <v/>
      </c>
      <c r="JC13" s="731"/>
      <c r="JD13" s="728" t="str" cm="1">
        <f t="array" ref="JD13">IF($JC13="","",COUNT(IF(IF($IK$9:$IK$150="",$IL$9:$IL$150,"")=$JC13,$II$9:$II$150,"")))</f>
        <v/>
      </c>
      <c r="JE13" s="5"/>
      <c r="JF13" s="5"/>
      <c r="JG13" s="8"/>
      <c r="JH13" s="162"/>
      <c r="JI13" s="162"/>
      <c r="JM13" s="489">
        <f t="shared" si="133"/>
        <v>22</v>
      </c>
      <c r="JN13" s="960">
        <f>($JO13-SMALL($JO$9:$JO$88,1))/((Settings!$C$19/2)-((Settings!$C$19/2)-LARGE($JO$9:$JO$88,1))-SMALL($JO$9:$JO$88,1))</f>
        <v>0.76165029749676738</v>
      </c>
      <c r="JO13" s="162">
        <f t="shared" si="134"/>
        <v>2.9070144690300399</v>
      </c>
      <c r="JP13" s="961">
        <f t="shared" si="135"/>
        <v>-25.825548799180581</v>
      </c>
      <c r="JQ13" s="961">
        <f t="shared" si="136"/>
        <v>14.830297828073032</v>
      </c>
      <c r="JS13" s="82">
        <v>5</v>
      </c>
      <c r="JT13" s="322">
        <f t="shared" si="137"/>
        <v>1.0863148066874011</v>
      </c>
      <c r="JU13" s="963">
        <f t="shared" si="138"/>
        <v>0.23022147605072663</v>
      </c>
      <c r="JV13" s="964">
        <v>3</v>
      </c>
      <c r="JW13" s="961">
        <f t="shared" si="92"/>
        <v>15.294701916780184</v>
      </c>
      <c r="JX13" s="1">
        <v>1.3313999999999999</v>
      </c>
      <c r="JY13" s="965">
        <f t="shared" si="139"/>
        <v>0.14605435470343284</v>
      </c>
      <c r="JZ13" s="965"/>
      <c r="KA13" s="965"/>
      <c r="KB13" s="974">
        <f t="shared" si="243"/>
        <v>5</v>
      </c>
      <c r="KC13" s="971" cm="1">
        <f t="array" ref="KC13">(((INDEX($JV$9:$JV$53,MATCH(INDEX($JU$9:$JU$53,MATCH(TRUE,INDEX($JU$9:$JU$53&gt;$JY13,0),)),$JU$9:$JU$53,0))-INDEX($JV$9:$JV$53,MATCH(INDEX($JU$9:$JU$53,MATCH(TRUE,INDEX($JU$9:$JU$53&gt;$JY13,0),)-1),$JU$9:$JU$53,0)))*(($JY13-INDEX($JU$9:$JU$53,MATCH(TRUE,INDEX($JU$9:$JU$53&gt;$JY13,0),)-1))/(INDEX($JU$9:$JU$53,MATCH(TRUE,INDEX($JU$9:$JU$53&gt;$JY13,0),))-INDEX($JU$9:$JU$53,MATCH(TRUE,INDEX($JU$9:$JU$53&gt;$JY13,0),)-1))))+INDEX($JV$9:$JV$53,MATCH(INDEX($JU$9:$JU$53,MATCH(TRUE,INDEX($JU$9:$JU$53&gt;$JY13,0),)-1),$JU$9:$JU$53,0)))</f>
        <v>5.4796113405431637</v>
      </c>
      <c r="KD13" s="968">
        <v>3</v>
      </c>
      <c r="KE13" s="968">
        <f t="shared" si="140"/>
        <v>-2.4796113405431637</v>
      </c>
      <c r="KF13" s="972">
        <v>15</v>
      </c>
      <c r="KG13" s="966">
        <f t="shared" si="244"/>
        <v>0</v>
      </c>
      <c r="KH13" s="966">
        <f t="shared" si="141"/>
        <v>-1</v>
      </c>
      <c r="KJ13" s="31"/>
    </row>
    <row r="14" spans="1:296" ht="15" customHeight="1" x14ac:dyDescent="0.25">
      <c r="A14" s="75">
        <f t="shared" si="1"/>
        <v>0.02</v>
      </c>
      <c r="B14" s="578">
        <f t="shared" ref="B14:D14" si="262">IFERROR(O169+($A14*-E14),"")</f>
        <v>0.14664496478643327</v>
      </c>
      <c r="C14" s="572">
        <f t="shared" si="262"/>
        <v>3.4219809514037682</v>
      </c>
      <c r="D14" s="576">
        <f t="shared" si="262"/>
        <v>-0.67138321317239458</v>
      </c>
      <c r="E14" s="580">
        <f t="shared" ref="E14:K14" si="263">R169</f>
        <v>-0.92295207988225003</v>
      </c>
      <c r="F14" s="572">
        <f t="shared" si="263"/>
        <v>0.30167815644712354</v>
      </c>
      <c r="G14" s="579">
        <f t="shared" si="263"/>
        <v>0.23906013503655024</v>
      </c>
      <c r="H14" s="580">
        <f t="shared" si="263"/>
        <v>0.26450000000000001</v>
      </c>
      <c r="I14" s="572">
        <f t="shared" si="263"/>
        <v>0.52</v>
      </c>
      <c r="J14" s="483">
        <f t="shared" si="94"/>
        <v>1.1299999999999999</v>
      </c>
      <c r="K14" s="806">
        <f t="shared" si="263"/>
        <v>1313</v>
      </c>
      <c r="L14" s="719" t="s">
        <v>358</v>
      </c>
      <c r="M14" s="164">
        <f t="shared" si="4"/>
        <v>1.1299999999999999</v>
      </c>
      <c r="N14" s="575">
        <f t="shared" si="5"/>
        <v>0.14664496478643327</v>
      </c>
      <c r="O14" s="572">
        <f t="shared" si="6"/>
        <v>3.4219809514037682</v>
      </c>
      <c r="P14" s="576">
        <f t="shared" si="7"/>
        <v>-0.67138321317239458</v>
      </c>
      <c r="Q14" s="528">
        <f t="shared" si="144"/>
        <v>87.546158210866906</v>
      </c>
      <c r="R14" s="572">
        <f t="shared" si="95"/>
        <v>3.4251216587834441</v>
      </c>
      <c r="S14" s="577">
        <f>IF(M14="","",P14)</f>
        <v>-0.67138321317239458</v>
      </c>
      <c r="T14" s="578">
        <f t="shared" si="97"/>
        <v>3.4248277654827657</v>
      </c>
      <c r="U14" s="572">
        <f t="shared" si="98"/>
        <v>-4.4868187458128352E-2</v>
      </c>
      <c r="V14" s="579">
        <f t="shared" si="145"/>
        <v>-0.67138321317239458</v>
      </c>
      <c r="W14" s="528">
        <f t="shared" si="8"/>
        <v>359.24941898054192</v>
      </c>
      <c r="X14" s="572">
        <f t="shared" si="99"/>
        <v>3.4251216587834441</v>
      </c>
      <c r="Y14" s="573">
        <f t="shared" si="9"/>
        <v>-0.67138321317239458</v>
      </c>
      <c r="Z14" s="575">
        <f t="shared" si="10"/>
        <v>0.92295207988225003</v>
      </c>
      <c r="AA14" s="572">
        <f t="shared" si="11"/>
        <v>-0.30167815644712354</v>
      </c>
      <c r="AB14" s="572">
        <f t="shared" si="12"/>
        <v>-0.23906013503655024</v>
      </c>
      <c r="AC14" s="579">
        <f t="shared" si="100"/>
        <v>1</v>
      </c>
      <c r="AD14" s="580">
        <f>IF(M14="","",Z14*(1/SQRT(Z14^2+AA14^2+AB14^2)))</f>
        <v>0.92295207988225003</v>
      </c>
      <c r="AE14" s="572">
        <f t="shared" si="101"/>
        <v>-0.30167815644712354</v>
      </c>
      <c r="AF14" s="576">
        <f t="shared" si="102"/>
        <v>-0.23906013503655024</v>
      </c>
      <c r="AG14" s="545">
        <f t="shared" si="103"/>
        <v>-51.605485758464319</v>
      </c>
      <c r="AH14" s="546">
        <f t="shared" si="104"/>
        <v>22.638455479177651</v>
      </c>
      <c r="AI14" s="528">
        <f t="shared" si="105"/>
        <v>-76.168924578433035</v>
      </c>
      <c r="AJ14" s="529">
        <f t="shared" si="106"/>
        <v>71.899387705644529</v>
      </c>
      <c r="AK14" s="578">
        <f>IF(M14="","",(COS(RADIANS((90-$Q$8)-W14))*AD14)+(-SIN(RADIANS((90-$Q$8)-W14))*AE14))</f>
        <v>0.93502197530177056</v>
      </c>
      <c r="AL14" s="572">
        <f t="shared" si="107"/>
        <v>-0.26188577192944573</v>
      </c>
      <c r="AM14" s="577">
        <f t="shared" si="108"/>
        <v>-0.23906013503655024</v>
      </c>
      <c r="AN14" s="524">
        <f t="shared" si="109"/>
        <v>-47.608881883748332</v>
      </c>
      <c r="AO14" s="525">
        <f t="shared" si="110"/>
        <v>20.76830449400008</v>
      </c>
      <c r="AP14" s="528">
        <f>IF(M14="","",DEGREES(ATAN2(AK14,AL14)))</f>
        <v>-15.646770505222392</v>
      </c>
      <c r="AQ14" s="529">
        <f t="shared" si="13"/>
        <v>0.79865623691984933</v>
      </c>
      <c r="AR14" s="979"/>
      <c r="AS14" s="954">
        <f t="shared" si="147"/>
        <v>359.24941898054192</v>
      </c>
      <c r="AT14" s="950">
        <f>IF(M14="","",Y14+(((AS14-$AS$9)*$AS$6)*-1))</f>
        <v>-0.6723559606609355</v>
      </c>
      <c r="AU14" s="418"/>
      <c r="AV14" s="164" t="str">
        <f t="shared" si="15"/>
        <v/>
      </c>
      <c r="AW14" s="829" t="str">
        <f>IFERROR(INDEX(MassProp!C$9:C$150,MATCH($M14,MassProp!$B$9:$B$150,0)),"")</f>
        <v/>
      </c>
      <c r="AX14" s="830" t="str">
        <f>IFERROR(INDEX(MassProp!D$9:D$150,MATCH($M14,MassProp!$B$9:$B$150,0)),"")</f>
        <v/>
      </c>
      <c r="AY14" s="831" t="str">
        <f>IFERROR(INDEX(MassProp!E$9:E$150,MATCH($M14,MassProp!$B$9:$B$150,0)),"")</f>
        <v/>
      </c>
      <c r="AZ14" s="297" t="str">
        <f t="shared" si="148"/>
        <v/>
      </c>
      <c r="BA14" s="296" t="str">
        <f t="shared" si="16"/>
        <v/>
      </c>
      <c r="BB14" s="291" t="str">
        <f>IF(ISNUMBER($AV14),$AX14-($AT14+$AS$5),"")</f>
        <v/>
      </c>
      <c r="BC14" s="9"/>
      <c r="BD14" s="5" t="str">
        <f t="shared" si="150"/>
        <v/>
      </c>
      <c r="BE14" s="6" t="str">
        <f>IF(ISNUMBER(AV14),Y14+BB14,"")</f>
        <v/>
      </c>
      <c r="BF14" s="4" t="str">
        <f t="shared" si="18"/>
        <v/>
      </c>
      <c r="BG14" s="5" t="str">
        <f t="shared" si="19"/>
        <v/>
      </c>
      <c r="BH14" s="10" t="str">
        <f t="shared" si="20"/>
        <v/>
      </c>
      <c r="BI14" s="9" t="str">
        <f t="shared" si="151"/>
        <v/>
      </c>
      <c r="BJ14" s="5" t="str">
        <f t="shared" si="21"/>
        <v/>
      </c>
      <c r="BK14" s="8" t="str">
        <f t="shared" si="22"/>
        <v/>
      </c>
      <c r="BL14" s="173" t="str">
        <f t="shared" si="23"/>
        <v/>
      </c>
      <c r="BM14" s="5" t="str">
        <f t="shared" si="24"/>
        <v/>
      </c>
      <c r="BN14" s="6" t="str">
        <f t="shared" si="25"/>
        <v/>
      </c>
      <c r="BO14" s="4" t="str">
        <f t="shared" si="152"/>
        <v/>
      </c>
      <c r="BP14" s="5" t="str">
        <f t="shared" si="153"/>
        <v/>
      </c>
      <c r="BQ14" s="5" t="str">
        <f t="shared" si="154"/>
        <v/>
      </c>
      <c r="BR14" s="6" t="str">
        <f t="shared" si="155"/>
        <v/>
      </c>
      <c r="BS14" s="4" t="str">
        <f t="shared" si="112"/>
        <v/>
      </c>
      <c r="BT14" s="5" t="str">
        <f t="shared" si="112"/>
        <v/>
      </c>
      <c r="BU14" s="10" t="str">
        <f t="shared" si="113"/>
        <v/>
      </c>
      <c r="BV14" s="9" t="str">
        <f t="shared" si="114"/>
        <v/>
      </c>
      <c r="BW14" s="5" t="str">
        <f t="shared" si="115"/>
        <v/>
      </c>
      <c r="BX14" s="8" t="str">
        <f t="shared" si="116"/>
        <v/>
      </c>
      <c r="BY14" s="173" t="str">
        <f t="shared" si="117"/>
        <v/>
      </c>
      <c r="BZ14" s="5" t="str">
        <f t="shared" si="118"/>
        <v/>
      </c>
      <c r="CA14" s="6" t="str">
        <f t="shared" si="119"/>
        <v/>
      </c>
      <c r="CB14" s="4" t="str">
        <f t="shared" si="156"/>
        <v/>
      </c>
      <c r="CC14" s="5" t="str">
        <f t="shared" si="157"/>
        <v/>
      </c>
      <c r="CD14" s="5" t="str">
        <f t="shared" si="158"/>
        <v/>
      </c>
      <c r="CE14" s="6" t="str">
        <f t="shared" si="159"/>
        <v/>
      </c>
      <c r="CF14" s="4" t="str">
        <f t="shared" si="160"/>
        <v/>
      </c>
      <c r="CG14" s="5" t="str">
        <f t="shared" si="161"/>
        <v/>
      </c>
      <c r="CH14" s="5" t="str">
        <f t="shared" si="162"/>
        <v/>
      </c>
      <c r="CI14" s="4" t="str">
        <f t="shared" si="120"/>
        <v/>
      </c>
      <c r="CJ14" s="5" t="str">
        <f t="shared" si="121"/>
        <v/>
      </c>
      <c r="CK14" s="8" t="str">
        <f t="shared" si="122"/>
        <v/>
      </c>
      <c r="CL14" s="173" t="str">
        <f t="shared" si="123"/>
        <v/>
      </c>
      <c r="CM14" s="5" t="str">
        <f t="shared" si="124"/>
        <v/>
      </c>
      <c r="CN14" s="6" t="str">
        <f t="shared" si="125"/>
        <v/>
      </c>
      <c r="CO14" s="167" t="str">
        <f t="shared" si="26"/>
        <v/>
      </c>
      <c r="CP14" s="4" t="str">
        <f t="shared" si="248"/>
        <v/>
      </c>
      <c r="CQ14" s="5" t="str">
        <f t="shared" si="249"/>
        <v/>
      </c>
      <c r="CR14" s="5" t="str">
        <f t="shared" si="163"/>
        <v/>
      </c>
      <c r="CS14" s="8" t="str">
        <f t="shared" si="164"/>
        <v/>
      </c>
      <c r="CT14" s="9" t="str">
        <f t="shared" si="165"/>
        <v/>
      </c>
      <c r="CU14" s="6" t="str">
        <f t="shared" si="166"/>
        <v/>
      </c>
      <c r="CV14" s="4" t="str">
        <f>IF(ISNUMBER($AV14),CI14+($CT14*(CL14-CI14)),"")</f>
        <v/>
      </c>
      <c r="CW14" s="5" t="str">
        <f t="shared" si="167"/>
        <v/>
      </c>
      <c r="CX14" s="8" t="str">
        <f t="shared" si="168"/>
        <v/>
      </c>
      <c r="CY14" s="9" t="str">
        <f t="shared" si="169"/>
        <v/>
      </c>
      <c r="CZ14" s="5" t="str">
        <f t="shared" si="170"/>
        <v/>
      </c>
      <c r="DA14" s="6" t="str">
        <f t="shared" si="171"/>
        <v/>
      </c>
      <c r="DB14" s="4" t="str">
        <f t="shared" si="172"/>
        <v/>
      </c>
      <c r="DC14" s="5" t="str">
        <f t="shared" si="172"/>
        <v/>
      </c>
      <c r="DD14" s="10" t="str">
        <f t="shared" si="173"/>
        <v/>
      </c>
      <c r="DE14" s="9" t="str">
        <f t="shared" si="174"/>
        <v/>
      </c>
      <c r="DF14" s="5" t="str">
        <f t="shared" si="174"/>
        <v/>
      </c>
      <c r="DG14" s="10" t="str">
        <f t="shared" si="175"/>
        <v/>
      </c>
      <c r="DH14" s="70" t="str">
        <f t="shared" si="176"/>
        <v/>
      </c>
      <c r="DI14" s="4" t="str">
        <f t="shared" si="177"/>
        <v/>
      </c>
      <c r="DJ14" s="5" t="str">
        <f t="shared" si="178"/>
        <v/>
      </c>
      <c r="DK14" s="10" t="str">
        <f t="shared" si="179"/>
        <v/>
      </c>
      <c r="DL14" s="9" t="str">
        <f t="shared" si="180"/>
        <v/>
      </c>
      <c r="DM14" s="173" t="str">
        <f t="shared" si="181"/>
        <v/>
      </c>
      <c r="DN14" s="178" t="str">
        <f t="shared" si="182"/>
        <v/>
      </c>
      <c r="DO14" s="9" t="str">
        <f t="shared" si="183"/>
        <v/>
      </c>
      <c r="DP14" s="173" t="str">
        <f t="shared" si="184"/>
        <v/>
      </c>
      <c r="DQ14" s="11" t="str">
        <f t="shared" si="185"/>
        <v/>
      </c>
      <c r="DR14" s="173" t="str">
        <f t="shared" si="186"/>
        <v/>
      </c>
      <c r="DS14" s="5" t="str">
        <f t="shared" si="187"/>
        <v/>
      </c>
      <c r="DT14" s="5" t="str">
        <f t="shared" si="188"/>
        <v/>
      </c>
      <c r="DU14" s="5" t="str">
        <f t="shared" si="189"/>
        <v/>
      </c>
      <c r="DV14" s="5" t="str">
        <f t="shared" si="190"/>
        <v/>
      </c>
      <c r="DW14" s="5" t="str">
        <f t="shared" si="191"/>
        <v/>
      </c>
      <c r="DX14" s="167" t="str">
        <f t="shared" si="192"/>
        <v/>
      </c>
      <c r="DY14" s="9" t="str">
        <f t="shared" si="193"/>
        <v/>
      </c>
      <c r="DZ14" s="5" t="str">
        <f t="shared" si="194"/>
        <v/>
      </c>
      <c r="EA14" s="10" t="str">
        <f t="shared" si="195"/>
        <v/>
      </c>
      <c r="EB14" s="6" t="str">
        <f t="shared" si="196"/>
        <v/>
      </c>
      <c r="EC14" s="173" t="str">
        <f t="shared" si="197"/>
        <v/>
      </c>
      <c r="ED14" s="5" t="str">
        <f t="shared" si="198"/>
        <v/>
      </c>
      <c r="EE14" s="4" t="str">
        <f t="shared" si="199"/>
        <v/>
      </c>
      <c r="EF14" s="5" t="str">
        <f t="shared" si="200"/>
        <v/>
      </c>
      <c r="EG14" s="10" t="str">
        <f t="shared" si="201"/>
        <v/>
      </c>
      <c r="EH14" s="9" t="str">
        <f t="shared" si="202"/>
        <v/>
      </c>
      <c r="EI14" s="5" t="str">
        <f t="shared" si="203"/>
        <v/>
      </c>
      <c r="EJ14" s="6" t="str">
        <f t="shared" si="204"/>
        <v/>
      </c>
      <c r="EK14" s="236" t="str">
        <f t="shared" si="205"/>
        <v/>
      </c>
      <c r="EL14" s="238" t="str">
        <f t="shared" si="206"/>
        <v/>
      </c>
      <c r="EM14" s="4" t="str">
        <f t="shared" si="207"/>
        <v/>
      </c>
      <c r="EN14" s="5" t="str">
        <f t="shared" si="208"/>
        <v/>
      </c>
      <c r="EO14" s="10" t="str">
        <f t="shared" si="209"/>
        <v/>
      </c>
      <c r="EP14" s="9" t="str">
        <f t="shared" si="210"/>
        <v/>
      </c>
      <c r="EQ14" s="5" t="str">
        <f t="shared" si="211"/>
        <v/>
      </c>
      <c r="ER14" s="7" t="str">
        <f t="shared" si="212"/>
        <v/>
      </c>
      <c r="ES14" s="21" t="str">
        <f t="shared" si="126"/>
        <v/>
      </c>
      <c r="ET14" s="5" t="str">
        <f t="shared" si="35"/>
        <v/>
      </c>
      <c r="EU14" s="10" t="str">
        <f t="shared" si="36"/>
        <v/>
      </c>
      <c r="EV14" s="174" t="str">
        <f t="shared" ref="EV14:EV40" si="264">IF(ISNUMBER($AV14),IF(($EV$1-EP14)&lt;0,(360+($EV$1-EP14)),($EV$1-EP14)),"")</f>
        <v/>
      </c>
      <c r="EW14" s="9" t="str">
        <f t="shared" si="127"/>
        <v/>
      </c>
      <c r="EX14" s="5" t="str">
        <f t="shared" si="37"/>
        <v/>
      </c>
      <c r="EY14" s="6" t="str">
        <f t="shared" si="213"/>
        <v/>
      </c>
      <c r="EZ14" s="51" t="str">
        <f>IF(ISNUMBER($AV14),DEGREES(ATAN($AS$5/($EQ14*2*PI()))),"")</f>
        <v/>
      </c>
      <c r="FA14" s="266" t="str">
        <f t="shared" si="128"/>
        <v/>
      </c>
      <c r="FB14" s="267" t="str">
        <f t="shared" si="129"/>
        <v/>
      </c>
      <c r="FC14" s="269" t="str">
        <f t="shared" si="38"/>
        <v/>
      </c>
      <c r="FD14" s="4" t="str">
        <f t="shared" si="130"/>
        <v/>
      </c>
      <c r="FE14" s="5" t="str">
        <f t="shared" si="39"/>
        <v/>
      </c>
      <c r="FF14" s="7" t="str">
        <f t="shared" si="215"/>
        <v/>
      </c>
      <c r="FG14" s="173" t="str">
        <f t="shared" si="216"/>
        <v/>
      </c>
      <c r="FH14" s="5" t="str">
        <f t="shared" si="40"/>
        <v/>
      </c>
      <c r="FI14" s="10" t="str">
        <f t="shared" si="41"/>
        <v/>
      </c>
      <c r="FJ14" s="279" t="str">
        <f t="shared" si="217"/>
        <v/>
      </c>
      <c r="FK14" s="4" t="str">
        <f t="shared" si="42"/>
        <v/>
      </c>
      <c r="FL14" s="5" t="str">
        <f t="shared" si="218"/>
        <v/>
      </c>
      <c r="FM14" s="8" t="str">
        <f t="shared" si="219"/>
        <v/>
      </c>
      <c r="FN14" s="9" t="str">
        <f t="shared" si="220"/>
        <v/>
      </c>
      <c r="FO14" s="10" t="str">
        <f t="shared" si="43"/>
        <v/>
      </c>
      <c r="FP14" s="277" t="str">
        <f t="shared" si="44"/>
        <v/>
      </c>
      <c r="FQ14" s="173" t="str">
        <f t="shared" si="251"/>
        <v/>
      </c>
      <c r="FR14" s="10" t="str">
        <f t="shared" si="221"/>
        <v/>
      </c>
      <c r="FS14" s="9" t="str">
        <f t="shared" si="222"/>
        <v/>
      </c>
      <c r="FT14" s="6" t="str">
        <f t="shared" si="223"/>
        <v/>
      </c>
      <c r="FU14" s="4" t="str">
        <f t="shared" si="224"/>
        <v/>
      </c>
      <c r="FV14" s="5" t="str">
        <f t="shared" si="225"/>
        <v/>
      </c>
      <c r="FW14" s="8" t="str">
        <f t="shared" si="252"/>
        <v/>
      </c>
      <c r="FX14" s="9" t="str">
        <f t="shared" si="253"/>
        <v/>
      </c>
      <c r="FY14" s="10" t="str">
        <f t="shared" si="45"/>
        <v/>
      </c>
      <c r="FZ14" s="277" t="str">
        <f t="shared" si="254"/>
        <v/>
      </c>
      <c r="GA14" s="177" t="str">
        <f t="shared" si="226"/>
        <v/>
      </c>
      <c r="GB14" s="4" t="str">
        <f>IF(ISNUMBER($AV14),COS(RADIANS(FP14+90))*COS(RADIANS(FZ14)),"")</f>
        <v/>
      </c>
      <c r="GC14" s="5" t="str">
        <f t="shared" si="228"/>
        <v/>
      </c>
      <c r="GD14" s="10" t="str">
        <f t="shared" si="229"/>
        <v/>
      </c>
      <c r="GE14" s="311" t="str">
        <f t="shared" si="230"/>
        <v/>
      </c>
      <c r="GF14" s="341" t="str">
        <f>IF(ISNUMBER($AV14),1/GE14,"")</f>
        <v/>
      </c>
      <c r="GG14" s="285" t="str">
        <f>IF(ISNUMBER($AV14),ABS(GB14)/(ABS($GB14)+ABS($GC14)+ABS($GD14)),"")</f>
        <v/>
      </c>
      <c r="GH14" s="286" t="str">
        <f>IF(ISNUMBER($AV14),ABS(GC14)/(ABS($GB14)+ABS($GC14)+ABS($GD14)),"")</f>
        <v/>
      </c>
      <c r="GI14" s="281" t="str">
        <f t="shared" si="48"/>
        <v/>
      </c>
      <c r="GJ14" s="167" t="str">
        <f t="shared" si="231"/>
        <v/>
      </c>
      <c r="GK14" s="174" t="str">
        <f t="shared" si="49"/>
        <v/>
      </c>
      <c r="GL14" s="174" t="str">
        <f t="shared" si="232"/>
        <v/>
      </c>
      <c r="GM14" s="177" t="str">
        <f t="shared" si="256"/>
        <v/>
      </c>
      <c r="GN14" s="280" t="str">
        <f t="shared" si="233"/>
        <v/>
      </c>
      <c r="GO14" s="4" t="str">
        <f t="shared" si="234"/>
        <v/>
      </c>
      <c r="GP14" s="8" t="str">
        <f t="shared" si="257"/>
        <v/>
      </c>
      <c r="GQ14" s="177" t="str">
        <f t="shared" si="235"/>
        <v/>
      </c>
      <c r="GR14" s="371" t="str">
        <f t="shared" si="258"/>
        <v/>
      </c>
      <c r="GS14" s="342" t="str">
        <f>IF(ISNUMBER($AV14),GU14/GH14*GG14,"")</f>
        <v/>
      </c>
      <c r="GT14" s="343" t="str">
        <f t="shared" si="52"/>
        <v/>
      </c>
      <c r="GU14" s="344" t="str">
        <f t="shared" si="53"/>
        <v/>
      </c>
      <c r="GV14" s="343" t="str">
        <f t="shared" ref="GV14:GV74" si="265">IF(ISNUMBER($AV14),GW14*$GL14,"")</f>
        <v/>
      </c>
      <c r="GW14" s="345" t="str">
        <f t="shared" si="54"/>
        <v/>
      </c>
      <c r="GX14" s="346" t="str">
        <f t="shared" si="55"/>
        <v/>
      </c>
      <c r="GY14" s="344" t="str">
        <f t="shared" si="56"/>
        <v/>
      </c>
      <c r="GZ14" s="345" t="str">
        <f t="shared" si="57"/>
        <v/>
      </c>
      <c r="HA14" s="342" t="str">
        <f t="shared" si="58"/>
        <v/>
      </c>
      <c r="HB14" s="5" t="str">
        <f t="shared" si="236"/>
        <v/>
      </c>
      <c r="HC14" s="343" t="str">
        <f t="shared" si="237"/>
        <v/>
      </c>
      <c r="HD14" s="345" t="str">
        <f t="shared" si="238"/>
        <v/>
      </c>
      <c r="HE14" s="344" t="str">
        <f t="shared" si="59"/>
        <v/>
      </c>
      <c r="HF14" s="5" t="str">
        <f t="shared" si="60"/>
        <v/>
      </c>
      <c r="HG14" s="343" t="str">
        <f t="shared" si="239"/>
        <v/>
      </c>
      <c r="HH14" s="349" t="str">
        <f t="shared" si="240"/>
        <v/>
      </c>
      <c r="HI14" s="317" t="str">
        <f t="shared" si="61"/>
        <v/>
      </c>
      <c r="HJ14" s="336"/>
      <c r="HK14" s="310" t="str">
        <f t="shared" si="131"/>
        <v/>
      </c>
      <c r="HL14" s="348" t="str">
        <f t="shared" si="62"/>
        <v/>
      </c>
      <c r="HM14" s="923" t="str">
        <f t="shared" si="63"/>
        <v/>
      </c>
      <c r="HN14" s="924" t="str">
        <f t="shared" si="64"/>
        <v/>
      </c>
      <c r="HO14" s="925"/>
      <c r="HP14" s="926"/>
      <c r="HQ14" s="924" t="str">
        <f t="shared" si="65"/>
        <v/>
      </c>
      <c r="HR14" s="927" t="str">
        <f t="shared" si="66"/>
        <v/>
      </c>
      <c r="HS14" s="879" t="str">
        <f t="shared" si="261"/>
        <v/>
      </c>
      <c r="HT14" s="889" t="str">
        <f t="shared" si="67"/>
        <v/>
      </c>
      <c r="HU14" s="890" t="str">
        <f t="shared" si="68"/>
        <v/>
      </c>
      <c r="HV14" s="886" t="str">
        <f t="shared" si="69"/>
        <v/>
      </c>
      <c r="HW14" s="880" t="str">
        <f t="shared" si="70"/>
        <v/>
      </c>
      <c r="HX14" s="881" t="str">
        <f t="shared" si="71"/>
        <v/>
      </c>
      <c r="HY14" s="880" t="str">
        <f t="shared" si="72"/>
        <v/>
      </c>
      <c r="HZ14" s="882" t="str">
        <f t="shared" si="73"/>
        <v/>
      </c>
      <c r="IA14" s="883" t="str">
        <f t="shared" si="74"/>
        <v/>
      </c>
      <c r="IB14" s="884" t="str">
        <f t="shared" si="75"/>
        <v/>
      </c>
      <c r="IC14" s="855" t="str">
        <f t="shared" si="76"/>
        <v/>
      </c>
      <c r="ID14" s="351" t="str">
        <f t="shared" si="77"/>
        <v/>
      </c>
      <c r="IE14" s="857" t="str">
        <f t="shared" si="78"/>
        <v/>
      </c>
      <c r="IF14" s="858"/>
      <c r="IG14" s="790" t="str">
        <f>IFERROR(IF($IW14="","",IF($IW14&lt;(((Settings!$C$19/2)*-1)*$IG$8),"Taper","Nose")),"")</f>
        <v/>
      </c>
      <c r="IH14" s="482" t="str">
        <f>IFERROR(IF((((($IY14*COS(RADIANS(180-$JA14)))*COS(RADIANS($JA14)))-(($IZ14*SIN(RADIANS(180-$JA14)))*SIN(RADIANS($JA14))))+$IW14)&lt;(((Settings!$C$19+$IH$8)/2)*-1),"Gage",""),"")</f>
        <v/>
      </c>
      <c r="II14" s="788">
        <f t="shared" si="241"/>
        <v>1.1299999999999999</v>
      </c>
      <c r="IJ14" s="674" t="str" cm="1">
        <f t="array" ref="IJ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K14" s="677" t="str" cm="1">
        <f t="array" ref="IK14">IFERROR(ROUND(VALUE(IF($IJ14&lt;1,$IJ14+LARGE((IF($M$9:$M$150="",0,$M$9:$M$150)-MOD(IF($M$9:$M$150="",0,$M$9:$M$150),1)),1),$IJ14)),4),"")</f>
        <v/>
      </c>
      <c r="IL14" s="482">
        <f t="shared" si="79"/>
        <v>1313</v>
      </c>
      <c r="IM14" s="482" t="str">
        <f t="shared" si="242"/>
        <v/>
      </c>
      <c r="IN14" s="670" t="str">
        <f t="shared" si="81"/>
        <v/>
      </c>
      <c r="IO14" s="702"/>
      <c r="IP14" s="5" t="str">
        <f t="shared" si="82"/>
        <v/>
      </c>
      <c r="IQ14" s="714"/>
      <c r="IR14" s="9" t="str">
        <f t="shared" si="132"/>
        <v/>
      </c>
      <c r="IS14" s="5" t="str">
        <f t="shared" si="83"/>
        <v/>
      </c>
      <c r="IT14" s="5" t="str">
        <f t="shared" si="84"/>
        <v/>
      </c>
      <c r="IU14" s="5" t="str">
        <f t="shared" si="85"/>
        <v/>
      </c>
      <c r="IV14" s="670" t="str">
        <f t="shared" si="86"/>
        <v/>
      </c>
      <c r="IW14" s="9" t="str">
        <f t="shared" si="87"/>
        <v/>
      </c>
      <c r="IX14" s="5" t="str">
        <f t="shared" si="88"/>
        <v/>
      </c>
      <c r="IY14" s="5" t="str">
        <f t="shared" si="89"/>
        <v/>
      </c>
      <c r="IZ14" s="5" t="str">
        <f t="shared" si="90"/>
        <v/>
      </c>
      <c r="JA14" s="705" t="str">
        <f t="shared" si="91"/>
        <v/>
      </c>
      <c r="JC14" s="732"/>
      <c r="JD14" s="729" t="str" cm="1">
        <f t="array" ref="JD14">IF($JC14="","",COUNT(IF(IF($IK$9:$IK$150="",$IL$9:$IL$150,"")=$JC14,$II$9:$II$150,"")))</f>
        <v/>
      </c>
      <c r="JE14" s="175"/>
      <c r="JF14" s="175"/>
      <c r="JG14" s="665"/>
      <c r="JH14" s="162"/>
      <c r="JI14" s="162"/>
      <c r="JM14" s="489">
        <f t="shared" si="133"/>
        <v>30</v>
      </c>
      <c r="JN14" s="960">
        <f>($JO14-SMALL($JO$9:$JO$88,1))/((Settings!$C$19/2)-((Settings!$C$19/2)-LARGE($JO$9:$JO$88,1))-SMALL($JO$9:$JO$88,1))</f>
        <v>0.91287627887532374</v>
      </c>
      <c r="JO14" s="162">
        <f t="shared" si="134"/>
        <v>3.4251216587834441</v>
      </c>
      <c r="JP14" s="961">
        <f t="shared" si="135"/>
        <v>-47.608881883748332</v>
      </c>
      <c r="JQ14" s="961">
        <f t="shared" si="136"/>
        <v>20.76830449400008</v>
      </c>
      <c r="JS14" s="82">
        <v>6</v>
      </c>
      <c r="JT14" s="322">
        <f t="shared" si="137"/>
        <v>1.2441934813379043</v>
      </c>
      <c r="JU14" s="963">
        <f t="shared" si="138"/>
        <v>0.27630336409426404</v>
      </c>
      <c r="JV14" s="964">
        <v>3</v>
      </c>
      <c r="JW14" s="961">
        <f t="shared" si="92"/>
        <v>15.253928641254697</v>
      </c>
      <c r="JX14" s="1">
        <v>1.5787</v>
      </c>
      <c r="JY14" s="965">
        <f t="shared" si="139"/>
        <v>0.18244287164697401</v>
      </c>
      <c r="JZ14" s="965"/>
      <c r="KA14" s="965"/>
      <c r="KB14" s="977">
        <f t="shared" si="243"/>
        <v>6</v>
      </c>
      <c r="KC14" s="971" cm="1">
        <f t="array" ref="KC14">(((INDEX($JV$9:$JV$53,MATCH(INDEX($JU$9:$JU$53,MATCH(TRUE,INDEX($JU$9:$JU$53&gt;$JY14,0),)),$JU$9:$JU$53,0))-INDEX($JV$9:$JV$53,MATCH(INDEX($JU$9:$JU$53,MATCH(TRUE,INDEX($JU$9:$JU$53&gt;$JY14,0),)-1),$JU$9:$JU$53,0)))*(($JY14-INDEX($JU$9:$JU$53,MATCH(TRUE,INDEX($JU$9:$JU$53&gt;$JY14,0),)-1))/(INDEX($JU$9:$JU$53,MATCH(TRUE,INDEX($JU$9:$JU$53&gt;$JY14,0),))-INDEX($JU$9:$JU$53,MATCH(TRUE,INDEX($JU$9:$JU$53&gt;$JY14,0),)-1))))+INDEX($JV$9:$JV$53,MATCH(INDEX($JU$9:$JU$53,MATCH(TRUE,INDEX($JU$9:$JU$53&gt;$JY14,0),)-1),$JU$9:$JU$53,0)))</f>
        <v>3.1106025640549726</v>
      </c>
      <c r="KD14" s="968">
        <v>3</v>
      </c>
      <c r="KE14" s="968">
        <f t="shared" si="140"/>
        <v>-0.1106025640549726</v>
      </c>
      <c r="KF14" s="972">
        <v>15</v>
      </c>
      <c r="KG14" s="966">
        <f t="shared" si="244"/>
        <v>0</v>
      </c>
      <c r="KH14" s="966">
        <f t="shared" si="141"/>
        <v>0</v>
      </c>
      <c r="KJ14" s="31"/>
    </row>
    <row r="15" spans="1:296" ht="15" customHeight="1" x14ac:dyDescent="0.25">
      <c r="A15" s="75">
        <f t="shared" si="1"/>
        <v>0.02</v>
      </c>
      <c r="B15" s="578">
        <f t="shared" ref="B15:D15" si="266">IFERROR(O170+($A15*-E15),"")</f>
        <v>0.18565044947229817</v>
      </c>
      <c r="C15" s="572">
        <f t="shared" si="266"/>
        <v>3.6936249941390082</v>
      </c>
      <c r="D15" s="576">
        <f t="shared" si="266"/>
        <v>-1.2903454025294154</v>
      </c>
      <c r="E15" s="580">
        <f t="shared" ref="E15:K15" si="267">R170</f>
        <v>-0.85310387022532896</v>
      </c>
      <c r="F15" s="572">
        <f t="shared" si="267"/>
        <v>0.49254808466941546</v>
      </c>
      <c r="G15" s="579">
        <f t="shared" si="267"/>
        <v>0.17207606136547707</v>
      </c>
      <c r="H15" s="580">
        <f t="shared" si="267"/>
        <v>0.26450000000000001</v>
      </c>
      <c r="I15" s="572">
        <f t="shared" si="267"/>
        <v>0.52</v>
      </c>
      <c r="J15" s="483">
        <f t="shared" si="94"/>
        <v>1.1379999999999999</v>
      </c>
      <c r="K15" s="806">
        <f t="shared" si="267"/>
        <v>1313</v>
      </c>
      <c r="L15" s="814" t="str">
        <f>IF($L14=$JJ$22,$JJ$29,IF($L14=$JK$22,$JK$29,""))</f>
        <v/>
      </c>
      <c r="M15" s="164">
        <f t="shared" si="4"/>
        <v>1.1379999999999999</v>
      </c>
      <c r="N15" s="575">
        <f t="shared" si="5"/>
        <v>0.18565044947229817</v>
      </c>
      <c r="O15" s="572">
        <f t="shared" si="6"/>
        <v>3.6936249941390082</v>
      </c>
      <c r="P15" s="576">
        <f t="shared" si="7"/>
        <v>-1.2903454025294154</v>
      </c>
      <c r="Q15" s="528">
        <f t="shared" si="144"/>
        <v>87.122598165265899</v>
      </c>
      <c r="R15" s="572">
        <f t="shared" si="95"/>
        <v>3.6982876695462257</v>
      </c>
      <c r="S15" s="577">
        <f t="shared" si="96"/>
        <v>-1.2903454025294154</v>
      </c>
      <c r="T15" s="578">
        <f t="shared" si="97"/>
        <v>3.6975111528721727</v>
      </c>
      <c r="U15" s="572">
        <f t="shared" si="98"/>
        <v>-7.5782327118851869E-2</v>
      </c>
      <c r="V15" s="579">
        <f t="shared" si="145"/>
        <v>-1.2903454025294154</v>
      </c>
      <c r="W15" s="528">
        <f t="shared" ref="W15:W78" si="268">IF(M15="","",IF(Q15-$Q$8&lt;0,360+Q15-$Q$8,Q15-$Q$8))</f>
        <v>358.82585893494092</v>
      </c>
      <c r="X15" s="572">
        <f>IF(M15="","",R15)</f>
        <v>3.6982876695462257</v>
      </c>
      <c r="Y15" s="573">
        <f t="shared" si="9"/>
        <v>-1.2903454025294154</v>
      </c>
      <c r="Z15" s="575">
        <f t="shared" si="10"/>
        <v>0.85310387022532896</v>
      </c>
      <c r="AA15" s="572">
        <f t="shared" si="11"/>
        <v>-0.49254808466941546</v>
      </c>
      <c r="AB15" s="572">
        <f t="shared" si="12"/>
        <v>-0.17207606136547707</v>
      </c>
      <c r="AC15" s="579">
        <f t="shared" si="100"/>
        <v>1</v>
      </c>
      <c r="AD15" s="580">
        <f t="shared" si="146"/>
        <v>0.85310387022532896</v>
      </c>
      <c r="AE15" s="572">
        <f t="shared" si="101"/>
        <v>-0.49254808466941546</v>
      </c>
      <c r="AF15" s="576">
        <f t="shared" si="102"/>
        <v>-0.17207606136547707</v>
      </c>
      <c r="AG15" s="545">
        <f t="shared" si="103"/>
        <v>-70.742683547456352</v>
      </c>
      <c r="AH15" s="546">
        <f t="shared" si="104"/>
        <v>31.449114387748036</v>
      </c>
      <c r="AI15" s="528">
        <f t="shared" si="105"/>
        <v>-80.091452360248908</v>
      </c>
      <c r="AJ15" s="529">
        <f t="shared" si="106"/>
        <v>59.99958013051868</v>
      </c>
      <c r="AK15" s="578">
        <f t="shared" si="247"/>
        <v>0.87675374137794981</v>
      </c>
      <c r="AL15" s="572">
        <f t="shared" si="107"/>
        <v>-0.44910211097779495</v>
      </c>
      <c r="AM15" s="577">
        <f t="shared" si="108"/>
        <v>-0.17207606136547707</v>
      </c>
      <c r="AN15" s="524">
        <f>IF(M15="","",DEGREES(ATAN2(-AM15,AL15)))</f>
        <v>-69.035377727587189</v>
      </c>
      <c r="AO15" s="525">
        <f t="shared" si="110"/>
        <v>28.746785280256283</v>
      </c>
      <c r="AP15" s="528">
        <f t="shared" si="111"/>
        <v>-27.123018034747219</v>
      </c>
      <c r="AQ15" s="529">
        <f t="shared" si="13"/>
        <v>0.73967203872967147</v>
      </c>
      <c r="AR15" s="979"/>
      <c r="AS15" s="954">
        <f t="shared" si="147"/>
        <v>358.82585893494092</v>
      </c>
      <c r="AT15" s="950">
        <f t="shared" si="14"/>
        <v>-1.2909651833132889</v>
      </c>
      <c r="AU15" s="418"/>
      <c r="AV15" s="164" t="str">
        <f t="shared" si="15"/>
        <v/>
      </c>
      <c r="AW15" s="829" t="str">
        <f>IFERROR(INDEX(MassProp!C$9:C$150,MATCH($M15,MassProp!$B$9:$B$150,0)),"")</f>
        <v/>
      </c>
      <c r="AX15" s="830" t="str">
        <f>IFERROR(INDEX(MassProp!D$9:D$150,MATCH($M15,MassProp!$B$9:$B$150,0)),"")</f>
        <v/>
      </c>
      <c r="AY15" s="831" t="str">
        <f>IFERROR(INDEX(MassProp!E$9:E$150,MATCH($M15,MassProp!$B$9:$B$150,0)),"")</f>
        <v/>
      </c>
      <c r="AZ15" s="297" t="str">
        <f>IF(ISNUMBER(AV15),$AY15*SQRT((2*PI()*$AW15)^2+$AS$5^2),"")</f>
        <v/>
      </c>
      <c r="BA15" s="296" t="str">
        <f t="shared" si="16"/>
        <v/>
      </c>
      <c r="BB15" s="291" t="str">
        <f t="shared" si="149"/>
        <v/>
      </c>
      <c r="BC15" s="9"/>
      <c r="BD15" s="5" t="str">
        <f t="shared" si="150"/>
        <v/>
      </c>
      <c r="BE15" s="6" t="str">
        <f t="shared" si="17"/>
        <v/>
      </c>
      <c r="BF15" s="4" t="str">
        <f t="shared" si="18"/>
        <v/>
      </c>
      <c r="BG15" s="5" t="str">
        <f t="shared" si="19"/>
        <v/>
      </c>
      <c r="BH15" s="10" t="str">
        <f t="shared" si="20"/>
        <v/>
      </c>
      <c r="BI15" s="9" t="str">
        <f t="shared" si="151"/>
        <v/>
      </c>
      <c r="BJ15" s="5" t="str">
        <f t="shared" si="21"/>
        <v/>
      </c>
      <c r="BK15" s="8" t="str">
        <f t="shared" si="22"/>
        <v/>
      </c>
      <c r="BL15" s="173" t="str">
        <f t="shared" si="23"/>
        <v/>
      </c>
      <c r="BM15" s="5" t="str">
        <f t="shared" si="24"/>
        <v/>
      </c>
      <c r="BN15" s="6" t="str">
        <f t="shared" si="25"/>
        <v/>
      </c>
      <c r="BO15" s="4" t="str">
        <f t="shared" si="152"/>
        <v/>
      </c>
      <c r="BP15" s="5" t="str">
        <f t="shared" si="153"/>
        <v/>
      </c>
      <c r="BQ15" s="5" t="str">
        <f t="shared" si="154"/>
        <v/>
      </c>
      <c r="BR15" s="6" t="str">
        <f t="shared" si="155"/>
        <v/>
      </c>
      <c r="BS15" s="4" t="str">
        <f t="shared" si="112"/>
        <v/>
      </c>
      <c r="BT15" s="5" t="str">
        <f t="shared" si="112"/>
        <v/>
      </c>
      <c r="BU15" s="10" t="str">
        <f t="shared" si="113"/>
        <v/>
      </c>
      <c r="BV15" s="9" t="str">
        <f t="shared" si="114"/>
        <v/>
      </c>
      <c r="BW15" s="5" t="str">
        <f t="shared" si="115"/>
        <v/>
      </c>
      <c r="BX15" s="8" t="str">
        <f t="shared" si="116"/>
        <v/>
      </c>
      <c r="BY15" s="173" t="str">
        <f t="shared" si="117"/>
        <v/>
      </c>
      <c r="BZ15" s="5" t="str">
        <f t="shared" si="118"/>
        <v/>
      </c>
      <c r="CA15" s="6" t="str">
        <f t="shared" si="119"/>
        <v/>
      </c>
      <c r="CB15" s="4" t="str">
        <f t="shared" si="156"/>
        <v/>
      </c>
      <c r="CC15" s="5" t="str">
        <f t="shared" si="157"/>
        <v/>
      </c>
      <c r="CD15" s="5" t="str">
        <f t="shared" si="158"/>
        <v/>
      </c>
      <c r="CE15" s="6" t="str">
        <f t="shared" si="159"/>
        <v/>
      </c>
      <c r="CF15" s="4" t="str">
        <f t="shared" si="160"/>
        <v/>
      </c>
      <c r="CG15" s="5" t="str">
        <f t="shared" si="161"/>
        <v/>
      </c>
      <c r="CH15" s="5" t="str">
        <f t="shared" si="162"/>
        <v/>
      </c>
      <c r="CI15" s="4" t="str">
        <f t="shared" si="120"/>
        <v/>
      </c>
      <c r="CJ15" s="5" t="str">
        <f t="shared" si="121"/>
        <v/>
      </c>
      <c r="CK15" s="8" t="str">
        <f t="shared" si="122"/>
        <v/>
      </c>
      <c r="CL15" s="173" t="str">
        <f t="shared" si="123"/>
        <v/>
      </c>
      <c r="CM15" s="5" t="str">
        <f t="shared" si="124"/>
        <v/>
      </c>
      <c r="CN15" s="6" t="str">
        <f t="shared" si="125"/>
        <v/>
      </c>
      <c r="CO15" s="167" t="str">
        <f t="shared" si="26"/>
        <v/>
      </c>
      <c r="CP15" s="4" t="str">
        <f t="shared" si="248"/>
        <v/>
      </c>
      <c r="CQ15" s="5" t="str">
        <f t="shared" si="249"/>
        <v/>
      </c>
      <c r="CR15" s="5" t="str">
        <f t="shared" si="163"/>
        <v/>
      </c>
      <c r="CS15" s="8" t="str">
        <f t="shared" si="164"/>
        <v/>
      </c>
      <c r="CT15" s="9" t="str">
        <f t="shared" si="165"/>
        <v/>
      </c>
      <c r="CU15" s="6" t="str">
        <f t="shared" si="166"/>
        <v/>
      </c>
      <c r="CV15" s="4" t="str">
        <f t="shared" si="250"/>
        <v/>
      </c>
      <c r="CW15" s="5" t="str">
        <f t="shared" si="167"/>
        <v/>
      </c>
      <c r="CX15" s="8" t="str">
        <f t="shared" si="168"/>
        <v/>
      </c>
      <c r="CY15" s="9" t="str">
        <f t="shared" si="169"/>
        <v/>
      </c>
      <c r="CZ15" s="5" t="str">
        <f t="shared" si="170"/>
        <v/>
      </c>
      <c r="DA15" s="6" t="str">
        <f t="shared" si="171"/>
        <v/>
      </c>
      <c r="DB15" s="4" t="str">
        <f t="shared" si="172"/>
        <v/>
      </c>
      <c r="DC15" s="5" t="str">
        <f t="shared" si="172"/>
        <v/>
      </c>
      <c r="DD15" s="10" t="str">
        <f t="shared" si="173"/>
        <v/>
      </c>
      <c r="DE15" s="9" t="str">
        <f t="shared" si="174"/>
        <v/>
      </c>
      <c r="DF15" s="5" t="str">
        <f t="shared" si="174"/>
        <v/>
      </c>
      <c r="DG15" s="10" t="str">
        <f t="shared" si="175"/>
        <v/>
      </c>
      <c r="DH15" s="70" t="str">
        <f t="shared" si="176"/>
        <v/>
      </c>
      <c r="DI15" s="4" t="str">
        <f t="shared" si="177"/>
        <v/>
      </c>
      <c r="DJ15" s="5" t="str">
        <f t="shared" si="178"/>
        <v/>
      </c>
      <c r="DK15" s="10" t="str">
        <f t="shared" si="179"/>
        <v/>
      </c>
      <c r="DL15" s="9" t="str">
        <f t="shared" si="180"/>
        <v/>
      </c>
      <c r="DM15" s="173" t="str">
        <f t="shared" si="181"/>
        <v/>
      </c>
      <c r="DN15" s="178" t="str">
        <f t="shared" si="182"/>
        <v/>
      </c>
      <c r="DO15" s="9" t="str">
        <f t="shared" si="183"/>
        <v/>
      </c>
      <c r="DP15" s="173" t="str">
        <f t="shared" si="184"/>
        <v/>
      </c>
      <c r="DQ15" s="11" t="str">
        <f t="shared" si="185"/>
        <v/>
      </c>
      <c r="DR15" s="173" t="str">
        <f t="shared" si="186"/>
        <v/>
      </c>
      <c r="DS15" s="5" t="str">
        <f t="shared" si="187"/>
        <v/>
      </c>
      <c r="DT15" s="5" t="str">
        <f t="shared" si="188"/>
        <v/>
      </c>
      <c r="DU15" s="5" t="str">
        <f t="shared" si="189"/>
        <v/>
      </c>
      <c r="DV15" s="5" t="str">
        <f t="shared" si="190"/>
        <v/>
      </c>
      <c r="DW15" s="5" t="str">
        <f t="shared" si="191"/>
        <v/>
      </c>
      <c r="DX15" s="167" t="str">
        <f t="shared" si="192"/>
        <v/>
      </c>
      <c r="DY15" s="9" t="str">
        <f t="shared" si="193"/>
        <v/>
      </c>
      <c r="DZ15" s="5" t="str">
        <f t="shared" si="194"/>
        <v/>
      </c>
      <c r="EA15" s="10" t="str">
        <f t="shared" si="195"/>
        <v/>
      </c>
      <c r="EB15" s="6" t="str">
        <f t="shared" si="196"/>
        <v/>
      </c>
      <c r="EC15" s="173" t="str">
        <f t="shared" si="197"/>
        <v/>
      </c>
      <c r="ED15" s="5" t="str">
        <f t="shared" si="198"/>
        <v/>
      </c>
      <c r="EE15" s="4" t="str">
        <f t="shared" si="199"/>
        <v/>
      </c>
      <c r="EF15" s="5" t="str">
        <f t="shared" si="200"/>
        <v/>
      </c>
      <c r="EG15" s="10" t="str">
        <f t="shared" si="201"/>
        <v/>
      </c>
      <c r="EH15" s="9" t="str">
        <f t="shared" si="202"/>
        <v/>
      </c>
      <c r="EI15" s="5" t="str">
        <f t="shared" si="203"/>
        <v/>
      </c>
      <c r="EJ15" s="6" t="str">
        <f t="shared" si="204"/>
        <v/>
      </c>
      <c r="EK15" s="236" t="str">
        <f t="shared" si="205"/>
        <v/>
      </c>
      <c r="EL15" s="238" t="str">
        <f t="shared" si="206"/>
        <v/>
      </c>
      <c r="EM15" s="4" t="str">
        <f t="shared" si="207"/>
        <v/>
      </c>
      <c r="EN15" s="5" t="str">
        <f t="shared" si="208"/>
        <v/>
      </c>
      <c r="EO15" s="10" t="str">
        <f t="shared" si="209"/>
        <v/>
      </c>
      <c r="EP15" s="9" t="str">
        <f t="shared" si="210"/>
        <v/>
      </c>
      <c r="EQ15" s="5" t="str">
        <f t="shared" si="211"/>
        <v/>
      </c>
      <c r="ER15" s="7" t="str">
        <f t="shared" si="212"/>
        <v/>
      </c>
      <c r="ES15" s="21" t="str">
        <f t="shared" si="126"/>
        <v/>
      </c>
      <c r="ET15" s="5" t="str">
        <f t="shared" si="35"/>
        <v/>
      </c>
      <c r="EU15" s="10" t="str">
        <f t="shared" si="36"/>
        <v/>
      </c>
      <c r="EV15" s="174" t="str">
        <f t="shared" si="264"/>
        <v/>
      </c>
      <c r="EW15" s="9" t="str">
        <f t="shared" si="127"/>
        <v/>
      </c>
      <c r="EX15" s="5" t="str">
        <f t="shared" si="37"/>
        <v/>
      </c>
      <c r="EY15" s="6" t="str">
        <f t="shared" si="213"/>
        <v/>
      </c>
      <c r="EZ15" s="51" t="str">
        <f t="shared" si="214"/>
        <v/>
      </c>
      <c r="FA15" s="266" t="str">
        <f t="shared" si="128"/>
        <v/>
      </c>
      <c r="FB15" s="267" t="str">
        <f t="shared" si="129"/>
        <v/>
      </c>
      <c r="FC15" s="269" t="str">
        <f t="shared" si="38"/>
        <v/>
      </c>
      <c r="FD15" s="4" t="str">
        <f t="shared" si="130"/>
        <v/>
      </c>
      <c r="FE15" s="5" t="str">
        <f t="shared" si="39"/>
        <v/>
      </c>
      <c r="FF15" s="7" t="str">
        <f t="shared" si="215"/>
        <v/>
      </c>
      <c r="FG15" s="173" t="str">
        <f t="shared" si="216"/>
        <v/>
      </c>
      <c r="FH15" s="5" t="str">
        <f t="shared" si="40"/>
        <v/>
      </c>
      <c r="FI15" s="10" t="str">
        <f t="shared" si="41"/>
        <v/>
      </c>
      <c r="FJ15" s="279" t="str">
        <f t="shared" si="217"/>
        <v/>
      </c>
      <c r="FK15" s="4" t="str">
        <f t="shared" si="42"/>
        <v/>
      </c>
      <c r="FL15" s="5" t="str">
        <f t="shared" si="218"/>
        <v/>
      </c>
      <c r="FM15" s="8" t="str">
        <f t="shared" si="219"/>
        <v/>
      </c>
      <c r="FN15" s="9" t="str">
        <f t="shared" si="220"/>
        <v/>
      </c>
      <c r="FO15" s="10" t="str">
        <f t="shared" si="43"/>
        <v/>
      </c>
      <c r="FP15" s="277" t="str">
        <f t="shared" si="44"/>
        <v/>
      </c>
      <c r="FQ15" s="173" t="str">
        <f>IF(ISNUMBER($AV15),SIN(RADIANS(FN15)),"")</f>
        <v/>
      </c>
      <c r="FR15" s="10" t="str">
        <f t="shared" si="221"/>
        <v/>
      </c>
      <c r="FS15" s="9" t="str">
        <f>IF(ISNUMBER($AV15),FQ15/(FQ15+FR15),"")</f>
        <v/>
      </c>
      <c r="FT15" s="6" t="str">
        <f t="shared" si="223"/>
        <v/>
      </c>
      <c r="FU15" s="4" t="str">
        <f t="shared" si="224"/>
        <v/>
      </c>
      <c r="FV15" s="5" t="str">
        <f t="shared" si="225"/>
        <v/>
      </c>
      <c r="FW15" s="8" t="str">
        <f t="shared" si="252"/>
        <v/>
      </c>
      <c r="FX15" s="9" t="str">
        <f t="shared" si="253"/>
        <v/>
      </c>
      <c r="FY15" s="10" t="str">
        <f t="shared" si="45"/>
        <v/>
      </c>
      <c r="FZ15" s="277" t="str">
        <f t="shared" si="254"/>
        <v/>
      </c>
      <c r="GA15" s="177" t="str">
        <f t="shared" si="226"/>
        <v/>
      </c>
      <c r="GB15" s="4" t="str">
        <f t="shared" si="227"/>
        <v/>
      </c>
      <c r="GC15" s="5" t="str">
        <f t="shared" si="228"/>
        <v/>
      </c>
      <c r="GD15" s="10" t="str">
        <f t="shared" si="229"/>
        <v/>
      </c>
      <c r="GE15" s="311" t="str">
        <f t="shared" si="230"/>
        <v/>
      </c>
      <c r="GF15" s="341" t="str">
        <f t="shared" si="255"/>
        <v/>
      </c>
      <c r="GG15" s="285" t="str">
        <f t="shared" si="46"/>
        <v/>
      </c>
      <c r="GH15" s="286" t="str">
        <f t="shared" si="47"/>
        <v/>
      </c>
      <c r="GI15" s="281" t="str">
        <f t="shared" si="48"/>
        <v/>
      </c>
      <c r="GJ15" s="167" t="str">
        <f t="shared" si="231"/>
        <v/>
      </c>
      <c r="GK15" s="174" t="str">
        <f t="shared" si="49"/>
        <v/>
      </c>
      <c r="GL15" s="174" t="str">
        <f t="shared" si="232"/>
        <v/>
      </c>
      <c r="GM15" s="177" t="str">
        <f t="shared" si="256"/>
        <v/>
      </c>
      <c r="GN15" s="280" t="str">
        <f t="shared" si="233"/>
        <v/>
      </c>
      <c r="GO15" s="4" t="str">
        <f t="shared" si="234"/>
        <v/>
      </c>
      <c r="GP15" s="8" t="str">
        <f t="shared" si="257"/>
        <v/>
      </c>
      <c r="GQ15" s="177" t="str">
        <f t="shared" si="235"/>
        <v/>
      </c>
      <c r="GR15" s="371" t="str">
        <f t="shared" si="258"/>
        <v/>
      </c>
      <c r="GS15" s="342" t="str">
        <f t="shared" si="51"/>
        <v/>
      </c>
      <c r="GT15" s="343" t="str">
        <f t="shared" si="52"/>
        <v/>
      </c>
      <c r="GU15" s="344" t="str">
        <f t="shared" si="53"/>
        <v/>
      </c>
      <c r="GV15" s="343" t="str">
        <f t="shared" si="265"/>
        <v/>
      </c>
      <c r="GW15" s="345" t="str">
        <f t="shared" si="54"/>
        <v/>
      </c>
      <c r="GX15" s="346" t="str">
        <f t="shared" si="55"/>
        <v/>
      </c>
      <c r="GY15" s="344" t="str">
        <f t="shared" si="56"/>
        <v/>
      </c>
      <c r="GZ15" s="345" t="str">
        <f t="shared" si="57"/>
        <v/>
      </c>
      <c r="HA15" s="342" t="str">
        <f t="shared" si="58"/>
        <v/>
      </c>
      <c r="HB15" s="5" t="str">
        <f t="shared" si="236"/>
        <v/>
      </c>
      <c r="HC15" s="343" t="str">
        <f t="shared" si="237"/>
        <v/>
      </c>
      <c r="HD15" s="345" t="str">
        <f t="shared" si="238"/>
        <v/>
      </c>
      <c r="HE15" s="344" t="str">
        <f t="shared" si="59"/>
        <v/>
      </c>
      <c r="HF15" s="5" t="str">
        <f t="shared" si="60"/>
        <v/>
      </c>
      <c r="HG15" s="343" t="str">
        <f t="shared" si="239"/>
        <v/>
      </c>
      <c r="HH15" s="349" t="str">
        <f t="shared" si="240"/>
        <v/>
      </c>
      <c r="HI15" s="317" t="str">
        <f t="shared" si="61"/>
        <v/>
      </c>
      <c r="HJ15" s="336"/>
      <c r="HK15" s="310" t="str">
        <f t="shared" si="131"/>
        <v/>
      </c>
      <c r="HL15" s="348" t="str">
        <f t="shared" si="62"/>
        <v/>
      </c>
      <c r="HM15" s="923" t="str">
        <f t="shared" si="63"/>
        <v/>
      </c>
      <c r="HN15" s="924" t="str">
        <f t="shared" si="64"/>
        <v/>
      </c>
      <c r="HO15" s="925"/>
      <c r="HP15" s="926"/>
      <c r="HQ15" s="924" t="str">
        <f t="shared" si="65"/>
        <v/>
      </c>
      <c r="HR15" s="927" t="str">
        <f t="shared" si="66"/>
        <v/>
      </c>
      <c r="HS15" s="879" t="str">
        <f t="shared" si="261"/>
        <v/>
      </c>
      <c r="HT15" s="889" t="str">
        <f t="shared" si="67"/>
        <v/>
      </c>
      <c r="HU15" s="890" t="str">
        <f t="shared" si="68"/>
        <v/>
      </c>
      <c r="HV15" s="886" t="str">
        <f t="shared" si="69"/>
        <v/>
      </c>
      <c r="HW15" s="880" t="str">
        <f t="shared" si="70"/>
        <v/>
      </c>
      <c r="HX15" s="881" t="str">
        <f t="shared" si="71"/>
        <v/>
      </c>
      <c r="HY15" s="880" t="str">
        <f t="shared" si="72"/>
        <v/>
      </c>
      <c r="HZ15" s="882" t="str">
        <f t="shared" si="73"/>
        <v/>
      </c>
      <c r="IA15" s="883" t="str">
        <f t="shared" si="74"/>
        <v/>
      </c>
      <c r="IB15" s="884" t="str">
        <f t="shared" si="75"/>
        <v/>
      </c>
      <c r="IC15" s="855" t="str">
        <f t="shared" si="76"/>
        <v/>
      </c>
      <c r="ID15" s="351" t="str">
        <f t="shared" si="77"/>
        <v/>
      </c>
      <c r="IE15" s="857" t="str">
        <f t="shared" si="78"/>
        <v/>
      </c>
      <c r="IF15" s="858"/>
      <c r="IG15" s="790" t="str">
        <f>IFERROR(IF($IW15="","",IF($IW15&lt;(((Settings!$C$19/2)*-1)*$IG$8),"Taper","Nose")),"")</f>
        <v/>
      </c>
      <c r="IH15" s="482" t="str">
        <f>IFERROR(IF((((($IY15*COS(RADIANS(180-$JA15)))*COS(RADIANS($JA15)))-(($IZ15*SIN(RADIANS(180-$JA15)))*SIN(RADIANS($JA15))))+$IW15)&lt;(((Settings!$C$19+$IH$8)/2)*-1),"Gage",""),"")</f>
        <v/>
      </c>
      <c r="II15" s="788">
        <f t="shared" si="241"/>
        <v>1.1379999999999999</v>
      </c>
      <c r="IJ15" s="674" t="str" cm="1">
        <f t="array" ref="IJ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K15" s="677" t="str" cm="1">
        <f t="array" ref="IK15">IFERROR(ROUND(VALUE(IF($IJ15&lt;1,$IJ15+LARGE((IF($M$9:$M$150="",0,$M$9:$M$150)-MOD(IF($M$9:$M$150="",0,$M$9:$M$150),1)),1),$IJ15)),4),"")</f>
        <v/>
      </c>
      <c r="IL15" s="482">
        <f t="shared" si="79"/>
        <v>1313</v>
      </c>
      <c r="IM15" s="482" t="str">
        <f t="shared" si="242"/>
        <v/>
      </c>
      <c r="IN15" s="670" t="str">
        <f t="shared" si="81"/>
        <v/>
      </c>
      <c r="IO15" s="702"/>
      <c r="IP15" s="5" t="str">
        <f t="shared" si="82"/>
        <v/>
      </c>
      <c r="IQ15" s="714"/>
      <c r="IR15" s="9" t="str">
        <f t="shared" si="132"/>
        <v/>
      </c>
      <c r="IS15" s="5" t="str">
        <f t="shared" si="83"/>
        <v/>
      </c>
      <c r="IT15" s="5" t="str">
        <f t="shared" si="84"/>
        <v/>
      </c>
      <c r="IU15" s="5" t="str">
        <f t="shared" si="85"/>
        <v/>
      </c>
      <c r="IV15" s="670" t="str">
        <f t="shared" si="86"/>
        <v/>
      </c>
      <c r="IW15" s="9" t="str">
        <f t="shared" si="87"/>
        <v/>
      </c>
      <c r="IX15" s="5" t="str">
        <f t="shared" si="88"/>
        <v/>
      </c>
      <c r="IY15" s="5" t="str">
        <f t="shared" si="89"/>
        <v/>
      </c>
      <c r="IZ15" s="5" t="str">
        <f t="shared" si="90"/>
        <v/>
      </c>
      <c r="JA15" s="705" t="str">
        <f t="shared" si="91"/>
        <v/>
      </c>
      <c r="JC15" s="419" t="s">
        <v>380</v>
      </c>
      <c r="JD15" s="745" cm="1">
        <f t="array" ref="JD15">IF(AND(ISNUMBER(_xlfn.ANCHORARRAY($JC$9))=FALSE),"",SUM(COUNTIFS($IL$9:$IL$150,_xlfn.ANCHORARRAY($JC$9),$IK$9:$IK$150,"",$IL$9:$IL$150,IF(ISNUMBER(_xlfn.ANCHORARRAY($JC$9)),_xlfn.ANCHORARRAY($JC$9),""))))</f>
        <v>46</v>
      </c>
      <c r="JE15" s="31"/>
      <c r="JF15" s="219"/>
      <c r="JG15" s="219"/>
      <c r="JH15" s="219"/>
      <c r="JI15" s="219"/>
      <c r="JM15" s="489">
        <f t="shared" si="133"/>
        <v>38</v>
      </c>
      <c r="JN15" s="960">
        <f>($JO15-SMALL($JO$9:$JO$88,1))/((Settings!$C$19/2)-((Settings!$C$19/2)-LARGE($JO$9:$JO$88,1))-SMALL($JO$9:$JO$88,1))</f>
        <v>0.99260842479773137</v>
      </c>
      <c r="JO15" s="162">
        <f t="shared" si="134"/>
        <v>3.6982876695462257</v>
      </c>
      <c r="JP15" s="961">
        <f t="shared" si="135"/>
        <v>-69.035377727587189</v>
      </c>
      <c r="JQ15" s="961">
        <f t="shared" si="136"/>
        <v>28.746785280256283</v>
      </c>
      <c r="JS15" s="82">
        <v>7</v>
      </c>
      <c r="JT15" s="322">
        <f t="shared" si="137"/>
        <v>1.4019460982739413</v>
      </c>
      <c r="JU15" s="963">
        <f t="shared" si="138"/>
        <v>0.32234845820411839</v>
      </c>
      <c r="JV15" s="964">
        <v>3</v>
      </c>
      <c r="JW15" s="961">
        <f t="shared" si="92"/>
        <v>15.18825974673168</v>
      </c>
      <c r="JX15" s="1">
        <v>1.8261000000000001</v>
      </c>
      <c r="JY15" s="965">
        <f t="shared" si="139"/>
        <v>0.21884610291196421</v>
      </c>
      <c r="JZ15" s="965"/>
      <c r="KA15" s="965"/>
      <c r="KB15" s="976">
        <f t="shared" si="243"/>
        <v>7</v>
      </c>
      <c r="KC15" s="971" cm="1">
        <f t="array" ref="KC15">(((INDEX($JV$9:$JV$53,MATCH(INDEX($JU$9:$JU$53,MATCH(TRUE,INDEX($JU$9:$JU$53&gt;$JY15,0),)),$JU$9:$JU$53,0))-INDEX($JV$9:$JV$53,MATCH(INDEX($JU$9:$JU$53,MATCH(TRUE,INDEX($JU$9:$JU$53&gt;$JY15,0),)-1),$JU$9:$JU$53,0)))*(($JY15-INDEX($JU$9:$JU$53,MATCH(TRUE,INDEX($JU$9:$JU$53&gt;$JY15,0),)-1))/(INDEX($JU$9:$JU$53,MATCH(TRUE,INDEX($JU$9:$JU$53&gt;$JY15,0),))-INDEX($JU$9:$JU$53,MATCH(TRUE,INDEX($JU$9:$JU$53&gt;$JY15,0),)-1))))+INDEX($JV$9:$JV$53,MATCH(INDEX($JU$9:$JU$53,MATCH(TRUE,INDEX($JU$9:$JU$53&gt;$JY15,0),)-1),$JU$9:$JU$53,0)))</f>
        <v>3</v>
      </c>
      <c r="KD15" s="968">
        <v>3</v>
      </c>
      <c r="KE15" s="968">
        <f t="shared" si="140"/>
        <v>0</v>
      </c>
      <c r="KF15" s="972">
        <v>15</v>
      </c>
      <c r="KG15" s="966">
        <f t="shared" si="244"/>
        <v>0</v>
      </c>
      <c r="KH15" s="966">
        <f t="shared" si="141"/>
        <v>0</v>
      </c>
      <c r="KJ15" s="31"/>
    </row>
    <row r="16" spans="1:296" ht="15" customHeight="1" x14ac:dyDescent="0.25">
      <c r="A16" s="75">
        <f t="shared" si="1"/>
        <v>0.02</v>
      </c>
      <c r="B16" s="578">
        <f t="shared" ref="B16:D16" si="269">IFERROR(O171+($A16*-E16),"")</f>
        <v>0.18955201575915231</v>
      </c>
      <c r="C16" s="572">
        <f t="shared" si="269"/>
        <v>3.7186616988963346</v>
      </c>
      <c r="D16" s="576">
        <f t="shared" si="269"/>
        <v>-1.9705775000802725</v>
      </c>
      <c r="E16" s="580">
        <f t="shared" ref="E16:K16" si="270">R171</f>
        <v>-0.84205584868728101</v>
      </c>
      <c r="F16" s="572">
        <f t="shared" si="270"/>
        <v>0.5376271087070742</v>
      </c>
      <c r="G16" s="579">
        <f t="shared" si="270"/>
        <v>4.3577972357774768E-2</v>
      </c>
      <c r="H16" s="580">
        <f t="shared" si="270"/>
        <v>0.26450000000000001</v>
      </c>
      <c r="I16" s="572">
        <f t="shared" si="270"/>
        <v>0.52</v>
      </c>
      <c r="J16" s="483">
        <f t="shared" si="94"/>
        <v>1.1459999999999999</v>
      </c>
      <c r="K16" s="806">
        <f t="shared" si="270"/>
        <v>1313</v>
      </c>
      <c r="L16" s="309"/>
      <c r="M16" s="164">
        <f t="shared" si="4"/>
        <v>1.1459999999999999</v>
      </c>
      <c r="N16" s="575">
        <f t="shared" si="5"/>
        <v>0.18955201575915231</v>
      </c>
      <c r="O16" s="572">
        <f t="shared" si="6"/>
        <v>3.7186616988963346</v>
      </c>
      <c r="P16" s="576">
        <f t="shared" si="7"/>
        <v>-1.9705775000802725</v>
      </c>
      <c r="Q16" s="528">
        <f>IF(M16="","",IF(DEGREES(ATAN2(N16,O16))&lt;0,DEGREES(ATAN2(N16,O16))+360,IF(DEGREES(ATAN2(N16,O16))&gt;360,DEGREES(ATAN2(N16,O16))-360,DEGREES(ATAN2(N16,O16)))))</f>
        <v>87.081977378663154</v>
      </c>
      <c r="R16" s="572">
        <f t="shared" si="95"/>
        <v>3.7234895994909039</v>
      </c>
      <c r="S16" s="577">
        <f t="shared" si="96"/>
        <v>-1.9705775000802725</v>
      </c>
      <c r="T16" s="578">
        <f t="shared" si="97"/>
        <v>3.7226527624287975</v>
      </c>
      <c r="U16" s="572">
        <f t="shared" si="98"/>
        <v>-7.8938000343138665E-2</v>
      </c>
      <c r="V16" s="579">
        <f t="shared" si="145"/>
        <v>-1.9705775000802725</v>
      </c>
      <c r="W16" s="528">
        <f>IF(M16="","",IF(Q16-$Q$8&lt;0,360+Q16-$Q$8,Q16-$Q$8))</f>
        <v>358.78523814833818</v>
      </c>
      <c r="X16" s="572">
        <f t="shared" si="99"/>
        <v>3.7234895994909039</v>
      </c>
      <c r="Y16" s="573">
        <f t="shared" ref="Y16:Y75" si="271">IF(M16="","",S16)</f>
        <v>-1.9705775000802725</v>
      </c>
      <c r="Z16" s="575">
        <f t="shared" si="10"/>
        <v>0.84205584868728101</v>
      </c>
      <c r="AA16" s="572">
        <f t="shared" si="11"/>
        <v>-0.5376271087070742</v>
      </c>
      <c r="AB16" s="572">
        <f t="shared" si="12"/>
        <v>-4.3577972357774768E-2</v>
      </c>
      <c r="AC16" s="579">
        <f t="shared" si="100"/>
        <v>1</v>
      </c>
      <c r="AD16" s="580">
        <f t="shared" si="146"/>
        <v>0.84205584868728101</v>
      </c>
      <c r="AE16" s="572">
        <f t="shared" si="101"/>
        <v>-0.5376271087070742</v>
      </c>
      <c r="AF16" s="576">
        <f t="shared" si="102"/>
        <v>-4.3577972357774768E-2</v>
      </c>
      <c r="AG16" s="545">
        <f t="shared" si="103"/>
        <v>-85.36595687903322</v>
      </c>
      <c r="AH16" s="546">
        <f t="shared" si="104"/>
        <v>32.642146843134711</v>
      </c>
      <c r="AI16" s="528">
        <f t="shared" si="105"/>
        <v>-87.502375163624521</v>
      </c>
      <c r="AJ16" s="529">
        <f t="shared" si="106"/>
        <v>57.443003763776865</v>
      </c>
      <c r="AK16" s="578">
        <f t="shared" si="247"/>
        <v>0.8683330646255315</v>
      </c>
      <c r="AL16" s="572">
        <f t="shared" si="107"/>
        <v>-0.49406340605555654</v>
      </c>
      <c r="AM16" s="577">
        <f t="shared" si="108"/>
        <v>-4.3577972357774768E-2</v>
      </c>
      <c r="AN16" s="524">
        <f t="shared" si="109"/>
        <v>-84.959373709566449</v>
      </c>
      <c r="AO16" s="525">
        <f t="shared" si="110"/>
        <v>29.734495099119478</v>
      </c>
      <c r="AP16" s="528">
        <f t="shared" si="111"/>
        <v>-29.638973614886304</v>
      </c>
      <c r="AQ16" s="529">
        <f t="shared" si="13"/>
        <v>0.73466622032090956</v>
      </c>
      <c r="AR16" s="979"/>
      <c r="AS16" s="954">
        <f t="shared" si="147"/>
        <v>358.78523814833818</v>
      </c>
      <c r="AT16" s="950">
        <f t="shared" si="14"/>
        <v>-1.9711634302086436</v>
      </c>
      <c r="AU16" s="418"/>
      <c r="AV16" s="164" t="str">
        <f t="shared" si="15"/>
        <v/>
      </c>
      <c r="AW16" s="829" t="str">
        <f>IFERROR(INDEX(MassProp!C$9:C$150,MATCH($M16,MassProp!$B$9:$B$150,0)),"")</f>
        <v/>
      </c>
      <c r="AX16" s="830" t="str">
        <f>IFERROR(INDEX(MassProp!D$9:D$150,MATCH($M16,MassProp!$B$9:$B$150,0)),"")</f>
        <v/>
      </c>
      <c r="AY16" s="831" t="str">
        <f>IFERROR(INDEX(MassProp!E$9:E$150,MATCH($M16,MassProp!$B$9:$B$150,0)),"")</f>
        <v/>
      </c>
      <c r="AZ16" s="297" t="str">
        <f t="shared" si="148"/>
        <v/>
      </c>
      <c r="BA16" s="296" t="str">
        <f t="shared" si="16"/>
        <v/>
      </c>
      <c r="BB16" s="291" t="str">
        <f t="shared" si="149"/>
        <v/>
      </c>
      <c r="BC16" s="9"/>
      <c r="BD16" s="5" t="str">
        <f t="shared" si="150"/>
        <v/>
      </c>
      <c r="BE16" s="6" t="str">
        <f t="shared" si="17"/>
        <v/>
      </c>
      <c r="BF16" s="4" t="str">
        <f t="shared" si="18"/>
        <v/>
      </c>
      <c r="BG16" s="5" t="str">
        <f t="shared" si="19"/>
        <v/>
      </c>
      <c r="BH16" s="10" t="str">
        <f t="shared" si="20"/>
        <v/>
      </c>
      <c r="BI16" s="9" t="str">
        <f t="shared" si="151"/>
        <v/>
      </c>
      <c r="BJ16" s="5" t="str">
        <f t="shared" si="21"/>
        <v/>
      </c>
      <c r="BK16" s="8" t="str">
        <f t="shared" si="22"/>
        <v/>
      </c>
      <c r="BL16" s="173" t="str">
        <f t="shared" si="23"/>
        <v/>
      </c>
      <c r="BM16" s="5" t="str">
        <f t="shared" si="24"/>
        <v/>
      </c>
      <c r="BN16" s="6" t="str">
        <f t="shared" si="25"/>
        <v/>
      </c>
      <c r="BO16" s="4" t="str">
        <f t="shared" si="152"/>
        <v/>
      </c>
      <c r="BP16" s="5" t="str">
        <f t="shared" si="153"/>
        <v/>
      </c>
      <c r="BQ16" s="5" t="str">
        <f t="shared" si="154"/>
        <v/>
      </c>
      <c r="BR16" s="6" t="str">
        <f t="shared" si="155"/>
        <v/>
      </c>
      <c r="BS16" s="4" t="str">
        <f t="shared" si="112"/>
        <v/>
      </c>
      <c r="BT16" s="5" t="str">
        <f t="shared" si="112"/>
        <v/>
      </c>
      <c r="BU16" s="10" t="str">
        <f t="shared" si="113"/>
        <v/>
      </c>
      <c r="BV16" s="9" t="str">
        <f t="shared" si="114"/>
        <v/>
      </c>
      <c r="BW16" s="5" t="str">
        <f t="shared" si="115"/>
        <v/>
      </c>
      <c r="BX16" s="8" t="str">
        <f t="shared" si="116"/>
        <v/>
      </c>
      <c r="BY16" s="173" t="str">
        <f t="shared" si="117"/>
        <v/>
      </c>
      <c r="BZ16" s="5" t="str">
        <f t="shared" si="118"/>
        <v/>
      </c>
      <c r="CA16" s="6" t="str">
        <f t="shared" si="119"/>
        <v/>
      </c>
      <c r="CB16" s="4" t="str">
        <f t="shared" si="156"/>
        <v/>
      </c>
      <c r="CC16" s="5" t="str">
        <f t="shared" si="157"/>
        <v/>
      </c>
      <c r="CD16" s="5" t="str">
        <f t="shared" si="158"/>
        <v/>
      </c>
      <c r="CE16" s="6" t="str">
        <f t="shared" si="159"/>
        <v/>
      </c>
      <c r="CF16" s="4" t="str">
        <f t="shared" si="160"/>
        <v/>
      </c>
      <c r="CG16" s="5" t="str">
        <f t="shared" si="161"/>
        <v/>
      </c>
      <c r="CH16" s="5" t="str">
        <f t="shared" si="162"/>
        <v/>
      </c>
      <c r="CI16" s="4" t="str">
        <f t="shared" si="120"/>
        <v/>
      </c>
      <c r="CJ16" s="5" t="str">
        <f t="shared" si="121"/>
        <v/>
      </c>
      <c r="CK16" s="8" t="str">
        <f t="shared" si="122"/>
        <v/>
      </c>
      <c r="CL16" s="173" t="str">
        <f t="shared" si="123"/>
        <v/>
      </c>
      <c r="CM16" s="5" t="str">
        <f t="shared" si="124"/>
        <v/>
      </c>
      <c r="CN16" s="6" t="str">
        <f t="shared" si="125"/>
        <v/>
      </c>
      <c r="CO16" s="167" t="str">
        <f t="shared" si="26"/>
        <v/>
      </c>
      <c r="CP16" s="4" t="str">
        <f t="shared" si="248"/>
        <v/>
      </c>
      <c r="CQ16" s="5" t="str">
        <f t="shared" si="249"/>
        <v/>
      </c>
      <c r="CR16" s="5" t="str">
        <f>IF(ISNUMBER($AV16),BF16^2+BG16^2+BH16^2+CI16^2+CJ16^2+CK16^2-2*(BF16*CI16+BG16*CJ16+BH16*CK16)-CO16^2,"")</f>
        <v/>
      </c>
      <c r="CS16" s="8" t="str">
        <f t="shared" si="164"/>
        <v/>
      </c>
      <c r="CT16" s="9" t="str">
        <f t="shared" si="165"/>
        <v/>
      </c>
      <c r="CU16" s="6" t="str">
        <f t="shared" si="166"/>
        <v/>
      </c>
      <c r="CV16" s="4" t="str">
        <f t="shared" si="250"/>
        <v/>
      </c>
      <c r="CW16" s="5" t="str">
        <f t="shared" si="167"/>
        <v/>
      </c>
      <c r="CX16" s="8" t="str">
        <f t="shared" si="168"/>
        <v/>
      </c>
      <c r="CY16" s="9" t="str">
        <f t="shared" si="169"/>
        <v/>
      </c>
      <c r="CZ16" s="5" t="str">
        <f t="shared" si="170"/>
        <v/>
      </c>
      <c r="DA16" s="6" t="str">
        <f t="shared" si="171"/>
        <v/>
      </c>
      <c r="DB16" s="4" t="str">
        <f t="shared" si="172"/>
        <v/>
      </c>
      <c r="DC16" s="5" t="str">
        <f t="shared" si="172"/>
        <v/>
      </c>
      <c r="DD16" s="10" t="str">
        <f>IF(ISNUMBER($AV16),-10,"")</f>
        <v/>
      </c>
      <c r="DE16" s="9" t="str">
        <f t="shared" si="174"/>
        <v/>
      </c>
      <c r="DF16" s="5" t="str">
        <f t="shared" si="174"/>
        <v/>
      </c>
      <c r="DG16" s="10" t="str">
        <f t="shared" si="175"/>
        <v/>
      </c>
      <c r="DH16" s="70" t="str">
        <f t="shared" si="176"/>
        <v/>
      </c>
      <c r="DI16" s="4" t="str">
        <f t="shared" si="177"/>
        <v/>
      </c>
      <c r="DJ16" s="5" t="str">
        <f t="shared" si="178"/>
        <v/>
      </c>
      <c r="DK16" s="10" t="str">
        <f t="shared" si="179"/>
        <v/>
      </c>
      <c r="DL16" s="9" t="str">
        <f t="shared" si="180"/>
        <v/>
      </c>
      <c r="DM16" s="173" t="str">
        <f t="shared" si="181"/>
        <v/>
      </c>
      <c r="DN16" s="178" t="str">
        <f t="shared" si="182"/>
        <v/>
      </c>
      <c r="DO16" s="9" t="str">
        <f t="shared" si="183"/>
        <v/>
      </c>
      <c r="DP16" s="173" t="str">
        <f t="shared" si="184"/>
        <v/>
      </c>
      <c r="DQ16" s="11" t="str">
        <f t="shared" si="185"/>
        <v/>
      </c>
      <c r="DR16" s="173" t="str">
        <f t="shared" si="186"/>
        <v/>
      </c>
      <c r="DS16" s="5" t="str">
        <f t="shared" si="187"/>
        <v/>
      </c>
      <c r="DT16" s="5" t="str">
        <f t="shared" si="188"/>
        <v/>
      </c>
      <c r="DU16" s="5" t="str">
        <f t="shared" si="189"/>
        <v/>
      </c>
      <c r="DV16" s="5" t="str">
        <f t="shared" si="190"/>
        <v/>
      </c>
      <c r="DW16" s="5" t="str">
        <f t="shared" si="191"/>
        <v/>
      </c>
      <c r="DX16" s="167" t="str">
        <f t="shared" si="192"/>
        <v/>
      </c>
      <c r="DY16" s="9" t="str">
        <f t="shared" si="193"/>
        <v/>
      </c>
      <c r="DZ16" s="5" t="str">
        <f t="shared" si="194"/>
        <v/>
      </c>
      <c r="EA16" s="10" t="str">
        <f t="shared" si="195"/>
        <v/>
      </c>
      <c r="EB16" s="6" t="str">
        <f t="shared" si="196"/>
        <v/>
      </c>
      <c r="EC16" s="173" t="str">
        <f t="shared" si="197"/>
        <v/>
      </c>
      <c r="ED16" s="5" t="str">
        <f t="shared" si="198"/>
        <v/>
      </c>
      <c r="EE16" s="4" t="str">
        <f t="shared" si="199"/>
        <v/>
      </c>
      <c r="EF16" s="5" t="str">
        <f t="shared" si="200"/>
        <v/>
      </c>
      <c r="EG16" s="10" t="str">
        <f t="shared" si="201"/>
        <v/>
      </c>
      <c r="EH16" s="9" t="str">
        <f t="shared" si="202"/>
        <v/>
      </c>
      <c r="EI16" s="5" t="str">
        <f t="shared" si="203"/>
        <v/>
      </c>
      <c r="EJ16" s="6" t="str">
        <f t="shared" si="204"/>
        <v/>
      </c>
      <c r="EK16" s="236" t="str">
        <f t="shared" si="205"/>
        <v/>
      </c>
      <c r="EL16" s="238" t="str">
        <f t="shared" si="206"/>
        <v/>
      </c>
      <c r="EM16" s="4" t="str">
        <f t="shared" si="207"/>
        <v/>
      </c>
      <c r="EN16" s="5" t="str">
        <f t="shared" si="208"/>
        <v/>
      </c>
      <c r="EO16" s="10" t="str">
        <f t="shared" si="209"/>
        <v/>
      </c>
      <c r="EP16" s="9" t="str">
        <f t="shared" si="210"/>
        <v/>
      </c>
      <c r="EQ16" s="5" t="str">
        <f t="shared" si="211"/>
        <v/>
      </c>
      <c r="ER16" s="7" t="str">
        <f t="shared" si="212"/>
        <v/>
      </c>
      <c r="ES16" s="21" t="str">
        <f t="shared" si="126"/>
        <v/>
      </c>
      <c r="ET16" s="5" t="str">
        <f t="shared" si="35"/>
        <v/>
      </c>
      <c r="EU16" s="10" t="str">
        <f t="shared" si="36"/>
        <v/>
      </c>
      <c r="EV16" s="174" t="str">
        <f t="shared" si="264"/>
        <v/>
      </c>
      <c r="EW16" s="9" t="str">
        <f t="shared" si="127"/>
        <v/>
      </c>
      <c r="EX16" s="5" t="str">
        <f t="shared" si="37"/>
        <v/>
      </c>
      <c r="EY16" s="6" t="str">
        <f t="shared" si="213"/>
        <v/>
      </c>
      <c r="EZ16" s="51" t="str">
        <f t="shared" si="214"/>
        <v/>
      </c>
      <c r="FA16" s="266" t="str">
        <f>IF(ISNUMBER($AV16),SIN(RADIANS($EP16))*COS(RADIANS($EZ16)),"")</f>
        <v/>
      </c>
      <c r="FB16" s="267" t="str">
        <f t="shared" si="129"/>
        <v/>
      </c>
      <c r="FC16" s="269" t="str">
        <f t="shared" si="38"/>
        <v/>
      </c>
      <c r="FD16" s="4" t="str">
        <f t="shared" si="130"/>
        <v/>
      </c>
      <c r="FE16" s="5" t="str">
        <f t="shared" si="39"/>
        <v/>
      </c>
      <c r="FF16" s="7" t="str">
        <f t="shared" si="215"/>
        <v/>
      </c>
      <c r="FG16" s="173" t="str">
        <f t="shared" si="216"/>
        <v/>
      </c>
      <c r="FH16" s="5" t="str">
        <f t="shared" si="40"/>
        <v/>
      </c>
      <c r="FI16" s="10" t="str">
        <f t="shared" si="41"/>
        <v/>
      </c>
      <c r="FJ16" s="279" t="str">
        <f t="shared" si="217"/>
        <v/>
      </c>
      <c r="FK16" s="4" t="str">
        <f t="shared" si="42"/>
        <v/>
      </c>
      <c r="FL16" s="5" t="str">
        <f t="shared" si="218"/>
        <v/>
      </c>
      <c r="FM16" s="8" t="str">
        <f t="shared" si="219"/>
        <v/>
      </c>
      <c r="FN16" s="9" t="str">
        <f t="shared" si="220"/>
        <v/>
      </c>
      <c r="FO16" s="10" t="str">
        <f t="shared" si="43"/>
        <v/>
      </c>
      <c r="FP16" s="277" t="str">
        <f t="shared" si="44"/>
        <v/>
      </c>
      <c r="FQ16" s="173" t="str">
        <f t="shared" si="251"/>
        <v/>
      </c>
      <c r="FR16" s="10" t="str">
        <f t="shared" si="221"/>
        <v/>
      </c>
      <c r="FS16" s="9" t="str">
        <f t="shared" si="222"/>
        <v/>
      </c>
      <c r="FT16" s="6" t="str">
        <f t="shared" si="223"/>
        <v/>
      </c>
      <c r="FU16" s="4" t="str">
        <f t="shared" si="224"/>
        <v/>
      </c>
      <c r="FV16" s="5" t="str">
        <f t="shared" si="225"/>
        <v/>
      </c>
      <c r="FW16" s="8" t="str">
        <f t="shared" si="252"/>
        <v/>
      </c>
      <c r="FX16" s="9" t="str">
        <f t="shared" si="253"/>
        <v/>
      </c>
      <c r="FY16" s="10" t="str">
        <f t="shared" si="45"/>
        <v/>
      </c>
      <c r="FZ16" s="277" t="str">
        <f t="shared" si="254"/>
        <v/>
      </c>
      <c r="GA16" s="177" t="str">
        <f t="shared" si="226"/>
        <v/>
      </c>
      <c r="GB16" s="4" t="str">
        <f t="shared" si="227"/>
        <v/>
      </c>
      <c r="GC16" s="5" t="str">
        <f t="shared" si="228"/>
        <v/>
      </c>
      <c r="GD16" s="10" t="str">
        <f t="shared" si="229"/>
        <v/>
      </c>
      <c r="GE16" s="311" t="str">
        <f t="shared" si="230"/>
        <v/>
      </c>
      <c r="GF16" s="341" t="str">
        <f t="shared" si="255"/>
        <v/>
      </c>
      <c r="GG16" s="285" t="str">
        <f t="shared" si="46"/>
        <v/>
      </c>
      <c r="GH16" s="286" t="str">
        <f t="shared" si="47"/>
        <v/>
      </c>
      <c r="GI16" s="281" t="str">
        <f t="shared" si="48"/>
        <v/>
      </c>
      <c r="GJ16" s="167" t="str">
        <f t="shared" si="231"/>
        <v/>
      </c>
      <c r="GK16" s="174" t="str">
        <f t="shared" si="49"/>
        <v/>
      </c>
      <c r="GL16" s="174" t="str">
        <f t="shared" si="232"/>
        <v/>
      </c>
      <c r="GM16" s="177" t="str">
        <f t="shared" si="256"/>
        <v/>
      </c>
      <c r="GN16" s="280" t="str">
        <f t="shared" si="233"/>
        <v/>
      </c>
      <c r="GO16" s="4" t="str">
        <f t="shared" si="234"/>
        <v/>
      </c>
      <c r="GP16" s="8" t="str">
        <f t="shared" si="257"/>
        <v/>
      </c>
      <c r="GQ16" s="177" t="str">
        <f t="shared" si="235"/>
        <v/>
      </c>
      <c r="GR16" s="371" t="str">
        <f t="shared" si="258"/>
        <v/>
      </c>
      <c r="GS16" s="342" t="str">
        <f t="shared" si="51"/>
        <v/>
      </c>
      <c r="GT16" s="343" t="str">
        <f t="shared" si="52"/>
        <v/>
      </c>
      <c r="GU16" s="344" t="str">
        <f t="shared" si="53"/>
        <v/>
      </c>
      <c r="GV16" s="343" t="str">
        <f t="shared" si="265"/>
        <v/>
      </c>
      <c r="GW16" s="345" t="str">
        <f t="shared" si="54"/>
        <v/>
      </c>
      <c r="GX16" s="346" t="str">
        <f t="shared" si="55"/>
        <v/>
      </c>
      <c r="GY16" s="344" t="str">
        <f t="shared" si="56"/>
        <v/>
      </c>
      <c r="GZ16" s="345" t="str">
        <f t="shared" si="57"/>
        <v/>
      </c>
      <c r="HA16" s="342" t="str">
        <f t="shared" si="58"/>
        <v/>
      </c>
      <c r="HB16" s="5" t="str">
        <f t="shared" si="236"/>
        <v/>
      </c>
      <c r="HC16" s="343" t="str">
        <f t="shared" si="237"/>
        <v/>
      </c>
      <c r="HD16" s="345" t="str">
        <f t="shared" si="238"/>
        <v/>
      </c>
      <c r="HE16" s="344" t="str">
        <f t="shared" si="59"/>
        <v/>
      </c>
      <c r="HF16" s="5" t="str">
        <f t="shared" si="60"/>
        <v/>
      </c>
      <c r="HG16" s="343" t="str">
        <f t="shared" si="239"/>
        <v/>
      </c>
      <c r="HH16" s="349" t="str">
        <f t="shared" si="240"/>
        <v/>
      </c>
      <c r="HI16" s="317" t="str">
        <f t="shared" si="61"/>
        <v/>
      </c>
      <c r="HJ16" s="336"/>
      <c r="HK16" s="310" t="str">
        <f t="shared" si="131"/>
        <v/>
      </c>
      <c r="HL16" s="348" t="str">
        <f t="shared" si="62"/>
        <v/>
      </c>
      <c r="HM16" s="923" t="str">
        <f t="shared" si="63"/>
        <v/>
      </c>
      <c r="HN16" s="924" t="str">
        <f t="shared" si="64"/>
        <v/>
      </c>
      <c r="HO16" s="925"/>
      <c r="HP16" s="926"/>
      <c r="HQ16" s="924" t="str">
        <f t="shared" si="65"/>
        <v/>
      </c>
      <c r="HR16" s="927" t="str">
        <f t="shared" si="66"/>
        <v/>
      </c>
      <c r="HS16" s="879" t="str">
        <f t="shared" si="261"/>
        <v/>
      </c>
      <c r="HT16" s="889" t="str">
        <f t="shared" si="67"/>
        <v/>
      </c>
      <c r="HU16" s="890" t="str">
        <f t="shared" si="68"/>
        <v/>
      </c>
      <c r="HV16" s="886" t="str">
        <f t="shared" si="69"/>
        <v/>
      </c>
      <c r="HW16" s="880" t="str">
        <f t="shared" si="70"/>
        <v/>
      </c>
      <c r="HX16" s="881" t="str">
        <f t="shared" si="71"/>
        <v/>
      </c>
      <c r="HY16" s="880" t="str">
        <f t="shared" si="72"/>
        <v/>
      </c>
      <c r="HZ16" s="882" t="str">
        <f t="shared" si="73"/>
        <v/>
      </c>
      <c r="IA16" s="883" t="str">
        <f t="shared" si="74"/>
        <v/>
      </c>
      <c r="IB16" s="884" t="str">
        <f t="shared" si="75"/>
        <v/>
      </c>
      <c r="IC16" s="855" t="str">
        <f t="shared" si="76"/>
        <v/>
      </c>
      <c r="ID16" s="351" t="str">
        <f t="shared" si="77"/>
        <v/>
      </c>
      <c r="IE16" s="857" t="str">
        <f t="shared" si="78"/>
        <v/>
      </c>
      <c r="IF16" s="858"/>
      <c r="IG16" s="790" t="str">
        <f>IFERROR(IF($IW16="","",IF($IW16&lt;(((Settings!$C$19/2)*-1)*$IG$8),"Taper","Nose")),"")</f>
        <v/>
      </c>
      <c r="IH16" s="482" t="str">
        <f>IFERROR(IF((((($IY16*COS(RADIANS(180-$JA16)))*COS(RADIANS($JA16)))-(($IZ16*SIN(RADIANS(180-$JA16)))*SIN(RADIANS($JA16))))+$IW16)&lt;(((Settings!$C$19+$IH$8)/2)*-1),"Gage",""),"")</f>
        <v/>
      </c>
      <c r="II16" s="788">
        <f t="shared" si="241"/>
        <v>1.1459999999999999</v>
      </c>
      <c r="IJ16" s="674" t="str" cm="1">
        <f t="array" ref="IJ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K16" s="677" t="str" cm="1">
        <f t="array" ref="IK16">IFERROR(ROUND(VALUE(IF($IJ16&lt;1,$IJ16+LARGE((IF($M$9:$M$150="",0,$M$9:$M$150)-MOD(IF($M$9:$M$150="",0,$M$9:$M$150),1)),1),$IJ16)),4),"")</f>
        <v/>
      </c>
      <c r="IL16" s="482">
        <f t="shared" si="79"/>
        <v>1313</v>
      </c>
      <c r="IM16" s="482" t="str">
        <f t="shared" si="242"/>
        <v/>
      </c>
      <c r="IN16" s="670" t="str">
        <f t="shared" si="81"/>
        <v/>
      </c>
      <c r="IO16" s="702"/>
      <c r="IP16" s="5" t="str">
        <f t="shared" si="82"/>
        <v/>
      </c>
      <c r="IQ16" s="714"/>
      <c r="IR16" s="9" t="str">
        <f t="shared" si="132"/>
        <v/>
      </c>
      <c r="IS16" s="5" t="str">
        <f t="shared" si="83"/>
        <v/>
      </c>
      <c r="IT16" s="5" t="str">
        <f t="shared" si="84"/>
        <v/>
      </c>
      <c r="IU16" s="5" t="str">
        <f t="shared" si="85"/>
        <v/>
      </c>
      <c r="IV16" s="670" t="str">
        <f t="shared" si="86"/>
        <v/>
      </c>
      <c r="IW16" s="9" t="str">
        <f t="shared" si="87"/>
        <v/>
      </c>
      <c r="IX16" s="5" t="str">
        <f t="shared" si="88"/>
        <v/>
      </c>
      <c r="IY16" s="5" t="str">
        <f t="shared" si="89"/>
        <v/>
      </c>
      <c r="IZ16" s="5" t="str">
        <f t="shared" si="90"/>
        <v/>
      </c>
      <c r="JA16" s="705" t="str">
        <f t="shared" si="91"/>
        <v/>
      </c>
      <c r="JC16" s="31" t="s">
        <v>322</v>
      </c>
      <c r="JD16" s="745" t="str" cm="1">
        <f t="array" ref="JD16">IF($JC$9="","",IF(AND(ISTEXT(_xlfn.ANCHORARRAY($JC$9))=FALSE),"",SUM(COUNTIFS($IL$9:$IL$150,_xlfn.ANCHORARRAY($JC$9),$IK$9:$IK$150,"",$IL$9:$IL$150,IF(ISTEXT(_xlfn.ANCHORARRAY($JC$9)),_xlfn.ANCHORARRAY($JC$9),"")))))</f>
        <v/>
      </c>
      <c r="JG16" s="31"/>
      <c r="JH16" s="31"/>
      <c r="JI16" s="31"/>
      <c r="JM16" s="489">
        <f t="shared" si="133"/>
        <v>46</v>
      </c>
      <c r="JN16" s="960">
        <f>($JO16-SMALL($JO$9:$JO$88,1))/((Settings!$C$19/2)-((Settings!$C$19/2)-LARGE($JO$9:$JO$88,1))-SMALL($JO$9:$JO$88,1))</f>
        <v>0.99996440569105094</v>
      </c>
      <c r="JO16" s="162">
        <f t="shared" si="134"/>
        <v>3.7234895994909039</v>
      </c>
      <c r="JP16" s="961">
        <f t="shared" si="135"/>
        <v>-84.959373709566449</v>
      </c>
      <c r="JQ16" s="961">
        <f t="shared" si="136"/>
        <v>29.734495099119478</v>
      </c>
      <c r="JS16" s="82">
        <v>8</v>
      </c>
      <c r="JT16" s="322">
        <f t="shared" si="137"/>
        <v>1.5595997987388279</v>
      </c>
      <c r="JU16" s="963">
        <f t="shared" si="138"/>
        <v>0.36836468041116954</v>
      </c>
      <c r="JV16" s="964">
        <v>3</v>
      </c>
      <c r="JW16" s="961">
        <f t="shared" si="92"/>
        <v>15.135831151959476</v>
      </c>
      <c r="JX16" s="1">
        <v>2.0733000000000001</v>
      </c>
      <c r="JY16" s="965">
        <f t="shared" si="139"/>
        <v>0.25521990553405632</v>
      </c>
      <c r="JZ16" s="965"/>
      <c r="KA16" s="965"/>
      <c r="KB16" s="974">
        <f t="shared" si="243"/>
        <v>8</v>
      </c>
      <c r="KC16" s="971" cm="1">
        <f t="array" ref="KC16">(((INDEX($JV$9:$JV$53,MATCH(INDEX($JU$9:$JU$53,MATCH(TRUE,INDEX($JU$9:$JU$53&gt;$JY16,0),)),$JU$9:$JU$53,0))-INDEX($JV$9:$JV$53,MATCH(INDEX($JU$9:$JU$53,MATCH(TRUE,INDEX($JU$9:$JU$53&gt;$JY16,0),)-1),$JU$9:$JU$53,0)))*(($JY16-INDEX($JU$9:$JU$53,MATCH(TRUE,INDEX($JU$9:$JU$53&gt;$JY16,0),)-1))/(INDEX($JU$9:$JU$53,MATCH(TRUE,INDEX($JU$9:$JU$53&gt;$JY16,0),))-INDEX($JU$9:$JU$53,MATCH(TRUE,INDEX($JU$9:$JU$53&gt;$JY16,0),)-1))))+INDEX($JV$9:$JV$53,MATCH(INDEX($JU$9:$JU$53,MATCH(TRUE,INDEX($JU$9:$JU$53&gt;$JY16,0),)-1),$JU$9:$JU$53,0)))</f>
        <v>3</v>
      </c>
      <c r="KD16" s="968">
        <v>3</v>
      </c>
      <c r="KE16" s="968">
        <f t="shared" si="140"/>
        <v>0</v>
      </c>
      <c r="KF16" s="972">
        <v>15</v>
      </c>
      <c r="KG16" s="966">
        <f t="shared" si="244"/>
        <v>0</v>
      </c>
      <c r="KH16" s="966">
        <f t="shared" si="141"/>
        <v>0</v>
      </c>
      <c r="KJ16" s="31"/>
    </row>
    <row r="17" spans="1:296" ht="15" customHeight="1" x14ac:dyDescent="0.25">
      <c r="A17" s="75">
        <f t="shared" si="1"/>
        <v>0.02</v>
      </c>
      <c r="B17" s="578">
        <f t="shared" ref="B17:D17" si="272">IFERROR(O172+($A17*-E17),"")</f>
        <v>1.5548702972700961</v>
      </c>
      <c r="C17" s="572">
        <f t="shared" si="272"/>
        <v>1.5077901014711268</v>
      </c>
      <c r="D17" s="576">
        <f t="shared" si="272"/>
        <v>-6.1167324601780197E-2</v>
      </c>
      <c r="E17" s="580">
        <f t="shared" ref="E17:K17" si="273">R172</f>
        <v>-0.66760087609527574</v>
      </c>
      <c r="F17" s="572">
        <f t="shared" si="273"/>
        <v>0.69825520050375489</v>
      </c>
      <c r="G17" s="579">
        <f t="shared" si="273"/>
        <v>0.2583577852635402</v>
      </c>
      <c r="H17" s="580">
        <f t="shared" si="273"/>
        <v>0.26450000000000001</v>
      </c>
      <c r="I17" s="572">
        <f t="shared" si="273"/>
        <v>0.52</v>
      </c>
      <c r="J17" s="483">
        <f t="shared" si="94"/>
        <v>2.113</v>
      </c>
      <c r="K17" s="806">
        <f t="shared" si="273"/>
        <v>1313</v>
      </c>
      <c r="M17" s="164">
        <f t="shared" si="4"/>
        <v>2.113</v>
      </c>
      <c r="N17" s="575">
        <f t="shared" si="5"/>
        <v>1.5548702972700961</v>
      </c>
      <c r="O17" s="572">
        <f t="shared" si="6"/>
        <v>1.5077901014711268</v>
      </c>
      <c r="P17" s="576">
        <f t="shared" si="7"/>
        <v>-6.1167324601780197E-2</v>
      </c>
      <c r="Q17" s="528">
        <f>IF(M17="","",IF(DEGREES(ATAN2(N17,O17))&lt;0,DEGREES(ATAN2(N17,O17))+360,IF(DEGREES(ATAN2(N17,O17))&gt;360,DEGREES(ATAN2(N17,O17))-360,DEGREES(ATAN2(N17,O17)))))</f>
        <v>44.119300308660584</v>
      </c>
      <c r="R17" s="572">
        <f>IF(M17="","",SQRT(N17^2+O17^2))</f>
        <v>2.1658837991515401</v>
      </c>
      <c r="S17" s="577">
        <f>IF(M17="","",P17)</f>
        <v>-6.1167324601780197E-2</v>
      </c>
      <c r="T17" s="578">
        <f>IF(M17="","",X17*COS(RADIANS(W17)))</f>
        <v>1.5533395270320904</v>
      </c>
      <c r="U17" s="572">
        <f>IF(M17="","",X17*SIN(RADIANS(W17)))</f>
        <v>-1.5093670677429101</v>
      </c>
      <c r="V17" s="579">
        <f>IF(M17="","",Y17)</f>
        <v>-6.1167324601780197E-2</v>
      </c>
      <c r="W17" s="528">
        <f t="shared" si="268"/>
        <v>315.82256107833553</v>
      </c>
      <c r="X17" s="572">
        <f>IF(M17="","",R17)</f>
        <v>2.1658837991515401</v>
      </c>
      <c r="Y17" s="573">
        <f t="shared" si="271"/>
        <v>-6.1167324601780197E-2</v>
      </c>
      <c r="Z17" s="575">
        <f t="shared" si="10"/>
        <v>0.66760087609527574</v>
      </c>
      <c r="AA17" s="572">
        <f t="shared" si="11"/>
        <v>-0.69825520050375489</v>
      </c>
      <c r="AB17" s="572">
        <f t="shared" si="12"/>
        <v>-0.2583577852635402</v>
      </c>
      <c r="AC17" s="579">
        <f>IF(M17="","",SQRT(Z17^2+AA17^2+AB17^2))</f>
        <v>1</v>
      </c>
      <c r="AD17" s="580">
        <f>IF(M17="","",Z17*(1/SQRT(Z17^2+AA17^2+AB17^2)))</f>
        <v>0.66760087609527574</v>
      </c>
      <c r="AE17" s="572">
        <f>IF(M17="","",AA17*(1/SQRT(Z17^2+AA17^2+AB17^2)))</f>
        <v>-0.69825520050375489</v>
      </c>
      <c r="AF17" s="576">
        <f>IF(M17="","",AB17*(1/SQRT(Z17^2+AA17^2+AB17^2)))</f>
        <v>-0.2583577852635402</v>
      </c>
      <c r="AG17" s="545">
        <f>IF(M17="","",DEGREES(ATAN2(-AF17,AE17)))</f>
        <v>-69.695283705014475</v>
      </c>
      <c r="AH17" s="546">
        <f>IF(M17="","",DEGREES(ACOS(AD17)))</f>
        <v>48.117831777016676</v>
      </c>
      <c r="AI17" s="528">
        <f>IF(M17="","",DEGREES(-ACOS(-AF17)))</f>
        <v>-75.027358780283421</v>
      </c>
      <c r="AJ17" s="529">
        <f>IF(M17="","",DEGREES(ATAN2(-AE17,AD17)))</f>
        <v>43.714309188897623</v>
      </c>
      <c r="AK17" s="578">
        <f>IF(M17="","",(COS(RADIANS((90-$Q$8)-W17))*AD17)+(-SIN(RADIANS((90-$Q$8)-W17))*AE17))</f>
        <v>0.96602516935913507</v>
      </c>
      <c r="AL17" s="572">
        <f>IF(M17="","",(SIN(RADIANS((90-$Q$8)-W17))*AD17)+(COS(RADIANS((90-$Q$8)-W17))*AE17))</f>
        <v>-6.8283935426501907E-3</v>
      </c>
      <c r="AM17" s="577">
        <f>IF(M17="","",AF17)</f>
        <v>-0.2583577852635402</v>
      </c>
      <c r="AN17" s="524">
        <f>IF(M17="","",DEGREES(ATAN2(-AM17,AL17)))</f>
        <v>-1.513974388467564</v>
      </c>
      <c r="AO17" s="525">
        <f t="shared" si="110"/>
        <v>14.977992263188085</v>
      </c>
      <c r="AP17" s="528">
        <f>IF(M17="","",DEGREES(ATAN2(AK17,AL17)))</f>
        <v>-0.4049911197628675</v>
      </c>
      <c r="AQ17" s="529">
        <f t="shared" si="13"/>
        <v>1.2628696581126215</v>
      </c>
      <c r="AR17" s="979"/>
      <c r="AS17" s="954">
        <f t="shared" si="147"/>
        <v>315.82256107833553</v>
      </c>
      <c r="AT17" s="950">
        <f t="shared" si="14"/>
        <v>-2.595102383848244E-2</v>
      </c>
      <c r="AU17" s="418"/>
      <c r="AV17" s="164" t="str">
        <f t="shared" si="15"/>
        <v/>
      </c>
      <c r="AW17" s="829" t="str">
        <f>IFERROR(INDEX(MassProp!C$9:C$150,MATCH($M17,MassProp!$B$9:$B$150,0)),"")</f>
        <v/>
      </c>
      <c r="AX17" s="830" t="str">
        <f>IFERROR(INDEX(MassProp!D$9:D$150,MATCH($M17,MassProp!$B$9:$B$150,0)),"")</f>
        <v/>
      </c>
      <c r="AY17" s="831" t="str">
        <f>IFERROR(INDEX(MassProp!E$9:E$150,MATCH($M17,MassProp!$B$9:$B$150,0)),"")</f>
        <v/>
      </c>
      <c r="AZ17" s="297" t="str">
        <f t="shared" si="148"/>
        <v/>
      </c>
      <c r="BA17" s="296" t="str">
        <f t="shared" si="16"/>
        <v/>
      </c>
      <c r="BB17" s="190" t="str">
        <f t="shared" si="149"/>
        <v/>
      </c>
      <c r="BC17" s="9"/>
      <c r="BD17" s="5" t="str">
        <f t="shared" si="150"/>
        <v/>
      </c>
      <c r="BE17" s="6" t="str">
        <f t="shared" si="17"/>
        <v/>
      </c>
      <c r="BF17" s="4" t="str">
        <f t="shared" si="18"/>
        <v/>
      </c>
      <c r="BG17" s="5" t="str">
        <f t="shared" si="19"/>
        <v/>
      </c>
      <c r="BH17" s="10" t="str">
        <f t="shared" si="20"/>
        <v/>
      </c>
      <c r="BI17" s="9" t="str">
        <f t="shared" si="151"/>
        <v/>
      </c>
      <c r="BJ17" s="5" t="str">
        <f t="shared" si="21"/>
        <v/>
      </c>
      <c r="BK17" s="8" t="str">
        <f t="shared" si="22"/>
        <v/>
      </c>
      <c r="BL17" s="173" t="str">
        <f t="shared" si="23"/>
        <v/>
      </c>
      <c r="BM17" s="5" t="str">
        <f t="shared" si="24"/>
        <v/>
      </c>
      <c r="BN17" s="6" t="str">
        <f t="shared" si="25"/>
        <v/>
      </c>
      <c r="BO17" s="4" t="str">
        <f t="shared" si="152"/>
        <v/>
      </c>
      <c r="BP17" s="5" t="str">
        <f t="shared" si="153"/>
        <v/>
      </c>
      <c r="BQ17" s="5" t="str">
        <f t="shared" si="154"/>
        <v/>
      </c>
      <c r="BR17" s="6" t="str">
        <f t="shared" si="155"/>
        <v/>
      </c>
      <c r="BS17" s="4" t="str">
        <f t="shared" si="112"/>
        <v/>
      </c>
      <c r="BT17" s="5" t="str">
        <f t="shared" si="112"/>
        <v/>
      </c>
      <c r="BU17" s="10" t="str">
        <f t="shared" si="113"/>
        <v/>
      </c>
      <c r="BV17" s="9" t="str">
        <f t="shared" si="114"/>
        <v/>
      </c>
      <c r="BW17" s="5" t="str">
        <f t="shared" si="115"/>
        <v/>
      </c>
      <c r="BX17" s="8" t="str">
        <f t="shared" si="116"/>
        <v/>
      </c>
      <c r="BY17" s="173" t="str">
        <f t="shared" si="117"/>
        <v/>
      </c>
      <c r="BZ17" s="5" t="str">
        <f t="shared" si="118"/>
        <v/>
      </c>
      <c r="CA17" s="6" t="str">
        <f t="shared" si="119"/>
        <v/>
      </c>
      <c r="CB17" s="4" t="str">
        <f t="shared" si="156"/>
        <v/>
      </c>
      <c r="CC17" s="5" t="str">
        <f t="shared" si="157"/>
        <v/>
      </c>
      <c r="CD17" s="5" t="str">
        <f t="shared" si="158"/>
        <v/>
      </c>
      <c r="CE17" s="6" t="str">
        <f t="shared" si="159"/>
        <v/>
      </c>
      <c r="CF17" s="4" t="str">
        <f t="shared" si="160"/>
        <v/>
      </c>
      <c r="CG17" s="5" t="str">
        <f t="shared" si="161"/>
        <v/>
      </c>
      <c r="CH17" s="5" t="str">
        <f t="shared" si="162"/>
        <v/>
      </c>
      <c r="CI17" s="4" t="str">
        <f t="shared" si="120"/>
        <v/>
      </c>
      <c r="CJ17" s="5" t="str">
        <f t="shared" si="121"/>
        <v/>
      </c>
      <c r="CK17" s="8" t="str">
        <f t="shared" si="122"/>
        <v/>
      </c>
      <c r="CL17" s="173" t="str">
        <f t="shared" si="123"/>
        <v/>
      </c>
      <c r="CM17" s="5" t="str">
        <f t="shared" si="124"/>
        <v/>
      </c>
      <c r="CN17" s="6" t="str">
        <f t="shared" si="125"/>
        <v/>
      </c>
      <c r="CO17" s="167" t="str">
        <f t="shared" si="26"/>
        <v/>
      </c>
      <c r="CP17" s="4" t="str">
        <f t="shared" si="248"/>
        <v/>
      </c>
      <c r="CQ17" s="5" t="str">
        <f t="shared" si="249"/>
        <v/>
      </c>
      <c r="CR17" s="5" t="str">
        <f t="shared" si="163"/>
        <v/>
      </c>
      <c r="CS17" s="8" t="str">
        <f t="shared" si="164"/>
        <v/>
      </c>
      <c r="CT17" s="9" t="str">
        <f t="shared" si="165"/>
        <v/>
      </c>
      <c r="CU17" s="6" t="str">
        <f t="shared" si="166"/>
        <v/>
      </c>
      <c r="CV17" s="4" t="str">
        <f t="shared" si="250"/>
        <v/>
      </c>
      <c r="CW17" s="5" t="str">
        <f t="shared" si="167"/>
        <v/>
      </c>
      <c r="CX17" s="8" t="str">
        <f t="shared" si="168"/>
        <v/>
      </c>
      <c r="CY17" s="9" t="str">
        <f t="shared" si="169"/>
        <v/>
      </c>
      <c r="CZ17" s="5" t="str">
        <f t="shared" si="170"/>
        <v/>
      </c>
      <c r="DA17" s="6" t="str">
        <f t="shared" si="171"/>
        <v/>
      </c>
      <c r="DB17" s="4" t="str">
        <f t="shared" si="172"/>
        <v/>
      </c>
      <c r="DC17" s="5" t="str">
        <f t="shared" si="172"/>
        <v/>
      </c>
      <c r="DD17" s="10" t="str">
        <f t="shared" si="173"/>
        <v/>
      </c>
      <c r="DE17" s="9" t="str">
        <f t="shared" si="174"/>
        <v/>
      </c>
      <c r="DF17" s="5" t="str">
        <f t="shared" si="174"/>
        <v/>
      </c>
      <c r="DG17" s="10" t="str">
        <f t="shared" si="175"/>
        <v/>
      </c>
      <c r="DH17" s="70" t="str">
        <f t="shared" si="176"/>
        <v/>
      </c>
      <c r="DI17" s="4" t="str">
        <f t="shared" si="177"/>
        <v/>
      </c>
      <c r="DJ17" s="5" t="str">
        <f t="shared" si="178"/>
        <v/>
      </c>
      <c r="DK17" s="10" t="str">
        <f t="shared" si="179"/>
        <v/>
      </c>
      <c r="DL17" s="9" t="str">
        <f t="shared" si="180"/>
        <v/>
      </c>
      <c r="DM17" s="173" t="str">
        <f t="shared" si="181"/>
        <v/>
      </c>
      <c r="DN17" s="178" t="str">
        <f t="shared" si="182"/>
        <v/>
      </c>
      <c r="DO17" s="9" t="str">
        <f t="shared" si="183"/>
        <v/>
      </c>
      <c r="DP17" s="173" t="str">
        <f t="shared" si="184"/>
        <v/>
      </c>
      <c r="DQ17" s="11" t="str">
        <f t="shared" si="185"/>
        <v/>
      </c>
      <c r="DR17" s="173" t="str">
        <f t="shared" si="186"/>
        <v/>
      </c>
      <c r="DS17" s="5" t="str">
        <f t="shared" si="187"/>
        <v/>
      </c>
      <c r="DT17" s="5" t="str">
        <f t="shared" si="188"/>
        <v/>
      </c>
      <c r="DU17" s="5" t="str">
        <f t="shared" si="189"/>
        <v/>
      </c>
      <c r="DV17" s="5" t="str">
        <f t="shared" si="190"/>
        <v/>
      </c>
      <c r="DW17" s="5" t="str">
        <f t="shared" si="191"/>
        <v/>
      </c>
      <c r="DX17" s="167" t="str">
        <f t="shared" si="192"/>
        <v/>
      </c>
      <c r="DY17" s="9" t="str">
        <f t="shared" si="193"/>
        <v/>
      </c>
      <c r="DZ17" s="5" t="str">
        <f t="shared" si="194"/>
        <v/>
      </c>
      <c r="EA17" s="10" t="str">
        <f t="shared" si="195"/>
        <v/>
      </c>
      <c r="EB17" s="6" t="str">
        <f t="shared" si="196"/>
        <v/>
      </c>
      <c r="EC17" s="173" t="str">
        <f t="shared" si="197"/>
        <v/>
      </c>
      <c r="ED17" s="5" t="str">
        <f t="shared" si="198"/>
        <v/>
      </c>
      <c r="EE17" s="4" t="str">
        <f t="shared" si="199"/>
        <v/>
      </c>
      <c r="EF17" s="5" t="str">
        <f t="shared" si="200"/>
        <v/>
      </c>
      <c r="EG17" s="10" t="str">
        <f t="shared" si="201"/>
        <v/>
      </c>
      <c r="EH17" s="9" t="str">
        <f t="shared" si="202"/>
        <v/>
      </c>
      <c r="EI17" s="5" t="str">
        <f t="shared" si="203"/>
        <v/>
      </c>
      <c r="EJ17" s="6" t="str">
        <f t="shared" si="204"/>
        <v/>
      </c>
      <c r="EK17" s="236" t="str">
        <f t="shared" si="205"/>
        <v/>
      </c>
      <c r="EL17" s="238" t="str">
        <f t="shared" si="206"/>
        <v/>
      </c>
      <c r="EM17" s="4" t="str">
        <f t="shared" si="207"/>
        <v/>
      </c>
      <c r="EN17" s="5" t="str">
        <f t="shared" si="208"/>
        <v/>
      </c>
      <c r="EO17" s="10" t="str">
        <f t="shared" si="209"/>
        <v/>
      </c>
      <c r="EP17" s="9" t="str">
        <f t="shared" si="210"/>
        <v/>
      </c>
      <c r="EQ17" s="5" t="str">
        <f t="shared" si="211"/>
        <v/>
      </c>
      <c r="ER17" s="7" t="str">
        <f t="shared" si="212"/>
        <v/>
      </c>
      <c r="ES17" s="21" t="str">
        <f t="shared" si="126"/>
        <v/>
      </c>
      <c r="ET17" s="5" t="str">
        <f t="shared" si="35"/>
        <v/>
      </c>
      <c r="EU17" s="10" t="str">
        <f t="shared" si="36"/>
        <v/>
      </c>
      <c r="EV17" s="174" t="str">
        <f t="shared" si="264"/>
        <v/>
      </c>
      <c r="EW17" s="9" t="str">
        <f t="shared" si="127"/>
        <v/>
      </c>
      <c r="EX17" s="5" t="str">
        <f t="shared" si="37"/>
        <v/>
      </c>
      <c r="EY17" s="6" t="str">
        <f t="shared" si="213"/>
        <v/>
      </c>
      <c r="EZ17" s="51" t="str">
        <f t="shared" si="214"/>
        <v/>
      </c>
      <c r="FA17" s="266" t="str">
        <f t="shared" si="128"/>
        <v/>
      </c>
      <c r="FB17" s="267" t="str">
        <f t="shared" si="129"/>
        <v/>
      </c>
      <c r="FC17" s="269" t="str">
        <f t="shared" si="38"/>
        <v/>
      </c>
      <c r="FD17" s="4" t="str">
        <f t="shared" si="130"/>
        <v/>
      </c>
      <c r="FE17" s="5" t="str">
        <f t="shared" si="39"/>
        <v/>
      </c>
      <c r="FF17" s="7" t="str">
        <f t="shared" si="215"/>
        <v/>
      </c>
      <c r="FG17" s="173" t="str">
        <f t="shared" si="216"/>
        <v/>
      </c>
      <c r="FH17" s="5" t="str">
        <f t="shared" si="40"/>
        <v/>
      </c>
      <c r="FI17" s="10" t="str">
        <f t="shared" si="41"/>
        <v/>
      </c>
      <c r="FJ17" s="279" t="str">
        <f t="shared" si="217"/>
        <v/>
      </c>
      <c r="FK17" s="4" t="str">
        <f t="shared" si="42"/>
        <v/>
      </c>
      <c r="FL17" s="5" t="str">
        <f t="shared" si="218"/>
        <v/>
      </c>
      <c r="FM17" s="8" t="str">
        <f t="shared" si="219"/>
        <v/>
      </c>
      <c r="FN17" s="9" t="str">
        <f t="shared" si="220"/>
        <v/>
      </c>
      <c r="FO17" s="10" t="str">
        <f t="shared" si="43"/>
        <v/>
      </c>
      <c r="FP17" s="277" t="str">
        <f t="shared" si="44"/>
        <v/>
      </c>
      <c r="FQ17" s="173" t="str">
        <f t="shared" si="251"/>
        <v/>
      </c>
      <c r="FR17" s="10" t="str">
        <f t="shared" si="221"/>
        <v/>
      </c>
      <c r="FS17" s="9" t="str">
        <f t="shared" si="222"/>
        <v/>
      </c>
      <c r="FT17" s="6" t="str">
        <f t="shared" si="223"/>
        <v/>
      </c>
      <c r="FU17" s="4" t="str">
        <f t="shared" si="224"/>
        <v/>
      </c>
      <c r="FV17" s="5" t="str">
        <f t="shared" si="225"/>
        <v/>
      </c>
      <c r="FW17" s="8" t="str">
        <f t="shared" si="252"/>
        <v/>
      </c>
      <c r="FX17" s="9" t="str">
        <f t="shared" si="253"/>
        <v/>
      </c>
      <c r="FY17" s="10" t="str">
        <f t="shared" si="45"/>
        <v/>
      </c>
      <c r="FZ17" s="277" t="str">
        <f t="shared" si="254"/>
        <v/>
      </c>
      <c r="GA17" s="177" t="str">
        <f t="shared" si="226"/>
        <v/>
      </c>
      <c r="GB17" s="4" t="str">
        <f t="shared" si="227"/>
        <v/>
      </c>
      <c r="GC17" s="5" t="str">
        <f t="shared" si="228"/>
        <v/>
      </c>
      <c r="GD17" s="10" t="str">
        <f t="shared" si="229"/>
        <v/>
      </c>
      <c r="GE17" s="311" t="str">
        <f t="shared" si="230"/>
        <v/>
      </c>
      <c r="GF17" s="341" t="str">
        <f t="shared" si="255"/>
        <v/>
      </c>
      <c r="GG17" s="285" t="str">
        <f t="shared" si="46"/>
        <v/>
      </c>
      <c r="GH17" s="286" t="str">
        <f t="shared" si="47"/>
        <v/>
      </c>
      <c r="GI17" s="281" t="str">
        <f t="shared" si="48"/>
        <v/>
      </c>
      <c r="GJ17" s="167" t="str">
        <f t="shared" si="231"/>
        <v/>
      </c>
      <c r="GK17" s="174" t="str">
        <f t="shared" si="49"/>
        <v/>
      </c>
      <c r="GL17" s="174" t="str">
        <f t="shared" si="232"/>
        <v/>
      </c>
      <c r="GM17" s="177" t="str">
        <f t="shared" si="256"/>
        <v/>
      </c>
      <c r="GN17" s="280" t="str">
        <f t="shared" si="233"/>
        <v/>
      </c>
      <c r="GO17" s="4" t="str">
        <f t="shared" si="234"/>
        <v/>
      </c>
      <c r="GP17" s="8" t="str">
        <f t="shared" si="257"/>
        <v/>
      </c>
      <c r="GQ17" s="177" t="str">
        <f t="shared" si="235"/>
        <v/>
      </c>
      <c r="GR17" s="371" t="str">
        <f t="shared" si="258"/>
        <v/>
      </c>
      <c r="GS17" s="342" t="str">
        <f t="shared" si="51"/>
        <v/>
      </c>
      <c r="GT17" s="343" t="str">
        <f t="shared" si="52"/>
        <v/>
      </c>
      <c r="GU17" s="344" t="str">
        <f t="shared" si="53"/>
        <v/>
      </c>
      <c r="GV17" s="343" t="str">
        <f t="shared" si="265"/>
        <v/>
      </c>
      <c r="GW17" s="345" t="str">
        <f t="shared" si="54"/>
        <v/>
      </c>
      <c r="GX17" s="346" t="str">
        <f t="shared" si="55"/>
        <v/>
      </c>
      <c r="GY17" s="344" t="str">
        <f t="shared" si="56"/>
        <v/>
      </c>
      <c r="GZ17" s="345" t="str">
        <f t="shared" si="57"/>
        <v/>
      </c>
      <c r="HA17" s="342" t="str">
        <f t="shared" si="58"/>
        <v/>
      </c>
      <c r="HB17" s="5" t="str">
        <f t="shared" si="236"/>
        <v/>
      </c>
      <c r="HC17" s="343" t="str">
        <f t="shared" si="237"/>
        <v/>
      </c>
      <c r="HD17" s="345" t="str">
        <f t="shared" si="238"/>
        <v/>
      </c>
      <c r="HE17" s="344" t="str">
        <f t="shared" si="59"/>
        <v/>
      </c>
      <c r="HF17" s="5" t="str">
        <f t="shared" si="60"/>
        <v/>
      </c>
      <c r="HG17" s="343" t="str">
        <f t="shared" si="239"/>
        <v/>
      </c>
      <c r="HH17" s="349" t="str">
        <f t="shared" si="240"/>
        <v/>
      </c>
      <c r="HI17" s="317" t="str">
        <f t="shared" si="61"/>
        <v/>
      </c>
      <c r="HJ17" s="336"/>
      <c r="HK17" s="310" t="str">
        <f t="shared" si="131"/>
        <v/>
      </c>
      <c r="HL17" s="348" t="str">
        <f t="shared" si="62"/>
        <v/>
      </c>
      <c r="HM17" s="923" t="str">
        <f t="shared" si="63"/>
        <v/>
      </c>
      <c r="HN17" s="924" t="str">
        <f t="shared" si="64"/>
        <v/>
      </c>
      <c r="HO17" s="925"/>
      <c r="HP17" s="926"/>
      <c r="HQ17" s="924" t="str">
        <f t="shared" si="65"/>
        <v/>
      </c>
      <c r="HR17" s="927" t="str">
        <f t="shared" si="66"/>
        <v/>
      </c>
      <c r="HS17" s="879" t="str">
        <f t="shared" si="261"/>
        <v/>
      </c>
      <c r="HT17" s="889" t="str">
        <f t="shared" si="67"/>
        <v/>
      </c>
      <c r="HU17" s="890" t="str">
        <f t="shared" si="68"/>
        <v/>
      </c>
      <c r="HV17" s="886" t="str">
        <f t="shared" si="69"/>
        <v/>
      </c>
      <c r="HW17" s="880" t="str">
        <f t="shared" si="70"/>
        <v/>
      </c>
      <c r="HX17" s="881" t="str">
        <f t="shared" si="71"/>
        <v/>
      </c>
      <c r="HY17" s="880" t="str">
        <f t="shared" si="72"/>
        <v/>
      </c>
      <c r="HZ17" s="882" t="str">
        <f t="shared" si="73"/>
        <v/>
      </c>
      <c r="IA17" s="883" t="str">
        <f t="shared" si="74"/>
        <v/>
      </c>
      <c r="IB17" s="884" t="str">
        <f t="shared" si="75"/>
        <v/>
      </c>
      <c r="IC17" s="855" t="str">
        <f t="shared" si="76"/>
        <v/>
      </c>
      <c r="ID17" s="351" t="str">
        <f t="shared" si="77"/>
        <v/>
      </c>
      <c r="IE17" s="857" t="str">
        <f t="shared" si="78"/>
        <v/>
      </c>
      <c r="IF17" s="858"/>
      <c r="IG17" s="790" t="str">
        <f>IFERROR(IF($IW17="","",IF($IW17&lt;(((Settings!$C$19/2)*-1)*$IG$8),"Taper","Nose")),"")</f>
        <v/>
      </c>
      <c r="IH17" s="482" t="str">
        <f>IFERROR(IF((((($IY17*COS(RADIANS(180-$JA17)))*COS(RADIANS($JA17)))-(($IZ17*SIN(RADIANS(180-$JA17)))*SIN(RADIANS($JA17))))+$IW17)&lt;(((Settings!$C$19+$IH$8)/2)*-1),"Gage",""),"")</f>
        <v/>
      </c>
      <c r="II17" s="788">
        <f t="shared" si="241"/>
        <v>2.113</v>
      </c>
      <c r="IJ17" s="674" t="str" cm="1">
        <f t="array" ref="IJ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K17" s="677" t="str" cm="1">
        <f t="array" ref="IK17">IFERROR(ROUND(VALUE(IF($IJ17&lt;1,$IJ17+LARGE((IF($M$9:$M$150="",0,$M$9:$M$150)-MOD(IF($M$9:$M$150="",0,$M$9:$M$150),1)),1),$IJ17)),4),"")</f>
        <v/>
      </c>
      <c r="IL17" s="482">
        <f t="shared" si="79"/>
        <v>1313</v>
      </c>
      <c r="IM17" s="482" t="str">
        <f t="shared" si="242"/>
        <v/>
      </c>
      <c r="IN17" s="670" t="str">
        <f t="shared" si="81"/>
        <v/>
      </c>
      <c r="IO17" s="702"/>
      <c r="IP17" s="5" t="str">
        <f t="shared" si="82"/>
        <v/>
      </c>
      <c r="IQ17" s="714"/>
      <c r="IR17" s="9" t="str">
        <f t="shared" si="132"/>
        <v/>
      </c>
      <c r="IS17" s="5" t="str">
        <f t="shared" si="83"/>
        <v/>
      </c>
      <c r="IT17" s="5" t="str">
        <f t="shared" si="84"/>
        <v/>
      </c>
      <c r="IU17" s="5" t="str">
        <f t="shared" si="85"/>
        <v/>
      </c>
      <c r="IV17" s="670" t="str">
        <f t="shared" si="86"/>
        <v/>
      </c>
      <c r="IW17" s="9" t="str">
        <f t="shared" si="87"/>
        <v/>
      </c>
      <c r="IX17" s="5" t="str">
        <f t="shared" si="88"/>
        <v/>
      </c>
      <c r="IY17" s="5" t="str">
        <f t="shared" si="89"/>
        <v/>
      </c>
      <c r="IZ17" s="5" t="str">
        <f t="shared" si="90"/>
        <v/>
      </c>
      <c r="JA17" s="705" t="str">
        <f t="shared" si="91"/>
        <v/>
      </c>
      <c r="JM17" s="489">
        <f t="shared" si="133"/>
        <v>13</v>
      </c>
      <c r="JN17" s="960">
        <f>($JO17-SMALL($JO$9:$JO$88,1))/((Settings!$C$19/2)-((Settings!$C$19/2)-LARGE($JO$9:$JO$88,1))-SMALL($JO$9:$JO$88,1))</f>
        <v>0.5453278547692938</v>
      </c>
      <c r="JO17" s="162">
        <f t="shared" si="134"/>
        <v>2.1658837991515401</v>
      </c>
      <c r="JP17" s="961">
        <f t="shared" si="135"/>
        <v>-1.513974388467564</v>
      </c>
      <c r="JQ17" s="961">
        <f t="shared" si="136"/>
        <v>14.977992263188085</v>
      </c>
      <c r="JS17" s="82">
        <v>9</v>
      </c>
      <c r="JT17" s="322">
        <f t="shared" si="137"/>
        <v>1.7172541237354297</v>
      </c>
      <c r="JU17" s="963">
        <f t="shared" si="138"/>
        <v>0.41438108490756809</v>
      </c>
      <c r="JV17" s="964">
        <v>3</v>
      </c>
      <c r="JW17" s="961">
        <f t="shared" si="92"/>
        <v>15.092974446194832</v>
      </c>
      <c r="JX17" s="1">
        <v>2.3206000000000002</v>
      </c>
      <c r="JY17" s="965">
        <f t="shared" si="139"/>
        <v>0.2916084224775975</v>
      </c>
      <c r="JZ17" s="965"/>
      <c r="KA17" s="965"/>
      <c r="KB17" s="977">
        <f t="shared" si="243"/>
        <v>9</v>
      </c>
      <c r="KC17" s="971" cm="1">
        <f t="array" ref="KC17">(((INDEX($JV$9:$JV$53,MATCH(INDEX($JU$9:$JU$53,MATCH(TRUE,INDEX($JU$9:$JU$53&gt;$JY17,0),)),$JU$9:$JU$53,0))-INDEX($JV$9:$JV$53,MATCH(INDEX($JU$9:$JU$53,MATCH(TRUE,INDEX($JU$9:$JU$53&gt;$JY17,0),)-1),$JU$9:$JU$53,0)))*(($JY17-INDEX($JU$9:$JU$53,MATCH(TRUE,INDEX($JU$9:$JU$53&gt;$JY17,0),)-1))/(INDEX($JU$9:$JU$53,MATCH(TRUE,INDEX($JU$9:$JU$53&gt;$JY17,0),))-INDEX($JU$9:$JU$53,MATCH(TRUE,INDEX($JU$9:$JU$53&gt;$JY17,0),)-1))))+INDEX($JV$9:$JV$53,MATCH(INDEX($JU$9:$JU$53,MATCH(TRUE,INDEX($JU$9:$JU$53&gt;$JY17,0),)-1),$JU$9:$JU$53,0)))</f>
        <v>3</v>
      </c>
      <c r="KD17" s="968">
        <v>3</v>
      </c>
      <c r="KE17" s="968">
        <f t="shared" si="140"/>
        <v>0</v>
      </c>
      <c r="KF17" s="972">
        <v>15</v>
      </c>
      <c r="KG17" s="966">
        <f t="shared" si="244"/>
        <v>0</v>
      </c>
      <c r="KH17" s="966">
        <f t="shared" si="141"/>
        <v>0</v>
      </c>
      <c r="KJ17" s="31"/>
    </row>
    <row r="18" spans="1:296" ht="15" customHeight="1" x14ac:dyDescent="0.25">
      <c r="A18" s="75">
        <f t="shared" si="1"/>
        <v>0.02</v>
      </c>
      <c r="B18" s="578">
        <f t="shared" ref="B18:D18" si="274">IFERROR(O173+($A18*-E18),"")</f>
        <v>2.0562438921064246</v>
      </c>
      <c r="C18" s="572">
        <f t="shared" si="274"/>
        <v>1.9444616335266911</v>
      </c>
      <c r="D18" s="576">
        <f t="shared" si="274"/>
        <v>-0.19771187313668673</v>
      </c>
      <c r="E18" s="580">
        <f>R173</f>
        <v>-0.59104435980995451</v>
      </c>
      <c r="F18" s="572">
        <f t="shared" ref="F18:K18" si="275">S173</f>
        <v>0.77147644579378272</v>
      </c>
      <c r="G18" s="579">
        <f t="shared" si="275"/>
        <v>0.23556455234655699</v>
      </c>
      <c r="H18" s="580">
        <f t="shared" si="275"/>
        <v>0.26450000000000001</v>
      </c>
      <c r="I18" s="572">
        <f t="shared" si="275"/>
        <v>0.52</v>
      </c>
      <c r="J18" s="483">
        <f t="shared" si="94"/>
        <v>2.121</v>
      </c>
      <c r="K18" s="806">
        <f t="shared" si="275"/>
        <v>1313</v>
      </c>
      <c r="L18" s="720" t="s">
        <v>322</v>
      </c>
      <c r="M18" s="164">
        <f t="shared" si="4"/>
        <v>2.121</v>
      </c>
      <c r="N18" s="575">
        <f t="shared" si="5"/>
        <v>2.0562438921064246</v>
      </c>
      <c r="O18" s="572">
        <f t="shared" si="6"/>
        <v>1.9444616335266911</v>
      </c>
      <c r="P18" s="576">
        <f t="shared" si="7"/>
        <v>-0.19771187313668673</v>
      </c>
      <c r="Q18" s="528">
        <f t="shared" si="144"/>
        <v>43.399535851636507</v>
      </c>
      <c r="R18" s="572">
        <f>IF(M18="","",SQRT(N18^2+O18^2))</f>
        <v>2.8300300330707207</v>
      </c>
      <c r="S18" s="577">
        <f>IF(M18="","",P18)</f>
        <v>-0.19771187313668673</v>
      </c>
      <c r="T18" s="578">
        <f>IF(M18="","",X18*COS(RADIANS(W18)))</f>
        <v>2.0047205171902256</v>
      </c>
      <c r="U18" s="572">
        <f>IF(M18="","",X18*SIN(RADIANS(W18)))</f>
        <v>-1.9975398959817592</v>
      </c>
      <c r="V18" s="579">
        <f>IF(M18="","",Y18)</f>
        <v>-0.19771187313668673</v>
      </c>
      <c r="W18" s="528">
        <f t="shared" si="268"/>
        <v>315.10279662131154</v>
      </c>
      <c r="X18" s="572">
        <f>IF(M18="","",R18)</f>
        <v>2.8300300330707207</v>
      </c>
      <c r="Y18" s="573">
        <f t="shared" si="271"/>
        <v>-0.19771187313668673</v>
      </c>
      <c r="Z18" s="575">
        <f t="shared" si="10"/>
        <v>0.59104435980995451</v>
      </c>
      <c r="AA18" s="572">
        <f t="shared" si="11"/>
        <v>-0.77147644579378272</v>
      </c>
      <c r="AB18" s="572">
        <f t="shared" si="12"/>
        <v>-0.23556455234655699</v>
      </c>
      <c r="AC18" s="579">
        <f>IF(M18="","",SQRT(Z18^2+AA18^2+AB18^2))</f>
        <v>1</v>
      </c>
      <c r="AD18" s="580">
        <f>IF(M18="","",Z18*(1/SQRT(Z18^2+AA18^2+AB18^2)))</f>
        <v>0.59104435980995451</v>
      </c>
      <c r="AE18" s="572">
        <f>IF(M18="","",AA18*(1/SQRT(Z18^2+AA18^2+AB18^2)))</f>
        <v>-0.77147644579378272</v>
      </c>
      <c r="AF18" s="576">
        <f>IF(M18="","",AB18*(1/SQRT(Z18^2+AA18^2+AB18^2)))</f>
        <v>-0.23556455234655699</v>
      </c>
      <c r="AG18" s="545">
        <f>IF(M18="","",DEGREES(ATAN2(-AF18,AE18)))</f>
        <v>-73.020341777938938</v>
      </c>
      <c r="AH18" s="546">
        <f>IF(M18="","",DEGREES(ACOS(AD18)))</f>
        <v>53.768845785528207</v>
      </c>
      <c r="AI18" s="528">
        <f>IF(M18="","",DEGREES(-ACOS(-AF18)))</f>
        <v>-76.375096470794418</v>
      </c>
      <c r="AJ18" s="529">
        <f>IF(M18="","",DEGREES(ATAN2(-AE18,AD18)))</f>
        <v>37.456486222067099</v>
      </c>
      <c r="AK18" s="578">
        <f>IF(M18="","",(COS(RADIANS((90-$Q$8)-W18))*AD18)+(-SIN(RADIANS((90-$Q$8)-W18))*AE18))</f>
        <v>0.96663525791702398</v>
      </c>
      <c r="AL18" s="572">
        <f>IF(M18="","",(SIN(RADIANS((90-$Q$8)-W18))*AD18)+(COS(RADIANS((90-$Q$8)-W18))*AE18))</f>
        <v>-0.1006261388976778</v>
      </c>
      <c r="AM18" s="577">
        <f>IF(M18="","",AF18)</f>
        <v>-0.23556455234655699</v>
      </c>
      <c r="AN18" s="524">
        <f>IF(M18="","",DEGREES(ATAN2(-AM18,AL18)))</f>
        <v>-23.130725859540604</v>
      </c>
      <c r="AO18" s="525">
        <f t="shared" si="110"/>
        <v>14.842138550274303</v>
      </c>
      <c r="AP18" s="528">
        <f>IF(M18="","",DEGREES(ATAN2(AK18,AL18)))</f>
        <v>-5.9430496295694191</v>
      </c>
      <c r="AQ18" s="529">
        <f t="shared" si="13"/>
        <v>0.96656657607962015</v>
      </c>
      <c r="AR18" s="979"/>
      <c r="AS18" s="954">
        <f t="shared" si="147"/>
        <v>315.10279662131154</v>
      </c>
      <c r="AT18" s="950">
        <f t="shared" si="14"/>
        <v>-0.16189576865920233</v>
      </c>
      <c r="AU18" s="418"/>
      <c r="AV18" s="164" t="str">
        <f t="shared" si="15"/>
        <v/>
      </c>
      <c r="AW18" s="829" t="str">
        <f>IFERROR(INDEX(MassProp!C$9:C$150,MATCH($M18,MassProp!$B$9:$B$150,0)),"")</f>
        <v/>
      </c>
      <c r="AX18" s="830" t="str">
        <f>IFERROR(INDEX(MassProp!D$9:D$150,MATCH($M18,MassProp!$B$9:$B$150,0)),"")</f>
        <v/>
      </c>
      <c r="AY18" s="831" t="str">
        <f>IFERROR(INDEX(MassProp!E$9:E$150,MATCH($M18,MassProp!$B$9:$B$150,0)),"")</f>
        <v/>
      </c>
      <c r="AZ18" s="297" t="str">
        <f t="shared" si="148"/>
        <v/>
      </c>
      <c r="BA18" s="296" t="str">
        <f t="shared" si="16"/>
        <v/>
      </c>
      <c r="BB18" s="190" t="str">
        <f t="shared" si="149"/>
        <v/>
      </c>
      <c r="BC18" s="9"/>
      <c r="BD18" s="5" t="str">
        <f t="shared" si="150"/>
        <v/>
      </c>
      <c r="BE18" s="6" t="str">
        <f t="shared" si="17"/>
        <v/>
      </c>
      <c r="BF18" s="4" t="str">
        <f t="shared" si="18"/>
        <v/>
      </c>
      <c r="BG18" s="5" t="str">
        <f t="shared" si="19"/>
        <v/>
      </c>
      <c r="BH18" s="10" t="str">
        <f t="shared" si="20"/>
        <v/>
      </c>
      <c r="BI18" s="9" t="str">
        <f t="shared" si="151"/>
        <v/>
      </c>
      <c r="BJ18" s="5" t="str">
        <f t="shared" si="21"/>
        <v/>
      </c>
      <c r="BK18" s="8" t="str">
        <f t="shared" si="22"/>
        <v/>
      </c>
      <c r="BL18" s="173" t="str">
        <f t="shared" si="23"/>
        <v/>
      </c>
      <c r="BM18" s="5" t="str">
        <f t="shared" si="24"/>
        <v/>
      </c>
      <c r="BN18" s="6" t="str">
        <f t="shared" si="25"/>
        <v/>
      </c>
      <c r="BO18" s="4" t="str">
        <f t="shared" si="152"/>
        <v/>
      </c>
      <c r="BP18" s="5" t="str">
        <f t="shared" si="153"/>
        <v/>
      </c>
      <c r="BQ18" s="5" t="str">
        <f t="shared" si="154"/>
        <v/>
      </c>
      <c r="BR18" s="6" t="str">
        <f t="shared" si="155"/>
        <v/>
      </c>
      <c r="BS18" s="4" t="str">
        <f t="shared" si="112"/>
        <v/>
      </c>
      <c r="BT18" s="5" t="str">
        <f t="shared" si="112"/>
        <v/>
      </c>
      <c r="BU18" s="10" t="str">
        <f t="shared" si="113"/>
        <v/>
      </c>
      <c r="BV18" s="9" t="str">
        <f t="shared" si="114"/>
        <v/>
      </c>
      <c r="BW18" s="5" t="str">
        <f t="shared" si="115"/>
        <v/>
      </c>
      <c r="BX18" s="8" t="str">
        <f t="shared" si="116"/>
        <v/>
      </c>
      <c r="BY18" s="173" t="str">
        <f t="shared" si="117"/>
        <v/>
      </c>
      <c r="BZ18" s="5" t="str">
        <f t="shared" si="118"/>
        <v/>
      </c>
      <c r="CA18" s="6" t="str">
        <f t="shared" si="119"/>
        <v/>
      </c>
      <c r="CB18" s="4" t="str">
        <f t="shared" si="156"/>
        <v/>
      </c>
      <c r="CC18" s="5" t="str">
        <f t="shared" si="157"/>
        <v/>
      </c>
      <c r="CD18" s="5" t="str">
        <f t="shared" si="158"/>
        <v/>
      </c>
      <c r="CE18" s="6" t="str">
        <f t="shared" si="159"/>
        <v/>
      </c>
      <c r="CF18" s="4" t="str">
        <f t="shared" si="160"/>
        <v/>
      </c>
      <c r="CG18" s="5" t="str">
        <f t="shared" si="161"/>
        <v/>
      </c>
      <c r="CH18" s="5" t="str">
        <f t="shared" si="162"/>
        <v/>
      </c>
      <c r="CI18" s="4" t="str">
        <f t="shared" si="120"/>
        <v/>
      </c>
      <c r="CJ18" s="5" t="str">
        <f t="shared" si="121"/>
        <v/>
      </c>
      <c r="CK18" s="8" t="str">
        <f t="shared" si="122"/>
        <v/>
      </c>
      <c r="CL18" s="173" t="str">
        <f t="shared" si="123"/>
        <v/>
      </c>
      <c r="CM18" s="5" t="str">
        <f t="shared" si="124"/>
        <v/>
      </c>
      <c r="CN18" s="6" t="str">
        <f t="shared" si="125"/>
        <v/>
      </c>
      <c r="CO18" s="167" t="str">
        <f t="shared" si="26"/>
        <v/>
      </c>
      <c r="CP18" s="4" t="str">
        <f t="shared" si="248"/>
        <v/>
      </c>
      <c r="CQ18" s="5" t="str">
        <f t="shared" si="249"/>
        <v/>
      </c>
      <c r="CR18" s="5" t="str">
        <f t="shared" si="163"/>
        <v/>
      </c>
      <c r="CS18" s="8" t="str">
        <f t="shared" si="164"/>
        <v/>
      </c>
      <c r="CT18" s="9" t="str">
        <f>IF(ISNUMBER($AV18),(-CQ18+SQRT(CS18))/(CP18*2),"")</f>
        <v/>
      </c>
      <c r="CU18" s="6" t="str">
        <f t="shared" si="166"/>
        <v/>
      </c>
      <c r="CV18" s="4" t="str">
        <f>IF(ISNUMBER($AV18),CI18+($CT18*(CL18-CI18)),"")</f>
        <v/>
      </c>
      <c r="CW18" s="5" t="str">
        <f t="shared" si="167"/>
        <v/>
      </c>
      <c r="CX18" s="8" t="str">
        <f t="shared" si="168"/>
        <v/>
      </c>
      <c r="CY18" s="9" t="str">
        <f t="shared" si="169"/>
        <v/>
      </c>
      <c r="CZ18" s="5" t="str">
        <f t="shared" si="170"/>
        <v/>
      </c>
      <c r="DA18" s="6" t="str">
        <f t="shared" si="171"/>
        <v/>
      </c>
      <c r="DB18" s="4" t="str">
        <f t="shared" si="172"/>
        <v/>
      </c>
      <c r="DC18" s="5" t="str">
        <f t="shared" si="172"/>
        <v/>
      </c>
      <c r="DD18" s="10" t="str">
        <f t="shared" si="173"/>
        <v/>
      </c>
      <c r="DE18" s="9" t="str">
        <f t="shared" si="174"/>
        <v/>
      </c>
      <c r="DF18" s="5" t="str">
        <f t="shared" si="174"/>
        <v/>
      </c>
      <c r="DG18" s="10" t="str">
        <f t="shared" si="175"/>
        <v/>
      </c>
      <c r="DH18" s="70" t="str">
        <f t="shared" si="176"/>
        <v/>
      </c>
      <c r="DI18" s="4" t="str">
        <f t="shared" si="177"/>
        <v/>
      </c>
      <c r="DJ18" s="5" t="str">
        <f t="shared" si="178"/>
        <v/>
      </c>
      <c r="DK18" s="10" t="str">
        <f t="shared" si="179"/>
        <v/>
      </c>
      <c r="DL18" s="9" t="str">
        <f>IF(ISNUMBER($AV18),CV18-DB18,"")</f>
        <v/>
      </c>
      <c r="DM18" s="173" t="str">
        <f t="shared" si="181"/>
        <v/>
      </c>
      <c r="DN18" s="178" t="str">
        <f t="shared" si="182"/>
        <v/>
      </c>
      <c r="DO18" s="9" t="str">
        <f t="shared" si="183"/>
        <v/>
      </c>
      <c r="DP18" s="173" t="str">
        <f t="shared" si="184"/>
        <v/>
      </c>
      <c r="DQ18" s="11" t="str">
        <f t="shared" si="185"/>
        <v/>
      </c>
      <c r="DR18" s="173" t="str">
        <f t="shared" si="186"/>
        <v/>
      </c>
      <c r="DS18" s="5" t="str">
        <f t="shared" si="187"/>
        <v/>
      </c>
      <c r="DT18" s="5" t="str">
        <f t="shared" si="188"/>
        <v/>
      </c>
      <c r="DU18" s="5" t="str">
        <f t="shared" si="189"/>
        <v/>
      </c>
      <c r="DV18" s="5" t="str">
        <f t="shared" si="190"/>
        <v/>
      </c>
      <c r="DW18" s="5" t="str">
        <f t="shared" si="191"/>
        <v/>
      </c>
      <c r="DX18" s="167" t="str">
        <f t="shared" si="192"/>
        <v/>
      </c>
      <c r="DY18" s="9" t="str">
        <f t="shared" si="193"/>
        <v/>
      </c>
      <c r="DZ18" s="5" t="str">
        <f t="shared" si="194"/>
        <v/>
      </c>
      <c r="EA18" s="10" t="str">
        <f t="shared" si="195"/>
        <v/>
      </c>
      <c r="EB18" s="6" t="str">
        <f t="shared" si="196"/>
        <v/>
      </c>
      <c r="EC18" s="173" t="str">
        <f t="shared" si="197"/>
        <v/>
      </c>
      <c r="ED18" s="5" t="str">
        <f t="shared" si="198"/>
        <v/>
      </c>
      <c r="EE18" s="4" t="str">
        <f t="shared" si="199"/>
        <v/>
      </c>
      <c r="EF18" s="5" t="str">
        <f t="shared" si="200"/>
        <v/>
      </c>
      <c r="EG18" s="10" t="str">
        <f t="shared" si="201"/>
        <v/>
      </c>
      <c r="EH18" s="9" t="str">
        <f t="shared" si="202"/>
        <v/>
      </c>
      <c r="EI18" s="5" t="str">
        <f t="shared" si="203"/>
        <v/>
      </c>
      <c r="EJ18" s="6" t="str">
        <f t="shared" si="204"/>
        <v/>
      </c>
      <c r="EK18" s="236" t="str">
        <f t="shared" si="205"/>
        <v/>
      </c>
      <c r="EL18" s="238" t="str">
        <f t="shared" si="206"/>
        <v/>
      </c>
      <c r="EM18" s="4" t="str">
        <f t="shared" si="207"/>
        <v/>
      </c>
      <c r="EN18" s="5" t="str">
        <f t="shared" si="208"/>
        <v/>
      </c>
      <c r="EO18" s="10" t="str">
        <f t="shared" si="209"/>
        <v/>
      </c>
      <c r="EP18" s="9" t="str">
        <f t="shared" si="210"/>
        <v/>
      </c>
      <c r="EQ18" s="5" t="str">
        <f t="shared" si="211"/>
        <v/>
      </c>
      <c r="ER18" s="7" t="str">
        <f t="shared" si="212"/>
        <v/>
      </c>
      <c r="ES18" s="21" t="str">
        <f t="shared" si="126"/>
        <v/>
      </c>
      <c r="ET18" s="5" t="str">
        <f t="shared" si="35"/>
        <v/>
      </c>
      <c r="EU18" s="10" t="str">
        <f t="shared" si="36"/>
        <v/>
      </c>
      <c r="EV18" s="174" t="str">
        <f t="shared" si="264"/>
        <v/>
      </c>
      <c r="EW18" s="9" t="str">
        <f t="shared" si="127"/>
        <v/>
      </c>
      <c r="EX18" s="5" t="str">
        <f t="shared" si="37"/>
        <v/>
      </c>
      <c r="EY18" s="6" t="str">
        <f t="shared" si="213"/>
        <v/>
      </c>
      <c r="EZ18" s="51" t="str">
        <f t="shared" si="214"/>
        <v/>
      </c>
      <c r="FA18" s="266" t="str">
        <f t="shared" si="128"/>
        <v/>
      </c>
      <c r="FB18" s="267" t="str">
        <f t="shared" si="129"/>
        <v/>
      </c>
      <c r="FC18" s="269" t="str">
        <f t="shared" si="38"/>
        <v/>
      </c>
      <c r="FD18" s="4" t="str">
        <f t="shared" si="130"/>
        <v/>
      </c>
      <c r="FE18" s="5" t="str">
        <f t="shared" si="39"/>
        <v/>
      </c>
      <c r="FF18" s="7" t="str">
        <f t="shared" si="215"/>
        <v/>
      </c>
      <c r="FG18" s="173" t="str">
        <f t="shared" si="216"/>
        <v/>
      </c>
      <c r="FH18" s="5" t="str">
        <f t="shared" si="40"/>
        <v/>
      </c>
      <c r="FI18" s="10" t="str">
        <f t="shared" si="41"/>
        <v/>
      </c>
      <c r="FJ18" s="279" t="str">
        <f t="shared" si="217"/>
        <v/>
      </c>
      <c r="FK18" s="4" t="str">
        <f t="shared" si="42"/>
        <v/>
      </c>
      <c r="FL18" s="5" t="str">
        <f t="shared" si="218"/>
        <v/>
      </c>
      <c r="FM18" s="8" t="str">
        <f t="shared" si="219"/>
        <v/>
      </c>
      <c r="FN18" s="9" t="str">
        <f t="shared" si="220"/>
        <v/>
      </c>
      <c r="FO18" s="10" t="str">
        <f t="shared" si="43"/>
        <v/>
      </c>
      <c r="FP18" s="277" t="str">
        <f t="shared" si="44"/>
        <v/>
      </c>
      <c r="FQ18" s="173" t="str">
        <f t="shared" si="251"/>
        <v/>
      </c>
      <c r="FR18" s="10" t="str">
        <f t="shared" si="221"/>
        <v/>
      </c>
      <c r="FS18" s="9" t="str">
        <f t="shared" si="222"/>
        <v/>
      </c>
      <c r="FT18" s="6" t="str">
        <f t="shared" si="223"/>
        <v/>
      </c>
      <c r="FU18" s="4" t="str">
        <f t="shared" si="224"/>
        <v/>
      </c>
      <c r="FV18" s="5" t="str">
        <f t="shared" si="225"/>
        <v/>
      </c>
      <c r="FW18" s="8" t="str">
        <f t="shared" si="252"/>
        <v/>
      </c>
      <c r="FX18" s="9" t="str">
        <f t="shared" si="253"/>
        <v/>
      </c>
      <c r="FY18" s="10" t="str">
        <f t="shared" si="45"/>
        <v/>
      </c>
      <c r="FZ18" s="277" t="str">
        <f t="shared" si="254"/>
        <v/>
      </c>
      <c r="GA18" s="177" t="str">
        <f t="shared" si="226"/>
        <v/>
      </c>
      <c r="GB18" s="4" t="str">
        <f t="shared" si="227"/>
        <v/>
      </c>
      <c r="GC18" s="5" t="str">
        <f t="shared" si="228"/>
        <v/>
      </c>
      <c r="GD18" s="10" t="str">
        <f t="shared" si="229"/>
        <v/>
      </c>
      <c r="GE18" s="311" t="str">
        <f t="shared" si="230"/>
        <v/>
      </c>
      <c r="GF18" s="341" t="str">
        <f t="shared" si="255"/>
        <v/>
      </c>
      <c r="GG18" s="285" t="str">
        <f t="shared" si="46"/>
        <v/>
      </c>
      <c r="GH18" s="286" t="str">
        <f t="shared" si="47"/>
        <v/>
      </c>
      <c r="GI18" s="281" t="str">
        <f t="shared" si="48"/>
        <v/>
      </c>
      <c r="GJ18" s="167" t="str">
        <f t="shared" si="231"/>
        <v/>
      </c>
      <c r="GK18" s="174" t="str">
        <f t="shared" si="49"/>
        <v/>
      </c>
      <c r="GL18" s="174" t="str">
        <f t="shared" si="232"/>
        <v/>
      </c>
      <c r="GM18" s="177" t="str">
        <f t="shared" si="256"/>
        <v/>
      </c>
      <c r="GN18" s="280" t="str">
        <f t="shared" si="233"/>
        <v/>
      </c>
      <c r="GO18" s="4" t="str">
        <f t="shared" si="234"/>
        <v/>
      </c>
      <c r="GP18" s="8" t="str">
        <f t="shared" si="257"/>
        <v/>
      </c>
      <c r="GQ18" s="177" t="str">
        <f t="shared" si="235"/>
        <v/>
      </c>
      <c r="GR18" s="371" t="str">
        <f t="shared" si="258"/>
        <v/>
      </c>
      <c r="GS18" s="342" t="str">
        <f t="shared" si="51"/>
        <v/>
      </c>
      <c r="GT18" s="343" t="str">
        <f t="shared" si="52"/>
        <v/>
      </c>
      <c r="GU18" s="344" t="str">
        <f t="shared" si="53"/>
        <v/>
      </c>
      <c r="GV18" s="343" t="str">
        <f t="shared" si="265"/>
        <v/>
      </c>
      <c r="GW18" s="345" t="str">
        <f t="shared" si="54"/>
        <v/>
      </c>
      <c r="GX18" s="346" t="str">
        <f t="shared" si="55"/>
        <v/>
      </c>
      <c r="GY18" s="344" t="str">
        <f t="shared" si="56"/>
        <v/>
      </c>
      <c r="GZ18" s="345" t="str">
        <f t="shared" si="57"/>
        <v/>
      </c>
      <c r="HA18" s="342" t="str">
        <f t="shared" si="58"/>
        <v/>
      </c>
      <c r="HB18" s="5" t="str">
        <f t="shared" si="236"/>
        <v/>
      </c>
      <c r="HC18" s="343" t="str">
        <f t="shared" si="237"/>
        <v/>
      </c>
      <c r="HD18" s="345" t="str">
        <f t="shared" si="238"/>
        <v/>
      </c>
      <c r="HE18" s="344" t="str">
        <f t="shared" si="59"/>
        <v/>
      </c>
      <c r="HF18" s="5" t="str">
        <f t="shared" si="60"/>
        <v/>
      </c>
      <c r="HG18" s="343" t="str">
        <f t="shared" si="239"/>
        <v/>
      </c>
      <c r="HH18" s="349" t="str">
        <f t="shared" si="240"/>
        <v/>
      </c>
      <c r="HI18" s="317" t="str">
        <f t="shared" si="61"/>
        <v/>
      </c>
      <c r="HJ18" s="336"/>
      <c r="HK18" s="310" t="str">
        <f t="shared" si="131"/>
        <v/>
      </c>
      <c r="HL18" s="348" t="str">
        <f t="shared" si="62"/>
        <v/>
      </c>
      <c r="HM18" s="923" t="str">
        <f t="shared" si="63"/>
        <v/>
      </c>
      <c r="HN18" s="924" t="str">
        <f t="shared" si="64"/>
        <v/>
      </c>
      <c r="HO18" s="925"/>
      <c r="HP18" s="926"/>
      <c r="HQ18" s="924" t="str">
        <f t="shared" si="65"/>
        <v/>
      </c>
      <c r="HR18" s="927" t="str">
        <f t="shared" si="66"/>
        <v/>
      </c>
      <c r="HS18" s="879" t="str">
        <f t="shared" si="261"/>
        <v/>
      </c>
      <c r="HT18" s="889" t="str">
        <f t="shared" si="67"/>
        <v/>
      </c>
      <c r="HU18" s="890" t="str">
        <f t="shared" si="68"/>
        <v/>
      </c>
      <c r="HV18" s="886" t="str">
        <f t="shared" si="69"/>
        <v/>
      </c>
      <c r="HW18" s="880" t="str">
        <f t="shared" si="70"/>
        <v/>
      </c>
      <c r="HX18" s="881" t="str">
        <f t="shared" si="71"/>
        <v/>
      </c>
      <c r="HY18" s="880" t="str">
        <f t="shared" si="72"/>
        <v/>
      </c>
      <c r="HZ18" s="882" t="str">
        <f t="shared" si="73"/>
        <v/>
      </c>
      <c r="IA18" s="883" t="str">
        <f t="shared" si="74"/>
        <v/>
      </c>
      <c r="IB18" s="884" t="str">
        <f t="shared" si="75"/>
        <v/>
      </c>
      <c r="IC18" s="855" t="str">
        <f t="shared" si="76"/>
        <v/>
      </c>
      <c r="ID18" s="351" t="str">
        <f t="shared" si="77"/>
        <v/>
      </c>
      <c r="IE18" s="857" t="str">
        <f t="shared" si="78"/>
        <v/>
      </c>
      <c r="IF18" s="858"/>
      <c r="IG18" s="790" t="str">
        <f>IFERROR(IF($IW18="","",IF($IW18&lt;(((Settings!$C$19/2)*-1)*$IG$8),"Taper","Nose")),"")</f>
        <v/>
      </c>
      <c r="IH18" s="482" t="str">
        <f>IFERROR(IF((((($IY18*COS(RADIANS(180-$JA18)))*COS(RADIANS($JA18)))-(($IZ18*SIN(RADIANS(180-$JA18)))*SIN(RADIANS($JA18))))+$IW18)&lt;(((Settings!$C$19+$IH$8)/2)*-1),"Gage",""),"")</f>
        <v/>
      </c>
      <c r="II18" s="788">
        <f t="shared" si="241"/>
        <v>2.121</v>
      </c>
      <c r="IJ18" s="674" t="str" cm="1">
        <f t="array" ref="IJ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K18" s="677" t="str" cm="1">
        <f t="array" ref="IK18">IFERROR(ROUND(VALUE(IF($IJ18&lt;1,$IJ18+LARGE((IF($M$9:$M$150="",0,$M$9:$M$150)-MOD(IF($M$9:$M$150="",0,$M$9:$M$150),1)),1),$IJ18)),4),"")</f>
        <v/>
      </c>
      <c r="IL18" s="482">
        <f t="shared" si="79"/>
        <v>1313</v>
      </c>
      <c r="IM18" s="482" t="str">
        <f t="shared" si="242"/>
        <v/>
      </c>
      <c r="IN18" s="670" t="str">
        <f t="shared" si="81"/>
        <v/>
      </c>
      <c r="IO18" s="702">
        <v>5.3280645820409797E-2</v>
      </c>
      <c r="IP18" s="5" t="str">
        <f t="shared" si="82"/>
        <v/>
      </c>
      <c r="IQ18" s="714">
        <v>70</v>
      </c>
      <c r="IR18" s="9" t="str">
        <f t="shared" si="132"/>
        <v/>
      </c>
      <c r="IS18" s="5" t="str">
        <f t="shared" si="83"/>
        <v/>
      </c>
      <c r="IT18" s="5" t="str">
        <f t="shared" si="84"/>
        <v/>
      </c>
      <c r="IU18" s="5" t="str">
        <f t="shared" si="85"/>
        <v/>
      </c>
      <c r="IV18" s="670" t="str">
        <f t="shared" si="86"/>
        <v/>
      </c>
      <c r="IW18" s="9" t="str">
        <f t="shared" si="87"/>
        <v/>
      </c>
      <c r="IX18" s="5" t="str">
        <f t="shared" si="88"/>
        <v/>
      </c>
      <c r="IY18" s="5" t="str">
        <f t="shared" si="89"/>
        <v/>
      </c>
      <c r="IZ18" s="5" t="str">
        <f t="shared" si="90"/>
        <v/>
      </c>
      <c r="JA18" s="705" t="str">
        <f t="shared" si="91"/>
        <v/>
      </c>
      <c r="JM18" s="489">
        <f t="shared" si="133"/>
        <v>21</v>
      </c>
      <c r="JN18" s="960">
        <f>($JO18-SMALL($JO$9:$JO$88,1))/((Settings!$C$19/2)-((Settings!$C$19/2)-LARGE($JO$9:$JO$88,1))-SMALL($JO$9:$JO$88,1))</f>
        <v>0.73917995331110997</v>
      </c>
      <c r="JO18" s="162">
        <f t="shared" si="134"/>
        <v>2.8300300330707207</v>
      </c>
      <c r="JP18" s="961">
        <f t="shared" si="135"/>
        <v>-23.130725859540604</v>
      </c>
      <c r="JQ18" s="961">
        <f t="shared" si="136"/>
        <v>14.842138550274303</v>
      </c>
      <c r="JS18" s="82">
        <v>10</v>
      </c>
      <c r="JT18" s="322">
        <f t="shared" si="137"/>
        <v>1.8274113896853628</v>
      </c>
      <c r="JU18" s="963">
        <f t="shared" si="138"/>
        <v>0.44653396944326817</v>
      </c>
      <c r="JV18" s="964">
        <v>3</v>
      </c>
      <c r="JW18" s="961">
        <f t="shared" si="92"/>
        <v>15.059078642892576</v>
      </c>
      <c r="JX18" s="1">
        <v>2.5680000000000001</v>
      </c>
      <c r="JY18" s="965">
        <f t="shared" si="139"/>
        <v>0.32801165374258767</v>
      </c>
      <c r="JZ18" s="965"/>
      <c r="KA18" s="965"/>
      <c r="KB18" s="976">
        <f t="shared" si="243"/>
        <v>10</v>
      </c>
      <c r="KC18" s="971" cm="1">
        <f t="array" ref="KC18">(((INDEX($JV$9:$JV$53,MATCH(INDEX($JU$9:$JU$53,MATCH(TRUE,INDEX($JU$9:$JU$53&gt;$JY18,0),)),$JU$9:$JU$53,0))-INDEX($JV$9:$JV$53,MATCH(INDEX($JU$9:$JU$53,MATCH(TRUE,INDEX($JU$9:$JU$53&gt;$JY18,0),)-1),$JU$9:$JU$53,0)))*(($JY18-INDEX($JU$9:$JU$53,MATCH(TRUE,INDEX($JU$9:$JU$53&gt;$JY18,0),)-1))/(INDEX($JU$9:$JU$53,MATCH(TRUE,INDEX($JU$9:$JU$53&gt;$JY18,0),))-INDEX($JU$9:$JU$53,MATCH(TRUE,INDEX($JU$9:$JU$53&gt;$JY18,0),)-1))))+INDEX($JV$9:$JV$53,MATCH(INDEX($JU$9:$JU$53,MATCH(TRUE,INDEX($JU$9:$JU$53&gt;$JY18,0),)-1),$JU$9:$JU$53,0)))</f>
        <v>3</v>
      </c>
      <c r="KD18" s="968">
        <v>3</v>
      </c>
      <c r="KE18" s="968">
        <f t="shared" si="140"/>
        <v>0</v>
      </c>
      <c r="KF18" s="972">
        <v>15</v>
      </c>
      <c r="KG18" s="966">
        <f t="shared" si="244"/>
        <v>0</v>
      </c>
      <c r="KH18" s="966">
        <f t="shared" si="141"/>
        <v>0</v>
      </c>
      <c r="KJ18" s="31"/>
    </row>
    <row r="19" spans="1:296" ht="15" customHeight="1" thickBot="1" x14ac:dyDescent="0.3">
      <c r="A19" s="75">
        <f t="shared" si="1"/>
        <v>0.02</v>
      </c>
      <c r="B19" s="578">
        <f t="shared" ref="B19:D19" si="276">IFERROR(O174+($A19*-E19),"")</f>
        <v>2.4809441952224862</v>
      </c>
      <c r="C19" s="572">
        <f t="shared" si="276"/>
        <v>2.2835280470686588</v>
      </c>
      <c r="D19" s="576">
        <f t="shared" si="276"/>
        <v>-0.60459406925935733</v>
      </c>
      <c r="E19" s="580">
        <f t="shared" ref="E19:K19" si="277">R174</f>
        <v>-0.46158251979223625</v>
      </c>
      <c r="F19" s="572">
        <f t="shared" si="277"/>
        <v>0.85412363361094656</v>
      </c>
      <c r="G19" s="579">
        <f t="shared" si="277"/>
        <v>0.23961301285506864</v>
      </c>
      <c r="H19" s="580">
        <f t="shared" si="277"/>
        <v>0.26450000000000001</v>
      </c>
      <c r="I19" s="572">
        <f t="shared" si="277"/>
        <v>0.52</v>
      </c>
      <c r="J19" s="483">
        <f t="shared" si="94"/>
        <v>2.129</v>
      </c>
      <c r="K19" s="806">
        <f t="shared" si="277"/>
        <v>1313</v>
      </c>
      <c r="L19" s="718" t="s">
        <v>357</v>
      </c>
      <c r="M19" s="164">
        <f t="shared" si="4"/>
        <v>2.129</v>
      </c>
      <c r="N19" s="575">
        <f t="shared" si="5"/>
        <v>2.4809441952224862</v>
      </c>
      <c r="O19" s="572">
        <f t="shared" si="6"/>
        <v>2.2835280470686588</v>
      </c>
      <c r="P19" s="576">
        <f t="shared" si="7"/>
        <v>-0.60459406925935733</v>
      </c>
      <c r="Q19" s="528">
        <f t="shared" si="144"/>
        <v>42.627303724198917</v>
      </c>
      <c r="R19" s="572">
        <f>IF(M19="","",SQRT(N19^2+O19^2))</f>
        <v>3.3718814394277494</v>
      </c>
      <c r="S19" s="577">
        <f>IF(M19="","",P19)</f>
        <v>-0.60459406925935733</v>
      </c>
      <c r="T19" s="578">
        <f>IF(M19="","",X19*COS(RADIANS(W19)))</f>
        <v>2.3562605434594239</v>
      </c>
      <c r="U19" s="572">
        <f>IF(M19="","",X19*SIN(RADIANS(W19)))</f>
        <v>-2.4119744386899402</v>
      </c>
      <c r="V19" s="579">
        <f>IF(M19="","",Y19)</f>
        <v>-0.60459406925935733</v>
      </c>
      <c r="W19" s="528">
        <f t="shared" si="268"/>
        <v>314.33056449387391</v>
      </c>
      <c r="X19" s="572">
        <f>IF(M19="","",R19)</f>
        <v>3.3718814394277494</v>
      </c>
      <c r="Y19" s="573">
        <f t="shared" si="271"/>
        <v>-0.60459406925935733</v>
      </c>
      <c r="Z19" s="575">
        <f t="shared" si="10"/>
        <v>0.46158251979223625</v>
      </c>
      <c r="AA19" s="572">
        <f t="shared" si="11"/>
        <v>-0.85412363361094656</v>
      </c>
      <c r="AB19" s="572">
        <f t="shared" si="12"/>
        <v>-0.23961301285506864</v>
      </c>
      <c r="AC19" s="579">
        <f>IF(M19="","",SQRT(Z19^2+AA19^2+AB19^2))</f>
        <v>1</v>
      </c>
      <c r="AD19" s="580">
        <f>IF(M19="","",Z19*(1/SQRT(Z19^2+AA19^2+AB19^2)))</f>
        <v>0.46158251979223625</v>
      </c>
      <c r="AE19" s="572">
        <f>IF(M19="","",AA19*(1/SQRT(Z19^2+AA19^2+AB19^2)))</f>
        <v>-0.85412363361094656</v>
      </c>
      <c r="AF19" s="576">
        <f>IF(M19="","",AB19*(1/SQRT(Z19^2+AA19^2+AB19^2)))</f>
        <v>-0.23961301285506864</v>
      </c>
      <c r="AG19" s="545">
        <f>IF(M19="","",DEGREES(ATAN2(-AF19,AE19)))</f>
        <v>-74.329243244741008</v>
      </c>
      <c r="AH19" s="546">
        <f>IF(M19="","",DEGREES(ACOS(AD19)))</f>
        <v>62.510728154839107</v>
      </c>
      <c r="AI19" s="528">
        <f>IF(M19="","",DEGREES(-ACOS(-AF19)))</f>
        <v>-76.136298798310634</v>
      </c>
      <c r="AJ19" s="529">
        <f>IF(M19="","",DEGREES(ATAN2(-AE19,AD19)))</f>
        <v>28.387519932538204</v>
      </c>
      <c r="AK19" s="578">
        <f>IF(M19="","",(COS(RADIANS((90-$Q$8)-W19))*AD19)+(-SIN(RADIANS((90-$Q$8)-W19))*AE19))</f>
        <v>0.94103833654664948</v>
      </c>
      <c r="AL19" s="572">
        <f>IF(M19="","",(SIN(RADIANS((90-$Q$8)-W19))*AD19)+(COS(RADIANS((90-$Q$8)-W19))*AE19))</f>
        <v>-0.23881468384509263</v>
      </c>
      <c r="AM19" s="577">
        <f>IF(M19="","",AF19)</f>
        <v>-0.23961301285506864</v>
      </c>
      <c r="AN19" s="524">
        <f>IF(M19="","",DEGREES(ATAN2(-AM19,AL19)))</f>
        <v>-44.90439341033882</v>
      </c>
      <c r="AO19" s="525">
        <f t="shared" si="110"/>
        <v>19.773331010254932</v>
      </c>
      <c r="AP19" s="528">
        <f>IF(M19="","",DEGREES(ATAN2(AK19,AL19)))</f>
        <v>-14.239783791660695</v>
      </c>
      <c r="AQ19" s="529">
        <f t="shared" si="13"/>
        <v>0.81126492297547426</v>
      </c>
      <c r="AR19" s="979"/>
      <c r="AS19" s="954">
        <f t="shared" si="147"/>
        <v>314.33056449387391</v>
      </c>
      <c r="AT19" s="950">
        <f t="shared" si="14"/>
        <v>-0.5681344380090082</v>
      </c>
      <c r="AU19" s="418"/>
      <c r="AV19" s="164" t="str">
        <f t="shared" si="15"/>
        <v/>
      </c>
      <c r="AW19" s="829" t="str">
        <f>IFERROR(INDEX(MassProp!C$9:C$150,MATCH($M19,MassProp!$B$9:$B$150,0)),"")</f>
        <v/>
      </c>
      <c r="AX19" s="830" t="str">
        <f>IFERROR(INDEX(MassProp!D$9:D$150,MATCH($M19,MassProp!$B$9:$B$150,0)),"")</f>
        <v/>
      </c>
      <c r="AY19" s="831" t="str">
        <f>IFERROR(INDEX(MassProp!E$9:E$150,MATCH($M19,MassProp!$B$9:$B$150,0)),"")</f>
        <v/>
      </c>
      <c r="AZ19" s="297" t="str">
        <f t="shared" si="148"/>
        <v/>
      </c>
      <c r="BA19" s="296" t="str">
        <f t="shared" si="16"/>
        <v/>
      </c>
      <c r="BB19" s="190" t="str">
        <f t="shared" si="149"/>
        <v/>
      </c>
      <c r="BC19" s="9"/>
      <c r="BD19" s="5" t="str">
        <f t="shared" si="150"/>
        <v/>
      </c>
      <c r="BE19" s="6" t="str">
        <f t="shared" si="17"/>
        <v/>
      </c>
      <c r="BF19" s="4" t="str">
        <f t="shared" si="18"/>
        <v/>
      </c>
      <c r="BG19" s="5" t="str">
        <f t="shared" si="19"/>
        <v/>
      </c>
      <c r="BH19" s="10" t="str">
        <f t="shared" si="20"/>
        <v/>
      </c>
      <c r="BI19" s="9" t="str">
        <f t="shared" si="151"/>
        <v/>
      </c>
      <c r="BJ19" s="5" t="str">
        <f t="shared" si="21"/>
        <v/>
      </c>
      <c r="BK19" s="8" t="str">
        <f t="shared" si="22"/>
        <v/>
      </c>
      <c r="BL19" s="173" t="str">
        <f t="shared" si="23"/>
        <v/>
      </c>
      <c r="BM19" s="5" t="str">
        <f t="shared" si="24"/>
        <v/>
      </c>
      <c r="BN19" s="6" t="str">
        <f t="shared" si="25"/>
        <v/>
      </c>
      <c r="BO19" s="4" t="str">
        <f t="shared" si="152"/>
        <v/>
      </c>
      <c r="BP19" s="5" t="str">
        <f t="shared" si="153"/>
        <v/>
      </c>
      <c r="BQ19" s="5" t="str">
        <f t="shared" si="154"/>
        <v/>
      </c>
      <c r="BR19" s="6" t="str">
        <f t="shared" si="155"/>
        <v/>
      </c>
      <c r="BS19" s="4" t="str">
        <f t="shared" si="112"/>
        <v/>
      </c>
      <c r="BT19" s="5" t="str">
        <f t="shared" si="112"/>
        <v/>
      </c>
      <c r="BU19" s="10" t="str">
        <f t="shared" si="113"/>
        <v/>
      </c>
      <c r="BV19" s="9" t="str">
        <f t="shared" si="114"/>
        <v/>
      </c>
      <c r="BW19" s="5" t="str">
        <f t="shared" si="115"/>
        <v/>
      </c>
      <c r="BX19" s="8" t="str">
        <f t="shared" si="116"/>
        <v/>
      </c>
      <c r="BY19" s="173" t="str">
        <f t="shared" si="117"/>
        <v/>
      </c>
      <c r="BZ19" s="5" t="str">
        <f t="shared" si="118"/>
        <v/>
      </c>
      <c r="CA19" s="6" t="str">
        <f t="shared" si="119"/>
        <v/>
      </c>
      <c r="CB19" s="4" t="str">
        <f t="shared" si="156"/>
        <v/>
      </c>
      <c r="CC19" s="5" t="str">
        <f t="shared" si="157"/>
        <v/>
      </c>
      <c r="CD19" s="5" t="str">
        <f t="shared" si="158"/>
        <v/>
      </c>
      <c r="CE19" s="6" t="str">
        <f t="shared" si="159"/>
        <v/>
      </c>
      <c r="CF19" s="4" t="str">
        <f t="shared" si="160"/>
        <v/>
      </c>
      <c r="CG19" s="5" t="str">
        <f t="shared" si="161"/>
        <v/>
      </c>
      <c r="CH19" s="5" t="str">
        <f t="shared" si="162"/>
        <v/>
      </c>
      <c r="CI19" s="4" t="str">
        <f t="shared" si="120"/>
        <v/>
      </c>
      <c r="CJ19" s="5" t="str">
        <f t="shared" si="121"/>
        <v/>
      </c>
      <c r="CK19" s="8" t="str">
        <f t="shared" si="122"/>
        <v/>
      </c>
      <c r="CL19" s="173" t="str">
        <f t="shared" si="123"/>
        <v/>
      </c>
      <c r="CM19" s="5" t="str">
        <f t="shared" si="124"/>
        <v/>
      </c>
      <c r="CN19" s="6" t="str">
        <f t="shared" si="125"/>
        <v/>
      </c>
      <c r="CO19" s="167" t="str">
        <f t="shared" si="26"/>
        <v/>
      </c>
      <c r="CP19" s="4" t="str">
        <f t="shared" si="248"/>
        <v/>
      </c>
      <c r="CQ19" s="5" t="str">
        <f t="shared" si="249"/>
        <v/>
      </c>
      <c r="CR19" s="5" t="str">
        <f t="shared" si="163"/>
        <v/>
      </c>
      <c r="CS19" s="8" t="str">
        <f t="shared" si="164"/>
        <v/>
      </c>
      <c r="CT19" s="9" t="str">
        <f t="shared" si="165"/>
        <v/>
      </c>
      <c r="CU19" s="6" t="str">
        <f t="shared" si="166"/>
        <v/>
      </c>
      <c r="CV19" s="4" t="str">
        <f t="shared" si="250"/>
        <v/>
      </c>
      <c r="CW19" s="5" t="str">
        <f t="shared" si="167"/>
        <v/>
      </c>
      <c r="CX19" s="8" t="str">
        <f t="shared" si="168"/>
        <v/>
      </c>
      <c r="CY19" s="9" t="str">
        <f t="shared" si="169"/>
        <v/>
      </c>
      <c r="CZ19" s="5" t="str">
        <f t="shared" si="170"/>
        <v/>
      </c>
      <c r="DA19" s="6" t="str">
        <f t="shared" si="171"/>
        <v/>
      </c>
      <c r="DB19" s="4" t="str">
        <f t="shared" si="172"/>
        <v/>
      </c>
      <c r="DC19" s="5" t="str">
        <f t="shared" si="172"/>
        <v/>
      </c>
      <c r="DD19" s="10" t="str">
        <f t="shared" si="173"/>
        <v/>
      </c>
      <c r="DE19" s="9" t="str">
        <f t="shared" si="174"/>
        <v/>
      </c>
      <c r="DF19" s="5" t="str">
        <f t="shared" si="174"/>
        <v/>
      </c>
      <c r="DG19" s="10" t="str">
        <f t="shared" si="175"/>
        <v/>
      </c>
      <c r="DH19" s="70" t="str">
        <f t="shared" si="176"/>
        <v/>
      </c>
      <c r="DI19" s="4" t="str">
        <f t="shared" si="177"/>
        <v/>
      </c>
      <c r="DJ19" s="5" t="str">
        <f t="shared" si="178"/>
        <v/>
      </c>
      <c r="DK19" s="10" t="str">
        <f t="shared" si="179"/>
        <v/>
      </c>
      <c r="DL19" s="9" t="str">
        <f t="shared" si="180"/>
        <v/>
      </c>
      <c r="DM19" s="173" t="str">
        <f t="shared" si="181"/>
        <v/>
      </c>
      <c r="DN19" s="178" t="str">
        <f t="shared" si="182"/>
        <v/>
      </c>
      <c r="DO19" s="9" t="str">
        <f t="shared" si="183"/>
        <v/>
      </c>
      <c r="DP19" s="173" t="str">
        <f t="shared" si="184"/>
        <v/>
      </c>
      <c r="DQ19" s="11" t="str">
        <f t="shared" si="185"/>
        <v/>
      </c>
      <c r="DR19" s="173" t="str">
        <f t="shared" si="186"/>
        <v/>
      </c>
      <c r="DS19" s="5" t="str">
        <f t="shared" si="187"/>
        <v/>
      </c>
      <c r="DT19" s="5" t="str">
        <f t="shared" si="188"/>
        <v/>
      </c>
      <c r="DU19" s="5" t="str">
        <f t="shared" si="189"/>
        <v/>
      </c>
      <c r="DV19" s="5" t="str">
        <f t="shared" si="190"/>
        <v/>
      </c>
      <c r="DW19" s="5" t="str">
        <f t="shared" si="191"/>
        <v/>
      </c>
      <c r="DX19" s="167" t="str">
        <f t="shared" si="192"/>
        <v/>
      </c>
      <c r="DY19" s="9" t="str">
        <f t="shared" si="193"/>
        <v/>
      </c>
      <c r="DZ19" s="5" t="str">
        <f t="shared" si="194"/>
        <v/>
      </c>
      <c r="EA19" s="10" t="str">
        <f t="shared" si="195"/>
        <v/>
      </c>
      <c r="EB19" s="6" t="str">
        <f t="shared" si="196"/>
        <v/>
      </c>
      <c r="EC19" s="173" t="str">
        <f t="shared" si="197"/>
        <v/>
      </c>
      <c r="ED19" s="5" t="str">
        <f t="shared" si="198"/>
        <v/>
      </c>
      <c r="EE19" s="4" t="str">
        <f t="shared" si="199"/>
        <v/>
      </c>
      <c r="EF19" s="5" t="str">
        <f t="shared" si="200"/>
        <v/>
      </c>
      <c r="EG19" s="10" t="str">
        <f t="shared" si="201"/>
        <v/>
      </c>
      <c r="EH19" s="9" t="str">
        <f t="shared" si="202"/>
        <v/>
      </c>
      <c r="EI19" s="5" t="str">
        <f t="shared" si="203"/>
        <v/>
      </c>
      <c r="EJ19" s="6" t="str">
        <f t="shared" si="204"/>
        <v/>
      </c>
      <c r="EK19" s="236" t="str">
        <f t="shared" si="205"/>
        <v/>
      </c>
      <c r="EL19" s="238" t="str">
        <f t="shared" si="206"/>
        <v/>
      </c>
      <c r="EM19" s="4" t="str">
        <f t="shared" si="207"/>
        <v/>
      </c>
      <c r="EN19" s="5" t="str">
        <f t="shared" si="208"/>
        <v/>
      </c>
      <c r="EO19" s="10" t="str">
        <f t="shared" si="209"/>
        <v/>
      </c>
      <c r="EP19" s="9" t="str">
        <f t="shared" si="210"/>
        <v/>
      </c>
      <c r="EQ19" s="5" t="str">
        <f t="shared" si="211"/>
        <v/>
      </c>
      <c r="ER19" s="7" t="str">
        <f t="shared" si="212"/>
        <v/>
      </c>
      <c r="ES19" s="21" t="str">
        <f t="shared" si="126"/>
        <v/>
      </c>
      <c r="ET19" s="5" t="str">
        <f t="shared" si="35"/>
        <v/>
      </c>
      <c r="EU19" s="10" t="str">
        <f t="shared" si="36"/>
        <v/>
      </c>
      <c r="EV19" s="174" t="str">
        <f t="shared" si="264"/>
        <v/>
      </c>
      <c r="EW19" s="9" t="str">
        <f t="shared" si="127"/>
        <v/>
      </c>
      <c r="EX19" s="5" t="str">
        <f t="shared" si="37"/>
        <v/>
      </c>
      <c r="EY19" s="6" t="str">
        <f t="shared" si="213"/>
        <v/>
      </c>
      <c r="EZ19" s="51" t="str">
        <f t="shared" si="214"/>
        <v/>
      </c>
      <c r="FA19" s="266" t="str">
        <f t="shared" si="128"/>
        <v/>
      </c>
      <c r="FB19" s="267" t="str">
        <f t="shared" si="129"/>
        <v/>
      </c>
      <c r="FC19" s="269" t="str">
        <f t="shared" si="38"/>
        <v/>
      </c>
      <c r="FD19" s="4" t="str">
        <f t="shared" si="130"/>
        <v/>
      </c>
      <c r="FE19" s="5" t="str">
        <f t="shared" si="39"/>
        <v/>
      </c>
      <c r="FF19" s="7" t="str">
        <f t="shared" si="215"/>
        <v/>
      </c>
      <c r="FG19" s="173" t="str">
        <f t="shared" si="216"/>
        <v/>
      </c>
      <c r="FH19" s="5" t="str">
        <f t="shared" si="40"/>
        <v/>
      </c>
      <c r="FI19" s="10" t="str">
        <f t="shared" si="41"/>
        <v/>
      </c>
      <c r="FJ19" s="279" t="str">
        <f t="shared" si="217"/>
        <v/>
      </c>
      <c r="FK19" s="4" t="str">
        <f t="shared" si="42"/>
        <v/>
      </c>
      <c r="FL19" s="5" t="str">
        <f t="shared" si="218"/>
        <v/>
      </c>
      <c r="FM19" s="8" t="str">
        <f t="shared" si="219"/>
        <v/>
      </c>
      <c r="FN19" s="9" t="str">
        <f t="shared" si="220"/>
        <v/>
      </c>
      <c r="FO19" s="10" t="str">
        <f t="shared" si="43"/>
        <v/>
      </c>
      <c r="FP19" s="277" t="str">
        <f t="shared" si="44"/>
        <v/>
      </c>
      <c r="FQ19" s="173" t="str">
        <f t="shared" si="251"/>
        <v/>
      </c>
      <c r="FR19" s="10" t="str">
        <f t="shared" si="221"/>
        <v/>
      </c>
      <c r="FS19" s="9" t="str">
        <f t="shared" si="222"/>
        <v/>
      </c>
      <c r="FT19" s="6" t="str">
        <f t="shared" si="223"/>
        <v/>
      </c>
      <c r="FU19" s="4" t="str">
        <f t="shared" si="224"/>
        <v/>
      </c>
      <c r="FV19" s="5" t="str">
        <f t="shared" si="225"/>
        <v/>
      </c>
      <c r="FW19" s="8" t="str">
        <f t="shared" si="252"/>
        <v/>
      </c>
      <c r="FX19" s="9" t="str">
        <f t="shared" si="253"/>
        <v/>
      </c>
      <c r="FY19" s="10" t="str">
        <f t="shared" si="45"/>
        <v/>
      </c>
      <c r="FZ19" s="277" t="str">
        <f t="shared" si="254"/>
        <v/>
      </c>
      <c r="GA19" s="177" t="str">
        <f t="shared" si="226"/>
        <v/>
      </c>
      <c r="GB19" s="4" t="str">
        <f t="shared" si="227"/>
        <v/>
      </c>
      <c r="GC19" s="5" t="str">
        <f t="shared" si="228"/>
        <v/>
      </c>
      <c r="GD19" s="10" t="str">
        <f t="shared" si="229"/>
        <v/>
      </c>
      <c r="GE19" s="311" t="str">
        <f t="shared" si="230"/>
        <v/>
      </c>
      <c r="GF19" s="341" t="str">
        <f t="shared" si="255"/>
        <v/>
      </c>
      <c r="GG19" s="285" t="str">
        <f t="shared" si="46"/>
        <v/>
      </c>
      <c r="GH19" s="286" t="str">
        <f t="shared" si="47"/>
        <v/>
      </c>
      <c r="GI19" s="281" t="str">
        <f t="shared" si="48"/>
        <v/>
      </c>
      <c r="GJ19" s="167" t="str">
        <f t="shared" si="231"/>
        <v/>
      </c>
      <c r="GK19" s="174" t="str">
        <f t="shared" si="49"/>
        <v/>
      </c>
      <c r="GL19" s="174" t="str">
        <f t="shared" si="232"/>
        <v/>
      </c>
      <c r="GM19" s="177" t="str">
        <f t="shared" si="256"/>
        <v/>
      </c>
      <c r="GN19" s="280" t="str">
        <f t="shared" si="233"/>
        <v/>
      </c>
      <c r="GO19" s="4" t="str">
        <f t="shared" si="234"/>
        <v/>
      </c>
      <c r="GP19" s="8" t="str">
        <f t="shared" si="257"/>
        <v/>
      </c>
      <c r="GQ19" s="177" t="str">
        <f t="shared" si="235"/>
        <v/>
      </c>
      <c r="GR19" s="371" t="str">
        <f t="shared" si="258"/>
        <v/>
      </c>
      <c r="GS19" s="342" t="str">
        <f t="shared" si="51"/>
        <v/>
      </c>
      <c r="GT19" s="343" t="str">
        <f t="shared" si="52"/>
        <v/>
      </c>
      <c r="GU19" s="344" t="str">
        <f t="shared" si="53"/>
        <v/>
      </c>
      <c r="GV19" s="343" t="str">
        <f t="shared" si="265"/>
        <v/>
      </c>
      <c r="GW19" s="345" t="str">
        <f t="shared" si="54"/>
        <v/>
      </c>
      <c r="GX19" s="346" t="str">
        <f t="shared" si="55"/>
        <v/>
      </c>
      <c r="GY19" s="344" t="str">
        <f t="shared" si="56"/>
        <v/>
      </c>
      <c r="GZ19" s="345" t="str">
        <f t="shared" si="57"/>
        <v/>
      </c>
      <c r="HA19" s="342" t="str">
        <f t="shared" si="58"/>
        <v/>
      </c>
      <c r="HB19" s="5" t="str">
        <f t="shared" si="236"/>
        <v/>
      </c>
      <c r="HC19" s="343" t="str">
        <f t="shared" si="237"/>
        <v/>
      </c>
      <c r="HD19" s="345" t="str">
        <f t="shared" si="238"/>
        <v/>
      </c>
      <c r="HE19" s="344" t="str">
        <f t="shared" si="59"/>
        <v/>
      </c>
      <c r="HF19" s="5" t="str">
        <f t="shared" si="60"/>
        <v/>
      </c>
      <c r="HG19" s="343" t="str">
        <f t="shared" si="239"/>
        <v/>
      </c>
      <c r="HH19" s="349" t="str">
        <f t="shared" si="240"/>
        <v/>
      </c>
      <c r="HI19" s="317" t="str">
        <f t="shared" si="61"/>
        <v/>
      </c>
      <c r="HJ19" s="336"/>
      <c r="HK19" s="310" t="str">
        <f t="shared" si="131"/>
        <v/>
      </c>
      <c r="HL19" s="348" t="str">
        <f t="shared" si="62"/>
        <v/>
      </c>
      <c r="HM19" s="923" t="str">
        <f t="shared" si="63"/>
        <v/>
      </c>
      <c r="HN19" s="924" t="str">
        <f t="shared" si="64"/>
        <v/>
      </c>
      <c r="HO19" s="925"/>
      <c r="HP19" s="926"/>
      <c r="HQ19" s="924" t="str">
        <f t="shared" si="65"/>
        <v/>
      </c>
      <c r="HR19" s="927" t="str">
        <f t="shared" si="66"/>
        <v/>
      </c>
      <c r="HS19" s="879" t="str">
        <f t="shared" si="261"/>
        <v/>
      </c>
      <c r="HT19" s="889" t="str">
        <f t="shared" si="67"/>
        <v/>
      </c>
      <c r="HU19" s="890" t="str">
        <f t="shared" si="68"/>
        <v/>
      </c>
      <c r="HV19" s="886" t="str">
        <f t="shared" si="69"/>
        <v/>
      </c>
      <c r="HW19" s="880" t="str">
        <f t="shared" si="70"/>
        <v/>
      </c>
      <c r="HX19" s="881" t="str">
        <f t="shared" si="71"/>
        <v/>
      </c>
      <c r="HY19" s="880" t="str">
        <f t="shared" si="72"/>
        <v/>
      </c>
      <c r="HZ19" s="882" t="str">
        <f t="shared" si="73"/>
        <v/>
      </c>
      <c r="IA19" s="883" t="str">
        <f t="shared" si="74"/>
        <v/>
      </c>
      <c r="IB19" s="884" t="str">
        <f t="shared" si="75"/>
        <v/>
      </c>
      <c r="IC19" s="855" t="str">
        <f t="shared" si="76"/>
        <v/>
      </c>
      <c r="ID19" s="351" t="str">
        <f t="shared" si="77"/>
        <v/>
      </c>
      <c r="IE19" s="857" t="str">
        <f t="shared" si="78"/>
        <v/>
      </c>
      <c r="IF19" s="858"/>
      <c r="IG19" s="790" t="str">
        <f>IFERROR(IF($IW19="","",IF($IW19&lt;(((Settings!$C$19/2)*-1)*$IG$8),"Taper","Nose")),"")</f>
        <v/>
      </c>
      <c r="IH19" s="482" t="str">
        <f>IFERROR(IF((((($IY19*COS(RADIANS(180-$JA19)))*COS(RADIANS($JA19)))-(($IZ19*SIN(RADIANS(180-$JA19)))*SIN(RADIANS($JA19))))+$IW19)&lt;(((Settings!$C$19+$IH$8)/2)*-1),"Gage",""),"")</f>
        <v/>
      </c>
      <c r="II19" s="788">
        <f t="shared" si="241"/>
        <v>2.129</v>
      </c>
      <c r="IJ19" s="674" t="str" cm="1">
        <f t="array" ref="IJ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K19" s="677" t="str" cm="1">
        <f t="array" ref="IK19">IFERROR(ROUND(VALUE(IF($IJ19&lt;1,$IJ19+LARGE((IF($M$9:$M$150="",0,$M$9:$M$150)-MOD(IF($M$9:$M$150="",0,$M$9:$M$150),1)),1),$IJ19)),4),"")</f>
        <v/>
      </c>
      <c r="IL19" s="482">
        <f t="shared" si="79"/>
        <v>1313</v>
      </c>
      <c r="IM19" s="482" t="str">
        <f t="shared" si="242"/>
        <v/>
      </c>
      <c r="IN19" s="670" t="str">
        <f t="shared" si="81"/>
        <v/>
      </c>
      <c r="IO19" s="702">
        <v>4.0709936985448503E-2</v>
      </c>
      <c r="IP19" s="5" t="str">
        <f t="shared" si="82"/>
        <v/>
      </c>
      <c r="IQ19" s="714">
        <v>80</v>
      </c>
      <c r="IR19" s="9" t="str">
        <f t="shared" si="132"/>
        <v/>
      </c>
      <c r="IS19" s="5" t="str">
        <f t="shared" si="83"/>
        <v/>
      </c>
      <c r="IT19" s="5" t="str">
        <f t="shared" si="84"/>
        <v/>
      </c>
      <c r="IU19" s="5" t="str">
        <f t="shared" si="85"/>
        <v/>
      </c>
      <c r="IV19" s="670" t="str">
        <f t="shared" si="86"/>
        <v/>
      </c>
      <c r="IW19" s="9" t="str">
        <f t="shared" si="87"/>
        <v/>
      </c>
      <c r="IX19" s="5" t="str">
        <f t="shared" si="88"/>
        <v/>
      </c>
      <c r="IY19" s="5" t="str">
        <f t="shared" si="89"/>
        <v/>
      </c>
      <c r="IZ19" s="5" t="str">
        <f t="shared" si="90"/>
        <v/>
      </c>
      <c r="JA19" s="705" t="str">
        <f t="shared" si="91"/>
        <v/>
      </c>
      <c r="JD19" s="1089" t="s">
        <v>356</v>
      </c>
      <c r="JE19" s="1090"/>
      <c r="JF19" s="1090"/>
      <c r="JG19" s="1090"/>
      <c r="JH19" s="1090"/>
      <c r="JI19" s="1090"/>
      <c r="JJ19" s="1090"/>
      <c r="JK19" s="1091"/>
      <c r="JM19" s="489">
        <f t="shared" si="133"/>
        <v>29</v>
      </c>
      <c r="JN19" s="960">
        <f>($JO19-SMALL($JO$9:$JO$88,1))/((Settings!$C$19/2)-((Settings!$C$19/2)-LARGE($JO$9:$JO$88,1))-SMALL($JO$9:$JO$88,1))</f>
        <v>0.89733643580789479</v>
      </c>
      <c r="JO19" s="162">
        <f t="shared" si="134"/>
        <v>3.3718814394277494</v>
      </c>
      <c r="JP19" s="961">
        <f t="shared" si="135"/>
        <v>-44.90439341033882</v>
      </c>
      <c r="JQ19" s="961">
        <f t="shared" si="136"/>
        <v>19.773331010254932</v>
      </c>
      <c r="JS19" s="82">
        <v>11</v>
      </c>
      <c r="JT19" s="322">
        <f t="shared" si="137"/>
        <v>1.9390684789927493</v>
      </c>
      <c r="JU19" s="963">
        <f t="shared" si="138"/>
        <v>0.47912462489512431</v>
      </c>
      <c r="JV19" s="964">
        <v>3</v>
      </c>
      <c r="JW19" s="961">
        <f t="shared" si="92"/>
        <v>15.028932266101178</v>
      </c>
      <c r="JX19" s="1">
        <v>2.8151999999999999</v>
      </c>
      <c r="JY19" s="965">
        <f t="shared" si="139"/>
        <v>0.36438545636467973</v>
      </c>
      <c r="JZ19" s="973">
        <v>-15</v>
      </c>
      <c r="KA19" s="410">
        <f>KD19+JZ19</f>
        <v>-13</v>
      </c>
      <c r="KB19" s="974">
        <f t="shared" si="243"/>
        <v>11</v>
      </c>
      <c r="KC19" s="968" cm="1">
        <f t="array" ref="KC19">(((INDEX($JV$9:$JV$53,MATCH(INDEX($JU$9:$JU$53,MATCH(TRUE,INDEX($JU$9:$JU$53&gt;$JY19,0),)),$JU$9:$JU$53,0))-INDEX($JV$9:$JV$53,MATCH(INDEX($JU$9:$JU$53,MATCH(TRUE,INDEX($JU$9:$JU$53&gt;$JY19,0),)-1),$JU$9:$JU$53,0)))*(($JY19-INDEX($JU$9:$JU$53,MATCH(TRUE,INDEX($JU$9:$JU$53&gt;$JY19,0),)-1))/(INDEX($JU$9:$JU$53,MATCH(TRUE,INDEX($JU$9:$JU$53&gt;$JY19,0),))-INDEX($JU$9:$JU$53,MATCH(TRUE,INDEX($JU$9:$JU$53&gt;$JY19,0),)-1))))+INDEX($JV$9:$JV$53,MATCH(INDEX($JU$9:$JU$53,MATCH(TRUE,INDEX($JU$9:$JU$53&gt;$JY19,0),)-1),$JU$9:$JU$53,0)))</f>
        <v>3</v>
      </c>
      <c r="KD19" s="970">
        <v>2</v>
      </c>
      <c r="KE19" s="968">
        <f t="shared" si="140"/>
        <v>-1</v>
      </c>
      <c r="KF19" s="972">
        <v>15</v>
      </c>
      <c r="KG19" s="966">
        <f t="shared" si="244"/>
        <v>-1</v>
      </c>
      <c r="KH19" s="966">
        <f t="shared" si="141"/>
        <v>0</v>
      </c>
      <c r="KJ19" s="31"/>
    </row>
    <row r="20" spans="1:296" ht="15" customHeight="1" x14ac:dyDescent="0.25">
      <c r="A20" s="75">
        <f t="shared" si="1"/>
        <v>0.02</v>
      </c>
      <c r="B20" s="578">
        <f t="shared" ref="B20:D20" si="278">IFERROR(O175+($A20*-E20),"")</f>
        <v>2.7285005592885301</v>
      </c>
      <c r="C20" s="572">
        <f t="shared" si="278"/>
        <v>2.4697032235126741</v>
      </c>
      <c r="D20" s="576">
        <f t="shared" si="278"/>
        <v>-1.2069357886603278</v>
      </c>
      <c r="E20" s="580">
        <f t="shared" ref="E20:K20" si="279">R175</f>
        <v>-0.27766091007410082</v>
      </c>
      <c r="F20" s="572">
        <f t="shared" si="279"/>
        <v>0.94238096177654407</v>
      </c>
      <c r="G20" s="579">
        <f t="shared" si="279"/>
        <v>0.18660798990916239</v>
      </c>
      <c r="H20" s="580">
        <f t="shared" si="279"/>
        <v>0.26450000000000001</v>
      </c>
      <c r="I20" s="572">
        <f t="shared" si="279"/>
        <v>0.52</v>
      </c>
      <c r="J20" s="483">
        <f t="shared" si="94"/>
        <v>2.137</v>
      </c>
      <c r="K20" s="806">
        <f t="shared" si="279"/>
        <v>1313</v>
      </c>
      <c r="L20" s="717" t="str">
        <f>IF($L19=$JJ$22,$JJ$30,IF($L19=$JK$22,$JK$30,""))</f>
        <v/>
      </c>
      <c r="M20" s="164">
        <f t="shared" si="4"/>
        <v>2.137</v>
      </c>
      <c r="N20" s="575">
        <f t="shared" si="5"/>
        <v>2.7285005592885301</v>
      </c>
      <c r="O20" s="572">
        <f t="shared" si="6"/>
        <v>2.4697032235126741</v>
      </c>
      <c r="P20" s="576">
        <f t="shared" si="7"/>
        <v>-1.2069357886603278</v>
      </c>
      <c r="Q20" s="528">
        <f t="shared" si="144"/>
        <v>42.149830437363313</v>
      </c>
      <c r="R20" s="572">
        <f>IF(M20="","",SQRT(N20^2+O20^2))</f>
        <v>3.6802376708939213</v>
      </c>
      <c r="S20" s="577">
        <f>IF(M20="","",P20)</f>
        <v>-1.2069357886603278</v>
      </c>
      <c r="T20" s="578">
        <f>IF(M20="","",X20*COS(RADIANS(W20)))</f>
        <v>2.5497116121849044</v>
      </c>
      <c r="U20" s="572">
        <f>IF(M20="","",X20*SIN(RADIANS(W20)))</f>
        <v>-2.6538877159661767</v>
      </c>
      <c r="V20" s="579">
        <f>IF(M20="","",Y20)</f>
        <v>-1.2069357886603278</v>
      </c>
      <c r="W20" s="528">
        <f t="shared" si="268"/>
        <v>313.85309120703835</v>
      </c>
      <c r="X20" s="572">
        <f>IF(M20="","",R20)</f>
        <v>3.6802376708939213</v>
      </c>
      <c r="Y20" s="573">
        <f t="shared" si="271"/>
        <v>-1.2069357886603278</v>
      </c>
      <c r="Z20" s="575">
        <f t="shared" si="10"/>
        <v>0.27766091007410082</v>
      </c>
      <c r="AA20" s="572">
        <f t="shared" si="11"/>
        <v>-0.94238096177654407</v>
      </c>
      <c r="AB20" s="572">
        <f t="shared" si="12"/>
        <v>-0.18660798990916239</v>
      </c>
      <c r="AC20" s="579">
        <f>IF(M20="","",SQRT(Z20^2+AA20^2+AB20^2))</f>
        <v>1</v>
      </c>
      <c r="AD20" s="580">
        <f>IF(M20="","",Z20*(1/SQRT(Z20^2+AA20^2+AB20^2)))</f>
        <v>0.27766091007410082</v>
      </c>
      <c r="AE20" s="572">
        <f>IF(M20="","",AA20*(1/SQRT(Z20^2+AA20^2+AB20^2)))</f>
        <v>-0.94238096177654407</v>
      </c>
      <c r="AF20" s="576">
        <f>IF(M20="","",AB20*(1/SQRT(Z20^2+AA20^2+AB20^2)))</f>
        <v>-0.18660798990916239</v>
      </c>
      <c r="AG20" s="545">
        <f>IF(M20="","",DEGREES(ATAN2(-AF20,AE20)))</f>
        <v>-78.799325162015421</v>
      </c>
      <c r="AH20" s="546">
        <f>IF(M20="","",DEGREES(ACOS(AD20)))</f>
        <v>73.879350005727574</v>
      </c>
      <c r="AI20" s="528">
        <f>IF(M20="","",DEGREES(-ACOS(-AF20)))</f>
        <v>-79.245103830986423</v>
      </c>
      <c r="AJ20" s="529">
        <f>IF(M20="","",DEGREES(ATAN2(-AE20,AD20)))</f>
        <v>16.416958207867683</v>
      </c>
      <c r="AK20" s="578">
        <f>IF(M20="","",(COS(RADIANS((90-$Q$8)-W20))*AD20)+(-SIN(RADIANS((90-$Q$8)-W20))*AE20))</f>
        <v>0.88500453426762205</v>
      </c>
      <c r="AL20" s="572">
        <f>IF(M20="","",(SIN(RADIANS((90-$Q$8)-W20))*AD20)+(COS(RADIANS((90-$Q$8)-W20))*AE20))</f>
        <v>-0.42654944898312985</v>
      </c>
      <c r="AM20" s="577">
        <f>IF(M20="","",AF20)</f>
        <v>-0.18660798990916239</v>
      </c>
      <c r="AN20" s="524">
        <f>IF(M20="","",DEGREES(ATAN2(-AM20,AL20)))</f>
        <v>-66.371455906022035</v>
      </c>
      <c r="AO20" s="525">
        <f t="shared" si="110"/>
        <v>27.747920707070726</v>
      </c>
      <c r="AP20" s="528">
        <f>IF(M20="","",DEGREES(ATAN2(AK20,AL20)))</f>
        <v>-25.732872229495637</v>
      </c>
      <c r="AQ20" s="529">
        <f t="shared" si="13"/>
        <v>0.74329940908352976</v>
      </c>
      <c r="AR20" s="979"/>
      <c r="AS20" s="954">
        <f t="shared" si="147"/>
        <v>313.85309120703835</v>
      </c>
      <c r="AT20" s="950">
        <f t="shared" si="14"/>
        <v>-1.1700782630042823</v>
      </c>
      <c r="AU20" s="418"/>
      <c r="AV20" s="164" t="str">
        <f t="shared" si="15"/>
        <v/>
      </c>
      <c r="AW20" s="829" t="str">
        <f>IFERROR(INDEX(MassProp!C$9:C$150,MATCH($M20,MassProp!$B$9:$B$150,0)),"")</f>
        <v/>
      </c>
      <c r="AX20" s="830" t="str">
        <f>IFERROR(INDEX(MassProp!D$9:D$150,MATCH($M20,MassProp!$B$9:$B$150,0)),"")</f>
        <v/>
      </c>
      <c r="AY20" s="831" t="str">
        <f>IFERROR(INDEX(MassProp!E$9:E$150,MATCH($M20,MassProp!$B$9:$B$150,0)),"")</f>
        <v/>
      </c>
      <c r="AZ20" s="297" t="str">
        <f t="shared" si="148"/>
        <v/>
      </c>
      <c r="BA20" s="296" t="str">
        <f t="shared" si="16"/>
        <v/>
      </c>
      <c r="BB20" s="190" t="str">
        <f t="shared" si="149"/>
        <v/>
      </c>
      <c r="BC20" s="9"/>
      <c r="BD20" s="5" t="str">
        <f t="shared" si="150"/>
        <v/>
      </c>
      <c r="BE20" s="6" t="str">
        <f t="shared" si="17"/>
        <v/>
      </c>
      <c r="BF20" s="4" t="str">
        <f t="shared" si="18"/>
        <v/>
      </c>
      <c r="BG20" s="5" t="str">
        <f t="shared" si="19"/>
        <v/>
      </c>
      <c r="BH20" s="10" t="str">
        <f t="shared" si="20"/>
        <v/>
      </c>
      <c r="BI20" s="9" t="str">
        <f t="shared" si="151"/>
        <v/>
      </c>
      <c r="BJ20" s="5" t="str">
        <f t="shared" si="21"/>
        <v/>
      </c>
      <c r="BK20" s="8" t="str">
        <f t="shared" si="22"/>
        <v/>
      </c>
      <c r="BL20" s="173" t="str">
        <f t="shared" si="23"/>
        <v/>
      </c>
      <c r="BM20" s="5" t="str">
        <f t="shared" si="24"/>
        <v/>
      </c>
      <c r="BN20" s="6" t="str">
        <f t="shared" si="25"/>
        <v/>
      </c>
      <c r="BO20" s="4" t="str">
        <f t="shared" si="152"/>
        <v/>
      </c>
      <c r="BP20" s="5" t="str">
        <f t="shared" si="153"/>
        <v/>
      </c>
      <c r="BQ20" s="5" t="str">
        <f t="shared" si="154"/>
        <v/>
      </c>
      <c r="BR20" s="6" t="str">
        <f t="shared" si="155"/>
        <v/>
      </c>
      <c r="BS20" s="4" t="str">
        <f t="shared" si="112"/>
        <v/>
      </c>
      <c r="BT20" s="5" t="str">
        <f t="shared" si="112"/>
        <v/>
      </c>
      <c r="BU20" s="10" t="str">
        <f t="shared" si="113"/>
        <v/>
      </c>
      <c r="BV20" s="9" t="str">
        <f t="shared" si="114"/>
        <v/>
      </c>
      <c r="BW20" s="5" t="str">
        <f t="shared" si="115"/>
        <v/>
      </c>
      <c r="BX20" s="8" t="str">
        <f t="shared" si="116"/>
        <v/>
      </c>
      <c r="BY20" s="173" t="str">
        <f t="shared" si="117"/>
        <v/>
      </c>
      <c r="BZ20" s="5" t="str">
        <f t="shared" si="118"/>
        <v/>
      </c>
      <c r="CA20" s="6" t="str">
        <f t="shared" si="119"/>
        <v/>
      </c>
      <c r="CB20" s="4" t="str">
        <f t="shared" si="156"/>
        <v/>
      </c>
      <c r="CC20" s="5" t="str">
        <f t="shared" si="157"/>
        <v/>
      </c>
      <c r="CD20" s="5" t="str">
        <f t="shared" si="158"/>
        <v/>
      </c>
      <c r="CE20" s="6" t="str">
        <f t="shared" si="159"/>
        <v/>
      </c>
      <c r="CF20" s="4" t="str">
        <f t="shared" si="160"/>
        <v/>
      </c>
      <c r="CG20" s="5" t="str">
        <f t="shared" si="161"/>
        <v/>
      </c>
      <c r="CH20" s="5" t="str">
        <f t="shared" si="162"/>
        <v/>
      </c>
      <c r="CI20" s="4" t="str">
        <f t="shared" si="120"/>
        <v/>
      </c>
      <c r="CJ20" s="5" t="str">
        <f t="shared" si="121"/>
        <v/>
      </c>
      <c r="CK20" s="8" t="str">
        <f t="shared" si="122"/>
        <v/>
      </c>
      <c r="CL20" s="173" t="str">
        <f t="shared" si="123"/>
        <v/>
      </c>
      <c r="CM20" s="5" t="str">
        <f t="shared" si="124"/>
        <v/>
      </c>
      <c r="CN20" s="6" t="str">
        <f t="shared" si="125"/>
        <v/>
      </c>
      <c r="CO20" s="167" t="str">
        <f t="shared" si="26"/>
        <v/>
      </c>
      <c r="CP20" s="4" t="str">
        <f t="shared" si="248"/>
        <v/>
      </c>
      <c r="CQ20" s="5" t="str">
        <f t="shared" si="249"/>
        <v/>
      </c>
      <c r="CR20" s="5" t="str">
        <f t="shared" si="163"/>
        <v/>
      </c>
      <c r="CS20" s="8" t="str">
        <f t="shared" si="164"/>
        <v/>
      </c>
      <c r="CT20" s="9" t="str">
        <f t="shared" si="165"/>
        <v/>
      </c>
      <c r="CU20" s="6" t="str">
        <f t="shared" si="166"/>
        <v/>
      </c>
      <c r="CV20" s="4" t="str">
        <f t="shared" si="250"/>
        <v/>
      </c>
      <c r="CW20" s="5" t="str">
        <f t="shared" si="167"/>
        <v/>
      </c>
      <c r="CX20" s="8" t="str">
        <f t="shared" si="168"/>
        <v/>
      </c>
      <c r="CY20" s="9" t="str">
        <f t="shared" si="169"/>
        <v/>
      </c>
      <c r="CZ20" s="5" t="str">
        <f t="shared" si="170"/>
        <v/>
      </c>
      <c r="DA20" s="6" t="str">
        <f t="shared" si="171"/>
        <v/>
      </c>
      <c r="DB20" s="4" t="str">
        <f t="shared" si="172"/>
        <v/>
      </c>
      <c r="DC20" s="5" t="str">
        <f t="shared" si="172"/>
        <v/>
      </c>
      <c r="DD20" s="10" t="str">
        <f t="shared" si="173"/>
        <v/>
      </c>
      <c r="DE20" s="9" t="str">
        <f t="shared" si="174"/>
        <v/>
      </c>
      <c r="DF20" s="5" t="str">
        <f t="shared" si="174"/>
        <v/>
      </c>
      <c r="DG20" s="10" t="str">
        <f t="shared" si="175"/>
        <v/>
      </c>
      <c r="DH20" s="70" t="str">
        <f t="shared" si="176"/>
        <v/>
      </c>
      <c r="DI20" s="4" t="str">
        <f t="shared" si="177"/>
        <v/>
      </c>
      <c r="DJ20" s="5" t="str">
        <f t="shared" si="178"/>
        <v/>
      </c>
      <c r="DK20" s="10" t="str">
        <f t="shared" si="179"/>
        <v/>
      </c>
      <c r="DL20" s="9" t="str">
        <f t="shared" si="180"/>
        <v/>
      </c>
      <c r="DM20" s="173" t="str">
        <f t="shared" si="181"/>
        <v/>
      </c>
      <c r="DN20" s="178" t="str">
        <f t="shared" si="182"/>
        <v/>
      </c>
      <c r="DO20" s="9" t="str">
        <f t="shared" si="183"/>
        <v/>
      </c>
      <c r="DP20" s="173" t="str">
        <f t="shared" si="184"/>
        <v/>
      </c>
      <c r="DQ20" s="11" t="str">
        <f t="shared" si="185"/>
        <v/>
      </c>
      <c r="DR20" s="173" t="str">
        <f t="shared" si="186"/>
        <v/>
      </c>
      <c r="DS20" s="5" t="str">
        <f t="shared" si="187"/>
        <v/>
      </c>
      <c r="DT20" s="5" t="str">
        <f t="shared" si="188"/>
        <v/>
      </c>
      <c r="DU20" s="5" t="str">
        <f t="shared" si="189"/>
        <v/>
      </c>
      <c r="DV20" s="5" t="str">
        <f t="shared" si="190"/>
        <v/>
      </c>
      <c r="DW20" s="5" t="str">
        <f t="shared" si="191"/>
        <v/>
      </c>
      <c r="DX20" s="167" t="str">
        <f t="shared" si="192"/>
        <v/>
      </c>
      <c r="DY20" s="9" t="str">
        <f t="shared" si="193"/>
        <v/>
      </c>
      <c r="DZ20" s="5" t="str">
        <f t="shared" si="194"/>
        <v/>
      </c>
      <c r="EA20" s="10" t="str">
        <f t="shared" si="195"/>
        <v/>
      </c>
      <c r="EB20" s="6" t="str">
        <f t="shared" si="196"/>
        <v/>
      </c>
      <c r="EC20" s="173" t="str">
        <f t="shared" si="197"/>
        <v/>
      </c>
      <c r="ED20" s="5" t="str">
        <f t="shared" si="198"/>
        <v/>
      </c>
      <c r="EE20" s="4" t="str">
        <f t="shared" si="199"/>
        <v/>
      </c>
      <c r="EF20" s="5" t="str">
        <f t="shared" si="200"/>
        <v/>
      </c>
      <c r="EG20" s="10" t="str">
        <f t="shared" si="201"/>
        <v/>
      </c>
      <c r="EH20" s="9" t="str">
        <f t="shared" si="202"/>
        <v/>
      </c>
      <c r="EI20" s="5" t="str">
        <f t="shared" si="203"/>
        <v/>
      </c>
      <c r="EJ20" s="6" t="str">
        <f t="shared" si="204"/>
        <v/>
      </c>
      <c r="EK20" s="236" t="str">
        <f t="shared" si="205"/>
        <v/>
      </c>
      <c r="EL20" s="238" t="str">
        <f t="shared" si="206"/>
        <v/>
      </c>
      <c r="EM20" s="4" t="str">
        <f t="shared" si="207"/>
        <v/>
      </c>
      <c r="EN20" s="5" t="str">
        <f t="shared" si="208"/>
        <v/>
      </c>
      <c r="EO20" s="10" t="str">
        <f t="shared" si="209"/>
        <v/>
      </c>
      <c r="EP20" s="9" t="str">
        <f t="shared" si="210"/>
        <v/>
      </c>
      <c r="EQ20" s="5" t="str">
        <f>IF(ISNUMBER($AV20),SQRT(EM20^2+EN20^2),"")</f>
        <v/>
      </c>
      <c r="ER20" s="7" t="str">
        <f t="shared" si="212"/>
        <v/>
      </c>
      <c r="ES20" s="21" t="str">
        <f t="shared" si="126"/>
        <v/>
      </c>
      <c r="ET20" s="5" t="str">
        <f t="shared" si="35"/>
        <v/>
      </c>
      <c r="EU20" s="10" t="str">
        <f t="shared" si="36"/>
        <v/>
      </c>
      <c r="EV20" s="174" t="str">
        <f>IF(ISNUMBER($AV20),IF(($EV$1-EP20)&lt;0,(360+($EV$1-EP20)),($EV$1-EP20)),"")</f>
        <v/>
      </c>
      <c r="EW20" s="9" t="str">
        <f t="shared" si="127"/>
        <v/>
      </c>
      <c r="EX20" s="5" t="str">
        <f t="shared" si="37"/>
        <v/>
      </c>
      <c r="EY20" s="6" t="str">
        <f t="shared" si="213"/>
        <v/>
      </c>
      <c r="EZ20" s="51" t="str">
        <f t="shared" si="214"/>
        <v/>
      </c>
      <c r="FA20" s="266" t="str">
        <f t="shared" si="128"/>
        <v/>
      </c>
      <c r="FB20" s="267" t="str">
        <f t="shared" si="129"/>
        <v/>
      </c>
      <c r="FC20" s="269" t="str">
        <f t="shared" si="38"/>
        <v/>
      </c>
      <c r="FD20" s="4" t="str">
        <f t="shared" si="130"/>
        <v/>
      </c>
      <c r="FE20" s="5" t="str">
        <f t="shared" si="39"/>
        <v/>
      </c>
      <c r="FF20" s="7" t="str">
        <f t="shared" si="215"/>
        <v/>
      </c>
      <c r="FG20" s="173" t="str">
        <f t="shared" si="216"/>
        <v/>
      </c>
      <c r="FH20" s="5" t="str">
        <f t="shared" si="40"/>
        <v/>
      </c>
      <c r="FI20" s="10" t="str">
        <f t="shared" si="41"/>
        <v/>
      </c>
      <c r="FJ20" s="279" t="str">
        <f t="shared" si="217"/>
        <v/>
      </c>
      <c r="FK20" s="4" t="str">
        <f t="shared" si="42"/>
        <v/>
      </c>
      <c r="FL20" s="5" t="str">
        <f t="shared" si="218"/>
        <v/>
      </c>
      <c r="FM20" s="8" t="str">
        <f t="shared" si="219"/>
        <v/>
      </c>
      <c r="FN20" s="9" t="str">
        <f t="shared" si="220"/>
        <v/>
      </c>
      <c r="FO20" s="10" t="str">
        <f t="shared" si="43"/>
        <v/>
      </c>
      <c r="FP20" s="277" t="str">
        <f t="shared" si="44"/>
        <v/>
      </c>
      <c r="FQ20" s="173" t="str">
        <f t="shared" si="251"/>
        <v/>
      </c>
      <c r="FR20" s="10" t="str">
        <f t="shared" si="221"/>
        <v/>
      </c>
      <c r="FS20" s="9" t="str">
        <f t="shared" si="222"/>
        <v/>
      </c>
      <c r="FT20" s="6" t="str">
        <f t="shared" si="223"/>
        <v/>
      </c>
      <c r="FU20" s="4" t="str">
        <f t="shared" si="224"/>
        <v/>
      </c>
      <c r="FV20" s="5" t="str">
        <f t="shared" si="225"/>
        <v/>
      </c>
      <c r="FW20" s="8" t="str">
        <f t="shared" si="252"/>
        <v/>
      </c>
      <c r="FX20" s="9" t="str">
        <f t="shared" si="253"/>
        <v/>
      </c>
      <c r="FY20" s="10" t="str">
        <f t="shared" si="45"/>
        <v/>
      </c>
      <c r="FZ20" s="277" t="str">
        <f t="shared" si="254"/>
        <v/>
      </c>
      <c r="GA20" s="177" t="str">
        <f t="shared" si="226"/>
        <v/>
      </c>
      <c r="GB20" s="4" t="str">
        <f t="shared" si="227"/>
        <v/>
      </c>
      <c r="GC20" s="5" t="str">
        <f t="shared" si="228"/>
        <v/>
      </c>
      <c r="GD20" s="10" t="str">
        <f t="shared" si="229"/>
        <v/>
      </c>
      <c r="GE20" s="311" t="str">
        <f t="shared" si="230"/>
        <v/>
      </c>
      <c r="GF20" s="341" t="str">
        <f t="shared" si="255"/>
        <v/>
      </c>
      <c r="GG20" s="285" t="str">
        <f t="shared" si="46"/>
        <v/>
      </c>
      <c r="GH20" s="286" t="str">
        <f t="shared" si="47"/>
        <v/>
      </c>
      <c r="GI20" s="281" t="str">
        <f t="shared" si="48"/>
        <v/>
      </c>
      <c r="GJ20" s="167" t="str">
        <f t="shared" si="231"/>
        <v/>
      </c>
      <c r="GK20" s="174" t="str">
        <f t="shared" si="49"/>
        <v/>
      </c>
      <c r="GL20" s="174" t="str">
        <f t="shared" si="232"/>
        <v/>
      </c>
      <c r="GM20" s="177" t="str">
        <f t="shared" si="256"/>
        <v/>
      </c>
      <c r="GN20" s="280" t="str">
        <f t="shared" si="233"/>
        <v/>
      </c>
      <c r="GO20" s="4" t="str">
        <f t="shared" si="234"/>
        <v/>
      </c>
      <c r="GP20" s="8" t="str">
        <f t="shared" si="257"/>
        <v/>
      </c>
      <c r="GQ20" s="177" t="str">
        <f t="shared" si="235"/>
        <v/>
      </c>
      <c r="GR20" s="371" t="str">
        <f t="shared" si="258"/>
        <v/>
      </c>
      <c r="GS20" s="342" t="str">
        <f t="shared" si="51"/>
        <v/>
      </c>
      <c r="GT20" s="343" t="str">
        <f t="shared" si="52"/>
        <v/>
      </c>
      <c r="GU20" s="344" t="str">
        <f t="shared" si="53"/>
        <v/>
      </c>
      <c r="GV20" s="343" t="str">
        <f t="shared" si="265"/>
        <v/>
      </c>
      <c r="GW20" s="345" t="str">
        <f t="shared" si="54"/>
        <v/>
      </c>
      <c r="GX20" s="346" t="str">
        <f t="shared" si="55"/>
        <v/>
      </c>
      <c r="GY20" s="344" t="str">
        <f t="shared" si="56"/>
        <v/>
      </c>
      <c r="GZ20" s="345" t="str">
        <f t="shared" si="57"/>
        <v/>
      </c>
      <c r="HA20" s="342" t="str">
        <f t="shared" si="58"/>
        <v/>
      </c>
      <c r="HB20" s="5" t="str">
        <f t="shared" si="236"/>
        <v/>
      </c>
      <c r="HC20" s="343" t="str">
        <f t="shared" si="237"/>
        <v/>
      </c>
      <c r="HD20" s="345" t="str">
        <f t="shared" si="238"/>
        <v/>
      </c>
      <c r="HE20" s="344" t="str">
        <f t="shared" si="59"/>
        <v/>
      </c>
      <c r="HF20" s="5" t="str">
        <f t="shared" si="60"/>
        <v/>
      </c>
      <c r="HG20" s="343" t="str">
        <f t="shared" si="239"/>
        <v/>
      </c>
      <c r="HH20" s="349" t="str">
        <f t="shared" si="240"/>
        <v/>
      </c>
      <c r="HI20" s="317" t="str">
        <f t="shared" si="61"/>
        <v/>
      </c>
      <c r="HJ20" s="336"/>
      <c r="HK20" s="310" t="str">
        <f t="shared" si="131"/>
        <v/>
      </c>
      <c r="HL20" s="348" t="str">
        <f t="shared" si="62"/>
        <v/>
      </c>
      <c r="HM20" s="923" t="str">
        <f t="shared" si="63"/>
        <v/>
      </c>
      <c r="HN20" s="924" t="str">
        <f t="shared" si="64"/>
        <v/>
      </c>
      <c r="HO20" s="925"/>
      <c r="HP20" s="926"/>
      <c r="HQ20" s="924" t="str">
        <f t="shared" si="65"/>
        <v/>
      </c>
      <c r="HR20" s="927" t="str">
        <f t="shared" si="66"/>
        <v/>
      </c>
      <c r="HS20" s="879" t="str">
        <f t="shared" si="261"/>
        <v/>
      </c>
      <c r="HT20" s="889" t="str">
        <f t="shared" si="67"/>
        <v/>
      </c>
      <c r="HU20" s="890" t="str">
        <f t="shared" si="68"/>
        <v/>
      </c>
      <c r="HV20" s="886" t="str">
        <f t="shared" si="69"/>
        <v/>
      </c>
      <c r="HW20" s="880" t="str">
        <f t="shared" si="70"/>
        <v/>
      </c>
      <c r="HX20" s="881" t="str">
        <f t="shared" si="71"/>
        <v/>
      </c>
      <c r="HY20" s="880" t="str">
        <f t="shared" si="72"/>
        <v/>
      </c>
      <c r="HZ20" s="882" t="str">
        <f t="shared" si="73"/>
        <v/>
      </c>
      <c r="IA20" s="883" t="str">
        <f t="shared" si="74"/>
        <v/>
      </c>
      <c r="IB20" s="884" t="str">
        <f t="shared" si="75"/>
        <v/>
      </c>
      <c r="IC20" s="855" t="str">
        <f t="shared" si="76"/>
        <v/>
      </c>
      <c r="ID20" s="351" t="str">
        <f t="shared" si="77"/>
        <v/>
      </c>
      <c r="IE20" s="857" t="str">
        <f t="shared" si="78"/>
        <v/>
      </c>
      <c r="IF20" s="858"/>
      <c r="IG20" s="790" t="str">
        <f>IFERROR(IF($IW20="","",IF($IW20&lt;(((Settings!$C$19/2)*-1)*$IG$8),"Taper","Nose")),"")</f>
        <v/>
      </c>
      <c r="IH20" s="482" t="str">
        <f>IFERROR(IF((((($IY20*COS(RADIANS(180-$JA20)))*COS(RADIANS($JA20)))-(($IZ20*SIN(RADIANS(180-$JA20)))*SIN(RADIANS($JA20))))+$IW20)&lt;(((Settings!$C$19+$IH$8)/2)*-1),"Gage",""),"")</f>
        <v/>
      </c>
      <c r="II20" s="788">
        <f t="shared" si="241"/>
        <v>2.137</v>
      </c>
      <c r="IJ20" s="674" t="str" cm="1">
        <f t="array" ref="IJ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K20" s="677" t="str" cm="1">
        <f t="array" ref="IK20">IFERROR(ROUND(VALUE(IF($IJ20&lt;1,$IJ20+LARGE((IF($M$9:$M$150="",0,$M$9:$M$150)-MOD(IF($M$9:$M$150="",0,$M$9:$M$150),1)),1),$IJ20)),4),"")</f>
        <v/>
      </c>
      <c r="IL20" s="482">
        <f t="shared" si="79"/>
        <v>1313</v>
      </c>
      <c r="IM20" s="482" t="str">
        <f t="shared" si="242"/>
        <v/>
      </c>
      <c r="IN20" s="670" t="str">
        <f t="shared" si="81"/>
        <v/>
      </c>
      <c r="IO20" s="702">
        <v>8.6006029042558305E-3</v>
      </c>
      <c r="IP20" s="5" t="str">
        <f t="shared" si="82"/>
        <v/>
      </c>
      <c r="IQ20" s="714">
        <v>140</v>
      </c>
      <c r="IR20" s="9" t="str">
        <f t="shared" si="132"/>
        <v/>
      </c>
      <c r="IS20" s="5" t="str">
        <f t="shared" si="83"/>
        <v/>
      </c>
      <c r="IT20" s="5" t="str">
        <f t="shared" si="84"/>
        <v/>
      </c>
      <c r="IU20" s="5" t="str">
        <f t="shared" si="85"/>
        <v/>
      </c>
      <c r="IV20" s="670" t="str">
        <f t="shared" si="86"/>
        <v/>
      </c>
      <c r="IW20" s="9" t="str">
        <f t="shared" si="87"/>
        <v/>
      </c>
      <c r="IX20" s="5" t="str">
        <f t="shared" si="88"/>
        <v/>
      </c>
      <c r="IY20" s="5" t="str">
        <f t="shared" si="89"/>
        <v/>
      </c>
      <c r="IZ20" s="5" t="str">
        <f t="shared" si="90"/>
        <v/>
      </c>
      <c r="JA20" s="705" t="str">
        <f t="shared" si="91"/>
        <v/>
      </c>
      <c r="JC20" s="31"/>
      <c r="JD20" s="1092" t="s">
        <v>360</v>
      </c>
      <c r="JE20" s="1093"/>
      <c r="JF20" s="1093"/>
      <c r="JG20" s="1093"/>
      <c r="JH20" s="1306" t="s">
        <v>361</v>
      </c>
      <c r="JI20" s="1307"/>
      <c r="JJ20" s="1307"/>
      <c r="JK20" s="1308"/>
      <c r="JM20" s="489">
        <f t="shared" si="133"/>
        <v>37</v>
      </c>
      <c r="JN20" s="960">
        <f>($JO20-SMALL($JO$9:$JO$88,1))/((Settings!$C$19/2)-((Settings!$C$19/2)-LARGE($JO$9:$JO$88,1))-SMALL($JO$9:$JO$88,1))</f>
        <v>0.98733996141011549</v>
      </c>
      <c r="JO20" s="162">
        <f t="shared" si="134"/>
        <v>3.6802376708939213</v>
      </c>
      <c r="JP20" s="961">
        <f t="shared" si="135"/>
        <v>-66.371455906022035</v>
      </c>
      <c r="JQ20" s="961">
        <f t="shared" si="136"/>
        <v>27.747920707070726</v>
      </c>
      <c r="JS20" s="82">
        <v>12</v>
      </c>
      <c r="JT20" s="322">
        <f t="shared" si="137"/>
        <v>2.0520258039985633</v>
      </c>
      <c r="JU20" s="963">
        <f t="shared" si="138"/>
        <v>0.51209479528791713</v>
      </c>
      <c r="JV20" s="964">
        <v>3</v>
      </c>
      <c r="JW20" s="961">
        <f t="shared" si="92"/>
        <v>15.00204168938809</v>
      </c>
      <c r="JX20" s="1">
        <v>3.0630999999999999</v>
      </c>
      <c r="JY20" s="965">
        <f t="shared" si="139"/>
        <v>0.40086225923691526</v>
      </c>
      <c r="JZ20" s="973">
        <v>-12.019999999999996</v>
      </c>
      <c r="KA20" s="410">
        <f t="shared" ref="KA20:KA48" si="280">KD20+JZ20</f>
        <v>-11.602666666666666</v>
      </c>
      <c r="KB20" s="977">
        <f t="shared" si="243"/>
        <v>12</v>
      </c>
      <c r="KC20" s="968" cm="1">
        <f t="array" ref="KC20">(((INDEX($JV$9:$JV$53,MATCH(INDEX($JU$9:$JU$53,MATCH(TRUE,INDEX($JU$9:$JU$53&gt;$JY20,0),)),$JU$9:$JU$53,0))-INDEX($JV$9:$JV$53,MATCH(INDEX($JU$9:$JU$53,MATCH(TRUE,INDEX($JU$9:$JU$53&gt;$JY20,0),)-1),$JU$9:$JU$53,0)))*(($JY20-INDEX($JU$9:$JU$53,MATCH(TRUE,INDEX($JU$9:$JU$53&gt;$JY20,0),)-1))/(INDEX($JU$9:$JU$53,MATCH(TRUE,INDEX($JU$9:$JU$53&gt;$JY20,0),))-INDEX($JU$9:$JU$53,MATCH(TRUE,INDEX($JU$9:$JU$53&gt;$JY20,0),)-1))))+INDEX($JV$9:$JV$53,MATCH(INDEX($JU$9:$JU$53,MATCH(TRUE,INDEX($JU$9:$JU$53&gt;$JY20,0),)-1),$JU$9:$JU$53,0)))</f>
        <v>3</v>
      </c>
      <c r="KD20" s="970">
        <v>0.41733333333333</v>
      </c>
      <c r="KE20" s="968">
        <f t="shared" si="140"/>
        <v>-2.58266666666667</v>
      </c>
      <c r="KF20" s="972">
        <v>15</v>
      </c>
      <c r="KG20" s="966">
        <f t="shared" si="244"/>
        <v>-1.58266666666667</v>
      </c>
      <c r="KH20" s="966">
        <f t="shared" si="141"/>
        <v>0</v>
      </c>
      <c r="KJ20" s="31"/>
    </row>
    <row r="21" spans="1:296" ht="15" customHeight="1" x14ac:dyDescent="0.25">
      <c r="A21" s="75">
        <f t="shared" si="1"/>
        <v>0.02</v>
      </c>
      <c r="B21" s="578">
        <f t="shared" ref="B21:D21" si="281">IFERROR(O176+($A21*-E21),"")</f>
        <v>2.7635264008077924</v>
      </c>
      <c r="C21" s="572">
        <f t="shared" si="281"/>
        <v>2.4954551948603005</v>
      </c>
      <c r="D21" s="576">
        <f t="shared" si="281"/>
        <v>-1.884977241909894</v>
      </c>
      <c r="E21" s="580">
        <f t="shared" ref="E21:K21" si="282">R176</f>
        <v>-0.215262852027514</v>
      </c>
      <c r="F21" s="572">
        <f t="shared" si="282"/>
        <v>0.97558334593317342</v>
      </c>
      <c r="G21" s="579">
        <f t="shared" si="282"/>
        <v>4.3577972357775073E-2</v>
      </c>
      <c r="H21" s="580">
        <f t="shared" si="282"/>
        <v>0.26450000000000001</v>
      </c>
      <c r="I21" s="572">
        <f t="shared" si="282"/>
        <v>0.52</v>
      </c>
      <c r="J21" s="483">
        <f t="shared" si="94"/>
        <v>2.145</v>
      </c>
      <c r="K21" s="806">
        <f t="shared" si="282"/>
        <v>1313</v>
      </c>
      <c r="L21" s="719" t="s">
        <v>358</v>
      </c>
      <c r="M21" s="164">
        <f t="shared" si="4"/>
        <v>2.145</v>
      </c>
      <c r="N21" s="575">
        <f t="shared" si="5"/>
        <v>2.7635264008077924</v>
      </c>
      <c r="O21" s="572">
        <f t="shared" si="6"/>
        <v>2.4954551948603005</v>
      </c>
      <c r="P21" s="576">
        <f t="shared" si="7"/>
        <v>-1.884977241909894</v>
      </c>
      <c r="Q21" s="528">
        <f t="shared" si="144"/>
        <v>42.08193189829678</v>
      </c>
      <c r="R21" s="572">
        <f>IF(M21="","",SQRT(N21^2+O21^2))</f>
        <v>3.7234895994909039</v>
      </c>
      <c r="S21" s="577">
        <f>IF(M21="","",P21)</f>
        <v>-1.884977241909894</v>
      </c>
      <c r="T21" s="578">
        <f>IF(M21="","",X21*COS(RADIANS(W21)))</f>
        <v>2.5764932831894201</v>
      </c>
      <c r="U21" s="572">
        <f>IF(M21="","",X21*SIN(RADIANS(W21)))</f>
        <v>-2.6881326528273739</v>
      </c>
      <c r="V21" s="579">
        <f>IF(M21="","",Y21)</f>
        <v>-1.884977241909894</v>
      </c>
      <c r="W21" s="528">
        <f t="shared" si="268"/>
        <v>313.78519266797173</v>
      </c>
      <c r="X21" s="572">
        <f>IF(M21="","",R21)</f>
        <v>3.7234895994909039</v>
      </c>
      <c r="Y21" s="573">
        <f t="shared" si="271"/>
        <v>-1.884977241909894</v>
      </c>
      <c r="Z21" s="575">
        <f t="shared" si="10"/>
        <v>0.215262852027514</v>
      </c>
      <c r="AA21" s="572">
        <f t="shared" si="11"/>
        <v>-0.97558334593317342</v>
      </c>
      <c r="AB21" s="572">
        <f t="shared" si="12"/>
        <v>-4.3577972357775073E-2</v>
      </c>
      <c r="AC21" s="579">
        <f>IF(M21="","",SQRT(Z21^2+AA21^2+AB21^2))</f>
        <v>1</v>
      </c>
      <c r="AD21" s="580">
        <f>IF(M21="","",Z21*(1/SQRT(Z21^2+AA21^2+AB21^2)))</f>
        <v>0.215262852027514</v>
      </c>
      <c r="AE21" s="572">
        <f>IF(M21="","",AA21*(1/SQRT(Z21^2+AA21^2+AB21^2)))</f>
        <v>-0.97558334593317342</v>
      </c>
      <c r="AF21" s="576">
        <f>IF(M21="","",AB21*(1/SQRT(Z21^2+AA21^2+AB21^2)))</f>
        <v>-4.3577972357775073E-2</v>
      </c>
      <c r="AG21" s="545">
        <f>IF(M21="","",DEGREES(ATAN2(-AF21,AE21)))</f>
        <v>-87.442376134836422</v>
      </c>
      <c r="AH21" s="546">
        <f>IF(M21="","",DEGREES(ACOS(AD21)))</f>
        <v>77.569051292726954</v>
      </c>
      <c r="AI21" s="528">
        <f>IF(M21="","",DEGREES(-ACOS(-AF21)))</f>
        <v>-87.502375163624492</v>
      </c>
      <c r="AJ21" s="529">
        <f>IF(M21="","",DEGREES(ATAN2(-AE21,AD21)))</f>
        <v>12.442958283410496</v>
      </c>
      <c r="AK21" s="578">
        <f>IF(M21="","",(COS(RADIANS((90-$Q$8)-W21))*AD21)+(-SIN(RADIANS((90-$Q$8)-W21))*AE21))</f>
        <v>0.86833306462553217</v>
      </c>
      <c r="AL21" s="572">
        <f>IF(M21="","",(SIN(RADIANS((90-$Q$8)-W21))*AD21)+(COS(RADIANS((90-$Q$8)-W21))*AE21))</f>
        <v>-0.49406340605555543</v>
      </c>
      <c r="AM21" s="577">
        <f>IF(M21="","",AF21)</f>
        <v>-4.3577972357775073E-2</v>
      </c>
      <c r="AN21" s="524">
        <f>IF(M21="","",DEGREES(ATAN2(-AM21,AL21)))</f>
        <v>-84.959373709566407</v>
      </c>
      <c r="AO21" s="525">
        <f>IF(ROUND(IF(M21="",0,DEGREES(ACOS(AK21))),4)=90,0,IF(M21="","",DEGREES(ACOS(AK21))))</f>
        <v>29.734495099119385</v>
      </c>
      <c r="AP21" s="528">
        <f>IF(M21="","",DEGREES(ATAN2(AK21,AL21)))</f>
        <v>-29.638973614886229</v>
      </c>
      <c r="AQ21" s="529">
        <f t="shared" si="13"/>
        <v>0.73466622032090956</v>
      </c>
      <c r="AR21" s="979"/>
      <c r="AS21" s="954">
        <f t="shared" si="147"/>
        <v>313.78519266797173</v>
      </c>
      <c r="AT21" s="950">
        <f t="shared" si="14"/>
        <v>-1.8480631341379599</v>
      </c>
      <c r="AU21" s="418"/>
      <c r="AV21" s="164" t="str">
        <f t="shared" si="15"/>
        <v/>
      </c>
      <c r="AW21" s="829" t="str">
        <f>IFERROR(INDEX(MassProp!C$9:C$150,MATCH($M21,MassProp!$B$9:$B$150,0)),"")</f>
        <v/>
      </c>
      <c r="AX21" s="830" t="str">
        <f>IFERROR(INDEX(MassProp!D$9:D$150,MATCH($M21,MassProp!$B$9:$B$150,0)),"")</f>
        <v/>
      </c>
      <c r="AY21" s="831" t="str">
        <f>IFERROR(INDEX(MassProp!E$9:E$150,MATCH($M21,MassProp!$B$9:$B$150,0)),"")</f>
        <v/>
      </c>
      <c r="AZ21" s="297" t="str">
        <f t="shared" si="148"/>
        <v/>
      </c>
      <c r="BA21" s="296" t="str">
        <f t="shared" si="16"/>
        <v/>
      </c>
      <c r="BB21" s="190" t="str">
        <f t="shared" si="149"/>
        <v/>
      </c>
      <c r="BC21" s="9"/>
      <c r="BD21" s="5" t="str">
        <f t="shared" si="150"/>
        <v/>
      </c>
      <c r="BE21" s="6" t="str">
        <f t="shared" si="17"/>
        <v/>
      </c>
      <c r="BF21" s="4" t="str">
        <f t="shared" si="18"/>
        <v/>
      </c>
      <c r="BG21" s="5" t="str">
        <f t="shared" si="19"/>
        <v/>
      </c>
      <c r="BH21" s="10" t="str">
        <f t="shared" si="20"/>
        <v/>
      </c>
      <c r="BI21" s="9" t="str">
        <f t="shared" si="151"/>
        <v/>
      </c>
      <c r="BJ21" s="5" t="str">
        <f t="shared" si="21"/>
        <v/>
      </c>
      <c r="BK21" s="8" t="str">
        <f t="shared" si="22"/>
        <v/>
      </c>
      <c r="BL21" s="173" t="str">
        <f t="shared" si="23"/>
        <v/>
      </c>
      <c r="BM21" s="5" t="str">
        <f t="shared" si="24"/>
        <v/>
      </c>
      <c r="BN21" s="6" t="str">
        <f t="shared" si="25"/>
        <v/>
      </c>
      <c r="BO21" s="4" t="str">
        <f t="shared" si="152"/>
        <v/>
      </c>
      <c r="BP21" s="5" t="str">
        <f t="shared" si="153"/>
        <v/>
      </c>
      <c r="BQ21" s="5" t="str">
        <f t="shared" si="154"/>
        <v/>
      </c>
      <c r="BR21" s="6" t="str">
        <f t="shared" si="155"/>
        <v/>
      </c>
      <c r="BS21" s="4" t="str">
        <f t="shared" si="112"/>
        <v/>
      </c>
      <c r="BT21" s="5" t="str">
        <f t="shared" si="112"/>
        <v/>
      </c>
      <c r="BU21" s="10" t="str">
        <f t="shared" si="113"/>
        <v/>
      </c>
      <c r="BV21" s="9" t="str">
        <f t="shared" si="114"/>
        <v/>
      </c>
      <c r="BW21" s="5" t="str">
        <f t="shared" si="115"/>
        <v/>
      </c>
      <c r="BX21" s="8" t="str">
        <f t="shared" si="116"/>
        <v/>
      </c>
      <c r="BY21" s="173" t="str">
        <f t="shared" si="117"/>
        <v/>
      </c>
      <c r="BZ21" s="5" t="str">
        <f t="shared" si="118"/>
        <v/>
      </c>
      <c r="CA21" s="6" t="str">
        <f t="shared" si="119"/>
        <v/>
      </c>
      <c r="CB21" s="4" t="str">
        <f t="shared" si="156"/>
        <v/>
      </c>
      <c r="CC21" s="5" t="str">
        <f t="shared" si="157"/>
        <v/>
      </c>
      <c r="CD21" s="5" t="str">
        <f t="shared" si="158"/>
        <v/>
      </c>
      <c r="CE21" s="6" t="str">
        <f t="shared" si="159"/>
        <v/>
      </c>
      <c r="CF21" s="4" t="str">
        <f t="shared" si="160"/>
        <v/>
      </c>
      <c r="CG21" s="5" t="str">
        <f t="shared" si="161"/>
        <v/>
      </c>
      <c r="CH21" s="5" t="str">
        <f t="shared" si="162"/>
        <v/>
      </c>
      <c r="CI21" s="4" t="str">
        <f t="shared" si="120"/>
        <v/>
      </c>
      <c r="CJ21" s="5" t="str">
        <f>IF(ISNUMBER($AV21),(CD21*BR21-BQ21*CE21)/(BQ21*CC21-CD21*BP21),"")</f>
        <v/>
      </c>
      <c r="CK21" s="8" t="str">
        <f t="shared" si="122"/>
        <v/>
      </c>
      <c r="CL21" s="173" t="str">
        <f t="shared" si="123"/>
        <v/>
      </c>
      <c r="CM21" s="5" t="str">
        <f t="shared" si="124"/>
        <v/>
      </c>
      <c r="CN21" s="6" t="str">
        <f t="shared" si="125"/>
        <v/>
      </c>
      <c r="CO21" s="167" t="str">
        <f t="shared" si="26"/>
        <v/>
      </c>
      <c r="CP21" s="4" t="str">
        <f t="shared" si="248"/>
        <v/>
      </c>
      <c r="CQ21" s="5" t="str">
        <f t="shared" si="249"/>
        <v/>
      </c>
      <c r="CR21" s="5" t="str">
        <f t="shared" si="163"/>
        <v/>
      </c>
      <c r="CS21" s="8" t="str">
        <f t="shared" si="164"/>
        <v/>
      </c>
      <c r="CT21" s="9" t="str">
        <f>IF(ISNUMBER($AV21),(-CQ21+SQRT(CS21))/(CP21*2),"")</f>
        <v/>
      </c>
      <c r="CU21" s="6" t="str">
        <f t="shared" si="166"/>
        <v/>
      </c>
      <c r="CV21" s="4" t="str">
        <f t="shared" si="250"/>
        <v/>
      </c>
      <c r="CW21" s="5" t="str">
        <f t="shared" si="167"/>
        <v/>
      </c>
      <c r="CX21" s="8" t="str">
        <f t="shared" si="168"/>
        <v/>
      </c>
      <c r="CY21" s="9" t="str">
        <f t="shared" si="169"/>
        <v/>
      </c>
      <c r="CZ21" s="5" t="str">
        <f t="shared" si="170"/>
        <v/>
      </c>
      <c r="DA21" s="6" t="str">
        <f t="shared" si="171"/>
        <v/>
      </c>
      <c r="DB21" s="4" t="str">
        <f t="shared" si="172"/>
        <v/>
      </c>
      <c r="DC21" s="5" t="str">
        <f t="shared" si="172"/>
        <v/>
      </c>
      <c r="DD21" s="10" t="str">
        <f t="shared" si="173"/>
        <v/>
      </c>
      <c r="DE21" s="9" t="str">
        <f t="shared" si="174"/>
        <v/>
      </c>
      <c r="DF21" s="5" t="str">
        <f t="shared" si="174"/>
        <v/>
      </c>
      <c r="DG21" s="10" t="str">
        <f t="shared" si="175"/>
        <v/>
      </c>
      <c r="DH21" s="70" t="str">
        <f t="shared" si="176"/>
        <v/>
      </c>
      <c r="DI21" s="4" t="str">
        <f t="shared" si="177"/>
        <v/>
      </c>
      <c r="DJ21" s="5" t="str">
        <f t="shared" si="178"/>
        <v/>
      </c>
      <c r="DK21" s="10" t="str">
        <f t="shared" si="179"/>
        <v/>
      </c>
      <c r="DL21" s="9" t="str">
        <f t="shared" si="180"/>
        <v/>
      </c>
      <c r="DM21" s="173" t="str">
        <f t="shared" si="181"/>
        <v/>
      </c>
      <c r="DN21" s="178" t="str">
        <f t="shared" si="182"/>
        <v/>
      </c>
      <c r="DO21" s="9" t="str">
        <f t="shared" si="183"/>
        <v/>
      </c>
      <c r="DP21" s="173" t="str">
        <f t="shared" si="184"/>
        <v/>
      </c>
      <c r="DQ21" s="11" t="str">
        <f t="shared" si="185"/>
        <v/>
      </c>
      <c r="DR21" s="173" t="str">
        <f t="shared" si="186"/>
        <v/>
      </c>
      <c r="DS21" s="5" t="str">
        <f t="shared" si="187"/>
        <v/>
      </c>
      <c r="DT21" s="5" t="str">
        <f t="shared" si="188"/>
        <v/>
      </c>
      <c r="DU21" s="5" t="str">
        <f t="shared" si="189"/>
        <v/>
      </c>
      <c r="DV21" s="5" t="str">
        <f t="shared" si="190"/>
        <v/>
      </c>
      <c r="DW21" s="5" t="str">
        <f t="shared" si="191"/>
        <v/>
      </c>
      <c r="DX21" s="167" t="str">
        <f t="shared" si="192"/>
        <v/>
      </c>
      <c r="DY21" s="9" t="str">
        <f t="shared" si="193"/>
        <v/>
      </c>
      <c r="DZ21" s="5" t="str">
        <f t="shared" si="194"/>
        <v/>
      </c>
      <c r="EA21" s="10" t="str">
        <f t="shared" si="195"/>
        <v/>
      </c>
      <c r="EB21" s="6" t="str">
        <f t="shared" si="196"/>
        <v/>
      </c>
      <c r="EC21" s="173" t="str">
        <f t="shared" si="197"/>
        <v/>
      </c>
      <c r="ED21" s="5" t="str">
        <f t="shared" si="198"/>
        <v/>
      </c>
      <c r="EE21" s="4" t="str">
        <f t="shared" si="199"/>
        <v/>
      </c>
      <c r="EF21" s="5" t="str">
        <f t="shared" si="200"/>
        <v/>
      </c>
      <c r="EG21" s="10" t="str">
        <f t="shared" si="201"/>
        <v/>
      </c>
      <c r="EH21" s="9" t="str">
        <f t="shared" si="202"/>
        <v/>
      </c>
      <c r="EI21" s="5" t="str">
        <f t="shared" si="203"/>
        <v/>
      </c>
      <c r="EJ21" s="6" t="str">
        <f t="shared" si="204"/>
        <v/>
      </c>
      <c r="EK21" s="236" t="str">
        <f t="shared" si="205"/>
        <v/>
      </c>
      <c r="EL21" s="238" t="str">
        <f t="shared" si="206"/>
        <v/>
      </c>
      <c r="EM21" s="4" t="str">
        <f t="shared" si="207"/>
        <v/>
      </c>
      <c r="EN21" s="5" t="str">
        <f t="shared" si="208"/>
        <v/>
      </c>
      <c r="EO21" s="10" t="str">
        <f t="shared" si="209"/>
        <v/>
      </c>
      <c r="EP21" s="9" t="str">
        <f t="shared" si="210"/>
        <v/>
      </c>
      <c r="EQ21" s="5" t="str">
        <f t="shared" si="211"/>
        <v/>
      </c>
      <c r="ER21" s="7" t="str">
        <f t="shared" si="212"/>
        <v/>
      </c>
      <c r="ES21" s="21" t="str">
        <f t="shared" si="126"/>
        <v/>
      </c>
      <c r="ET21" s="5" t="str">
        <f t="shared" si="35"/>
        <v/>
      </c>
      <c r="EU21" s="10" t="str">
        <f t="shared" si="36"/>
        <v/>
      </c>
      <c r="EV21" s="174" t="str">
        <f t="shared" si="264"/>
        <v/>
      </c>
      <c r="EW21" s="9" t="str">
        <f t="shared" si="127"/>
        <v/>
      </c>
      <c r="EX21" s="5" t="str">
        <f t="shared" si="37"/>
        <v/>
      </c>
      <c r="EY21" s="6" t="str">
        <f t="shared" si="213"/>
        <v/>
      </c>
      <c r="EZ21" s="51" t="str">
        <f t="shared" si="214"/>
        <v/>
      </c>
      <c r="FA21" s="266" t="str">
        <f t="shared" si="128"/>
        <v/>
      </c>
      <c r="FB21" s="267" t="str">
        <f t="shared" si="129"/>
        <v/>
      </c>
      <c r="FC21" s="269" t="str">
        <f t="shared" si="38"/>
        <v/>
      </c>
      <c r="FD21" s="4" t="str">
        <f t="shared" si="130"/>
        <v/>
      </c>
      <c r="FE21" s="5" t="str">
        <f t="shared" si="39"/>
        <v/>
      </c>
      <c r="FF21" s="7" t="str">
        <f t="shared" si="215"/>
        <v/>
      </c>
      <c r="FG21" s="173" t="str">
        <f t="shared" si="216"/>
        <v/>
      </c>
      <c r="FH21" s="5" t="str">
        <f t="shared" si="40"/>
        <v/>
      </c>
      <c r="FI21" s="10" t="str">
        <f t="shared" si="41"/>
        <v/>
      </c>
      <c r="FJ21" s="279" t="str">
        <f t="shared" si="217"/>
        <v/>
      </c>
      <c r="FK21" s="4" t="str">
        <f t="shared" si="42"/>
        <v/>
      </c>
      <c r="FL21" s="5" t="str">
        <f t="shared" si="218"/>
        <v/>
      </c>
      <c r="FM21" s="8" t="str">
        <f t="shared" si="219"/>
        <v/>
      </c>
      <c r="FN21" s="9" t="str">
        <f t="shared" si="220"/>
        <v/>
      </c>
      <c r="FO21" s="10" t="str">
        <f t="shared" si="43"/>
        <v/>
      </c>
      <c r="FP21" s="277" t="str">
        <f t="shared" si="44"/>
        <v/>
      </c>
      <c r="FQ21" s="173" t="str">
        <f t="shared" si="251"/>
        <v/>
      </c>
      <c r="FR21" s="10" t="str">
        <f t="shared" si="221"/>
        <v/>
      </c>
      <c r="FS21" s="9" t="str">
        <f t="shared" si="222"/>
        <v/>
      </c>
      <c r="FT21" s="6" t="str">
        <f t="shared" si="223"/>
        <v/>
      </c>
      <c r="FU21" s="4" t="str">
        <f t="shared" si="224"/>
        <v/>
      </c>
      <c r="FV21" s="5" t="str">
        <f t="shared" si="225"/>
        <v/>
      </c>
      <c r="FW21" s="8" t="str">
        <f t="shared" si="252"/>
        <v/>
      </c>
      <c r="FX21" s="9" t="str">
        <f t="shared" si="253"/>
        <v/>
      </c>
      <c r="FY21" s="10" t="str">
        <f t="shared" si="45"/>
        <v/>
      </c>
      <c r="FZ21" s="277" t="str">
        <f t="shared" si="254"/>
        <v/>
      </c>
      <c r="GA21" s="177" t="str">
        <f t="shared" si="226"/>
        <v/>
      </c>
      <c r="GB21" s="4" t="str">
        <f t="shared" si="227"/>
        <v/>
      </c>
      <c r="GC21" s="5" t="str">
        <f t="shared" si="228"/>
        <v/>
      </c>
      <c r="GD21" s="10" t="str">
        <f t="shared" si="229"/>
        <v/>
      </c>
      <c r="GE21" s="311" t="str">
        <f t="shared" si="230"/>
        <v/>
      </c>
      <c r="GF21" s="341" t="str">
        <f t="shared" si="255"/>
        <v/>
      </c>
      <c r="GG21" s="285" t="str">
        <f t="shared" si="46"/>
        <v/>
      </c>
      <c r="GH21" s="286" t="str">
        <f t="shared" si="47"/>
        <v/>
      </c>
      <c r="GI21" s="281" t="str">
        <f t="shared" si="48"/>
        <v/>
      </c>
      <c r="GJ21" s="167" t="str">
        <f t="shared" si="231"/>
        <v/>
      </c>
      <c r="GK21" s="174" t="str">
        <f t="shared" si="49"/>
        <v/>
      </c>
      <c r="GL21" s="174" t="str">
        <f t="shared" si="232"/>
        <v/>
      </c>
      <c r="GM21" s="177" t="str">
        <f t="shared" si="256"/>
        <v/>
      </c>
      <c r="GN21" s="280" t="str">
        <f t="shared" si="233"/>
        <v/>
      </c>
      <c r="GO21" s="4" t="str">
        <f t="shared" si="234"/>
        <v/>
      </c>
      <c r="GP21" s="8" t="str">
        <f t="shared" si="257"/>
        <v/>
      </c>
      <c r="GQ21" s="177" t="str">
        <f t="shared" si="235"/>
        <v/>
      </c>
      <c r="GR21" s="371" t="str">
        <f t="shared" si="258"/>
        <v/>
      </c>
      <c r="GS21" s="342" t="str">
        <f t="shared" si="51"/>
        <v/>
      </c>
      <c r="GT21" s="343" t="str">
        <f t="shared" si="52"/>
        <v/>
      </c>
      <c r="GU21" s="344" t="str">
        <f t="shared" si="53"/>
        <v/>
      </c>
      <c r="GV21" s="343" t="str">
        <f t="shared" si="265"/>
        <v/>
      </c>
      <c r="GW21" s="345" t="str">
        <f t="shared" si="54"/>
        <v/>
      </c>
      <c r="GX21" s="346" t="str">
        <f t="shared" si="55"/>
        <v/>
      </c>
      <c r="GY21" s="344" t="str">
        <f t="shared" si="56"/>
        <v/>
      </c>
      <c r="GZ21" s="345" t="str">
        <f t="shared" si="57"/>
        <v/>
      </c>
      <c r="HA21" s="342" t="str">
        <f t="shared" si="58"/>
        <v/>
      </c>
      <c r="HB21" s="5" t="str">
        <f t="shared" si="236"/>
        <v/>
      </c>
      <c r="HC21" s="343" t="str">
        <f t="shared" si="237"/>
        <v/>
      </c>
      <c r="HD21" s="345" t="str">
        <f t="shared" si="238"/>
        <v/>
      </c>
      <c r="HE21" s="344" t="str">
        <f t="shared" si="59"/>
        <v/>
      </c>
      <c r="HF21" s="5" t="str">
        <f t="shared" si="60"/>
        <v/>
      </c>
      <c r="HG21" s="343" t="str">
        <f t="shared" si="239"/>
        <v/>
      </c>
      <c r="HH21" s="349" t="str">
        <f t="shared" si="240"/>
        <v/>
      </c>
      <c r="HI21" s="317" t="str">
        <f t="shared" si="61"/>
        <v/>
      </c>
      <c r="HJ21" s="336"/>
      <c r="HK21" s="310" t="str">
        <f t="shared" si="131"/>
        <v/>
      </c>
      <c r="HL21" s="348" t="str">
        <f t="shared" si="62"/>
        <v/>
      </c>
      <c r="HM21" s="923" t="str">
        <f t="shared" si="63"/>
        <v/>
      </c>
      <c r="HN21" s="924" t="str">
        <f t="shared" si="64"/>
        <v/>
      </c>
      <c r="HO21" s="925"/>
      <c r="HP21" s="926"/>
      <c r="HQ21" s="924" t="str">
        <f t="shared" si="65"/>
        <v/>
      </c>
      <c r="HR21" s="927" t="str">
        <f t="shared" si="66"/>
        <v/>
      </c>
      <c r="HS21" s="879" t="str">
        <f t="shared" si="261"/>
        <v/>
      </c>
      <c r="HT21" s="889" t="str">
        <f t="shared" si="67"/>
        <v/>
      </c>
      <c r="HU21" s="890" t="str">
        <f t="shared" si="68"/>
        <v/>
      </c>
      <c r="HV21" s="886" t="str">
        <f t="shared" si="69"/>
        <v/>
      </c>
      <c r="HW21" s="880" t="str">
        <f t="shared" si="70"/>
        <v/>
      </c>
      <c r="HX21" s="881" t="str">
        <f t="shared" si="71"/>
        <v/>
      </c>
      <c r="HY21" s="880" t="str">
        <f t="shared" si="72"/>
        <v/>
      </c>
      <c r="HZ21" s="882" t="str">
        <f t="shared" si="73"/>
        <v/>
      </c>
      <c r="IA21" s="883" t="str">
        <f t="shared" si="74"/>
        <v/>
      </c>
      <c r="IB21" s="884" t="str">
        <f t="shared" si="75"/>
        <v/>
      </c>
      <c r="IC21" s="855" t="str">
        <f t="shared" si="76"/>
        <v/>
      </c>
      <c r="ID21" s="351" t="str">
        <f t="shared" si="77"/>
        <v/>
      </c>
      <c r="IE21" s="857" t="str">
        <f t="shared" si="78"/>
        <v/>
      </c>
      <c r="IF21" s="858"/>
      <c r="IG21" s="790" t="str">
        <f>IFERROR(IF($IW21="","",IF($IW21&lt;(((Settings!$C$19/2)*-1)*$IG$8),"Taper","Nose")),"")</f>
        <v/>
      </c>
      <c r="IH21" s="482" t="str">
        <f>IFERROR(IF((((($IY21*COS(RADIANS(180-$JA21)))*COS(RADIANS($JA21)))-(($IZ21*SIN(RADIANS(180-$JA21)))*SIN(RADIANS($JA21))))+$IW21)&lt;(((Settings!$C$19+$IH$8)/2)*-1),"Gage",""),"")</f>
        <v/>
      </c>
      <c r="II21" s="788">
        <f t="shared" si="241"/>
        <v>2.145</v>
      </c>
      <c r="IJ21" s="674" t="str" cm="1">
        <f t="array" ref="IJ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K21" s="677" t="str" cm="1">
        <f t="array" ref="IK21">IFERROR(ROUND(VALUE(IF($IJ21&lt;1,$IJ21+LARGE((IF($M$9:$M$150="",0,$M$9:$M$150)-MOD(IF($M$9:$M$150="",0,$M$9:$M$150),1)),1),$IJ21)),4),"")</f>
        <v/>
      </c>
      <c r="IL21" s="482">
        <f t="shared" si="79"/>
        <v>1313</v>
      </c>
      <c r="IM21" s="482" t="str">
        <f t="shared" si="242"/>
        <v/>
      </c>
      <c r="IN21" s="670" t="str">
        <f t="shared" si="81"/>
        <v/>
      </c>
      <c r="IO21" s="702">
        <v>7.1089064541766302E-3</v>
      </c>
      <c r="IP21" s="5" t="str">
        <f t="shared" si="82"/>
        <v/>
      </c>
      <c r="IQ21" s="714">
        <v>140</v>
      </c>
      <c r="IR21" s="9" t="str">
        <f t="shared" si="132"/>
        <v/>
      </c>
      <c r="IS21" s="5" t="str">
        <f t="shared" si="83"/>
        <v/>
      </c>
      <c r="IT21" s="5" t="str">
        <f t="shared" si="84"/>
        <v/>
      </c>
      <c r="IU21" s="5" t="str">
        <f t="shared" si="85"/>
        <v/>
      </c>
      <c r="IV21" s="670" t="str">
        <f t="shared" si="86"/>
        <v/>
      </c>
      <c r="IW21" s="9" t="str">
        <f t="shared" si="87"/>
        <v/>
      </c>
      <c r="IX21" s="5" t="str">
        <f t="shared" si="88"/>
        <v/>
      </c>
      <c r="IY21" s="5" t="str">
        <f t="shared" si="89"/>
        <v/>
      </c>
      <c r="IZ21" s="5" t="str">
        <f t="shared" si="90"/>
        <v/>
      </c>
      <c r="JA21" s="705" t="str">
        <f t="shared" si="91"/>
        <v/>
      </c>
      <c r="JC21" s="708"/>
      <c r="JD21" s="1094"/>
      <c r="JE21" s="1095"/>
      <c r="JF21" s="1095"/>
      <c r="JG21" s="1095"/>
      <c r="JH21" s="1309" t="s">
        <v>349</v>
      </c>
      <c r="JI21" s="1310"/>
      <c r="JJ21" s="1096" t="s">
        <v>362</v>
      </c>
      <c r="JK21" s="1097"/>
      <c r="JM21" s="489">
        <f t="shared" si="133"/>
        <v>45</v>
      </c>
      <c r="JN21" s="960">
        <f>($JO21-SMALL($JO$9:$JO$88,1))/((Settings!$C$19/2)-((Settings!$C$19/2)-LARGE($JO$9:$JO$88,1))-SMALL($JO$9:$JO$88,1))</f>
        <v>0.99996440569105094</v>
      </c>
      <c r="JO21" s="162">
        <f t="shared" si="134"/>
        <v>3.7234895994909039</v>
      </c>
      <c r="JP21" s="961">
        <f t="shared" si="135"/>
        <v>-84.959373709566407</v>
      </c>
      <c r="JQ21" s="961">
        <f t="shared" si="136"/>
        <v>29.734495099119385</v>
      </c>
      <c r="JS21" s="82">
        <v>13</v>
      </c>
      <c r="JT21" s="322">
        <f t="shared" si="137"/>
        <v>2.1658837991515401</v>
      </c>
      <c r="JU21" s="963">
        <f t="shared" si="138"/>
        <v>0.5453278547692938</v>
      </c>
      <c r="JV21" s="964">
        <v>3</v>
      </c>
      <c r="JW21" s="961">
        <f t="shared" si="92"/>
        <v>14.977992263188085</v>
      </c>
      <c r="JX21" s="1">
        <v>3.3149000000000002</v>
      </c>
      <c r="JY21" s="965">
        <f t="shared" si="139"/>
        <v>0.43791292064566445</v>
      </c>
      <c r="JZ21" s="973">
        <v>-7.4278000000000048</v>
      </c>
      <c r="KA21" s="410">
        <f t="shared" si="280"/>
        <v>-10.990373333333334</v>
      </c>
      <c r="KB21" s="976">
        <f t="shared" si="243"/>
        <v>13</v>
      </c>
      <c r="KC21" s="968" cm="1">
        <f t="array" ref="KC21">(((INDEX($JV$9:$JV$53,MATCH(INDEX($JU$9:$JU$53,MATCH(TRUE,INDEX($JU$9:$JU$53&gt;$JY21,0),)),$JU$9:$JU$53,0))-INDEX($JV$9:$JV$53,MATCH(INDEX($JU$9:$JU$53,MATCH(TRUE,INDEX($JU$9:$JU$53&gt;$JY21,0),)-1),$JU$9:$JU$53,0)))*(($JY21-INDEX($JU$9:$JU$53,MATCH(TRUE,INDEX($JU$9:$JU$53&gt;$JY21,0),)-1))/(INDEX($JU$9:$JU$53,MATCH(TRUE,INDEX($JU$9:$JU$53&gt;$JY21,0),))-INDEX($JU$9:$JU$53,MATCH(TRUE,INDEX($JU$9:$JU$53&gt;$JY21,0),)-1))))+INDEX($JV$9:$JV$53,MATCH(INDEX($JU$9:$JU$53,MATCH(TRUE,INDEX($JU$9:$JU$53&gt;$JY21,0),)-1),$JU$9:$JU$53,0)))</f>
        <v>3</v>
      </c>
      <c r="KD21" s="970">
        <v>-3.5625733333333294</v>
      </c>
      <c r="KE21" s="968">
        <f t="shared" si="140"/>
        <v>-6.5625733333333294</v>
      </c>
      <c r="KF21" s="972">
        <v>15</v>
      </c>
      <c r="KG21" s="966">
        <f t="shared" si="244"/>
        <v>-3.9799066666666594</v>
      </c>
      <c r="KH21" s="966">
        <f t="shared" si="141"/>
        <v>0</v>
      </c>
      <c r="KJ21" s="31"/>
    </row>
    <row r="22" spans="1:296" ht="15" customHeight="1" thickBot="1" x14ac:dyDescent="0.3">
      <c r="A22" s="75">
        <f t="shared" si="1"/>
        <v>0.02</v>
      </c>
      <c r="B22" s="578">
        <f t="shared" ref="B22:D22" si="283">IFERROR(O177+($A22*-E22),"")</f>
        <v>0.76918887673670144</v>
      </c>
      <c r="C22" s="572">
        <f t="shared" si="283"/>
        <v>-4.6098140787911288E-2</v>
      </c>
      <c r="D22" s="576">
        <f t="shared" si="283"/>
        <v>-0.38812605864695576</v>
      </c>
      <c r="E22" s="580">
        <f t="shared" ref="E22:K22" si="284">R177</f>
        <v>-3.7748518379267952E-2</v>
      </c>
      <c r="F22" s="572">
        <f t="shared" si="284"/>
        <v>0.96316589416231857</v>
      </c>
      <c r="G22" s="579">
        <f t="shared" si="284"/>
        <v>0.26624520593368695</v>
      </c>
      <c r="H22" s="580">
        <f t="shared" si="284"/>
        <v>0.26450000000000001</v>
      </c>
      <c r="I22" s="572">
        <f t="shared" si="284"/>
        <v>0.52</v>
      </c>
      <c r="J22" s="483">
        <f t="shared" si="94"/>
        <v>3.1030000000000002</v>
      </c>
      <c r="K22" s="806">
        <f t="shared" si="284"/>
        <v>1313</v>
      </c>
      <c r="L22" s="814" t="str">
        <f>IF($L21=$JJ$22,$JJ$30,IF($L21=$JK$22,$JK$30,""))</f>
        <v/>
      </c>
      <c r="M22" s="164">
        <f t="shared" si="4"/>
        <v>3.1030000000000002</v>
      </c>
      <c r="N22" s="575">
        <f t="shared" si="5"/>
        <v>0.76918887673670144</v>
      </c>
      <c r="O22" s="572">
        <f t="shared" si="6"/>
        <v>-4.6098140787911288E-2</v>
      </c>
      <c r="P22" s="576">
        <f t="shared" si="7"/>
        <v>-0.38812605864695576</v>
      </c>
      <c r="Q22" s="528">
        <f t="shared" si="144"/>
        <v>356.57031762350761</v>
      </c>
      <c r="R22" s="572">
        <f t="shared" si="95"/>
        <v>0.77056898891635306</v>
      </c>
      <c r="S22" s="577">
        <f t="shared" si="96"/>
        <v>-0.38812605864695576</v>
      </c>
      <c r="T22" s="578">
        <f t="shared" si="97"/>
        <v>-2.3215072156615925E-2</v>
      </c>
      <c r="U22" s="572">
        <f t="shared" si="98"/>
        <v>-0.77021920717697878</v>
      </c>
      <c r="V22" s="579">
        <f t="shared" si="145"/>
        <v>-0.38812605864695576</v>
      </c>
      <c r="W22" s="528">
        <f t="shared" si="268"/>
        <v>268.27357839318256</v>
      </c>
      <c r="X22" s="572">
        <f t="shared" si="99"/>
        <v>0.77056898891635306</v>
      </c>
      <c r="Y22" s="573">
        <f t="shared" si="271"/>
        <v>-0.38812605864695576</v>
      </c>
      <c r="Z22" s="575">
        <f t="shared" si="10"/>
        <v>3.7748518379267952E-2</v>
      </c>
      <c r="AA22" s="572">
        <f t="shared" si="11"/>
        <v>-0.96316589416231857</v>
      </c>
      <c r="AB22" s="572">
        <f t="shared" si="12"/>
        <v>-0.26624520593368695</v>
      </c>
      <c r="AC22" s="579">
        <f t="shared" si="100"/>
        <v>1</v>
      </c>
      <c r="AD22" s="580">
        <f t="shared" si="146"/>
        <v>3.7748518379267952E-2</v>
      </c>
      <c r="AE22" s="572">
        <f t="shared" si="101"/>
        <v>-0.96316589416231857</v>
      </c>
      <c r="AF22" s="576">
        <f t="shared" si="102"/>
        <v>-0.26624520593368695</v>
      </c>
      <c r="AG22" s="545">
        <f t="shared" si="103"/>
        <v>-74.547755754010552</v>
      </c>
      <c r="AH22" s="546">
        <f t="shared" si="104"/>
        <v>87.836655229828011</v>
      </c>
      <c r="AI22" s="528">
        <f t="shared" si="105"/>
        <v>-74.55904373138371</v>
      </c>
      <c r="AJ22" s="529">
        <f t="shared" si="106"/>
        <v>2.2443946913546053</v>
      </c>
      <c r="AK22" s="578">
        <f t="shared" si="247"/>
        <v>0.95918258632033337</v>
      </c>
      <c r="AL22" s="572">
        <f t="shared" si="107"/>
        <v>9.5300873118585289E-2</v>
      </c>
      <c r="AM22" s="577">
        <f t="shared" si="108"/>
        <v>-0.26624520593368695</v>
      </c>
      <c r="AN22" s="524">
        <f t="shared" si="109"/>
        <v>19.694523115541063</v>
      </c>
      <c r="AO22" s="525">
        <f t="shared" si="110"/>
        <v>16.426641672972799</v>
      </c>
      <c r="AP22" s="528">
        <f t="shared" si="111"/>
        <v>5.6740770678470565</v>
      </c>
      <c r="AQ22" s="529">
        <f t="shared" si="13"/>
        <v>3.5456642521913948</v>
      </c>
      <c r="AR22" s="979"/>
      <c r="AS22" s="954">
        <f t="shared" si="147"/>
        <v>268.27357839318256</v>
      </c>
      <c r="AT22" s="950">
        <f t="shared" si="14"/>
        <v>-0.31328560564603053</v>
      </c>
      <c r="AU22" s="418"/>
      <c r="AV22" s="164" t="str">
        <f t="shared" si="15"/>
        <v/>
      </c>
      <c r="AW22" s="829" t="str">
        <f>IFERROR(INDEX(MassProp!C$9:C$150,MATCH($M22,MassProp!$B$9:$B$150,0)),"")</f>
        <v/>
      </c>
      <c r="AX22" s="830" t="str">
        <f>IFERROR(INDEX(MassProp!D$9:D$150,MATCH($M22,MassProp!$B$9:$B$150,0)),"")</f>
        <v/>
      </c>
      <c r="AY22" s="831" t="str">
        <f>IFERROR(INDEX(MassProp!E$9:E$150,MATCH($M22,MassProp!$B$9:$B$150,0)),"")</f>
        <v/>
      </c>
      <c r="AZ22" s="297" t="str">
        <f t="shared" si="148"/>
        <v/>
      </c>
      <c r="BA22" s="296" t="str">
        <f t="shared" si="16"/>
        <v/>
      </c>
      <c r="BB22" s="190" t="str">
        <f t="shared" si="149"/>
        <v/>
      </c>
      <c r="BC22" s="9"/>
      <c r="BD22" s="5" t="str">
        <f t="shared" si="150"/>
        <v/>
      </c>
      <c r="BE22" s="6" t="str">
        <f t="shared" si="17"/>
        <v/>
      </c>
      <c r="BF22" s="4" t="str">
        <f t="shared" si="18"/>
        <v/>
      </c>
      <c r="BG22" s="5" t="str">
        <f t="shared" si="19"/>
        <v/>
      </c>
      <c r="BH22" s="10" t="str">
        <f t="shared" si="20"/>
        <v/>
      </c>
      <c r="BI22" s="9" t="str">
        <f t="shared" si="151"/>
        <v/>
      </c>
      <c r="BJ22" s="5" t="str">
        <f t="shared" si="21"/>
        <v/>
      </c>
      <c r="BK22" s="8" t="str">
        <f t="shared" si="22"/>
        <v/>
      </c>
      <c r="BL22" s="173" t="str">
        <f t="shared" si="23"/>
        <v/>
      </c>
      <c r="BM22" s="5" t="str">
        <f t="shared" si="24"/>
        <v/>
      </c>
      <c r="BN22" s="6" t="str">
        <f t="shared" si="25"/>
        <v/>
      </c>
      <c r="BO22" s="4" t="str">
        <f t="shared" si="152"/>
        <v/>
      </c>
      <c r="BP22" s="5" t="str">
        <f t="shared" si="153"/>
        <v/>
      </c>
      <c r="BQ22" s="5" t="str">
        <f t="shared" si="154"/>
        <v/>
      </c>
      <c r="BR22" s="6" t="str">
        <f t="shared" si="155"/>
        <v/>
      </c>
      <c r="BS22" s="4" t="str">
        <f t="shared" si="112"/>
        <v/>
      </c>
      <c r="BT22" s="5" t="str">
        <f t="shared" si="112"/>
        <v/>
      </c>
      <c r="BU22" s="10" t="str">
        <f t="shared" si="113"/>
        <v/>
      </c>
      <c r="BV22" s="9" t="str">
        <f t="shared" si="114"/>
        <v/>
      </c>
      <c r="BW22" s="5" t="str">
        <f t="shared" si="115"/>
        <v/>
      </c>
      <c r="BX22" s="8" t="str">
        <f t="shared" si="116"/>
        <v/>
      </c>
      <c r="BY22" s="173" t="str">
        <f t="shared" si="117"/>
        <v/>
      </c>
      <c r="BZ22" s="5" t="str">
        <f t="shared" si="118"/>
        <v/>
      </c>
      <c r="CA22" s="6" t="str">
        <f t="shared" si="119"/>
        <v/>
      </c>
      <c r="CB22" s="4" t="str">
        <f t="shared" si="156"/>
        <v/>
      </c>
      <c r="CC22" s="5" t="str">
        <f t="shared" si="157"/>
        <v/>
      </c>
      <c r="CD22" s="5" t="str">
        <f t="shared" si="158"/>
        <v/>
      </c>
      <c r="CE22" s="6" t="str">
        <f t="shared" si="159"/>
        <v/>
      </c>
      <c r="CF22" s="4" t="str">
        <f t="shared" si="160"/>
        <v/>
      </c>
      <c r="CG22" s="5" t="str">
        <f t="shared" si="161"/>
        <v/>
      </c>
      <c r="CH22" s="5" t="str">
        <f t="shared" si="162"/>
        <v/>
      </c>
      <c r="CI22" s="4" t="str">
        <f t="shared" si="120"/>
        <v/>
      </c>
      <c r="CJ22" s="5" t="str">
        <f t="shared" si="121"/>
        <v/>
      </c>
      <c r="CK22" s="8" t="str">
        <f t="shared" si="122"/>
        <v/>
      </c>
      <c r="CL22" s="173" t="str">
        <f t="shared" si="123"/>
        <v/>
      </c>
      <c r="CM22" s="5" t="str">
        <f t="shared" si="124"/>
        <v/>
      </c>
      <c r="CN22" s="6" t="str">
        <f t="shared" si="125"/>
        <v/>
      </c>
      <c r="CO22" s="167" t="str">
        <f t="shared" si="26"/>
        <v/>
      </c>
      <c r="CP22" s="4" t="str">
        <f t="shared" si="248"/>
        <v/>
      </c>
      <c r="CQ22" s="5" t="str">
        <f t="shared" si="249"/>
        <v/>
      </c>
      <c r="CR22" s="5" t="str">
        <f t="shared" si="163"/>
        <v/>
      </c>
      <c r="CS22" s="8" t="str">
        <f t="shared" si="164"/>
        <v/>
      </c>
      <c r="CT22" s="9" t="str">
        <f t="shared" si="165"/>
        <v/>
      </c>
      <c r="CU22" s="6" t="str">
        <f t="shared" si="166"/>
        <v/>
      </c>
      <c r="CV22" s="4" t="str">
        <f t="shared" si="250"/>
        <v/>
      </c>
      <c r="CW22" s="5" t="str">
        <f t="shared" si="167"/>
        <v/>
      </c>
      <c r="CX22" s="8" t="str">
        <f t="shared" si="168"/>
        <v/>
      </c>
      <c r="CY22" s="9" t="str">
        <f t="shared" si="169"/>
        <v/>
      </c>
      <c r="CZ22" s="5" t="str">
        <f t="shared" si="170"/>
        <v/>
      </c>
      <c r="DA22" s="6" t="str">
        <f t="shared" si="171"/>
        <v/>
      </c>
      <c r="DB22" s="4" t="str">
        <f t="shared" si="172"/>
        <v/>
      </c>
      <c r="DC22" s="5" t="str">
        <f t="shared" si="172"/>
        <v/>
      </c>
      <c r="DD22" s="10" t="str">
        <f t="shared" si="173"/>
        <v/>
      </c>
      <c r="DE22" s="9" t="str">
        <f t="shared" si="174"/>
        <v/>
      </c>
      <c r="DF22" s="5" t="str">
        <f t="shared" si="174"/>
        <v/>
      </c>
      <c r="DG22" s="10" t="str">
        <f t="shared" si="175"/>
        <v/>
      </c>
      <c r="DH22" s="70" t="str">
        <f t="shared" si="176"/>
        <v/>
      </c>
      <c r="DI22" s="4" t="str">
        <f t="shared" si="177"/>
        <v/>
      </c>
      <c r="DJ22" s="5" t="str">
        <f t="shared" si="178"/>
        <v/>
      </c>
      <c r="DK22" s="10" t="str">
        <f t="shared" si="179"/>
        <v/>
      </c>
      <c r="DL22" s="9" t="str">
        <f t="shared" si="180"/>
        <v/>
      </c>
      <c r="DM22" s="173" t="str">
        <f t="shared" si="181"/>
        <v/>
      </c>
      <c r="DN22" s="178" t="str">
        <f t="shared" si="182"/>
        <v/>
      </c>
      <c r="DO22" s="9" t="str">
        <f t="shared" si="183"/>
        <v/>
      </c>
      <c r="DP22" s="173" t="str">
        <f t="shared" si="184"/>
        <v/>
      </c>
      <c r="DQ22" s="11" t="str">
        <f t="shared" si="185"/>
        <v/>
      </c>
      <c r="DR22" s="173" t="str">
        <f t="shared" si="186"/>
        <v/>
      </c>
      <c r="DS22" s="5" t="str">
        <f t="shared" si="187"/>
        <v/>
      </c>
      <c r="DT22" s="5" t="str">
        <f t="shared" si="188"/>
        <v/>
      </c>
      <c r="DU22" s="5" t="str">
        <f t="shared" si="189"/>
        <v/>
      </c>
      <c r="DV22" s="5" t="str">
        <f t="shared" si="190"/>
        <v/>
      </c>
      <c r="DW22" s="5" t="str">
        <f t="shared" si="191"/>
        <v/>
      </c>
      <c r="DX22" s="167" t="str">
        <f t="shared" si="192"/>
        <v/>
      </c>
      <c r="DY22" s="9" t="str">
        <f t="shared" si="193"/>
        <v/>
      </c>
      <c r="DZ22" s="5" t="str">
        <f t="shared" si="194"/>
        <v/>
      </c>
      <c r="EA22" s="10" t="str">
        <f t="shared" si="195"/>
        <v/>
      </c>
      <c r="EB22" s="6" t="str">
        <f t="shared" si="196"/>
        <v/>
      </c>
      <c r="EC22" s="173" t="str">
        <f t="shared" si="197"/>
        <v/>
      </c>
      <c r="ED22" s="5" t="str">
        <f t="shared" si="198"/>
        <v/>
      </c>
      <c r="EE22" s="4" t="str">
        <f t="shared" si="199"/>
        <v/>
      </c>
      <c r="EF22" s="5" t="str">
        <f t="shared" si="200"/>
        <v/>
      </c>
      <c r="EG22" s="10" t="str">
        <f t="shared" si="201"/>
        <v/>
      </c>
      <c r="EH22" s="9" t="str">
        <f t="shared" si="202"/>
        <v/>
      </c>
      <c r="EI22" s="5" t="str">
        <f t="shared" si="203"/>
        <v/>
      </c>
      <c r="EJ22" s="6" t="str">
        <f t="shared" si="204"/>
        <v/>
      </c>
      <c r="EK22" s="236" t="str">
        <f t="shared" si="205"/>
        <v/>
      </c>
      <c r="EL22" s="238" t="str">
        <f t="shared" si="206"/>
        <v/>
      </c>
      <c r="EM22" s="4" t="str">
        <f t="shared" si="207"/>
        <v/>
      </c>
      <c r="EN22" s="5" t="str">
        <f t="shared" si="208"/>
        <v/>
      </c>
      <c r="EO22" s="10" t="str">
        <f t="shared" si="209"/>
        <v/>
      </c>
      <c r="EP22" s="9" t="str">
        <f t="shared" si="210"/>
        <v/>
      </c>
      <c r="EQ22" s="5" t="str">
        <f t="shared" si="211"/>
        <v/>
      </c>
      <c r="ER22" s="7" t="str">
        <f t="shared" si="212"/>
        <v/>
      </c>
      <c r="ES22" s="21" t="str">
        <f t="shared" si="126"/>
        <v/>
      </c>
      <c r="ET22" s="5" t="str">
        <f t="shared" si="35"/>
        <v/>
      </c>
      <c r="EU22" s="10" t="str">
        <f t="shared" si="36"/>
        <v/>
      </c>
      <c r="EV22" s="174" t="str">
        <f t="shared" si="264"/>
        <v/>
      </c>
      <c r="EW22" s="9" t="str">
        <f t="shared" si="127"/>
        <v/>
      </c>
      <c r="EX22" s="5" t="str">
        <f t="shared" si="37"/>
        <v/>
      </c>
      <c r="EY22" s="6" t="str">
        <f t="shared" si="213"/>
        <v/>
      </c>
      <c r="EZ22" s="51" t="str">
        <f t="shared" si="214"/>
        <v/>
      </c>
      <c r="FA22" s="266" t="str">
        <f t="shared" si="128"/>
        <v/>
      </c>
      <c r="FB22" s="267" t="str">
        <f t="shared" si="129"/>
        <v/>
      </c>
      <c r="FC22" s="269" t="str">
        <f t="shared" si="38"/>
        <v/>
      </c>
      <c r="FD22" s="4" t="str">
        <f t="shared" si="130"/>
        <v/>
      </c>
      <c r="FE22" s="5" t="str">
        <f t="shared" si="39"/>
        <v/>
      </c>
      <c r="FF22" s="7" t="str">
        <f t="shared" si="215"/>
        <v/>
      </c>
      <c r="FG22" s="173" t="str">
        <f t="shared" si="216"/>
        <v/>
      </c>
      <c r="FH22" s="5" t="str">
        <f t="shared" si="40"/>
        <v/>
      </c>
      <c r="FI22" s="10" t="str">
        <f t="shared" si="41"/>
        <v/>
      </c>
      <c r="FJ22" s="279" t="str">
        <f t="shared" si="217"/>
        <v/>
      </c>
      <c r="FK22" s="4" t="str">
        <f t="shared" si="42"/>
        <v/>
      </c>
      <c r="FL22" s="5" t="str">
        <f t="shared" si="218"/>
        <v/>
      </c>
      <c r="FM22" s="8" t="str">
        <f t="shared" si="219"/>
        <v/>
      </c>
      <c r="FN22" s="9" t="str">
        <f t="shared" si="220"/>
        <v/>
      </c>
      <c r="FO22" s="10" t="str">
        <f t="shared" si="43"/>
        <v/>
      </c>
      <c r="FP22" s="277" t="str">
        <f t="shared" si="44"/>
        <v/>
      </c>
      <c r="FQ22" s="173" t="str">
        <f t="shared" si="251"/>
        <v/>
      </c>
      <c r="FR22" s="10" t="str">
        <f t="shared" si="221"/>
        <v/>
      </c>
      <c r="FS22" s="9" t="str">
        <f t="shared" si="222"/>
        <v/>
      </c>
      <c r="FT22" s="6" t="str">
        <f t="shared" si="223"/>
        <v/>
      </c>
      <c r="FU22" s="4" t="str">
        <f t="shared" si="224"/>
        <v/>
      </c>
      <c r="FV22" s="5" t="str">
        <f t="shared" si="225"/>
        <v/>
      </c>
      <c r="FW22" s="8" t="str">
        <f t="shared" si="252"/>
        <v/>
      </c>
      <c r="FX22" s="9" t="str">
        <f t="shared" si="253"/>
        <v/>
      </c>
      <c r="FY22" s="10" t="str">
        <f t="shared" si="45"/>
        <v/>
      </c>
      <c r="FZ22" s="277" t="str">
        <f t="shared" si="254"/>
        <v/>
      </c>
      <c r="GA22" s="177" t="str">
        <f t="shared" si="226"/>
        <v/>
      </c>
      <c r="GB22" s="4" t="str">
        <f t="shared" si="227"/>
        <v/>
      </c>
      <c r="GC22" s="5" t="str">
        <f t="shared" si="228"/>
        <v/>
      </c>
      <c r="GD22" s="10" t="str">
        <f t="shared" si="229"/>
        <v/>
      </c>
      <c r="GE22" s="311" t="str">
        <f t="shared" si="230"/>
        <v/>
      </c>
      <c r="GF22" s="341" t="str">
        <f t="shared" si="255"/>
        <v/>
      </c>
      <c r="GG22" s="285" t="str">
        <f t="shared" si="46"/>
        <v/>
      </c>
      <c r="GH22" s="286" t="str">
        <f t="shared" si="47"/>
        <v/>
      </c>
      <c r="GI22" s="281" t="str">
        <f t="shared" si="48"/>
        <v/>
      </c>
      <c r="GJ22" s="167" t="str">
        <f t="shared" si="231"/>
        <v/>
      </c>
      <c r="GK22" s="174" t="str">
        <f t="shared" si="49"/>
        <v/>
      </c>
      <c r="GL22" s="174" t="str">
        <f t="shared" si="232"/>
        <v/>
      </c>
      <c r="GM22" s="177" t="str">
        <f>IF(ISNUMBER($AV22),AZ22,"")</f>
        <v/>
      </c>
      <c r="GN22" s="280" t="str">
        <f t="shared" si="233"/>
        <v/>
      </c>
      <c r="GO22" s="4" t="str">
        <f t="shared" si="234"/>
        <v/>
      </c>
      <c r="GP22" s="8" t="str">
        <f t="shared" si="257"/>
        <v/>
      </c>
      <c r="GQ22" s="177" t="str">
        <f t="shared" si="235"/>
        <v/>
      </c>
      <c r="GR22" s="371" t="str">
        <f t="shared" si="258"/>
        <v/>
      </c>
      <c r="GS22" s="342" t="str">
        <f t="shared" si="51"/>
        <v/>
      </c>
      <c r="GT22" s="343" t="str">
        <f t="shared" si="52"/>
        <v/>
      </c>
      <c r="GU22" s="344" t="str">
        <f t="shared" si="53"/>
        <v/>
      </c>
      <c r="GV22" s="343" t="str">
        <f t="shared" si="265"/>
        <v/>
      </c>
      <c r="GW22" s="345" t="str">
        <f t="shared" si="54"/>
        <v/>
      </c>
      <c r="GX22" s="346" t="str">
        <f t="shared" si="55"/>
        <v/>
      </c>
      <c r="GY22" s="344" t="str">
        <f t="shared" si="56"/>
        <v/>
      </c>
      <c r="GZ22" s="345" t="str">
        <f t="shared" si="57"/>
        <v/>
      </c>
      <c r="HA22" s="342" t="str">
        <f t="shared" si="58"/>
        <v/>
      </c>
      <c r="HB22" s="5" t="str">
        <f t="shared" si="236"/>
        <v/>
      </c>
      <c r="HC22" s="343" t="str">
        <f t="shared" si="237"/>
        <v/>
      </c>
      <c r="HD22" s="345" t="str">
        <f t="shared" si="238"/>
        <v/>
      </c>
      <c r="HE22" s="344" t="str">
        <f t="shared" si="59"/>
        <v/>
      </c>
      <c r="HF22" s="5" t="str">
        <f t="shared" si="60"/>
        <v/>
      </c>
      <c r="HG22" s="343" t="str">
        <f t="shared" si="239"/>
        <v/>
      </c>
      <c r="HH22" s="349" t="str">
        <f t="shared" si="240"/>
        <v/>
      </c>
      <c r="HI22" s="317" t="str">
        <f t="shared" si="61"/>
        <v/>
      </c>
      <c r="HJ22" s="336"/>
      <c r="HK22" s="310" t="str">
        <f t="shared" si="131"/>
        <v/>
      </c>
      <c r="HL22" s="348" t="str">
        <f t="shared" si="62"/>
        <v/>
      </c>
      <c r="HM22" s="923" t="str">
        <f t="shared" si="63"/>
        <v/>
      </c>
      <c r="HN22" s="924" t="str">
        <f t="shared" si="64"/>
        <v/>
      </c>
      <c r="HO22" s="925"/>
      <c r="HP22" s="926"/>
      <c r="HQ22" s="924" t="str">
        <f t="shared" si="65"/>
        <v/>
      </c>
      <c r="HR22" s="927" t="str">
        <f t="shared" si="66"/>
        <v/>
      </c>
      <c r="HS22" s="879" t="str">
        <f t="shared" si="261"/>
        <v/>
      </c>
      <c r="HT22" s="889" t="str">
        <f t="shared" si="67"/>
        <v/>
      </c>
      <c r="HU22" s="890" t="str">
        <f t="shared" si="68"/>
        <v/>
      </c>
      <c r="HV22" s="886" t="str">
        <f t="shared" si="69"/>
        <v/>
      </c>
      <c r="HW22" s="880" t="str">
        <f t="shared" si="70"/>
        <v/>
      </c>
      <c r="HX22" s="881" t="str">
        <f t="shared" si="71"/>
        <v/>
      </c>
      <c r="HY22" s="880" t="str">
        <f t="shared" si="72"/>
        <v/>
      </c>
      <c r="HZ22" s="882" t="str">
        <f t="shared" si="73"/>
        <v/>
      </c>
      <c r="IA22" s="883" t="str">
        <f t="shared" si="74"/>
        <v/>
      </c>
      <c r="IB22" s="884" t="str">
        <f t="shared" si="75"/>
        <v/>
      </c>
      <c r="IC22" s="855" t="str">
        <f t="shared" si="76"/>
        <v/>
      </c>
      <c r="ID22" s="351" t="str">
        <f t="shared" si="77"/>
        <v/>
      </c>
      <c r="IE22" s="857" t="str">
        <f t="shared" si="78"/>
        <v/>
      </c>
      <c r="IF22" s="858"/>
      <c r="IG22" s="790" t="str">
        <f>IFERROR(IF($IW22="","",IF($IW22&lt;(((Settings!$C$19/2)*-1)*$IG$8),"Taper","Nose")),"")</f>
        <v/>
      </c>
      <c r="IH22" s="482" t="str">
        <f>IFERROR(IF((((($IY22*COS(RADIANS(180-$JA22)))*COS(RADIANS($JA22)))-(($IZ22*SIN(RADIANS(180-$JA22)))*SIN(RADIANS($JA22))))+$IW22)&lt;(((Settings!$C$19+$IH$8)/2)*-1),"Gage",""),"")</f>
        <v/>
      </c>
      <c r="II22" s="788">
        <f t="shared" si="241"/>
        <v>3.1030000000000002</v>
      </c>
      <c r="IJ22" s="674" t="str" cm="1">
        <f t="array" ref="IJ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K22" s="677" t="str" cm="1">
        <f t="array" ref="IK22">IFERROR(ROUND(VALUE(IF($IJ22&lt;1,$IJ22+LARGE((IF($M$9:$M$150="",0,$M$9:$M$150)-MOD(IF($M$9:$M$150="",0,$M$9:$M$150),1)),1),$IJ22)),4),"")</f>
        <v/>
      </c>
      <c r="IL22" s="482">
        <f t="shared" si="79"/>
        <v>1313</v>
      </c>
      <c r="IM22" s="482" t="str">
        <f t="shared" si="242"/>
        <v/>
      </c>
      <c r="IN22" s="670" t="str">
        <f t="shared" si="81"/>
        <v/>
      </c>
      <c r="IO22" s="702">
        <v>2.09078940170986E-2</v>
      </c>
      <c r="IP22" s="5" t="str">
        <f t="shared" si="82"/>
        <v/>
      </c>
      <c r="IQ22" s="714">
        <v>310</v>
      </c>
      <c r="IR22" s="9" t="str">
        <f t="shared" si="132"/>
        <v/>
      </c>
      <c r="IS22" s="5" t="str">
        <f t="shared" si="83"/>
        <v/>
      </c>
      <c r="IT22" s="5" t="str">
        <f t="shared" si="84"/>
        <v/>
      </c>
      <c r="IU22" s="5" t="str">
        <f t="shared" si="85"/>
        <v/>
      </c>
      <c r="IV22" s="670" t="str">
        <f t="shared" si="86"/>
        <v/>
      </c>
      <c r="IW22" s="9" t="str">
        <f t="shared" si="87"/>
        <v/>
      </c>
      <c r="IX22" s="5" t="str">
        <f t="shared" si="88"/>
        <v/>
      </c>
      <c r="IY22" s="5" t="str">
        <f t="shared" si="89"/>
        <v/>
      </c>
      <c r="IZ22" s="5" t="str">
        <f t="shared" si="90"/>
        <v/>
      </c>
      <c r="JA22" s="705" t="str">
        <f t="shared" si="91"/>
        <v/>
      </c>
      <c r="JC22" s="31" t="s">
        <v>352</v>
      </c>
      <c r="JD22" s="801" t="s">
        <v>379</v>
      </c>
      <c r="JE22" s="361"/>
      <c r="JF22" s="361"/>
      <c r="JG22" s="333"/>
      <c r="JH22" s="802" t="str" cm="1">
        <f t="array" ref="JH22">IFERROR(TRANSPOSE(_xlfn._xlws.SORT(_xlfn.UNIQUE(_xlfn._xlws.FILTER($IG$9:$IG$150,$IG$9:$IG$150&lt;&gt;"")),,1)),"")</f>
        <v/>
      </c>
      <c r="JI22" s="803"/>
      <c r="JJ22" s="804" t="str" cm="1">
        <f t="array" ref="JJ22">IFERROR(TRANSPOSE(_xlfn._xlws.SORT(_xlfn.UNIQUE(_xlfn._xlws.FILTER($IG$9:$IG$150,$IG$9:$IG$150&lt;&gt;"")),,1)),"")</f>
        <v/>
      </c>
      <c r="JK22" s="803"/>
      <c r="JM22" s="489">
        <f t="shared" si="133"/>
        <v>3</v>
      </c>
      <c r="JN22" s="960">
        <f>($JO22-SMALL($JO$9:$JO$88,1))/((Settings!$C$19/2)-((Settings!$C$19/2)-LARGE($JO$9:$JO$88,1))-SMALL($JO$9:$JO$88,1))</f>
        <v>0.13806106580564215</v>
      </c>
      <c r="JO22" s="162">
        <f t="shared" si="134"/>
        <v>0.77056898891635306</v>
      </c>
      <c r="JP22" s="961">
        <f t="shared" si="135"/>
        <v>19.694523115541063</v>
      </c>
      <c r="JQ22" s="961">
        <f t="shared" si="136"/>
        <v>16.426641672972799</v>
      </c>
      <c r="JS22" s="82">
        <v>14</v>
      </c>
      <c r="JT22" s="322">
        <f t="shared" si="137"/>
        <v>2.2512438736118163</v>
      </c>
      <c r="JU22" s="963">
        <f t="shared" si="138"/>
        <v>0.57024289413971041</v>
      </c>
      <c r="JV22" s="964">
        <v>1.5</v>
      </c>
      <c r="JW22" s="961">
        <f t="shared" si="92"/>
        <v>14.955965203682515</v>
      </c>
      <c r="JX22" s="1">
        <v>3.5592999999999999</v>
      </c>
      <c r="JY22" s="965">
        <f t="shared" si="139"/>
        <v>0.47387472226718264</v>
      </c>
      <c r="JZ22" s="973">
        <v>-3</v>
      </c>
      <c r="KA22" s="410">
        <f t="shared" si="280"/>
        <v>-10.4</v>
      </c>
      <c r="KB22" s="974">
        <f t="shared" si="243"/>
        <v>14</v>
      </c>
      <c r="KC22" s="968" cm="1">
        <f t="array" ref="KC22">(((INDEX($JV$9:$JV$53,MATCH(INDEX($JU$9:$JU$53,MATCH(TRUE,INDEX($JU$9:$JU$53&gt;$JY22,0),)),$JU$9:$JU$53,0))-INDEX($JV$9:$JV$53,MATCH(INDEX($JU$9:$JU$53,MATCH(TRUE,INDEX($JU$9:$JU$53&gt;$JY22,0),)-1),$JU$9:$JU$53,0)))*(($JY22-INDEX($JU$9:$JU$53,MATCH(TRUE,INDEX($JU$9:$JU$53&gt;$JY22,0),)-1))/(INDEX($JU$9:$JU$53,MATCH(TRUE,INDEX($JU$9:$JU$53&gt;$JY22,0),))-INDEX($JU$9:$JU$53,MATCH(TRUE,INDEX($JU$9:$JU$53&gt;$JY22,0),)-1))))+INDEX($JV$9:$JV$53,MATCH(INDEX($JU$9:$JU$53,MATCH(TRUE,INDEX($JU$9:$JU$53&gt;$JY22,0),)-1),$JU$9:$JU$53,0)))</f>
        <v>3</v>
      </c>
      <c r="KD22" s="970">
        <v>-7.4</v>
      </c>
      <c r="KE22" s="968">
        <f t="shared" si="140"/>
        <v>-10.4</v>
      </c>
      <c r="KF22" s="968" cm="1">
        <f t="array" ref="KF22">(((INDEX($JW$9:$JW$53,MATCH(INDEX($JU$9:$JU$53,MATCH(TRUE,INDEX($JU$9:$JU$53&gt;$JY22,0),)),$JU$9:$JU$53,0))-INDEX($JW$9:$JW$53,MATCH(INDEX($JU$9:$JU$53,MATCH(TRUE,INDEX($JU$9:$JU$53&gt;$JY22,0),)-1),$JU$9:$JU$53,0)))*(($JY22-INDEX($JU$9:$JU$53,MATCH(TRUE,INDEX($JU$9:$JU$53&gt;$JY22,0),)-1))/(INDEX($JU$9:$JU$53,MATCH(TRUE,INDEX($JU$9:$JU$53&gt;$JY22,0),))-INDEX($JU$9:$JU$53,MATCH(TRUE,INDEX($JU$9:$JU$53&gt;$JY22,0),)-1))))+INDEX($JW$9:$JW$53,MATCH(INDEX($JU$9:$JU$53,MATCH(TRUE,INDEX($JU$9:$JU$53&gt;$JY22,0),)-1),$JU$9:$JU$53,0)))</f>
        <v>15.033788429334036</v>
      </c>
      <c r="KG22" s="966">
        <f t="shared" si="244"/>
        <v>-3.837426666666671</v>
      </c>
      <c r="KH22" s="966">
        <f t="shared" si="141"/>
        <v>3.3788429334036252E-2</v>
      </c>
      <c r="KJ22" s="31"/>
    </row>
    <row r="23" spans="1:296" ht="15" customHeight="1" thickTop="1" x14ac:dyDescent="0.25">
      <c r="A23" s="75">
        <f t="shared" si="1"/>
        <v>0.02</v>
      </c>
      <c r="B23" s="578">
        <f t="shared" ref="B23:D23" si="285">IFERROR(O178+($A23*-E23),"")</f>
        <v>1.400284790258471</v>
      </c>
      <c r="C23" s="572">
        <f t="shared" si="285"/>
        <v>-6.8230261880762477E-2</v>
      </c>
      <c r="D23" s="576">
        <f t="shared" si="285"/>
        <v>-0.21855688283958433</v>
      </c>
      <c r="E23" s="580">
        <f t="shared" ref="E23:K23" si="286">R178</f>
        <v>-2.1693495806838312E-2</v>
      </c>
      <c r="F23" s="572">
        <f t="shared" si="286"/>
        <v>0.96727220168774286</v>
      </c>
      <c r="G23" s="579">
        <f t="shared" si="286"/>
        <v>0.25281194608211288</v>
      </c>
      <c r="H23" s="580">
        <f t="shared" si="286"/>
        <v>0.26450000000000001</v>
      </c>
      <c r="I23" s="572">
        <f t="shared" si="286"/>
        <v>0.52</v>
      </c>
      <c r="J23" s="483">
        <f t="shared" si="94"/>
        <v>3.1070000000000002</v>
      </c>
      <c r="K23" s="806">
        <f t="shared" si="286"/>
        <v>1313</v>
      </c>
      <c r="M23" s="164">
        <f t="shared" si="4"/>
        <v>3.1070000000000002</v>
      </c>
      <c r="N23" s="575">
        <f t="shared" si="5"/>
        <v>1.400284790258471</v>
      </c>
      <c r="O23" s="572">
        <f t="shared" si="6"/>
        <v>-6.8230261880762477E-2</v>
      </c>
      <c r="P23" s="576">
        <f t="shared" si="7"/>
        <v>-0.21855688283958433</v>
      </c>
      <c r="Q23" s="528">
        <f t="shared" si="144"/>
        <v>357.21041275723087</v>
      </c>
      <c r="R23" s="572">
        <f t="shared" si="95"/>
        <v>1.4019460982739413</v>
      </c>
      <c r="S23" s="577">
        <f t="shared" si="96"/>
        <v>-0.21855688283958433</v>
      </c>
      <c r="T23" s="578">
        <f t="shared" si="97"/>
        <v>-2.6579268639961885E-2</v>
      </c>
      <c r="U23" s="572">
        <f t="shared" si="98"/>
        <v>-1.4016941196081592</v>
      </c>
      <c r="V23" s="579">
        <f t="shared" si="145"/>
        <v>-0.21855688283958433</v>
      </c>
      <c r="W23" s="528">
        <f t="shared" si="268"/>
        <v>268.91367352690588</v>
      </c>
      <c r="X23" s="572">
        <f t="shared" si="99"/>
        <v>1.4019460982739413</v>
      </c>
      <c r="Y23" s="573">
        <f t="shared" si="271"/>
        <v>-0.21855688283958433</v>
      </c>
      <c r="Z23" s="575">
        <f t="shared" si="10"/>
        <v>2.1693495806838312E-2</v>
      </c>
      <c r="AA23" s="572">
        <f t="shared" si="11"/>
        <v>-0.96727220168774286</v>
      </c>
      <c r="AB23" s="572">
        <f t="shared" si="12"/>
        <v>-0.25281194608211288</v>
      </c>
      <c r="AC23" s="579">
        <f t="shared" si="100"/>
        <v>1</v>
      </c>
      <c r="AD23" s="580">
        <f t="shared" si="146"/>
        <v>2.1693495806838312E-2</v>
      </c>
      <c r="AE23" s="572">
        <f t="shared" si="101"/>
        <v>-0.96727220168774286</v>
      </c>
      <c r="AF23" s="576">
        <f t="shared" si="102"/>
        <v>-0.25281194608211288</v>
      </c>
      <c r="AG23" s="545">
        <f t="shared" si="103"/>
        <v>-75.35250462470313</v>
      </c>
      <c r="AH23" s="546">
        <f t="shared" si="104"/>
        <v>88.756956736745693</v>
      </c>
      <c r="AI23" s="528">
        <f t="shared" si="105"/>
        <v>-75.356028724676136</v>
      </c>
      <c r="AJ23" s="529">
        <f t="shared" si="106"/>
        <v>1.2847856226797707</v>
      </c>
      <c r="AK23" s="578">
        <f t="shared" si="247"/>
        <v>0.96507019836848817</v>
      </c>
      <c r="AL23" s="572">
        <f t="shared" si="107"/>
        <v>6.8743233406507814E-2</v>
      </c>
      <c r="AM23" s="577">
        <f t="shared" si="108"/>
        <v>-0.25281194608211288</v>
      </c>
      <c r="AN23" s="524">
        <f t="shared" si="109"/>
        <v>15.211765182242971</v>
      </c>
      <c r="AO23" s="525">
        <f t="shared" si="110"/>
        <v>15.18825974673168</v>
      </c>
      <c r="AP23" s="528">
        <f t="shared" si="111"/>
        <v>4.0743728654489244</v>
      </c>
      <c r="AQ23" s="529">
        <f t="shared" si="13"/>
        <v>1.9505849734326948</v>
      </c>
      <c r="AR23" s="979"/>
      <c r="AS23" s="954">
        <f t="shared" si="147"/>
        <v>268.91367352690588</v>
      </c>
      <c r="AT23" s="950">
        <f t="shared" si="14"/>
        <v>-0.1442498424500952</v>
      </c>
      <c r="AU23" s="418"/>
      <c r="AV23" s="164" t="str">
        <f t="shared" si="15"/>
        <v/>
      </c>
      <c r="AW23" s="829" t="str">
        <f>IFERROR(INDEX(MassProp!C$9:C$150,MATCH($M23,MassProp!$B$9:$B$150,0)),"")</f>
        <v/>
      </c>
      <c r="AX23" s="830" t="str">
        <f>IFERROR(INDEX(MassProp!D$9:D$150,MATCH($M23,MassProp!$B$9:$B$150,0)),"")</f>
        <v/>
      </c>
      <c r="AY23" s="831" t="str">
        <f>IFERROR(INDEX(MassProp!E$9:E$150,MATCH($M23,MassProp!$B$9:$B$150,0)),"")</f>
        <v/>
      </c>
      <c r="AZ23" s="297" t="str">
        <f t="shared" si="148"/>
        <v/>
      </c>
      <c r="BA23" s="296" t="str">
        <f t="shared" si="16"/>
        <v/>
      </c>
      <c r="BB23" s="190" t="str">
        <f t="shared" si="149"/>
        <v/>
      </c>
      <c r="BC23" s="9"/>
      <c r="BD23" s="5" t="str">
        <f t="shared" si="150"/>
        <v/>
      </c>
      <c r="BE23" s="6" t="str">
        <f t="shared" si="17"/>
        <v/>
      </c>
      <c r="BF23" s="4" t="str">
        <f t="shared" si="18"/>
        <v/>
      </c>
      <c r="BG23" s="5" t="str">
        <f t="shared" si="19"/>
        <v/>
      </c>
      <c r="BH23" s="10" t="str">
        <f t="shared" si="20"/>
        <v/>
      </c>
      <c r="BI23" s="9" t="str">
        <f t="shared" si="151"/>
        <v/>
      </c>
      <c r="BJ23" s="5" t="str">
        <f t="shared" si="21"/>
        <v/>
      </c>
      <c r="BK23" s="8" t="str">
        <f t="shared" si="22"/>
        <v/>
      </c>
      <c r="BL23" s="173" t="str">
        <f t="shared" si="23"/>
        <v/>
      </c>
      <c r="BM23" s="5" t="str">
        <f t="shared" si="24"/>
        <v/>
      </c>
      <c r="BN23" s="6" t="str">
        <f t="shared" si="25"/>
        <v/>
      </c>
      <c r="BO23" s="4" t="str">
        <f t="shared" si="152"/>
        <v/>
      </c>
      <c r="BP23" s="5" t="str">
        <f t="shared" si="153"/>
        <v/>
      </c>
      <c r="BQ23" s="5" t="str">
        <f t="shared" si="154"/>
        <v/>
      </c>
      <c r="BR23" s="6" t="str">
        <f t="shared" si="155"/>
        <v/>
      </c>
      <c r="BS23" s="4" t="str">
        <f t="shared" si="112"/>
        <v/>
      </c>
      <c r="BT23" s="5" t="str">
        <f t="shared" si="112"/>
        <v/>
      </c>
      <c r="BU23" s="10" t="str">
        <f t="shared" si="113"/>
        <v/>
      </c>
      <c r="BV23" s="9" t="str">
        <f t="shared" si="114"/>
        <v/>
      </c>
      <c r="BW23" s="5" t="str">
        <f t="shared" si="115"/>
        <v/>
      </c>
      <c r="BX23" s="8" t="str">
        <f t="shared" si="116"/>
        <v/>
      </c>
      <c r="BY23" s="173" t="str">
        <f t="shared" si="117"/>
        <v/>
      </c>
      <c r="BZ23" s="5" t="str">
        <f t="shared" si="118"/>
        <v/>
      </c>
      <c r="CA23" s="6" t="str">
        <f t="shared" si="119"/>
        <v/>
      </c>
      <c r="CB23" s="4" t="str">
        <f t="shared" si="156"/>
        <v/>
      </c>
      <c r="CC23" s="5" t="str">
        <f t="shared" si="157"/>
        <v/>
      </c>
      <c r="CD23" s="5" t="str">
        <f t="shared" si="158"/>
        <v/>
      </c>
      <c r="CE23" s="6" t="str">
        <f t="shared" si="159"/>
        <v/>
      </c>
      <c r="CF23" s="4" t="str">
        <f t="shared" si="160"/>
        <v/>
      </c>
      <c r="CG23" s="5" t="str">
        <f t="shared" si="161"/>
        <v/>
      </c>
      <c r="CH23" s="5" t="str">
        <f t="shared" si="162"/>
        <v/>
      </c>
      <c r="CI23" s="4" t="str">
        <f t="shared" si="120"/>
        <v/>
      </c>
      <c r="CJ23" s="5" t="str">
        <f t="shared" si="121"/>
        <v/>
      </c>
      <c r="CK23" s="8" t="str">
        <f t="shared" si="122"/>
        <v/>
      </c>
      <c r="CL23" s="173" t="str">
        <f t="shared" si="123"/>
        <v/>
      </c>
      <c r="CM23" s="5" t="str">
        <f t="shared" si="124"/>
        <v/>
      </c>
      <c r="CN23" s="6" t="str">
        <f t="shared" si="125"/>
        <v/>
      </c>
      <c r="CO23" s="167" t="str">
        <f t="shared" si="26"/>
        <v/>
      </c>
      <c r="CP23" s="4" t="str">
        <f t="shared" si="248"/>
        <v/>
      </c>
      <c r="CQ23" s="5" t="str">
        <f t="shared" si="249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65"/>
        <v/>
      </c>
      <c r="CU23" s="6" t="str">
        <f t="shared" si="166"/>
        <v/>
      </c>
      <c r="CV23" s="4" t="str">
        <f t="shared" si="250"/>
        <v/>
      </c>
      <c r="CW23" s="5" t="str">
        <f t="shared" si="167"/>
        <v/>
      </c>
      <c r="CX23" s="8" t="str">
        <f t="shared" si="168"/>
        <v/>
      </c>
      <c r="CY23" s="9" t="str">
        <f t="shared" si="169"/>
        <v/>
      </c>
      <c r="CZ23" s="5" t="str">
        <f t="shared" si="170"/>
        <v/>
      </c>
      <c r="DA23" s="6" t="str">
        <f t="shared" si="171"/>
        <v/>
      </c>
      <c r="DB23" s="4" t="str">
        <f t="shared" si="172"/>
        <v/>
      </c>
      <c r="DC23" s="5" t="str">
        <f t="shared" si="172"/>
        <v/>
      </c>
      <c r="DD23" s="10" t="str">
        <f t="shared" si="173"/>
        <v/>
      </c>
      <c r="DE23" s="9" t="str">
        <f t="shared" si="174"/>
        <v/>
      </c>
      <c r="DF23" s="5" t="str">
        <f t="shared" si="174"/>
        <v/>
      </c>
      <c r="DG23" s="10" t="str">
        <f t="shared" si="175"/>
        <v/>
      </c>
      <c r="DH23" s="70" t="str">
        <f t="shared" si="176"/>
        <v/>
      </c>
      <c r="DI23" s="4" t="str">
        <f t="shared" si="177"/>
        <v/>
      </c>
      <c r="DJ23" s="5" t="str">
        <f t="shared" si="178"/>
        <v/>
      </c>
      <c r="DK23" s="10" t="str">
        <f t="shared" si="179"/>
        <v/>
      </c>
      <c r="DL23" s="9" t="str">
        <f t="shared" si="180"/>
        <v/>
      </c>
      <c r="DM23" s="173" t="str">
        <f t="shared" si="181"/>
        <v/>
      </c>
      <c r="DN23" s="178" t="str">
        <f t="shared" si="182"/>
        <v/>
      </c>
      <c r="DO23" s="9" t="str">
        <f t="shared" si="183"/>
        <v/>
      </c>
      <c r="DP23" s="173" t="str">
        <f t="shared" si="184"/>
        <v/>
      </c>
      <c r="DQ23" s="11" t="str">
        <f t="shared" si="185"/>
        <v/>
      </c>
      <c r="DR23" s="173" t="str">
        <f t="shared" si="186"/>
        <v/>
      </c>
      <c r="DS23" s="5" t="str">
        <f t="shared" si="187"/>
        <v/>
      </c>
      <c r="DT23" s="5" t="str">
        <f t="shared" si="188"/>
        <v/>
      </c>
      <c r="DU23" s="5" t="str">
        <f t="shared" si="189"/>
        <v/>
      </c>
      <c r="DV23" s="5" t="str">
        <f t="shared" si="190"/>
        <v/>
      </c>
      <c r="DW23" s="5" t="str">
        <f t="shared" si="191"/>
        <v/>
      </c>
      <c r="DX23" s="167" t="str">
        <f t="shared" si="192"/>
        <v/>
      </c>
      <c r="DY23" s="9" t="str">
        <f t="shared" si="193"/>
        <v/>
      </c>
      <c r="DZ23" s="5" t="str">
        <f t="shared" si="194"/>
        <v/>
      </c>
      <c r="EA23" s="10" t="str">
        <f t="shared" si="195"/>
        <v/>
      </c>
      <c r="EB23" s="6" t="str">
        <f t="shared" si="196"/>
        <v/>
      </c>
      <c r="EC23" s="173" t="str">
        <f t="shared" si="197"/>
        <v/>
      </c>
      <c r="ED23" s="5" t="str">
        <f t="shared" si="198"/>
        <v/>
      </c>
      <c r="EE23" s="4" t="str">
        <f t="shared" si="199"/>
        <v/>
      </c>
      <c r="EF23" s="5" t="str">
        <f t="shared" si="200"/>
        <v/>
      </c>
      <c r="EG23" s="10" t="str">
        <f t="shared" si="201"/>
        <v/>
      </c>
      <c r="EH23" s="9" t="str">
        <f t="shared" si="202"/>
        <v/>
      </c>
      <c r="EI23" s="5" t="str">
        <f t="shared" si="203"/>
        <v/>
      </c>
      <c r="EJ23" s="6" t="str">
        <f t="shared" si="204"/>
        <v/>
      </c>
      <c r="EK23" s="236" t="str">
        <f t="shared" si="205"/>
        <v/>
      </c>
      <c r="EL23" s="238" t="str">
        <f t="shared" si="206"/>
        <v/>
      </c>
      <c r="EM23" s="4" t="str">
        <f t="shared" si="207"/>
        <v/>
      </c>
      <c r="EN23" s="5" t="str">
        <f t="shared" si="208"/>
        <v/>
      </c>
      <c r="EO23" s="10" t="str">
        <f t="shared" si="209"/>
        <v/>
      </c>
      <c r="EP23" s="9" t="str">
        <f t="shared" si="210"/>
        <v/>
      </c>
      <c r="EQ23" s="5" t="str">
        <f t="shared" si="211"/>
        <v/>
      </c>
      <c r="ER23" s="7" t="str">
        <f t="shared" si="212"/>
        <v/>
      </c>
      <c r="ES23" s="21" t="str">
        <f t="shared" si="126"/>
        <v/>
      </c>
      <c r="ET23" s="5" t="str">
        <f t="shared" si="35"/>
        <v/>
      </c>
      <c r="EU23" s="10" t="str">
        <f t="shared" si="36"/>
        <v/>
      </c>
      <c r="EV23" s="174" t="str">
        <f t="shared" si="264"/>
        <v/>
      </c>
      <c r="EW23" s="9" t="str">
        <f t="shared" si="127"/>
        <v/>
      </c>
      <c r="EX23" s="5" t="str">
        <f t="shared" si="37"/>
        <v/>
      </c>
      <c r="EY23" s="6" t="str">
        <f t="shared" si="213"/>
        <v/>
      </c>
      <c r="EZ23" s="51" t="str">
        <f t="shared" si="214"/>
        <v/>
      </c>
      <c r="FA23" s="266" t="str">
        <f t="shared" si="128"/>
        <v/>
      </c>
      <c r="FB23" s="267" t="str">
        <f t="shared" si="129"/>
        <v/>
      </c>
      <c r="FC23" s="269" t="str">
        <f t="shared" si="38"/>
        <v/>
      </c>
      <c r="FD23" s="4" t="str">
        <f t="shared" si="130"/>
        <v/>
      </c>
      <c r="FE23" s="5" t="str">
        <f t="shared" si="39"/>
        <v/>
      </c>
      <c r="FF23" s="7" t="str">
        <f t="shared" si="215"/>
        <v/>
      </c>
      <c r="FG23" s="173" t="str">
        <f t="shared" si="216"/>
        <v/>
      </c>
      <c r="FH23" s="5" t="str">
        <f t="shared" si="40"/>
        <v/>
      </c>
      <c r="FI23" s="10" t="str">
        <f t="shared" si="41"/>
        <v/>
      </c>
      <c r="FJ23" s="279" t="str">
        <f t="shared" si="217"/>
        <v/>
      </c>
      <c r="FK23" s="4" t="str">
        <f t="shared" si="42"/>
        <v/>
      </c>
      <c r="FL23" s="5" t="str">
        <f t="shared" si="218"/>
        <v/>
      </c>
      <c r="FM23" s="8" t="str">
        <f t="shared" si="219"/>
        <v/>
      </c>
      <c r="FN23" s="9" t="str">
        <f t="shared" si="220"/>
        <v/>
      </c>
      <c r="FO23" s="10" t="str">
        <f t="shared" si="43"/>
        <v/>
      </c>
      <c r="FP23" s="277" t="str">
        <f t="shared" si="44"/>
        <v/>
      </c>
      <c r="FQ23" s="173" t="str">
        <f t="shared" si="251"/>
        <v/>
      </c>
      <c r="FR23" s="10" t="str">
        <f t="shared" si="221"/>
        <v/>
      </c>
      <c r="FS23" s="9" t="str">
        <f t="shared" si="222"/>
        <v/>
      </c>
      <c r="FT23" s="6" t="str">
        <f t="shared" si="223"/>
        <v/>
      </c>
      <c r="FU23" s="4" t="str">
        <f t="shared" si="224"/>
        <v/>
      </c>
      <c r="FV23" s="5" t="str">
        <f t="shared" si="225"/>
        <v/>
      </c>
      <c r="FW23" s="8" t="str">
        <f t="shared" si="252"/>
        <v/>
      </c>
      <c r="FX23" s="9" t="str">
        <f t="shared" si="253"/>
        <v/>
      </c>
      <c r="FY23" s="10" t="str">
        <f t="shared" si="45"/>
        <v/>
      </c>
      <c r="FZ23" s="277" t="str">
        <f t="shared" si="254"/>
        <v/>
      </c>
      <c r="GA23" s="177" t="str">
        <f t="shared" si="226"/>
        <v/>
      </c>
      <c r="GB23" s="4" t="str">
        <f t="shared" si="227"/>
        <v/>
      </c>
      <c r="GC23" s="5" t="str">
        <f t="shared" si="228"/>
        <v/>
      </c>
      <c r="GD23" s="10" t="str">
        <f t="shared" si="229"/>
        <v/>
      </c>
      <c r="GE23" s="311" t="str">
        <f t="shared" si="230"/>
        <v/>
      </c>
      <c r="GF23" s="341" t="str">
        <f t="shared" si="255"/>
        <v/>
      </c>
      <c r="GG23" s="285" t="str">
        <f t="shared" si="46"/>
        <v/>
      </c>
      <c r="GH23" s="286" t="str">
        <f t="shared" si="47"/>
        <v/>
      </c>
      <c r="GI23" s="281" t="str">
        <f t="shared" si="48"/>
        <v/>
      </c>
      <c r="GJ23" s="167" t="str">
        <f t="shared" si="231"/>
        <v/>
      </c>
      <c r="GK23" s="174" t="str">
        <f t="shared" si="49"/>
        <v/>
      </c>
      <c r="GL23" s="174" t="str">
        <f t="shared" si="232"/>
        <v/>
      </c>
      <c r="GM23" s="177" t="str">
        <f t="shared" si="256"/>
        <v/>
      </c>
      <c r="GN23" s="280" t="str">
        <f t="shared" si="233"/>
        <v/>
      </c>
      <c r="GO23" s="4" t="str">
        <f t="shared" si="234"/>
        <v/>
      </c>
      <c r="GP23" s="8" t="str">
        <f t="shared" si="257"/>
        <v/>
      </c>
      <c r="GQ23" s="177" t="str">
        <f t="shared" si="235"/>
        <v/>
      </c>
      <c r="GR23" s="371" t="str">
        <f t="shared" si="258"/>
        <v/>
      </c>
      <c r="GS23" s="342" t="str">
        <f t="shared" si="51"/>
        <v/>
      </c>
      <c r="GT23" s="343" t="str">
        <f t="shared" si="52"/>
        <v/>
      </c>
      <c r="GU23" s="344" t="str">
        <f t="shared" si="53"/>
        <v/>
      </c>
      <c r="GV23" s="343" t="str">
        <f t="shared" si="265"/>
        <v/>
      </c>
      <c r="GW23" s="345" t="str">
        <f t="shared" si="54"/>
        <v/>
      </c>
      <c r="GX23" s="346" t="str">
        <f t="shared" si="55"/>
        <v/>
      </c>
      <c r="GY23" s="344" t="str">
        <f t="shared" si="56"/>
        <v/>
      </c>
      <c r="GZ23" s="345" t="str">
        <f t="shared" si="57"/>
        <v/>
      </c>
      <c r="HA23" s="342" t="str">
        <f t="shared" si="58"/>
        <v/>
      </c>
      <c r="HB23" s="5" t="str">
        <f t="shared" si="236"/>
        <v/>
      </c>
      <c r="HC23" s="343" t="str">
        <f t="shared" si="237"/>
        <v/>
      </c>
      <c r="HD23" s="345" t="str">
        <f t="shared" si="238"/>
        <v/>
      </c>
      <c r="HE23" s="344" t="str">
        <f t="shared" si="59"/>
        <v/>
      </c>
      <c r="HF23" s="5" t="str">
        <f t="shared" si="60"/>
        <v/>
      </c>
      <c r="HG23" s="343" t="str">
        <f t="shared" si="239"/>
        <v/>
      </c>
      <c r="HH23" s="349" t="str">
        <f t="shared" si="240"/>
        <v/>
      </c>
      <c r="HI23" s="317" t="str">
        <f t="shared" si="61"/>
        <v/>
      </c>
      <c r="HJ23" s="336"/>
      <c r="HK23" s="310" t="str">
        <f t="shared" si="131"/>
        <v/>
      </c>
      <c r="HL23" s="348" t="str">
        <f t="shared" si="62"/>
        <v/>
      </c>
      <c r="HM23" s="923" t="str">
        <f t="shared" si="63"/>
        <v/>
      </c>
      <c r="HN23" s="924" t="str">
        <f t="shared" si="64"/>
        <v/>
      </c>
      <c r="HO23" s="925"/>
      <c r="HP23" s="926"/>
      <c r="HQ23" s="924" t="str">
        <f t="shared" si="65"/>
        <v/>
      </c>
      <c r="HR23" s="927" t="str">
        <f t="shared" si="66"/>
        <v/>
      </c>
      <c r="HS23" s="879" t="str">
        <f t="shared" si="261"/>
        <v/>
      </c>
      <c r="HT23" s="889" t="str">
        <f t="shared" si="67"/>
        <v/>
      </c>
      <c r="HU23" s="890" t="str">
        <f t="shared" si="68"/>
        <v/>
      </c>
      <c r="HV23" s="886" t="str">
        <f t="shared" si="69"/>
        <v/>
      </c>
      <c r="HW23" s="880" t="str">
        <f t="shared" si="70"/>
        <v/>
      </c>
      <c r="HX23" s="881" t="str">
        <f t="shared" si="71"/>
        <v/>
      </c>
      <c r="HY23" s="880" t="str">
        <f t="shared" si="72"/>
        <v/>
      </c>
      <c r="HZ23" s="882" t="str">
        <f t="shared" si="73"/>
        <v/>
      </c>
      <c r="IA23" s="883" t="str">
        <f t="shared" si="74"/>
        <v/>
      </c>
      <c r="IB23" s="884" t="str">
        <f t="shared" si="75"/>
        <v/>
      </c>
      <c r="IC23" s="855" t="str">
        <f t="shared" si="76"/>
        <v/>
      </c>
      <c r="ID23" s="351" t="str">
        <f t="shared" si="77"/>
        <v/>
      </c>
      <c r="IE23" s="857" t="str">
        <f t="shared" si="78"/>
        <v/>
      </c>
      <c r="IF23" s="858"/>
      <c r="IG23" s="790" t="str">
        <f>IFERROR(IF($IW23="","",IF($IW23&lt;(((Settings!$C$19/2)*-1)*$IG$8),"Taper","Nose")),"")</f>
        <v/>
      </c>
      <c r="IH23" s="482" t="str">
        <f>IFERROR(IF((((($IY23*COS(RADIANS(180-$JA23)))*COS(RADIANS($JA23)))-(($IZ23*SIN(RADIANS(180-$JA23)))*SIN(RADIANS($JA23))))+$IW23)&lt;(((Settings!$C$19+$IH$8)/2)*-1),"Gage",""),"")</f>
        <v/>
      </c>
      <c r="II23" s="788">
        <f t="shared" si="241"/>
        <v>3.1070000000000002</v>
      </c>
      <c r="IJ23" s="674" t="str" cm="1">
        <f t="array" ref="IJ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K23" s="677" t="str" cm="1">
        <f t="array" ref="IK23">IFERROR(ROUND(VALUE(IF($IJ23&lt;1,$IJ23+LARGE((IF($M$9:$M$150="",0,$M$9:$M$150)-MOD(IF($M$9:$M$150="",0,$M$9:$M$150),1)),1),$IJ23)),4),"")</f>
        <v/>
      </c>
      <c r="IL23" s="482">
        <f t="shared" si="79"/>
        <v>1313</v>
      </c>
      <c r="IM23" s="482" t="str">
        <f t="shared" si="242"/>
        <v/>
      </c>
      <c r="IN23" s="670" t="str">
        <f t="shared" si="81"/>
        <v/>
      </c>
      <c r="IO23" s="702">
        <v>2.0596001756787202E-2</v>
      </c>
      <c r="IP23" s="5" t="str">
        <f t="shared" si="82"/>
        <v/>
      </c>
      <c r="IQ23" s="714">
        <v>310</v>
      </c>
      <c r="IR23" s="9" t="str">
        <f t="shared" si="132"/>
        <v/>
      </c>
      <c r="IS23" s="5" t="str">
        <f t="shared" si="83"/>
        <v/>
      </c>
      <c r="IT23" s="5" t="str">
        <f t="shared" si="84"/>
        <v/>
      </c>
      <c r="IU23" s="5" t="str">
        <f t="shared" si="85"/>
        <v/>
      </c>
      <c r="IV23" s="670" t="str">
        <f t="shared" si="86"/>
        <v/>
      </c>
      <c r="IW23" s="9" t="str">
        <f t="shared" si="87"/>
        <v/>
      </c>
      <c r="IX23" s="5" t="str">
        <f t="shared" si="88"/>
        <v/>
      </c>
      <c r="IY23" s="5" t="str">
        <f t="shared" si="89"/>
        <v/>
      </c>
      <c r="IZ23" s="5" t="str">
        <f t="shared" si="90"/>
        <v/>
      </c>
      <c r="JA23" s="705" t="str">
        <f t="shared" si="91"/>
        <v/>
      </c>
      <c r="JC23" s="796" t="str" cm="1">
        <f t="array" ref="JC23">IFERROR(_xlfn._xlws.SORT(_xlfn.UNIQUE(_xlfn._xlws.FILTER($IM$9:$IM$150,$IM$9:$IM$150&lt;&gt;"")),,1),"")</f>
        <v/>
      </c>
      <c r="JD23" s="800" t="str" cm="1">
        <f t="array" ref="JD23">IF($JC23="","",COUNT(IF(IF($IK$9:$IK$150&lt;&gt;"",$IM$9:$IM$150,"")=$JC23,$II$9:$II$150,"")))</f>
        <v/>
      </c>
      <c r="JE23" s="191"/>
      <c r="JF23" s="191"/>
      <c r="JG23" s="812"/>
      <c r="JH23" s="737" t="str" cm="1">
        <f t="array" ref="JH23">IF(_xlfn.ANCHORARRAY($JC$23)="","",IF(COUNTIFS($IM$9:$IM$150,_xlfn.ANCHORARRAY($JC$23),$IG$9:$IG$150,_xlfn.ANCHORARRAY($JH$22),$IK$9:$IK$150,"&lt;&gt;"&amp;"",$IH$9:$IH$150,"&lt;&gt;"&amp;"Gage")=0,"",COUNTIFS($IM$9:$IM$150,_xlfn.ANCHORARRAY($JC$23),$IG$9:$IG$150,_xlfn.ANCHORARRAY($JH$22),$IK$9:$IK$150,"&lt;&gt;"&amp;"",$IH$9:$IH$150,"&lt;&gt;"&amp;"Gage")))</f>
        <v/>
      </c>
      <c r="JI23" s="742"/>
      <c r="JJ23" s="741" t="str" cm="1">
        <f t="array" ref="JJ23">IF(_xlfn.ANCHORARRAY($JH$23)="","",_xlfn.MINIFS($IQ$9:$IQ$150,$IM$9:$IM$150,_xlfn.ANCHORARRAY($JC$23),$IG$9:$IG$150,_xlfn.ANCHORARRAY($JJ$22),$IK$9:$IK$150,"&lt;&gt;"&amp;"",$IH$9:$IH$150,"&lt;&gt;"&amp;"Gage"))</f>
        <v/>
      </c>
      <c r="JK23" s="742"/>
      <c r="JM23" s="489">
        <f t="shared" si="133"/>
        <v>7</v>
      </c>
      <c r="JN23" s="960">
        <f>($JO23-SMALL($JO$9:$JO$88,1))/((Settings!$C$19/2)-((Settings!$C$19/2)-LARGE($JO$9:$JO$88,1))-SMALL($JO$9:$JO$88,1))</f>
        <v>0.32234845820411839</v>
      </c>
      <c r="JO23" s="162">
        <f t="shared" si="134"/>
        <v>1.4019460982739413</v>
      </c>
      <c r="JP23" s="961">
        <f t="shared" si="135"/>
        <v>15.211765182242971</v>
      </c>
      <c r="JQ23" s="961">
        <f t="shared" si="136"/>
        <v>15.18825974673168</v>
      </c>
      <c r="JS23" s="82">
        <v>15</v>
      </c>
      <c r="JT23" s="322">
        <f t="shared" si="137"/>
        <v>2.3365053410463519</v>
      </c>
      <c r="JU23" s="963">
        <f t="shared" si="138"/>
        <v>0.59512915192876037</v>
      </c>
      <c r="JV23" s="961">
        <f t="shared" ref="JV23:JV53" si="287">INDEX($JM$9:$JQ$88,MATCH($JS23,$JM$9:$JM$88,0),4)</f>
        <v>-6.9285724353836047</v>
      </c>
      <c r="JW23" s="961">
        <f t="shared" si="92"/>
        <v>14.935644485399896</v>
      </c>
      <c r="JX23" s="1">
        <v>3.8047</v>
      </c>
      <c r="JY23" s="965">
        <f t="shared" si="139"/>
        <v>0.50998366710319154</v>
      </c>
      <c r="JZ23" s="973">
        <v>1.3984999999999985</v>
      </c>
      <c r="KA23" s="410">
        <f t="shared" si="280"/>
        <v>-9.8135333333333339</v>
      </c>
      <c r="KB23" s="977">
        <f t="shared" si="243"/>
        <v>15</v>
      </c>
      <c r="KC23" s="968" cm="1">
        <f t="array" ref="KC23">(((INDEX($JV$9:$JV$53,MATCH(INDEX($JU$9:$JU$53,MATCH(TRUE,INDEX($JU$9:$JU$53&gt;$JY23,0),)),$JU$9:$JU$53,0))-INDEX($JV$9:$JV$53,MATCH(INDEX($JU$9:$JU$53,MATCH(TRUE,INDEX($JU$9:$JU$53&gt;$JY23,0),)-1),$JU$9:$JU$53,0)))*(($JY23-INDEX($JU$9:$JU$53,MATCH(TRUE,INDEX($JU$9:$JU$53&gt;$JY23,0),)-1))/(INDEX($JU$9:$JU$53,MATCH(TRUE,INDEX($JU$9:$JU$53&gt;$JY23,0),))-INDEX($JU$9:$JU$53,MATCH(TRUE,INDEX($JU$9:$JU$53&gt;$JY23,0),)-1))))+INDEX($JV$9:$JV$53,MATCH(INDEX($JU$9:$JU$53,MATCH(TRUE,INDEX($JU$9:$JU$53&gt;$JY23,0),)-1),$JU$9:$JU$53,0)))</f>
        <v>3</v>
      </c>
      <c r="KD23" s="970">
        <v>-11.212033333333332</v>
      </c>
      <c r="KE23" s="968">
        <f t="shared" si="140"/>
        <v>-14.212033333333332</v>
      </c>
      <c r="KF23" s="968" cm="1">
        <f t="array" ref="KF23">(((INDEX($JW$9:$JW$53,MATCH(INDEX($JU$9:$JU$53,MATCH(TRUE,INDEX($JU$9:$JU$53&gt;$JY23,0),)),$JU$9:$JU$53,0))-INDEX($JW$9:$JW$53,MATCH(INDEX($JU$9:$JU$53,MATCH(TRUE,INDEX($JU$9:$JU$53&gt;$JY23,0),)-1),$JU$9:$JU$53,0)))*(($JY23-INDEX($JU$9:$JU$53,MATCH(TRUE,INDEX($JU$9:$JU$53&gt;$JY23,0),)-1))/(INDEX($JU$9:$JU$53,MATCH(TRUE,INDEX($JU$9:$JU$53&gt;$JY23,0),))-INDEX($JU$9:$JU$53,MATCH(TRUE,INDEX($JU$9:$JU$53&gt;$JY23,0),)-1))))+INDEX($JW$9:$JW$53,MATCH(INDEX($JU$9:$JU$53,MATCH(TRUE,INDEX($JU$9:$JU$53&gt;$JY23,0),)-1),$JU$9:$JU$53,0)))</f>
        <v>15.003763532306285</v>
      </c>
      <c r="KG23" s="966">
        <f t="shared" si="244"/>
        <v>-3.8120333333333321</v>
      </c>
      <c r="KH23" s="966">
        <f t="shared" si="141"/>
        <v>-3.0024897027750796E-2</v>
      </c>
      <c r="KJ23" s="31"/>
    </row>
    <row r="24" spans="1:296" ht="15" customHeight="1" x14ac:dyDescent="0.25">
      <c r="A24" s="75">
        <f t="shared" si="1"/>
        <v>0.02</v>
      </c>
      <c r="B24" s="578">
        <f t="shared" ref="B24:D24" si="288">IFERROR(O179+($A24*-E24),"")</f>
        <v>2.0495760546373623</v>
      </c>
      <c r="C24" s="572">
        <f t="shared" si="288"/>
        <v>-0.10023919659042785</v>
      </c>
      <c r="D24" s="576">
        <f t="shared" si="288"/>
        <v>-6.7076075480812111E-2</v>
      </c>
      <c r="E24" s="580">
        <f t="shared" ref="E24:K24" si="289">R179</f>
        <v>4.1662956224246421E-2</v>
      </c>
      <c r="F24" s="572">
        <f t="shared" si="289"/>
        <v>0.96503348966056302</v>
      </c>
      <c r="G24" s="579">
        <f t="shared" si="289"/>
        <v>0.25879443949245273</v>
      </c>
      <c r="H24" s="580">
        <f t="shared" si="289"/>
        <v>0.26450000000000001</v>
      </c>
      <c r="I24" s="572">
        <f t="shared" si="289"/>
        <v>0.52</v>
      </c>
      <c r="J24" s="483">
        <f t="shared" si="94"/>
        <v>3.1120000000000001</v>
      </c>
      <c r="K24" s="806">
        <f t="shared" si="289"/>
        <v>1313</v>
      </c>
      <c r="L24" s="82"/>
      <c r="M24" s="164">
        <f t="shared" si="4"/>
        <v>3.1120000000000001</v>
      </c>
      <c r="N24" s="575">
        <f t="shared" si="5"/>
        <v>2.0495760546373623</v>
      </c>
      <c r="O24" s="572">
        <f t="shared" si="6"/>
        <v>-0.10023919659042785</v>
      </c>
      <c r="P24" s="576">
        <f t="shared" si="7"/>
        <v>-6.7076075480812111E-2</v>
      </c>
      <c r="Q24" s="528">
        <f t="shared" si="144"/>
        <v>357.20005008266492</v>
      </c>
      <c r="R24" s="572">
        <f t="shared" si="95"/>
        <v>2.0520258039985633</v>
      </c>
      <c r="S24" s="577">
        <f t="shared" si="96"/>
        <v>-6.7076075480812111E-2</v>
      </c>
      <c r="T24" s="578">
        <f t="shared" si="97"/>
        <v>-3.9275092087398662E-2</v>
      </c>
      <c r="U24" s="572">
        <f t="shared" si="98"/>
        <v>-2.0516499134641553</v>
      </c>
      <c r="V24" s="579">
        <f t="shared" si="145"/>
        <v>-6.7076075480812111E-2</v>
      </c>
      <c r="W24" s="528">
        <f t="shared" si="268"/>
        <v>268.90331085233993</v>
      </c>
      <c r="X24" s="572">
        <f t="shared" si="99"/>
        <v>2.0520258039985633</v>
      </c>
      <c r="Y24" s="573">
        <f t="shared" si="271"/>
        <v>-6.7076075480812111E-2</v>
      </c>
      <c r="Z24" s="575">
        <f t="shared" si="10"/>
        <v>-4.1662956224246421E-2</v>
      </c>
      <c r="AA24" s="572">
        <f t="shared" si="11"/>
        <v>-0.96503348966056302</v>
      </c>
      <c r="AB24" s="572">
        <f t="shared" si="12"/>
        <v>-0.25879443949245273</v>
      </c>
      <c r="AC24" s="579">
        <f t="shared" si="100"/>
        <v>1</v>
      </c>
      <c r="AD24" s="580">
        <f t="shared" si="146"/>
        <v>-4.1662956224246421E-2</v>
      </c>
      <c r="AE24" s="572">
        <f t="shared" si="101"/>
        <v>-0.96503348966056302</v>
      </c>
      <c r="AF24" s="576">
        <f t="shared" si="102"/>
        <v>-0.25879443949245273</v>
      </c>
      <c r="AG24" s="545">
        <f t="shared" si="103"/>
        <v>-74.988118770545626</v>
      </c>
      <c r="AH24" s="546">
        <f t="shared" si="104"/>
        <v>92.38780268581155</v>
      </c>
      <c r="AI24" s="528">
        <f t="shared" si="105"/>
        <v>-75.001459524903126</v>
      </c>
      <c r="AJ24" s="529">
        <f t="shared" si="106"/>
        <v>-2.472069775647161</v>
      </c>
      <c r="AK24" s="578">
        <f>IF(M24="","",(COS(RADIANS((90-$Q$8)-W24))*AD24)+(-SIN(RADIANS((90-$Q$8)-W24))*AE24))</f>
        <v>0.96591660286563863</v>
      </c>
      <c r="AL24" s="572">
        <f t="shared" si="107"/>
        <v>5.5276031235619236E-3</v>
      </c>
      <c r="AM24" s="577">
        <f t="shared" si="108"/>
        <v>-0.25879443949245273</v>
      </c>
      <c r="AN24" s="524">
        <f t="shared" si="109"/>
        <v>1.2235973148251231</v>
      </c>
      <c r="AO24" s="525">
        <f t="shared" si="110"/>
        <v>15.00204168938809</v>
      </c>
      <c r="AP24" s="528">
        <f t="shared" si="111"/>
        <v>0.32788014168792756</v>
      </c>
      <c r="AQ24" s="529">
        <f t="shared" si="13"/>
        <v>1.3329161928618636</v>
      </c>
      <c r="AR24" s="979"/>
      <c r="AS24" s="954">
        <f t="shared" si="147"/>
        <v>268.90331085233993</v>
      </c>
      <c r="AT24" s="950">
        <f t="shared" si="14"/>
        <v>7.2396004708153022E-3</v>
      </c>
      <c r="AU24" s="418"/>
      <c r="AV24" s="164" t="str">
        <f t="shared" si="15"/>
        <v/>
      </c>
      <c r="AW24" s="829" t="str">
        <f>IFERROR(INDEX(MassProp!C$9:C$150,MATCH($M24,MassProp!$B$9:$B$150,0)),"")</f>
        <v/>
      </c>
      <c r="AX24" s="830" t="str">
        <f>IFERROR(INDEX(MassProp!D$9:D$150,MATCH($M24,MassProp!$B$9:$B$150,0)),"")</f>
        <v/>
      </c>
      <c r="AY24" s="831" t="str">
        <f>IFERROR(INDEX(MassProp!E$9:E$150,MATCH($M24,MassProp!$B$9:$B$150,0)),"")</f>
        <v/>
      </c>
      <c r="AZ24" s="297" t="str">
        <f t="shared" si="148"/>
        <v/>
      </c>
      <c r="BA24" s="296" t="str">
        <f t="shared" si="16"/>
        <v/>
      </c>
      <c r="BB24" s="190" t="str">
        <f t="shared" si="149"/>
        <v/>
      </c>
      <c r="BC24" s="9"/>
      <c r="BD24" s="5" t="str">
        <f t="shared" si="150"/>
        <v/>
      </c>
      <c r="BE24" s="6" t="str">
        <f t="shared" si="17"/>
        <v/>
      </c>
      <c r="BF24" s="4" t="str">
        <f t="shared" si="18"/>
        <v/>
      </c>
      <c r="BG24" s="5" t="str">
        <f t="shared" si="19"/>
        <v/>
      </c>
      <c r="BH24" s="10" t="str">
        <f t="shared" si="20"/>
        <v/>
      </c>
      <c r="BI24" s="9" t="str">
        <f t="shared" si="151"/>
        <v/>
      </c>
      <c r="BJ24" s="5" t="str">
        <f t="shared" si="21"/>
        <v/>
      </c>
      <c r="BK24" s="8" t="str">
        <f t="shared" si="22"/>
        <v/>
      </c>
      <c r="BL24" s="173" t="str">
        <f t="shared" si="23"/>
        <v/>
      </c>
      <c r="BM24" s="5" t="str">
        <f t="shared" si="24"/>
        <v/>
      </c>
      <c r="BN24" s="6" t="str">
        <f t="shared" si="25"/>
        <v/>
      </c>
      <c r="BO24" s="4" t="str">
        <f t="shared" si="152"/>
        <v/>
      </c>
      <c r="BP24" s="5" t="str">
        <f t="shared" si="153"/>
        <v/>
      </c>
      <c r="BQ24" s="5" t="str">
        <f t="shared" si="154"/>
        <v/>
      </c>
      <c r="BR24" s="6" t="str">
        <f t="shared" si="155"/>
        <v/>
      </c>
      <c r="BS24" s="4" t="str">
        <f t="shared" si="112"/>
        <v/>
      </c>
      <c r="BT24" s="5" t="str">
        <f t="shared" si="112"/>
        <v/>
      </c>
      <c r="BU24" s="10" t="str">
        <f t="shared" si="113"/>
        <v/>
      </c>
      <c r="BV24" s="9" t="str">
        <f t="shared" si="114"/>
        <v/>
      </c>
      <c r="BW24" s="5" t="str">
        <f t="shared" si="115"/>
        <v/>
      </c>
      <c r="BX24" s="8" t="str">
        <f t="shared" si="116"/>
        <v/>
      </c>
      <c r="BY24" s="173" t="str">
        <f t="shared" si="117"/>
        <v/>
      </c>
      <c r="BZ24" s="5" t="str">
        <f t="shared" si="118"/>
        <v/>
      </c>
      <c r="CA24" s="6" t="str">
        <f t="shared" si="119"/>
        <v/>
      </c>
      <c r="CB24" s="4" t="str">
        <f t="shared" si="156"/>
        <v/>
      </c>
      <c r="CC24" s="5" t="str">
        <f t="shared" si="157"/>
        <v/>
      </c>
      <c r="CD24" s="5" t="str">
        <f t="shared" si="158"/>
        <v/>
      </c>
      <c r="CE24" s="6" t="str">
        <f t="shared" si="159"/>
        <v/>
      </c>
      <c r="CF24" s="4" t="str">
        <f t="shared" si="160"/>
        <v/>
      </c>
      <c r="CG24" s="5" t="str">
        <f t="shared" si="161"/>
        <v/>
      </c>
      <c r="CH24" s="5" t="str">
        <f t="shared" si="162"/>
        <v/>
      </c>
      <c r="CI24" s="4" t="str">
        <f t="shared" si="120"/>
        <v/>
      </c>
      <c r="CJ24" s="5" t="str">
        <f t="shared" si="121"/>
        <v/>
      </c>
      <c r="CK24" s="8" t="str">
        <f t="shared" si="122"/>
        <v/>
      </c>
      <c r="CL24" s="173" t="str">
        <f t="shared" si="123"/>
        <v/>
      </c>
      <c r="CM24" s="5" t="str">
        <f t="shared" si="124"/>
        <v/>
      </c>
      <c r="CN24" s="6" t="str">
        <f t="shared" si="125"/>
        <v/>
      </c>
      <c r="CO24" s="167" t="str">
        <f t="shared" si="26"/>
        <v/>
      </c>
      <c r="CP24" s="4" t="str">
        <f t="shared" si="248"/>
        <v/>
      </c>
      <c r="CQ24" s="5" t="str">
        <f t="shared" si="249"/>
        <v/>
      </c>
      <c r="CR24" s="5" t="str">
        <f t="shared" si="163"/>
        <v/>
      </c>
      <c r="CS24" s="8" t="str">
        <f t="shared" si="164"/>
        <v/>
      </c>
      <c r="CT24" s="9" t="str">
        <f t="shared" si="165"/>
        <v/>
      </c>
      <c r="CU24" s="6" t="str">
        <f t="shared" si="166"/>
        <v/>
      </c>
      <c r="CV24" s="4" t="str">
        <f t="shared" si="250"/>
        <v/>
      </c>
      <c r="CW24" s="5" t="str">
        <f t="shared" si="167"/>
        <v/>
      </c>
      <c r="CX24" s="8" t="str">
        <f t="shared" si="168"/>
        <v/>
      </c>
      <c r="CY24" s="9" t="str">
        <f t="shared" si="169"/>
        <v/>
      </c>
      <c r="CZ24" s="5" t="str">
        <f t="shared" si="170"/>
        <v/>
      </c>
      <c r="DA24" s="6" t="str">
        <f t="shared" si="171"/>
        <v/>
      </c>
      <c r="DB24" s="4" t="str">
        <f t="shared" si="172"/>
        <v/>
      </c>
      <c r="DC24" s="5" t="str">
        <f t="shared" si="172"/>
        <v/>
      </c>
      <c r="DD24" s="10" t="str">
        <f t="shared" si="173"/>
        <v/>
      </c>
      <c r="DE24" s="9" t="str">
        <f t="shared" si="174"/>
        <v/>
      </c>
      <c r="DF24" s="5" t="str">
        <f t="shared" si="174"/>
        <v/>
      </c>
      <c r="DG24" s="10" t="str">
        <f t="shared" si="175"/>
        <v/>
      </c>
      <c r="DH24" s="70" t="str">
        <f t="shared" si="176"/>
        <v/>
      </c>
      <c r="DI24" s="4" t="str">
        <f t="shared" si="177"/>
        <v/>
      </c>
      <c r="DJ24" s="5" t="str">
        <f t="shared" si="178"/>
        <v/>
      </c>
      <c r="DK24" s="10" t="str">
        <f t="shared" si="179"/>
        <v/>
      </c>
      <c r="DL24" s="9" t="str">
        <f t="shared" si="180"/>
        <v/>
      </c>
      <c r="DM24" s="173" t="str">
        <f t="shared" si="181"/>
        <v/>
      </c>
      <c r="DN24" s="178" t="str">
        <f t="shared" si="182"/>
        <v/>
      </c>
      <c r="DO24" s="9" t="str">
        <f t="shared" si="183"/>
        <v/>
      </c>
      <c r="DP24" s="173" t="str">
        <f t="shared" si="184"/>
        <v/>
      </c>
      <c r="DQ24" s="11" t="str">
        <f t="shared" si="185"/>
        <v/>
      </c>
      <c r="DR24" s="173" t="str">
        <f t="shared" si="186"/>
        <v/>
      </c>
      <c r="DS24" s="5" t="str">
        <f t="shared" si="187"/>
        <v/>
      </c>
      <c r="DT24" s="5" t="str">
        <f t="shared" si="188"/>
        <v/>
      </c>
      <c r="DU24" s="5" t="str">
        <f t="shared" si="189"/>
        <v/>
      </c>
      <c r="DV24" s="5" t="str">
        <f t="shared" si="190"/>
        <v/>
      </c>
      <c r="DW24" s="5" t="str">
        <f t="shared" si="191"/>
        <v/>
      </c>
      <c r="DX24" s="167" t="str">
        <f t="shared" si="192"/>
        <v/>
      </c>
      <c r="DY24" s="9" t="str">
        <f t="shared" si="193"/>
        <v/>
      </c>
      <c r="DZ24" s="5" t="str">
        <f t="shared" si="194"/>
        <v/>
      </c>
      <c r="EA24" s="10" t="str">
        <f t="shared" si="195"/>
        <v/>
      </c>
      <c r="EB24" s="6" t="str">
        <f t="shared" si="196"/>
        <v/>
      </c>
      <c r="EC24" s="173" t="str">
        <f t="shared" si="197"/>
        <v/>
      </c>
      <c r="ED24" s="5" t="str">
        <f t="shared" si="198"/>
        <v/>
      </c>
      <c r="EE24" s="4" t="str">
        <f t="shared" si="199"/>
        <v/>
      </c>
      <c r="EF24" s="5" t="str">
        <f t="shared" si="200"/>
        <v/>
      </c>
      <c r="EG24" s="10" t="str">
        <f t="shared" si="201"/>
        <v/>
      </c>
      <c r="EH24" s="9" t="str">
        <f t="shared" si="202"/>
        <v/>
      </c>
      <c r="EI24" s="5" t="str">
        <f t="shared" si="203"/>
        <v/>
      </c>
      <c r="EJ24" s="6" t="str">
        <f t="shared" si="204"/>
        <v/>
      </c>
      <c r="EK24" s="236" t="str">
        <f t="shared" si="205"/>
        <v/>
      </c>
      <c r="EL24" s="238" t="str">
        <f t="shared" si="206"/>
        <v/>
      </c>
      <c r="EM24" s="4" t="str">
        <f t="shared" si="207"/>
        <v/>
      </c>
      <c r="EN24" s="5" t="str">
        <f t="shared" si="208"/>
        <v/>
      </c>
      <c r="EO24" s="10" t="str">
        <f t="shared" si="209"/>
        <v/>
      </c>
      <c r="EP24" s="9" t="str">
        <f t="shared" si="210"/>
        <v/>
      </c>
      <c r="EQ24" s="5" t="str">
        <f t="shared" si="211"/>
        <v/>
      </c>
      <c r="ER24" s="7" t="str">
        <f t="shared" si="212"/>
        <v/>
      </c>
      <c r="ES24" s="21" t="str">
        <f t="shared" si="126"/>
        <v/>
      </c>
      <c r="ET24" s="5" t="str">
        <f t="shared" si="35"/>
        <v/>
      </c>
      <c r="EU24" s="10" t="str">
        <f t="shared" si="36"/>
        <v/>
      </c>
      <c r="EV24" s="174" t="str">
        <f t="shared" si="264"/>
        <v/>
      </c>
      <c r="EW24" s="9" t="str">
        <f t="shared" si="127"/>
        <v/>
      </c>
      <c r="EX24" s="5" t="str">
        <f t="shared" si="37"/>
        <v/>
      </c>
      <c r="EY24" s="6" t="str">
        <f t="shared" si="213"/>
        <v/>
      </c>
      <c r="EZ24" s="51" t="str">
        <f t="shared" si="214"/>
        <v/>
      </c>
      <c r="FA24" s="266" t="str">
        <f t="shared" si="128"/>
        <v/>
      </c>
      <c r="FB24" s="267" t="str">
        <f t="shared" si="129"/>
        <v/>
      </c>
      <c r="FC24" s="269" t="str">
        <f t="shared" si="38"/>
        <v/>
      </c>
      <c r="FD24" s="4" t="str">
        <f t="shared" si="130"/>
        <v/>
      </c>
      <c r="FE24" s="5" t="str">
        <f t="shared" si="39"/>
        <v/>
      </c>
      <c r="FF24" s="7" t="str">
        <f t="shared" si="215"/>
        <v/>
      </c>
      <c r="FG24" s="173" t="str">
        <f t="shared" si="216"/>
        <v/>
      </c>
      <c r="FH24" s="5" t="str">
        <f t="shared" si="40"/>
        <v/>
      </c>
      <c r="FI24" s="10" t="str">
        <f t="shared" si="41"/>
        <v/>
      </c>
      <c r="FJ24" s="279" t="str">
        <f t="shared" si="217"/>
        <v/>
      </c>
      <c r="FK24" s="4" t="str">
        <f t="shared" si="42"/>
        <v/>
      </c>
      <c r="FL24" s="5" t="str">
        <f t="shared" si="218"/>
        <v/>
      </c>
      <c r="FM24" s="8" t="str">
        <f t="shared" si="219"/>
        <v/>
      </c>
      <c r="FN24" s="9" t="str">
        <f t="shared" si="220"/>
        <v/>
      </c>
      <c r="FO24" s="10" t="str">
        <f t="shared" si="43"/>
        <v/>
      </c>
      <c r="FP24" s="277" t="str">
        <f t="shared" si="44"/>
        <v/>
      </c>
      <c r="FQ24" s="173" t="str">
        <f t="shared" si="251"/>
        <v/>
      </c>
      <c r="FR24" s="10" t="str">
        <f t="shared" si="221"/>
        <v/>
      </c>
      <c r="FS24" s="9" t="str">
        <f t="shared" si="222"/>
        <v/>
      </c>
      <c r="FT24" s="6" t="str">
        <f t="shared" si="223"/>
        <v/>
      </c>
      <c r="FU24" s="4" t="str">
        <f t="shared" si="224"/>
        <v/>
      </c>
      <c r="FV24" s="5" t="str">
        <f t="shared" si="225"/>
        <v/>
      </c>
      <c r="FW24" s="8" t="str">
        <f t="shared" si="252"/>
        <v/>
      </c>
      <c r="FX24" s="9" t="str">
        <f t="shared" si="253"/>
        <v/>
      </c>
      <c r="FY24" s="10" t="str">
        <f t="shared" si="45"/>
        <v/>
      </c>
      <c r="FZ24" s="277" t="str">
        <f t="shared" si="254"/>
        <v/>
      </c>
      <c r="GA24" s="177" t="str">
        <f t="shared" si="226"/>
        <v/>
      </c>
      <c r="GB24" s="4" t="str">
        <f t="shared" si="227"/>
        <v/>
      </c>
      <c r="GC24" s="5" t="str">
        <f t="shared" si="228"/>
        <v/>
      </c>
      <c r="GD24" s="10" t="str">
        <f t="shared" si="229"/>
        <v/>
      </c>
      <c r="GE24" s="311" t="str">
        <f t="shared" si="230"/>
        <v/>
      </c>
      <c r="GF24" s="341" t="str">
        <f t="shared" si="255"/>
        <v/>
      </c>
      <c r="GG24" s="285" t="str">
        <f t="shared" si="46"/>
        <v/>
      </c>
      <c r="GH24" s="286" t="str">
        <f t="shared" si="47"/>
        <v/>
      </c>
      <c r="GI24" s="281" t="str">
        <f t="shared" si="48"/>
        <v/>
      </c>
      <c r="GJ24" s="167" t="str">
        <f t="shared" si="231"/>
        <v/>
      </c>
      <c r="GK24" s="174" t="str">
        <f t="shared" si="49"/>
        <v/>
      </c>
      <c r="GL24" s="174" t="str">
        <f t="shared" si="232"/>
        <v/>
      </c>
      <c r="GM24" s="177" t="str">
        <f t="shared" si="256"/>
        <v/>
      </c>
      <c r="GN24" s="280" t="str">
        <f t="shared" si="233"/>
        <v/>
      </c>
      <c r="GO24" s="4" t="str">
        <f t="shared" si="234"/>
        <v/>
      </c>
      <c r="GP24" s="8" t="str">
        <f t="shared" si="257"/>
        <v/>
      </c>
      <c r="GQ24" s="177" t="str">
        <f t="shared" si="235"/>
        <v/>
      </c>
      <c r="GR24" s="371" t="str">
        <f t="shared" si="258"/>
        <v/>
      </c>
      <c r="GS24" s="342" t="str">
        <f t="shared" si="51"/>
        <v/>
      </c>
      <c r="GT24" s="343" t="str">
        <f t="shared" si="52"/>
        <v/>
      </c>
      <c r="GU24" s="344" t="str">
        <f t="shared" si="53"/>
        <v/>
      </c>
      <c r="GV24" s="343" t="str">
        <f t="shared" si="265"/>
        <v/>
      </c>
      <c r="GW24" s="345" t="str">
        <f t="shared" si="54"/>
        <v/>
      </c>
      <c r="GX24" s="346" t="str">
        <f t="shared" si="55"/>
        <v/>
      </c>
      <c r="GY24" s="344" t="str">
        <f t="shared" si="56"/>
        <v/>
      </c>
      <c r="GZ24" s="345" t="str">
        <f t="shared" si="57"/>
        <v/>
      </c>
      <c r="HA24" s="342" t="str">
        <f t="shared" si="58"/>
        <v/>
      </c>
      <c r="HB24" s="5" t="str">
        <f t="shared" si="236"/>
        <v/>
      </c>
      <c r="HC24" s="343" t="str">
        <f t="shared" si="237"/>
        <v/>
      </c>
      <c r="HD24" s="363" t="str">
        <f t="shared" si="238"/>
        <v/>
      </c>
      <c r="HE24" s="344" t="str">
        <f t="shared" si="59"/>
        <v/>
      </c>
      <c r="HF24" s="5" t="str">
        <f t="shared" si="60"/>
        <v/>
      </c>
      <c r="HG24" s="343" t="str">
        <f t="shared" si="239"/>
        <v/>
      </c>
      <c r="HH24" s="349" t="str">
        <f t="shared" si="240"/>
        <v/>
      </c>
      <c r="HI24" s="317" t="str">
        <f t="shared" si="61"/>
        <v/>
      </c>
      <c r="HJ24" s="336"/>
      <c r="HK24" s="310" t="str">
        <f t="shared" si="131"/>
        <v/>
      </c>
      <c r="HL24" s="348" t="str">
        <f t="shared" si="62"/>
        <v/>
      </c>
      <c r="HM24" s="923" t="str">
        <f t="shared" si="63"/>
        <v/>
      </c>
      <c r="HN24" s="924" t="str">
        <f t="shared" si="64"/>
        <v/>
      </c>
      <c r="HO24" s="925"/>
      <c r="HP24" s="926"/>
      <c r="HQ24" s="924" t="str">
        <f t="shared" si="65"/>
        <v/>
      </c>
      <c r="HR24" s="927" t="str">
        <f t="shared" si="66"/>
        <v/>
      </c>
      <c r="HS24" s="879" t="str">
        <f t="shared" si="261"/>
        <v/>
      </c>
      <c r="HT24" s="889" t="str">
        <f t="shared" si="67"/>
        <v/>
      </c>
      <c r="HU24" s="890" t="str">
        <f t="shared" si="68"/>
        <v/>
      </c>
      <c r="HV24" s="886" t="str">
        <f t="shared" si="69"/>
        <v/>
      </c>
      <c r="HW24" s="880" t="str">
        <f t="shared" si="70"/>
        <v/>
      </c>
      <c r="HX24" s="881" t="str">
        <f t="shared" si="71"/>
        <v/>
      </c>
      <c r="HY24" s="880" t="str">
        <f t="shared" si="72"/>
        <v/>
      </c>
      <c r="HZ24" s="882" t="str">
        <f t="shared" si="73"/>
        <v/>
      </c>
      <c r="IA24" s="883" t="str">
        <f t="shared" si="74"/>
        <v/>
      </c>
      <c r="IB24" s="884" t="str">
        <f t="shared" si="75"/>
        <v/>
      </c>
      <c r="IC24" s="855" t="str">
        <f t="shared" si="76"/>
        <v/>
      </c>
      <c r="ID24" s="351" t="str">
        <f t="shared" si="77"/>
        <v/>
      </c>
      <c r="IE24" s="857" t="str">
        <f t="shared" si="78"/>
        <v/>
      </c>
      <c r="IF24" s="858"/>
      <c r="IG24" s="790" t="str">
        <f>IFERROR(IF($IW24="","",IF($IW24&lt;(((Settings!$C$19/2)*-1)*$IG$8),"Taper","Nose")),"")</f>
        <v/>
      </c>
      <c r="IH24" s="482" t="str">
        <f>IFERROR(IF((((($IY24*COS(RADIANS(180-$JA24)))*COS(RADIANS($JA24)))-(($IZ24*SIN(RADIANS(180-$JA24)))*SIN(RADIANS($JA24))))+$IW24)&lt;(((Settings!$C$19+$IH$8)/2)*-1),"Gage",""),"")</f>
        <v/>
      </c>
      <c r="II24" s="788">
        <f t="shared" si="241"/>
        <v>3.1120000000000001</v>
      </c>
      <c r="IJ24" s="674" t="str" cm="1">
        <f t="array" ref="IJ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K24" s="677" t="str" cm="1">
        <f t="array" ref="IK24">IFERROR(ROUND(VALUE(IF($IJ24&lt;1,$IJ24+LARGE((IF($M$9:$M$150="",0,$M$9:$M$150)-MOD(IF($M$9:$M$150="",0,$M$9:$M$150),1)),1),$IJ24)),4),"")</f>
        <v/>
      </c>
      <c r="IL24" s="482">
        <f t="shared" si="79"/>
        <v>1313</v>
      </c>
      <c r="IM24" s="482" t="str">
        <f t="shared" si="242"/>
        <v/>
      </c>
      <c r="IN24" s="670" t="str">
        <f t="shared" si="81"/>
        <v/>
      </c>
      <c r="IO24" s="702"/>
      <c r="IP24" s="5" t="str">
        <f t="shared" si="82"/>
        <v/>
      </c>
      <c r="IQ24" s="714"/>
      <c r="IR24" s="9" t="str">
        <f t="shared" si="132"/>
        <v/>
      </c>
      <c r="IS24" s="5" t="str">
        <f t="shared" si="83"/>
        <v/>
      </c>
      <c r="IT24" s="5" t="str">
        <f t="shared" si="84"/>
        <v/>
      </c>
      <c r="IU24" s="5" t="str">
        <f t="shared" si="85"/>
        <v/>
      </c>
      <c r="IV24" s="670" t="str">
        <f t="shared" si="86"/>
        <v/>
      </c>
      <c r="IW24" s="9" t="str">
        <f t="shared" si="87"/>
        <v/>
      </c>
      <c r="IX24" s="5" t="str">
        <f t="shared" si="88"/>
        <v/>
      </c>
      <c r="IY24" s="5" t="str">
        <f t="shared" si="89"/>
        <v/>
      </c>
      <c r="IZ24" s="5" t="str">
        <f t="shared" si="90"/>
        <v/>
      </c>
      <c r="JA24" s="705" t="str">
        <f t="shared" si="91"/>
        <v/>
      </c>
      <c r="JC24" s="739"/>
      <c r="JD24" s="797" t="str" cm="1">
        <f t="array" ref="JD24">IF($JC24="","",COUNT(IF(IF($IK$9:$IK$150&lt;&gt;"",$IM$9:$IM$150,"")=$JC24,$II$9:$II$150,"")))</f>
        <v/>
      </c>
      <c r="JE24" s="5"/>
      <c r="JF24" s="5"/>
      <c r="JG24" s="10"/>
      <c r="JH24" s="236"/>
      <c r="JI24" s="744"/>
      <c r="JJ24" s="728"/>
      <c r="JK24" s="744"/>
      <c r="JM24" s="489">
        <f t="shared" si="133"/>
        <v>12</v>
      </c>
      <c r="JN24" s="960">
        <f>($JO24-SMALL($JO$9:$JO$88,1))/((Settings!$C$19/2)-((Settings!$C$19/2)-LARGE($JO$9:$JO$88,1))-SMALL($JO$9:$JO$88,1))</f>
        <v>0.51209479528791713</v>
      </c>
      <c r="JO24" s="162">
        <f t="shared" si="134"/>
        <v>2.0520258039985633</v>
      </c>
      <c r="JP24" s="961">
        <f t="shared" si="135"/>
        <v>1.2235973148251231</v>
      </c>
      <c r="JQ24" s="961">
        <f t="shared" si="136"/>
        <v>15.00204168938809</v>
      </c>
      <c r="JS24" s="82">
        <v>16</v>
      </c>
      <c r="JT24" s="322">
        <f t="shared" si="137"/>
        <v>2.4212686842927504</v>
      </c>
      <c r="JU24" s="963">
        <f t="shared" si="138"/>
        <v>0.61987001640791384</v>
      </c>
      <c r="JV24" s="961">
        <f t="shared" si="287"/>
        <v>-9.6331636591965726</v>
      </c>
      <c r="JW24" s="961">
        <f>INDEX($JM$9:$JQ$88,MATCH($JS24,$JM$9:$JM$88,0),5)</f>
        <v>14.916879859542677</v>
      </c>
      <c r="JX24" s="1">
        <v>4.0496999999999996</v>
      </c>
      <c r="JY24" s="965">
        <f t="shared" si="139"/>
        <v>0.54603375465340409</v>
      </c>
      <c r="JZ24" s="973">
        <v>5.8117000000000019</v>
      </c>
      <c r="KA24" s="410">
        <f t="shared" si="280"/>
        <v>-9.2251066666666688</v>
      </c>
      <c r="KB24" s="976">
        <f t="shared" si="243"/>
        <v>16</v>
      </c>
      <c r="KC24" s="968" cm="1">
        <f t="array" ref="KC24">(((INDEX($JV$9:$JV$53,MATCH(INDEX($JU$9:$JU$53,MATCH(TRUE,INDEX($JU$9:$JU$53&gt;$JY24,0),)),$JU$9:$JU$53,0))-INDEX($JV$9:$JV$53,MATCH(INDEX($JU$9:$JU$53,MATCH(TRUE,INDEX($JU$9:$JU$53&gt;$JY24,0),)-1),$JU$9:$JU$53,0)))*(($JY24-INDEX($JU$9:$JU$53,MATCH(TRUE,INDEX($JU$9:$JU$53&gt;$JY24,0),)-1))/(INDEX($JU$9:$JU$53,MATCH(TRUE,INDEX($JU$9:$JU$53&gt;$JY24,0),))-INDEX($JU$9:$JU$53,MATCH(TRUE,INDEX($JU$9:$JU$53&gt;$JY24,0),)-1))))+INDEX($JV$9:$JV$53,MATCH(INDEX($JU$9:$JU$53,MATCH(TRUE,INDEX($JU$9:$JU$53&gt;$JY24,0),)-1),$JU$9:$JU$53,0)))</f>
        <v>2.9575015792500539</v>
      </c>
      <c r="KD24" s="970">
        <v>-15.036806666666671</v>
      </c>
      <c r="KE24" s="968">
        <f t="shared" si="140"/>
        <v>-17.994308245916724</v>
      </c>
      <c r="KF24" s="968" cm="1">
        <f t="array" ref="KF24">(((INDEX($JW$9:$JW$53,MATCH(INDEX($JU$9:$JU$53,MATCH(TRUE,INDEX($JU$9:$JU$53&gt;$JY24,0),)),$JU$9:$JU$53,0))-INDEX($JW$9:$JW$53,MATCH(INDEX($JU$9:$JU$53,MATCH(TRUE,INDEX($JU$9:$JU$53&gt;$JY24,0),)-1),$JU$9:$JU$53,0)))*(($JY24-INDEX($JU$9:$JU$53,MATCH(TRUE,INDEX($JU$9:$JU$53&gt;$JY24,0),)-1))/(INDEX($JU$9:$JU$53,MATCH(TRUE,INDEX($JU$9:$JU$53&gt;$JY24,0),))-INDEX($JU$9:$JU$53,MATCH(TRUE,INDEX($JU$9:$JU$53&gt;$JY24,0),)-1))))+INDEX($JW$9:$JW$53,MATCH(INDEX($JU$9:$JU$53,MATCH(TRUE,INDEX($JU$9:$JU$53&gt;$JY24,0),)-1),$JU$9:$JU$53,0)))</f>
        <v>14.977368186359584</v>
      </c>
      <c r="KG24" s="966">
        <f t="shared" si="244"/>
        <v>-3.8247733333333382</v>
      </c>
      <c r="KH24" s="966">
        <f t="shared" si="141"/>
        <v>-2.6395345946701454E-2</v>
      </c>
      <c r="KJ24" s="31"/>
    </row>
    <row r="25" spans="1:296" ht="15" customHeight="1" x14ac:dyDescent="0.25">
      <c r="A25" s="75">
        <f t="shared" si="1"/>
        <v>0.02</v>
      </c>
      <c r="B25" s="578">
        <f t="shared" ref="B25:D25" si="290">IFERROR(O180+($A25*-E25),"")</f>
        <v>2.7460235813774037</v>
      </c>
      <c r="C25" s="572">
        <f t="shared" si="290"/>
        <v>-0.16787565836237889</v>
      </c>
      <c r="D25" s="576">
        <f t="shared" si="290"/>
        <v>-0.1650052649157728</v>
      </c>
      <c r="E25" s="580">
        <f t="shared" ref="E25:K25" si="291">R180</f>
        <v>0.14832249967548344</v>
      </c>
      <c r="F25" s="572">
        <f t="shared" si="291"/>
        <v>0.95931518121021275</v>
      </c>
      <c r="G25" s="579">
        <f t="shared" si="291"/>
        <v>0.2402390875557783</v>
      </c>
      <c r="H25" s="580">
        <f t="shared" si="291"/>
        <v>0.26450000000000001</v>
      </c>
      <c r="I25" s="572">
        <f t="shared" si="291"/>
        <v>0.52</v>
      </c>
      <c r="J25" s="483">
        <f t="shared" si="94"/>
        <v>3.12</v>
      </c>
      <c r="K25" s="806">
        <f t="shared" si="291"/>
        <v>1313</v>
      </c>
      <c r="L25" s="82"/>
      <c r="M25" s="164">
        <f t="shared" si="4"/>
        <v>3.12</v>
      </c>
      <c r="N25" s="575">
        <f t="shared" si="5"/>
        <v>2.7460235813774037</v>
      </c>
      <c r="O25" s="572">
        <f t="shared" si="6"/>
        <v>-0.16787565836237889</v>
      </c>
      <c r="P25" s="576">
        <f t="shared" si="7"/>
        <v>-0.1650052649157728</v>
      </c>
      <c r="Q25" s="528">
        <f t="shared" si="144"/>
        <v>356.50162845146627</v>
      </c>
      <c r="R25" s="572">
        <f>IF(M25="","",SQRT(N25^2+O25^2))</f>
        <v>2.751150258737495</v>
      </c>
      <c r="S25" s="577">
        <f>IF(M25="","",P25)</f>
        <v>-0.1650052649157728</v>
      </c>
      <c r="T25" s="578">
        <f>IF(M25="","",X25*COS(RADIANS(W25)))</f>
        <v>-8.6181069568753974E-2</v>
      </c>
      <c r="U25" s="572">
        <f>IF(M25="","",X25*SIN(RADIANS(W25)))</f>
        <v>-2.7498000962614304</v>
      </c>
      <c r="V25" s="579">
        <f>IF(M25="","",Y25)</f>
        <v>-0.1650052649157728</v>
      </c>
      <c r="W25" s="528">
        <f t="shared" si="268"/>
        <v>268.20488922114123</v>
      </c>
      <c r="X25" s="572">
        <f>IF(M25="","",R25)</f>
        <v>2.751150258737495</v>
      </c>
      <c r="Y25" s="573">
        <f t="shared" si="271"/>
        <v>-0.1650052649157728</v>
      </c>
      <c r="Z25" s="575">
        <f t="shared" si="10"/>
        <v>-0.14832249967548344</v>
      </c>
      <c r="AA25" s="572">
        <f t="shared" si="11"/>
        <v>-0.95931518121021275</v>
      </c>
      <c r="AB25" s="572">
        <f t="shared" si="12"/>
        <v>-0.2402390875557783</v>
      </c>
      <c r="AC25" s="579">
        <f>IF(M25="","",SQRT(Z25^2+AA25^2+AB25^2))</f>
        <v>1</v>
      </c>
      <c r="AD25" s="580">
        <f>IF(M25="","",Z25*(1/SQRT(Z25^2+AA25^2+AB25^2)))</f>
        <v>-0.14832249967548344</v>
      </c>
      <c r="AE25" s="572">
        <f>IF(M25="","",AA25*(1/SQRT(Z25^2+AA25^2+AB25^2)))</f>
        <v>-0.95931518121021275</v>
      </c>
      <c r="AF25" s="576">
        <f>IF(M25="","",AB25*(1/SQRT(Z25^2+AA25^2+AB25^2)))</f>
        <v>-0.2402390875557783</v>
      </c>
      <c r="AG25" s="545">
        <f>IF(M25="","",DEGREES(ATAN2(-AF25,AE25)))</f>
        <v>-75.940695328601933</v>
      </c>
      <c r="AH25" s="546">
        <f>IF(M25="","",DEGREES(ACOS(AD25)))</f>
        <v>98.529725457745357</v>
      </c>
      <c r="AI25" s="528">
        <f>IF(M25="","",DEGREES(-ACOS(-AF25)))</f>
        <v>-76.099348071979534</v>
      </c>
      <c r="AJ25" s="529">
        <f>IF(M25="","",DEGREES(ATAN2(-AE25,AD25)))</f>
        <v>-8.7890727291866035</v>
      </c>
      <c r="AK25" s="578">
        <f>IF(M25="","",(COS(RADIANS((90-$Q$8)-W25))*AD25)+(-SIN(RADIANS((90-$Q$8)-W25))*AE25))</f>
        <v>0.96657819339895557</v>
      </c>
      <c r="AL25" s="572">
        <f>IF(M25="","",(SIN(RADIANS((90-$Q$8)-W25))*AD25)+(COS(RADIANS((90-$Q$8)-W25))*AE25))</f>
        <v>-8.950852951522667E-2</v>
      </c>
      <c r="AM25" s="577">
        <f>IF(M25="","",AF25)</f>
        <v>-0.2402390875557783</v>
      </c>
      <c r="AN25" s="524">
        <f>IF(M25="","",DEGREES(ATAN2(-AM25,AL25)))</f>
        <v>-20.434439785057307</v>
      </c>
      <c r="AO25" s="525">
        <f>IF(ROUND(IF(M25="",0,DEGREES(ACOS(AK25))),4)=90,0,IF(M25="","",DEGREES(ACOS(AK25))))</f>
        <v>14.854897078028056</v>
      </c>
      <c r="AP25" s="528">
        <f>IF(M25="","",DEGREES(ATAN2(AK25,AL25)))</f>
        <v>-5.2907011806528361</v>
      </c>
      <c r="AQ25" s="529">
        <f t="shared" si="13"/>
        <v>0.9942740634879077</v>
      </c>
      <c r="AR25" s="979"/>
      <c r="AS25" s="954">
        <f t="shared" si="147"/>
        <v>268.20488922114123</v>
      </c>
      <c r="AT25" s="950">
        <f t="shared" si="14"/>
        <v>-9.0107570938146475E-2</v>
      </c>
      <c r="AU25" s="418"/>
      <c r="AV25" s="164" t="str">
        <f t="shared" si="15"/>
        <v/>
      </c>
      <c r="AW25" s="829" t="str">
        <f>IFERROR(INDEX(MassProp!C$9:C$150,MATCH($M25,MassProp!$B$9:$B$150,0)),"")</f>
        <v/>
      </c>
      <c r="AX25" s="830" t="str">
        <f>IFERROR(INDEX(MassProp!D$9:D$150,MATCH($M25,MassProp!$B$9:$B$150,0)),"")</f>
        <v/>
      </c>
      <c r="AY25" s="831" t="str">
        <f>IFERROR(INDEX(MassProp!E$9:E$150,MATCH($M25,MassProp!$B$9:$B$150,0)),"")</f>
        <v/>
      </c>
      <c r="AZ25" s="297" t="str">
        <f t="shared" si="148"/>
        <v/>
      </c>
      <c r="BA25" s="296" t="str">
        <f t="shared" si="16"/>
        <v/>
      </c>
      <c r="BB25" s="190" t="str">
        <f t="shared" si="149"/>
        <v/>
      </c>
      <c r="BC25" s="9"/>
      <c r="BD25" s="5" t="str">
        <f t="shared" si="150"/>
        <v/>
      </c>
      <c r="BE25" s="6" t="str">
        <f t="shared" si="17"/>
        <v/>
      </c>
      <c r="BF25" s="4" t="str">
        <f t="shared" si="18"/>
        <v/>
      </c>
      <c r="BG25" s="5" t="str">
        <f t="shared" si="19"/>
        <v/>
      </c>
      <c r="BH25" s="10" t="str">
        <f t="shared" si="20"/>
        <v/>
      </c>
      <c r="BI25" s="9" t="str">
        <f t="shared" si="151"/>
        <v/>
      </c>
      <c r="BJ25" s="5" t="str">
        <f t="shared" si="21"/>
        <v/>
      </c>
      <c r="BK25" s="8" t="str">
        <f t="shared" si="22"/>
        <v/>
      </c>
      <c r="BL25" s="173" t="str">
        <f t="shared" si="23"/>
        <v/>
      </c>
      <c r="BM25" s="5" t="str">
        <f t="shared" si="24"/>
        <v/>
      </c>
      <c r="BN25" s="6" t="str">
        <f t="shared" si="25"/>
        <v/>
      </c>
      <c r="BO25" s="4" t="str">
        <f t="shared" si="152"/>
        <v/>
      </c>
      <c r="BP25" s="5" t="str">
        <f t="shared" si="153"/>
        <v/>
      </c>
      <c r="BQ25" s="5" t="str">
        <f t="shared" si="154"/>
        <v/>
      </c>
      <c r="BR25" s="6" t="str">
        <f t="shared" si="155"/>
        <v/>
      </c>
      <c r="BS25" s="4" t="str">
        <f t="shared" si="112"/>
        <v/>
      </c>
      <c r="BT25" s="5" t="str">
        <f t="shared" si="112"/>
        <v/>
      </c>
      <c r="BU25" s="10" t="str">
        <f t="shared" si="113"/>
        <v/>
      </c>
      <c r="BV25" s="9" t="str">
        <f t="shared" si="114"/>
        <v/>
      </c>
      <c r="BW25" s="5" t="str">
        <f t="shared" si="115"/>
        <v/>
      </c>
      <c r="BX25" s="8" t="str">
        <f t="shared" si="116"/>
        <v/>
      </c>
      <c r="BY25" s="173" t="str">
        <f t="shared" si="117"/>
        <v/>
      </c>
      <c r="BZ25" s="5" t="str">
        <f t="shared" si="118"/>
        <v/>
      </c>
      <c r="CA25" s="6" t="str">
        <f t="shared" si="119"/>
        <v/>
      </c>
      <c r="CB25" s="4" t="str">
        <f t="shared" si="156"/>
        <v/>
      </c>
      <c r="CC25" s="5" t="str">
        <f t="shared" si="157"/>
        <v/>
      </c>
      <c r="CD25" s="5" t="str">
        <f t="shared" si="158"/>
        <v/>
      </c>
      <c r="CE25" s="6" t="str">
        <f t="shared" si="159"/>
        <v/>
      </c>
      <c r="CF25" s="4" t="str">
        <f t="shared" si="160"/>
        <v/>
      </c>
      <c r="CG25" s="5" t="str">
        <f t="shared" si="161"/>
        <v/>
      </c>
      <c r="CH25" s="5" t="str">
        <f t="shared" si="162"/>
        <v/>
      </c>
      <c r="CI25" s="4" t="str">
        <f t="shared" si="120"/>
        <v/>
      </c>
      <c r="CJ25" s="5" t="str">
        <f t="shared" si="121"/>
        <v/>
      </c>
      <c r="CK25" s="8" t="str">
        <f t="shared" si="122"/>
        <v/>
      </c>
      <c r="CL25" s="173" t="str">
        <f t="shared" si="123"/>
        <v/>
      </c>
      <c r="CM25" s="5" t="str">
        <f t="shared" si="124"/>
        <v/>
      </c>
      <c r="CN25" s="6" t="str">
        <f t="shared" si="125"/>
        <v/>
      </c>
      <c r="CO25" s="167" t="str">
        <f t="shared" si="26"/>
        <v/>
      </c>
      <c r="CP25" s="4" t="str">
        <f t="shared" si="248"/>
        <v/>
      </c>
      <c r="CQ25" s="5" t="str">
        <f t="shared" si="249"/>
        <v/>
      </c>
      <c r="CR25" s="5" t="str">
        <f t="shared" si="163"/>
        <v/>
      </c>
      <c r="CS25" s="8" t="str">
        <f t="shared" si="164"/>
        <v/>
      </c>
      <c r="CT25" s="9" t="str">
        <f t="shared" si="165"/>
        <v/>
      </c>
      <c r="CU25" s="6" t="str">
        <f t="shared" si="166"/>
        <v/>
      </c>
      <c r="CV25" s="4" t="str">
        <f t="shared" si="250"/>
        <v/>
      </c>
      <c r="CW25" s="5" t="str">
        <f t="shared" si="167"/>
        <v/>
      </c>
      <c r="CX25" s="8" t="str">
        <f t="shared" si="168"/>
        <v/>
      </c>
      <c r="CY25" s="9" t="str">
        <f t="shared" si="169"/>
        <v/>
      </c>
      <c r="CZ25" s="5" t="str">
        <f t="shared" si="170"/>
        <v/>
      </c>
      <c r="DA25" s="6" t="str">
        <f t="shared" si="171"/>
        <v/>
      </c>
      <c r="DB25" s="4" t="str">
        <f t="shared" si="172"/>
        <v/>
      </c>
      <c r="DC25" s="5" t="str">
        <f t="shared" si="172"/>
        <v/>
      </c>
      <c r="DD25" s="10" t="str">
        <f t="shared" si="173"/>
        <v/>
      </c>
      <c r="DE25" s="9" t="str">
        <f t="shared" si="174"/>
        <v/>
      </c>
      <c r="DF25" s="5" t="str">
        <f t="shared" si="174"/>
        <v/>
      </c>
      <c r="DG25" s="10" t="str">
        <f t="shared" si="175"/>
        <v/>
      </c>
      <c r="DH25" s="70" t="str">
        <f t="shared" si="176"/>
        <v/>
      </c>
      <c r="DI25" s="4" t="str">
        <f t="shared" si="177"/>
        <v/>
      </c>
      <c r="DJ25" s="5" t="str">
        <f t="shared" si="178"/>
        <v/>
      </c>
      <c r="DK25" s="10" t="str">
        <f t="shared" si="179"/>
        <v/>
      </c>
      <c r="DL25" s="9" t="str">
        <f t="shared" si="180"/>
        <v/>
      </c>
      <c r="DM25" s="173" t="str">
        <f t="shared" si="181"/>
        <v/>
      </c>
      <c r="DN25" s="178" t="str">
        <f t="shared" si="182"/>
        <v/>
      </c>
      <c r="DO25" s="9" t="str">
        <f t="shared" si="183"/>
        <v/>
      </c>
      <c r="DP25" s="173" t="str">
        <f t="shared" si="184"/>
        <v/>
      </c>
      <c r="DQ25" s="11" t="str">
        <f t="shared" si="185"/>
        <v/>
      </c>
      <c r="DR25" s="173" t="str">
        <f t="shared" si="186"/>
        <v/>
      </c>
      <c r="DS25" s="5" t="str">
        <f t="shared" si="187"/>
        <v/>
      </c>
      <c r="DT25" s="5" t="str">
        <f t="shared" si="188"/>
        <v/>
      </c>
      <c r="DU25" s="5" t="str">
        <f t="shared" si="189"/>
        <v/>
      </c>
      <c r="DV25" s="5" t="str">
        <f t="shared" si="190"/>
        <v/>
      </c>
      <c r="DW25" s="5" t="str">
        <f t="shared" si="191"/>
        <v/>
      </c>
      <c r="DX25" s="167" t="str">
        <f t="shared" si="192"/>
        <v/>
      </c>
      <c r="DY25" s="9" t="str">
        <f t="shared" si="193"/>
        <v/>
      </c>
      <c r="DZ25" s="5" t="str">
        <f t="shared" si="194"/>
        <v/>
      </c>
      <c r="EA25" s="10" t="str">
        <f t="shared" si="195"/>
        <v/>
      </c>
      <c r="EB25" s="6" t="str">
        <f t="shared" si="196"/>
        <v/>
      </c>
      <c r="EC25" s="173" t="str">
        <f t="shared" si="197"/>
        <v/>
      </c>
      <c r="ED25" s="5" t="str">
        <f t="shared" si="198"/>
        <v/>
      </c>
      <c r="EE25" s="4" t="str">
        <f t="shared" si="199"/>
        <v/>
      </c>
      <c r="EF25" s="5" t="str">
        <f t="shared" si="200"/>
        <v/>
      </c>
      <c r="EG25" s="10" t="str">
        <f t="shared" si="201"/>
        <v/>
      </c>
      <c r="EH25" s="9" t="str">
        <f t="shared" si="202"/>
        <v/>
      </c>
      <c r="EI25" s="5" t="str">
        <f t="shared" si="203"/>
        <v/>
      </c>
      <c r="EJ25" s="6" t="str">
        <f t="shared" si="204"/>
        <v/>
      </c>
      <c r="EK25" s="236" t="str">
        <f t="shared" si="205"/>
        <v/>
      </c>
      <c r="EL25" s="238" t="str">
        <f t="shared" si="206"/>
        <v/>
      </c>
      <c r="EM25" s="4" t="str">
        <f t="shared" si="207"/>
        <v/>
      </c>
      <c r="EN25" s="5" t="str">
        <f t="shared" si="208"/>
        <v/>
      </c>
      <c r="EO25" s="10" t="str">
        <f t="shared" si="209"/>
        <v/>
      </c>
      <c r="EP25" s="9" t="str">
        <f t="shared" si="210"/>
        <v/>
      </c>
      <c r="EQ25" s="5" t="str">
        <f t="shared" si="211"/>
        <v/>
      </c>
      <c r="ER25" s="7" t="str">
        <f t="shared" si="212"/>
        <v/>
      </c>
      <c r="ES25" s="21" t="str">
        <f t="shared" si="126"/>
        <v/>
      </c>
      <c r="ET25" s="5" t="str">
        <f t="shared" si="35"/>
        <v/>
      </c>
      <c r="EU25" s="10" t="str">
        <f t="shared" si="36"/>
        <v/>
      </c>
      <c r="EV25" s="174" t="str">
        <f t="shared" si="264"/>
        <v/>
      </c>
      <c r="EW25" s="9" t="str">
        <f t="shared" si="127"/>
        <v/>
      </c>
      <c r="EX25" s="5" t="str">
        <f t="shared" si="37"/>
        <v/>
      </c>
      <c r="EY25" s="6" t="str">
        <f t="shared" si="213"/>
        <v/>
      </c>
      <c r="EZ25" s="51" t="str">
        <f t="shared" si="214"/>
        <v/>
      </c>
      <c r="FA25" s="266" t="str">
        <f t="shared" si="128"/>
        <v/>
      </c>
      <c r="FB25" s="267" t="str">
        <f t="shared" si="129"/>
        <v/>
      </c>
      <c r="FC25" s="269" t="str">
        <f t="shared" si="38"/>
        <v/>
      </c>
      <c r="FD25" s="4" t="str">
        <f t="shared" si="130"/>
        <v/>
      </c>
      <c r="FE25" s="5" t="str">
        <f t="shared" si="39"/>
        <v/>
      </c>
      <c r="FF25" s="7" t="str">
        <f t="shared" si="215"/>
        <v/>
      </c>
      <c r="FG25" s="173" t="str">
        <f t="shared" si="216"/>
        <v/>
      </c>
      <c r="FH25" s="5" t="str">
        <f t="shared" si="40"/>
        <v/>
      </c>
      <c r="FI25" s="10" t="str">
        <f t="shared" si="41"/>
        <v/>
      </c>
      <c r="FJ25" s="279" t="str">
        <f t="shared" si="217"/>
        <v/>
      </c>
      <c r="FK25" s="4" t="str">
        <f t="shared" si="42"/>
        <v/>
      </c>
      <c r="FL25" s="5" t="str">
        <f t="shared" si="218"/>
        <v/>
      </c>
      <c r="FM25" s="8" t="str">
        <f t="shared" si="219"/>
        <v/>
      </c>
      <c r="FN25" s="9" t="str">
        <f t="shared" si="220"/>
        <v/>
      </c>
      <c r="FO25" s="10" t="str">
        <f t="shared" si="43"/>
        <v/>
      </c>
      <c r="FP25" s="277" t="str">
        <f t="shared" si="44"/>
        <v/>
      </c>
      <c r="FQ25" s="173" t="str">
        <f t="shared" si="251"/>
        <v/>
      </c>
      <c r="FR25" s="10" t="str">
        <f t="shared" si="221"/>
        <v/>
      </c>
      <c r="FS25" s="9" t="str">
        <f t="shared" si="222"/>
        <v/>
      </c>
      <c r="FT25" s="6" t="str">
        <f t="shared" si="223"/>
        <v/>
      </c>
      <c r="FU25" s="4" t="str">
        <f t="shared" si="224"/>
        <v/>
      </c>
      <c r="FV25" s="5" t="str">
        <f t="shared" si="225"/>
        <v/>
      </c>
      <c r="FW25" s="8" t="str">
        <f t="shared" si="252"/>
        <v/>
      </c>
      <c r="FX25" s="9" t="str">
        <f t="shared" si="253"/>
        <v/>
      </c>
      <c r="FY25" s="10" t="str">
        <f t="shared" si="45"/>
        <v/>
      </c>
      <c r="FZ25" s="277" t="str">
        <f t="shared" si="254"/>
        <v/>
      </c>
      <c r="GA25" s="177" t="str">
        <f t="shared" si="226"/>
        <v/>
      </c>
      <c r="GB25" s="4" t="str">
        <f t="shared" si="227"/>
        <v/>
      </c>
      <c r="GC25" s="5" t="str">
        <f t="shared" si="228"/>
        <v/>
      </c>
      <c r="GD25" s="10" t="str">
        <f t="shared" si="229"/>
        <v/>
      </c>
      <c r="GE25" s="311" t="str">
        <f t="shared" si="230"/>
        <v/>
      </c>
      <c r="GF25" s="341" t="str">
        <f t="shared" si="255"/>
        <v/>
      </c>
      <c r="GG25" s="285" t="str">
        <f t="shared" si="46"/>
        <v/>
      </c>
      <c r="GH25" s="286" t="str">
        <f t="shared" si="47"/>
        <v/>
      </c>
      <c r="GI25" s="281" t="str">
        <f t="shared" si="48"/>
        <v/>
      </c>
      <c r="GJ25" s="167" t="str">
        <f t="shared" si="231"/>
        <v/>
      </c>
      <c r="GK25" s="174" t="str">
        <f t="shared" si="49"/>
        <v/>
      </c>
      <c r="GL25" s="174" t="str">
        <f t="shared" si="232"/>
        <v/>
      </c>
      <c r="GM25" s="177" t="str">
        <f t="shared" si="256"/>
        <v/>
      </c>
      <c r="GN25" s="280" t="str">
        <f t="shared" si="233"/>
        <v/>
      </c>
      <c r="GO25" s="4" t="str">
        <f t="shared" si="234"/>
        <v/>
      </c>
      <c r="GP25" s="8" t="str">
        <f t="shared" si="257"/>
        <v/>
      </c>
      <c r="GQ25" s="177" t="str">
        <f t="shared" si="235"/>
        <v/>
      </c>
      <c r="GR25" s="371" t="str">
        <f t="shared" si="258"/>
        <v/>
      </c>
      <c r="GS25" s="342" t="str">
        <f t="shared" si="51"/>
        <v/>
      </c>
      <c r="GT25" s="343" t="str">
        <f t="shared" si="52"/>
        <v/>
      </c>
      <c r="GU25" s="344" t="str">
        <f t="shared" si="53"/>
        <v/>
      </c>
      <c r="GV25" s="343" t="str">
        <f t="shared" si="265"/>
        <v/>
      </c>
      <c r="GW25" s="345" t="str">
        <f t="shared" si="54"/>
        <v/>
      </c>
      <c r="GX25" s="346" t="str">
        <f t="shared" si="55"/>
        <v/>
      </c>
      <c r="GY25" s="344" t="str">
        <f t="shared" si="56"/>
        <v/>
      </c>
      <c r="GZ25" s="345" t="str">
        <f t="shared" si="57"/>
        <v/>
      </c>
      <c r="HA25" s="342" t="str">
        <f t="shared" si="58"/>
        <v/>
      </c>
      <c r="HB25" s="5" t="str">
        <f t="shared" si="236"/>
        <v/>
      </c>
      <c r="HC25" s="343" t="str">
        <f t="shared" si="237"/>
        <v/>
      </c>
      <c r="HD25" s="363" t="str">
        <f t="shared" si="238"/>
        <v/>
      </c>
      <c r="HE25" s="344" t="str">
        <f t="shared" si="59"/>
        <v/>
      </c>
      <c r="HF25" s="5" t="str">
        <f t="shared" si="60"/>
        <v/>
      </c>
      <c r="HG25" s="343" t="str">
        <f t="shared" si="239"/>
        <v/>
      </c>
      <c r="HH25" s="349" t="str">
        <f t="shared" si="240"/>
        <v/>
      </c>
      <c r="HI25" s="317" t="str">
        <f t="shared" si="61"/>
        <v/>
      </c>
      <c r="HJ25" s="336"/>
      <c r="HK25" s="310" t="str">
        <f t="shared" si="131"/>
        <v/>
      </c>
      <c r="HL25" s="348" t="str">
        <f t="shared" si="62"/>
        <v/>
      </c>
      <c r="HM25" s="923" t="str">
        <f t="shared" si="63"/>
        <v/>
      </c>
      <c r="HN25" s="924" t="str">
        <f t="shared" si="64"/>
        <v/>
      </c>
      <c r="HO25" s="925"/>
      <c r="HP25" s="926"/>
      <c r="HQ25" s="924" t="str">
        <f t="shared" si="65"/>
        <v/>
      </c>
      <c r="HR25" s="927" t="str">
        <f t="shared" si="66"/>
        <v/>
      </c>
      <c r="HS25" s="879" t="str">
        <f t="shared" si="261"/>
        <v/>
      </c>
      <c r="HT25" s="889" t="str">
        <f t="shared" si="67"/>
        <v/>
      </c>
      <c r="HU25" s="890" t="str">
        <f t="shared" si="68"/>
        <v/>
      </c>
      <c r="HV25" s="886" t="str">
        <f t="shared" si="69"/>
        <v/>
      </c>
      <c r="HW25" s="880" t="str">
        <f t="shared" si="70"/>
        <v/>
      </c>
      <c r="HX25" s="881" t="str">
        <f t="shared" si="71"/>
        <v/>
      </c>
      <c r="HY25" s="880" t="str">
        <f t="shared" si="72"/>
        <v/>
      </c>
      <c r="HZ25" s="882" t="str">
        <f t="shared" si="73"/>
        <v/>
      </c>
      <c r="IA25" s="883" t="str">
        <f t="shared" si="74"/>
        <v/>
      </c>
      <c r="IB25" s="884" t="str">
        <f t="shared" si="75"/>
        <v/>
      </c>
      <c r="IC25" s="855" t="str">
        <f t="shared" si="76"/>
        <v/>
      </c>
      <c r="ID25" s="351" t="str">
        <f t="shared" si="77"/>
        <v/>
      </c>
      <c r="IE25" s="857" t="str">
        <f t="shared" si="78"/>
        <v/>
      </c>
      <c r="IF25" s="858"/>
      <c r="IG25" s="790" t="str">
        <f>IFERROR(IF($IW25="","",IF($IW25&lt;(((Settings!$C$19/2)*-1)*$IG$8),"Taper","Nose")),"")</f>
        <v/>
      </c>
      <c r="IH25" s="482" t="str">
        <f>IFERROR(IF((((($IY25*COS(RADIANS(180-$JA25)))*COS(RADIANS($JA25)))-(($IZ25*SIN(RADIANS(180-$JA25)))*SIN(RADIANS($JA25))))+$IW25)&lt;(((Settings!$C$19+$IH$8)/2)*-1),"Gage",""),"")</f>
        <v/>
      </c>
      <c r="II25" s="788">
        <f t="shared" si="241"/>
        <v>3.12</v>
      </c>
      <c r="IJ25" s="674" t="str" cm="1">
        <f t="array" ref="IJ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K25" s="677" t="str" cm="1">
        <f t="array" ref="IK25">IFERROR(ROUND(VALUE(IF($IJ25&lt;1,$IJ25+LARGE((IF($M$9:$M$150="",0,$M$9:$M$150)-MOD(IF($M$9:$M$150="",0,$M$9:$M$150),1)),1),$IJ25)),4),"")</f>
        <v/>
      </c>
      <c r="IL25" s="482">
        <f t="shared" si="79"/>
        <v>1313</v>
      </c>
      <c r="IM25" s="482" t="str">
        <f t="shared" si="242"/>
        <v/>
      </c>
      <c r="IN25" s="670" t="str">
        <f t="shared" si="81"/>
        <v/>
      </c>
      <c r="IO25" s="702"/>
      <c r="IP25" s="5" t="str">
        <f t="shared" si="82"/>
        <v/>
      </c>
      <c r="IQ25" s="714"/>
      <c r="IR25" s="9" t="str">
        <f t="shared" si="132"/>
        <v/>
      </c>
      <c r="IS25" s="5" t="str">
        <f t="shared" si="83"/>
        <v/>
      </c>
      <c r="IT25" s="5" t="str">
        <f t="shared" si="84"/>
        <v/>
      </c>
      <c r="IU25" s="5" t="str">
        <f t="shared" si="85"/>
        <v/>
      </c>
      <c r="IV25" s="670" t="str">
        <f t="shared" si="86"/>
        <v/>
      </c>
      <c r="IW25" s="9" t="str">
        <f t="shared" si="87"/>
        <v/>
      </c>
      <c r="IX25" s="5" t="str">
        <f t="shared" si="88"/>
        <v/>
      </c>
      <c r="IY25" s="5" t="str">
        <f t="shared" si="89"/>
        <v/>
      </c>
      <c r="IZ25" s="5" t="str">
        <f t="shared" si="90"/>
        <v/>
      </c>
      <c r="JA25" s="705" t="str">
        <f t="shared" si="91"/>
        <v/>
      </c>
      <c r="JC25" s="739"/>
      <c r="JD25" s="797" t="str" cm="1">
        <f t="array" ref="JD25">IF($JC25="","",COUNT(IF(IF($IK$9:$IK$150&lt;&gt;"",$IM$9:$IM$150,"")=$JC25,$II$9:$II$150,"")))</f>
        <v/>
      </c>
      <c r="JE25" s="5"/>
      <c r="JF25" s="5"/>
      <c r="JG25" s="10"/>
      <c r="JH25" s="236"/>
      <c r="JI25" s="744"/>
      <c r="JJ25" s="728"/>
      <c r="JK25" s="744"/>
      <c r="JM25" s="489">
        <f t="shared" si="133"/>
        <v>20</v>
      </c>
      <c r="JN25" s="960">
        <f>($JO25-SMALL($JO$9:$JO$88,1))/((Settings!$C$19/2)-((Settings!$C$19/2)-LARGE($JO$9:$JO$88,1))-SMALL($JO$9:$JO$88,1))</f>
        <v>0.71615639463372771</v>
      </c>
      <c r="JO25" s="162">
        <f t="shared" si="134"/>
        <v>2.751150258737495</v>
      </c>
      <c r="JP25" s="961">
        <f t="shared" si="135"/>
        <v>-20.434439785057307</v>
      </c>
      <c r="JQ25" s="961">
        <f t="shared" si="136"/>
        <v>14.854897078028056</v>
      </c>
      <c r="JS25" s="82">
        <v>17</v>
      </c>
      <c r="JT25" s="322">
        <f t="shared" si="137"/>
        <v>2.5054343749048047</v>
      </c>
      <c r="JU25" s="963">
        <f t="shared" si="138"/>
        <v>0.64443643705007836</v>
      </c>
      <c r="JV25" s="961">
        <f t="shared" si="287"/>
        <v>-12.336047432735542</v>
      </c>
      <c r="JW25" s="961">
        <f t="shared" si="92"/>
        <v>14.899541540009668</v>
      </c>
      <c r="JX25" s="1">
        <v>4.3037000000000001</v>
      </c>
      <c r="JY25" s="965">
        <f t="shared" si="139"/>
        <v>0.58340813113403278</v>
      </c>
      <c r="JZ25" s="973">
        <v>10.4255</v>
      </c>
      <c r="KA25" s="410">
        <f t="shared" si="280"/>
        <v>-8.6099333333333341</v>
      </c>
      <c r="KB25" s="974">
        <f t="shared" si="243"/>
        <v>17</v>
      </c>
      <c r="KC25" s="968" cm="1">
        <f t="array" ref="KC25">(((INDEX($JV$9:$JV$53,MATCH(INDEX($JU$9:$JU$53,MATCH(TRUE,INDEX($JU$9:$JU$53&gt;$JY25,0),)),$JU$9:$JU$53,0))-INDEX($JV$9:$JV$53,MATCH(INDEX($JU$9:$JU$53,MATCH(TRUE,INDEX($JU$9:$JU$53&gt;$JY25,0),)-1),$JU$9:$JU$53,0)))*(($JY25-INDEX($JU$9:$JU$53,MATCH(TRUE,INDEX($JU$9:$JU$53&gt;$JY25,0),)-1))/(INDEX($JU$9:$JU$53,MATCH(TRUE,INDEX($JU$9:$JU$53&gt;$JY25,0),))-INDEX($JU$9:$JU$53,MATCH(TRUE,INDEX($JU$9:$JU$53&gt;$JY25,0),)-1))))+INDEX($JV$9:$JV$53,MATCH(INDEX($JU$9:$JU$53,MATCH(TRUE,INDEX($JU$9:$JU$53&gt;$JY25,0),)-1),$JU$9:$JU$53,0)))</f>
        <v>-2.9588525352519115</v>
      </c>
      <c r="KD25" s="970">
        <v>-19.035433333333334</v>
      </c>
      <c r="KE25" s="968">
        <f t="shared" si="140"/>
        <v>-16.076580798081423</v>
      </c>
      <c r="KF25" s="968" cm="1">
        <f t="array" ref="KF25">(((INDEX($JW$9:$JW$53,MATCH(INDEX($JU$9:$JU$53,MATCH(TRUE,INDEX($JU$9:$JU$53&gt;$JY25,0),)),$JU$9:$JU$53,0))-INDEX($JW$9:$JW$53,MATCH(INDEX($JU$9:$JU$53,MATCH(TRUE,INDEX($JU$9:$JU$53&gt;$JY25,0),)-1),$JU$9:$JU$53,0)))*(($JY25-INDEX($JU$9:$JU$53,MATCH(TRUE,INDEX($JU$9:$JU$53&gt;$JY25,0),)-1))/(INDEX($JU$9:$JU$53,MATCH(TRUE,INDEX($JU$9:$JU$53&gt;$JY25,0),))-INDEX($JU$9:$JU$53,MATCH(TRUE,INDEX($JU$9:$JU$53&gt;$JY25,0),)-1))))+INDEX($JW$9:$JW$53,MATCH(INDEX($JU$9:$JU$53,MATCH(TRUE,INDEX($JU$9:$JU$53&gt;$JY25,0),)-1),$JU$9:$JU$53,0)))</f>
        <v>14.945215211684793</v>
      </c>
      <c r="KG25" s="966">
        <f t="shared" si="244"/>
        <v>-3.998626666666663</v>
      </c>
      <c r="KH25" s="966">
        <f t="shared" si="141"/>
        <v>-3.2152974674790613E-2</v>
      </c>
      <c r="KJ25" s="31"/>
    </row>
    <row r="26" spans="1:296" ht="15" customHeight="1" x14ac:dyDescent="0.25">
      <c r="A26" s="75">
        <f t="shared" si="1"/>
        <v>0.02</v>
      </c>
      <c r="B26" s="578">
        <f t="shared" ref="B26:D26" si="292">IFERROR(O181+($A26*-E26),"")</f>
        <v>3.3056576625109066</v>
      </c>
      <c r="C26" s="572">
        <f t="shared" si="292"/>
        <v>-0.24779300152781819</v>
      </c>
      <c r="D26" s="576">
        <f t="shared" si="292"/>
        <v>-0.54097187693174853</v>
      </c>
      <c r="E26" s="580">
        <f t="shared" ref="E26:K26" si="293">R181</f>
        <v>0.28636816563338574</v>
      </c>
      <c r="F26" s="572">
        <f t="shared" si="293"/>
        <v>0.9279573419943089</v>
      </c>
      <c r="G26" s="579">
        <f t="shared" si="293"/>
        <v>0.2385129873835537</v>
      </c>
      <c r="H26" s="580">
        <f t="shared" si="293"/>
        <v>0.26450000000000001</v>
      </c>
      <c r="I26" s="572">
        <f t="shared" si="293"/>
        <v>0.52</v>
      </c>
      <c r="J26" s="483">
        <f t="shared" si="94"/>
        <v>3.1280000000000001</v>
      </c>
      <c r="K26" s="806">
        <f t="shared" si="293"/>
        <v>1313</v>
      </c>
      <c r="L26" s="309"/>
      <c r="M26" s="164">
        <f t="shared" si="4"/>
        <v>3.1280000000000001</v>
      </c>
      <c r="N26" s="575">
        <f t="shared" si="5"/>
        <v>3.3056576625109066</v>
      </c>
      <c r="O26" s="572">
        <f t="shared" si="6"/>
        <v>-0.24779300152781819</v>
      </c>
      <c r="P26" s="576">
        <f t="shared" si="7"/>
        <v>-0.54097187693174853</v>
      </c>
      <c r="Q26" s="528">
        <f t="shared" si="144"/>
        <v>355.71311012328027</v>
      </c>
      <c r="R26" s="572">
        <f>IF(M26="","",SQRT(N26^2+O26^2))</f>
        <v>3.3149319681289442</v>
      </c>
      <c r="S26" s="577">
        <f>IF(M26="","",P26)</f>
        <v>-0.54097187693174853</v>
      </c>
      <c r="T26" s="578">
        <f>IF(M26="","",X26*COS(RADIANS(W26)))</f>
        <v>-0.14942902623447474</v>
      </c>
      <c r="U26" s="572">
        <f>IF(M26="","",X26*SIN(RADIANS(W26)))</f>
        <v>-3.3115623079510148</v>
      </c>
      <c r="V26" s="579">
        <f>IF(M26="","",Y26)</f>
        <v>-0.54097187693174853</v>
      </c>
      <c r="W26" s="528">
        <f t="shared" si="268"/>
        <v>267.41637089295523</v>
      </c>
      <c r="X26" s="572">
        <f>IF(M26="","",R26)</f>
        <v>3.3149319681289442</v>
      </c>
      <c r="Y26" s="573">
        <f t="shared" si="271"/>
        <v>-0.54097187693174853</v>
      </c>
      <c r="Z26" s="575">
        <f t="shared" si="10"/>
        <v>-0.28636816563338574</v>
      </c>
      <c r="AA26" s="572">
        <f t="shared" si="11"/>
        <v>-0.9279573419943089</v>
      </c>
      <c r="AB26" s="572">
        <f t="shared" si="12"/>
        <v>-0.2385129873835537</v>
      </c>
      <c r="AC26" s="579">
        <f>IF(M26="","",SQRT(Z26^2+AA26^2+AB26^2))</f>
        <v>1</v>
      </c>
      <c r="AD26" s="580">
        <f>IF(M26="","",Z26*(1/SQRT(Z26^2+AA26^2+AB26^2)))</f>
        <v>-0.28636816563338574</v>
      </c>
      <c r="AE26" s="572">
        <f>IF(M26="","",AA26*(1/SQRT(Z26^2+AA26^2+AB26^2)))</f>
        <v>-0.9279573419943089</v>
      </c>
      <c r="AF26" s="576">
        <f>IF(M26="","",AB26*(1/SQRT(Z26^2+AA26^2+AB26^2)))</f>
        <v>-0.2385129873835537</v>
      </c>
      <c r="AG26" s="545">
        <f>IF(M26="","",DEGREES(ATAN2(-AF26,AE26)))</f>
        <v>-75.585285756651913</v>
      </c>
      <c r="AH26" s="546">
        <f>IF(M26="","",DEGREES(ACOS(AD26)))</f>
        <v>106.64064778699992</v>
      </c>
      <c r="AI26" s="528">
        <f>IF(M26="","",DEGREES(-ACOS(-AF26)))</f>
        <v>-76.201207714287364</v>
      </c>
      <c r="AJ26" s="529">
        <f>IF(M26="","",DEGREES(ATAN2(-AE26,AD26)))</f>
        <v>-17.150255753843169</v>
      </c>
      <c r="AK26" s="578">
        <f>IF(M26="","",(COS(RADIANS((90-$Q$8)-W26))*AD26)+(-SIN(RADIANS((90-$Q$8)-W26))*AE26))</f>
        <v>0.94676734108739746</v>
      </c>
      <c r="AL26" s="572">
        <f>IF(M26="","",(SIN(RADIANS((90-$Q$8)-W26))*AD26)+(COS(RADIANS((90-$Q$8)-W26))*AE26))</f>
        <v>-0.21620165748595105</v>
      </c>
      <c r="AM26" s="577">
        <f>IF(M26="","",AF26)</f>
        <v>-0.2385129873835537</v>
      </c>
      <c r="AN26" s="524">
        <f>IF(M26="","",DEGREES(ATAN2(-AM26,AL26)))</f>
        <v>-42.190940198569173</v>
      </c>
      <c r="AO26" s="525">
        <f t="shared" si="110"/>
        <v>18.77899501425555</v>
      </c>
      <c r="AP26" s="528">
        <f>IF(M26="","",DEGREES(ATAN2(AK26,AL26)))</f>
        <v>-12.86336587712338</v>
      </c>
      <c r="AQ26" s="529">
        <f t="shared" si="13"/>
        <v>0.82520028396339651</v>
      </c>
      <c r="AR26" s="979"/>
      <c r="AS26" s="954">
        <f t="shared" si="147"/>
        <v>267.41637089295523</v>
      </c>
      <c r="AT26" s="950">
        <f t="shared" si="14"/>
        <v>-0.46541708434730056</v>
      </c>
      <c r="AU26" s="418"/>
      <c r="AV26" s="164" t="str">
        <f t="shared" si="15"/>
        <v/>
      </c>
      <c r="AW26" s="829" t="str">
        <f>IFERROR(INDEX(MassProp!C$9:C$150,MATCH($M26,MassProp!$B$9:$B$150,0)),"")</f>
        <v/>
      </c>
      <c r="AX26" s="830" t="str">
        <f>IFERROR(INDEX(MassProp!D$9:D$150,MATCH($M26,MassProp!$B$9:$B$150,0)),"")</f>
        <v/>
      </c>
      <c r="AY26" s="831" t="str">
        <f>IFERROR(INDEX(MassProp!E$9:E$150,MATCH($M26,MassProp!$B$9:$B$150,0)),"")</f>
        <v/>
      </c>
      <c r="AZ26" s="297" t="str">
        <f t="shared" si="148"/>
        <v/>
      </c>
      <c r="BA26" s="296" t="str">
        <f t="shared" si="16"/>
        <v/>
      </c>
      <c r="BB26" s="190" t="str">
        <f t="shared" si="149"/>
        <v/>
      </c>
      <c r="BC26" s="9"/>
      <c r="BD26" s="5" t="str">
        <f t="shared" si="150"/>
        <v/>
      </c>
      <c r="BE26" s="6" t="str">
        <f t="shared" si="17"/>
        <v/>
      </c>
      <c r="BF26" s="4" t="str">
        <f t="shared" si="18"/>
        <v/>
      </c>
      <c r="BG26" s="5" t="str">
        <f t="shared" si="19"/>
        <v/>
      </c>
      <c r="BH26" s="10" t="str">
        <f t="shared" si="20"/>
        <v/>
      </c>
      <c r="BI26" s="9" t="str">
        <f t="shared" si="151"/>
        <v/>
      </c>
      <c r="BJ26" s="5" t="str">
        <f t="shared" si="21"/>
        <v/>
      </c>
      <c r="BK26" s="8" t="str">
        <f t="shared" si="22"/>
        <v/>
      </c>
      <c r="BL26" s="173" t="str">
        <f t="shared" si="23"/>
        <v/>
      </c>
      <c r="BM26" s="5" t="str">
        <f t="shared" si="24"/>
        <v/>
      </c>
      <c r="BN26" s="6" t="str">
        <f t="shared" si="25"/>
        <v/>
      </c>
      <c r="BO26" s="4" t="str">
        <f t="shared" si="152"/>
        <v/>
      </c>
      <c r="BP26" s="5" t="str">
        <f t="shared" si="153"/>
        <v/>
      </c>
      <c r="BQ26" s="5" t="str">
        <f t="shared" si="154"/>
        <v/>
      </c>
      <c r="BR26" s="6" t="str">
        <f t="shared" si="155"/>
        <v/>
      </c>
      <c r="BS26" s="4" t="str">
        <f t="shared" si="112"/>
        <v/>
      </c>
      <c r="BT26" s="5" t="str">
        <f t="shared" si="112"/>
        <v/>
      </c>
      <c r="BU26" s="10" t="str">
        <f t="shared" si="113"/>
        <v/>
      </c>
      <c r="BV26" s="9" t="str">
        <f t="shared" si="114"/>
        <v/>
      </c>
      <c r="BW26" s="5" t="str">
        <f t="shared" si="115"/>
        <v/>
      </c>
      <c r="BX26" s="8" t="str">
        <f t="shared" si="116"/>
        <v/>
      </c>
      <c r="BY26" s="173" t="str">
        <f t="shared" si="117"/>
        <v/>
      </c>
      <c r="BZ26" s="5" t="str">
        <f t="shared" si="118"/>
        <v/>
      </c>
      <c r="CA26" s="6" t="str">
        <f t="shared" si="119"/>
        <v/>
      </c>
      <c r="CB26" s="4" t="str">
        <f t="shared" si="156"/>
        <v/>
      </c>
      <c r="CC26" s="5" t="str">
        <f t="shared" si="157"/>
        <v/>
      </c>
      <c r="CD26" s="5" t="str">
        <f t="shared" si="158"/>
        <v/>
      </c>
      <c r="CE26" s="6" t="str">
        <f t="shared" si="159"/>
        <v/>
      </c>
      <c r="CF26" s="4" t="str">
        <f t="shared" si="160"/>
        <v/>
      </c>
      <c r="CG26" s="5" t="str">
        <f t="shared" si="161"/>
        <v/>
      </c>
      <c r="CH26" s="5" t="str">
        <f t="shared" si="162"/>
        <v/>
      </c>
      <c r="CI26" s="4" t="str">
        <f t="shared" si="120"/>
        <v/>
      </c>
      <c r="CJ26" s="5" t="str">
        <f t="shared" si="121"/>
        <v/>
      </c>
      <c r="CK26" s="8" t="str">
        <f t="shared" si="122"/>
        <v/>
      </c>
      <c r="CL26" s="173" t="str">
        <f t="shared" si="123"/>
        <v/>
      </c>
      <c r="CM26" s="5" t="str">
        <f t="shared" si="124"/>
        <v/>
      </c>
      <c r="CN26" s="6" t="str">
        <f t="shared" si="125"/>
        <v/>
      </c>
      <c r="CO26" s="167" t="str">
        <f t="shared" si="26"/>
        <v/>
      </c>
      <c r="CP26" s="4" t="str">
        <f t="shared" si="248"/>
        <v/>
      </c>
      <c r="CQ26" s="5" t="str">
        <f t="shared" si="249"/>
        <v/>
      </c>
      <c r="CR26" s="5" t="str">
        <f t="shared" si="163"/>
        <v/>
      </c>
      <c r="CS26" s="8" t="str">
        <f t="shared" si="164"/>
        <v/>
      </c>
      <c r="CT26" s="9" t="str">
        <f t="shared" si="165"/>
        <v/>
      </c>
      <c r="CU26" s="6" t="str">
        <f t="shared" si="166"/>
        <v/>
      </c>
      <c r="CV26" s="4" t="str">
        <f t="shared" si="250"/>
        <v/>
      </c>
      <c r="CW26" s="5" t="str">
        <f t="shared" si="167"/>
        <v/>
      </c>
      <c r="CX26" s="8" t="str">
        <f t="shared" si="168"/>
        <v/>
      </c>
      <c r="CY26" s="9" t="str">
        <f t="shared" si="169"/>
        <v/>
      </c>
      <c r="CZ26" s="5" t="str">
        <f t="shared" si="170"/>
        <v/>
      </c>
      <c r="DA26" s="6" t="str">
        <f t="shared" si="171"/>
        <v/>
      </c>
      <c r="DB26" s="4" t="str">
        <f t="shared" si="172"/>
        <v/>
      </c>
      <c r="DC26" s="5" t="str">
        <f t="shared" si="172"/>
        <v/>
      </c>
      <c r="DD26" s="10" t="str">
        <f t="shared" si="173"/>
        <v/>
      </c>
      <c r="DE26" s="9" t="str">
        <f t="shared" si="174"/>
        <v/>
      </c>
      <c r="DF26" s="5" t="str">
        <f t="shared" si="174"/>
        <v/>
      </c>
      <c r="DG26" s="10" t="str">
        <f t="shared" si="175"/>
        <v/>
      </c>
      <c r="DH26" s="70" t="str">
        <f t="shared" si="176"/>
        <v/>
      </c>
      <c r="DI26" s="4" t="str">
        <f t="shared" si="177"/>
        <v/>
      </c>
      <c r="DJ26" s="5" t="str">
        <f t="shared" si="178"/>
        <v/>
      </c>
      <c r="DK26" s="10" t="str">
        <f t="shared" si="179"/>
        <v/>
      </c>
      <c r="DL26" s="9" t="str">
        <f t="shared" si="180"/>
        <v/>
      </c>
      <c r="DM26" s="173" t="str">
        <f t="shared" si="181"/>
        <v/>
      </c>
      <c r="DN26" s="178" t="str">
        <f t="shared" si="182"/>
        <v/>
      </c>
      <c r="DO26" s="9" t="str">
        <f t="shared" si="183"/>
        <v/>
      </c>
      <c r="DP26" s="173" t="str">
        <f t="shared" si="184"/>
        <v/>
      </c>
      <c r="DQ26" s="11" t="str">
        <f t="shared" si="185"/>
        <v/>
      </c>
      <c r="DR26" s="173" t="str">
        <f t="shared" si="186"/>
        <v/>
      </c>
      <c r="DS26" s="5" t="str">
        <f t="shared" si="187"/>
        <v/>
      </c>
      <c r="DT26" s="5" t="str">
        <f t="shared" si="188"/>
        <v/>
      </c>
      <c r="DU26" s="5" t="str">
        <f t="shared" si="189"/>
        <v/>
      </c>
      <c r="DV26" s="5" t="str">
        <f t="shared" si="190"/>
        <v/>
      </c>
      <c r="DW26" s="5" t="str">
        <f t="shared" si="191"/>
        <v/>
      </c>
      <c r="DX26" s="167" t="str">
        <f t="shared" si="192"/>
        <v/>
      </c>
      <c r="DY26" s="9" t="str">
        <f t="shared" si="193"/>
        <v/>
      </c>
      <c r="DZ26" s="5" t="str">
        <f t="shared" si="194"/>
        <v/>
      </c>
      <c r="EA26" s="10" t="str">
        <f t="shared" si="195"/>
        <v/>
      </c>
      <c r="EB26" s="6" t="str">
        <f t="shared" si="196"/>
        <v/>
      </c>
      <c r="EC26" s="173" t="str">
        <f t="shared" si="197"/>
        <v/>
      </c>
      <c r="ED26" s="5" t="str">
        <f t="shared" si="198"/>
        <v/>
      </c>
      <c r="EE26" s="4" t="str">
        <f t="shared" si="199"/>
        <v/>
      </c>
      <c r="EF26" s="5" t="str">
        <f t="shared" si="200"/>
        <v/>
      </c>
      <c r="EG26" s="10" t="str">
        <f t="shared" si="201"/>
        <v/>
      </c>
      <c r="EH26" s="9" t="str">
        <f t="shared" si="202"/>
        <v/>
      </c>
      <c r="EI26" s="5" t="str">
        <f t="shared" si="203"/>
        <v/>
      </c>
      <c r="EJ26" s="6" t="str">
        <f t="shared" si="204"/>
        <v/>
      </c>
      <c r="EK26" s="236" t="str">
        <f t="shared" si="205"/>
        <v/>
      </c>
      <c r="EL26" s="238" t="str">
        <f t="shared" si="206"/>
        <v/>
      </c>
      <c r="EM26" s="4" t="str">
        <f t="shared" si="207"/>
        <v/>
      </c>
      <c r="EN26" s="5" t="str">
        <f t="shared" si="208"/>
        <v/>
      </c>
      <c r="EO26" s="10" t="str">
        <f t="shared" si="209"/>
        <v/>
      </c>
      <c r="EP26" s="9" t="str">
        <f t="shared" si="210"/>
        <v/>
      </c>
      <c r="EQ26" s="5" t="str">
        <f t="shared" si="211"/>
        <v/>
      </c>
      <c r="ER26" s="7" t="str">
        <f t="shared" si="212"/>
        <v/>
      </c>
      <c r="ES26" s="21" t="str">
        <f t="shared" si="126"/>
        <v/>
      </c>
      <c r="ET26" s="5" t="str">
        <f t="shared" si="35"/>
        <v/>
      </c>
      <c r="EU26" s="10" t="str">
        <f t="shared" si="36"/>
        <v/>
      </c>
      <c r="EV26" s="174" t="str">
        <f t="shared" si="264"/>
        <v/>
      </c>
      <c r="EW26" s="9" t="str">
        <f t="shared" si="127"/>
        <v/>
      </c>
      <c r="EX26" s="5" t="str">
        <f t="shared" si="37"/>
        <v/>
      </c>
      <c r="EY26" s="6" t="str">
        <f t="shared" si="213"/>
        <v/>
      </c>
      <c r="EZ26" s="51" t="str">
        <f t="shared" si="214"/>
        <v/>
      </c>
      <c r="FA26" s="266" t="str">
        <f t="shared" si="128"/>
        <v/>
      </c>
      <c r="FB26" s="267" t="str">
        <f t="shared" si="129"/>
        <v/>
      </c>
      <c r="FC26" s="269" t="str">
        <f t="shared" si="38"/>
        <v/>
      </c>
      <c r="FD26" s="4" t="str">
        <f t="shared" si="130"/>
        <v/>
      </c>
      <c r="FE26" s="5" t="str">
        <f t="shared" si="39"/>
        <v/>
      </c>
      <c r="FF26" s="7" t="str">
        <f t="shared" si="215"/>
        <v/>
      </c>
      <c r="FG26" s="173" t="str">
        <f t="shared" si="216"/>
        <v/>
      </c>
      <c r="FH26" s="5" t="str">
        <f t="shared" si="40"/>
        <v/>
      </c>
      <c r="FI26" s="10" t="str">
        <f t="shared" si="41"/>
        <v/>
      </c>
      <c r="FJ26" s="279" t="str">
        <f t="shared" si="217"/>
        <v/>
      </c>
      <c r="FK26" s="4" t="str">
        <f t="shared" si="42"/>
        <v/>
      </c>
      <c r="FL26" s="5" t="str">
        <f t="shared" si="218"/>
        <v/>
      </c>
      <c r="FM26" s="8" t="str">
        <f t="shared" si="219"/>
        <v/>
      </c>
      <c r="FN26" s="9" t="str">
        <f t="shared" si="220"/>
        <v/>
      </c>
      <c r="FO26" s="10" t="str">
        <f t="shared" si="43"/>
        <v/>
      </c>
      <c r="FP26" s="277" t="str">
        <f t="shared" si="44"/>
        <v/>
      </c>
      <c r="FQ26" s="173" t="str">
        <f t="shared" si="251"/>
        <v/>
      </c>
      <c r="FR26" s="10" t="str">
        <f t="shared" si="221"/>
        <v/>
      </c>
      <c r="FS26" s="9" t="str">
        <f>IF(ISNUMBER($AV26),FQ26/(FQ26+FR26),"")</f>
        <v/>
      </c>
      <c r="FT26" s="6" t="str">
        <f t="shared" si="223"/>
        <v/>
      </c>
      <c r="FU26" s="4" t="str">
        <f t="shared" si="224"/>
        <v/>
      </c>
      <c r="FV26" s="5" t="str">
        <f t="shared" si="225"/>
        <v/>
      </c>
      <c r="FW26" s="8" t="str">
        <f t="shared" si="252"/>
        <v/>
      </c>
      <c r="FX26" s="9" t="str">
        <f t="shared" si="253"/>
        <v/>
      </c>
      <c r="FY26" s="10" t="str">
        <f t="shared" si="45"/>
        <v/>
      </c>
      <c r="FZ26" s="277" t="str">
        <f t="shared" si="254"/>
        <v/>
      </c>
      <c r="GA26" s="177" t="str">
        <f t="shared" si="226"/>
        <v/>
      </c>
      <c r="GB26" s="4" t="str">
        <f t="shared" si="227"/>
        <v/>
      </c>
      <c r="GC26" s="5" t="str">
        <f t="shared" si="228"/>
        <v/>
      </c>
      <c r="GD26" s="10" t="str">
        <f t="shared" si="229"/>
        <v/>
      </c>
      <c r="GE26" s="311" t="str">
        <f t="shared" si="230"/>
        <v/>
      </c>
      <c r="GF26" s="341" t="str">
        <f>IF(ISNUMBER($AV26),1/GE26,"")</f>
        <v/>
      </c>
      <c r="GG26" s="285" t="str">
        <f t="shared" si="46"/>
        <v/>
      </c>
      <c r="GH26" s="286" t="str">
        <f t="shared" si="47"/>
        <v/>
      </c>
      <c r="GI26" s="281" t="str">
        <f t="shared" si="48"/>
        <v/>
      </c>
      <c r="GJ26" s="167" t="str">
        <f t="shared" si="231"/>
        <v/>
      </c>
      <c r="GK26" s="174" t="str">
        <f t="shared" si="49"/>
        <v/>
      </c>
      <c r="GL26" s="174" t="str">
        <f t="shared" si="232"/>
        <v/>
      </c>
      <c r="GM26" s="177" t="str">
        <f t="shared" si="256"/>
        <v/>
      </c>
      <c r="GN26" s="280" t="str">
        <f t="shared" si="233"/>
        <v/>
      </c>
      <c r="GO26" s="4" t="str">
        <f t="shared" si="234"/>
        <v/>
      </c>
      <c r="GP26" s="8" t="str">
        <f t="shared" si="257"/>
        <v/>
      </c>
      <c r="GQ26" s="177" t="str">
        <f t="shared" si="235"/>
        <v/>
      </c>
      <c r="GR26" s="371" t="str">
        <f t="shared" si="258"/>
        <v/>
      </c>
      <c r="GS26" s="342" t="str">
        <f t="shared" si="51"/>
        <v/>
      </c>
      <c r="GT26" s="343" t="str">
        <f t="shared" si="52"/>
        <v/>
      </c>
      <c r="GU26" s="344" t="str">
        <f t="shared" si="53"/>
        <v/>
      </c>
      <c r="GV26" s="343" t="str">
        <f t="shared" si="265"/>
        <v/>
      </c>
      <c r="GW26" s="345" t="str">
        <f t="shared" si="54"/>
        <v/>
      </c>
      <c r="GX26" s="346" t="str">
        <f t="shared" si="55"/>
        <v/>
      </c>
      <c r="GY26" s="344" t="str">
        <f t="shared" si="56"/>
        <v/>
      </c>
      <c r="GZ26" s="345" t="str">
        <f t="shared" si="57"/>
        <v/>
      </c>
      <c r="HA26" s="342" t="str">
        <f t="shared" si="58"/>
        <v/>
      </c>
      <c r="HB26" s="5" t="str">
        <f t="shared" si="236"/>
        <v/>
      </c>
      <c r="HC26" s="343" t="str">
        <f t="shared" si="237"/>
        <v/>
      </c>
      <c r="HD26" s="363" t="str">
        <f t="shared" si="238"/>
        <v/>
      </c>
      <c r="HE26" s="344" t="str">
        <f t="shared" si="59"/>
        <v/>
      </c>
      <c r="HF26" s="5" t="str">
        <f t="shared" si="60"/>
        <v/>
      </c>
      <c r="HG26" s="343" t="str">
        <f t="shared" si="239"/>
        <v/>
      </c>
      <c r="HH26" s="349" t="str">
        <f t="shared" si="240"/>
        <v/>
      </c>
      <c r="HI26" s="317" t="str">
        <f t="shared" si="61"/>
        <v/>
      </c>
      <c r="HJ26" s="336"/>
      <c r="HK26" s="310" t="str">
        <f t="shared" si="131"/>
        <v/>
      </c>
      <c r="HL26" s="348" t="str">
        <f t="shared" si="62"/>
        <v/>
      </c>
      <c r="HM26" s="923" t="str">
        <f t="shared" si="63"/>
        <v/>
      </c>
      <c r="HN26" s="924" t="str">
        <f t="shared" si="64"/>
        <v/>
      </c>
      <c r="HO26" s="925"/>
      <c r="HP26" s="926"/>
      <c r="HQ26" s="924" t="str">
        <f t="shared" si="65"/>
        <v/>
      </c>
      <c r="HR26" s="927" t="str">
        <f t="shared" si="66"/>
        <v/>
      </c>
      <c r="HS26" s="879" t="str">
        <f t="shared" si="261"/>
        <v/>
      </c>
      <c r="HT26" s="889" t="str">
        <f t="shared" si="67"/>
        <v/>
      </c>
      <c r="HU26" s="890" t="str">
        <f t="shared" si="68"/>
        <v/>
      </c>
      <c r="HV26" s="886" t="str">
        <f t="shared" si="69"/>
        <v/>
      </c>
      <c r="HW26" s="880" t="str">
        <f t="shared" si="70"/>
        <v/>
      </c>
      <c r="HX26" s="881" t="str">
        <f t="shared" si="71"/>
        <v/>
      </c>
      <c r="HY26" s="880" t="str">
        <f t="shared" si="72"/>
        <v/>
      </c>
      <c r="HZ26" s="882" t="str">
        <f t="shared" si="73"/>
        <v/>
      </c>
      <c r="IA26" s="883" t="str">
        <f t="shared" si="74"/>
        <v/>
      </c>
      <c r="IB26" s="884" t="str">
        <f t="shared" si="75"/>
        <v/>
      </c>
      <c r="IC26" s="855" t="str">
        <f t="shared" si="76"/>
        <v/>
      </c>
      <c r="ID26" s="351" t="str">
        <f t="shared" si="77"/>
        <v/>
      </c>
      <c r="IE26" s="857" t="str">
        <f t="shared" si="78"/>
        <v/>
      </c>
      <c r="IF26" s="858"/>
      <c r="IG26" s="790" t="str">
        <f>IFERROR(IF($IW26="","",IF($IW26&lt;(((Settings!$C$19/2)*-1)*$IG$8),"Taper","Nose")),"")</f>
        <v/>
      </c>
      <c r="IH26" s="482" t="str">
        <f>IFERROR(IF((((($IY26*COS(RADIANS(180-$JA26)))*COS(RADIANS($JA26)))-(($IZ26*SIN(RADIANS(180-$JA26)))*SIN(RADIANS($JA26))))+$IW26)&lt;(((Settings!$C$19+$IH$8)/2)*-1),"Gage",""),"")</f>
        <v/>
      </c>
      <c r="II26" s="788">
        <f t="shared" si="241"/>
        <v>3.1280000000000001</v>
      </c>
      <c r="IJ26" s="674" t="str" cm="1">
        <f t="array" ref="IJ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K26" s="677" t="str" cm="1">
        <f t="array" ref="IK26">IFERROR(ROUND(VALUE(IF($IJ26&lt;1,$IJ26+LARGE((IF($M$9:$M$150="",0,$M$9:$M$150)-MOD(IF($M$9:$M$150="",0,$M$9:$M$150),1)),1),$IJ26)),4),"")</f>
        <v/>
      </c>
      <c r="IL26" s="482">
        <f t="shared" si="79"/>
        <v>1313</v>
      </c>
      <c r="IM26" s="482" t="str">
        <f t="shared" si="242"/>
        <v/>
      </c>
      <c r="IN26" s="670" t="str">
        <f t="shared" si="81"/>
        <v/>
      </c>
      <c r="IO26" s="702"/>
      <c r="IP26" s="5" t="str">
        <f t="shared" si="82"/>
        <v/>
      </c>
      <c r="IQ26" s="714"/>
      <c r="IR26" s="9" t="str">
        <f t="shared" si="132"/>
        <v/>
      </c>
      <c r="IS26" s="5" t="str">
        <f t="shared" si="83"/>
        <v/>
      </c>
      <c r="IT26" s="5" t="str">
        <f t="shared" si="84"/>
        <v/>
      </c>
      <c r="IU26" s="5" t="str">
        <f t="shared" si="85"/>
        <v/>
      </c>
      <c r="IV26" s="670" t="str">
        <f t="shared" si="86"/>
        <v/>
      </c>
      <c r="IW26" s="9" t="str">
        <f t="shared" si="87"/>
        <v/>
      </c>
      <c r="IX26" s="5" t="str">
        <f t="shared" si="88"/>
        <v/>
      </c>
      <c r="IY26" s="5" t="str">
        <f t="shared" si="89"/>
        <v/>
      </c>
      <c r="IZ26" s="5" t="str">
        <f t="shared" si="90"/>
        <v/>
      </c>
      <c r="JA26" s="705" t="str">
        <f t="shared" si="91"/>
        <v/>
      </c>
      <c r="JC26" s="739"/>
      <c r="JD26" s="797" t="str" cm="1">
        <f t="array" ref="JD26">IF($JC26="","",COUNT(IF(IF($IK$9:$IK$150&lt;&gt;"",$IM$9:$IM$150,"")=$JC26,$II$9:$II$150,"")))</f>
        <v/>
      </c>
      <c r="JE26" s="5"/>
      <c r="JF26" s="5"/>
      <c r="JG26" s="10"/>
      <c r="JH26" s="236"/>
      <c r="JI26" s="744"/>
      <c r="JJ26" s="728"/>
      <c r="JK26" s="744"/>
      <c r="JM26" s="489">
        <f t="shared" si="133"/>
        <v>28</v>
      </c>
      <c r="JN26" s="960">
        <f>($JO26-SMALL($JO$9:$JO$88,1))/((Settings!$C$19/2)-((Settings!$C$19/2)-LARGE($JO$9:$JO$88,1))-SMALL($JO$9:$JO$88,1))</f>
        <v>0.88071393016335664</v>
      </c>
      <c r="JO26" s="162">
        <f t="shared" si="134"/>
        <v>3.3149319681289442</v>
      </c>
      <c r="JP26" s="961">
        <f t="shared" si="135"/>
        <v>-42.190940198569173</v>
      </c>
      <c r="JQ26" s="961">
        <f t="shared" si="136"/>
        <v>18.77899501425555</v>
      </c>
      <c r="JS26" s="82">
        <v>18</v>
      </c>
      <c r="JT26" s="322">
        <f t="shared" si="137"/>
        <v>2.5886028901004812</v>
      </c>
      <c r="JU26" s="963">
        <f t="shared" si="138"/>
        <v>0.66871180048645484</v>
      </c>
      <c r="JV26" s="961">
        <f>INDEX($JM$9:$JQ$88,MATCH($JS26,$JM$9:$JM$88,0),4)</f>
        <v>-15.037162544463204</v>
      </c>
      <c r="JW26" s="961">
        <f t="shared" si="92"/>
        <v>14.883502643063663</v>
      </c>
      <c r="JX26" s="1">
        <v>4.5540000000000003</v>
      </c>
      <c r="JY26" s="965">
        <f t="shared" si="139"/>
        <v>0.62023807772104589</v>
      </c>
      <c r="JZ26" s="973">
        <v>15.039299999999997</v>
      </c>
      <c r="KA26" s="410">
        <f t="shared" si="280"/>
        <v>-7.994760000000003</v>
      </c>
      <c r="KB26" s="977">
        <f t="shared" si="243"/>
        <v>18</v>
      </c>
      <c r="KC26" s="968" cm="1">
        <f t="array" ref="KC26">(((INDEX($JV$9:$JV$53,MATCH(INDEX($JU$9:$JU$53,MATCH(TRUE,INDEX($JU$9:$JU$53&gt;$JY26,0),)),$JU$9:$JU$53,0))-INDEX($JV$9:$JV$53,MATCH(INDEX($JU$9:$JU$53,MATCH(TRUE,INDEX($JU$9:$JU$53&gt;$JY26,0),)-1),$JU$9:$JU$53,0)))*(($JY26-INDEX($JU$9:$JU$53,MATCH(TRUE,INDEX($JU$9:$JU$53&gt;$JY26,0),)-1))/(INDEX($JU$9:$JU$53,MATCH(TRUE,INDEX($JU$9:$JU$53&gt;$JY26,0),))-INDEX($JU$9:$JU$53,MATCH(TRUE,INDEX($JU$9:$JU$53&gt;$JY26,0),)-1))))+INDEX($JV$9:$JV$53,MATCH(INDEX($JU$9:$JU$53,MATCH(TRUE,INDEX($JU$9:$JU$53&gt;$JY26,0),)-1),$JU$9:$JU$53,0)))</f>
        <v>-9.6736590559587938</v>
      </c>
      <c r="KD26" s="970">
        <v>-23.03406</v>
      </c>
      <c r="KE26" s="968">
        <f t="shared" si="140"/>
        <v>-13.360400944041206</v>
      </c>
      <c r="KF26" s="968" cm="1">
        <f t="array" ref="KF26">(((INDEX($JW$9:$JW$53,MATCH(INDEX($JU$9:$JU$53,MATCH(TRUE,INDEX($JU$9:$JU$53&gt;$JY26,0),)),$JU$9:$JU$53,0))-INDEX($JW$9:$JW$53,MATCH(INDEX($JU$9:$JU$53,MATCH(TRUE,INDEX($JU$9:$JU$53&gt;$JY26,0),)-1),$JU$9:$JU$53,0)))*(($JY26-INDEX($JU$9:$JU$53,MATCH(TRUE,INDEX($JU$9:$JU$53&gt;$JY26,0),)-1))/(INDEX($JU$9:$JU$53,MATCH(TRUE,INDEX($JU$9:$JU$53&gt;$JY26,0),))-INDEX($JU$9:$JU$53,MATCH(TRUE,INDEX($JU$9:$JU$53&gt;$JY26,0),)-1))))+INDEX($JW$9:$JW$53,MATCH(INDEX($JU$9:$JU$53,MATCH(TRUE,INDEX($JU$9:$JU$53&gt;$JY26,0),)-1),$JU$9:$JU$53,0)))</f>
        <v>14.916620091758523</v>
      </c>
      <c r="KG26" s="966">
        <f t="shared" si="244"/>
        <v>-3.9986266666666666</v>
      </c>
      <c r="KH26" s="966">
        <f t="shared" si="141"/>
        <v>-2.859511992627084E-2</v>
      </c>
      <c r="KJ26" s="31"/>
    </row>
    <row r="27" spans="1:296" ht="15" customHeight="1" x14ac:dyDescent="0.25">
      <c r="A27" s="75">
        <f t="shared" si="1"/>
        <v>0.02</v>
      </c>
      <c r="B27" s="578">
        <f t="shared" ref="B27:D27" si="294">IFERROR(O182+($A27*-E27),"")</f>
        <v>3.6444921149479792</v>
      </c>
      <c r="C27" s="572">
        <f t="shared" si="294"/>
        <v>-0.30697210590800006</v>
      </c>
      <c r="D27" s="576">
        <f t="shared" si="294"/>
        <v>-1.1247912027020683</v>
      </c>
      <c r="E27" s="580">
        <f t="shared" ref="E27:K27" si="295">R182</f>
        <v>0.47704067243714315</v>
      </c>
      <c r="F27" s="572">
        <f t="shared" si="295"/>
        <v>0.85596458975935874</v>
      </c>
      <c r="G27" s="579">
        <f t="shared" si="295"/>
        <v>0.19939111795366163</v>
      </c>
      <c r="H27" s="580">
        <f t="shared" si="295"/>
        <v>0.26450000000000001</v>
      </c>
      <c r="I27" s="572">
        <f t="shared" si="295"/>
        <v>0.52</v>
      </c>
      <c r="J27" s="483">
        <f t="shared" si="94"/>
        <v>3.1360000000000001</v>
      </c>
      <c r="K27" s="806">
        <f t="shared" si="295"/>
        <v>1313</v>
      </c>
      <c r="L27" s="309"/>
      <c r="M27" s="164">
        <f t="shared" si="4"/>
        <v>3.1360000000000001</v>
      </c>
      <c r="N27" s="575">
        <f t="shared" si="5"/>
        <v>3.6444921149479792</v>
      </c>
      <c r="O27" s="572">
        <f t="shared" si="6"/>
        <v>-0.30697210590800006</v>
      </c>
      <c r="P27" s="576">
        <f t="shared" si="7"/>
        <v>-1.1247912027020683</v>
      </c>
      <c r="Q27" s="528">
        <f t="shared" si="144"/>
        <v>355.18539529395082</v>
      </c>
      <c r="R27" s="572">
        <f t="shared" si="95"/>
        <v>3.6573972507404204</v>
      </c>
      <c r="S27" s="577">
        <f t="shared" si="96"/>
        <v>-1.1247912027020683</v>
      </c>
      <c r="T27" s="578">
        <f t="shared" si="97"/>
        <v>-0.19851076298960632</v>
      </c>
      <c r="U27" s="572">
        <f t="shared" si="98"/>
        <v>-3.6520060414381668</v>
      </c>
      <c r="V27" s="579">
        <f t="shared" si="145"/>
        <v>-1.1247912027020683</v>
      </c>
      <c r="W27" s="528">
        <f t="shared" si="268"/>
        <v>266.88865606362583</v>
      </c>
      <c r="X27" s="572">
        <f t="shared" si="99"/>
        <v>3.6573972507404204</v>
      </c>
      <c r="Y27" s="573">
        <f t="shared" si="271"/>
        <v>-1.1247912027020683</v>
      </c>
      <c r="Z27" s="575">
        <f t="shared" si="10"/>
        <v>-0.47704067243714315</v>
      </c>
      <c r="AA27" s="572">
        <f t="shared" si="11"/>
        <v>-0.85596458975935874</v>
      </c>
      <c r="AB27" s="572">
        <f t="shared" si="12"/>
        <v>-0.19939111795366163</v>
      </c>
      <c r="AC27" s="579">
        <f t="shared" si="100"/>
        <v>1</v>
      </c>
      <c r="AD27" s="580">
        <f t="shared" si="146"/>
        <v>-0.47704067243714315</v>
      </c>
      <c r="AE27" s="572">
        <f t="shared" si="101"/>
        <v>-0.85596458975935874</v>
      </c>
      <c r="AF27" s="576">
        <f t="shared" si="102"/>
        <v>-0.19939111795366163</v>
      </c>
      <c r="AG27" s="545">
        <f t="shared" si="103"/>
        <v>-76.887179162120503</v>
      </c>
      <c r="AH27" s="546">
        <f t="shared" si="104"/>
        <v>118.4923013708238</v>
      </c>
      <c r="AI27" s="528">
        <f t="shared" si="105"/>
        <v>-78.498644465248887</v>
      </c>
      <c r="AJ27" s="529">
        <f t="shared" si="106"/>
        <v>-29.131516682636093</v>
      </c>
      <c r="AK27" s="578">
        <f t="shared" si="247"/>
        <v>0.89298322111804529</v>
      </c>
      <c r="AL27" s="572">
        <f t="shared" si="107"/>
        <v>-0.40351474431900169</v>
      </c>
      <c r="AM27" s="577">
        <f t="shared" si="108"/>
        <v>-0.19939111795366163</v>
      </c>
      <c r="AN27" s="524">
        <f t="shared" si="109"/>
        <v>-63.704369737192849</v>
      </c>
      <c r="AO27" s="525">
        <f t="shared" si="110"/>
        <v>26.749455459427928</v>
      </c>
      <c r="AP27" s="528">
        <f t="shared" si="111"/>
        <v>-24.316911976586894</v>
      </c>
      <c r="AQ27" s="529">
        <f t="shared" si="13"/>
        <v>0.74794078298526701</v>
      </c>
      <c r="AR27" s="979"/>
      <c r="AS27" s="954">
        <f t="shared" si="147"/>
        <v>266.88865606362583</v>
      </c>
      <c r="AT27" s="950">
        <f t="shared" si="14"/>
        <v>-1.0487966477598458</v>
      </c>
      <c r="AU27" s="418"/>
      <c r="AV27" s="164" t="str">
        <f t="shared" si="15"/>
        <v/>
      </c>
      <c r="AW27" s="829" t="str">
        <f>IFERROR(INDEX(MassProp!C$9:C$150,MATCH($M27,MassProp!$B$9:$B$150,0)),"")</f>
        <v/>
      </c>
      <c r="AX27" s="830" t="str">
        <f>IFERROR(INDEX(MassProp!D$9:D$150,MATCH($M27,MassProp!$B$9:$B$150,0)),"")</f>
        <v/>
      </c>
      <c r="AY27" s="831" t="str">
        <f>IFERROR(INDEX(MassProp!E$9:E$150,MATCH($M27,MassProp!$B$9:$B$150,0)),"")</f>
        <v/>
      </c>
      <c r="AZ27" s="297" t="str">
        <f t="shared" si="148"/>
        <v/>
      </c>
      <c r="BA27" s="296" t="str">
        <f t="shared" si="16"/>
        <v/>
      </c>
      <c r="BB27" s="190" t="str">
        <f t="shared" si="149"/>
        <v/>
      </c>
      <c r="BC27" s="9"/>
      <c r="BD27" s="5" t="str">
        <f t="shared" si="150"/>
        <v/>
      </c>
      <c r="BE27" s="6" t="str">
        <f t="shared" si="17"/>
        <v/>
      </c>
      <c r="BF27" s="4" t="str">
        <f t="shared" si="18"/>
        <v/>
      </c>
      <c r="BG27" s="5" t="str">
        <f t="shared" si="19"/>
        <v/>
      </c>
      <c r="BH27" s="10" t="str">
        <f t="shared" si="20"/>
        <v/>
      </c>
      <c r="BI27" s="9" t="str">
        <f>IF(ISNUMBER($AV27),BF27+0,"")</f>
        <v/>
      </c>
      <c r="BJ27" s="5" t="str">
        <f t="shared" si="21"/>
        <v/>
      </c>
      <c r="BK27" s="8" t="str">
        <f t="shared" si="22"/>
        <v/>
      </c>
      <c r="BL27" s="173" t="str">
        <f t="shared" si="23"/>
        <v/>
      </c>
      <c r="BM27" s="5" t="str">
        <f t="shared" si="24"/>
        <v/>
      </c>
      <c r="BN27" s="6" t="str">
        <f t="shared" si="25"/>
        <v/>
      </c>
      <c r="BO27" s="4" t="str">
        <f t="shared" si="152"/>
        <v/>
      </c>
      <c r="BP27" s="5" t="str">
        <f t="shared" si="153"/>
        <v/>
      </c>
      <c r="BQ27" s="5" t="str">
        <f t="shared" si="154"/>
        <v/>
      </c>
      <c r="BR27" s="6" t="str">
        <f t="shared" si="155"/>
        <v/>
      </c>
      <c r="BS27" s="4" t="str">
        <f t="shared" si="112"/>
        <v/>
      </c>
      <c r="BT27" s="5" t="str">
        <f t="shared" si="112"/>
        <v/>
      </c>
      <c r="BU27" s="10" t="str">
        <f t="shared" si="113"/>
        <v/>
      </c>
      <c r="BV27" s="9" t="str">
        <f t="shared" si="114"/>
        <v/>
      </c>
      <c r="BW27" s="5" t="str">
        <f t="shared" si="115"/>
        <v/>
      </c>
      <c r="BX27" s="8" t="str">
        <f t="shared" si="116"/>
        <v/>
      </c>
      <c r="BY27" s="173" t="str">
        <f t="shared" si="117"/>
        <v/>
      </c>
      <c r="BZ27" s="5" t="str">
        <f t="shared" si="118"/>
        <v/>
      </c>
      <c r="CA27" s="6" t="str">
        <f t="shared" si="119"/>
        <v/>
      </c>
      <c r="CB27" s="4" t="str">
        <f t="shared" si="156"/>
        <v/>
      </c>
      <c r="CC27" s="5" t="str">
        <f t="shared" si="157"/>
        <v/>
      </c>
      <c r="CD27" s="5" t="str">
        <f t="shared" si="158"/>
        <v/>
      </c>
      <c r="CE27" s="6" t="str">
        <f t="shared" si="159"/>
        <v/>
      </c>
      <c r="CF27" s="4" t="str">
        <f t="shared" si="160"/>
        <v/>
      </c>
      <c r="CG27" s="5" t="str">
        <f t="shared" si="161"/>
        <v/>
      </c>
      <c r="CH27" s="5" t="str">
        <f t="shared" si="162"/>
        <v/>
      </c>
      <c r="CI27" s="4" t="str">
        <f t="shared" si="120"/>
        <v/>
      </c>
      <c r="CJ27" s="5" t="str">
        <f t="shared" si="121"/>
        <v/>
      </c>
      <c r="CK27" s="8" t="str">
        <f t="shared" si="122"/>
        <v/>
      </c>
      <c r="CL27" s="173" t="str">
        <f t="shared" si="123"/>
        <v/>
      </c>
      <c r="CM27" s="5" t="str">
        <f t="shared" si="124"/>
        <v/>
      </c>
      <c r="CN27" s="6" t="str">
        <f t="shared" si="125"/>
        <v/>
      </c>
      <c r="CO27" s="167" t="str">
        <f t="shared" si="26"/>
        <v/>
      </c>
      <c r="CP27" s="4" t="str">
        <f t="shared" si="248"/>
        <v/>
      </c>
      <c r="CQ27" s="5" t="str">
        <f t="shared" si="249"/>
        <v/>
      </c>
      <c r="CR27" s="5" t="str">
        <f t="shared" si="163"/>
        <v/>
      </c>
      <c r="CS27" s="8" t="str">
        <f>IF(ISNUMBER($AV27),CQ27^2-(4*CP27*CR27),"")</f>
        <v/>
      </c>
      <c r="CT27" s="9" t="str">
        <f t="shared" si="165"/>
        <v/>
      </c>
      <c r="CU27" s="6" t="str">
        <f t="shared" si="166"/>
        <v/>
      </c>
      <c r="CV27" s="4" t="str">
        <f t="shared" si="250"/>
        <v/>
      </c>
      <c r="CW27" s="5" t="str">
        <f t="shared" si="167"/>
        <v/>
      </c>
      <c r="CX27" s="8" t="str">
        <f t="shared" si="168"/>
        <v/>
      </c>
      <c r="CY27" s="9" t="str">
        <f t="shared" si="169"/>
        <v/>
      </c>
      <c r="CZ27" s="5" t="str">
        <f t="shared" si="170"/>
        <v/>
      </c>
      <c r="DA27" s="6" t="str">
        <f t="shared" si="171"/>
        <v/>
      </c>
      <c r="DB27" s="4" t="str">
        <f t="shared" si="172"/>
        <v/>
      </c>
      <c r="DC27" s="5" t="str">
        <f t="shared" si="172"/>
        <v/>
      </c>
      <c r="DD27" s="10" t="str">
        <f t="shared" si="173"/>
        <v/>
      </c>
      <c r="DE27" s="9" t="str">
        <f t="shared" si="174"/>
        <v/>
      </c>
      <c r="DF27" s="5" t="str">
        <f t="shared" si="174"/>
        <v/>
      </c>
      <c r="DG27" s="10" t="str">
        <f t="shared" si="175"/>
        <v/>
      </c>
      <c r="DH27" s="70" t="str">
        <f t="shared" si="176"/>
        <v/>
      </c>
      <c r="DI27" s="4" t="str">
        <f t="shared" si="177"/>
        <v/>
      </c>
      <c r="DJ27" s="5" t="str">
        <f t="shared" si="178"/>
        <v/>
      </c>
      <c r="DK27" s="10" t="str">
        <f t="shared" si="179"/>
        <v/>
      </c>
      <c r="DL27" s="9" t="str">
        <f t="shared" si="180"/>
        <v/>
      </c>
      <c r="DM27" s="173" t="str">
        <f t="shared" si="181"/>
        <v/>
      </c>
      <c r="DN27" s="178" t="str">
        <f t="shared" si="182"/>
        <v/>
      </c>
      <c r="DO27" s="9" t="str">
        <f t="shared" si="183"/>
        <v/>
      </c>
      <c r="DP27" s="173" t="str">
        <f t="shared" si="184"/>
        <v/>
      </c>
      <c r="DQ27" s="11" t="str">
        <f t="shared" si="185"/>
        <v/>
      </c>
      <c r="DR27" s="173" t="str">
        <f t="shared" si="186"/>
        <v/>
      </c>
      <c r="DS27" s="5" t="str">
        <f t="shared" si="187"/>
        <v/>
      </c>
      <c r="DT27" s="5" t="str">
        <f t="shared" si="188"/>
        <v/>
      </c>
      <c r="DU27" s="5" t="str">
        <f t="shared" si="189"/>
        <v/>
      </c>
      <c r="DV27" s="5" t="str">
        <f t="shared" si="190"/>
        <v/>
      </c>
      <c r="DW27" s="5" t="str">
        <f t="shared" si="191"/>
        <v/>
      </c>
      <c r="DX27" s="167" t="str">
        <f t="shared" si="192"/>
        <v/>
      </c>
      <c r="DY27" s="9" t="str">
        <f t="shared" si="193"/>
        <v/>
      </c>
      <c r="DZ27" s="5" t="str">
        <f t="shared" si="194"/>
        <v/>
      </c>
      <c r="EA27" s="10" t="str">
        <f t="shared" si="195"/>
        <v/>
      </c>
      <c r="EB27" s="6" t="str">
        <f t="shared" si="196"/>
        <v/>
      </c>
      <c r="EC27" s="173" t="str">
        <f t="shared" si="197"/>
        <v/>
      </c>
      <c r="ED27" s="5" t="str">
        <f t="shared" si="198"/>
        <v/>
      </c>
      <c r="EE27" s="4" t="str">
        <f t="shared" si="199"/>
        <v/>
      </c>
      <c r="EF27" s="5" t="str">
        <f t="shared" si="200"/>
        <v/>
      </c>
      <c r="EG27" s="10" t="str">
        <f t="shared" si="201"/>
        <v/>
      </c>
      <c r="EH27" s="9" t="str">
        <f t="shared" si="202"/>
        <v/>
      </c>
      <c r="EI27" s="5" t="str">
        <f t="shared" si="203"/>
        <v/>
      </c>
      <c r="EJ27" s="6" t="str">
        <f t="shared" si="204"/>
        <v/>
      </c>
      <c r="EK27" s="236" t="str">
        <f t="shared" si="205"/>
        <v/>
      </c>
      <c r="EL27" s="238" t="str">
        <f t="shared" si="206"/>
        <v/>
      </c>
      <c r="EM27" s="4" t="str">
        <f t="shared" si="207"/>
        <v/>
      </c>
      <c r="EN27" s="5" t="str">
        <f t="shared" si="208"/>
        <v/>
      </c>
      <c r="EO27" s="10" t="str">
        <f t="shared" si="209"/>
        <v/>
      </c>
      <c r="EP27" s="9" t="str">
        <f t="shared" si="210"/>
        <v/>
      </c>
      <c r="EQ27" s="5" t="str">
        <f t="shared" si="211"/>
        <v/>
      </c>
      <c r="ER27" s="7" t="str">
        <f t="shared" si="212"/>
        <v/>
      </c>
      <c r="ES27" s="21" t="str">
        <f t="shared" si="126"/>
        <v/>
      </c>
      <c r="ET27" s="5" t="str">
        <f t="shared" si="35"/>
        <v/>
      </c>
      <c r="EU27" s="10" t="str">
        <f t="shared" si="36"/>
        <v/>
      </c>
      <c r="EV27" s="174" t="str">
        <f t="shared" si="264"/>
        <v/>
      </c>
      <c r="EW27" s="9" t="str">
        <f t="shared" si="127"/>
        <v/>
      </c>
      <c r="EX27" s="5" t="str">
        <f t="shared" si="37"/>
        <v/>
      </c>
      <c r="EY27" s="6" t="str">
        <f t="shared" si="213"/>
        <v/>
      </c>
      <c r="EZ27" s="51" t="str">
        <f t="shared" si="214"/>
        <v/>
      </c>
      <c r="FA27" s="266" t="str">
        <f t="shared" si="128"/>
        <v/>
      </c>
      <c r="FB27" s="267" t="str">
        <f t="shared" si="129"/>
        <v/>
      </c>
      <c r="FC27" s="269" t="str">
        <f t="shared" si="38"/>
        <v/>
      </c>
      <c r="FD27" s="4" t="str">
        <f t="shared" si="130"/>
        <v/>
      </c>
      <c r="FE27" s="5" t="str">
        <f t="shared" si="39"/>
        <v/>
      </c>
      <c r="FF27" s="7" t="str">
        <f t="shared" si="215"/>
        <v/>
      </c>
      <c r="FG27" s="173" t="str">
        <f t="shared" si="216"/>
        <v/>
      </c>
      <c r="FH27" s="5" t="str">
        <f t="shared" si="40"/>
        <v/>
      </c>
      <c r="FI27" s="10" t="str">
        <f t="shared" si="41"/>
        <v/>
      </c>
      <c r="FJ27" s="279" t="str">
        <f t="shared" si="217"/>
        <v/>
      </c>
      <c r="FK27" s="4" t="str">
        <f t="shared" si="42"/>
        <v/>
      </c>
      <c r="FL27" s="5" t="str">
        <f t="shared" si="218"/>
        <v/>
      </c>
      <c r="FM27" s="8" t="str">
        <f t="shared" si="219"/>
        <v/>
      </c>
      <c r="FN27" s="9" t="str">
        <f t="shared" si="220"/>
        <v/>
      </c>
      <c r="FO27" s="10" t="str">
        <f t="shared" si="43"/>
        <v/>
      </c>
      <c r="FP27" s="277" t="str">
        <f t="shared" si="44"/>
        <v/>
      </c>
      <c r="FQ27" s="173" t="str">
        <f t="shared" si="251"/>
        <v/>
      </c>
      <c r="FR27" s="10" t="str">
        <f t="shared" si="221"/>
        <v/>
      </c>
      <c r="FS27" s="9" t="str">
        <f t="shared" si="222"/>
        <v/>
      </c>
      <c r="FT27" s="6" t="str">
        <f t="shared" si="223"/>
        <v/>
      </c>
      <c r="FU27" s="4" t="str">
        <f t="shared" si="224"/>
        <v/>
      </c>
      <c r="FV27" s="5" t="str">
        <f t="shared" si="225"/>
        <v/>
      </c>
      <c r="FW27" s="8" t="str">
        <f t="shared" si="252"/>
        <v/>
      </c>
      <c r="FX27" s="9" t="str">
        <f t="shared" si="253"/>
        <v/>
      </c>
      <c r="FY27" s="10" t="str">
        <f t="shared" si="45"/>
        <v/>
      </c>
      <c r="FZ27" s="277" t="str">
        <f t="shared" si="254"/>
        <v/>
      </c>
      <c r="GA27" s="177" t="str">
        <f t="shared" si="226"/>
        <v/>
      </c>
      <c r="GB27" s="4" t="str">
        <f t="shared" si="227"/>
        <v/>
      </c>
      <c r="GC27" s="5" t="str">
        <f t="shared" si="228"/>
        <v/>
      </c>
      <c r="GD27" s="10" t="str">
        <f t="shared" si="229"/>
        <v/>
      </c>
      <c r="GE27" s="311" t="str">
        <f t="shared" si="230"/>
        <v/>
      </c>
      <c r="GF27" s="341" t="str">
        <f t="shared" si="255"/>
        <v/>
      </c>
      <c r="GG27" s="285" t="str">
        <f t="shared" si="46"/>
        <v/>
      </c>
      <c r="GH27" s="286" t="str">
        <f t="shared" si="47"/>
        <v/>
      </c>
      <c r="GI27" s="281" t="str">
        <f t="shared" si="48"/>
        <v/>
      </c>
      <c r="GJ27" s="167" t="str">
        <f t="shared" si="231"/>
        <v/>
      </c>
      <c r="GK27" s="174" t="str">
        <f t="shared" si="49"/>
        <v/>
      </c>
      <c r="GL27" s="174" t="str">
        <f t="shared" si="232"/>
        <v/>
      </c>
      <c r="GM27" s="177" t="str">
        <f t="shared" si="256"/>
        <v/>
      </c>
      <c r="GN27" s="280" t="str">
        <f t="shared" si="233"/>
        <v/>
      </c>
      <c r="GO27" s="4" t="str">
        <f t="shared" si="234"/>
        <v/>
      </c>
      <c r="GP27" s="8" t="str">
        <f t="shared" si="257"/>
        <v/>
      </c>
      <c r="GQ27" s="177" t="str">
        <f t="shared" si="235"/>
        <v/>
      </c>
      <c r="GR27" s="371" t="str">
        <f t="shared" si="258"/>
        <v/>
      </c>
      <c r="GS27" s="342" t="str">
        <f t="shared" si="51"/>
        <v/>
      </c>
      <c r="GT27" s="343" t="str">
        <f t="shared" si="52"/>
        <v/>
      </c>
      <c r="GU27" s="344" t="str">
        <f t="shared" si="53"/>
        <v/>
      </c>
      <c r="GV27" s="343" t="str">
        <f t="shared" si="265"/>
        <v/>
      </c>
      <c r="GW27" s="345" t="str">
        <f t="shared" si="54"/>
        <v/>
      </c>
      <c r="GX27" s="346" t="str">
        <f t="shared" si="55"/>
        <v/>
      </c>
      <c r="GY27" s="344" t="str">
        <f t="shared" si="56"/>
        <v/>
      </c>
      <c r="GZ27" s="345" t="str">
        <f t="shared" si="57"/>
        <v/>
      </c>
      <c r="HA27" s="342" t="str">
        <f t="shared" si="58"/>
        <v/>
      </c>
      <c r="HB27" s="5" t="str">
        <f t="shared" si="236"/>
        <v/>
      </c>
      <c r="HC27" s="343" t="str">
        <f t="shared" si="237"/>
        <v/>
      </c>
      <c r="HD27" s="363" t="str">
        <f t="shared" si="238"/>
        <v/>
      </c>
      <c r="HE27" s="344" t="str">
        <f t="shared" si="59"/>
        <v/>
      </c>
      <c r="HF27" s="5" t="str">
        <f t="shared" si="60"/>
        <v/>
      </c>
      <c r="HG27" s="343" t="str">
        <f t="shared" si="239"/>
        <v/>
      </c>
      <c r="HH27" s="349" t="str">
        <f t="shared" si="240"/>
        <v/>
      </c>
      <c r="HI27" s="317" t="str">
        <f t="shared" si="61"/>
        <v/>
      </c>
      <c r="HJ27" s="336"/>
      <c r="HK27" s="310" t="str">
        <f t="shared" si="131"/>
        <v/>
      </c>
      <c r="HL27" s="348" t="str">
        <f t="shared" si="62"/>
        <v/>
      </c>
      <c r="HM27" s="923" t="str">
        <f t="shared" si="63"/>
        <v/>
      </c>
      <c r="HN27" s="924" t="str">
        <f t="shared" si="64"/>
        <v/>
      </c>
      <c r="HO27" s="925"/>
      <c r="HP27" s="926"/>
      <c r="HQ27" s="924" t="str">
        <f t="shared" si="65"/>
        <v/>
      </c>
      <c r="HR27" s="927" t="str">
        <f t="shared" si="66"/>
        <v/>
      </c>
      <c r="HS27" s="879" t="str">
        <f t="shared" si="261"/>
        <v/>
      </c>
      <c r="HT27" s="889" t="str">
        <f t="shared" si="67"/>
        <v/>
      </c>
      <c r="HU27" s="890" t="str">
        <f t="shared" si="68"/>
        <v/>
      </c>
      <c r="HV27" s="886" t="str">
        <f t="shared" si="69"/>
        <v/>
      </c>
      <c r="HW27" s="880" t="str">
        <f t="shared" si="70"/>
        <v/>
      </c>
      <c r="HX27" s="881" t="str">
        <f t="shared" si="71"/>
        <v/>
      </c>
      <c r="HY27" s="880" t="str">
        <f t="shared" si="72"/>
        <v/>
      </c>
      <c r="HZ27" s="882" t="str">
        <f t="shared" si="73"/>
        <v/>
      </c>
      <c r="IA27" s="883" t="str">
        <f t="shared" si="74"/>
        <v/>
      </c>
      <c r="IB27" s="884" t="str">
        <f t="shared" si="75"/>
        <v/>
      </c>
      <c r="IC27" s="855" t="str">
        <f t="shared" si="76"/>
        <v/>
      </c>
      <c r="ID27" s="351" t="str">
        <f t="shared" si="77"/>
        <v/>
      </c>
      <c r="IE27" s="857" t="str">
        <f t="shared" si="78"/>
        <v/>
      </c>
      <c r="IF27" s="858"/>
      <c r="IG27" s="790" t="str">
        <f>IFERROR(IF($IW27="","",IF($IW27&lt;(((Settings!$C$19/2)*-1)*$IG$8),"Taper","Nose")),"")</f>
        <v/>
      </c>
      <c r="IH27" s="482" t="str">
        <f>IFERROR(IF((((($IY27*COS(RADIANS(180-$JA27)))*COS(RADIANS($JA27)))-(($IZ27*SIN(RADIANS(180-$JA27)))*SIN(RADIANS($JA27))))+$IW27)&lt;(((Settings!$C$19+$IH$8)/2)*-1),"Gage",""),"")</f>
        <v/>
      </c>
      <c r="II27" s="788">
        <f t="shared" si="241"/>
        <v>3.1360000000000001</v>
      </c>
      <c r="IJ27" s="674" t="str" cm="1">
        <f t="array" ref="IJ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K27" s="677" t="str" cm="1">
        <f t="array" ref="IK27">IFERROR(ROUND(VALUE(IF($IJ27&lt;1,$IJ27+LARGE((IF($M$9:$M$150="",0,$M$9:$M$150)-MOD(IF($M$9:$M$150="",0,$M$9:$M$150),1)),1),$IJ27)),4),"")</f>
        <v/>
      </c>
      <c r="IL27" s="482">
        <f t="shared" si="79"/>
        <v>1313</v>
      </c>
      <c r="IM27" s="482" t="str">
        <f t="shared" si="242"/>
        <v/>
      </c>
      <c r="IN27" s="670" t="str">
        <f t="shared" si="81"/>
        <v/>
      </c>
      <c r="IO27" s="702"/>
      <c r="IP27" s="5" t="str">
        <f t="shared" si="82"/>
        <v/>
      </c>
      <c r="IQ27" s="714"/>
      <c r="IR27" s="9" t="str">
        <f t="shared" si="132"/>
        <v/>
      </c>
      <c r="IS27" s="5" t="str">
        <f t="shared" si="83"/>
        <v/>
      </c>
      <c r="IT27" s="5" t="str">
        <f t="shared" si="84"/>
        <v/>
      </c>
      <c r="IU27" s="5" t="str">
        <f t="shared" si="85"/>
        <v/>
      </c>
      <c r="IV27" s="670" t="str">
        <f t="shared" si="86"/>
        <v/>
      </c>
      <c r="IW27" s="9" t="str">
        <f t="shared" si="87"/>
        <v/>
      </c>
      <c r="IX27" s="5" t="str">
        <f t="shared" si="88"/>
        <v/>
      </c>
      <c r="IY27" s="5" t="str">
        <f t="shared" si="89"/>
        <v/>
      </c>
      <c r="IZ27" s="5" t="str">
        <f t="shared" si="90"/>
        <v/>
      </c>
      <c r="JA27" s="705" t="str">
        <f t="shared" si="91"/>
        <v/>
      </c>
      <c r="JC27" s="739"/>
      <c r="JD27" s="797" t="str" cm="1">
        <f t="array" ref="JD27">IF($JC27="","",COUNT(IF(IF($IK$9:$IK$150&lt;&gt;"",$IM$9:$IM$150,"")=$JC27,$II$9:$II$150,"")))</f>
        <v/>
      </c>
      <c r="JE27" s="5"/>
      <c r="JF27" s="5"/>
      <c r="JG27" s="10"/>
      <c r="JH27" s="236"/>
      <c r="JI27" s="744"/>
      <c r="JJ27" s="728"/>
      <c r="JK27" s="744"/>
      <c r="JM27" s="489">
        <f t="shared" si="133"/>
        <v>36</v>
      </c>
      <c r="JN27" s="960">
        <f>($JO27-SMALL($JO$9:$JO$88,1))/((Settings!$C$19/2)-((Settings!$C$19/2)-LARGE($JO$9:$JO$88,1))-SMALL($JO$9:$JO$88,1))</f>
        <v>0.9806732618909374</v>
      </c>
      <c r="JO27" s="162">
        <f t="shared" si="134"/>
        <v>3.6573972507404204</v>
      </c>
      <c r="JP27" s="961">
        <f t="shared" si="135"/>
        <v>-63.704369737192849</v>
      </c>
      <c r="JQ27" s="961">
        <f t="shared" si="136"/>
        <v>26.749455459427928</v>
      </c>
      <c r="JS27" s="82">
        <v>19</v>
      </c>
      <c r="JT27" s="322">
        <f t="shared" si="137"/>
        <v>2.6705746972224964</v>
      </c>
      <c r="JU27" s="963">
        <f t="shared" si="138"/>
        <v>0.69263786679582329</v>
      </c>
      <c r="JV27" s="961">
        <f t="shared" si="287"/>
        <v>-17.736597664348576</v>
      </c>
      <c r="JW27" s="961">
        <f t="shared" si="92"/>
        <v>14.868653866963045</v>
      </c>
      <c r="JX27" s="1">
        <v>4.7994000000000003</v>
      </c>
      <c r="JY27" s="965">
        <f t="shared" si="139"/>
        <v>0.65634702255705479</v>
      </c>
      <c r="JZ27" s="973">
        <v>19.653199999999998</v>
      </c>
      <c r="KA27" s="410">
        <f t="shared" si="280"/>
        <v>-7.3795733333333331</v>
      </c>
      <c r="KB27" s="976">
        <f t="shared" si="243"/>
        <v>19</v>
      </c>
      <c r="KC27" s="968" cm="1">
        <f t="array" ref="KC27">(((INDEX($JV$9:$JV$53,MATCH(INDEX($JU$9:$JU$53,MATCH(TRUE,INDEX($JU$9:$JU$53&gt;$JY27,0),)),$JU$9:$JU$53,0))-INDEX($JV$9:$JV$53,MATCH(INDEX($JU$9:$JU$53,MATCH(TRUE,INDEX($JU$9:$JU$53&gt;$JY27,0),)-1),$JU$9:$JU$53,0)))*(($JY27-INDEX($JU$9:$JU$53,MATCH(TRUE,INDEX($JU$9:$JU$53&gt;$JY27,0),)-1))/(INDEX($JU$9:$JU$53,MATCH(TRUE,INDEX($JU$9:$JU$53&gt;$JY27,0),))-INDEX($JU$9:$JU$53,MATCH(TRUE,INDEX($JU$9:$JU$53&gt;$JY27,0),)-1))))+INDEX($JV$9:$JV$53,MATCH(INDEX($JU$9:$JU$53,MATCH(TRUE,INDEX($JU$9:$JU$53&gt;$JY27,0),)-1),$JU$9:$JU$53,0)))</f>
        <v>-13.661336036003544</v>
      </c>
      <c r="KD27" s="970">
        <v>-27.032773333333331</v>
      </c>
      <c r="KE27" s="968">
        <f t="shared" si="140"/>
        <v>-13.371437297329788</v>
      </c>
      <c r="KF27" s="968" cm="1">
        <f t="array" ref="KF27">(((INDEX($JW$9:$JW$53,MATCH(INDEX($JU$9:$JU$53,MATCH(TRUE,INDEX($JU$9:$JU$53&gt;$JY27,0),)),$JU$9:$JU$53,0))-INDEX($JW$9:$JW$53,MATCH(INDEX($JU$9:$JU$53,MATCH(TRUE,INDEX($JU$9:$JU$53&gt;$JY27,0),)-1),$JU$9:$JU$53,0)))*(($JY27-INDEX($JU$9:$JU$53,MATCH(TRUE,INDEX($JU$9:$JU$53&gt;$JY27,0),)-1))/(INDEX($JU$9:$JU$53,MATCH(TRUE,INDEX($JU$9:$JU$53&gt;$JY27,0),))-INDEX($JU$9:$JU$53,MATCH(TRUE,INDEX($JU$9:$JU$53&gt;$JY27,0),)-1))))+INDEX($JW$9:$JW$53,MATCH(INDEX($JU$9:$JU$53,MATCH(TRUE,INDEX($JU$9:$JU$53&gt;$JY27,0),)-1),$JU$9:$JU$53,0)))</f>
        <v>14.891672135540661</v>
      </c>
      <c r="KG27" s="966">
        <f t="shared" si="244"/>
        <v>-3.9987133333333311</v>
      </c>
      <c r="KH27" s="966">
        <f t="shared" si="141"/>
        <v>-2.4947956217861389E-2</v>
      </c>
      <c r="KJ27" s="31"/>
    </row>
    <row r="28" spans="1:296" ht="15" customHeight="1" x14ac:dyDescent="0.25">
      <c r="A28" s="75">
        <f t="shared" si="1"/>
        <v>0.02</v>
      </c>
      <c r="B28" s="578">
        <f t="shared" ref="B28:D28" si="296">IFERROR(O183+($A28*-E28),"")</f>
        <v>3.7097809051336132</v>
      </c>
      <c r="C28" s="572">
        <f t="shared" si="296"/>
        <v>-0.31921847287235239</v>
      </c>
      <c r="D28" s="576">
        <f t="shared" si="296"/>
        <v>-1.8000769858507215</v>
      </c>
      <c r="E28" s="580">
        <f t="shared" ref="E28:K28" si="297">R183</f>
        <v>0.56668748177328276</v>
      </c>
      <c r="F28" s="572">
        <f t="shared" si="297"/>
        <v>0.82277959279909252</v>
      </c>
      <c r="G28" s="579">
        <f t="shared" si="297"/>
        <v>4.3577972357774879E-2</v>
      </c>
      <c r="H28" s="580">
        <f t="shared" si="297"/>
        <v>0.26450000000000001</v>
      </c>
      <c r="I28" s="572">
        <f t="shared" si="297"/>
        <v>0.52</v>
      </c>
      <c r="J28" s="483">
        <f t="shared" si="94"/>
        <v>3.1440000000000001</v>
      </c>
      <c r="K28" s="806">
        <f t="shared" si="297"/>
        <v>1313</v>
      </c>
      <c r="L28" s="309"/>
      <c r="M28" s="164">
        <f t="shared" si="4"/>
        <v>3.1440000000000001</v>
      </c>
      <c r="N28" s="575">
        <f t="shared" si="5"/>
        <v>3.7097809051336132</v>
      </c>
      <c r="O28" s="572">
        <f t="shared" si="6"/>
        <v>-0.31921847287235239</v>
      </c>
      <c r="P28" s="576">
        <f t="shared" si="7"/>
        <v>-1.8000769858507215</v>
      </c>
      <c r="Q28" s="528">
        <f t="shared" si="144"/>
        <v>355.08193868425622</v>
      </c>
      <c r="R28" s="572">
        <f t="shared" si="95"/>
        <v>3.7234895994909034</v>
      </c>
      <c r="S28" s="577">
        <f t="shared" si="96"/>
        <v>-1.8000769858507215</v>
      </c>
      <c r="T28" s="578">
        <f t="shared" si="97"/>
        <v>-0.20881113193524303</v>
      </c>
      <c r="U28" s="572">
        <f t="shared" si="98"/>
        <v>-3.7176299854472945</v>
      </c>
      <c r="V28" s="579">
        <f t="shared" si="145"/>
        <v>-1.8000769858507215</v>
      </c>
      <c r="W28" s="528">
        <f t="shared" si="268"/>
        <v>266.78519945393123</v>
      </c>
      <c r="X28" s="572">
        <f t="shared" si="99"/>
        <v>3.7234895994909034</v>
      </c>
      <c r="Y28" s="573">
        <f t="shared" si="271"/>
        <v>-1.8000769858507215</v>
      </c>
      <c r="Z28" s="575">
        <f t="shared" si="10"/>
        <v>-0.56668748177328276</v>
      </c>
      <c r="AA28" s="572">
        <f t="shared" si="11"/>
        <v>-0.82277959279909252</v>
      </c>
      <c r="AB28" s="572">
        <f t="shared" si="12"/>
        <v>-4.3577972357774879E-2</v>
      </c>
      <c r="AC28" s="579">
        <f t="shared" si="100"/>
        <v>1</v>
      </c>
      <c r="AD28" s="580">
        <f t="shared" si="146"/>
        <v>-0.56668748177328276</v>
      </c>
      <c r="AE28" s="572">
        <f t="shared" si="101"/>
        <v>-0.82277959279909252</v>
      </c>
      <c r="AF28" s="576">
        <f t="shared" si="102"/>
        <v>-4.3577972357774879E-2</v>
      </c>
      <c r="AG28" s="545">
        <f t="shared" si="103"/>
        <v>-86.968200091262489</v>
      </c>
      <c r="AH28" s="546">
        <f t="shared" si="104"/>
        <v>124.51955529814028</v>
      </c>
      <c r="AI28" s="528">
        <f t="shared" si="105"/>
        <v>-87.502375163624507</v>
      </c>
      <c r="AJ28" s="529">
        <f t="shared" si="106"/>
        <v>-34.55703493063006</v>
      </c>
      <c r="AK28" s="578">
        <f t="shared" si="247"/>
        <v>0.86833306462553184</v>
      </c>
      <c r="AL28" s="572">
        <f t="shared" si="107"/>
        <v>-0.49406340605555604</v>
      </c>
      <c r="AM28" s="577">
        <f t="shared" si="108"/>
        <v>-4.3577972357774879E-2</v>
      </c>
      <c r="AN28" s="524">
        <f t="shared" si="109"/>
        <v>-84.959373709566435</v>
      </c>
      <c r="AO28" s="525">
        <f t="shared" si="110"/>
        <v>29.734495099119425</v>
      </c>
      <c r="AP28" s="528">
        <f t="shared" si="111"/>
        <v>-29.638973614886272</v>
      </c>
      <c r="AQ28" s="529">
        <f t="shared" si="13"/>
        <v>0.73466622032090967</v>
      </c>
      <c r="AR28" s="979"/>
      <c r="AS28" s="954">
        <f t="shared" si="147"/>
        <v>266.78519945393123</v>
      </c>
      <c r="AT28" s="950">
        <f t="shared" si="14"/>
        <v>-1.7239962170670868</v>
      </c>
      <c r="AU28" s="418"/>
      <c r="AV28" s="164" t="str">
        <f t="shared" si="15"/>
        <v/>
      </c>
      <c r="AW28" s="829" t="str">
        <f>IFERROR(INDEX(MassProp!C$9:C$150,MATCH($M28,MassProp!$B$9:$B$150,0)),"")</f>
        <v/>
      </c>
      <c r="AX28" s="830" t="str">
        <f>IFERROR(INDEX(MassProp!D$9:D$150,MATCH($M28,MassProp!$B$9:$B$150,0)),"")</f>
        <v/>
      </c>
      <c r="AY28" s="831" t="str">
        <f>IFERROR(INDEX(MassProp!E$9:E$150,MATCH($M28,MassProp!$B$9:$B$150,0)),"")</f>
        <v/>
      </c>
      <c r="AZ28" s="297" t="str">
        <f t="shared" si="148"/>
        <v/>
      </c>
      <c r="BA28" s="296" t="str">
        <f t="shared" si="16"/>
        <v/>
      </c>
      <c r="BB28" s="190" t="str">
        <f t="shared" si="149"/>
        <v/>
      </c>
      <c r="BC28" s="9"/>
      <c r="BD28" s="5" t="str">
        <f t="shared" si="150"/>
        <v/>
      </c>
      <c r="BE28" s="6" t="str">
        <f t="shared" si="17"/>
        <v/>
      </c>
      <c r="BF28" s="4" t="str">
        <f t="shared" si="18"/>
        <v/>
      </c>
      <c r="BG28" s="5" t="str">
        <f t="shared" si="19"/>
        <v/>
      </c>
      <c r="BH28" s="10" t="str">
        <f t="shared" si="20"/>
        <v/>
      </c>
      <c r="BI28" s="9" t="str">
        <f t="shared" si="151"/>
        <v/>
      </c>
      <c r="BJ28" s="5" t="str">
        <f t="shared" si="21"/>
        <v/>
      </c>
      <c r="BK28" s="8" t="str">
        <f t="shared" si="22"/>
        <v/>
      </c>
      <c r="BL28" s="173" t="str">
        <f t="shared" si="23"/>
        <v/>
      </c>
      <c r="BM28" s="5" t="str">
        <f t="shared" si="24"/>
        <v/>
      </c>
      <c r="BN28" s="6" t="str">
        <f t="shared" si="25"/>
        <v/>
      </c>
      <c r="BO28" s="4" t="str">
        <f t="shared" si="152"/>
        <v/>
      </c>
      <c r="BP28" s="5" t="str">
        <f t="shared" si="153"/>
        <v/>
      </c>
      <c r="BQ28" s="5" t="str">
        <f t="shared" si="154"/>
        <v/>
      </c>
      <c r="BR28" s="6" t="str">
        <f t="shared" si="155"/>
        <v/>
      </c>
      <c r="BS28" s="4" t="str">
        <f t="shared" si="112"/>
        <v/>
      </c>
      <c r="BT28" s="5" t="str">
        <f t="shared" si="112"/>
        <v/>
      </c>
      <c r="BU28" s="10" t="str">
        <f t="shared" si="113"/>
        <v/>
      </c>
      <c r="BV28" s="9" t="str">
        <f t="shared" si="114"/>
        <v/>
      </c>
      <c r="BW28" s="5" t="str">
        <f t="shared" si="115"/>
        <v/>
      </c>
      <c r="BX28" s="8" t="str">
        <f t="shared" si="116"/>
        <v/>
      </c>
      <c r="BY28" s="173" t="str">
        <f t="shared" si="117"/>
        <v/>
      </c>
      <c r="BZ28" s="5" t="str">
        <f t="shared" si="118"/>
        <v/>
      </c>
      <c r="CA28" s="6" t="str">
        <f t="shared" si="119"/>
        <v/>
      </c>
      <c r="CB28" s="4" t="str">
        <f t="shared" si="156"/>
        <v/>
      </c>
      <c r="CC28" s="5" t="str">
        <f t="shared" si="157"/>
        <v/>
      </c>
      <c r="CD28" s="5" t="str">
        <f t="shared" si="158"/>
        <v/>
      </c>
      <c r="CE28" s="6" t="str">
        <f t="shared" si="159"/>
        <v/>
      </c>
      <c r="CF28" s="4" t="str">
        <f t="shared" si="160"/>
        <v/>
      </c>
      <c r="CG28" s="5" t="str">
        <f t="shared" si="161"/>
        <v/>
      </c>
      <c r="CH28" s="5" t="str">
        <f t="shared" si="162"/>
        <v/>
      </c>
      <c r="CI28" s="4" t="str">
        <f t="shared" si="120"/>
        <v/>
      </c>
      <c r="CJ28" s="5" t="str">
        <f t="shared" si="121"/>
        <v/>
      </c>
      <c r="CK28" s="8" t="str">
        <f t="shared" si="122"/>
        <v/>
      </c>
      <c r="CL28" s="173" t="str">
        <f t="shared" si="123"/>
        <v/>
      </c>
      <c r="CM28" s="5" t="str">
        <f t="shared" si="124"/>
        <v/>
      </c>
      <c r="CN28" s="6" t="str">
        <f t="shared" si="125"/>
        <v/>
      </c>
      <c r="CO28" s="167" t="str">
        <f t="shared" si="26"/>
        <v/>
      </c>
      <c r="CP28" s="4" t="str">
        <f t="shared" si="248"/>
        <v/>
      </c>
      <c r="CQ28" s="5" t="str">
        <f t="shared" si="249"/>
        <v/>
      </c>
      <c r="CR28" s="5" t="str">
        <f t="shared" si="163"/>
        <v/>
      </c>
      <c r="CS28" s="8" t="str">
        <f t="shared" si="164"/>
        <v/>
      </c>
      <c r="CT28" s="9" t="str">
        <f t="shared" si="165"/>
        <v/>
      </c>
      <c r="CU28" s="6" t="str">
        <f t="shared" si="166"/>
        <v/>
      </c>
      <c r="CV28" s="4" t="str">
        <f t="shared" si="250"/>
        <v/>
      </c>
      <c r="CW28" s="5" t="str">
        <f t="shared" si="167"/>
        <v/>
      </c>
      <c r="CX28" s="8" t="str">
        <f t="shared" si="168"/>
        <v/>
      </c>
      <c r="CY28" s="9" t="str">
        <f t="shared" si="169"/>
        <v/>
      </c>
      <c r="CZ28" s="5" t="str">
        <f t="shared" si="170"/>
        <v/>
      </c>
      <c r="DA28" s="6" t="str">
        <f t="shared" si="171"/>
        <v/>
      </c>
      <c r="DB28" s="4" t="str">
        <f t="shared" si="172"/>
        <v/>
      </c>
      <c r="DC28" s="5" t="str">
        <f t="shared" si="172"/>
        <v/>
      </c>
      <c r="DD28" s="10" t="str">
        <f t="shared" si="173"/>
        <v/>
      </c>
      <c r="DE28" s="9" t="str">
        <f t="shared" si="174"/>
        <v/>
      </c>
      <c r="DF28" s="5" t="str">
        <f t="shared" si="174"/>
        <v/>
      </c>
      <c r="DG28" s="10" t="str">
        <f t="shared" si="175"/>
        <v/>
      </c>
      <c r="DH28" s="70" t="str">
        <f t="shared" si="176"/>
        <v/>
      </c>
      <c r="DI28" s="4" t="str">
        <f t="shared" si="177"/>
        <v/>
      </c>
      <c r="DJ28" s="5" t="str">
        <f t="shared" si="178"/>
        <v/>
      </c>
      <c r="DK28" s="10" t="str">
        <f t="shared" si="179"/>
        <v/>
      </c>
      <c r="DL28" s="9" t="str">
        <f t="shared" si="180"/>
        <v/>
      </c>
      <c r="DM28" s="173" t="str">
        <f t="shared" si="181"/>
        <v/>
      </c>
      <c r="DN28" s="178" t="str">
        <f t="shared" si="182"/>
        <v/>
      </c>
      <c r="DO28" s="9" t="str">
        <f t="shared" si="183"/>
        <v/>
      </c>
      <c r="DP28" s="173" t="str">
        <f t="shared" si="184"/>
        <v/>
      </c>
      <c r="DQ28" s="11" t="str">
        <f t="shared" si="185"/>
        <v/>
      </c>
      <c r="DR28" s="173" t="str">
        <f t="shared" si="186"/>
        <v/>
      </c>
      <c r="DS28" s="5" t="str">
        <f t="shared" si="187"/>
        <v/>
      </c>
      <c r="DT28" s="5" t="str">
        <f t="shared" si="188"/>
        <v/>
      </c>
      <c r="DU28" s="5" t="str">
        <f t="shared" si="189"/>
        <v/>
      </c>
      <c r="DV28" s="5" t="str">
        <f t="shared" si="190"/>
        <v/>
      </c>
      <c r="DW28" s="5" t="str">
        <f t="shared" si="191"/>
        <v/>
      </c>
      <c r="DX28" s="167" t="str">
        <f t="shared" si="192"/>
        <v/>
      </c>
      <c r="DY28" s="9" t="str">
        <f t="shared" si="193"/>
        <v/>
      </c>
      <c r="DZ28" s="5" t="str">
        <f t="shared" si="194"/>
        <v/>
      </c>
      <c r="EA28" s="10" t="str">
        <f t="shared" si="195"/>
        <v/>
      </c>
      <c r="EB28" s="6" t="str">
        <f t="shared" si="196"/>
        <v/>
      </c>
      <c r="EC28" s="173" t="str">
        <f t="shared" si="197"/>
        <v/>
      </c>
      <c r="ED28" s="5" t="str">
        <f t="shared" si="198"/>
        <v/>
      </c>
      <c r="EE28" s="4" t="str">
        <f t="shared" si="199"/>
        <v/>
      </c>
      <c r="EF28" s="5" t="str">
        <f t="shared" si="200"/>
        <v/>
      </c>
      <c r="EG28" s="10" t="str">
        <f t="shared" si="201"/>
        <v/>
      </c>
      <c r="EH28" s="9" t="str">
        <f t="shared" si="202"/>
        <v/>
      </c>
      <c r="EI28" s="5" t="str">
        <f t="shared" si="203"/>
        <v/>
      </c>
      <c r="EJ28" s="6" t="str">
        <f t="shared" si="204"/>
        <v/>
      </c>
      <c r="EK28" s="236" t="str">
        <f t="shared" si="205"/>
        <v/>
      </c>
      <c r="EL28" s="238" t="str">
        <f t="shared" si="206"/>
        <v/>
      </c>
      <c r="EM28" s="4" t="str">
        <f t="shared" si="207"/>
        <v/>
      </c>
      <c r="EN28" s="5" t="str">
        <f t="shared" si="208"/>
        <v/>
      </c>
      <c r="EO28" s="10" t="str">
        <f t="shared" si="209"/>
        <v/>
      </c>
      <c r="EP28" s="9" t="str">
        <f t="shared" si="210"/>
        <v/>
      </c>
      <c r="EQ28" s="5" t="str">
        <f t="shared" si="211"/>
        <v/>
      </c>
      <c r="ER28" s="7" t="str">
        <f t="shared" si="212"/>
        <v/>
      </c>
      <c r="ES28" s="21" t="str">
        <f t="shared" si="126"/>
        <v/>
      </c>
      <c r="ET28" s="5" t="str">
        <f t="shared" si="35"/>
        <v/>
      </c>
      <c r="EU28" s="10" t="str">
        <f t="shared" si="36"/>
        <v/>
      </c>
      <c r="EV28" s="174" t="str">
        <f t="shared" si="264"/>
        <v/>
      </c>
      <c r="EW28" s="9" t="str">
        <f t="shared" si="127"/>
        <v/>
      </c>
      <c r="EX28" s="5" t="str">
        <f t="shared" si="37"/>
        <v/>
      </c>
      <c r="EY28" s="6" t="str">
        <f t="shared" si="213"/>
        <v/>
      </c>
      <c r="EZ28" s="51" t="str">
        <f t="shared" si="214"/>
        <v/>
      </c>
      <c r="FA28" s="266" t="str">
        <f t="shared" si="128"/>
        <v/>
      </c>
      <c r="FB28" s="267" t="str">
        <f t="shared" si="129"/>
        <v/>
      </c>
      <c r="FC28" s="269" t="str">
        <f t="shared" si="38"/>
        <v/>
      </c>
      <c r="FD28" s="4" t="str">
        <f t="shared" si="130"/>
        <v/>
      </c>
      <c r="FE28" s="5" t="str">
        <f t="shared" si="39"/>
        <v/>
      </c>
      <c r="FF28" s="7" t="str">
        <f t="shared" si="215"/>
        <v/>
      </c>
      <c r="FG28" s="173" t="str">
        <f t="shared" si="216"/>
        <v/>
      </c>
      <c r="FH28" s="5" t="str">
        <f t="shared" si="40"/>
        <v/>
      </c>
      <c r="FI28" s="10" t="str">
        <f t="shared" si="41"/>
        <v/>
      </c>
      <c r="FJ28" s="279" t="str">
        <f t="shared" si="217"/>
        <v/>
      </c>
      <c r="FK28" s="4" t="str">
        <f t="shared" si="42"/>
        <v/>
      </c>
      <c r="FL28" s="5" t="str">
        <f t="shared" si="218"/>
        <v/>
      </c>
      <c r="FM28" s="8" t="str">
        <f t="shared" si="219"/>
        <v/>
      </c>
      <c r="FN28" s="9" t="str">
        <f t="shared" si="220"/>
        <v/>
      </c>
      <c r="FO28" s="10" t="str">
        <f t="shared" si="43"/>
        <v/>
      </c>
      <c r="FP28" s="277" t="str">
        <f t="shared" si="44"/>
        <v/>
      </c>
      <c r="FQ28" s="173" t="str">
        <f t="shared" si="251"/>
        <v/>
      </c>
      <c r="FR28" s="10" t="str">
        <f t="shared" si="221"/>
        <v/>
      </c>
      <c r="FS28" s="9" t="str">
        <f t="shared" si="222"/>
        <v/>
      </c>
      <c r="FT28" s="6" t="str">
        <f t="shared" si="223"/>
        <v/>
      </c>
      <c r="FU28" s="4" t="str">
        <f t="shared" si="224"/>
        <v/>
      </c>
      <c r="FV28" s="5" t="str">
        <f t="shared" si="225"/>
        <v/>
      </c>
      <c r="FW28" s="8" t="str">
        <f t="shared" si="252"/>
        <v/>
      </c>
      <c r="FX28" s="9" t="str">
        <f t="shared" si="253"/>
        <v/>
      </c>
      <c r="FY28" s="10" t="str">
        <f t="shared" si="45"/>
        <v/>
      </c>
      <c r="FZ28" s="277" t="str">
        <f t="shared" si="254"/>
        <v/>
      </c>
      <c r="GA28" s="177" t="str">
        <f t="shared" si="226"/>
        <v/>
      </c>
      <c r="GB28" s="4" t="str">
        <f t="shared" si="227"/>
        <v/>
      </c>
      <c r="GC28" s="5" t="str">
        <f t="shared" si="228"/>
        <v/>
      </c>
      <c r="GD28" s="10" t="str">
        <f t="shared" si="229"/>
        <v/>
      </c>
      <c r="GE28" s="311" t="str">
        <f t="shared" si="230"/>
        <v/>
      </c>
      <c r="GF28" s="341" t="str">
        <f t="shared" si="255"/>
        <v/>
      </c>
      <c r="GG28" s="285" t="str">
        <f t="shared" si="46"/>
        <v/>
      </c>
      <c r="GH28" s="286" t="str">
        <f t="shared" si="47"/>
        <v/>
      </c>
      <c r="GI28" s="281" t="str">
        <f t="shared" si="48"/>
        <v/>
      </c>
      <c r="GJ28" s="167" t="str">
        <f t="shared" si="231"/>
        <v/>
      </c>
      <c r="GK28" s="174" t="str">
        <f t="shared" si="49"/>
        <v/>
      </c>
      <c r="GL28" s="174" t="str">
        <f t="shared" si="232"/>
        <v/>
      </c>
      <c r="GM28" s="177" t="str">
        <f t="shared" si="256"/>
        <v/>
      </c>
      <c r="GN28" s="280" t="str">
        <f t="shared" si="233"/>
        <v/>
      </c>
      <c r="GO28" s="4" t="str">
        <f t="shared" si="234"/>
        <v/>
      </c>
      <c r="GP28" s="8" t="str">
        <f t="shared" si="257"/>
        <v/>
      </c>
      <c r="GQ28" s="177" t="str">
        <f t="shared" si="235"/>
        <v/>
      </c>
      <c r="GR28" s="371" t="str">
        <f t="shared" si="258"/>
        <v/>
      </c>
      <c r="GS28" s="342" t="str">
        <f t="shared" si="51"/>
        <v/>
      </c>
      <c r="GT28" s="343" t="str">
        <f t="shared" si="52"/>
        <v/>
      </c>
      <c r="GU28" s="344" t="str">
        <f t="shared" si="53"/>
        <v/>
      </c>
      <c r="GV28" s="343" t="str">
        <f t="shared" si="265"/>
        <v/>
      </c>
      <c r="GW28" s="345" t="str">
        <f t="shared" si="54"/>
        <v/>
      </c>
      <c r="GX28" s="346" t="str">
        <f t="shared" si="55"/>
        <v/>
      </c>
      <c r="GY28" s="344" t="str">
        <f t="shared" si="56"/>
        <v/>
      </c>
      <c r="GZ28" s="345" t="str">
        <f t="shared" si="57"/>
        <v/>
      </c>
      <c r="HA28" s="342" t="str">
        <f t="shared" si="58"/>
        <v/>
      </c>
      <c r="HB28" s="5" t="str">
        <f t="shared" si="236"/>
        <v/>
      </c>
      <c r="HC28" s="343" t="str">
        <f t="shared" si="237"/>
        <v/>
      </c>
      <c r="HD28" s="363" t="str">
        <f t="shared" si="238"/>
        <v/>
      </c>
      <c r="HE28" s="344" t="str">
        <f t="shared" si="59"/>
        <v/>
      </c>
      <c r="HF28" s="5" t="str">
        <f t="shared" si="60"/>
        <v/>
      </c>
      <c r="HG28" s="343" t="str">
        <f t="shared" si="239"/>
        <v/>
      </c>
      <c r="HH28" s="349" t="str">
        <f t="shared" si="240"/>
        <v/>
      </c>
      <c r="HI28" s="317" t="str">
        <f t="shared" si="61"/>
        <v/>
      </c>
      <c r="HJ28" s="336"/>
      <c r="HK28" s="310" t="str">
        <f t="shared" si="131"/>
        <v/>
      </c>
      <c r="HL28" s="348" t="str">
        <f t="shared" si="62"/>
        <v/>
      </c>
      <c r="HM28" s="923" t="str">
        <f t="shared" si="63"/>
        <v/>
      </c>
      <c r="HN28" s="924" t="str">
        <f t="shared" si="64"/>
        <v/>
      </c>
      <c r="HO28" s="925"/>
      <c r="HP28" s="926"/>
      <c r="HQ28" s="924" t="str">
        <f t="shared" si="65"/>
        <v/>
      </c>
      <c r="HR28" s="927" t="str">
        <f t="shared" si="66"/>
        <v/>
      </c>
      <c r="HS28" s="879" t="str">
        <f t="shared" si="261"/>
        <v/>
      </c>
      <c r="HT28" s="889" t="str">
        <f t="shared" si="67"/>
        <v/>
      </c>
      <c r="HU28" s="890" t="str">
        <f t="shared" si="68"/>
        <v/>
      </c>
      <c r="HV28" s="886" t="str">
        <f t="shared" si="69"/>
        <v/>
      </c>
      <c r="HW28" s="880" t="str">
        <f t="shared" si="70"/>
        <v/>
      </c>
      <c r="HX28" s="881" t="str">
        <f t="shared" si="71"/>
        <v/>
      </c>
      <c r="HY28" s="880" t="str">
        <f t="shared" si="72"/>
        <v/>
      </c>
      <c r="HZ28" s="882" t="str">
        <f t="shared" si="73"/>
        <v/>
      </c>
      <c r="IA28" s="883" t="str">
        <f t="shared" si="74"/>
        <v/>
      </c>
      <c r="IB28" s="884" t="str">
        <f t="shared" si="75"/>
        <v/>
      </c>
      <c r="IC28" s="855" t="str">
        <f t="shared" si="76"/>
        <v/>
      </c>
      <c r="ID28" s="351" t="str">
        <f t="shared" si="77"/>
        <v/>
      </c>
      <c r="IE28" s="857" t="str">
        <f t="shared" si="78"/>
        <v/>
      </c>
      <c r="IF28" s="858"/>
      <c r="IG28" s="790" t="str">
        <f>IFERROR(IF($IW28="","",IF($IW28&lt;(((Settings!$C$19/2)*-1)*$IG$8),"Taper","Nose")),"")</f>
        <v/>
      </c>
      <c r="IH28" s="482" t="str">
        <f>IFERROR(IF((((($IY28*COS(RADIANS(180-$JA28)))*COS(RADIANS($JA28)))-(($IZ28*SIN(RADIANS(180-$JA28)))*SIN(RADIANS($JA28))))+$IW28)&lt;(((Settings!$C$19+$IH$8)/2)*-1),"Gage",""),"")</f>
        <v/>
      </c>
      <c r="II28" s="788">
        <f t="shared" si="241"/>
        <v>3.1440000000000001</v>
      </c>
      <c r="IJ28" s="674" t="str" cm="1">
        <f t="array" ref="IJ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K28" s="677" t="str" cm="1">
        <f t="array" ref="IK28">IFERROR(ROUND(VALUE(IF($IJ28&lt;1,$IJ28+LARGE((IF($M$9:$M$150="",0,$M$9:$M$150)-MOD(IF($M$9:$M$150="",0,$M$9:$M$150),1)),1),$IJ28)),4),"")</f>
        <v/>
      </c>
      <c r="IL28" s="482">
        <f>IF(ISNUMBER($IK28),INDEX($K$9:$K$150,MATCH($IK28,$M$9:$M$150,0)),$K28)</f>
        <v>1313</v>
      </c>
      <c r="IM28" s="482" t="str">
        <f t="shared" si="242"/>
        <v/>
      </c>
      <c r="IN28" s="670" t="str">
        <f t="shared" si="81"/>
        <v/>
      </c>
      <c r="IO28" s="702"/>
      <c r="IP28" s="5" t="str">
        <f t="shared" si="82"/>
        <v/>
      </c>
      <c r="IQ28" s="714"/>
      <c r="IR28" s="9" t="str">
        <f t="shared" si="132"/>
        <v/>
      </c>
      <c r="IS28" s="5" t="str">
        <f t="shared" si="83"/>
        <v/>
      </c>
      <c r="IT28" s="5" t="str">
        <f t="shared" si="84"/>
        <v/>
      </c>
      <c r="IU28" s="5" t="str">
        <f t="shared" si="85"/>
        <v/>
      </c>
      <c r="IV28" s="670" t="str">
        <f t="shared" si="86"/>
        <v/>
      </c>
      <c r="IW28" s="9" t="str">
        <f t="shared" si="87"/>
        <v/>
      </c>
      <c r="IX28" s="5" t="str">
        <f t="shared" si="88"/>
        <v/>
      </c>
      <c r="IY28" s="5" t="str">
        <f t="shared" si="89"/>
        <v/>
      </c>
      <c r="IZ28" s="5" t="str">
        <f t="shared" si="90"/>
        <v/>
      </c>
      <c r="JA28" s="705" t="str">
        <f t="shared" si="91"/>
        <v/>
      </c>
      <c r="JC28" s="740"/>
      <c r="JD28" s="798" t="str" cm="1">
        <f t="array" ref="JD28">IF($JC28="","",COUNT(IF(IF($IK$9:$IK$150&lt;&gt;"",$IM$9:$IM$150,"")=$JC28,$II$9:$II$150,"")))</f>
        <v/>
      </c>
      <c r="JE28" s="175"/>
      <c r="JF28" s="175"/>
      <c r="JG28" s="795"/>
      <c r="JH28" s="738"/>
      <c r="JI28" s="98"/>
      <c r="JJ28" s="729"/>
      <c r="JK28" s="98"/>
      <c r="JM28" s="489">
        <f t="shared" si="133"/>
        <v>44</v>
      </c>
      <c r="JN28" s="960">
        <f>($JO28-SMALL($JO$9:$JO$88,1))/((Settings!$C$19/2)-((Settings!$C$19/2)-LARGE($JO$9:$JO$88,1))-SMALL($JO$9:$JO$88,1))</f>
        <v>0.99996440569105083</v>
      </c>
      <c r="JO28" s="162">
        <f t="shared" si="134"/>
        <v>3.7234895994909034</v>
      </c>
      <c r="JP28" s="961">
        <f t="shared" si="135"/>
        <v>-84.959373709566435</v>
      </c>
      <c r="JQ28" s="961">
        <f t="shared" si="136"/>
        <v>29.734495099119425</v>
      </c>
      <c r="JS28" s="82">
        <v>20</v>
      </c>
      <c r="JT28" s="322">
        <f t="shared" si="137"/>
        <v>2.751150258737495</v>
      </c>
      <c r="JU28" s="963">
        <f t="shared" si="138"/>
        <v>0.71615639463372771</v>
      </c>
      <c r="JV28" s="961">
        <f t="shared" si="287"/>
        <v>-20.434439785057307</v>
      </c>
      <c r="JW28" s="961">
        <f t="shared" si="92"/>
        <v>14.854897078028056</v>
      </c>
      <c r="JX28" s="1">
        <v>5.0366</v>
      </c>
      <c r="JY28" s="965">
        <f t="shared" si="139"/>
        <v>0.69124939303424027</v>
      </c>
      <c r="JZ28" s="973">
        <v>24.195099999999996</v>
      </c>
      <c r="KA28" s="410">
        <f t="shared" si="280"/>
        <v>-6.7739866666666657</v>
      </c>
      <c r="KB28" s="974">
        <f t="shared" si="243"/>
        <v>20</v>
      </c>
      <c r="KC28" s="968" cm="1">
        <f t="array" ref="KC28">(((INDEX($JV$9:$JV$53,MATCH(INDEX($JU$9:$JU$53,MATCH(TRUE,INDEX($JU$9:$JU$53&gt;$JY28,0),)),$JU$9:$JU$53,0))-INDEX($JV$9:$JV$53,MATCH(INDEX($JU$9:$JU$53,MATCH(TRUE,INDEX($JU$9:$JU$53&gt;$JY28,0),)-1),$JU$9:$JU$53,0)))*(($JY28-INDEX($JU$9:$JU$53,MATCH(TRUE,INDEX($JU$9:$JU$53&gt;$JY28,0),)-1))/(INDEX($JU$9:$JU$53,MATCH(TRUE,INDEX($JU$9:$JU$53&gt;$JY28,0),))-INDEX($JU$9:$JU$53,MATCH(TRUE,INDEX($JU$9:$JU$53&gt;$JY28,0),)-1))))+INDEX($JV$9:$JV$53,MATCH(INDEX($JU$9:$JU$53,MATCH(TRUE,INDEX($JU$9:$JU$53&gt;$JY28,0),)-1),$JU$9:$JU$53,0)))</f>
        <v>-17.579944465005525</v>
      </c>
      <c r="KD28" s="970">
        <v>-30.969086666666662</v>
      </c>
      <c r="KE28" s="968">
        <f t="shared" si="140"/>
        <v>-13.389142201661137</v>
      </c>
      <c r="KF28" s="968" cm="1">
        <f t="array" ref="KF28">(((INDEX($JW$9:$JW$53,MATCH(INDEX($JU$9:$JU$53,MATCH(TRUE,INDEX($JU$9:$JU$53&gt;$JY28,0),)),$JU$9:$JU$53,0))-INDEX($JW$9:$JW$53,MATCH(INDEX($JU$9:$JU$53,MATCH(TRUE,INDEX($JU$9:$JU$53&gt;$JY28,0),)-1),$JU$9:$JU$53,0)))*(($JY28-INDEX($JU$9:$JU$53,MATCH(TRUE,INDEX($JU$9:$JU$53&gt;$JY28,0),)-1))/(INDEX($JU$9:$JU$53,MATCH(TRUE,INDEX($JU$9:$JU$53&gt;$JY28,0),))-INDEX($JU$9:$JU$53,MATCH(TRUE,INDEX($JU$9:$JU$53&gt;$JY28,0),)-1))))+INDEX($JW$9:$JW$53,MATCH(INDEX($JU$9:$JU$53,MATCH(TRUE,INDEX($JU$9:$JU$53&gt;$JY28,0),)-1),$JU$9:$JU$53,0)))</f>
        <v>14.869515568829986</v>
      </c>
      <c r="KG28" s="966">
        <f t="shared" si="244"/>
        <v>-3.9363133333333309</v>
      </c>
      <c r="KH28" s="966">
        <f t="shared" si="141"/>
        <v>-2.2156566710675563E-2</v>
      </c>
      <c r="KJ28" s="31"/>
    </row>
    <row r="29" spans="1:296" ht="15" customHeight="1" x14ac:dyDescent="0.25">
      <c r="A29" s="75">
        <f t="shared" si="1"/>
        <v>0.02</v>
      </c>
      <c r="B29" s="578">
        <f t="shared" ref="B29:D29" si="298">IFERROR(O184+($A29*-E29),"")</f>
        <v>1.9081209834919532</v>
      </c>
      <c r="C29" s="572">
        <f t="shared" si="298"/>
        <v>-1.8684334416303754</v>
      </c>
      <c r="D29" s="576">
        <f t="shared" si="298"/>
        <v>-0.13668853587583712</v>
      </c>
      <c r="E29" s="580">
        <f t="shared" ref="E29:K29" si="299">R184</f>
        <v>0.73206492396084144</v>
      </c>
      <c r="F29" s="572">
        <f t="shared" si="299"/>
        <v>0.6358822260428878</v>
      </c>
      <c r="G29" s="579">
        <f t="shared" si="299"/>
        <v>0.24440691829191186</v>
      </c>
      <c r="H29" s="580">
        <f t="shared" si="299"/>
        <v>0.26450000000000001</v>
      </c>
      <c r="I29" s="572">
        <f t="shared" si="299"/>
        <v>0.52</v>
      </c>
      <c r="J29" s="483">
        <f t="shared" si="94"/>
        <v>4.1189999999999998</v>
      </c>
      <c r="K29" s="806">
        <f t="shared" si="299"/>
        <v>1313</v>
      </c>
      <c r="L29" s="82"/>
      <c r="M29" s="164">
        <f t="shared" si="4"/>
        <v>4.1189999999999998</v>
      </c>
      <c r="N29" s="575">
        <f t="shared" si="5"/>
        <v>1.9081209834919532</v>
      </c>
      <c r="O29" s="572">
        <f t="shared" si="6"/>
        <v>-1.8684334416303754</v>
      </c>
      <c r="P29" s="576">
        <f t="shared" si="7"/>
        <v>-0.13668853587583712</v>
      </c>
      <c r="Q29" s="528">
        <f t="shared" si="144"/>
        <v>315.60209510798359</v>
      </c>
      <c r="R29" s="572">
        <f>IF(M29="","",SQRT(N29^2+O29^2))</f>
        <v>2.6705746972224964</v>
      </c>
      <c r="S29" s="577">
        <f>IF(M29="","",P29)</f>
        <v>-0.13668853587583712</v>
      </c>
      <c r="T29" s="578">
        <f>IF(M29="","",X29*COS(RADIANS(W29)))</f>
        <v>-1.8108925836378837</v>
      </c>
      <c r="U29" s="572">
        <f>IF(M29="","",X29*SIN(RADIANS(W29)))</f>
        <v>-1.9628136090750794</v>
      </c>
      <c r="V29" s="579">
        <f>IF(M29="","",Y29)</f>
        <v>-0.13668853587583712</v>
      </c>
      <c r="W29" s="528">
        <f t="shared" si="268"/>
        <v>227.30535587765857</v>
      </c>
      <c r="X29" s="572">
        <f>IF(M29="","",R29)</f>
        <v>2.6705746972224964</v>
      </c>
      <c r="Y29" s="573">
        <f t="shared" si="271"/>
        <v>-0.13668853587583712</v>
      </c>
      <c r="Z29" s="575">
        <f t="shared" si="10"/>
        <v>-0.73206492396084144</v>
      </c>
      <c r="AA29" s="572">
        <f t="shared" si="11"/>
        <v>-0.6358822260428878</v>
      </c>
      <c r="AB29" s="572">
        <f t="shared" si="12"/>
        <v>-0.24440691829191186</v>
      </c>
      <c r="AC29" s="579">
        <f>IF(M29="","",SQRT(Z29^2+AA29^2+AB29^2))</f>
        <v>1</v>
      </c>
      <c r="AD29" s="580">
        <f>IF(M29="","",Z29*(1/SQRT(Z29^2+AA29^2+AB29^2)))</f>
        <v>-0.73206492396084144</v>
      </c>
      <c r="AE29" s="572">
        <f>IF(M29="","",AA29*(1/SQRT(Z29^2+AA29^2+AB29^2)))</f>
        <v>-0.6358822260428878</v>
      </c>
      <c r="AF29" s="576">
        <f>IF(M29="","",AB29*(1/SQRT(Z29^2+AA29^2+AB29^2)))</f>
        <v>-0.24440691829191186</v>
      </c>
      <c r="AG29" s="545">
        <f>IF(M29="","",DEGREES(ATAN2(-AF29,AE29)))</f>
        <v>-68.975297672047532</v>
      </c>
      <c r="AH29" s="546">
        <f>IF(M29="","",DEGREES(ACOS(AD29)))</f>
        <v>137.0597843918402</v>
      </c>
      <c r="AI29" s="528">
        <f>IF(M29="","",DEGREES(-ACOS(-AF29)))</f>
        <v>-75.853212837721685</v>
      </c>
      <c r="AJ29" s="529">
        <f>IF(M29="","",DEGREES(ATAN2(-AE29,AD29)))</f>
        <v>-49.021944911445978</v>
      </c>
      <c r="AK29" s="578">
        <f>IF(M29="","",(COS(RADIANS((90-$Q$8)-W29))*AD29)+(-SIN(RADIANS((90-$Q$8)-W29))*AE29))</f>
        <v>0.96651661030097569</v>
      </c>
      <c r="AL29" s="572">
        <f>IF(M29="","",(SIN(RADIANS((90-$Q$8)-W29))*AD29)+(COS(RADIANS((90-$Q$8)-W29))*AE29))</f>
        <v>-7.8172247654540616E-2</v>
      </c>
      <c r="AM29" s="577">
        <f>IF(M29="","",AF29)</f>
        <v>-0.24440691829191186</v>
      </c>
      <c r="AN29" s="524">
        <f>IF(M29="","",DEGREES(ATAN2(-AM29,AL29)))</f>
        <v>-17.736597664348576</v>
      </c>
      <c r="AO29" s="525">
        <f t="shared" si="110"/>
        <v>14.868653866963045</v>
      </c>
      <c r="AP29" s="528">
        <f>IF(M29="","",DEGREES(ATAN2(AK29,AL29)))</f>
        <v>-4.6240400194295699</v>
      </c>
      <c r="AQ29" s="529">
        <f t="shared" si="13"/>
        <v>1.0242666240224085</v>
      </c>
      <c r="AR29" s="979"/>
      <c r="AS29" s="954">
        <f t="shared" si="147"/>
        <v>227.30535587765857</v>
      </c>
      <c r="AT29" s="950">
        <f t="shared" si="14"/>
        <v>-2.7707897445308577E-2</v>
      </c>
      <c r="AU29" s="418"/>
      <c r="AV29" s="164" t="str">
        <f t="shared" si="15"/>
        <v/>
      </c>
      <c r="AW29" s="829" t="str">
        <f>IFERROR(INDEX(MassProp!C$9:C$150,MATCH($M29,MassProp!$B$9:$B$150,0)),"")</f>
        <v/>
      </c>
      <c r="AX29" s="830" t="str">
        <f>IFERROR(INDEX(MassProp!D$9:D$150,MATCH($M29,MassProp!$B$9:$B$150,0)),"")</f>
        <v/>
      </c>
      <c r="AY29" s="831" t="str">
        <f>IFERROR(INDEX(MassProp!E$9:E$150,MATCH($M29,MassProp!$B$9:$B$150,0)),"")</f>
        <v/>
      </c>
      <c r="AZ29" s="297" t="str">
        <f t="shared" si="148"/>
        <v/>
      </c>
      <c r="BA29" s="296" t="str">
        <f t="shared" si="16"/>
        <v/>
      </c>
      <c r="BB29" s="190" t="str">
        <f t="shared" si="149"/>
        <v/>
      </c>
      <c r="BC29" s="9"/>
      <c r="BD29" s="5" t="str">
        <f t="shared" si="150"/>
        <v/>
      </c>
      <c r="BE29" s="6" t="str">
        <f t="shared" si="17"/>
        <v/>
      </c>
      <c r="BF29" s="4" t="str">
        <f t="shared" si="18"/>
        <v/>
      </c>
      <c r="BG29" s="5" t="str">
        <f t="shared" si="19"/>
        <v/>
      </c>
      <c r="BH29" s="10" t="str">
        <f t="shared" si="20"/>
        <v/>
      </c>
      <c r="BI29" s="9" t="str">
        <f t="shared" si="151"/>
        <v/>
      </c>
      <c r="BJ29" s="5" t="str">
        <f t="shared" si="21"/>
        <v/>
      </c>
      <c r="BK29" s="8" t="str">
        <f t="shared" si="22"/>
        <v/>
      </c>
      <c r="BL29" s="173" t="str">
        <f t="shared" si="23"/>
        <v/>
      </c>
      <c r="BM29" s="5" t="str">
        <f t="shared" si="24"/>
        <v/>
      </c>
      <c r="BN29" s="6" t="str">
        <f t="shared" si="25"/>
        <v/>
      </c>
      <c r="BO29" s="4" t="str">
        <f t="shared" si="152"/>
        <v/>
      </c>
      <c r="BP29" s="5" t="str">
        <f t="shared" si="153"/>
        <v/>
      </c>
      <c r="BQ29" s="5" t="str">
        <f t="shared" si="154"/>
        <v/>
      </c>
      <c r="BR29" s="6" t="str">
        <f t="shared" si="155"/>
        <v/>
      </c>
      <c r="BS29" s="4" t="str">
        <f t="shared" si="112"/>
        <v/>
      </c>
      <c r="BT29" s="5" t="str">
        <f t="shared" si="112"/>
        <v/>
      </c>
      <c r="BU29" s="10" t="str">
        <f t="shared" si="113"/>
        <v/>
      </c>
      <c r="BV29" s="9" t="str">
        <f t="shared" si="114"/>
        <v/>
      </c>
      <c r="BW29" s="5" t="str">
        <f t="shared" si="115"/>
        <v/>
      </c>
      <c r="BX29" s="8" t="str">
        <f t="shared" si="116"/>
        <v/>
      </c>
      <c r="BY29" s="173" t="str">
        <f t="shared" si="117"/>
        <v/>
      </c>
      <c r="BZ29" s="5" t="str">
        <f t="shared" si="118"/>
        <v/>
      </c>
      <c r="CA29" s="6" t="str">
        <f t="shared" si="119"/>
        <v/>
      </c>
      <c r="CB29" s="4" t="str">
        <f t="shared" si="156"/>
        <v/>
      </c>
      <c r="CC29" s="5" t="str">
        <f t="shared" si="157"/>
        <v/>
      </c>
      <c r="CD29" s="5" t="str">
        <f t="shared" si="158"/>
        <v/>
      </c>
      <c r="CE29" s="6" t="str">
        <f t="shared" si="159"/>
        <v/>
      </c>
      <c r="CF29" s="4" t="str">
        <f t="shared" si="160"/>
        <v/>
      </c>
      <c r="CG29" s="5" t="str">
        <f t="shared" si="161"/>
        <v/>
      </c>
      <c r="CH29" s="5" t="str">
        <f t="shared" si="162"/>
        <v/>
      </c>
      <c r="CI29" s="4" t="str">
        <f t="shared" si="120"/>
        <v/>
      </c>
      <c r="CJ29" s="5" t="str">
        <f t="shared" si="121"/>
        <v/>
      </c>
      <c r="CK29" s="8" t="str">
        <f t="shared" si="122"/>
        <v/>
      </c>
      <c r="CL29" s="173" t="str">
        <f t="shared" si="123"/>
        <v/>
      </c>
      <c r="CM29" s="5" t="str">
        <f t="shared" si="124"/>
        <v/>
      </c>
      <c r="CN29" s="6" t="str">
        <f t="shared" si="125"/>
        <v/>
      </c>
      <c r="CO29" s="167" t="str">
        <f t="shared" si="26"/>
        <v/>
      </c>
      <c r="CP29" s="4" t="str">
        <f t="shared" si="248"/>
        <v/>
      </c>
      <c r="CQ29" s="5" t="str">
        <f t="shared" si="249"/>
        <v/>
      </c>
      <c r="CR29" s="5" t="str">
        <f t="shared" si="163"/>
        <v/>
      </c>
      <c r="CS29" s="8" t="str">
        <f t="shared" si="164"/>
        <v/>
      </c>
      <c r="CT29" s="9" t="str">
        <f t="shared" si="165"/>
        <v/>
      </c>
      <c r="CU29" s="6" t="str">
        <f t="shared" si="166"/>
        <v/>
      </c>
      <c r="CV29" s="4" t="str">
        <f t="shared" si="250"/>
        <v/>
      </c>
      <c r="CW29" s="5" t="str">
        <f t="shared" si="167"/>
        <v/>
      </c>
      <c r="CX29" s="8" t="str">
        <f t="shared" si="168"/>
        <v/>
      </c>
      <c r="CY29" s="9" t="str">
        <f t="shared" si="169"/>
        <v/>
      </c>
      <c r="CZ29" s="5" t="str">
        <f t="shared" si="170"/>
        <v/>
      </c>
      <c r="DA29" s="6" t="str">
        <f t="shared" si="171"/>
        <v/>
      </c>
      <c r="DB29" s="4" t="str">
        <f t="shared" si="172"/>
        <v/>
      </c>
      <c r="DC29" s="5" t="str">
        <f t="shared" si="172"/>
        <v/>
      </c>
      <c r="DD29" s="10" t="str">
        <f t="shared" si="173"/>
        <v/>
      </c>
      <c r="DE29" s="9" t="str">
        <f t="shared" si="174"/>
        <v/>
      </c>
      <c r="DF29" s="5" t="str">
        <f t="shared" si="174"/>
        <v/>
      </c>
      <c r="DG29" s="10" t="str">
        <f t="shared" si="175"/>
        <v/>
      </c>
      <c r="DH29" s="70" t="str">
        <f t="shared" si="176"/>
        <v/>
      </c>
      <c r="DI29" s="4" t="str">
        <f t="shared" si="177"/>
        <v/>
      </c>
      <c r="DJ29" s="5" t="str">
        <f t="shared" si="178"/>
        <v/>
      </c>
      <c r="DK29" s="10" t="str">
        <f t="shared" si="179"/>
        <v/>
      </c>
      <c r="DL29" s="9" t="str">
        <f t="shared" si="180"/>
        <v/>
      </c>
      <c r="DM29" s="173" t="str">
        <f t="shared" si="181"/>
        <v/>
      </c>
      <c r="DN29" s="178" t="str">
        <f t="shared" si="182"/>
        <v/>
      </c>
      <c r="DO29" s="9" t="str">
        <f t="shared" si="183"/>
        <v/>
      </c>
      <c r="DP29" s="173" t="str">
        <f t="shared" si="184"/>
        <v/>
      </c>
      <c r="DQ29" s="11" t="str">
        <f t="shared" si="185"/>
        <v/>
      </c>
      <c r="DR29" s="173" t="str">
        <f t="shared" si="186"/>
        <v/>
      </c>
      <c r="DS29" s="5" t="str">
        <f t="shared" si="187"/>
        <v/>
      </c>
      <c r="DT29" s="5" t="str">
        <f t="shared" si="188"/>
        <v/>
      </c>
      <c r="DU29" s="5" t="str">
        <f t="shared" si="189"/>
        <v/>
      </c>
      <c r="DV29" s="5" t="str">
        <f t="shared" si="190"/>
        <v/>
      </c>
      <c r="DW29" s="5" t="str">
        <f t="shared" si="191"/>
        <v/>
      </c>
      <c r="DX29" s="167" t="str">
        <f t="shared" si="192"/>
        <v/>
      </c>
      <c r="DY29" s="9" t="str">
        <f t="shared" si="193"/>
        <v/>
      </c>
      <c r="DZ29" s="5" t="str">
        <f t="shared" si="194"/>
        <v/>
      </c>
      <c r="EA29" s="10" t="str">
        <f t="shared" si="195"/>
        <v/>
      </c>
      <c r="EB29" s="6" t="str">
        <f t="shared" si="196"/>
        <v/>
      </c>
      <c r="EC29" s="173" t="str">
        <f t="shared" si="197"/>
        <v/>
      </c>
      <c r="ED29" s="5" t="str">
        <f t="shared" si="198"/>
        <v/>
      </c>
      <c r="EE29" s="4" t="str">
        <f t="shared" si="199"/>
        <v/>
      </c>
      <c r="EF29" s="5" t="str">
        <f t="shared" si="200"/>
        <v/>
      </c>
      <c r="EG29" s="10" t="str">
        <f t="shared" si="201"/>
        <v/>
      </c>
      <c r="EH29" s="9" t="str">
        <f t="shared" si="202"/>
        <v/>
      </c>
      <c r="EI29" s="5" t="str">
        <f t="shared" si="203"/>
        <v/>
      </c>
      <c r="EJ29" s="6" t="str">
        <f t="shared" si="204"/>
        <v/>
      </c>
      <c r="EK29" s="236" t="str">
        <f t="shared" si="205"/>
        <v/>
      </c>
      <c r="EL29" s="238" t="str">
        <f t="shared" si="206"/>
        <v/>
      </c>
      <c r="EM29" s="4" t="str">
        <f t="shared" si="207"/>
        <v/>
      </c>
      <c r="EN29" s="5" t="str">
        <f t="shared" si="208"/>
        <v/>
      </c>
      <c r="EO29" s="10" t="str">
        <f t="shared" si="209"/>
        <v/>
      </c>
      <c r="EP29" s="9" t="str">
        <f t="shared" si="210"/>
        <v/>
      </c>
      <c r="EQ29" s="5" t="str">
        <f t="shared" si="211"/>
        <v/>
      </c>
      <c r="ER29" s="7" t="str">
        <f t="shared" si="212"/>
        <v/>
      </c>
      <c r="ES29" s="21" t="str">
        <f t="shared" si="126"/>
        <v/>
      </c>
      <c r="ET29" s="5" t="str">
        <f t="shared" si="35"/>
        <v/>
      </c>
      <c r="EU29" s="10" t="str">
        <f t="shared" si="36"/>
        <v/>
      </c>
      <c r="EV29" s="174" t="str">
        <f t="shared" si="264"/>
        <v/>
      </c>
      <c r="EW29" s="9" t="str">
        <f t="shared" si="127"/>
        <v/>
      </c>
      <c r="EX29" s="5" t="str">
        <f t="shared" si="37"/>
        <v/>
      </c>
      <c r="EY29" s="6" t="str">
        <f t="shared" si="213"/>
        <v/>
      </c>
      <c r="EZ29" s="51" t="str">
        <f t="shared" si="214"/>
        <v/>
      </c>
      <c r="FA29" s="266" t="str">
        <f t="shared" si="128"/>
        <v/>
      </c>
      <c r="FB29" s="267" t="str">
        <f t="shared" si="129"/>
        <v/>
      </c>
      <c r="FC29" s="269" t="str">
        <f t="shared" si="38"/>
        <v/>
      </c>
      <c r="FD29" s="4" t="str">
        <f t="shared" si="130"/>
        <v/>
      </c>
      <c r="FE29" s="5" t="str">
        <f t="shared" si="39"/>
        <v/>
      </c>
      <c r="FF29" s="7" t="str">
        <f t="shared" si="215"/>
        <v/>
      </c>
      <c r="FG29" s="173" t="str">
        <f t="shared" si="216"/>
        <v/>
      </c>
      <c r="FH29" s="5" t="str">
        <f t="shared" si="40"/>
        <v/>
      </c>
      <c r="FI29" s="10" t="str">
        <f t="shared" si="41"/>
        <v/>
      </c>
      <c r="FJ29" s="279" t="str">
        <f t="shared" si="217"/>
        <v/>
      </c>
      <c r="FK29" s="4" t="str">
        <f t="shared" si="42"/>
        <v/>
      </c>
      <c r="FL29" s="5" t="str">
        <f t="shared" si="218"/>
        <v/>
      </c>
      <c r="FM29" s="8" t="str">
        <f t="shared" si="219"/>
        <v/>
      </c>
      <c r="FN29" s="9" t="str">
        <f t="shared" si="220"/>
        <v/>
      </c>
      <c r="FO29" s="10" t="str">
        <f t="shared" si="43"/>
        <v/>
      </c>
      <c r="FP29" s="277" t="str">
        <f t="shared" si="44"/>
        <v/>
      </c>
      <c r="FQ29" s="173" t="str">
        <f t="shared" si="251"/>
        <v/>
      </c>
      <c r="FR29" s="10" t="str">
        <f t="shared" si="221"/>
        <v/>
      </c>
      <c r="FS29" s="9" t="str">
        <f t="shared" si="222"/>
        <v/>
      </c>
      <c r="FT29" s="6" t="str">
        <f t="shared" si="223"/>
        <v/>
      </c>
      <c r="FU29" s="4" t="str">
        <f t="shared" si="224"/>
        <v/>
      </c>
      <c r="FV29" s="5" t="str">
        <f t="shared" si="225"/>
        <v/>
      </c>
      <c r="FW29" s="8" t="str">
        <f t="shared" si="252"/>
        <v/>
      </c>
      <c r="FX29" s="9" t="str">
        <f t="shared" si="253"/>
        <v/>
      </c>
      <c r="FY29" s="10" t="str">
        <f t="shared" si="45"/>
        <v/>
      </c>
      <c r="FZ29" s="277" t="str">
        <f t="shared" si="254"/>
        <v/>
      </c>
      <c r="GA29" s="177" t="str">
        <f t="shared" si="226"/>
        <v/>
      </c>
      <c r="GB29" s="4" t="str">
        <f t="shared" si="227"/>
        <v/>
      </c>
      <c r="GC29" s="5" t="str">
        <f t="shared" si="228"/>
        <v/>
      </c>
      <c r="GD29" s="10" t="str">
        <f t="shared" si="229"/>
        <v/>
      </c>
      <c r="GE29" s="311" t="str">
        <f t="shared" si="230"/>
        <v/>
      </c>
      <c r="GF29" s="341" t="str">
        <f t="shared" si="255"/>
        <v/>
      </c>
      <c r="GG29" s="285" t="str">
        <f t="shared" si="46"/>
        <v/>
      </c>
      <c r="GH29" s="286" t="str">
        <f t="shared" si="47"/>
        <v/>
      </c>
      <c r="GI29" s="281" t="str">
        <f t="shared" si="48"/>
        <v/>
      </c>
      <c r="GJ29" s="167" t="str">
        <f t="shared" si="231"/>
        <v/>
      </c>
      <c r="GK29" s="174" t="str">
        <f t="shared" si="49"/>
        <v/>
      </c>
      <c r="GL29" s="174" t="str">
        <f t="shared" si="232"/>
        <v/>
      </c>
      <c r="GM29" s="177" t="str">
        <f t="shared" si="256"/>
        <v/>
      </c>
      <c r="GN29" s="280" t="str">
        <f t="shared" si="233"/>
        <v/>
      </c>
      <c r="GO29" s="4" t="str">
        <f t="shared" si="234"/>
        <v/>
      </c>
      <c r="GP29" s="8" t="str">
        <f t="shared" si="257"/>
        <v/>
      </c>
      <c r="GQ29" s="177" t="str">
        <f t="shared" si="235"/>
        <v/>
      </c>
      <c r="GR29" s="371" t="str">
        <f t="shared" si="258"/>
        <v/>
      </c>
      <c r="GS29" s="342" t="str">
        <f t="shared" si="51"/>
        <v/>
      </c>
      <c r="GT29" s="343" t="str">
        <f t="shared" si="52"/>
        <v/>
      </c>
      <c r="GU29" s="344" t="str">
        <f t="shared" si="53"/>
        <v/>
      </c>
      <c r="GV29" s="343" t="str">
        <f t="shared" si="265"/>
        <v/>
      </c>
      <c r="GW29" s="345" t="str">
        <f t="shared" si="54"/>
        <v/>
      </c>
      <c r="GX29" s="346" t="str">
        <f t="shared" si="55"/>
        <v/>
      </c>
      <c r="GY29" s="344" t="str">
        <f t="shared" si="56"/>
        <v/>
      </c>
      <c r="GZ29" s="345" t="str">
        <f t="shared" si="57"/>
        <v/>
      </c>
      <c r="HA29" s="342" t="str">
        <f t="shared" si="58"/>
        <v/>
      </c>
      <c r="HB29" s="5" t="str">
        <f t="shared" si="236"/>
        <v/>
      </c>
      <c r="HC29" s="343" t="str">
        <f t="shared" si="237"/>
        <v/>
      </c>
      <c r="HD29" s="363" t="str">
        <f t="shared" si="238"/>
        <v/>
      </c>
      <c r="HE29" s="344" t="str">
        <f t="shared" si="59"/>
        <v/>
      </c>
      <c r="HF29" s="5" t="str">
        <f t="shared" si="60"/>
        <v/>
      </c>
      <c r="HG29" s="343" t="str">
        <f t="shared" si="239"/>
        <v/>
      </c>
      <c r="HH29" s="349" t="str">
        <f t="shared" si="240"/>
        <v/>
      </c>
      <c r="HI29" s="317" t="str">
        <f t="shared" si="61"/>
        <v/>
      </c>
      <c r="HJ29" s="336"/>
      <c r="HK29" s="310" t="str">
        <f t="shared" si="131"/>
        <v/>
      </c>
      <c r="HL29" s="348" t="str">
        <f t="shared" si="62"/>
        <v/>
      </c>
      <c r="HM29" s="923" t="str">
        <f t="shared" si="63"/>
        <v/>
      </c>
      <c r="HN29" s="924" t="str">
        <f t="shared" si="64"/>
        <v/>
      </c>
      <c r="HO29" s="925"/>
      <c r="HP29" s="926"/>
      <c r="HQ29" s="924" t="str">
        <f t="shared" si="65"/>
        <v/>
      </c>
      <c r="HR29" s="927" t="str">
        <f t="shared" si="66"/>
        <v/>
      </c>
      <c r="HS29" s="879" t="str">
        <f t="shared" si="261"/>
        <v/>
      </c>
      <c r="HT29" s="889" t="str">
        <f t="shared" si="67"/>
        <v/>
      </c>
      <c r="HU29" s="890" t="str">
        <f t="shared" si="68"/>
        <v/>
      </c>
      <c r="HV29" s="886" t="str">
        <f t="shared" si="69"/>
        <v/>
      </c>
      <c r="HW29" s="880" t="str">
        <f t="shared" si="70"/>
        <v/>
      </c>
      <c r="HX29" s="881" t="str">
        <f t="shared" si="71"/>
        <v/>
      </c>
      <c r="HY29" s="880" t="str">
        <f t="shared" si="72"/>
        <v/>
      </c>
      <c r="HZ29" s="882" t="str">
        <f t="shared" si="73"/>
        <v/>
      </c>
      <c r="IA29" s="883" t="str">
        <f t="shared" si="74"/>
        <v/>
      </c>
      <c r="IB29" s="884" t="str">
        <f t="shared" si="75"/>
        <v/>
      </c>
      <c r="IC29" s="855" t="str">
        <f t="shared" si="76"/>
        <v/>
      </c>
      <c r="ID29" s="351" t="str">
        <f t="shared" si="77"/>
        <v/>
      </c>
      <c r="IE29" s="857" t="str">
        <f t="shared" si="78"/>
        <v/>
      </c>
      <c r="IF29" s="858"/>
      <c r="IG29" s="790" t="str">
        <f>IFERROR(IF($IW29="","",IF($IW29&lt;(((Settings!$C$19/2)*-1)*$IG$8),"Taper","Nose")),"")</f>
        <v/>
      </c>
      <c r="IH29" s="482" t="str">
        <f>IFERROR(IF((((($IY29*COS(RADIANS(180-$JA29)))*COS(RADIANS($JA29)))-(($IZ29*SIN(RADIANS(180-$JA29)))*SIN(RADIANS($JA29))))+$IW29)&lt;(((Settings!$C$19+$IH$8)/2)*-1),"Gage",""),"")</f>
        <v/>
      </c>
      <c r="II29" s="788">
        <f t="shared" si="241"/>
        <v>4.1189999999999998</v>
      </c>
      <c r="IJ29" s="674" t="str" cm="1">
        <f t="array" ref="IJ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K29" s="677" t="str" cm="1">
        <f t="array" ref="IK29">IFERROR(ROUND(VALUE(IF($IJ29&lt;1,$IJ29+LARGE((IF($M$9:$M$150="",0,$M$9:$M$150)-MOD(IF($M$9:$M$150="",0,$M$9:$M$150),1)),1),$IJ29)),4),"")</f>
        <v/>
      </c>
      <c r="IL29" s="482">
        <f t="shared" si="79"/>
        <v>1313</v>
      </c>
      <c r="IM29" s="482" t="str">
        <f t="shared" si="242"/>
        <v/>
      </c>
      <c r="IN29" s="670" t="str">
        <f t="shared" si="81"/>
        <v/>
      </c>
      <c r="IO29" s="702">
        <v>8.8745372694144196E-3</v>
      </c>
      <c r="IP29" s="5" t="str">
        <f t="shared" si="82"/>
        <v/>
      </c>
      <c r="IQ29" s="714">
        <v>140</v>
      </c>
      <c r="IR29" s="9" t="str">
        <f t="shared" si="132"/>
        <v/>
      </c>
      <c r="IS29" s="5" t="str">
        <f t="shared" si="83"/>
        <v/>
      </c>
      <c r="IT29" s="5" t="str">
        <f t="shared" si="84"/>
        <v/>
      </c>
      <c r="IU29" s="5" t="str">
        <f t="shared" si="85"/>
        <v/>
      </c>
      <c r="IV29" s="670" t="str">
        <f t="shared" si="86"/>
        <v/>
      </c>
      <c r="IW29" s="9" t="str">
        <f t="shared" si="87"/>
        <v/>
      </c>
      <c r="IX29" s="5" t="str">
        <f t="shared" si="88"/>
        <v/>
      </c>
      <c r="IY29" s="5" t="str">
        <f t="shared" si="89"/>
        <v/>
      </c>
      <c r="IZ29" s="5" t="str">
        <f t="shared" si="90"/>
        <v/>
      </c>
      <c r="JA29" s="705" t="str">
        <f t="shared" si="91"/>
        <v/>
      </c>
      <c r="JC29" s="419" t="s">
        <v>378</v>
      </c>
      <c r="JD29" s="745" t="str" cm="1">
        <f t="array" ref="JD29">IF(AND(ISNUMBER($JC$23)=FALSE),"",SUM(COUNTIFS($IM$9:$IM$150,_xlfn.ANCHORARRAY($JC$23),$IK$9:$IK$150,"&lt;&gt;"&amp;"",$IM$9:$IM$150,IF(ISNUMBER(_xlfn.ANCHORARRAY($JC$23)),_xlfn.ANCHORARRAY($JC$23),""))))</f>
        <v/>
      </c>
      <c r="JE29" s="417"/>
      <c r="JF29" s="417"/>
      <c r="JG29" s="417"/>
      <c r="JH29" s="417"/>
      <c r="JI29" s="417"/>
      <c r="JJ29" s="745" t="str" cm="1">
        <f t="array" ref="JJ29">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)),"")</f>
        <v/>
      </c>
      <c r="JK29" s="745" t="str" cm="1">
        <f t="array" ref="JK29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)),"")</f>
        <v/>
      </c>
      <c r="JM29" s="489">
        <f t="shared" si="133"/>
        <v>19</v>
      </c>
      <c r="JN29" s="960">
        <f>($JO29-SMALL($JO$9:$JO$88,1))/((Settings!$C$19/2)-((Settings!$C$19/2)-LARGE($JO$9:$JO$88,1))-SMALL($JO$9:$JO$88,1))</f>
        <v>0.69263786679582329</v>
      </c>
      <c r="JO29" s="162">
        <f t="shared" si="134"/>
        <v>2.6705746972224964</v>
      </c>
      <c r="JP29" s="961">
        <f t="shared" si="135"/>
        <v>-17.736597664348576</v>
      </c>
      <c r="JQ29" s="961">
        <f t="shared" si="136"/>
        <v>14.868653866963045</v>
      </c>
      <c r="JS29" s="82">
        <v>21</v>
      </c>
      <c r="JT29" s="322">
        <f t="shared" si="137"/>
        <v>2.8300300330707207</v>
      </c>
      <c r="JU29" s="963">
        <f t="shared" si="138"/>
        <v>0.73917995331110997</v>
      </c>
      <c r="JV29" s="961">
        <f t="shared" si="287"/>
        <v>-23.130725859540604</v>
      </c>
      <c r="JW29" s="961">
        <f t="shared" si="92"/>
        <v>14.842138550274303</v>
      </c>
      <c r="JX29" s="1">
        <v>5.2633000000000001</v>
      </c>
      <c r="JY29" s="965">
        <f t="shared" si="139"/>
        <v>0.72460675975927369</v>
      </c>
      <c r="JZ29" s="973">
        <v>28.737099999999998</v>
      </c>
      <c r="KA29" s="410">
        <f t="shared" si="280"/>
        <v>-6.1683866666666702</v>
      </c>
      <c r="KB29" s="977">
        <f t="shared" si="243"/>
        <v>21</v>
      </c>
      <c r="KC29" s="968" cm="1">
        <f t="array" ref="KC29">(((INDEX($JV$9:$JV$53,MATCH(INDEX($JU$9:$JU$53,MATCH(TRUE,INDEX($JU$9:$JU$53&gt;$JY29,0),)),$JU$9:$JU$53,0))-INDEX($JV$9:$JV$53,MATCH(INDEX($JU$9:$JU$53,MATCH(TRUE,INDEX($JU$9:$JU$53&gt;$JY29,0),)-1),$JU$9:$JU$53,0)))*(($JY29-INDEX($JU$9:$JU$53,MATCH(TRUE,INDEX($JU$9:$JU$53&gt;$JY29,0),)-1))/(INDEX($JU$9:$JU$53,MATCH(TRUE,INDEX($JU$9:$JU$53&gt;$JY29,0),))-INDEX($JU$9:$JU$53,MATCH(TRUE,INDEX($JU$9:$JU$53&gt;$JY29,0),)-1))))+INDEX($JV$9:$JV$53,MATCH(INDEX($JU$9:$JU$53,MATCH(TRUE,INDEX($JU$9:$JU$53&gt;$JY29,0),)-1),$JU$9:$JU$53,0)))</f>
        <v>-21.424060987043426</v>
      </c>
      <c r="KD29" s="970">
        <v>-34.905486666666668</v>
      </c>
      <c r="KE29" s="968">
        <f t="shared" si="140"/>
        <v>-13.481425679623243</v>
      </c>
      <c r="KF29" s="968" cm="1">
        <f t="array" ref="KF29">(((INDEX($JW$9:$JW$53,MATCH(INDEX($JU$9:$JU$53,MATCH(TRUE,INDEX($JU$9:$JU$53&gt;$JY29,0),)),$JU$9:$JU$53,0))-INDEX($JW$9:$JW$53,MATCH(INDEX($JU$9:$JU$53,MATCH(TRUE,INDEX($JU$9:$JU$53&gt;$JY29,0),)-1),$JU$9:$JU$53,0)))*(($JY29-INDEX($JU$9:$JU$53,MATCH(TRUE,INDEX($JU$9:$JU$53&gt;$JY29,0),)-1))/(INDEX($JU$9:$JU$53,MATCH(TRUE,INDEX($JU$9:$JU$53&gt;$JY29,0),))-INDEX($JU$9:$JU$53,MATCH(TRUE,INDEX($JU$9:$JU$53&gt;$JY29,0),)-1))))+INDEX($JW$9:$JW$53,MATCH(INDEX($JU$9:$JU$53,MATCH(TRUE,INDEX($JU$9:$JU$53&gt;$JY29,0),)-1),$JU$9:$JU$53,0)))</f>
        <v>14.850214299857472</v>
      </c>
      <c r="KG29" s="966">
        <f t="shared" si="244"/>
        <v>-3.9364000000000061</v>
      </c>
      <c r="KH29" s="966">
        <f t="shared" si="141"/>
        <v>-1.9301268972514052E-2</v>
      </c>
      <c r="KJ29" s="31"/>
    </row>
    <row r="30" spans="1:296" ht="15" customHeight="1" x14ac:dyDescent="0.25">
      <c r="A30" s="75">
        <f t="shared" si="1"/>
        <v>0.02</v>
      </c>
      <c r="B30" s="578">
        <f t="shared" ref="B30:D30" si="300">IFERROR(O185+($A30*-E30),"")</f>
        <v>2.2934072202235463</v>
      </c>
      <c r="C30" s="572">
        <f t="shared" si="300"/>
        <v>-2.3092241410311791</v>
      </c>
      <c r="D30" s="576">
        <f t="shared" si="300"/>
        <v>-0.48061755396983624</v>
      </c>
      <c r="E30" s="580">
        <f t="shared" ref="E30:K30" si="301">R185</f>
        <v>0.81243838099092602</v>
      </c>
      <c r="F30" s="572">
        <f t="shared" si="301"/>
        <v>0.53323488189027624</v>
      </c>
      <c r="G30" s="579">
        <f t="shared" si="301"/>
        <v>0.23580593255536686</v>
      </c>
      <c r="H30" s="580">
        <f t="shared" si="301"/>
        <v>0.26450000000000001</v>
      </c>
      <c r="I30" s="572">
        <f t="shared" si="301"/>
        <v>0.52</v>
      </c>
      <c r="J30" s="483">
        <f t="shared" si="94"/>
        <v>4.1269999999999998</v>
      </c>
      <c r="K30" s="806">
        <f t="shared" si="301"/>
        <v>1313</v>
      </c>
      <c r="L30" s="82"/>
      <c r="M30" s="164">
        <f t="shared" si="4"/>
        <v>4.1269999999999998</v>
      </c>
      <c r="N30" s="575">
        <f t="shared" si="5"/>
        <v>2.2934072202235463</v>
      </c>
      <c r="O30" s="572">
        <f t="shared" si="6"/>
        <v>-2.3092241410311791</v>
      </c>
      <c r="P30" s="576">
        <f t="shared" si="7"/>
        <v>-0.48061755396983624</v>
      </c>
      <c r="Q30" s="528">
        <f t="shared" si="144"/>
        <v>314.80310410097161</v>
      </c>
      <c r="R30" s="572">
        <f>IF(M30="","",SQRT(N30^2+O30^2))</f>
        <v>3.2545710641027155</v>
      </c>
      <c r="S30" s="577">
        <f>IF(M30="","",P30)</f>
        <v>-0.48061755396983624</v>
      </c>
      <c r="T30" s="578">
        <f>IF(M30="","",X30*COS(RADIANS(W30)))</f>
        <v>-2.2400366155931786</v>
      </c>
      <c r="U30" s="572">
        <f>IF(M30="","",X30*SIN(RADIANS(W30)))</f>
        <v>-2.3610312941798419</v>
      </c>
      <c r="V30" s="579">
        <f>IF(M30="","",Y30)</f>
        <v>-0.48061755396983624</v>
      </c>
      <c r="W30" s="528">
        <f t="shared" si="268"/>
        <v>226.50636487064659</v>
      </c>
      <c r="X30" s="572">
        <f>IF(M30="","",R30)</f>
        <v>3.2545710641027155</v>
      </c>
      <c r="Y30" s="573">
        <f t="shared" si="271"/>
        <v>-0.48061755396983624</v>
      </c>
      <c r="Z30" s="575">
        <f t="shared" si="10"/>
        <v>-0.81243838099092602</v>
      </c>
      <c r="AA30" s="572">
        <f t="shared" si="11"/>
        <v>-0.53323488189027624</v>
      </c>
      <c r="AB30" s="572">
        <f t="shared" si="12"/>
        <v>-0.23580593255536686</v>
      </c>
      <c r="AC30" s="579">
        <f>IF(M30="","",SQRT(Z30^2+AA30^2+AB30^2))</f>
        <v>1</v>
      </c>
      <c r="AD30" s="580">
        <f>IF(M30="","",Z30*(1/SQRT(Z30^2+AA30^2+AB30^2)))</f>
        <v>-0.81243838099092602</v>
      </c>
      <c r="AE30" s="572">
        <f>IF(M30="","",AA30*(1/SQRT(Z30^2+AA30^2+AB30^2)))</f>
        <v>-0.53323488189027624</v>
      </c>
      <c r="AF30" s="576">
        <f>IF(M30="","",AB30*(1/SQRT(Z30^2+AA30^2+AB30^2)))</f>
        <v>-0.23580593255536686</v>
      </c>
      <c r="AG30" s="545">
        <f>IF(M30="","",DEGREES(ATAN2(-AF30,AE30)))</f>
        <v>-66.144134797560824</v>
      </c>
      <c r="AH30" s="546">
        <f>IF(M30="","",DEGREES(ACOS(AD30)))</f>
        <v>144.33485658488263</v>
      </c>
      <c r="AI30" s="528">
        <f>IF(M30="","",DEGREES(-ACOS(-AF30)))</f>
        <v>-76.360865509422865</v>
      </c>
      <c r="AJ30" s="529">
        <f>IF(M30="","",DEGREES(ATAN2(-AE30,AD30)))</f>
        <v>-56.721553407330376</v>
      </c>
      <c r="AK30" s="578">
        <f>IF(M30="","",(COS(RADIANS((90-$Q$8)-W30))*AD30)+(-SIN(RADIANS((90-$Q$8)-W30))*AE30))</f>
        <v>0.95220752278799703</v>
      </c>
      <c r="AL30" s="572">
        <f>IF(M30="","",(SIN(RADIANS((90-$Q$8)-W30))*AD30)+(COS(RADIANS((90-$Q$8)-W30))*AE30))</f>
        <v>-0.19415559666834203</v>
      </c>
      <c r="AM30" s="577">
        <f>IF(M30="","",AF30)</f>
        <v>-0.23580593255536686</v>
      </c>
      <c r="AN30" s="524">
        <f>IF(M30="","",DEGREES(ATAN2(-AM30,AL30)))</f>
        <v>-39.467026468651831</v>
      </c>
      <c r="AO30" s="525">
        <f>IF(ROUND(IF(M30="",0,DEGREES(ACOS(AK30))),4)=90,0,IF(M30="","",DEGREES(ACOS(AK30))))</f>
        <v>17.785350428911968</v>
      </c>
      <c r="AP30" s="528">
        <f>IF(M30="","",DEGREES(ATAN2(AK30,AL30)))</f>
        <v>-11.524657508301978</v>
      </c>
      <c r="AQ30" s="529">
        <f t="shared" si="13"/>
        <v>0.84050268591232258</v>
      </c>
      <c r="AR30" s="979"/>
      <c r="AS30" s="954">
        <f t="shared" si="147"/>
        <v>226.50636487064659</v>
      </c>
      <c r="AT30" s="950">
        <f t="shared" si="14"/>
        <v>-0.37097108970013104</v>
      </c>
      <c r="AU30" s="418"/>
      <c r="AV30" s="164" t="str">
        <f t="shared" si="15"/>
        <v/>
      </c>
      <c r="AW30" s="797" t="str">
        <f>IFERROR(INDEX(MassProp!C$9:C$150,MATCH($M30,MassProp!$B$9:$B$150,0)),"")</f>
        <v/>
      </c>
      <c r="AX30" s="744" t="str">
        <f>IFERROR(INDEX(MassProp!D$9:D$150,MATCH($M30,MassProp!$B$9:$B$150,0)),"")</f>
        <v/>
      </c>
      <c r="AY30" s="731" t="str">
        <f>IFERROR(INDEX(MassProp!E$9:E$150,MATCH($M30,MassProp!$B$9:$B$150,0)),"")</f>
        <v/>
      </c>
      <c r="AZ30" s="297" t="str">
        <f t="shared" si="148"/>
        <v/>
      </c>
      <c r="BA30" s="296" t="str">
        <f t="shared" si="16"/>
        <v/>
      </c>
      <c r="BB30" s="177" t="str">
        <f t="shared" si="149"/>
        <v/>
      </c>
      <c r="BC30" s="9"/>
      <c r="BD30" s="5" t="str">
        <f t="shared" si="150"/>
        <v/>
      </c>
      <c r="BE30" s="6" t="str">
        <f t="shared" si="17"/>
        <v/>
      </c>
      <c r="BF30" s="4" t="str">
        <f t="shared" si="18"/>
        <v/>
      </c>
      <c r="BG30" s="5" t="str">
        <f t="shared" si="19"/>
        <v/>
      </c>
      <c r="BH30" s="10" t="str">
        <f t="shared" si="20"/>
        <v/>
      </c>
      <c r="BI30" s="9" t="str">
        <f t="shared" si="151"/>
        <v/>
      </c>
      <c r="BJ30" s="5" t="str">
        <f t="shared" si="21"/>
        <v/>
      </c>
      <c r="BK30" s="8" t="str">
        <f t="shared" si="22"/>
        <v/>
      </c>
      <c r="BL30" s="173" t="str">
        <f t="shared" si="23"/>
        <v/>
      </c>
      <c r="BM30" s="5" t="str">
        <f t="shared" si="24"/>
        <v/>
      </c>
      <c r="BN30" s="6" t="str">
        <f t="shared" si="25"/>
        <v/>
      </c>
      <c r="BO30" s="4" t="str">
        <f t="shared" si="152"/>
        <v/>
      </c>
      <c r="BP30" s="5" t="str">
        <f t="shared" si="153"/>
        <v/>
      </c>
      <c r="BQ30" s="5" t="str">
        <f t="shared" si="154"/>
        <v/>
      </c>
      <c r="BR30" s="6" t="str">
        <f t="shared" si="155"/>
        <v/>
      </c>
      <c r="BS30" s="4" t="str">
        <f t="shared" si="112"/>
        <v/>
      </c>
      <c r="BT30" s="5" t="str">
        <f t="shared" si="112"/>
        <v/>
      </c>
      <c r="BU30" s="10" t="str">
        <f t="shared" si="113"/>
        <v/>
      </c>
      <c r="BV30" s="9" t="str">
        <f t="shared" si="114"/>
        <v/>
      </c>
      <c r="BW30" s="5" t="str">
        <f t="shared" si="115"/>
        <v/>
      </c>
      <c r="BX30" s="8" t="str">
        <f t="shared" si="116"/>
        <v/>
      </c>
      <c r="BY30" s="173" t="str">
        <f t="shared" si="117"/>
        <v/>
      </c>
      <c r="BZ30" s="5" t="str">
        <f t="shared" si="118"/>
        <v/>
      </c>
      <c r="CA30" s="6" t="str">
        <f t="shared" si="119"/>
        <v/>
      </c>
      <c r="CB30" s="4" t="str">
        <f t="shared" si="156"/>
        <v/>
      </c>
      <c r="CC30" s="5" t="str">
        <f t="shared" si="157"/>
        <v/>
      </c>
      <c r="CD30" s="5" t="str">
        <f t="shared" si="158"/>
        <v/>
      </c>
      <c r="CE30" s="6" t="str">
        <f t="shared" si="159"/>
        <v/>
      </c>
      <c r="CF30" s="4" t="str">
        <f t="shared" si="160"/>
        <v/>
      </c>
      <c r="CG30" s="5" t="str">
        <f t="shared" si="161"/>
        <v/>
      </c>
      <c r="CH30" s="5" t="str">
        <f t="shared" si="162"/>
        <v/>
      </c>
      <c r="CI30" s="4" t="str">
        <f t="shared" si="120"/>
        <v/>
      </c>
      <c r="CJ30" s="5" t="str">
        <f t="shared" si="121"/>
        <v/>
      </c>
      <c r="CK30" s="8" t="str">
        <f t="shared" si="122"/>
        <v/>
      </c>
      <c r="CL30" s="173" t="str">
        <f t="shared" si="123"/>
        <v/>
      </c>
      <c r="CM30" s="5" t="str">
        <f t="shared" si="124"/>
        <v/>
      </c>
      <c r="CN30" s="6" t="str">
        <f t="shared" si="125"/>
        <v/>
      </c>
      <c r="CO30" s="167" t="str">
        <f t="shared" si="26"/>
        <v/>
      </c>
      <c r="CP30" s="4" t="str">
        <f t="shared" si="248"/>
        <v/>
      </c>
      <c r="CQ30" s="5" t="str">
        <f t="shared" si="249"/>
        <v/>
      </c>
      <c r="CR30" s="5" t="str">
        <f t="shared" si="163"/>
        <v/>
      </c>
      <c r="CS30" s="8" t="str">
        <f t="shared" si="164"/>
        <v/>
      </c>
      <c r="CT30" s="9" t="str">
        <f t="shared" si="165"/>
        <v/>
      </c>
      <c r="CU30" s="6" t="str">
        <f t="shared" si="166"/>
        <v/>
      </c>
      <c r="CV30" s="4" t="str">
        <f t="shared" si="250"/>
        <v/>
      </c>
      <c r="CW30" s="5" t="str">
        <f t="shared" si="167"/>
        <v/>
      </c>
      <c r="CX30" s="8" t="str">
        <f t="shared" si="168"/>
        <v/>
      </c>
      <c r="CY30" s="9" t="str">
        <f t="shared" si="169"/>
        <v/>
      </c>
      <c r="CZ30" s="5" t="str">
        <f t="shared" si="170"/>
        <v/>
      </c>
      <c r="DA30" s="6" t="str">
        <f t="shared" si="171"/>
        <v/>
      </c>
      <c r="DB30" s="4" t="str">
        <f t="shared" si="172"/>
        <v/>
      </c>
      <c r="DC30" s="5" t="str">
        <f t="shared" si="172"/>
        <v/>
      </c>
      <c r="DD30" s="10" t="str">
        <f t="shared" si="173"/>
        <v/>
      </c>
      <c r="DE30" s="9" t="str">
        <f t="shared" si="174"/>
        <v/>
      </c>
      <c r="DF30" s="5" t="str">
        <f t="shared" si="174"/>
        <v/>
      </c>
      <c r="DG30" s="10" t="str">
        <f t="shared" si="175"/>
        <v/>
      </c>
      <c r="DH30" s="70" t="str">
        <f t="shared" si="176"/>
        <v/>
      </c>
      <c r="DI30" s="4" t="str">
        <f t="shared" si="177"/>
        <v/>
      </c>
      <c r="DJ30" s="5" t="str">
        <f t="shared" si="178"/>
        <v/>
      </c>
      <c r="DK30" s="10" t="str">
        <f t="shared" si="179"/>
        <v/>
      </c>
      <c r="DL30" s="9" t="str">
        <f t="shared" si="180"/>
        <v/>
      </c>
      <c r="DM30" s="173" t="str">
        <f t="shared" si="181"/>
        <v/>
      </c>
      <c r="DN30" s="178" t="str">
        <f t="shared" si="182"/>
        <v/>
      </c>
      <c r="DO30" s="9" t="str">
        <f t="shared" si="183"/>
        <v/>
      </c>
      <c r="DP30" s="173" t="str">
        <f t="shared" si="184"/>
        <v/>
      </c>
      <c r="DQ30" s="11" t="str">
        <f t="shared" si="185"/>
        <v/>
      </c>
      <c r="DR30" s="173" t="str">
        <f t="shared" si="186"/>
        <v/>
      </c>
      <c r="DS30" s="5" t="str">
        <f t="shared" si="187"/>
        <v/>
      </c>
      <c r="DT30" s="5" t="str">
        <f t="shared" si="188"/>
        <v/>
      </c>
      <c r="DU30" s="5" t="str">
        <f t="shared" si="189"/>
        <v/>
      </c>
      <c r="DV30" s="5" t="str">
        <f t="shared" si="190"/>
        <v/>
      </c>
      <c r="DW30" s="5" t="str">
        <f t="shared" si="191"/>
        <v/>
      </c>
      <c r="DX30" s="167" t="str">
        <f t="shared" si="192"/>
        <v/>
      </c>
      <c r="DY30" s="9" t="str">
        <f t="shared" si="193"/>
        <v/>
      </c>
      <c r="DZ30" s="5" t="str">
        <f t="shared" si="194"/>
        <v/>
      </c>
      <c r="EA30" s="10" t="str">
        <f t="shared" si="195"/>
        <v/>
      </c>
      <c r="EB30" s="6" t="str">
        <f t="shared" si="196"/>
        <v/>
      </c>
      <c r="EC30" s="173" t="str">
        <f t="shared" si="197"/>
        <v/>
      </c>
      <c r="ED30" s="5" t="str">
        <f t="shared" si="198"/>
        <v/>
      </c>
      <c r="EE30" s="4" t="str">
        <f t="shared" si="199"/>
        <v/>
      </c>
      <c r="EF30" s="5" t="str">
        <f t="shared" si="200"/>
        <v/>
      </c>
      <c r="EG30" s="10" t="str">
        <f t="shared" si="201"/>
        <v/>
      </c>
      <c r="EH30" s="9" t="str">
        <f t="shared" si="202"/>
        <v/>
      </c>
      <c r="EI30" s="5" t="str">
        <f t="shared" si="203"/>
        <v/>
      </c>
      <c r="EJ30" s="6" t="str">
        <f t="shared" si="204"/>
        <v/>
      </c>
      <c r="EK30" s="236" t="str">
        <f t="shared" si="205"/>
        <v/>
      </c>
      <c r="EL30" s="238" t="str">
        <f t="shared" si="206"/>
        <v/>
      </c>
      <c r="EM30" s="4" t="str">
        <f t="shared" si="207"/>
        <v/>
      </c>
      <c r="EN30" s="5" t="str">
        <f t="shared" si="208"/>
        <v/>
      </c>
      <c r="EO30" s="10" t="str">
        <f t="shared" si="209"/>
        <v/>
      </c>
      <c r="EP30" s="9" t="str">
        <f t="shared" si="210"/>
        <v/>
      </c>
      <c r="EQ30" s="5" t="str">
        <f t="shared" si="211"/>
        <v/>
      </c>
      <c r="ER30" s="7" t="str">
        <f t="shared" si="212"/>
        <v/>
      </c>
      <c r="ES30" s="21" t="str">
        <f t="shared" si="126"/>
        <v/>
      </c>
      <c r="ET30" s="5" t="str">
        <f t="shared" si="35"/>
        <v/>
      </c>
      <c r="EU30" s="10" t="str">
        <f t="shared" si="36"/>
        <v/>
      </c>
      <c r="EV30" s="174" t="str">
        <f t="shared" si="264"/>
        <v/>
      </c>
      <c r="EW30" s="9" t="str">
        <f t="shared" si="127"/>
        <v/>
      </c>
      <c r="EX30" s="5" t="str">
        <f t="shared" si="37"/>
        <v/>
      </c>
      <c r="EY30" s="6" t="str">
        <f t="shared" si="213"/>
        <v/>
      </c>
      <c r="EZ30" s="51" t="str">
        <f t="shared" si="214"/>
        <v/>
      </c>
      <c r="FA30" s="266" t="str">
        <f t="shared" si="128"/>
        <v/>
      </c>
      <c r="FB30" s="267" t="str">
        <f t="shared" si="129"/>
        <v/>
      </c>
      <c r="FC30" s="269" t="str">
        <f t="shared" si="38"/>
        <v/>
      </c>
      <c r="FD30" s="4" t="str">
        <f t="shared" si="130"/>
        <v/>
      </c>
      <c r="FE30" s="5" t="str">
        <f t="shared" si="39"/>
        <v/>
      </c>
      <c r="FF30" s="7" t="str">
        <f t="shared" si="215"/>
        <v/>
      </c>
      <c r="FG30" s="173" t="str">
        <f t="shared" si="216"/>
        <v/>
      </c>
      <c r="FH30" s="5" t="str">
        <f t="shared" si="40"/>
        <v/>
      </c>
      <c r="FI30" s="10" t="str">
        <f t="shared" si="41"/>
        <v/>
      </c>
      <c r="FJ30" s="279" t="str">
        <f t="shared" si="217"/>
        <v/>
      </c>
      <c r="FK30" s="4" t="str">
        <f t="shared" si="42"/>
        <v/>
      </c>
      <c r="FL30" s="5" t="str">
        <f t="shared" si="218"/>
        <v/>
      </c>
      <c r="FM30" s="8" t="str">
        <f t="shared" si="219"/>
        <v/>
      </c>
      <c r="FN30" s="9" t="str">
        <f t="shared" si="220"/>
        <v/>
      </c>
      <c r="FO30" s="10" t="str">
        <f t="shared" si="43"/>
        <v/>
      </c>
      <c r="FP30" s="277" t="str">
        <f t="shared" si="44"/>
        <v/>
      </c>
      <c r="FQ30" s="173" t="str">
        <f t="shared" si="251"/>
        <v/>
      </c>
      <c r="FR30" s="10" t="str">
        <f t="shared" si="221"/>
        <v/>
      </c>
      <c r="FS30" s="9" t="str">
        <f t="shared" si="222"/>
        <v/>
      </c>
      <c r="FT30" s="6" t="str">
        <f t="shared" si="223"/>
        <v/>
      </c>
      <c r="FU30" s="4" t="str">
        <f t="shared" si="224"/>
        <v/>
      </c>
      <c r="FV30" s="5" t="str">
        <f t="shared" si="225"/>
        <v/>
      </c>
      <c r="FW30" s="8" t="str">
        <f t="shared" si="252"/>
        <v/>
      </c>
      <c r="FX30" s="9" t="str">
        <f t="shared" si="253"/>
        <v/>
      </c>
      <c r="FY30" s="10" t="str">
        <f t="shared" si="45"/>
        <v/>
      </c>
      <c r="FZ30" s="277" t="str">
        <f t="shared" si="254"/>
        <v/>
      </c>
      <c r="GA30" s="177" t="str">
        <f t="shared" si="226"/>
        <v/>
      </c>
      <c r="GB30" s="4" t="str">
        <f t="shared" si="227"/>
        <v/>
      </c>
      <c r="GC30" s="5" t="str">
        <f t="shared" si="228"/>
        <v/>
      </c>
      <c r="GD30" s="10" t="str">
        <f t="shared" si="229"/>
        <v/>
      </c>
      <c r="GE30" s="311" t="str">
        <f t="shared" si="230"/>
        <v/>
      </c>
      <c r="GF30" s="341" t="str">
        <f t="shared" si="255"/>
        <v/>
      </c>
      <c r="GG30" s="285" t="str">
        <f t="shared" si="46"/>
        <v/>
      </c>
      <c r="GH30" s="286" t="str">
        <f t="shared" si="47"/>
        <v/>
      </c>
      <c r="GI30" s="281" t="str">
        <f t="shared" si="48"/>
        <v/>
      </c>
      <c r="GJ30" s="167" t="str">
        <f t="shared" si="231"/>
        <v/>
      </c>
      <c r="GK30" s="174" t="str">
        <f t="shared" si="49"/>
        <v/>
      </c>
      <c r="GL30" s="174" t="str">
        <f t="shared" si="232"/>
        <v/>
      </c>
      <c r="GM30" s="177" t="str">
        <f t="shared" si="256"/>
        <v/>
      </c>
      <c r="GN30" s="280" t="str">
        <f t="shared" si="233"/>
        <v/>
      </c>
      <c r="GO30" s="4" t="str">
        <f t="shared" si="234"/>
        <v/>
      </c>
      <c r="GP30" s="8" t="str">
        <f t="shared" si="257"/>
        <v/>
      </c>
      <c r="GQ30" s="177" t="str">
        <f t="shared" si="235"/>
        <v/>
      </c>
      <c r="GR30" s="371" t="str">
        <f t="shared" si="258"/>
        <v/>
      </c>
      <c r="GS30" s="342" t="str">
        <f t="shared" si="51"/>
        <v/>
      </c>
      <c r="GT30" s="343" t="str">
        <f t="shared" si="52"/>
        <v/>
      </c>
      <c r="GU30" s="344" t="str">
        <f t="shared" si="53"/>
        <v/>
      </c>
      <c r="GV30" s="343" t="str">
        <f t="shared" si="265"/>
        <v/>
      </c>
      <c r="GW30" s="345" t="str">
        <f t="shared" si="54"/>
        <v/>
      </c>
      <c r="GX30" s="346" t="str">
        <f t="shared" si="55"/>
        <v/>
      </c>
      <c r="GY30" s="344" t="str">
        <f t="shared" si="56"/>
        <v/>
      </c>
      <c r="GZ30" s="345" t="str">
        <f t="shared" si="57"/>
        <v/>
      </c>
      <c r="HA30" s="342" t="str">
        <f t="shared" si="58"/>
        <v/>
      </c>
      <c r="HB30" s="5" t="str">
        <f t="shared" si="236"/>
        <v/>
      </c>
      <c r="HC30" s="343" t="str">
        <f t="shared" si="237"/>
        <v/>
      </c>
      <c r="HD30" s="363" t="str">
        <f t="shared" si="238"/>
        <v/>
      </c>
      <c r="HE30" s="344" t="str">
        <f t="shared" si="59"/>
        <v/>
      </c>
      <c r="HF30" s="5" t="str">
        <f t="shared" si="60"/>
        <v/>
      </c>
      <c r="HG30" s="343" t="str">
        <f t="shared" si="239"/>
        <v/>
      </c>
      <c r="HH30" s="349" t="str">
        <f t="shared" si="240"/>
        <v/>
      </c>
      <c r="HI30" s="317" t="str">
        <f t="shared" si="61"/>
        <v/>
      </c>
      <c r="HJ30" s="336"/>
      <c r="HK30" s="310" t="str">
        <f t="shared" si="131"/>
        <v/>
      </c>
      <c r="HL30" s="348" t="str">
        <f t="shared" si="62"/>
        <v/>
      </c>
      <c r="HM30" s="923" t="str">
        <f t="shared" si="63"/>
        <v/>
      </c>
      <c r="HN30" s="924" t="str">
        <f t="shared" si="64"/>
        <v/>
      </c>
      <c r="HO30" s="925"/>
      <c r="HP30" s="926"/>
      <c r="HQ30" s="924" t="str">
        <f t="shared" si="65"/>
        <v/>
      </c>
      <c r="HR30" s="927" t="str">
        <f t="shared" si="66"/>
        <v/>
      </c>
      <c r="HS30" s="879" t="str">
        <f t="shared" si="261"/>
        <v/>
      </c>
      <c r="HT30" s="889" t="str">
        <f t="shared" si="67"/>
        <v/>
      </c>
      <c r="HU30" s="890" t="str">
        <f t="shared" si="68"/>
        <v/>
      </c>
      <c r="HV30" s="886" t="str">
        <f t="shared" si="69"/>
        <v/>
      </c>
      <c r="HW30" s="880" t="str">
        <f t="shared" si="70"/>
        <v/>
      </c>
      <c r="HX30" s="881" t="str">
        <f t="shared" si="71"/>
        <v/>
      </c>
      <c r="HY30" s="880" t="str">
        <f t="shared" si="72"/>
        <v/>
      </c>
      <c r="HZ30" s="882" t="str">
        <f t="shared" si="73"/>
        <v/>
      </c>
      <c r="IA30" s="883" t="str">
        <f t="shared" si="74"/>
        <v/>
      </c>
      <c r="IB30" s="884" t="str">
        <f t="shared" si="75"/>
        <v/>
      </c>
      <c r="IC30" s="855" t="str">
        <f t="shared" si="76"/>
        <v/>
      </c>
      <c r="ID30" s="351" t="str">
        <f t="shared" si="77"/>
        <v/>
      </c>
      <c r="IE30" s="857" t="str">
        <f t="shared" si="78"/>
        <v/>
      </c>
      <c r="IF30" s="858"/>
      <c r="IG30" s="790" t="str">
        <f>IFERROR(IF($IW30="","",IF($IW30&lt;(((Settings!$C$19/2)*-1)*$IG$8),"Taper","Nose")),"")</f>
        <v/>
      </c>
      <c r="IH30" s="482" t="str">
        <f>IFERROR(IF((((($IY30*COS(RADIANS(180-$JA30)))*COS(RADIANS($JA30)))-(($IZ30*SIN(RADIANS(180-$JA30)))*SIN(RADIANS($JA30))))+$IW30)&lt;(((Settings!$C$19+$IH$8)/2)*-1),"Gage",""),"")</f>
        <v/>
      </c>
      <c r="II30" s="788">
        <f t="shared" si="241"/>
        <v>4.1269999999999998</v>
      </c>
      <c r="IJ30" s="674" t="str" cm="1">
        <f t="array" ref="IJ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K30" s="677" t="str" cm="1">
        <f t="array" ref="IK30">IFERROR(ROUND(VALUE(IF($IJ30&lt;1,$IJ30+LARGE((IF($M$9:$M$150="",0,$M$9:$M$150)-MOD(IF($M$9:$M$150="",0,$M$9:$M$150),1)),1),$IJ30)),4),"")</f>
        <v/>
      </c>
      <c r="IL30" s="482">
        <f t="shared" si="79"/>
        <v>1313</v>
      </c>
      <c r="IM30" s="482" t="str">
        <f t="shared" si="242"/>
        <v/>
      </c>
      <c r="IN30" s="670" t="str">
        <f t="shared" si="81"/>
        <v/>
      </c>
      <c r="IO30" s="702">
        <v>7.3513939942956999E-3</v>
      </c>
      <c r="IP30" s="5" t="str">
        <f t="shared" si="82"/>
        <v/>
      </c>
      <c r="IQ30" s="714">
        <v>140</v>
      </c>
      <c r="IR30" s="9" t="str">
        <f t="shared" si="132"/>
        <v/>
      </c>
      <c r="IS30" s="5" t="str">
        <f t="shared" si="83"/>
        <v/>
      </c>
      <c r="IT30" s="5" t="str">
        <f t="shared" si="84"/>
        <v/>
      </c>
      <c r="IU30" s="5" t="str">
        <f t="shared" si="85"/>
        <v/>
      </c>
      <c r="IV30" s="670" t="str">
        <f t="shared" si="86"/>
        <v/>
      </c>
      <c r="IW30" s="9" t="str">
        <f t="shared" si="87"/>
        <v/>
      </c>
      <c r="IX30" s="5" t="str">
        <f t="shared" si="88"/>
        <v/>
      </c>
      <c r="IY30" s="5" t="str">
        <f t="shared" si="89"/>
        <v/>
      </c>
      <c r="IZ30" s="5" t="str">
        <f t="shared" si="90"/>
        <v/>
      </c>
      <c r="JA30" s="705" t="str">
        <f t="shared" si="91"/>
        <v/>
      </c>
      <c r="JC30" s="31" t="s">
        <v>322</v>
      </c>
      <c r="JD30" s="745" t="str" cm="1">
        <f t="array" ref="JD30">IF($JC$23="","",IF(AND(ISTEXT(_xlfn.ANCHORARRAY($JC$23))=FALSE),"",SUM(COUNTIFS($IM$9:$IM$150,_xlfn.ANCHORARRAY($JC$23),$IK$9:$IK$150,"&lt;&gt;"&amp;"",$IM$9:$IM$150,IF(ISTEXT(_xlfn.ANCHORARRAY($JC$23)),_xlfn.ANCHORARRAY($JC$23),"")))))</f>
        <v/>
      </c>
      <c r="JJ30" s="745" t="str" cm="1">
        <f t="array" ref="JJ30">IF($JC$23="","",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)),""))</f>
        <v/>
      </c>
      <c r="JK30" s="745" t="str" cm="1">
        <f t="array" ref="JK30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)),"")</f>
        <v/>
      </c>
      <c r="JM30" s="489">
        <f t="shared" si="133"/>
        <v>27</v>
      </c>
      <c r="JN30" s="960">
        <f>($JO30-SMALL($JO$9:$JO$88,1))/((Settings!$C$19/2)-((Settings!$C$19/2)-LARGE($JO$9:$JO$88,1))-SMALL($JO$9:$JO$88,1))</f>
        <v>0.8630956899057608</v>
      </c>
      <c r="JO30" s="162">
        <f t="shared" si="134"/>
        <v>3.2545710641027155</v>
      </c>
      <c r="JP30" s="961">
        <f t="shared" si="135"/>
        <v>-39.467026468651831</v>
      </c>
      <c r="JQ30" s="961">
        <f t="shared" si="136"/>
        <v>17.785350428911968</v>
      </c>
      <c r="JS30" s="82">
        <v>22</v>
      </c>
      <c r="JT30" s="322">
        <f t="shared" si="137"/>
        <v>2.9070144690300399</v>
      </c>
      <c r="JU30" s="963">
        <f t="shared" si="138"/>
        <v>0.76165029749676738</v>
      </c>
      <c r="JV30" s="961">
        <f t="shared" si="287"/>
        <v>-25.825548799180581</v>
      </c>
      <c r="JW30" s="961">
        <f t="shared" si="92"/>
        <v>14.830297828073032</v>
      </c>
      <c r="JX30" s="1">
        <v>5.4775999999999998</v>
      </c>
      <c r="JY30" s="965">
        <f t="shared" si="139"/>
        <v>0.7561395506246229</v>
      </c>
      <c r="JZ30" s="973">
        <v>33.278999999999996</v>
      </c>
      <c r="KA30" s="410">
        <f t="shared" si="280"/>
        <v>-5.5628000000000029</v>
      </c>
      <c r="KB30" s="976">
        <f t="shared" si="243"/>
        <v>22</v>
      </c>
      <c r="KC30" s="968" cm="1">
        <f t="array" ref="KC30">(((INDEX($JV$9:$JV$53,MATCH(INDEX($JU$9:$JU$53,MATCH(TRUE,INDEX($JU$9:$JU$53&gt;$JY30,0),)),$JU$9:$JU$53,0))-INDEX($JV$9:$JV$53,MATCH(INDEX($JU$9:$JU$53,MATCH(TRUE,INDEX($JU$9:$JU$53&gt;$JY30,0),)-1),$JU$9:$JU$53,0)))*(($JY30-INDEX($JU$9:$JU$53,MATCH(TRUE,INDEX($JU$9:$JU$53&gt;$JY30,0),)-1))/(INDEX($JU$9:$JU$53,MATCH(TRUE,INDEX($JU$9:$JU$53&gt;$JY30,0),))-INDEX($JU$9:$JU$53,MATCH(TRUE,INDEX($JU$9:$JU$53&gt;$JY30,0),)-1))))+INDEX($JV$9:$JV$53,MATCH(INDEX($JU$9:$JU$53,MATCH(TRUE,INDEX($JU$9:$JU$53&gt;$JY30,0),)-1),$JU$9:$JU$53,0)))</f>
        <v>-25.164656070395274</v>
      </c>
      <c r="KD30" s="970">
        <v>-38.841799999999999</v>
      </c>
      <c r="KE30" s="968">
        <f t="shared" si="140"/>
        <v>-13.677143929604725</v>
      </c>
      <c r="KF30" s="968" cm="1">
        <f t="array" ref="KF30">(((INDEX($JW$9:$JW$53,MATCH(INDEX($JU$9:$JU$53,MATCH(TRUE,INDEX($JU$9:$JU$53&gt;$JY30,0),)),$JU$9:$JU$53,0))-INDEX($JW$9:$JW$53,MATCH(INDEX($JU$9:$JU$53,MATCH(TRUE,INDEX($JU$9:$JU$53&gt;$JY30,0),)-1),$JU$9:$JU$53,0)))*(($JY30-INDEX($JU$9:$JU$53,MATCH(TRUE,INDEX($JU$9:$JU$53&gt;$JY30,0),)-1))/(INDEX($JU$9:$JU$53,MATCH(TRUE,INDEX($JU$9:$JU$53&gt;$JY30,0),))-INDEX($JU$9:$JU$53,MATCH(TRUE,INDEX($JU$9:$JU$53&gt;$JY30,0),)-1))))+INDEX($JW$9:$JW$53,MATCH(INDEX($JU$9:$JU$53,MATCH(TRUE,INDEX($JU$9:$JU$53&gt;$JY30,0),)-1),$JU$9:$JU$53,0)))</f>
        <v>14.833201709842509</v>
      </c>
      <c r="KG30" s="966">
        <f t="shared" si="244"/>
        <v>-3.9363133333333309</v>
      </c>
      <c r="KH30" s="966">
        <f t="shared" si="141"/>
        <v>-1.701259001496247E-2</v>
      </c>
      <c r="KJ30" s="31"/>
    </row>
    <row r="31" spans="1:296" ht="15" customHeight="1" x14ac:dyDescent="0.25">
      <c r="A31" s="75">
        <f t="shared" si="1"/>
        <v>0.02</v>
      </c>
      <c r="B31" s="578">
        <f t="shared" ref="B31:D31" si="302">IFERROR(O186+($A31*-E31),"")</f>
        <v>2.53236370023934</v>
      </c>
      <c r="C31" s="572">
        <f t="shared" si="302"/>
        <v>-2.6005858632557546</v>
      </c>
      <c r="D31" s="576">
        <f t="shared" si="302"/>
        <v>-1.0441113400339619</v>
      </c>
      <c r="E31" s="580">
        <f t="shared" ref="E31:K31" si="303">R186</f>
        <v>0.9104780962758906</v>
      </c>
      <c r="F31" s="572">
        <f t="shared" si="303"/>
        <v>0.35602976075395998</v>
      </c>
      <c r="G31" s="579">
        <f t="shared" si="303"/>
        <v>0.2104101843051053</v>
      </c>
      <c r="H31" s="580">
        <f t="shared" si="303"/>
        <v>0.26450000000000001</v>
      </c>
      <c r="I31" s="572">
        <f t="shared" si="303"/>
        <v>0.52</v>
      </c>
      <c r="J31" s="483">
        <f t="shared" si="94"/>
        <v>4.1349999999999998</v>
      </c>
      <c r="K31" s="806">
        <f t="shared" si="303"/>
        <v>1313</v>
      </c>
      <c r="L31" s="309"/>
      <c r="M31" s="164">
        <f t="shared" si="4"/>
        <v>4.1349999999999998</v>
      </c>
      <c r="N31" s="575">
        <f t="shared" si="5"/>
        <v>2.53236370023934</v>
      </c>
      <c r="O31" s="572">
        <f t="shared" si="6"/>
        <v>-2.6005858632557546</v>
      </c>
      <c r="P31" s="576">
        <f t="shared" si="7"/>
        <v>-1.0441113400339619</v>
      </c>
      <c r="Q31" s="528">
        <f t="shared" si="144"/>
        <v>314.2385251756865</v>
      </c>
      <c r="R31" s="572">
        <f>IF(M31="","",SQRT(N31^2+O31^2))</f>
        <v>3.6298640115651111</v>
      </c>
      <c r="S31" s="577">
        <f>IF(M31="","",P31)</f>
        <v>-1.0441113400339619</v>
      </c>
      <c r="T31" s="578">
        <f>IF(M31="","",X31*COS(RADIANS(W31)))</f>
        <v>-2.5241670709577426</v>
      </c>
      <c r="U31" s="572">
        <f>IF(M31="","",X31*SIN(RADIANS(W31)))</f>
        <v>-2.6085423784842314</v>
      </c>
      <c r="V31" s="579">
        <f>IF(M31="","",Y31)</f>
        <v>-1.0441113400339619</v>
      </c>
      <c r="W31" s="528">
        <f t="shared" si="268"/>
        <v>225.94178594536149</v>
      </c>
      <c r="X31" s="572">
        <f>IF(M31="","",R31)</f>
        <v>3.6298640115651111</v>
      </c>
      <c r="Y31" s="573">
        <f t="shared" si="271"/>
        <v>-1.0441113400339619</v>
      </c>
      <c r="Z31" s="575">
        <f t="shared" si="10"/>
        <v>-0.9104780962758906</v>
      </c>
      <c r="AA31" s="572">
        <f t="shared" si="11"/>
        <v>-0.35602976075395998</v>
      </c>
      <c r="AB31" s="572">
        <f t="shared" si="12"/>
        <v>-0.2104101843051053</v>
      </c>
      <c r="AC31" s="579">
        <f>IF(M31="","",SQRT(Z31^2+AA31^2+AB31^2))</f>
        <v>1</v>
      </c>
      <c r="AD31" s="580">
        <f>IF(M31="","",Z31*(1/SQRT(Z31^2+AA31^2+AB31^2)))</f>
        <v>-0.9104780962758906</v>
      </c>
      <c r="AE31" s="572">
        <f>IF(M31="","",AA31*(1/SQRT(Z31^2+AA31^2+AB31^2)))</f>
        <v>-0.35602976075395998</v>
      </c>
      <c r="AF31" s="576">
        <f>IF(M31="","",AB31*(1/SQRT(Z31^2+AA31^2+AB31^2)))</f>
        <v>-0.2104101843051053</v>
      </c>
      <c r="AG31" s="545">
        <f>IF(M31="","",DEGREES(ATAN2(-AF31,AE31)))</f>
        <v>-59.41731865129497</v>
      </c>
      <c r="AH31" s="546">
        <f>IF(M31="","",DEGREES(ACOS(AD31)))</f>
        <v>155.57150471732916</v>
      </c>
      <c r="AI31" s="528">
        <f>IF(M31="","",DEGREES(-ACOS(-AF31)))</f>
        <v>-77.853608831327563</v>
      </c>
      <c r="AJ31" s="529">
        <f>IF(M31="","",DEGREES(ATAN2(-AE31,AD31)))</f>
        <v>-68.642709903498442</v>
      </c>
      <c r="AK31" s="578">
        <f>IF(M31="","",(COS(RADIANS((90-$Q$8)-W31))*AD31)+(-SIN(RADIANS((90-$Q$8)-W31))*AE31))</f>
        <v>0.90068754584214905</v>
      </c>
      <c r="AL31" s="572">
        <f>IF(M31="","",(SIN(RADIANS((90-$Q$8)-W31))*AD31)+(COS(RADIANS((90-$Q$8)-W31))*AE31))</f>
        <v>-0.38011774373940865</v>
      </c>
      <c r="AM31" s="577">
        <f>IF(M31="","",AF31)</f>
        <v>-0.2104101843051053</v>
      </c>
      <c r="AN31" s="524">
        <f>IF(M31="","",DEGREES(ATAN2(-AM31,AL31)))</f>
        <v>-61.033739817959066</v>
      </c>
      <c r="AO31" s="525">
        <f t="shared" si="110"/>
        <v>25.751410248253265</v>
      </c>
      <c r="AP31" s="528">
        <f>IF(M31="","",DEGREES(ATAN2(AK31,AL31)))</f>
        <v>-22.881235079184933</v>
      </c>
      <c r="AQ31" s="529">
        <f t="shared" si="13"/>
        <v>0.75361341047306041</v>
      </c>
      <c r="AR31" s="979"/>
      <c r="AS31" s="954">
        <f t="shared" si="147"/>
        <v>225.94178594536149</v>
      </c>
      <c r="AT31" s="950">
        <f t="shared" si="14"/>
        <v>-0.93399439332651912</v>
      </c>
      <c r="AU31" s="418"/>
      <c r="AV31" s="164" t="str">
        <f t="shared" si="15"/>
        <v/>
      </c>
      <c r="AW31" s="829" t="str">
        <f>IFERROR(INDEX(MassProp!C$9:C$150,MATCH($M31,MassProp!$B$9:$B$150,0)),"")</f>
        <v/>
      </c>
      <c r="AX31" s="830" t="str">
        <f>IFERROR(INDEX(MassProp!D$9:D$150,MATCH($M31,MassProp!$B$9:$B$150,0)),"")</f>
        <v/>
      </c>
      <c r="AY31" s="831" t="str">
        <f>IFERROR(INDEX(MassProp!E$9:E$150,MATCH($M31,MassProp!$B$9:$B$150,0)),"")</f>
        <v/>
      </c>
      <c r="AZ31" s="297" t="str">
        <f t="shared" si="148"/>
        <v/>
      </c>
      <c r="BA31" s="296" t="str">
        <f t="shared" si="16"/>
        <v/>
      </c>
      <c r="BB31" s="190" t="str">
        <f t="shared" si="149"/>
        <v/>
      </c>
      <c r="BC31" s="9"/>
      <c r="BD31" s="5" t="str">
        <f t="shared" si="150"/>
        <v/>
      </c>
      <c r="BE31" s="6" t="str">
        <f t="shared" si="17"/>
        <v/>
      </c>
      <c r="BF31" s="4" t="str">
        <f t="shared" si="18"/>
        <v/>
      </c>
      <c r="BG31" s="5" t="str">
        <f t="shared" si="19"/>
        <v/>
      </c>
      <c r="BH31" s="10" t="str">
        <f t="shared" si="20"/>
        <v/>
      </c>
      <c r="BI31" s="9" t="str">
        <f t="shared" si="151"/>
        <v/>
      </c>
      <c r="BJ31" s="5" t="str">
        <f t="shared" si="21"/>
        <v/>
      </c>
      <c r="BK31" s="8" t="str">
        <f t="shared" si="22"/>
        <v/>
      </c>
      <c r="BL31" s="173" t="str">
        <f t="shared" si="23"/>
        <v/>
      </c>
      <c r="BM31" s="5" t="str">
        <f t="shared" si="24"/>
        <v/>
      </c>
      <c r="BN31" s="6" t="str">
        <f t="shared" si="25"/>
        <v/>
      </c>
      <c r="BO31" s="4" t="str">
        <f t="shared" si="152"/>
        <v/>
      </c>
      <c r="BP31" s="5" t="str">
        <f t="shared" si="153"/>
        <v/>
      </c>
      <c r="BQ31" s="5" t="str">
        <f t="shared" si="154"/>
        <v/>
      </c>
      <c r="BR31" s="6" t="str">
        <f t="shared" si="155"/>
        <v/>
      </c>
      <c r="BS31" s="4" t="str">
        <f t="shared" si="112"/>
        <v/>
      </c>
      <c r="BT31" s="5" t="str">
        <f t="shared" si="112"/>
        <v/>
      </c>
      <c r="BU31" s="10" t="str">
        <f t="shared" si="113"/>
        <v/>
      </c>
      <c r="BV31" s="9" t="str">
        <f t="shared" si="114"/>
        <v/>
      </c>
      <c r="BW31" s="5" t="str">
        <f t="shared" si="115"/>
        <v/>
      </c>
      <c r="BX31" s="8" t="str">
        <f t="shared" si="116"/>
        <v/>
      </c>
      <c r="BY31" s="173" t="str">
        <f t="shared" si="117"/>
        <v/>
      </c>
      <c r="BZ31" s="5" t="str">
        <f t="shared" si="118"/>
        <v/>
      </c>
      <c r="CA31" s="6" t="str">
        <f t="shared" si="119"/>
        <v/>
      </c>
      <c r="CB31" s="4" t="str">
        <f t="shared" si="156"/>
        <v/>
      </c>
      <c r="CC31" s="5" t="str">
        <f t="shared" si="157"/>
        <v/>
      </c>
      <c r="CD31" s="5" t="str">
        <f t="shared" si="158"/>
        <v/>
      </c>
      <c r="CE31" s="6" t="str">
        <f t="shared" si="159"/>
        <v/>
      </c>
      <c r="CF31" s="4" t="str">
        <f t="shared" si="160"/>
        <v/>
      </c>
      <c r="CG31" s="5" t="str">
        <f t="shared" si="161"/>
        <v/>
      </c>
      <c r="CH31" s="5" t="str">
        <f t="shared" si="162"/>
        <v/>
      </c>
      <c r="CI31" s="4" t="str">
        <f t="shared" si="120"/>
        <v/>
      </c>
      <c r="CJ31" s="5" t="str">
        <f t="shared" si="121"/>
        <v/>
      </c>
      <c r="CK31" s="8" t="str">
        <f t="shared" si="122"/>
        <v/>
      </c>
      <c r="CL31" s="173" t="str">
        <f t="shared" si="123"/>
        <v/>
      </c>
      <c r="CM31" s="5" t="str">
        <f t="shared" si="124"/>
        <v/>
      </c>
      <c r="CN31" s="6" t="str">
        <f t="shared" si="125"/>
        <v/>
      </c>
      <c r="CO31" s="167" t="str">
        <f t="shared" si="26"/>
        <v/>
      </c>
      <c r="CP31" s="4" t="str">
        <f t="shared" si="248"/>
        <v/>
      </c>
      <c r="CQ31" s="5" t="str">
        <f t="shared" si="249"/>
        <v/>
      </c>
      <c r="CR31" s="5" t="str">
        <f t="shared" si="163"/>
        <v/>
      </c>
      <c r="CS31" s="8" t="str">
        <f t="shared" si="164"/>
        <v/>
      </c>
      <c r="CT31" s="9" t="str">
        <f t="shared" si="165"/>
        <v/>
      </c>
      <c r="CU31" s="6" t="str">
        <f t="shared" si="166"/>
        <v/>
      </c>
      <c r="CV31" s="4" t="str">
        <f t="shared" si="250"/>
        <v/>
      </c>
      <c r="CW31" s="5" t="str">
        <f t="shared" si="167"/>
        <v/>
      </c>
      <c r="CX31" s="8" t="str">
        <f t="shared" si="168"/>
        <v/>
      </c>
      <c r="CY31" s="9" t="str">
        <f t="shared" si="169"/>
        <v/>
      </c>
      <c r="CZ31" s="5" t="str">
        <f t="shared" si="170"/>
        <v/>
      </c>
      <c r="DA31" s="6" t="str">
        <f t="shared" si="171"/>
        <v/>
      </c>
      <c r="DB31" s="4" t="str">
        <f t="shared" si="172"/>
        <v/>
      </c>
      <c r="DC31" s="5" t="str">
        <f t="shared" si="172"/>
        <v/>
      </c>
      <c r="DD31" s="10" t="str">
        <f t="shared" si="173"/>
        <v/>
      </c>
      <c r="DE31" s="9" t="str">
        <f t="shared" si="174"/>
        <v/>
      </c>
      <c r="DF31" s="5" t="str">
        <f t="shared" si="174"/>
        <v/>
      </c>
      <c r="DG31" s="10" t="str">
        <f t="shared" si="175"/>
        <v/>
      </c>
      <c r="DH31" s="70" t="str">
        <f t="shared" si="176"/>
        <v/>
      </c>
      <c r="DI31" s="4" t="str">
        <f t="shared" si="177"/>
        <v/>
      </c>
      <c r="DJ31" s="5" t="str">
        <f t="shared" si="178"/>
        <v/>
      </c>
      <c r="DK31" s="10" t="str">
        <f t="shared" si="179"/>
        <v/>
      </c>
      <c r="DL31" s="9" t="str">
        <f t="shared" si="180"/>
        <v/>
      </c>
      <c r="DM31" s="173" t="str">
        <f t="shared" si="181"/>
        <v/>
      </c>
      <c r="DN31" s="178" t="str">
        <f t="shared" si="182"/>
        <v/>
      </c>
      <c r="DO31" s="9" t="str">
        <f t="shared" si="183"/>
        <v/>
      </c>
      <c r="DP31" s="173" t="str">
        <f t="shared" si="184"/>
        <v/>
      </c>
      <c r="DQ31" s="11" t="str">
        <f t="shared" si="185"/>
        <v/>
      </c>
      <c r="DR31" s="173" t="str">
        <f t="shared" si="186"/>
        <v/>
      </c>
      <c r="DS31" s="5" t="str">
        <f t="shared" si="187"/>
        <v/>
      </c>
      <c r="DT31" s="5" t="str">
        <f t="shared" si="188"/>
        <v/>
      </c>
      <c r="DU31" s="5" t="str">
        <f t="shared" si="189"/>
        <v/>
      </c>
      <c r="DV31" s="5" t="str">
        <f t="shared" si="190"/>
        <v/>
      </c>
      <c r="DW31" s="5" t="str">
        <f t="shared" si="191"/>
        <v/>
      </c>
      <c r="DX31" s="167" t="str">
        <f t="shared" si="192"/>
        <v/>
      </c>
      <c r="DY31" s="9" t="str">
        <f t="shared" si="193"/>
        <v/>
      </c>
      <c r="DZ31" s="5" t="str">
        <f t="shared" si="194"/>
        <v/>
      </c>
      <c r="EA31" s="10" t="str">
        <f t="shared" si="195"/>
        <v/>
      </c>
      <c r="EB31" s="6" t="str">
        <f t="shared" si="196"/>
        <v/>
      </c>
      <c r="EC31" s="173" t="str">
        <f t="shared" si="197"/>
        <v/>
      </c>
      <c r="ED31" s="5" t="str">
        <f t="shared" si="198"/>
        <v/>
      </c>
      <c r="EE31" s="4" t="str">
        <f t="shared" si="199"/>
        <v/>
      </c>
      <c r="EF31" s="5" t="str">
        <f t="shared" si="200"/>
        <v/>
      </c>
      <c r="EG31" s="10" t="str">
        <f t="shared" si="201"/>
        <v/>
      </c>
      <c r="EH31" s="9" t="str">
        <f t="shared" si="202"/>
        <v/>
      </c>
      <c r="EI31" s="5" t="str">
        <f t="shared" si="203"/>
        <v/>
      </c>
      <c r="EJ31" s="6" t="str">
        <f t="shared" si="204"/>
        <v/>
      </c>
      <c r="EK31" s="236" t="str">
        <f t="shared" si="205"/>
        <v/>
      </c>
      <c r="EL31" s="238" t="str">
        <f t="shared" si="206"/>
        <v/>
      </c>
      <c r="EM31" s="4" t="str">
        <f t="shared" si="207"/>
        <v/>
      </c>
      <c r="EN31" s="5" t="str">
        <f t="shared" si="208"/>
        <v/>
      </c>
      <c r="EO31" s="10" t="str">
        <f t="shared" si="209"/>
        <v/>
      </c>
      <c r="EP31" s="9" t="str">
        <f t="shared" si="210"/>
        <v/>
      </c>
      <c r="EQ31" s="5" t="str">
        <f t="shared" si="211"/>
        <v/>
      </c>
      <c r="ER31" s="7" t="str">
        <f t="shared" si="212"/>
        <v/>
      </c>
      <c r="ES31" s="21" t="str">
        <f t="shared" si="126"/>
        <v/>
      </c>
      <c r="ET31" s="5" t="str">
        <f t="shared" si="35"/>
        <v/>
      </c>
      <c r="EU31" s="10" t="str">
        <f t="shared" si="36"/>
        <v/>
      </c>
      <c r="EV31" s="174" t="str">
        <f t="shared" si="264"/>
        <v/>
      </c>
      <c r="EW31" s="9" t="str">
        <f t="shared" si="127"/>
        <v/>
      </c>
      <c r="EX31" s="5" t="str">
        <f t="shared" si="37"/>
        <v/>
      </c>
      <c r="EY31" s="6" t="str">
        <f t="shared" si="213"/>
        <v/>
      </c>
      <c r="EZ31" s="51" t="str">
        <f t="shared" si="214"/>
        <v/>
      </c>
      <c r="FA31" s="266" t="str">
        <f t="shared" si="128"/>
        <v/>
      </c>
      <c r="FB31" s="267" t="str">
        <f t="shared" si="129"/>
        <v/>
      </c>
      <c r="FC31" s="269" t="str">
        <f t="shared" si="38"/>
        <v/>
      </c>
      <c r="FD31" s="4" t="str">
        <f t="shared" si="130"/>
        <v/>
      </c>
      <c r="FE31" s="5" t="str">
        <f t="shared" si="39"/>
        <v/>
      </c>
      <c r="FF31" s="7" t="str">
        <f t="shared" si="215"/>
        <v/>
      </c>
      <c r="FG31" s="173" t="str">
        <f t="shared" si="216"/>
        <v/>
      </c>
      <c r="FH31" s="5" t="str">
        <f t="shared" si="40"/>
        <v/>
      </c>
      <c r="FI31" s="10" t="str">
        <f t="shared" si="41"/>
        <v/>
      </c>
      <c r="FJ31" s="279" t="str">
        <f t="shared" si="217"/>
        <v/>
      </c>
      <c r="FK31" s="4" t="str">
        <f t="shared" si="42"/>
        <v/>
      </c>
      <c r="FL31" s="5" t="str">
        <f t="shared" si="218"/>
        <v/>
      </c>
      <c r="FM31" s="8" t="str">
        <f t="shared" si="219"/>
        <v/>
      </c>
      <c r="FN31" s="9" t="str">
        <f t="shared" si="220"/>
        <v/>
      </c>
      <c r="FO31" s="10" t="str">
        <f t="shared" si="43"/>
        <v/>
      </c>
      <c r="FP31" s="277" t="str">
        <f t="shared" si="44"/>
        <v/>
      </c>
      <c r="FQ31" s="173" t="str">
        <f t="shared" si="251"/>
        <v/>
      </c>
      <c r="FR31" s="10" t="str">
        <f t="shared" si="221"/>
        <v/>
      </c>
      <c r="FS31" s="9" t="str">
        <f t="shared" si="222"/>
        <v/>
      </c>
      <c r="FT31" s="6" t="str">
        <f t="shared" si="223"/>
        <v/>
      </c>
      <c r="FU31" s="4" t="str">
        <f t="shared" si="224"/>
        <v/>
      </c>
      <c r="FV31" s="5" t="str">
        <f t="shared" si="225"/>
        <v/>
      </c>
      <c r="FW31" s="8" t="str">
        <f t="shared" si="252"/>
        <v/>
      </c>
      <c r="FX31" s="9" t="str">
        <f t="shared" si="253"/>
        <v/>
      </c>
      <c r="FY31" s="10" t="str">
        <f t="shared" si="45"/>
        <v/>
      </c>
      <c r="FZ31" s="277" t="str">
        <f t="shared" si="254"/>
        <v/>
      </c>
      <c r="GA31" s="177" t="str">
        <f t="shared" si="226"/>
        <v/>
      </c>
      <c r="GB31" s="4" t="str">
        <f t="shared" si="227"/>
        <v/>
      </c>
      <c r="GC31" s="5" t="str">
        <f t="shared" si="228"/>
        <v/>
      </c>
      <c r="GD31" s="10" t="str">
        <f t="shared" si="229"/>
        <v/>
      </c>
      <c r="GE31" s="311" t="str">
        <f t="shared" si="230"/>
        <v/>
      </c>
      <c r="GF31" s="341" t="str">
        <f t="shared" si="255"/>
        <v/>
      </c>
      <c r="GG31" s="285" t="str">
        <f t="shared" si="46"/>
        <v/>
      </c>
      <c r="GH31" s="286" t="str">
        <f t="shared" si="47"/>
        <v/>
      </c>
      <c r="GI31" s="281" t="str">
        <f t="shared" si="48"/>
        <v/>
      </c>
      <c r="GJ31" s="167" t="str">
        <f t="shared" si="231"/>
        <v/>
      </c>
      <c r="GK31" s="174" t="str">
        <f t="shared" si="49"/>
        <v/>
      </c>
      <c r="GL31" s="174" t="str">
        <f t="shared" si="232"/>
        <v/>
      </c>
      <c r="GM31" s="177" t="str">
        <f t="shared" si="256"/>
        <v/>
      </c>
      <c r="GN31" s="280" t="str">
        <f t="shared" si="233"/>
        <v/>
      </c>
      <c r="GO31" s="4" t="str">
        <f t="shared" si="234"/>
        <v/>
      </c>
      <c r="GP31" s="8" t="str">
        <f t="shared" si="257"/>
        <v/>
      </c>
      <c r="GQ31" s="177" t="str">
        <f t="shared" si="235"/>
        <v/>
      </c>
      <c r="GR31" s="371" t="str">
        <f t="shared" si="258"/>
        <v/>
      </c>
      <c r="GS31" s="342" t="str">
        <f t="shared" si="51"/>
        <v/>
      </c>
      <c r="GT31" s="343" t="str">
        <f t="shared" si="52"/>
        <v/>
      </c>
      <c r="GU31" s="344" t="str">
        <f t="shared" si="53"/>
        <v/>
      </c>
      <c r="GV31" s="343" t="str">
        <f t="shared" si="265"/>
        <v/>
      </c>
      <c r="GW31" s="345" t="str">
        <f t="shared" si="54"/>
        <v/>
      </c>
      <c r="GX31" s="346" t="str">
        <f t="shared" si="55"/>
        <v/>
      </c>
      <c r="GY31" s="344" t="str">
        <f t="shared" si="56"/>
        <v/>
      </c>
      <c r="GZ31" s="345" t="str">
        <f t="shared" si="57"/>
        <v/>
      </c>
      <c r="HA31" s="342" t="str">
        <f t="shared" si="58"/>
        <v/>
      </c>
      <c r="HB31" s="5" t="str">
        <f t="shared" si="236"/>
        <v/>
      </c>
      <c r="HC31" s="343" t="str">
        <f t="shared" si="237"/>
        <v/>
      </c>
      <c r="HD31" s="363" t="str">
        <f t="shared" si="238"/>
        <v/>
      </c>
      <c r="HE31" s="344" t="str">
        <f t="shared" si="59"/>
        <v/>
      </c>
      <c r="HF31" s="5" t="str">
        <f t="shared" si="60"/>
        <v/>
      </c>
      <c r="HG31" s="343" t="str">
        <f t="shared" si="239"/>
        <v/>
      </c>
      <c r="HH31" s="349" t="str">
        <f t="shared" si="240"/>
        <v/>
      </c>
      <c r="HI31" s="317" t="str">
        <f t="shared" si="61"/>
        <v/>
      </c>
      <c r="HJ31" s="336"/>
      <c r="HK31" s="310" t="str">
        <f t="shared" si="131"/>
        <v/>
      </c>
      <c r="HL31" s="348" t="str">
        <f t="shared" si="62"/>
        <v/>
      </c>
      <c r="HM31" s="923" t="str">
        <f t="shared" si="63"/>
        <v/>
      </c>
      <c r="HN31" s="924" t="str">
        <f t="shared" si="64"/>
        <v/>
      </c>
      <c r="HO31" s="925"/>
      <c r="HP31" s="926"/>
      <c r="HQ31" s="924" t="str">
        <f t="shared" si="65"/>
        <v/>
      </c>
      <c r="HR31" s="927" t="str">
        <f t="shared" si="66"/>
        <v/>
      </c>
      <c r="HS31" s="879" t="str">
        <f t="shared" si="261"/>
        <v/>
      </c>
      <c r="HT31" s="889" t="str">
        <f t="shared" si="67"/>
        <v/>
      </c>
      <c r="HU31" s="890" t="str">
        <f t="shared" si="68"/>
        <v/>
      </c>
      <c r="HV31" s="886" t="str">
        <f t="shared" si="69"/>
        <v/>
      </c>
      <c r="HW31" s="880" t="str">
        <f t="shared" si="70"/>
        <v/>
      </c>
      <c r="HX31" s="881" t="str">
        <f t="shared" si="71"/>
        <v/>
      </c>
      <c r="HY31" s="880" t="str">
        <f t="shared" si="72"/>
        <v/>
      </c>
      <c r="HZ31" s="882" t="str">
        <f t="shared" si="73"/>
        <v/>
      </c>
      <c r="IA31" s="883" t="str">
        <f t="shared" si="74"/>
        <v/>
      </c>
      <c r="IB31" s="884" t="str">
        <f t="shared" si="75"/>
        <v/>
      </c>
      <c r="IC31" s="855" t="str">
        <f t="shared" si="76"/>
        <v/>
      </c>
      <c r="ID31" s="351" t="str">
        <f t="shared" si="77"/>
        <v/>
      </c>
      <c r="IE31" s="857" t="str">
        <f t="shared" si="78"/>
        <v/>
      </c>
      <c r="IF31" s="858"/>
      <c r="IG31" s="790" t="str">
        <f>IFERROR(IF($IW31="","",IF($IW31&lt;(((Settings!$C$19/2)*-1)*$IG$8),"Taper","Nose")),"")</f>
        <v/>
      </c>
      <c r="IH31" s="482" t="str">
        <f>IFERROR(IF((((($IY31*COS(RADIANS(180-$JA31)))*COS(RADIANS($JA31)))-(($IZ31*SIN(RADIANS(180-$JA31)))*SIN(RADIANS($JA31))))+$IW31)&lt;(((Settings!$C$19+$IH$8)/2)*-1),"Gage",""),"")</f>
        <v/>
      </c>
      <c r="II31" s="788">
        <f t="shared" si="241"/>
        <v>4.1349999999999998</v>
      </c>
      <c r="IJ31" s="674" t="str" cm="1">
        <f t="array" ref="IJ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K31" s="677" t="str" cm="1">
        <f t="array" ref="IK31">IFERROR(ROUND(VALUE(IF($IJ31&lt;1,$IJ31+LARGE((IF($M$9:$M$150="",0,$M$9:$M$150)-MOD(IF($M$9:$M$150="",0,$M$9:$M$150),1)),1),$IJ31)),4),"")</f>
        <v/>
      </c>
      <c r="IL31" s="482">
        <f t="shared" si="79"/>
        <v>1313</v>
      </c>
      <c r="IM31" s="482" t="str">
        <f t="shared" si="242"/>
        <v/>
      </c>
      <c r="IN31" s="670" t="str">
        <f t="shared" si="81"/>
        <v/>
      </c>
      <c r="IO31" s="702">
        <v>2.1059680121299801E-2</v>
      </c>
      <c r="IP31" s="5" t="str">
        <f t="shared" si="82"/>
        <v/>
      </c>
      <c r="IQ31" s="714">
        <v>290</v>
      </c>
      <c r="IR31" s="9" t="str">
        <f t="shared" si="132"/>
        <v/>
      </c>
      <c r="IS31" s="5" t="str">
        <f t="shared" si="83"/>
        <v/>
      </c>
      <c r="IT31" s="5" t="str">
        <f t="shared" si="84"/>
        <v/>
      </c>
      <c r="IU31" s="5" t="str">
        <f t="shared" si="85"/>
        <v/>
      </c>
      <c r="IV31" s="670" t="str">
        <f t="shared" si="86"/>
        <v/>
      </c>
      <c r="IW31" s="9" t="str">
        <f t="shared" si="87"/>
        <v/>
      </c>
      <c r="IX31" s="5" t="str">
        <f t="shared" si="88"/>
        <v/>
      </c>
      <c r="IY31" s="5" t="str">
        <f t="shared" si="89"/>
        <v/>
      </c>
      <c r="IZ31" s="5" t="str">
        <f t="shared" si="90"/>
        <v/>
      </c>
      <c r="JA31" s="705" t="str">
        <f t="shared" si="91"/>
        <v/>
      </c>
      <c r="JM31" s="489">
        <f t="shared" si="133"/>
        <v>35</v>
      </c>
      <c r="JN31" s="960">
        <f>($JO31-SMALL($JO$9:$JO$88,1))/((Settings!$C$19/2)-((Settings!$C$19/2)-LARGE($JO$9:$JO$88,1))-SMALL($JO$9:$JO$88,1))</f>
        <v>0.97263681461291673</v>
      </c>
      <c r="JO31" s="162">
        <f t="shared" si="134"/>
        <v>3.6298640115651111</v>
      </c>
      <c r="JP31" s="961">
        <f t="shared" si="135"/>
        <v>-61.033739817959066</v>
      </c>
      <c r="JQ31" s="961">
        <f t="shared" si="136"/>
        <v>25.751410248253265</v>
      </c>
      <c r="JS31" s="82">
        <v>23</v>
      </c>
      <c r="JT31" s="322">
        <f t="shared" si="137"/>
        <v>2.9819040071584446</v>
      </c>
      <c r="JU31" s="963">
        <f t="shared" si="138"/>
        <v>0.78350917944713194</v>
      </c>
      <c r="JV31" s="961">
        <f t="shared" si="287"/>
        <v>-28.518997648556844</v>
      </c>
      <c r="JW31" s="961">
        <f t="shared" si="92"/>
        <v>14.81930234299273</v>
      </c>
      <c r="JX31" s="1">
        <v>5.6885000000000003</v>
      </c>
      <c r="JY31" s="965">
        <f t="shared" si="139"/>
        <v>0.78717205456070394</v>
      </c>
      <c r="JZ31" s="973">
        <v>37.820899999999995</v>
      </c>
      <c r="KA31" s="410">
        <f t="shared" si="280"/>
        <v>-4.9572133333333355</v>
      </c>
      <c r="KB31" s="974">
        <f t="shared" si="243"/>
        <v>23</v>
      </c>
      <c r="KC31" s="968" cm="1">
        <f t="array" ref="KC31">(((INDEX($JV$9:$JV$53,MATCH(INDEX($JU$9:$JU$53,MATCH(TRUE,INDEX($JU$9:$JU$53&gt;$JY31,0),)),$JU$9:$JU$53,0))-INDEX($JV$9:$JV$53,MATCH(INDEX($JU$9:$JU$53,MATCH(TRUE,INDEX($JU$9:$JU$53&gt;$JY31,0),)-1),$JU$9:$JU$53,0)))*(($JY31-INDEX($JU$9:$JU$53,MATCH(TRUE,INDEX($JU$9:$JU$53&gt;$JY31,0),)-1))/(INDEX($JU$9:$JU$53,MATCH(TRUE,INDEX($JU$9:$JU$53&gt;$JY31,0),))-INDEX($JU$9:$JU$53,MATCH(TRUE,INDEX($JU$9:$JU$53&gt;$JY31,0),)-1))))+INDEX($JV$9:$JV$53,MATCH(INDEX($JU$9:$JU$53,MATCH(TRUE,INDEX($JU$9:$JU$53&gt;$JY31,0),)-1),$JU$9:$JU$53,0)))</f>
        <v>-28.985014407265574</v>
      </c>
      <c r="KD31" s="970">
        <v>-42.77811333333333</v>
      </c>
      <c r="KE31" s="968">
        <f t="shared" si="140"/>
        <v>-13.793098926067756</v>
      </c>
      <c r="KF31" s="968" cm="1">
        <f t="array" ref="KF31">(((INDEX($JW$9:$JW$53,MATCH(INDEX($JU$9:$JU$53,MATCH(TRUE,INDEX($JU$9:$JU$53&gt;$JY31,0),)),$JU$9:$JU$53,0))-INDEX($JW$9:$JW$53,MATCH(INDEX($JU$9:$JU$53,MATCH(TRUE,INDEX($JU$9:$JU$53&gt;$JY31,0),)-1),$JU$9:$JU$53,0)))*(($JY31-INDEX($JU$9:$JU$53,MATCH(TRUE,INDEX($JU$9:$JU$53&gt;$JY31,0),)-1))/(INDEX($JU$9:$JU$53,MATCH(TRUE,INDEX($JU$9:$JU$53&gt;$JY31,0),))-INDEX($JU$9:$JU$53,MATCH(TRUE,INDEX($JU$9:$JU$53&gt;$JY31,0),)-1))))+INDEX($JW$9:$JW$53,MATCH(INDEX($JU$9:$JU$53,MATCH(TRUE,INDEX($JU$9:$JU$53&gt;$JY31,0),)-1),$JU$9:$JU$53,0)))</f>
        <v>14.817532869410307</v>
      </c>
      <c r="KG31" s="966">
        <f t="shared" si="244"/>
        <v>-3.9363133333333309</v>
      </c>
      <c r="KH31" s="966">
        <f t="shared" si="141"/>
        <v>-1.5668840432201847E-2</v>
      </c>
      <c r="KJ31" s="31"/>
    </row>
    <row r="32" spans="1:296" ht="15" customHeight="1" x14ac:dyDescent="0.25">
      <c r="A32" s="75">
        <f t="shared" si="1"/>
        <v>0.02</v>
      </c>
      <c r="B32" s="578">
        <f t="shared" ref="B32:D32" si="304">IFERROR(O187+($A32*-E32),"")</f>
        <v>2.590416620618087</v>
      </c>
      <c r="C32" s="572">
        <f t="shared" si="304"/>
        <v>-2.6747883588608352</v>
      </c>
      <c r="D32" s="576">
        <f t="shared" si="304"/>
        <v>-1.7149331969678911</v>
      </c>
      <c r="E32" s="580">
        <f t="shared" ref="E32:K32" si="305">R187</f>
        <v>0.96571062719124223</v>
      </c>
      <c r="F32" s="572">
        <f t="shared" si="305"/>
        <v>0.25098572415458364</v>
      </c>
      <c r="G32" s="579">
        <f t="shared" si="305"/>
        <v>6.6401436735186087E-2</v>
      </c>
      <c r="H32" s="580">
        <f t="shared" si="305"/>
        <v>0.26450000000000001</v>
      </c>
      <c r="I32" s="572">
        <f t="shared" si="305"/>
        <v>0.52</v>
      </c>
      <c r="J32" s="483">
        <f t="shared" si="94"/>
        <v>4.1429999999999998</v>
      </c>
      <c r="K32" s="806">
        <f t="shared" si="305"/>
        <v>1313</v>
      </c>
      <c r="L32" s="309"/>
      <c r="M32" s="164">
        <f t="shared" si="4"/>
        <v>4.1429999999999998</v>
      </c>
      <c r="N32" s="575">
        <f t="shared" si="5"/>
        <v>2.590416620618087</v>
      </c>
      <c r="O32" s="572">
        <f t="shared" si="6"/>
        <v>-2.6747883588608352</v>
      </c>
      <c r="P32" s="576">
        <f t="shared" si="7"/>
        <v>-1.7149331969678911</v>
      </c>
      <c r="Q32" s="528">
        <f t="shared" si="144"/>
        <v>314.08194822017373</v>
      </c>
      <c r="R32" s="572">
        <f t="shared" si="95"/>
        <v>3.7235401210503789</v>
      </c>
      <c r="S32" s="577">
        <f t="shared" si="96"/>
        <v>-1.7149331969678911</v>
      </c>
      <c r="T32" s="578">
        <f t="shared" si="97"/>
        <v>-2.5966112671777668</v>
      </c>
      <c r="U32" s="572">
        <f t="shared" si="98"/>
        <v>-2.6687751797851655</v>
      </c>
      <c r="V32" s="579">
        <f t="shared" si="145"/>
        <v>-1.7149331969678911</v>
      </c>
      <c r="W32" s="528">
        <f t="shared" si="268"/>
        <v>225.78520898984871</v>
      </c>
      <c r="X32" s="572">
        <f t="shared" si="99"/>
        <v>3.7235401210503789</v>
      </c>
      <c r="Y32" s="573">
        <f t="shared" si="271"/>
        <v>-1.7149331969678911</v>
      </c>
      <c r="Z32" s="575">
        <f t="shared" si="10"/>
        <v>-0.96571062719124223</v>
      </c>
      <c r="AA32" s="572">
        <f t="shared" si="11"/>
        <v>-0.25098572415458364</v>
      </c>
      <c r="AB32" s="572">
        <f t="shared" si="12"/>
        <v>-6.6401436735186087E-2</v>
      </c>
      <c r="AC32" s="579">
        <f t="shared" si="100"/>
        <v>1</v>
      </c>
      <c r="AD32" s="580">
        <f t="shared" si="146"/>
        <v>-0.96571062719124223</v>
      </c>
      <c r="AE32" s="572">
        <f t="shared" si="101"/>
        <v>-0.25098572415458364</v>
      </c>
      <c r="AF32" s="576">
        <f t="shared" si="102"/>
        <v>-6.6401436735186087E-2</v>
      </c>
      <c r="AG32" s="545">
        <f t="shared" si="103"/>
        <v>-75.181191999831654</v>
      </c>
      <c r="AH32" s="546">
        <f t="shared" si="104"/>
        <v>164.95243421841226</v>
      </c>
      <c r="AI32" s="528">
        <f t="shared" si="105"/>
        <v>-86.192676574437741</v>
      </c>
      <c r="AJ32" s="529">
        <f t="shared" si="106"/>
        <v>-75.431287869785777</v>
      </c>
      <c r="AK32" s="578">
        <f t="shared" si="247"/>
        <v>0.8683212829502599</v>
      </c>
      <c r="AL32" s="572">
        <f t="shared" si="107"/>
        <v>-0.49153738288671184</v>
      </c>
      <c r="AM32" s="577">
        <f t="shared" si="108"/>
        <v>-6.6401436735186087E-2</v>
      </c>
      <c r="AN32" s="524">
        <f t="shared" si="109"/>
        <v>-82.306527841606595</v>
      </c>
      <c r="AO32" s="525">
        <f t="shared" si="110"/>
        <v>29.735856089755377</v>
      </c>
      <c r="AP32" s="528">
        <f t="shared" si="111"/>
        <v>-29.513236089959513</v>
      </c>
      <c r="AQ32" s="529">
        <f t="shared" si="13"/>
        <v>0.73465625335026397</v>
      </c>
      <c r="AR32" s="979"/>
      <c r="AS32" s="954">
        <f t="shared" si="147"/>
        <v>225.78520898984871</v>
      </c>
      <c r="AT32" s="950">
        <f t="shared" si="14"/>
        <v>-1.6046857694641878</v>
      </c>
      <c r="AU32" s="418"/>
      <c r="AV32" s="164" t="str">
        <f t="shared" si="15"/>
        <v/>
      </c>
      <c r="AW32" s="829" t="str">
        <f>IFERROR(INDEX(MassProp!C$9:C$150,MATCH($M32,MassProp!$B$9:$B$150,0)),"")</f>
        <v/>
      </c>
      <c r="AX32" s="830" t="str">
        <f>IFERROR(INDEX(MassProp!D$9:D$150,MATCH($M32,MassProp!$B$9:$B$150,0)),"")</f>
        <v/>
      </c>
      <c r="AY32" s="831" t="str">
        <f>IFERROR(INDEX(MassProp!E$9:E$150,MATCH($M32,MassProp!$B$9:$B$150,0)),"")</f>
        <v/>
      </c>
      <c r="AZ32" s="297" t="str">
        <f t="shared" si="148"/>
        <v/>
      </c>
      <c r="BA32" s="296" t="str">
        <f t="shared" si="16"/>
        <v/>
      </c>
      <c r="BB32" s="190" t="str">
        <f t="shared" si="149"/>
        <v/>
      </c>
      <c r="BC32" s="9"/>
      <c r="BD32" s="5" t="str">
        <f t="shared" si="150"/>
        <v/>
      </c>
      <c r="BE32" s="6" t="str">
        <f t="shared" si="17"/>
        <v/>
      </c>
      <c r="BF32" s="4" t="str">
        <f t="shared" si="18"/>
        <v/>
      </c>
      <c r="BG32" s="5" t="str">
        <f t="shared" si="19"/>
        <v/>
      </c>
      <c r="BH32" s="10" t="str">
        <f t="shared" si="20"/>
        <v/>
      </c>
      <c r="BI32" s="9" t="str">
        <f t="shared" si="151"/>
        <v/>
      </c>
      <c r="BJ32" s="5" t="str">
        <f t="shared" si="21"/>
        <v/>
      </c>
      <c r="BK32" s="8" t="str">
        <f t="shared" si="22"/>
        <v/>
      </c>
      <c r="BL32" s="173" t="str">
        <f t="shared" si="23"/>
        <v/>
      </c>
      <c r="BM32" s="5" t="str">
        <f t="shared" si="24"/>
        <v/>
      </c>
      <c r="BN32" s="6" t="str">
        <f t="shared" si="25"/>
        <v/>
      </c>
      <c r="BO32" s="4" t="str">
        <f t="shared" si="152"/>
        <v/>
      </c>
      <c r="BP32" s="5" t="str">
        <f t="shared" si="153"/>
        <v/>
      </c>
      <c r="BQ32" s="5" t="str">
        <f t="shared" si="154"/>
        <v/>
      </c>
      <c r="BR32" s="6" t="str">
        <f t="shared" si="155"/>
        <v/>
      </c>
      <c r="BS32" s="4" t="str">
        <f t="shared" si="112"/>
        <v/>
      </c>
      <c r="BT32" s="5" t="str">
        <f t="shared" si="112"/>
        <v/>
      </c>
      <c r="BU32" s="10" t="str">
        <f t="shared" si="113"/>
        <v/>
      </c>
      <c r="BV32" s="9" t="str">
        <f t="shared" si="114"/>
        <v/>
      </c>
      <c r="BW32" s="5" t="str">
        <f t="shared" si="115"/>
        <v/>
      </c>
      <c r="BX32" s="8" t="str">
        <f t="shared" si="116"/>
        <v/>
      </c>
      <c r="BY32" s="173" t="str">
        <f t="shared" si="117"/>
        <v/>
      </c>
      <c r="BZ32" s="5" t="str">
        <f t="shared" si="118"/>
        <v/>
      </c>
      <c r="CA32" s="6" t="str">
        <f t="shared" si="119"/>
        <v/>
      </c>
      <c r="CB32" s="4" t="str">
        <f t="shared" si="156"/>
        <v/>
      </c>
      <c r="CC32" s="5" t="str">
        <f t="shared" si="157"/>
        <v/>
      </c>
      <c r="CD32" s="5" t="str">
        <f t="shared" si="158"/>
        <v/>
      </c>
      <c r="CE32" s="6" t="str">
        <f t="shared" si="159"/>
        <v/>
      </c>
      <c r="CF32" s="4" t="str">
        <f t="shared" si="160"/>
        <v/>
      </c>
      <c r="CG32" s="5" t="str">
        <f t="shared" si="161"/>
        <v/>
      </c>
      <c r="CH32" s="5" t="str">
        <f t="shared" si="162"/>
        <v/>
      </c>
      <c r="CI32" s="4" t="str">
        <f t="shared" si="120"/>
        <v/>
      </c>
      <c r="CJ32" s="5" t="str">
        <f t="shared" si="121"/>
        <v/>
      </c>
      <c r="CK32" s="8" t="str">
        <f t="shared" si="122"/>
        <v/>
      </c>
      <c r="CL32" s="173" t="str">
        <f t="shared" si="123"/>
        <v/>
      </c>
      <c r="CM32" s="5" t="str">
        <f t="shared" si="124"/>
        <v/>
      </c>
      <c r="CN32" s="6" t="str">
        <f t="shared" si="125"/>
        <v/>
      </c>
      <c r="CO32" s="167" t="str">
        <f t="shared" si="26"/>
        <v/>
      </c>
      <c r="CP32" s="4" t="str">
        <f t="shared" si="248"/>
        <v/>
      </c>
      <c r="CQ32" s="5" t="str">
        <f t="shared" si="249"/>
        <v/>
      </c>
      <c r="CR32" s="5" t="str">
        <f t="shared" si="163"/>
        <v/>
      </c>
      <c r="CS32" s="8" t="str">
        <f t="shared" si="164"/>
        <v/>
      </c>
      <c r="CT32" s="9" t="str">
        <f t="shared" si="165"/>
        <v/>
      </c>
      <c r="CU32" s="6" t="str">
        <f t="shared" si="166"/>
        <v/>
      </c>
      <c r="CV32" s="4" t="str">
        <f t="shared" si="250"/>
        <v/>
      </c>
      <c r="CW32" s="5" t="str">
        <f t="shared" si="167"/>
        <v/>
      </c>
      <c r="CX32" s="8" t="str">
        <f t="shared" si="168"/>
        <v/>
      </c>
      <c r="CY32" s="9" t="str">
        <f t="shared" si="169"/>
        <v/>
      </c>
      <c r="CZ32" s="5" t="str">
        <f t="shared" si="170"/>
        <v/>
      </c>
      <c r="DA32" s="6" t="str">
        <f t="shared" si="171"/>
        <v/>
      </c>
      <c r="DB32" s="4" t="str">
        <f t="shared" si="172"/>
        <v/>
      </c>
      <c r="DC32" s="5" t="str">
        <f t="shared" si="172"/>
        <v/>
      </c>
      <c r="DD32" s="10" t="str">
        <f t="shared" si="173"/>
        <v/>
      </c>
      <c r="DE32" s="9" t="str">
        <f t="shared" si="174"/>
        <v/>
      </c>
      <c r="DF32" s="5" t="str">
        <f t="shared" si="174"/>
        <v/>
      </c>
      <c r="DG32" s="10" t="str">
        <f t="shared" si="175"/>
        <v/>
      </c>
      <c r="DH32" s="70" t="str">
        <f t="shared" si="176"/>
        <v/>
      </c>
      <c r="DI32" s="4" t="str">
        <f t="shared" si="177"/>
        <v/>
      </c>
      <c r="DJ32" s="5" t="str">
        <f t="shared" si="178"/>
        <v/>
      </c>
      <c r="DK32" s="10" t="str">
        <f t="shared" si="179"/>
        <v/>
      </c>
      <c r="DL32" s="9" t="str">
        <f t="shared" si="180"/>
        <v/>
      </c>
      <c r="DM32" s="173" t="str">
        <f t="shared" si="181"/>
        <v/>
      </c>
      <c r="DN32" s="178" t="str">
        <f t="shared" si="182"/>
        <v/>
      </c>
      <c r="DO32" s="9" t="str">
        <f t="shared" si="183"/>
        <v/>
      </c>
      <c r="DP32" s="173" t="str">
        <f t="shared" si="184"/>
        <v/>
      </c>
      <c r="DQ32" s="11" t="str">
        <f t="shared" si="185"/>
        <v/>
      </c>
      <c r="DR32" s="173" t="str">
        <f t="shared" si="186"/>
        <v/>
      </c>
      <c r="DS32" s="5" t="str">
        <f t="shared" si="187"/>
        <v/>
      </c>
      <c r="DT32" s="5" t="str">
        <f t="shared" si="188"/>
        <v/>
      </c>
      <c r="DU32" s="5" t="str">
        <f t="shared" si="189"/>
        <v/>
      </c>
      <c r="DV32" s="5" t="str">
        <f t="shared" si="190"/>
        <v/>
      </c>
      <c r="DW32" s="5" t="str">
        <f t="shared" si="191"/>
        <v/>
      </c>
      <c r="DX32" s="167" t="str">
        <f t="shared" si="192"/>
        <v/>
      </c>
      <c r="DY32" s="9" t="str">
        <f t="shared" si="193"/>
        <v/>
      </c>
      <c r="DZ32" s="5" t="str">
        <f t="shared" si="194"/>
        <v/>
      </c>
      <c r="EA32" s="10" t="str">
        <f t="shared" si="195"/>
        <v/>
      </c>
      <c r="EB32" s="6" t="str">
        <f t="shared" si="196"/>
        <v/>
      </c>
      <c r="EC32" s="173" t="str">
        <f t="shared" si="197"/>
        <v/>
      </c>
      <c r="ED32" s="5" t="str">
        <f t="shared" si="198"/>
        <v/>
      </c>
      <c r="EE32" s="4" t="str">
        <f t="shared" si="199"/>
        <v/>
      </c>
      <c r="EF32" s="5" t="str">
        <f t="shared" si="200"/>
        <v/>
      </c>
      <c r="EG32" s="10" t="str">
        <f t="shared" si="201"/>
        <v/>
      </c>
      <c r="EH32" s="9" t="str">
        <f t="shared" si="202"/>
        <v/>
      </c>
      <c r="EI32" s="5" t="str">
        <f t="shared" si="203"/>
        <v/>
      </c>
      <c r="EJ32" s="6" t="str">
        <f t="shared" si="204"/>
        <v/>
      </c>
      <c r="EK32" s="236" t="str">
        <f t="shared" si="205"/>
        <v/>
      </c>
      <c r="EL32" s="238" t="str">
        <f t="shared" si="206"/>
        <v/>
      </c>
      <c r="EM32" s="4" t="str">
        <f t="shared" si="207"/>
        <v/>
      </c>
      <c r="EN32" s="5" t="str">
        <f t="shared" si="208"/>
        <v/>
      </c>
      <c r="EO32" s="10" t="str">
        <f t="shared" si="209"/>
        <v/>
      </c>
      <c r="EP32" s="9" t="str">
        <f t="shared" si="210"/>
        <v/>
      </c>
      <c r="EQ32" s="5" t="str">
        <f t="shared" si="211"/>
        <v/>
      </c>
      <c r="ER32" s="7" t="str">
        <f t="shared" si="212"/>
        <v/>
      </c>
      <c r="ES32" s="21" t="str">
        <f t="shared" si="126"/>
        <v/>
      </c>
      <c r="ET32" s="5" t="str">
        <f t="shared" si="35"/>
        <v/>
      </c>
      <c r="EU32" s="10" t="str">
        <f t="shared" si="36"/>
        <v/>
      </c>
      <c r="EV32" s="174" t="str">
        <f t="shared" si="264"/>
        <v/>
      </c>
      <c r="EW32" s="9" t="str">
        <f t="shared" si="127"/>
        <v/>
      </c>
      <c r="EX32" s="5" t="str">
        <f t="shared" si="37"/>
        <v/>
      </c>
      <c r="EY32" s="6" t="str">
        <f t="shared" si="213"/>
        <v/>
      </c>
      <c r="EZ32" s="51" t="str">
        <f t="shared" si="214"/>
        <v/>
      </c>
      <c r="FA32" s="266" t="str">
        <f t="shared" si="128"/>
        <v/>
      </c>
      <c r="FB32" s="267" t="str">
        <f t="shared" si="129"/>
        <v/>
      </c>
      <c r="FC32" s="269" t="str">
        <f t="shared" si="38"/>
        <v/>
      </c>
      <c r="FD32" s="4" t="str">
        <f t="shared" si="130"/>
        <v/>
      </c>
      <c r="FE32" s="5" t="str">
        <f t="shared" si="39"/>
        <v/>
      </c>
      <c r="FF32" s="7" t="str">
        <f t="shared" si="215"/>
        <v/>
      </c>
      <c r="FG32" s="173" t="str">
        <f t="shared" si="216"/>
        <v/>
      </c>
      <c r="FH32" s="5" t="str">
        <f t="shared" si="40"/>
        <v/>
      </c>
      <c r="FI32" s="10" t="str">
        <f t="shared" si="41"/>
        <v/>
      </c>
      <c r="FJ32" s="279" t="str">
        <f t="shared" si="217"/>
        <v/>
      </c>
      <c r="FK32" s="4" t="str">
        <f t="shared" si="42"/>
        <v/>
      </c>
      <c r="FL32" s="5" t="str">
        <f t="shared" si="218"/>
        <v/>
      </c>
      <c r="FM32" s="8" t="str">
        <f t="shared" si="219"/>
        <v/>
      </c>
      <c r="FN32" s="9" t="str">
        <f t="shared" si="220"/>
        <v/>
      </c>
      <c r="FO32" s="10" t="str">
        <f t="shared" si="43"/>
        <v/>
      </c>
      <c r="FP32" s="277" t="str">
        <f t="shared" si="44"/>
        <v/>
      </c>
      <c r="FQ32" s="173" t="str">
        <f t="shared" si="251"/>
        <v/>
      </c>
      <c r="FR32" s="10" t="str">
        <f t="shared" si="221"/>
        <v/>
      </c>
      <c r="FS32" s="9" t="str">
        <f t="shared" si="222"/>
        <v/>
      </c>
      <c r="FT32" s="6" t="str">
        <f t="shared" si="223"/>
        <v/>
      </c>
      <c r="FU32" s="4" t="str">
        <f t="shared" si="224"/>
        <v/>
      </c>
      <c r="FV32" s="5" t="str">
        <f t="shared" si="225"/>
        <v/>
      </c>
      <c r="FW32" s="8" t="str">
        <f t="shared" si="252"/>
        <v/>
      </c>
      <c r="FX32" s="9" t="str">
        <f t="shared" si="253"/>
        <v/>
      </c>
      <c r="FY32" s="10" t="str">
        <f t="shared" si="45"/>
        <v/>
      </c>
      <c r="FZ32" s="277" t="str">
        <f t="shared" si="254"/>
        <v/>
      </c>
      <c r="GA32" s="177" t="str">
        <f t="shared" si="226"/>
        <v/>
      </c>
      <c r="GB32" s="4" t="str">
        <f t="shared" si="227"/>
        <v/>
      </c>
      <c r="GC32" s="5" t="str">
        <f t="shared" si="228"/>
        <v/>
      </c>
      <c r="GD32" s="10" t="str">
        <f t="shared" si="229"/>
        <v/>
      </c>
      <c r="GE32" s="311" t="str">
        <f t="shared" si="230"/>
        <v/>
      </c>
      <c r="GF32" s="341" t="str">
        <f t="shared" si="255"/>
        <v/>
      </c>
      <c r="GG32" s="285" t="str">
        <f t="shared" si="46"/>
        <v/>
      </c>
      <c r="GH32" s="286" t="str">
        <f t="shared" si="47"/>
        <v/>
      </c>
      <c r="GI32" s="281" t="str">
        <f t="shared" si="48"/>
        <v/>
      </c>
      <c r="GJ32" s="167" t="str">
        <f t="shared" si="231"/>
        <v/>
      </c>
      <c r="GK32" s="174" t="str">
        <f t="shared" si="49"/>
        <v/>
      </c>
      <c r="GL32" s="174" t="str">
        <f t="shared" si="232"/>
        <v/>
      </c>
      <c r="GM32" s="177" t="str">
        <f t="shared" si="256"/>
        <v/>
      </c>
      <c r="GN32" s="280" t="str">
        <f t="shared" si="233"/>
        <v/>
      </c>
      <c r="GO32" s="4" t="str">
        <f t="shared" si="234"/>
        <v/>
      </c>
      <c r="GP32" s="8" t="str">
        <f t="shared" si="257"/>
        <v/>
      </c>
      <c r="GQ32" s="177" t="str">
        <f t="shared" si="235"/>
        <v/>
      </c>
      <c r="GR32" s="371" t="str">
        <f t="shared" si="258"/>
        <v/>
      </c>
      <c r="GS32" s="342" t="str">
        <f t="shared" si="51"/>
        <v/>
      </c>
      <c r="GT32" s="343" t="str">
        <f t="shared" si="52"/>
        <v/>
      </c>
      <c r="GU32" s="344" t="str">
        <f t="shared" si="53"/>
        <v/>
      </c>
      <c r="GV32" s="343" t="str">
        <f t="shared" si="265"/>
        <v/>
      </c>
      <c r="GW32" s="345" t="str">
        <f t="shared" si="54"/>
        <v/>
      </c>
      <c r="GX32" s="346" t="str">
        <f t="shared" si="55"/>
        <v/>
      </c>
      <c r="GY32" s="344" t="str">
        <f t="shared" si="56"/>
        <v/>
      </c>
      <c r="GZ32" s="345" t="str">
        <f t="shared" si="57"/>
        <v/>
      </c>
      <c r="HA32" s="342" t="str">
        <f t="shared" si="58"/>
        <v/>
      </c>
      <c r="HB32" s="5" t="str">
        <f t="shared" si="236"/>
        <v/>
      </c>
      <c r="HC32" s="343" t="str">
        <f t="shared" si="237"/>
        <v/>
      </c>
      <c r="HD32" s="363" t="str">
        <f t="shared" si="238"/>
        <v/>
      </c>
      <c r="HE32" s="344" t="str">
        <f t="shared" si="59"/>
        <v/>
      </c>
      <c r="HF32" s="5" t="str">
        <f t="shared" si="60"/>
        <v/>
      </c>
      <c r="HG32" s="343" t="str">
        <f t="shared" si="239"/>
        <v/>
      </c>
      <c r="HH32" s="349" t="str">
        <f t="shared" si="240"/>
        <v/>
      </c>
      <c r="HI32" s="317" t="str">
        <f t="shared" si="61"/>
        <v/>
      </c>
      <c r="HJ32" s="336"/>
      <c r="HK32" s="310" t="str">
        <f t="shared" si="131"/>
        <v/>
      </c>
      <c r="HL32" s="348" t="str">
        <f t="shared" si="62"/>
        <v/>
      </c>
      <c r="HM32" s="923" t="str">
        <f t="shared" si="63"/>
        <v/>
      </c>
      <c r="HN32" s="924" t="str">
        <f t="shared" si="64"/>
        <v/>
      </c>
      <c r="HO32" s="925"/>
      <c r="HP32" s="926"/>
      <c r="HQ32" s="924" t="str">
        <f t="shared" si="65"/>
        <v/>
      </c>
      <c r="HR32" s="927" t="str">
        <f t="shared" si="66"/>
        <v/>
      </c>
      <c r="HS32" s="879" t="str">
        <f t="shared" si="261"/>
        <v/>
      </c>
      <c r="HT32" s="889" t="str">
        <f t="shared" si="67"/>
        <v/>
      </c>
      <c r="HU32" s="890" t="str">
        <f t="shared" si="68"/>
        <v/>
      </c>
      <c r="HV32" s="886" t="str">
        <f t="shared" si="69"/>
        <v/>
      </c>
      <c r="HW32" s="880" t="str">
        <f t="shared" si="70"/>
        <v/>
      </c>
      <c r="HX32" s="881" t="str">
        <f t="shared" si="71"/>
        <v/>
      </c>
      <c r="HY32" s="880" t="str">
        <f t="shared" si="72"/>
        <v/>
      </c>
      <c r="HZ32" s="882" t="str">
        <f t="shared" si="73"/>
        <v/>
      </c>
      <c r="IA32" s="883" t="str">
        <f t="shared" si="74"/>
        <v/>
      </c>
      <c r="IB32" s="884" t="str">
        <f t="shared" si="75"/>
        <v/>
      </c>
      <c r="IC32" s="855" t="str">
        <f t="shared" si="76"/>
        <v/>
      </c>
      <c r="ID32" s="351" t="str">
        <f t="shared" si="77"/>
        <v/>
      </c>
      <c r="IE32" s="857" t="str">
        <f t="shared" si="78"/>
        <v/>
      </c>
      <c r="IF32" s="858"/>
      <c r="IG32" s="790" t="str">
        <f>IFERROR(IF($IW32="","",IF($IW32&lt;(((Settings!$C$19/2)*-1)*$IG$8),"Taper","Nose")),"")</f>
        <v/>
      </c>
      <c r="IH32" s="482" t="str">
        <f>IFERROR(IF((((($IY32*COS(RADIANS(180-$JA32)))*COS(RADIANS($JA32)))-(($IZ32*SIN(RADIANS(180-$JA32)))*SIN(RADIANS($JA32))))+$IW32)&lt;(((Settings!$C$19+$IH$8)/2)*-1),"Gage",""),"")</f>
        <v/>
      </c>
      <c r="II32" s="788">
        <f t="shared" si="241"/>
        <v>4.1429999999999998</v>
      </c>
      <c r="IJ32" s="674" t="str" cm="1">
        <f t="array" ref="IJ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K32" s="677" t="str" cm="1">
        <f t="array" ref="IK32">IFERROR(ROUND(VALUE(IF($IJ32&lt;1,$IJ32+LARGE((IF($M$9:$M$150="",0,$M$9:$M$150)-MOD(IF($M$9:$M$150="",0,$M$9:$M$150),1)),1),$IJ32)),4),"")</f>
        <v/>
      </c>
      <c r="IL32" s="482">
        <f t="shared" si="79"/>
        <v>1313</v>
      </c>
      <c r="IM32" s="482" t="str">
        <f t="shared" si="242"/>
        <v/>
      </c>
      <c r="IN32" s="670" t="str">
        <f t="shared" si="81"/>
        <v/>
      </c>
      <c r="IO32" s="702">
        <v>2.0596001756787202E-2</v>
      </c>
      <c r="IP32" s="5" t="str">
        <f t="shared" si="82"/>
        <v/>
      </c>
      <c r="IQ32" s="714">
        <v>310</v>
      </c>
      <c r="IR32" s="9" t="str">
        <f t="shared" si="132"/>
        <v/>
      </c>
      <c r="IS32" s="5" t="str">
        <f t="shared" si="83"/>
        <v/>
      </c>
      <c r="IT32" s="5" t="str">
        <f t="shared" si="84"/>
        <v/>
      </c>
      <c r="IU32" s="5" t="str">
        <f t="shared" si="85"/>
        <v/>
      </c>
      <c r="IV32" s="670" t="str">
        <f t="shared" si="86"/>
        <v/>
      </c>
      <c r="IW32" s="9" t="str">
        <f t="shared" si="87"/>
        <v/>
      </c>
      <c r="IX32" s="5" t="str">
        <f t="shared" si="88"/>
        <v/>
      </c>
      <c r="IY32" s="5" t="str">
        <f t="shared" si="89"/>
        <v/>
      </c>
      <c r="IZ32" s="5" t="str">
        <f t="shared" si="90"/>
        <v/>
      </c>
      <c r="JA32" s="705" t="str">
        <f t="shared" si="91"/>
        <v/>
      </c>
      <c r="JM32" s="489">
        <f t="shared" si="133"/>
        <v>43</v>
      </c>
      <c r="JN32" s="960">
        <f>($JO32-SMALL($JO$9:$JO$88,1))/((Settings!$C$19/2)-((Settings!$C$19/2)-LARGE($JO$9:$JO$88,1))-SMALL($JO$9:$JO$88,1))</f>
        <v>0.9999791520071869</v>
      </c>
      <c r="JO32" s="162">
        <f t="shared" si="134"/>
        <v>3.7235401210503789</v>
      </c>
      <c r="JP32" s="961">
        <f t="shared" si="135"/>
        <v>-82.306527841606595</v>
      </c>
      <c r="JQ32" s="961">
        <f t="shared" si="136"/>
        <v>29.735856089755377</v>
      </c>
      <c r="JS32" s="82">
        <v>24</v>
      </c>
      <c r="JT32" s="322">
        <f t="shared" si="137"/>
        <v>3.0543990803436243</v>
      </c>
      <c r="JU32" s="963">
        <f t="shared" si="138"/>
        <v>0.80466916101920205</v>
      </c>
      <c r="JV32" s="961">
        <f t="shared" si="287"/>
        <v>-31.211119471115051</v>
      </c>
      <c r="JW32" s="961">
        <f t="shared" si="92"/>
        <v>14.80908031050858</v>
      </c>
      <c r="JX32" s="1">
        <v>5.8837000000000002</v>
      </c>
      <c r="JY32" s="965">
        <f t="shared" si="139"/>
        <v>0.81589441002928154</v>
      </c>
      <c r="JZ32" s="973">
        <v>42.362899999999996</v>
      </c>
      <c r="KA32" s="410">
        <f t="shared" si="280"/>
        <v>-4.3516133333333329</v>
      </c>
      <c r="KB32" s="977">
        <f t="shared" si="243"/>
        <v>24</v>
      </c>
      <c r="KC32" s="968" cm="1">
        <f t="array" ref="KC32">(((INDEX($JV$9:$JV$53,MATCH(INDEX($JU$9:$JU$53,MATCH(TRUE,INDEX($JU$9:$JU$53&gt;$JY32,0),)),$JU$9:$JU$53,0))-INDEX($JV$9:$JV$53,MATCH(INDEX($JU$9:$JU$53,MATCH(TRUE,INDEX($JU$9:$JU$53&gt;$JY32,0),)-1),$JU$9:$JU$53,0)))*(($JY32-INDEX($JU$9:$JU$53,MATCH(TRUE,INDEX($JU$9:$JU$53&gt;$JY32,0),)-1))/(INDEX($JU$9:$JU$53,MATCH(TRUE,INDEX($JU$9:$JU$53&gt;$JY32,0),))-INDEX($JU$9:$JU$53,MATCH(TRUE,INDEX($JU$9:$JU$53&gt;$JY32,0),)-1))))+INDEX($JV$9:$JV$53,MATCH(INDEX($JU$9:$JU$53,MATCH(TRUE,INDEX($JU$9:$JU$53&gt;$JY32,0),)-1),$JU$9:$JU$53,0)))</f>
        <v>-32.74078783474738</v>
      </c>
      <c r="KD32" s="970">
        <v>-46.714513333333329</v>
      </c>
      <c r="KE32" s="968">
        <f t="shared" si="140"/>
        <v>-13.973725498585949</v>
      </c>
      <c r="KF32" s="968" cm="1">
        <f t="array" ref="KF32">(((INDEX($JW$9:$JW$53,MATCH(INDEX($JU$9:$JU$53,MATCH(TRUE,INDEX($JU$9:$JU$53&gt;$JY32,0),)),$JU$9:$JU$53,0))-INDEX($JW$9:$JW$53,MATCH(INDEX($JU$9:$JU$53,MATCH(TRUE,INDEX($JU$9:$JU$53&gt;$JY32,0),)-1),$JU$9:$JU$53,0)))*(($JY32-INDEX($JU$9:$JU$53,MATCH(TRUE,INDEX($JU$9:$JU$53&gt;$JY32,0),)-1))/(INDEX($JU$9:$JU$53,MATCH(TRUE,INDEX($JU$9:$JU$53&gt;$JY32,0),))-INDEX($JU$9:$JU$53,MATCH(TRUE,INDEX($JU$9:$JU$53&gt;$JY32,0),)-1))))+INDEX($JW$9:$JW$53,MATCH(INDEX($JU$9:$JU$53,MATCH(TRUE,INDEX($JU$9:$JU$53&gt;$JY32,0),)-1),$JU$9:$JU$53,0)))</f>
        <v>15.356743679360108</v>
      </c>
      <c r="KG32" s="966">
        <f t="shared" si="244"/>
        <v>-3.936399999999999</v>
      </c>
      <c r="KH32" s="966">
        <f t="shared" si="141"/>
        <v>0.53921080994980031</v>
      </c>
      <c r="KJ32" s="31"/>
    </row>
    <row r="33" spans="1:296" ht="15" customHeight="1" x14ac:dyDescent="0.25">
      <c r="A33" s="75">
        <f t="shared" si="1"/>
        <v>0.02</v>
      </c>
      <c r="B33" s="578">
        <f t="shared" ref="B33:D33" si="306">IFERROR(O188+($A33*-E33),"")</f>
        <v>1.357581953518993E-3</v>
      </c>
      <c r="C33" s="572">
        <f t="shared" si="306"/>
        <v>-0.5839096588732785</v>
      </c>
      <c r="D33" s="576">
        <f t="shared" si="306"/>
        <v>-0.43877105446839915</v>
      </c>
      <c r="E33" s="580">
        <f t="shared" ref="E33:K33" si="307">R188</f>
        <v>0.94768598131740756</v>
      </c>
      <c r="F33" s="572">
        <f t="shared" si="307"/>
        <v>0.113121699236782</v>
      </c>
      <c r="G33" s="579">
        <f t="shared" si="307"/>
        <v>0.2984874569831123</v>
      </c>
      <c r="H33" s="580">
        <f t="shared" si="307"/>
        <v>0.26450000000000001</v>
      </c>
      <c r="I33" s="572">
        <f t="shared" si="307"/>
        <v>0.52</v>
      </c>
      <c r="J33" s="483">
        <f t="shared" si="94"/>
        <v>5.1020000000000003</v>
      </c>
      <c r="K33" s="806">
        <f t="shared" si="307"/>
        <v>1313</v>
      </c>
      <c r="L33" s="309"/>
      <c r="M33" s="164">
        <f t="shared" si="4"/>
        <v>5.1020000000000003</v>
      </c>
      <c r="N33" s="575">
        <f t="shared" si="5"/>
        <v>1.357581953518993E-3</v>
      </c>
      <c r="O33" s="572">
        <f t="shared" si="6"/>
        <v>-0.5839096588732785</v>
      </c>
      <c r="P33" s="576">
        <f t="shared" si="7"/>
        <v>-0.43877105446839915</v>
      </c>
      <c r="Q33" s="528">
        <f t="shared" si="144"/>
        <v>270.13321166201536</v>
      </c>
      <c r="R33" s="572">
        <f t="shared" si="95"/>
        <v>0.5839112370508629</v>
      </c>
      <c r="S33" s="577">
        <f t="shared" si="96"/>
        <v>-0.43877105446839915</v>
      </c>
      <c r="T33" s="578">
        <f t="shared" si="97"/>
        <v>-0.58361131857707393</v>
      </c>
      <c r="U33" s="572">
        <f t="shared" si="98"/>
        <v>-1.8712604922835805E-2</v>
      </c>
      <c r="V33" s="579">
        <f t="shared" si="145"/>
        <v>-0.43877105446839915</v>
      </c>
      <c r="W33" s="528">
        <f t="shared" si="268"/>
        <v>181.83647243169034</v>
      </c>
      <c r="X33" s="572">
        <f t="shared" si="99"/>
        <v>0.5839112370508629</v>
      </c>
      <c r="Y33" s="573">
        <f t="shared" si="271"/>
        <v>-0.43877105446839915</v>
      </c>
      <c r="Z33" s="575">
        <f t="shared" si="10"/>
        <v>-0.94768598131740756</v>
      </c>
      <c r="AA33" s="572">
        <f t="shared" si="11"/>
        <v>-0.113121699236782</v>
      </c>
      <c r="AB33" s="572">
        <f t="shared" si="12"/>
        <v>-0.2984874569831123</v>
      </c>
      <c r="AC33" s="579">
        <f t="shared" si="100"/>
        <v>1</v>
      </c>
      <c r="AD33" s="580">
        <f t="shared" si="146"/>
        <v>-0.94768598131740756</v>
      </c>
      <c r="AE33" s="572">
        <f t="shared" si="101"/>
        <v>-0.113121699236782</v>
      </c>
      <c r="AF33" s="576">
        <f t="shared" si="102"/>
        <v>-0.2984874569831123</v>
      </c>
      <c r="AG33" s="545">
        <f t="shared" si="103"/>
        <v>-20.75586106905229</v>
      </c>
      <c r="AH33" s="546">
        <f t="shared" si="104"/>
        <v>161.38519872557174</v>
      </c>
      <c r="AI33" s="528">
        <f t="shared" si="105"/>
        <v>-72.633221083348275</v>
      </c>
      <c r="AJ33" s="529">
        <f t="shared" si="106"/>
        <v>-83.193026351157229</v>
      </c>
      <c r="AK33" s="578">
        <f t="shared" si="247"/>
        <v>0.94794642562985232</v>
      </c>
      <c r="AL33" s="572">
        <f t="shared" si="107"/>
        <v>0.11091804253295127</v>
      </c>
      <c r="AM33" s="577">
        <f t="shared" si="108"/>
        <v>-0.2984874569831123</v>
      </c>
      <c r="AN33" s="524">
        <f t="shared" si="109"/>
        <v>20.385083549018056</v>
      </c>
      <c r="AO33" s="525">
        <f t="shared" si="110"/>
        <v>18.567995868160033</v>
      </c>
      <c r="AP33" s="528">
        <f t="shared" si="111"/>
        <v>6.6737619868274374</v>
      </c>
      <c r="AQ33" s="529">
        <f t="shared" si="13"/>
        <v>4.6746815435966482</v>
      </c>
      <c r="AR33" s="979"/>
      <c r="AS33" s="954">
        <f t="shared" si="147"/>
        <v>181.83647243169034</v>
      </c>
      <c r="AT33" s="950">
        <f t="shared" si="14"/>
        <v>-0.29189967983289711</v>
      </c>
      <c r="AU33" s="418"/>
      <c r="AV33" s="164" t="str">
        <f t="shared" si="15"/>
        <v/>
      </c>
      <c r="AW33" s="829" t="str">
        <f>IFERROR(INDEX(MassProp!C$9:C$150,MATCH($M33,MassProp!$B$9:$B$150,0)),"")</f>
        <v/>
      </c>
      <c r="AX33" s="830" t="str">
        <f>IFERROR(INDEX(MassProp!D$9:D$150,MATCH($M33,MassProp!$B$9:$B$150,0)),"")</f>
        <v/>
      </c>
      <c r="AY33" s="831" t="str">
        <f>IFERROR(INDEX(MassProp!E$9:E$150,MATCH($M33,MassProp!$B$9:$B$150,0)),"")</f>
        <v/>
      </c>
      <c r="AZ33" s="297" t="str">
        <f t="shared" si="148"/>
        <v/>
      </c>
      <c r="BA33" s="296" t="str">
        <f t="shared" si="16"/>
        <v/>
      </c>
      <c r="BB33" s="190" t="str">
        <f t="shared" si="149"/>
        <v/>
      </c>
      <c r="BC33" s="9"/>
      <c r="BD33" s="5" t="str">
        <f t="shared" si="150"/>
        <v/>
      </c>
      <c r="BE33" s="6" t="str">
        <f t="shared" si="17"/>
        <v/>
      </c>
      <c r="BF33" s="4" t="str">
        <f t="shared" si="18"/>
        <v/>
      </c>
      <c r="BG33" s="5" t="str">
        <f t="shared" si="19"/>
        <v/>
      </c>
      <c r="BH33" s="10" t="str">
        <f t="shared" si="20"/>
        <v/>
      </c>
      <c r="BI33" s="9" t="str">
        <f t="shared" si="151"/>
        <v/>
      </c>
      <c r="BJ33" s="5" t="str">
        <f t="shared" si="21"/>
        <v/>
      </c>
      <c r="BK33" s="8" t="str">
        <f t="shared" si="22"/>
        <v/>
      </c>
      <c r="BL33" s="173" t="str">
        <f t="shared" si="23"/>
        <v/>
      </c>
      <c r="BM33" s="5" t="str">
        <f t="shared" si="24"/>
        <v/>
      </c>
      <c r="BN33" s="6" t="str">
        <f t="shared" si="25"/>
        <v/>
      </c>
      <c r="BO33" s="4" t="str">
        <f t="shared" si="152"/>
        <v/>
      </c>
      <c r="BP33" s="5" t="str">
        <f t="shared" si="153"/>
        <v/>
      </c>
      <c r="BQ33" s="5" t="str">
        <f t="shared" si="154"/>
        <v/>
      </c>
      <c r="BR33" s="6" t="str">
        <f t="shared" si="155"/>
        <v/>
      </c>
      <c r="BS33" s="4" t="str">
        <f t="shared" si="112"/>
        <v/>
      </c>
      <c r="BT33" s="5" t="str">
        <f t="shared" si="112"/>
        <v/>
      </c>
      <c r="BU33" s="10" t="str">
        <f t="shared" si="113"/>
        <v/>
      </c>
      <c r="BV33" s="9" t="str">
        <f t="shared" si="114"/>
        <v/>
      </c>
      <c r="BW33" s="5" t="str">
        <f t="shared" si="115"/>
        <v/>
      </c>
      <c r="BX33" s="8" t="str">
        <f t="shared" si="116"/>
        <v/>
      </c>
      <c r="BY33" s="173" t="str">
        <f t="shared" si="117"/>
        <v/>
      </c>
      <c r="BZ33" s="5" t="str">
        <f t="shared" si="118"/>
        <v/>
      </c>
      <c r="CA33" s="6" t="str">
        <f t="shared" si="119"/>
        <v/>
      </c>
      <c r="CB33" s="4" t="str">
        <f t="shared" si="156"/>
        <v/>
      </c>
      <c r="CC33" s="5" t="str">
        <f t="shared" si="157"/>
        <v/>
      </c>
      <c r="CD33" s="5" t="str">
        <f t="shared" si="158"/>
        <v/>
      </c>
      <c r="CE33" s="6" t="str">
        <f t="shared" si="159"/>
        <v/>
      </c>
      <c r="CF33" s="4" t="str">
        <f t="shared" si="160"/>
        <v/>
      </c>
      <c r="CG33" s="5" t="str">
        <f t="shared" si="161"/>
        <v/>
      </c>
      <c r="CH33" s="5" t="str">
        <f t="shared" si="162"/>
        <v/>
      </c>
      <c r="CI33" s="4" t="str">
        <f t="shared" si="120"/>
        <v/>
      </c>
      <c r="CJ33" s="5" t="str">
        <f t="shared" si="121"/>
        <v/>
      </c>
      <c r="CK33" s="8" t="str">
        <f t="shared" si="122"/>
        <v/>
      </c>
      <c r="CL33" s="173" t="str">
        <f t="shared" si="123"/>
        <v/>
      </c>
      <c r="CM33" s="5" t="str">
        <f t="shared" si="124"/>
        <v/>
      </c>
      <c r="CN33" s="6" t="str">
        <f t="shared" si="125"/>
        <v/>
      </c>
      <c r="CO33" s="167" t="str">
        <f t="shared" si="26"/>
        <v/>
      </c>
      <c r="CP33" s="4" t="str">
        <f t="shared" si="248"/>
        <v/>
      </c>
      <c r="CQ33" s="5" t="str">
        <f t="shared" si="249"/>
        <v/>
      </c>
      <c r="CR33" s="5" t="str">
        <f t="shared" si="163"/>
        <v/>
      </c>
      <c r="CS33" s="8" t="str">
        <f t="shared" si="164"/>
        <v/>
      </c>
      <c r="CT33" s="9" t="str">
        <f t="shared" si="165"/>
        <v/>
      </c>
      <c r="CU33" s="6" t="str">
        <f t="shared" si="166"/>
        <v/>
      </c>
      <c r="CV33" s="4" t="str">
        <f t="shared" si="250"/>
        <v/>
      </c>
      <c r="CW33" s="5" t="str">
        <f t="shared" si="167"/>
        <v/>
      </c>
      <c r="CX33" s="8" t="str">
        <f t="shared" si="168"/>
        <v/>
      </c>
      <c r="CY33" s="9" t="str">
        <f t="shared" si="169"/>
        <v/>
      </c>
      <c r="CZ33" s="5" t="str">
        <f t="shared" si="170"/>
        <v/>
      </c>
      <c r="DA33" s="6" t="str">
        <f t="shared" si="171"/>
        <v/>
      </c>
      <c r="DB33" s="4" t="str">
        <f t="shared" si="172"/>
        <v/>
      </c>
      <c r="DC33" s="5" t="str">
        <f t="shared" si="172"/>
        <v/>
      </c>
      <c r="DD33" s="10" t="str">
        <f t="shared" si="173"/>
        <v/>
      </c>
      <c r="DE33" s="9" t="str">
        <f t="shared" si="174"/>
        <v/>
      </c>
      <c r="DF33" s="5" t="str">
        <f t="shared" si="174"/>
        <v/>
      </c>
      <c r="DG33" s="10" t="str">
        <f t="shared" si="175"/>
        <v/>
      </c>
      <c r="DH33" s="70" t="str">
        <f t="shared" si="176"/>
        <v/>
      </c>
      <c r="DI33" s="4" t="str">
        <f t="shared" si="177"/>
        <v/>
      </c>
      <c r="DJ33" s="5" t="str">
        <f t="shared" si="178"/>
        <v/>
      </c>
      <c r="DK33" s="10" t="str">
        <f t="shared" si="179"/>
        <v/>
      </c>
      <c r="DL33" s="9" t="str">
        <f t="shared" si="180"/>
        <v/>
      </c>
      <c r="DM33" s="173" t="str">
        <f t="shared" si="181"/>
        <v/>
      </c>
      <c r="DN33" s="178" t="str">
        <f t="shared" si="182"/>
        <v/>
      </c>
      <c r="DO33" s="9" t="str">
        <f t="shared" si="183"/>
        <v/>
      </c>
      <c r="DP33" s="173" t="str">
        <f t="shared" si="184"/>
        <v/>
      </c>
      <c r="DQ33" s="11" t="str">
        <f t="shared" si="185"/>
        <v/>
      </c>
      <c r="DR33" s="173" t="str">
        <f t="shared" si="186"/>
        <v/>
      </c>
      <c r="DS33" s="5" t="str">
        <f t="shared" si="187"/>
        <v/>
      </c>
      <c r="DT33" s="5" t="str">
        <f t="shared" si="188"/>
        <v/>
      </c>
      <c r="DU33" s="5" t="str">
        <f t="shared" si="189"/>
        <v/>
      </c>
      <c r="DV33" s="5" t="str">
        <f t="shared" si="190"/>
        <v/>
      </c>
      <c r="DW33" s="5" t="str">
        <f t="shared" si="191"/>
        <v/>
      </c>
      <c r="DX33" s="167" t="str">
        <f t="shared" si="192"/>
        <v/>
      </c>
      <c r="DY33" s="9" t="str">
        <f t="shared" si="193"/>
        <v/>
      </c>
      <c r="DZ33" s="5" t="str">
        <f t="shared" si="194"/>
        <v/>
      </c>
      <c r="EA33" s="10" t="str">
        <f t="shared" si="195"/>
        <v/>
      </c>
      <c r="EB33" s="6" t="str">
        <f t="shared" si="196"/>
        <v/>
      </c>
      <c r="EC33" s="173" t="str">
        <f t="shared" si="197"/>
        <v/>
      </c>
      <c r="ED33" s="5" t="str">
        <f t="shared" si="198"/>
        <v/>
      </c>
      <c r="EE33" s="4" t="str">
        <f t="shared" si="199"/>
        <v/>
      </c>
      <c r="EF33" s="5" t="str">
        <f t="shared" si="200"/>
        <v/>
      </c>
      <c r="EG33" s="10" t="str">
        <f t="shared" si="201"/>
        <v/>
      </c>
      <c r="EH33" s="9" t="str">
        <f t="shared" si="202"/>
        <v/>
      </c>
      <c r="EI33" s="5" t="str">
        <f t="shared" si="203"/>
        <v/>
      </c>
      <c r="EJ33" s="6" t="str">
        <f t="shared" si="204"/>
        <v/>
      </c>
      <c r="EK33" s="236" t="str">
        <f t="shared" si="205"/>
        <v/>
      </c>
      <c r="EL33" s="238" t="str">
        <f t="shared" si="206"/>
        <v/>
      </c>
      <c r="EM33" s="272" t="str">
        <f t="shared" si="207"/>
        <v/>
      </c>
      <c r="EN33" s="267" t="str">
        <f t="shared" si="208"/>
        <v/>
      </c>
      <c r="EO33" s="273" t="str">
        <f t="shared" si="209"/>
        <v/>
      </c>
      <c r="EP33" s="9" t="str">
        <f t="shared" si="210"/>
        <v/>
      </c>
      <c r="EQ33" s="5" t="str">
        <f t="shared" si="211"/>
        <v/>
      </c>
      <c r="ER33" s="7" t="str">
        <f t="shared" si="212"/>
        <v/>
      </c>
      <c r="ES33" s="274" t="str">
        <f t="shared" si="126"/>
        <v/>
      </c>
      <c r="ET33" s="267" t="str">
        <f t="shared" si="35"/>
        <v/>
      </c>
      <c r="EU33" s="273" t="str">
        <f t="shared" si="36"/>
        <v/>
      </c>
      <c r="EV33" s="174" t="str">
        <f t="shared" si="264"/>
        <v/>
      </c>
      <c r="EW33" s="9" t="str">
        <f t="shared" si="127"/>
        <v/>
      </c>
      <c r="EX33" s="5" t="str">
        <f t="shared" si="37"/>
        <v/>
      </c>
      <c r="EY33" s="6" t="str">
        <f t="shared" si="213"/>
        <v/>
      </c>
      <c r="EZ33" s="51" t="str">
        <f t="shared" si="214"/>
        <v/>
      </c>
      <c r="FA33" s="266" t="str">
        <f t="shared" si="128"/>
        <v/>
      </c>
      <c r="FB33" s="267" t="str">
        <f t="shared" si="129"/>
        <v/>
      </c>
      <c r="FC33" s="269" t="str">
        <f t="shared" si="38"/>
        <v/>
      </c>
      <c r="FD33" s="4" t="str">
        <f t="shared" si="130"/>
        <v/>
      </c>
      <c r="FE33" s="5" t="str">
        <f t="shared" si="39"/>
        <v/>
      </c>
      <c r="FF33" s="7" t="str">
        <f t="shared" si="215"/>
        <v/>
      </c>
      <c r="FG33" s="173" t="str">
        <f t="shared" si="216"/>
        <v/>
      </c>
      <c r="FH33" s="5" t="str">
        <f t="shared" si="40"/>
        <v/>
      </c>
      <c r="FI33" s="10" t="str">
        <f t="shared" si="41"/>
        <v/>
      </c>
      <c r="FJ33" s="279" t="str">
        <f t="shared" si="217"/>
        <v/>
      </c>
      <c r="FK33" s="4" t="str">
        <f t="shared" si="42"/>
        <v/>
      </c>
      <c r="FL33" s="5" t="str">
        <f t="shared" si="218"/>
        <v/>
      </c>
      <c r="FM33" s="8" t="str">
        <f t="shared" si="219"/>
        <v/>
      </c>
      <c r="FN33" s="9" t="str">
        <f t="shared" si="220"/>
        <v/>
      </c>
      <c r="FO33" s="10" t="str">
        <f t="shared" si="43"/>
        <v/>
      </c>
      <c r="FP33" s="277" t="str">
        <f t="shared" si="44"/>
        <v/>
      </c>
      <c r="FQ33" s="173" t="str">
        <f t="shared" si="251"/>
        <v/>
      </c>
      <c r="FR33" s="10" t="str">
        <f t="shared" si="221"/>
        <v/>
      </c>
      <c r="FS33" s="9" t="str">
        <f t="shared" si="222"/>
        <v/>
      </c>
      <c r="FT33" s="6" t="str">
        <f t="shared" si="223"/>
        <v/>
      </c>
      <c r="FU33" s="4" t="str">
        <f t="shared" si="224"/>
        <v/>
      </c>
      <c r="FV33" s="5" t="str">
        <f t="shared" si="225"/>
        <v/>
      </c>
      <c r="FW33" s="8" t="str">
        <f t="shared" si="252"/>
        <v/>
      </c>
      <c r="FX33" s="9" t="str">
        <f t="shared" si="253"/>
        <v/>
      </c>
      <c r="FY33" s="10" t="str">
        <f t="shared" si="45"/>
        <v/>
      </c>
      <c r="FZ33" s="277" t="str">
        <f t="shared" si="254"/>
        <v/>
      </c>
      <c r="GA33" s="177" t="str">
        <f t="shared" si="226"/>
        <v/>
      </c>
      <c r="GB33" s="4" t="str">
        <f t="shared" si="227"/>
        <v/>
      </c>
      <c r="GC33" s="5" t="str">
        <f t="shared" si="228"/>
        <v/>
      </c>
      <c r="GD33" s="10" t="str">
        <f t="shared" si="229"/>
        <v/>
      </c>
      <c r="GE33" s="311" t="str">
        <f t="shared" si="230"/>
        <v/>
      </c>
      <c r="GF33" s="341" t="str">
        <f t="shared" si="255"/>
        <v/>
      </c>
      <c r="GG33" s="285" t="str">
        <f t="shared" si="46"/>
        <v/>
      </c>
      <c r="GH33" s="286" t="str">
        <f t="shared" si="47"/>
        <v/>
      </c>
      <c r="GI33" s="281" t="str">
        <f t="shared" si="48"/>
        <v/>
      </c>
      <c r="GJ33" s="167" t="str">
        <f t="shared" si="231"/>
        <v/>
      </c>
      <c r="GK33" s="174" t="str">
        <f t="shared" si="49"/>
        <v/>
      </c>
      <c r="GL33" s="174" t="str">
        <f t="shared" si="232"/>
        <v/>
      </c>
      <c r="GM33" s="177" t="str">
        <f t="shared" si="256"/>
        <v/>
      </c>
      <c r="GN33" s="280" t="str">
        <f t="shared" si="233"/>
        <v/>
      </c>
      <c r="GO33" s="4" t="str">
        <f t="shared" si="234"/>
        <v/>
      </c>
      <c r="GP33" s="8" t="str">
        <f t="shared" si="257"/>
        <v/>
      </c>
      <c r="GQ33" s="177" t="str">
        <f t="shared" si="235"/>
        <v/>
      </c>
      <c r="GR33" s="371" t="str">
        <f t="shared" si="258"/>
        <v/>
      </c>
      <c r="GS33" s="342" t="str">
        <f t="shared" si="51"/>
        <v/>
      </c>
      <c r="GT33" s="343" t="str">
        <f t="shared" si="52"/>
        <v/>
      </c>
      <c r="GU33" s="344" t="str">
        <f t="shared" si="53"/>
        <v/>
      </c>
      <c r="GV33" s="343" t="str">
        <f t="shared" si="265"/>
        <v/>
      </c>
      <c r="GW33" s="345" t="str">
        <f t="shared" si="54"/>
        <v/>
      </c>
      <c r="GX33" s="346" t="str">
        <f t="shared" si="55"/>
        <v/>
      </c>
      <c r="GY33" s="344" t="str">
        <f t="shared" si="56"/>
        <v/>
      </c>
      <c r="GZ33" s="345" t="str">
        <f t="shared" si="57"/>
        <v/>
      </c>
      <c r="HA33" s="342" t="str">
        <f t="shared" si="58"/>
        <v/>
      </c>
      <c r="HB33" s="5" t="str">
        <f t="shared" si="236"/>
        <v/>
      </c>
      <c r="HC33" s="343" t="str">
        <f t="shared" si="237"/>
        <v/>
      </c>
      <c r="HD33" s="363" t="str">
        <f t="shared" si="238"/>
        <v/>
      </c>
      <c r="HE33" s="344" t="str">
        <f t="shared" si="59"/>
        <v/>
      </c>
      <c r="HF33" s="5" t="str">
        <f t="shared" si="60"/>
        <v/>
      </c>
      <c r="HG33" s="343" t="str">
        <f t="shared" si="239"/>
        <v/>
      </c>
      <c r="HH33" s="349" t="str">
        <f t="shared" si="240"/>
        <v/>
      </c>
      <c r="HI33" s="317" t="str">
        <f t="shared" si="61"/>
        <v/>
      </c>
      <c r="HJ33" s="336"/>
      <c r="HK33" s="310" t="str">
        <f t="shared" si="131"/>
        <v/>
      </c>
      <c r="HL33" s="348" t="str">
        <f t="shared" si="62"/>
        <v/>
      </c>
      <c r="HM33" s="923" t="str">
        <f t="shared" si="63"/>
        <v/>
      </c>
      <c r="HN33" s="924" t="str">
        <f t="shared" si="64"/>
        <v/>
      </c>
      <c r="HO33" s="925"/>
      <c r="HP33" s="926"/>
      <c r="HQ33" s="924" t="str">
        <f t="shared" si="65"/>
        <v/>
      </c>
      <c r="HR33" s="927" t="str">
        <f t="shared" si="66"/>
        <v/>
      </c>
      <c r="HS33" s="879" t="str">
        <f t="shared" si="261"/>
        <v/>
      </c>
      <c r="HT33" s="889" t="str">
        <f t="shared" si="67"/>
        <v/>
      </c>
      <c r="HU33" s="890" t="str">
        <f t="shared" si="68"/>
        <v/>
      </c>
      <c r="HV33" s="886" t="str">
        <f t="shared" si="69"/>
        <v/>
      </c>
      <c r="HW33" s="880" t="str">
        <f t="shared" si="70"/>
        <v/>
      </c>
      <c r="HX33" s="881" t="str">
        <f t="shared" si="71"/>
        <v/>
      </c>
      <c r="HY33" s="880" t="str">
        <f t="shared" si="72"/>
        <v/>
      </c>
      <c r="HZ33" s="882" t="str">
        <f t="shared" si="73"/>
        <v/>
      </c>
      <c r="IA33" s="883" t="str">
        <f t="shared" si="74"/>
        <v/>
      </c>
      <c r="IB33" s="884" t="str">
        <f t="shared" si="75"/>
        <v/>
      </c>
      <c r="IC33" s="855" t="str">
        <f t="shared" si="76"/>
        <v/>
      </c>
      <c r="ID33" s="351" t="str">
        <f t="shared" si="77"/>
        <v/>
      </c>
      <c r="IE33" s="857" t="str">
        <f t="shared" si="78"/>
        <v/>
      </c>
      <c r="IF33" s="858"/>
      <c r="IG33" s="790" t="str">
        <f>IFERROR(IF($IW33="","",IF($IW33&lt;(((Settings!$C$19/2)*-1)*$IG$8),"Taper","Nose")),"")</f>
        <v/>
      </c>
      <c r="IH33" s="482" t="str">
        <f>IFERROR(IF((((($IY33*COS(RADIANS(180-$JA33)))*COS(RADIANS($JA33)))-(($IZ33*SIN(RADIANS(180-$JA33)))*SIN(RADIANS($JA33))))+$IW33)&lt;(((Settings!$C$19+$IH$8)/2)*-1),"Gage",""),"")</f>
        <v/>
      </c>
      <c r="II33" s="788">
        <f t="shared" si="241"/>
        <v>5.1020000000000003</v>
      </c>
      <c r="IJ33" s="674" t="str" cm="1">
        <f t="array" ref="IJ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K33" s="677" t="str" cm="1">
        <f t="array" ref="IK33">IFERROR(ROUND(VALUE(IF($IJ33&lt;1,$IJ33+LARGE((IF($M$9:$M$150="",0,$M$9:$M$150)-MOD(IF($M$9:$M$150="",0,$M$9:$M$150),1)),1),$IJ33)),4),"")</f>
        <v/>
      </c>
      <c r="IL33" s="482">
        <f t="shared" si="79"/>
        <v>1313</v>
      </c>
      <c r="IM33" s="482" t="str">
        <f t="shared" si="242"/>
        <v/>
      </c>
      <c r="IN33" s="670" t="str">
        <f t="shared" si="81"/>
        <v/>
      </c>
      <c r="IO33" s="702"/>
      <c r="IP33" s="5" t="str">
        <f t="shared" si="82"/>
        <v/>
      </c>
      <c r="IQ33" s="714"/>
      <c r="IR33" s="9" t="str">
        <f t="shared" si="132"/>
        <v/>
      </c>
      <c r="IS33" s="5" t="str">
        <f t="shared" si="83"/>
        <v/>
      </c>
      <c r="IT33" s="5" t="str">
        <f t="shared" si="84"/>
        <v/>
      </c>
      <c r="IU33" s="5" t="str">
        <f t="shared" si="85"/>
        <v/>
      </c>
      <c r="IV33" s="670" t="str">
        <f t="shared" si="86"/>
        <v/>
      </c>
      <c r="IW33" s="9" t="str">
        <f t="shared" si="87"/>
        <v/>
      </c>
      <c r="IX33" s="5" t="str">
        <f t="shared" si="88"/>
        <v/>
      </c>
      <c r="IY33" s="5" t="str">
        <f t="shared" si="89"/>
        <v/>
      </c>
      <c r="IZ33" s="5" t="str">
        <f t="shared" si="90"/>
        <v/>
      </c>
      <c r="JA33" s="705" t="str">
        <f t="shared" si="91"/>
        <v/>
      </c>
      <c r="JM33" s="489">
        <f t="shared" si="133"/>
        <v>2</v>
      </c>
      <c r="JN33" s="960">
        <f>($JO33-SMALL($JO$9:$JO$88,1))/((Settings!$C$19/2)-((Settings!$C$19/2)-LARGE($JO$9:$JO$88,1))-SMALL($JO$9:$JO$88,1))</f>
        <v>8.3579093221534922E-2</v>
      </c>
      <c r="JO33" s="162">
        <f t="shared" si="134"/>
        <v>0.5839112370508629</v>
      </c>
      <c r="JP33" s="961">
        <f t="shared" si="135"/>
        <v>20.385083549018056</v>
      </c>
      <c r="JQ33" s="961">
        <f t="shared" si="136"/>
        <v>18.567995868160033</v>
      </c>
      <c r="JS33" s="82">
        <v>25</v>
      </c>
      <c r="JT33" s="322">
        <f t="shared" si="137"/>
        <v>3.1240066072649411</v>
      </c>
      <c r="JU33" s="963">
        <f t="shared" si="138"/>
        <v>0.82498632082356715</v>
      </c>
      <c r="JV33" s="961">
        <f t="shared" si="287"/>
        <v>-33.979745500140638</v>
      </c>
      <c r="JW33" s="961">
        <f t="shared" si="92"/>
        <v>15.800324618226137</v>
      </c>
      <c r="JX33" s="1">
        <v>6.0659099999999997</v>
      </c>
      <c r="JY33" s="965">
        <f t="shared" si="139"/>
        <v>0.84270537514162525</v>
      </c>
      <c r="JZ33" s="973">
        <v>46.904799999999994</v>
      </c>
      <c r="KA33" s="410">
        <f t="shared" si="280"/>
        <v>-3.7460266666666726</v>
      </c>
      <c r="KB33" s="976">
        <f t="shared" si="243"/>
        <v>25</v>
      </c>
      <c r="KC33" s="968" cm="1">
        <f t="array" ref="KC33">(((INDEX($JV$9:$JV$53,MATCH(INDEX($JU$9:$JU$53,MATCH(TRUE,INDEX($JU$9:$JU$53&gt;$JY33,0),)),$JU$9:$JU$53,0))-INDEX($JV$9:$JV$53,MATCH(INDEX($JU$9:$JU$53,MATCH(TRUE,INDEX($JU$9:$JU$53&gt;$JY33,0),)-1),$JU$9:$JU$53,0)))*(($JY33-INDEX($JU$9:$JU$53,MATCH(TRUE,INDEX($JU$9:$JU$53&gt;$JY33,0),)-1))/(INDEX($JU$9:$JU$53,MATCH(TRUE,INDEX($JU$9:$JU$53&gt;$JY33,0),))-INDEX($JU$9:$JU$53,MATCH(TRUE,INDEX($JU$9:$JU$53&gt;$JY33,0),)-1))))+INDEX($JV$9:$JV$53,MATCH(INDEX($JU$9:$JU$53,MATCH(TRUE,INDEX($JU$9:$JU$53&gt;$JY33,0),)-1),$JU$9:$JU$53,0)))</f>
        <v>-36.480147702397012</v>
      </c>
      <c r="KD33" s="970">
        <v>-50.650826666666667</v>
      </c>
      <c r="KE33" s="968">
        <f t="shared" si="140"/>
        <v>-14.170678964269655</v>
      </c>
      <c r="KF33" s="968" cm="1">
        <f t="array" ref="KF33">(((INDEX($JW$9:$JW$53,MATCH(INDEX($JU$9:$JU$53,MATCH(TRUE,INDEX($JU$9:$JU$53&gt;$JY33,0),)),$JU$9:$JU$53,0))-INDEX($JW$9:$JW$53,MATCH(INDEX($JU$9:$JU$53,MATCH(TRUE,INDEX($JU$9:$JU$53&gt;$JY33,0),)-1),$JU$9:$JU$53,0)))*(($JY33-INDEX($JU$9:$JU$53,MATCH(TRUE,INDEX($JU$9:$JU$53&gt;$JY33,0),)-1))/(INDEX($JU$9:$JU$53,MATCH(TRUE,INDEX($JU$9:$JU$53&gt;$JY33,0),))-INDEX($JU$9:$JU$53,MATCH(TRUE,INDEX($JU$9:$JU$53&gt;$JY33,0),)-1))))+INDEX($JW$9:$JW$53,MATCH(INDEX($JU$9:$JU$53,MATCH(TRUE,INDEX($JU$9:$JU$53&gt;$JY33,0),)-1),$JU$9:$JU$53,0)))</f>
        <v>16.702067779305505</v>
      </c>
      <c r="KG33" s="966">
        <f t="shared" si="244"/>
        <v>-3.936313333333338</v>
      </c>
      <c r="KH33" s="966">
        <f t="shared" si="141"/>
        <v>1.3453240999453975</v>
      </c>
      <c r="KJ33" s="31"/>
    </row>
    <row r="34" spans="1:296" ht="15" customHeight="1" x14ac:dyDescent="0.25">
      <c r="A34" s="75">
        <f t="shared" si="1"/>
        <v>0.02</v>
      </c>
      <c r="B34" s="578">
        <f t="shared" ref="B34:D34" si="308">IFERROR(O189+($A34*-E34),"")</f>
        <v>2.4109172881973943E-2</v>
      </c>
      <c r="C34" s="572">
        <f t="shared" si="308"/>
        <v>-1.2439598734632404</v>
      </c>
      <c r="D34" s="576">
        <f t="shared" si="308"/>
        <v>-0.26080077084042635</v>
      </c>
      <c r="E34" s="580">
        <f t="shared" ref="E34:K34" si="309">R189</f>
        <v>0.96299964398557225</v>
      </c>
      <c r="F34" s="572">
        <f t="shared" si="309"/>
        <v>0.10065635623830378</v>
      </c>
      <c r="G34" s="579">
        <f t="shared" si="309"/>
        <v>0.24999996726497561</v>
      </c>
      <c r="H34" s="580">
        <f t="shared" si="309"/>
        <v>0.26450000000000001</v>
      </c>
      <c r="I34" s="572">
        <f t="shared" si="309"/>
        <v>0.52</v>
      </c>
      <c r="J34" s="483">
        <f t="shared" si="94"/>
        <v>5.1059999999999999</v>
      </c>
      <c r="K34" s="806">
        <f t="shared" si="309"/>
        <v>1313</v>
      </c>
      <c r="L34" s="309"/>
      <c r="M34" s="164">
        <f t="shared" si="4"/>
        <v>5.1059999999999999</v>
      </c>
      <c r="N34" s="575">
        <f t="shared" si="5"/>
        <v>2.4109172881973943E-2</v>
      </c>
      <c r="O34" s="572">
        <f t="shared" si="6"/>
        <v>-1.2439598734632404</v>
      </c>
      <c r="P34" s="576">
        <f t="shared" si="7"/>
        <v>-0.26080077084042635</v>
      </c>
      <c r="Q34" s="528">
        <f t="shared" si="144"/>
        <v>271.11030987907833</v>
      </c>
      <c r="R34" s="572">
        <f>IF(M34="","",SQRT(N34^2+O34^2))</f>
        <v>1.2441934813379043</v>
      </c>
      <c r="S34" s="577">
        <f>IF(M34="","",P34)</f>
        <v>-0.26080077084042635</v>
      </c>
      <c r="T34" s="578">
        <f>IF(M34="","",X34*COS(RADIANS(W34)))</f>
        <v>-1.2426936547879857</v>
      </c>
      <c r="U34" s="572">
        <f>IF(M34="","",X34*SIN(RADIANS(W34)))</f>
        <v>-6.1072901956699184E-2</v>
      </c>
      <c r="V34" s="579">
        <f>IF(M34="","",Y34)</f>
        <v>-0.26080077084042635</v>
      </c>
      <c r="W34" s="528">
        <f t="shared" si="268"/>
        <v>182.81357064875331</v>
      </c>
      <c r="X34" s="572">
        <f>IF(M34="","",R34)</f>
        <v>1.2441934813379043</v>
      </c>
      <c r="Y34" s="573">
        <f t="shared" si="271"/>
        <v>-0.26080077084042635</v>
      </c>
      <c r="Z34" s="575">
        <f t="shared" si="10"/>
        <v>-0.96299964398557225</v>
      </c>
      <c r="AA34" s="572">
        <f t="shared" si="11"/>
        <v>-0.10065635623830378</v>
      </c>
      <c r="AB34" s="572">
        <f t="shared" si="12"/>
        <v>-0.24999996726497561</v>
      </c>
      <c r="AC34" s="579">
        <f>IF(M34="","",SQRT(Z34^2+AA34^2+AB34^2))</f>
        <v>1</v>
      </c>
      <c r="AD34" s="580">
        <f>IF(M34="","",Z34*(1/SQRT(Z34^2+AA34^2+AB34^2)))</f>
        <v>-0.96299964398557225</v>
      </c>
      <c r="AE34" s="572">
        <f>IF(M34="","",AA34*(1/SQRT(Z34^2+AA34^2+AB34^2)))</f>
        <v>-0.10065635623830378</v>
      </c>
      <c r="AF34" s="576">
        <f>IF(M34="","",AB34*(1/SQRT(Z34^2+AA34^2+AB34^2)))</f>
        <v>-0.24999996726497561</v>
      </c>
      <c r="AG34" s="545">
        <f>IF(M34="","",DEGREES(ATAN2(-AF34,AE34)))</f>
        <v>-21.930971958865776</v>
      </c>
      <c r="AH34" s="546">
        <f>IF(M34="","",DEGREES(ACOS(AD34)))</f>
        <v>164.36532541077759</v>
      </c>
      <c r="AI34" s="528">
        <f>IF(M34="","",DEGREES(-ACOS(-AF34)))</f>
        <v>-75.522489751159469</v>
      </c>
      <c r="AJ34" s="529">
        <f>IF(M34="","",DEGREES(ATAN2(-AE34,AD34)))</f>
        <v>-84.03289663245846</v>
      </c>
      <c r="AK34" s="578">
        <f>IF(M34="","",(COS(RADIANS((90-$Q$8)-W34))*AD34)+(-SIN(RADIANS((90-$Q$8)-W34))*AE34))</f>
        <v>0.96476928610885171</v>
      </c>
      <c r="AL34" s="572">
        <f>IF(M34="","",(SIN(RADIANS((90-$Q$8)-W34))*AD34)+(COS(RADIANS((90-$Q$8)-W34))*AE34))</f>
        <v>8.1977075750040387E-2</v>
      </c>
      <c r="AM34" s="577">
        <f>IF(M34="","",AF34)</f>
        <v>-0.24999996726497561</v>
      </c>
      <c r="AN34" s="524">
        <f>IF(M34="","",DEGREES(ATAN2(-AM34,AL34)))</f>
        <v>18.154749035400513</v>
      </c>
      <c r="AO34" s="525">
        <f t="shared" si="110"/>
        <v>15.253928641254697</v>
      </c>
      <c r="AP34" s="528">
        <f>IF(M34="","",DEGREES(ATAN2(AK34,AL34)))</f>
        <v>4.8567934884632287</v>
      </c>
      <c r="AQ34" s="529">
        <f t="shared" si="13"/>
        <v>2.1976728427734877</v>
      </c>
      <c r="AR34" s="979"/>
      <c r="AS34" s="954">
        <f t="shared" si="147"/>
        <v>182.81357064875331</v>
      </c>
      <c r="AT34" s="950">
        <f t="shared" si="14"/>
        <v>-0.11474364471914342</v>
      </c>
      <c r="AU34" s="418"/>
      <c r="AV34" s="164" t="str">
        <f t="shared" si="15"/>
        <v/>
      </c>
      <c r="AW34" s="829" t="str">
        <f>IFERROR(INDEX(MassProp!C$9:C$150,MATCH($M34,MassProp!$B$9:$B$150,0)),"")</f>
        <v/>
      </c>
      <c r="AX34" s="830" t="str">
        <f>IFERROR(INDEX(MassProp!D$9:D$150,MATCH($M34,MassProp!$B$9:$B$150,0)),"")</f>
        <v/>
      </c>
      <c r="AY34" s="831" t="str">
        <f>IFERROR(INDEX(MassProp!E$9:E$150,MATCH($M34,MassProp!$B$9:$B$150,0)),"")</f>
        <v/>
      </c>
      <c r="AZ34" s="297" t="str">
        <f t="shared" si="148"/>
        <v/>
      </c>
      <c r="BA34" s="296" t="str">
        <f t="shared" si="16"/>
        <v/>
      </c>
      <c r="BB34" s="190" t="str">
        <f t="shared" si="149"/>
        <v/>
      </c>
      <c r="BC34" s="9"/>
      <c r="BD34" s="5" t="str">
        <f t="shared" si="150"/>
        <v/>
      </c>
      <c r="BE34" s="6" t="str">
        <f t="shared" si="17"/>
        <v/>
      </c>
      <c r="BF34" s="4" t="str">
        <f t="shared" si="18"/>
        <v/>
      </c>
      <c r="BG34" s="5" t="str">
        <f t="shared" si="19"/>
        <v/>
      </c>
      <c r="BH34" s="10" t="str">
        <f t="shared" si="20"/>
        <v/>
      </c>
      <c r="BI34" s="9" t="str">
        <f t="shared" si="151"/>
        <v/>
      </c>
      <c r="BJ34" s="5" t="str">
        <f t="shared" si="21"/>
        <v/>
      </c>
      <c r="BK34" s="8" t="str">
        <f t="shared" si="22"/>
        <v/>
      </c>
      <c r="BL34" s="173" t="str">
        <f t="shared" si="23"/>
        <v/>
      </c>
      <c r="BM34" s="5" t="str">
        <f t="shared" si="24"/>
        <v/>
      </c>
      <c r="BN34" s="6" t="str">
        <f t="shared" si="25"/>
        <v/>
      </c>
      <c r="BO34" s="4" t="str">
        <f t="shared" si="152"/>
        <v/>
      </c>
      <c r="BP34" s="5" t="str">
        <f t="shared" si="153"/>
        <v/>
      </c>
      <c r="BQ34" s="5" t="str">
        <f t="shared" si="154"/>
        <v/>
      </c>
      <c r="BR34" s="6" t="str">
        <f t="shared" si="155"/>
        <v/>
      </c>
      <c r="BS34" s="4" t="str">
        <f t="shared" si="112"/>
        <v/>
      </c>
      <c r="BT34" s="5" t="str">
        <f t="shared" si="112"/>
        <v/>
      </c>
      <c r="BU34" s="10" t="str">
        <f t="shared" si="113"/>
        <v/>
      </c>
      <c r="BV34" s="9" t="str">
        <f t="shared" si="114"/>
        <v/>
      </c>
      <c r="BW34" s="5" t="str">
        <f t="shared" si="115"/>
        <v/>
      </c>
      <c r="BX34" s="8" t="str">
        <f t="shared" si="116"/>
        <v/>
      </c>
      <c r="BY34" s="173" t="str">
        <f t="shared" si="117"/>
        <v/>
      </c>
      <c r="BZ34" s="5" t="str">
        <f t="shared" si="118"/>
        <v/>
      </c>
      <c r="CA34" s="6" t="str">
        <f t="shared" si="119"/>
        <v/>
      </c>
      <c r="CB34" s="4" t="str">
        <f t="shared" si="156"/>
        <v/>
      </c>
      <c r="CC34" s="5" t="str">
        <f t="shared" si="157"/>
        <v/>
      </c>
      <c r="CD34" s="5" t="str">
        <f t="shared" si="158"/>
        <v/>
      </c>
      <c r="CE34" s="6" t="str">
        <f t="shared" si="159"/>
        <v/>
      </c>
      <c r="CF34" s="4" t="str">
        <f t="shared" si="160"/>
        <v/>
      </c>
      <c r="CG34" s="5" t="str">
        <f t="shared" si="161"/>
        <v/>
      </c>
      <c r="CH34" s="5" t="str">
        <f t="shared" si="162"/>
        <v/>
      </c>
      <c r="CI34" s="4" t="str">
        <f t="shared" si="120"/>
        <v/>
      </c>
      <c r="CJ34" s="5" t="str">
        <f t="shared" si="121"/>
        <v/>
      </c>
      <c r="CK34" s="8" t="str">
        <f t="shared" si="122"/>
        <v/>
      </c>
      <c r="CL34" s="173" t="str">
        <f t="shared" si="123"/>
        <v/>
      </c>
      <c r="CM34" s="5" t="str">
        <f t="shared" si="124"/>
        <v/>
      </c>
      <c r="CN34" s="6" t="str">
        <f t="shared" si="125"/>
        <v/>
      </c>
      <c r="CO34" s="167" t="str">
        <f t="shared" si="26"/>
        <v/>
      </c>
      <c r="CP34" s="4" t="str">
        <f t="shared" si="248"/>
        <v/>
      </c>
      <c r="CQ34" s="5" t="str">
        <f t="shared" si="249"/>
        <v/>
      </c>
      <c r="CR34" s="5" t="str">
        <f t="shared" si="163"/>
        <v/>
      </c>
      <c r="CS34" s="8" t="str">
        <f t="shared" si="164"/>
        <v/>
      </c>
      <c r="CT34" s="9" t="str">
        <f t="shared" si="165"/>
        <v/>
      </c>
      <c r="CU34" s="6" t="str">
        <f t="shared" si="166"/>
        <v/>
      </c>
      <c r="CV34" s="4" t="str">
        <f t="shared" si="250"/>
        <v/>
      </c>
      <c r="CW34" s="5" t="str">
        <f t="shared" si="167"/>
        <v/>
      </c>
      <c r="CX34" s="8" t="str">
        <f t="shared" si="168"/>
        <v/>
      </c>
      <c r="CY34" s="9" t="str">
        <f t="shared" si="169"/>
        <v/>
      </c>
      <c r="CZ34" s="5" t="str">
        <f t="shared" si="170"/>
        <v/>
      </c>
      <c r="DA34" s="6" t="str">
        <f t="shared" si="171"/>
        <v/>
      </c>
      <c r="DB34" s="4" t="str">
        <f t="shared" si="172"/>
        <v/>
      </c>
      <c r="DC34" s="5" t="str">
        <f t="shared" si="172"/>
        <v/>
      </c>
      <c r="DD34" s="10" t="str">
        <f t="shared" si="173"/>
        <v/>
      </c>
      <c r="DE34" s="9" t="str">
        <f t="shared" si="174"/>
        <v/>
      </c>
      <c r="DF34" s="5" t="str">
        <f t="shared" si="174"/>
        <v/>
      </c>
      <c r="DG34" s="10" t="str">
        <f t="shared" si="175"/>
        <v/>
      </c>
      <c r="DH34" s="70" t="str">
        <f t="shared" si="176"/>
        <v/>
      </c>
      <c r="DI34" s="4" t="str">
        <f t="shared" si="177"/>
        <v/>
      </c>
      <c r="DJ34" s="5" t="str">
        <f t="shared" si="178"/>
        <v/>
      </c>
      <c r="DK34" s="10" t="str">
        <f t="shared" si="179"/>
        <v/>
      </c>
      <c r="DL34" s="9" t="str">
        <f t="shared" si="180"/>
        <v/>
      </c>
      <c r="DM34" s="173" t="str">
        <f t="shared" si="181"/>
        <v/>
      </c>
      <c r="DN34" s="178" t="str">
        <f t="shared" si="182"/>
        <v/>
      </c>
      <c r="DO34" s="9" t="str">
        <f t="shared" si="183"/>
        <v/>
      </c>
      <c r="DP34" s="173" t="str">
        <f t="shared" si="184"/>
        <v/>
      </c>
      <c r="DQ34" s="11" t="str">
        <f t="shared" si="185"/>
        <v/>
      </c>
      <c r="DR34" s="173" t="str">
        <f t="shared" si="186"/>
        <v/>
      </c>
      <c r="DS34" s="5" t="str">
        <f t="shared" si="187"/>
        <v/>
      </c>
      <c r="DT34" s="5" t="str">
        <f t="shared" si="188"/>
        <v/>
      </c>
      <c r="DU34" s="5" t="str">
        <f t="shared" si="189"/>
        <v/>
      </c>
      <c r="DV34" s="5" t="str">
        <f t="shared" si="190"/>
        <v/>
      </c>
      <c r="DW34" s="5" t="str">
        <f t="shared" si="191"/>
        <v/>
      </c>
      <c r="DX34" s="167" t="str">
        <f t="shared" si="192"/>
        <v/>
      </c>
      <c r="DY34" s="9" t="str">
        <f t="shared" si="193"/>
        <v/>
      </c>
      <c r="DZ34" s="5" t="str">
        <f t="shared" si="194"/>
        <v/>
      </c>
      <c r="EA34" s="10" t="str">
        <f t="shared" si="195"/>
        <v/>
      </c>
      <c r="EB34" s="6" t="str">
        <f t="shared" si="196"/>
        <v/>
      </c>
      <c r="EC34" s="173" t="str">
        <f t="shared" si="197"/>
        <v/>
      </c>
      <c r="ED34" s="5" t="str">
        <f t="shared" si="198"/>
        <v/>
      </c>
      <c r="EE34" s="4" t="str">
        <f t="shared" si="199"/>
        <v/>
      </c>
      <c r="EF34" s="5" t="str">
        <f t="shared" si="200"/>
        <v/>
      </c>
      <c r="EG34" s="10" t="str">
        <f t="shared" si="201"/>
        <v/>
      </c>
      <c r="EH34" s="9" t="str">
        <f t="shared" si="202"/>
        <v/>
      </c>
      <c r="EI34" s="5" t="str">
        <f t="shared" si="203"/>
        <v/>
      </c>
      <c r="EJ34" s="6" t="str">
        <f t="shared" si="204"/>
        <v/>
      </c>
      <c r="EK34" s="236" t="str">
        <f t="shared" si="205"/>
        <v/>
      </c>
      <c r="EL34" s="238" t="str">
        <f t="shared" si="206"/>
        <v/>
      </c>
      <c r="EM34" s="4" t="str">
        <f t="shared" si="207"/>
        <v/>
      </c>
      <c r="EN34" s="5" t="str">
        <f t="shared" si="208"/>
        <v/>
      </c>
      <c r="EO34" s="10" t="str">
        <f t="shared" si="209"/>
        <v/>
      </c>
      <c r="EP34" s="9" t="str">
        <f t="shared" si="210"/>
        <v/>
      </c>
      <c r="EQ34" s="5" t="str">
        <f t="shared" si="211"/>
        <v/>
      </c>
      <c r="ER34" s="7" t="str">
        <f t="shared" si="212"/>
        <v/>
      </c>
      <c r="ES34" s="21" t="str">
        <f t="shared" si="126"/>
        <v/>
      </c>
      <c r="ET34" s="5" t="str">
        <f t="shared" si="35"/>
        <v/>
      </c>
      <c r="EU34" s="10" t="str">
        <f t="shared" si="36"/>
        <v/>
      </c>
      <c r="EV34" s="174" t="str">
        <f t="shared" si="264"/>
        <v/>
      </c>
      <c r="EW34" s="9" t="str">
        <f t="shared" si="127"/>
        <v/>
      </c>
      <c r="EX34" s="5" t="str">
        <f t="shared" si="37"/>
        <v/>
      </c>
      <c r="EY34" s="6" t="str">
        <f t="shared" si="213"/>
        <v/>
      </c>
      <c r="EZ34" s="51" t="str">
        <f t="shared" si="214"/>
        <v/>
      </c>
      <c r="FA34" s="266" t="str">
        <f t="shared" si="128"/>
        <v/>
      </c>
      <c r="FB34" s="267" t="str">
        <f t="shared" si="129"/>
        <v/>
      </c>
      <c r="FC34" s="269" t="str">
        <f t="shared" si="38"/>
        <v/>
      </c>
      <c r="FD34" s="4" t="str">
        <f t="shared" si="130"/>
        <v/>
      </c>
      <c r="FE34" s="5" t="str">
        <f t="shared" si="39"/>
        <v/>
      </c>
      <c r="FF34" s="7" t="str">
        <f t="shared" si="215"/>
        <v/>
      </c>
      <c r="FG34" s="173" t="str">
        <f t="shared" si="216"/>
        <v/>
      </c>
      <c r="FH34" s="5" t="str">
        <f t="shared" si="40"/>
        <v/>
      </c>
      <c r="FI34" s="10" t="str">
        <f t="shared" si="41"/>
        <v/>
      </c>
      <c r="FJ34" s="279" t="str">
        <f t="shared" si="217"/>
        <v/>
      </c>
      <c r="FK34" s="4" t="str">
        <f t="shared" si="42"/>
        <v/>
      </c>
      <c r="FL34" s="5" t="str">
        <f t="shared" si="218"/>
        <v/>
      </c>
      <c r="FM34" s="8" t="str">
        <f t="shared" si="219"/>
        <v/>
      </c>
      <c r="FN34" s="9" t="str">
        <f t="shared" si="220"/>
        <v/>
      </c>
      <c r="FO34" s="10" t="str">
        <f t="shared" si="43"/>
        <v/>
      </c>
      <c r="FP34" s="277" t="str">
        <f t="shared" si="44"/>
        <v/>
      </c>
      <c r="FQ34" s="173" t="str">
        <f t="shared" si="251"/>
        <v/>
      </c>
      <c r="FR34" s="10" t="str">
        <f t="shared" si="221"/>
        <v/>
      </c>
      <c r="FS34" s="9" t="str">
        <f t="shared" si="222"/>
        <v/>
      </c>
      <c r="FT34" s="6" t="str">
        <f t="shared" si="223"/>
        <v/>
      </c>
      <c r="FU34" s="4" t="str">
        <f t="shared" si="224"/>
        <v/>
      </c>
      <c r="FV34" s="5" t="str">
        <f t="shared" si="225"/>
        <v/>
      </c>
      <c r="FW34" s="8" t="str">
        <f t="shared" si="252"/>
        <v/>
      </c>
      <c r="FX34" s="9" t="str">
        <f t="shared" si="253"/>
        <v/>
      </c>
      <c r="FY34" s="10" t="str">
        <f t="shared" si="45"/>
        <v/>
      </c>
      <c r="FZ34" s="277" t="str">
        <f t="shared" si="254"/>
        <v/>
      </c>
      <c r="GA34" s="177" t="str">
        <f t="shared" si="226"/>
        <v/>
      </c>
      <c r="GB34" s="4" t="str">
        <f t="shared" si="227"/>
        <v/>
      </c>
      <c r="GC34" s="5" t="str">
        <f t="shared" si="228"/>
        <v/>
      </c>
      <c r="GD34" s="10" t="str">
        <f t="shared" si="229"/>
        <v/>
      </c>
      <c r="GE34" s="311" t="str">
        <f t="shared" si="230"/>
        <v/>
      </c>
      <c r="GF34" s="341" t="str">
        <f t="shared" si="255"/>
        <v/>
      </c>
      <c r="GG34" s="285" t="str">
        <f t="shared" si="46"/>
        <v/>
      </c>
      <c r="GH34" s="286" t="str">
        <f t="shared" si="47"/>
        <v/>
      </c>
      <c r="GI34" s="281" t="str">
        <f t="shared" si="48"/>
        <v/>
      </c>
      <c r="GJ34" s="167" t="str">
        <f t="shared" si="231"/>
        <v/>
      </c>
      <c r="GK34" s="174" t="str">
        <f t="shared" si="49"/>
        <v/>
      </c>
      <c r="GL34" s="174" t="str">
        <f t="shared" si="232"/>
        <v/>
      </c>
      <c r="GM34" s="177" t="str">
        <f t="shared" si="256"/>
        <v/>
      </c>
      <c r="GN34" s="280" t="str">
        <f t="shared" si="233"/>
        <v/>
      </c>
      <c r="GO34" s="4" t="str">
        <f t="shared" si="234"/>
        <v/>
      </c>
      <c r="GP34" s="8" t="str">
        <f t="shared" si="257"/>
        <v/>
      </c>
      <c r="GQ34" s="177" t="str">
        <f t="shared" si="235"/>
        <v/>
      </c>
      <c r="GR34" s="371" t="str">
        <f t="shared" si="258"/>
        <v/>
      </c>
      <c r="GS34" s="342" t="str">
        <f t="shared" si="51"/>
        <v/>
      </c>
      <c r="GT34" s="343" t="str">
        <f t="shared" si="52"/>
        <v/>
      </c>
      <c r="GU34" s="344" t="str">
        <f t="shared" si="53"/>
        <v/>
      </c>
      <c r="GV34" s="343" t="str">
        <f t="shared" si="265"/>
        <v/>
      </c>
      <c r="GW34" s="345" t="str">
        <f t="shared" si="54"/>
        <v/>
      </c>
      <c r="GX34" s="346" t="str">
        <f t="shared" si="55"/>
        <v/>
      </c>
      <c r="GY34" s="344" t="str">
        <f t="shared" si="56"/>
        <v/>
      </c>
      <c r="GZ34" s="345" t="str">
        <f t="shared" si="57"/>
        <v/>
      </c>
      <c r="HA34" s="342" t="str">
        <f t="shared" si="58"/>
        <v/>
      </c>
      <c r="HB34" s="5" t="str">
        <f t="shared" si="236"/>
        <v/>
      </c>
      <c r="HC34" s="343" t="str">
        <f t="shared" si="237"/>
        <v/>
      </c>
      <c r="HD34" s="363" t="str">
        <f t="shared" si="238"/>
        <v/>
      </c>
      <c r="HE34" s="344" t="str">
        <f t="shared" si="59"/>
        <v/>
      </c>
      <c r="HF34" s="5" t="str">
        <f t="shared" si="60"/>
        <v/>
      </c>
      <c r="HG34" s="343" t="str">
        <f t="shared" si="239"/>
        <v/>
      </c>
      <c r="HH34" s="349" t="str">
        <f t="shared" si="240"/>
        <v/>
      </c>
      <c r="HI34" s="317" t="str">
        <f t="shared" si="61"/>
        <v/>
      </c>
      <c r="HJ34" s="336"/>
      <c r="HK34" s="310" t="str">
        <f t="shared" si="131"/>
        <v/>
      </c>
      <c r="HL34" s="348" t="str">
        <f t="shared" si="62"/>
        <v/>
      </c>
      <c r="HM34" s="923" t="str">
        <f t="shared" si="63"/>
        <v/>
      </c>
      <c r="HN34" s="924" t="str">
        <f t="shared" si="64"/>
        <v/>
      </c>
      <c r="HO34" s="925"/>
      <c r="HP34" s="926"/>
      <c r="HQ34" s="924" t="str">
        <f t="shared" si="65"/>
        <v/>
      </c>
      <c r="HR34" s="927" t="str">
        <f t="shared" si="66"/>
        <v/>
      </c>
      <c r="HS34" s="879" t="str">
        <f t="shared" si="261"/>
        <v/>
      </c>
      <c r="HT34" s="889" t="str">
        <f t="shared" si="67"/>
        <v/>
      </c>
      <c r="HU34" s="890" t="str">
        <f t="shared" si="68"/>
        <v/>
      </c>
      <c r="HV34" s="886" t="str">
        <f t="shared" si="69"/>
        <v/>
      </c>
      <c r="HW34" s="880" t="str">
        <f t="shared" si="70"/>
        <v/>
      </c>
      <c r="HX34" s="881" t="str">
        <f t="shared" si="71"/>
        <v/>
      </c>
      <c r="HY34" s="880" t="str">
        <f t="shared" si="72"/>
        <v/>
      </c>
      <c r="HZ34" s="882" t="str">
        <f t="shared" si="73"/>
        <v/>
      </c>
      <c r="IA34" s="883" t="str">
        <f t="shared" si="74"/>
        <v/>
      </c>
      <c r="IB34" s="884" t="str">
        <f t="shared" si="75"/>
        <v/>
      </c>
      <c r="IC34" s="855" t="str">
        <f t="shared" si="76"/>
        <v/>
      </c>
      <c r="ID34" s="351" t="str">
        <f t="shared" si="77"/>
        <v/>
      </c>
      <c r="IE34" s="857" t="str">
        <f t="shared" si="78"/>
        <v/>
      </c>
      <c r="IF34" s="858"/>
      <c r="IG34" s="790" t="str">
        <f>IFERROR(IF($IW34="","",IF($IW34&lt;(((Settings!$C$19/2)*-1)*$IG$8),"Taper","Nose")),"")</f>
        <v/>
      </c>
      <c r="IH34" s="482" t="str">
        <f>IFERROR(IF((((($IY34*COS(RADIANS(180-$JA34)))*COS(RADIANS($JA34)))-(($IZ34*SIN(RADIANS(180-$JA34)))*SIN(RADIANS($JA34))))+$IW34)&lt;(((Settings!$C$19+$IH$8)/2)*-1),"Gage",""),"")</f>
        <v/>
      </c>
      <c r="II34" s="788">
        <f t="shared" si="241"/>
        <v>5.1059999999999999</v>
      </c>
      <c r="IJ34" s="674" t="str" cm="1">
        <f t="array" ref="IJ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K34" s="677" t="str" cm="1">
        <f t="array" ref="IK34">IFERROR(ROUND(VALUE(IF($IJ34&lt;1,$IJ34+LARGE((IF($M$9:$M$150="",0,$M$9:$M$150)-MOD(IF($M$9:$M$150="",0,$M$9:$M$150),1)),1),$IJ34)),4),"")</f>
        <v/>
      </c>
      <c r="IL34" s="482">
        <f t="shared" si="79"/>
        <v>1313</v>
      </c>
      <c r="IM34" s="482" t="str">
        <f t="shared" si="242"/>
        <v/>
      </c>
      <c r="IN34" s="670" t="str">
        <f t="shared" si="81"/>
        <v/>
      </c>
      <c r="IO34" s="702"/>
      <c r="IP34" s="5" t="str">
        <f t="shared" si="82"/>
        <v/>
      </c>
      <c r="IQ34" s="714"/>
      <c r="IR34" s="9" t="str">
        <f t="shared" si="132"/>
        <v/>
      </c>
      <c r="IS34" s="5" t="str">
        <f t="shared" si="83"/>
        <v/>
      </c>
      <c r="IT34" s="5" t="str">
        <f t="shared" si="84"/>
        <v/>
      </c>
      <c r="IU34" s="5" t="str">
        <f t="shared" si="85"/>
        <v/>
      </c>
      <c r="IV34" s="670" t="str">
        <f t="shared" si="86"/>
        <v/>
      </c>
      <c r="IW34" s="9" t="str">
        <f t="shared" si="87"/>
        <v/>
      </c>
      <c r="IX34" s="5" t="str">
        <f t="shared" si="88"/>
        <v/>
      </c>
      <c r="IY34" s="5" t="str">
        <f t="shared" si="89"/>
        <v/>
      </c>
      <c r="IZ34" s="5" t="str">
        <f t="shared" si="90"/>
        <v/>
      </c>
      <c r="JA34" s="705" t="str">
        <f t="shared" si="91"/>
        <v/>
      </c>
      <c r="JI34" s="419"/>
      <c r="JM34" s="489">
        <f t="shared" si="133"/>
        <v>6</v>
      </c>
      <c r="JN34" s="960">
        <f>($JO34-SMALL($JO$9:$JO$88,1))/((Settings!$C$19/2)-((Settings!$C$19/2)-LARGE($JO$9:$JO$88,1))-SMALL($JO$9:$JO$88,1))</f>
        <v>0.27630336409426404</v>
      </c>
      <c r="JO34" s="162">
        <f t="shared" si="134"/>
        <v>1.2441934813379043</v>
      </c>
      <c r="JP34" s="961">
        <f t="shared" si="135"/>
        <v>18.154749035400513</v>
      </c>
      <c r="JQ34" s="961">
        <f t="shared" si="136"/>
        <v>15.253928641254697</v>
      </c>
      <c r="JS34" s="82">
        <v>26</v>
      </c>
      <c r="JT34" s="322">
        <f t="shared" si="137"/>
        <v>3.1907966212557821</v>
      </c>
      <c r="JU34" s="963">
        <f t="shared" si="138"/>
        <v>0.84448110030512535</v>
      </c>
      <c r="JV34" s="961">
        <f t="shared" si="287"/>
        <v>-36.730726939286235</v>
      </c>
      <c r="JW34" s="961">
        <f t="shared" si="92"/>
        <v>16.792436485975752</v>
      </c>
      <c r="JX34" s="1">
        <v>6.2329999999999997</v>
      </c>
      <c r="JY34" s="965">
        <f t="shared" si="139"/>
        <v>0.86729153485087029</v>
      </c>
      <c r="JZ34" s="973">
        <v>51.446699999999993</v>
      </c>
      <c r="KA34" s="410">
        <f t="shared" si="280"/>
        <v>-3.1404400000000052</v>
      </c>
      <c r="KB34" s="974">
        <f t="shared" si="243"/>
        <v>26</v>
      </c>
      <c r="KC34" s="968" cm="1">
        <f t="array" ref="KC34">(((INDEX($JV$9:$JV$53,MATCH(INDEX($JU$9:$JU$53,MATCH(TRUE,INDEX($JU$9:$JU$53&gt;$JY34,0),)),$JU$9:$JU$53,0))-INDEX($JV$9:$JV$53,MATCH(INDEX($JU$9:$JU$53,MATCH(TRUE,INDEX($JU$9:$JU$53&gt;$JY34,0),)-1),$JU$9:$JU$53,0)))*(($JY34-INDEX($JU$9:$JU$53,MATCH(TRUE,INDEX($JU$9:$JU$53&gt;$JY34,0),)-1))/(INDEX($JU$9:$JU$53,MATCH(TRUE,INDEX($JU$9:$JU$53&gt;$JY34,0),))-INDEX($JU$9:$JU$53,MATCH(TRUE,INDEX($JU$9:$JU$53&gt;$JY34,0),)-1))))+INDEX($JV$9:$JV$53,MATCH(INDEX($JU$9:$JU$53,MATCH(TRUE,INDEX($JU$9:$JU$53&gt;$JY34,0),)-1),$JU$9:$JU$53,0)))</f>
        <v>-40.115735958787234</v>
      </c>
      <c r="KD34" s="970">
        <v>-54.587139999999998</v>
      </c>
      <c r="KE34" s="968">
        <f t="shared" si="140"/>
        <v>-14.471404041212764</v>
      </c>
      <c r="KF34" s="968" cm="1">
        <f t="array" ref="KF34">(((INDEX($JW$9:$JW$53,MATCH(INDEX($JU$9:$JU$53,MATCH(TRUE,INDEX($JU$9:$JU$53&gt;$JY34,0),)),$JU$9:$JU$53,0))-INDEX($JW$9:$JW$53,MATCH(INDEX($JU$9:$JU$53,MATCH(TRUE,INDEX($JU$9:$JU$53&gt;$JY34,0),)-1),$JU$9:$JU$53,0)))*(($JY34-INDEX($JU$9:$JU$53,MATCH(TRUE,INDEX($JU$9:$JU$53&gt;$JY34,0),)-1))/(INDEX($JU$9:$JU$53,MATCH(TRUE,INDEX($JU$9:$JU$53&gt;$JY34,0),))-INDEX($JU$9:$JU$53,MATCH(TRUE,INDEX($JU$9:$JU$53&gt;$JY34,0),)-1))))+INDEX($JW$9:$JW$53,MATCH(INDEX($JU$9:$JU$53,MATCH(TRUE,INDEX($JU$9:$JU$53&gt;$JY34,0),)-1),$JU$9:$JU$53,0)))</f>
        <v>18.021990328793674</v>
      </c>
      <c r="KG34" s="966">
        <f t="shared" si="244"/>
        <v>-3.9363133333333309</v>
      </c>
      <c r="KH34" s="966">
        <f t="shared" si="141"/>
        <v>1.3199225494881688</v>
      </c>
      <c r="KJ34" s="31"/>
    </row>
    <row r="35" spans="1:296" ht="15" customHeight="1" x14ac:dyDescent="0.25">
      <c r="A35" s="75">
        <f t="shared" si="1"/>
        <v>0.02</v>
      </c>
      <c r="B35" s="578">
        <f t="shared" ref="B35:D35" si="310">IFERROR(O190+($A35*-E35),"")</f>
        <v>4.2718043820874609E-2</v>
      </c>
      <c r="C35" s="572">
        <f t="shared" si="310"/>
        <v>-1.938597878611078</v>
      </c>
      <c r="D35" s="576">
        <f t="shared" si="310"/>
        <v>-8.1673935782760346E-2</v>
      </c>
      <c r="E35" s="580">
        <f t="shared" ref="E35:K35" si="311">R190</f>
        <v>0.96516533526876802</v>
      </c>
      <c r="F35" s="572">
        <f t="shared" si="311"/>
        <v>3.9214991086598039E-2</v>
      </c>
      <c r="G35" s="579">
        <f t="shared" si="311"/>
        <v>0.25868525290322342</v>
      </c>
      <c r="H35" s="580">
        <f t="shared" si="311"/>
        <v>0.26450000000000001</v>
      </c>
      <c r="I35" s="572">
        <f t="shared" si="311"/>
        <v>0.52</v>
      </c>
      <c r="J35" s="483">
        <f t="shared" si="94"/>
        <v>5.1109999999999998</v>
      </c>
      <c r="K35" s="806">
        <f t="shared" si="311"/>
        <v>1313</v>
      </c>
      <c r="L35" s="309"/>
      <c r="M35" s="164">
        <f t="shared" si="4"/>
        <v>5.1109999999999998</v>
      </c>
      <c r="N35" s="575">
        <f t="shared" si="5"/>
        <v>4.2718043820874609E-2</v>
      </c>
      <c r="O35" s="572">
        <f t="shared" si="6"/>
        <v>-1.938597878611078</v>
      </c>
      <c r="P35" s="576">
        <f t="shared" si="7"/>
        <v>-8.1673935782760346E-2</v>
      </c>
      <c r="Q35" s="528">
        <f t="shared" si="144"/>
        <v>271.26233893685298</v>
      </c>
      <c r="R35" s="572">
        <f>IF(M35="","",SQRT(N35^2+O35^2))</f>
        <v>1.9390684789927493</v>
      </c>
      <c r="S35" s="577">
        <f>IF(M35="","",P35)</f>
        <v>-8.1673935782760346E-2</v>
      </c>
      <c r="T35" s="578">
        <f>IF(M35="","",X35*COS(RADIANS(W35)))</f>
        <v>-1.9364716342442538</v>
      </c>
      <c r="U35" s="572">
        <f>IF(M35="","",X35*SIN(RADIANS(W35)))</f>
        <v>-0.10032036677884772</v>
      </c>
      <c r="V35" s="579">
        <f>IF(M35="","",Y35)</f>
        <v>-8.1673935782760346E-2</v>
      </c>
      <c r="W35" s="528">
        <f t="shared" si="268"/>
        <v>182.96559970652797</v>
      </c>
      <c r="X35" s="572">
        <f>IF(M35="","",R35)</f>
        <v>1.9390684789927493</v>
      </c>
      <c r="Y35" s="573">
        <f t="shared" si="271"/>
        <v>-8.1673935782760346E-2</v>
      </c>
      <c r="Z35" s="575">
        <f t="shared" si="10"/>
        <v>-0.96516533526876802</v>
      </c>
      <c r="AA35" s="572">
        <f t="shared" si="11"/>
        <v>-3.9214991086598039E-2</v>
      </c>
      <c r="AB35" s="572">
        <f t="shared" si="12"/>
        <v>-0.25868525290322342</v>
      </c>
      <c r="AC35" s="579">
        <f>IF(M35="","",SQRT(Z35^2+AA35^2+AB35^2))</f>
        <v>1</v>
      </c>
      <c r="AD35" s="580">
        <f>IF(M35="","",Z35*(1/SQRT(Z35^2+AA35^2+AB35^2)))</f>
        <v>-0.96516533526876802</v>
      </c>
      <c r="AE35" s="572">
        <f>IF(M35="","",AA35*(1/SQRT(Z35^2+AA35^2+AB35^2)))</f>
        <v>-3.9214991086598039E-2</v>
      </c>
      <c r="AF35" s="576">
        <f>IF(M35="","",AB35*(1/SQRT(Z35^2+AA35^2+AB35^2)))</f>
        <v>-0.25868525290322342</v>
      </c>
      <c r="AG35" s="545">
        <f>IF(M35="","",DEGREES(ATAN2(-AF35,AE35)))</f>
        <v>-8.6200338746102663</v>
      </c>
      <c r="AH35" s="546">
        <f>IF(M35="","",DEGREES(ACOS(AD35)))</f>
        <v>164.83255999308818</v>
      </c>
      <c r="AI35" s="528">
        <f>IF(M35="","",DEGREES(-ACOS(-AF35)))</f>
        <v>-75.007935998727007</v>
      </c>
      <c r="AJ35" s="529">
        <f>IF(M35="","",DEGREES(ATAN2(-AE35,AD35)))</f>
        <v>-87.673333016236711</v>
      </c>
      <c r="AK35" s="578">
        <f>IF(M35="","",(COS(RADIANS((90-$Q$8)-W35))*AD35)+(-SIN(RADIANS((90-$Q$8)-W35))*AE35))</f>
        <v>0.96579500902487669</v>
      </c>
      <c r="AL35" s="572">
        <f>IF(M35="","",(SIN(RADIANS((90-$Q$8)-W35))*AD35)+(COS(RADIANS((90-$Q$8)-W35))*AE35))</f>
        <v>1.7942699714197079E-2</v>
      </c>
      <c r="AM35" s="577">
        <f>IF(M35="","",AF35)</f>
        <v>-0.25868525290322342</v>
      </c>
      <c r="AN35" s="524">
        <f>IF(M35="","",DEGREES(ATAN2(-AM35,AL35)))</f>
        <v>3.9677448736760552</v>
      </c>
      <c r="AO35" s="525">
        <f t="shared" si="110"/>
        <v>15.028932266101178</v>
      </c>
      <c r="AP35" s="528">
        <f>IF(M35="","",DEGREES(ATAN2(AK35,AL35)))</f>
        <v>1.0643280469103089</v>
      </c>
      <c r="AQ35" s="529">
        <f t="shared" si="13"/>
        <v>1.4105325822036798</v>
      </c>
      <c r="AR35" s="979"/>
      <c r="AS35" s="954">
        <f t="shared" si="147"/>
        <v>182.96559970652797</v>
      </c>
      <c r="AT35" s="950">
        <f t="shared" si="14"/>
        <v>6.4256499457043689E-2</v>
      </c>
      <c r="AU35" s="418"/>
      <c r="AV35" s="164" t="str">
        <f t="shared" si="15"/>
        <v/>
      </c>
      <c r="AW35" s="829" t="str">
        <f>IFERROR(INDEX(MassProp!C$9:C$150,MATCH($M35,MassProp!$B$9:$B$150,0)),"")</f>
        <v/>
      </c>
      <c r="AX35" s="830" t="str">
        <f>IFERROR(INDEX(MassProp!D$9:D$150,MATCH($M35,MassProp!$B$9:$B$150,0)),"")</f>
        <v/>
      </c>
      <c r="AY35" s="831" t="str">
        <f>IFERROR(INDEX(MassProp!E$9:E$150,MATCH($M35,MassProp!$B$9:$B$150,0)),"")</f>
        <v/>
      </c>
      <c r="AZ35" s="297" t="str">
        <f t="shared" si="148"/>
        <v/>
      </c>
      <c r="BA35" s="296" t="str">
        <f t="shared" si="16"/>
        <v/>
      </c>
      <c r="BB35" s="190" t="str">
        <f t="shared" si="149"/>
        <v/>
      </c>
      <c r="BC35" s="9"/>
      <c r="BD35" s="5" t="str">
        <f t="shared" si="150"/>
        <v/>
      </c>
      <c r="BE35" s="6" t="str">
        <f t="shared" si="17"/>
        <v/>
      </c>
      <c r="BF35" s="4" t="str">
        <f t="shared" si="18"/>
        <v/>
      </c>
      <c r="BG35" s="5" t="str">
        <f t="shared" si="19"/>
        <v/>
      </c>
      <c r="BH35" s="10" t="str">
        <f t="shared" si="20"/>
        <v/>
      </c>
      <c r="BI35" s="9" t="str">
        <f t="shared" si="151"/>
        <v/>
      </c>
      <c r="BJ35" s="5" t="str">
        <f t="shared" si="21"/>
        <v/>
      </c>
      <c r="BK35" s="8" t="str">
        <f t="shared" si="22"/>
        <v/>
      </c>
      <c r="BL35" s="173" t="str">
        <f t="shared" si="23"/>
        <v/>
      </c>
      <c r="BM35" s="5" t="str">
        <f t="shared" si="24"/>
        <v/>
      </c>
      <c r="BN35" s="6" t="str">
        <f t="shared" si="25"/>
        <v/>
      </c>
      <c r="BO35" s="4" t="str">
        <f t="shared" si="152"/>
        <v/>
      </c>
      <c r="BP35" s="5" t="str">
        <f t="shared" si="153"/>
        <v/>
      </c>
      <c r="BQ35" s="5" t="str">
        <f t="shared" si="154"/>
        <v/>
      </c>
      <c r="BR35" s="6" t="str">
        <f t="shared" si="155"/>
        <v/>
      </c>
      <c r="BS35" s="4" t="str">
        <f t="shared" si="112"/>
        <v/>
      </c>
      <c r="BT35" s="5" t="str">
        <f t="shared" si="112"/>
        <v/>
      </c>
      <c r="BU35" s="10" t="str">
        <f t="shared" si="113"/>
        <v/>
      </c>
      <c r="BV35" s="9" t="str">
        <f t="shared" si="114"/>
        <v/>
      </c>
      <c r="BW35" s="5" t="str">
        <f t="shared" si="115"/>
        <v/>
      </c>
      <c r="BX35" s="8" t="str">
        <f t="shared" si="116"/>
        <v/>
      </c>
      <c r="BY35" s="173" t="str">
        <f t="shared" si="117"/>
        <v/>
      </c>
      <c r="BZ35" s="5" t="str">
        <f t="shared" si="118"/>
        <v/>
      </c>
      <c r="CA35" s="6" t="str">
        <f t="shared" si="119"/>
        <v/>
      </c>
      <c r="CB35" s="4" t="str">
        <f t="shared" si="156"/>
        <v/>
      </c>
      <c r="CC35" s="5" t="str">
        <f t="shared" si="157"/>
        <v/>
      </c>
      <c r="CD35" s="5" t="str">
        <f t="shared" si="158"/>
        <v/>
      </c>
      <c r="CE35" s="6" t="str">
        <f t="shared" si="159"/>
        <v/>
      </c>
      <c r="CF35" s="4" t="str">
        <f t="shared" si="160"/>
        <v/>
      </c>
      <c r="CG35" s="5" t="str">
        <f t="shared" si="161"/>
        <v/>
      </c>
      <c r="CH35" s="5" t="str">
        <f t="shared" si="162"/>
        <v/>
      </c>
      <c r="CI35" s="4" t="str">
        <f t="shared" si="120"/>
        <v/>
      </c>
      <c r="CJ35" s="5" t="str">
        <f t="shared" si="121"/>
        <v/>
      </c>
      <c r="CK35" s="8" t="str">
        <f t="shared" si="122"/>
        <v/>
      </c>
      <c r="CL35" s="173" t="str">
        <f t="shared" si="123"/>
        <v/>
      </c>
      <c r="CM35" s="5" t="str">
        <f t="shared" si="124"/>
        <v/>
      </c>
      <c r="CN35" s="6" t="str">
        <f t="shared" si="125"/>
        <v/>
      </c>
      <c r="CO35" s="167" t="str">
        <f t="shared" si="26"/>
        <v/>
      </c>
      <c r="CP35" s="4" t="str">
        <f t="shared" si="248"/>
        <v/>
      </c>
      <c r="CQ35" s="5" t="str">
        <f t="shared" si="249"/>
        <v/>
      </c>
      <c r="CR35" s="5" t="str">
        <f t="shared" si="163"/>
        <v/>
      </c>
      <c r="CS35" s="8" t="str">
        <f t="shared" si="164"/>
        <v/>
      </c>
      <c r="CT35" s="9" t="str">
        <f t="shared" si="165"/>
        <v/>
      </c>
      <c r="CU35" s="6" t="str">
        <f t="shared" si="166"/>
        <v/>
      </c>
      <c r="CV35" s="4" t="str">
        <f t="shared" si="250"/>
        <v/>
      </c>
      <c r="CW35" s="5" t="str">
        <f t="shared" si="167"/>
        <v/>
      </c>
      <c r="CX35" s="8" t="str">
        <f t="shared" si="168"/>
        <v/>
      </c>
      <c r="CY35" s="9" t="str">
        <f t="shared" si="169"/>
        <v/>
      </c>
      <c r="CZ35" s="5" t="str">
        <f t="shared" si="170"/>
        <v/>
      </c>
      <c r="DA35" s="6" t="str">
        <f t="shared" si="171"/>
        <v/>
      </c>
      <c r="DB35" s="4" t="str">
        <f t="shared" si="172"/>
        <v/>
      </c>
      <c r="DC35" s="5" t="str">
        <f t="shared" si="172"/>
        <v/>
      </c>
      <c r="DD35" s="10" t="str">
        <f t="shared" si="173"/>
        <v/>
      </c>
      <c r="DE35" s="9" t="str">
        <f t="shared" si="174"/>
        <v/>
      </c>
      <c r="DF35" s="5" t="str">
        <f t="shared" si="174"/>
        <v/>
      </c>
      <c r="DG35" s="10" t="str">
        <f t="shared" si="175"/>
        <v/>
      </c>
      <c r="DH35" s="70" t="str">
        <f t="shared" si="176"/>
        <v/>
      </c>
      <c r="DI35" s="4" t="str">
        <f t="shared" si="177"/>
        <v/>
      </c>
      <c r="DJ35" s="5" t="str">
        <f t="shared" si="178"/>
        <v/>
      </c>
      <c r="DK35" s="10" t="str">
        <f t="shared" si="179"/>
        <v/>
      </c>
      <c r="DL35" s="9" t="str">
        <f t="shared" si="180"/>
        <v/>
      </c>
      <c r="DM35" s="173" t="str">
        <f t="shared" si="181"/>
        <v/>
      </c>
      <c r="DN35" s="178" t="str">
        <f t="shared" si="182"/>
        <v/>
      </c>
      <c r="DO35" s="9" t="str">
        <f t="shared" si="183"/>
        <v/>
      </c>
      <c r="DP35" s="173" t="str">
        <f t="shared" si="184"/>
        <v/>
      </c>
      <c r="DQ35" s="11" t="str">
        <f t="shared" si="185"/>
        <v/>
      </c>
      <c r="DR35" s="173" t="str">
        <f t="shared" si="186"/>
        <v/>
      </c>
      <c r="DS35" s="5" t="str">
        <f t="shared" si="187"/>
        <v/>
      </c>
      <c r="DT35" s="5" t="str">
        <f t="shared" si="188"/>
        <v/>
      </c>
      <c r="DU35" s="5" t="str">
        <f t="shared" si="189"/>
        <v/>
      </c>
      <c r="DV35" s="5" t="str">
        <f t="shared" si="190"/>
        <v/>
      </c>
      <c r="DW35" s="5" t="str">
        <f t="shared" si="191"/>
        <v/>
      </c>
      <c r="DX35" s="167" t="str">
        <f t="shared" si="192"/>
        <v/>
      </c>
      <c r="DY35" s="9" t="str">
        <f t="shared" si="193"/>
        <v/>
      </c>
      <c r="DZ35" s="5" t="str">
        <f t="shared" si="194"/>
        <v/>
      </c>
      <c r="EA35" s="10" t="str">
        <f t="shared" si="195"/>
        <v/>
      </c>
      <c r="EB35" s="6" t="str">
        <f t="shared" si="196"/>
        <v/>
      </c>
      <c r="EC35" s="173" t="str">
        <f t="shared" si="197"/>
        <v/>
      </c>
      <c r="ED35" s="5" t="str">
        <f t="shared" si="198"/>
        <v/>
      </c>
      <c r="EE35" s="4" t="str">
        <f t="shared" si="199"/>
        <v/>
      </c>
      <c r="EF35" s="5" t="str">
        <f t="shared" si="200"/>
        <v/>
      </c>
      <c r="EG35" s="10" t="str">
        <f t="shared" si="201"/>
        <v/>
      </c>
      <c r="EH35" s="9" t="str">
        <f t="shared" si="202"/>
        <v/>
      </c>
      <c r="EI35" s="5" t="str">
        <f t="shared" si="203"/>
        <v/>
      </c>
      <c r="EJ35" s="6" t="str">
        <f t="shared" si="204"/>
        <v/>
      </c>
      <c r="EK35" s="236" t="str">
        <f t="shared" si="205"/>
        <v/>
      </c>
      <c r="EL35" s="238" t="str">
        <f t="shared" si="206"/>
        <v/>
      </c>
      <c r="EM35" s="4" t="str">
        <f t="shared" si="207"/>
        <v/>
      </c>
      <c r="EN35" s="5" t="str">
        <f t="shared" si="208"/>
        <v/>
      </c>
      <c r="EO35" s="10" t="str">
        <f t="shared" si="209"/>
        <v/>
      </c>
      <c r="EP35" s="9" t="str">
        <f t="shared" si="210"/>
        <v/>
      </c>
      <c r="EQ35" s="5" t="str">
        <f t="shared" si="211"/>
        <v/>
      </c>
      <c r="ER35" s="7" t="str">
        <f t="shared" si="212"/>
        <v/>
      </c>
      <c r="ES35" s="21" t="str">
        <f t="shared" si="126"/>
        <v/>
      </c>
      <c r="ET35" s="5" t="str">
        <f t="shared" si="35"/>
        <v/>
      </c>
      <c r="EU35" s="10" t="str">
        <f t="shared" si="36"/>
        <v/>
      </c>
      <c r="EV35" s="174" t="str">
        <f t="shared" si="264"/>
        <v/>
      </c>
      <c r="EW35" s="9" t="str">
        <f t="shared" si="127"/>
        <v/>
      </c>
      <c r="EX35" s="5" t="str">
        <f t="shared" si="37"/>
        <v/>
      </c>
      <c r="EY35" s="6" t="str">
        <f t="shared" si="213"/>
        <v/>
      </c>
      <c r="EZ35" s="51" t="str">
        <f t="shared" si="214"/>
        <v/>
      </c>
      <c r="FA35" s="266" t="str">
        <f t="shared" si="128"/>
        <v/>
      </c>
      <c r="FB35" s="267" t="str">
        <f t="shared" si="129"/>
        <v/>
      </c>
      <c r="FC35" s="269" t="str">
        <f t="shared" si="38"/>
        <v/>
      </c>
      <c r="FD35" s="4" t="str">
        <f t="shared" si="130"/>
        <v/>
      </c>
      <c r="FE35" s="5" t="str">
        <f t="shared" si="39"/>
        <v/>
      </c>
      <c r="FF35" s="7" t="str">
        <f t="shared" si="215"/>
        <v/>
      </c>
      <c r="FG35" s="173" t="str">
        <f t="shared" si="216"/>
        <v/>
      </c>
      <c r="FH35" s="5" t="str">
        <f t="shared" si="40"/>
        <v/>
      </c>
      <c r="FI35" s="10" t="str">
        <f t="shared" si="41"/>
        <v/>
      </c>
      <c r="FJ35" s="279" t="str">
        <f t="shared" si="217"/>
        <v/>
      </c>
      <c r="FK35" s="4" t="str">
        <f t="shared" si="42"/>
        <v/>
      </c>
      <c r="FL35" s="5" t="str">
        <f t="shared" si="218"/>
        <v/>
      </c>
      <c r="FM35" s="8" t="str">
        <f t="shared" si="219"/>
        <v/>
      </c>
      <c r="FN35" s="9" t="str">
        <f t="shared" si="220"/>
        <v/>
      </c>
      <c r="FO35" s="10" t="str">
        <f t="shared" si="43"/>
        <v/>
      </c>
      <c r="FP35" s="277" t="str">
        <f t="shared" si="44"/>
        <v/>
      </c>
      <c r="FQ35" s="173" t="str">
        <f t="shared" si="251"/>
        <v/>
      </c>
      <c r="FR35" s="10" t="str">
        <f t="shared" si="221"/>
        <v/>
      </c>
      <c r="FS35" s="9" t="str">
        <f t="shared" si="222"/>
        <v/>
      </c>
      <c r="FT35" s="6" t="str">
        <f t="shared" si="223"/>
        <v/>
      </c>
      <c r="FU35" s="4" t="str">
        <f t="shared" si="224"/>
        <v/>
      </c>
      <c r="FV35" s="5" t="str">
        <f t="shared" si="225"/>
        <v/>
      </c>
      <c r="FW35" s="8" t="str">
        <f t="shared" si="252"/>
        <v/>
      </c>
      <c r="FX35" s="9" t="str">
        <f t="shared" si="253"/>
        <v/>
      </c>
      <c r="FY35" s="10" t="str">
        <f t="shared" si="45"/>
        <v/>
      </c>
      <c r="FZ35" s="277" t="str">
        <f t="shared" si="254"/>
        <v/>
      </c>
      <c r="GA35" s="177" t="str">
        <f t="shared" si="226"/>
        <v/>
      </c>
      <c r="GB35" s="4" t="str">
        <f t="shared" si="227"/>
        <v/>
      </c>
      <c r="GC35" s="5" t="str">
        <f t="shared" si="228"/>
        <v/>
      </c>
      <c r="GD35" s="10" t="str">
        <f t="shared" si="229"/>
        <v/>
      </c>
      <c r="GE35" s="311" t="str">
        <f t="shared" si="230"/>
        <v/>
      </c>
      <c r="GF35" s="341" t="str">
        <f t="shared" si="255"/>
        <v/>
      </c>
      <c r="GG35" s="285" t="str">
        <f t="shared" si="46"/>
        <v/>
      </c>
      <c r="GH35" s="286" t="str">
        <f t="shared" si="47"/>
        <v/>
      </c>
      <c r="GI35" s="281" t="str">
        <f t="shared" si="48"/>
        <v/>
      </c>
      <c r="GJ35" s="167" t="str">
        <f t="shared" si="231"/>
        <v/>
      </c>
      <c r="GK35" s="174" t="str">
        <f t="shared" si="49"/>
        <v/>
      </c>
      <c r="GL35" s="174" t="str">
        <f t="shared" si="232"/>
        <v/>
      </c>
      <c r="GM35" s="177" t="str">
        <f t="shared" si="256"/>
        <v/>
      </c>
      <c r="GN35" s="280" t="str">
        <f t="shared" si="233"/>
        <v/>
      </c>
      <c r="GO35" s="4" t="str">
        <f t="shared" si="234"/>
        <v/>
      </c>
      <c r="GP35" s="8" t="str">
        <f t="shared" si="257"/>
        <v/>
      </c>
      <c r="GQ35" s="177" t="str">
        <f t="shared" si="235"/>
        <v/>
      </c>
      <c r="GR35" s="371" t="str">
        <f t="shared" si="258"/>
        <v/>
      </c>
      <c r="GS35" s="342" t="str">
        <f t="shared" si="51"/>
        <v/>
      </c>
      <c r="GT35" s="343" t="str">
        <f t="shared" si="52"/>
        <v/>
      </c>
      <c r="GU35" s="344" t="str">
        <f t="shared" si="53"/>
        <v/>
      </c>
      <c r="GV35" s="343" t="str">
        <f t="shared" si="265"/>
        <v/>
      </c>
      <c r="GW35" s="345" t="str">
        <f t="shared" si="54"/>
        <v/>
      </c>
      <c r="GX35" s="346" t="str">
        <f t="shared" si="55"/>
        <v/>
      </c>
      <c r="GY35" s="344" t="str">
        <f t="shared" si="56"/>
        <v/>
      </c>
      <c r="GZ35" s="345" t="str">
        <f t="shared" si="57"/>
        <v/>
      </c>
      <c r="HA35" s="342" t="str">
        <f t="shared" si="58"/>
        <v/>
      </c>
      <c r="HB35" s="5" t="str">
        <f t="shared" si="236"/>
        <v/>
      </c>
      <c r="HC35" s="343" t="str">
        <f t="shared" si="237"/>
        <v/>
      </c>
      <c r="HD35" s="363" t="str">
        <f t="shared" si="238"/>
        <v/>
      </c>
      <c r="HE35" s="344" t="str">
        <f t="shared" si="59"/>
        <v/>
      </c>
      <c r="HF35" s="5" t="str">
        <f t="shared" si="60"/>
        <v/>
      </c>
      <c r="HG35" s="343" t="str">
        <f t="shared" si="239"/>
        <v/>
      </c>
      <c r="HH35" s="349" t="str">
        <f t="shared" si="240"/>
        <v/>
      </c>
      <c r="HI35" s="317" t="str">
        <f t="shared" si="61"/>
        <v/>
      </c>
      <c r="HJ35" s="336"/>
      <c r="HK35" s="310" t="str">
        <f t="shared" si="131"/>
        <v/>
      </c>
      <c r="HL35" s="348" t="str">
        <f t="shared" si="62"/>
        <v/>
      </c>
      <c r="HM35" s="923" t="str">
        <f t="shared" si="63"/>
        <v/>
      </c>
      <c r="HN35" s="924" t="str">
        <f t="shared" si="64"/>
        <v/>
      </c>
      <c r="HO35" s="925"/>
      <c r="HP35" s="926"/>
      <c r="HQ35" s="924" t="str">
        <f t="shared" si="65"/>
        <v/>
      </c>
      <c r="HR35" s="927" t="str">
        <f t="shared" si="66"/>
        <v/>
      </c>
      <c r="HS35" s="879" t="str">
        <f t="shared" si="261"/>
        <v/>
      </c>
      <c r="HT35" s="889" t="str">
        <f t="shared" si="67"/>
        <v/>
      </c>
      <c r="HU35" s="890" t="str">
        <f t="shared" si="68"/>
        <v/>
      </c>
      <c r="HV35" s="886" t="str">
        <f t="shared" si="69"/>
        <v/>
      </c>
      <c r="HW35" s="880" t="str">
        <f t="shared" si="70"/>
        <v/>
      </c>
      <c r="HX35" s="881" t="str">
        <f t="shared" si="71"/>
        <v/>
      </c>
      <c r="HY35" s="880" t="str">
        <f t="shared" si="72"/>
        <v/>
      </c>
      <c r="HZ35" s="882" t="str">
        <f t="shared" si="73"/>
        <v/>
      </c>
      <c r="IA35" s="883" t="str">
        <f t="shared" si="74"/>
        <v/>
      </c>
      <c r="IB35" s="884" t="str">
        <f t="shared" si="75"/>
        <v/>
      </c>
      <c r="IC35" s="855" t="str">
        <f t="shared" si="76"/>
        <v/>
      </c>
      <c r="ID35" s="351" t="str">
        <f t="shared" si="77"/>
        <v/>
      </c>
      <c r="IE35" s="857" t="str">
        <f t="shared" si="78"/>
        <v/>
      </c>
      <c r="IF35" s="858"/>
      <c r="IG35" s="790" t="str">
        <f>IFERROR(IF($IW35="","",IF($IW35&lt;(((Settings!$C$19/2)*-1)*$IG$8),"Taper","Nose")),"")</f>
        <v/>
      </c>
      <c r="IH35" s="482" t="str">
        <f>IFERROR(IF((((($IY35*COS(RADIANS(180-$JA35)))*COS(RADIANS($JA35)))-(($IZ35*SIN(RADIANS(180-$JA35)))*SIN(RADIANS($JA35))))+$IW35)&lt;(((Settings!$C$19+$IH$8)/2)*-1),"Gage",""),"")</f>
        <v/>
      </c>
      <c r="II35" s="788">
        <f t="shared" si="241"/>
        <v>5.1109999999999998</v>
      </c>
      <c r="IJ35" s="674" t="str" cm="1">
        <f t="array" ref="IJ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K35" s="677" t="str" cm="1">
        <f t="array" ref="IK35">IFERROR(ROUND(VALUE(IF($IJ35&lt;1,$IJ35+LARGE((IF($M$9:$M$150="",0,$M$9:$M$150)-MOD(IF($M$9:$M$150="",0,$M$9:$M$150),1)),1),$IJ35)),4),"")</f>
        <v/>
      </c>
      <c r="IL35" s="482">
        <f t="shared" si="79"/>
        <v>1313</v>
      </c>
      <c r="IM35" s="482" t="str">
        <f t="shared" si="242"/>
        <v/>
      </c>
      <c r="IN35" s="670" t="str">
        <f t="shared" si="81"/>
        <v/>
      </c>
      <c r="IO35" s="702"/>
      <c r="IP35" s="5" t="str">
        <f t="shared" si="82"/>
        <v/>
      </c>
      <c r="IQ35" s="714"/>
      <c r="IR35" s="9" t="str">
        <f t="shared" si="132"/>
        <v/>
      </c>
      <c r="IS35" s="5" t="str">
        <f t="shared" si="83"/>
        <v/>
      </c>
      <c r="IT35" s="5" t="str">
        <f t="shared" si="84"/>
        <v/>
      </c>
      <c r="IU35" s="5" t="str">
        <f t="shared" si="85"/>
        <v/>
      </c>
      <c r="IV35" s="670" t="str">
        <f t="shared" si="86"/>
        <v/>
      </c>
      <c r="IW35" s="9" t="str">
        <f t="shared" si="87"/>
        <v/>
      </c>
      <c r="IX35" s="5" t="str">
        <f t="shared" si="88"/>
        <v/>
      </c>
      <c r="IY35" s="5" t="str">
        <f t="shared" si="89"/>
        <v/>
      </c>
      <c r="IZ35" s="5" t="str">
        <f t="shared" si="90"/>
        <v/>
      </c>
      <c r="JA35" s="705" t="str">
        <f t="shared" si="91"/>
        <v/>
      </c>
      <c r="JM35" s="489">
        <f t="shared" si="133"/>
        <v>11</v>
      </c>
      <c r="JN35" s="960">
        <f>($JO35-SMALL($JO$9:$JO$88,1))/((Settings!$C$19/2)-((Settings!$C$19/2)-LARGE($JO$9:$JO$88,1))-SMALL($JO$9:$JO$88,1))</f>
        <v>0.47912462489512431</v>
      </c>
      <c r="JO35" s="162">
        <f t="shared" si="134"/>
        <v>1.9390684789927493</v>
      </c>
      <c r="JP35" s="961">
        <f t="shared" si="135"/>
        <v>3.9677448736760552</v>
      </c>
      <c r="JQ35" s="961">
        <f t="shared" si="136"/>
        <v>15.028932266101178</v>
      </c>
      <c r="JS35" s="82">
        <v>27</v>
      </c>
      <c r="JT35" s="322">
        <f t="shared" si="137"/>
        <v>3.2545710641027155</v>
      </c>
      <c r="JU35" s="963">
        <f t="shared" si="138"/>
        <v>0.8630956899057608</v>
      </c>
      <c r="JV35" s="961">
        <f t="shared" si="287"/>
        <v>-39.467026468651831</v>
      </c>
      <c r="JW35" s="961">
        <f t="shared" si="92"/>
        <v>17.785350428911968</v>
      </c>
      <c r="JX35" s="1">
        <v>6.3849</v>
      </c>
      <c r="JY35" s="965">
        <f t="shared" si="139"/>
        <v>0.88964258913200223</v>
      </c>
      <c r="JZ35" s="973">
        <v>55.988699999999994</v>
      </c>
      <c r="KA35" s="410">
        <f t="shared" si="280"/>
        <v>-2.5348400000000026</v>
      </c>
      <c r="KB35" s="977">
        <f t="shared" si="243"/>
        <v>27</v>
      </c>
      <c r="KC35" s="968" cm="1">
        <f t="array" ref="KC35">(((INDEX($JV$9:$JV$53,MATCH(INDEX($JU$9:$JU$53,MATCH(TRUE,INDEX($JU$9:$JU$53&gt;$JY35,0),)),$JU$9:$JU$53,0))-INDEX($JV$9:$JV$53,MATCH(INDEX($JU$9:$JU$53,MATCH(TRUE,INDEX($JU$9:$JU$53&gt;$JY35,0),)-1),$JU$9:$JU$53,0)))*(($JY35-INDEX($JU$9:$JU$53,MATCH(TRUE,INDEX($JU$9:$JU$53&gt;$JY35,0),)-1))/(INDEX($JU$9:$JU$53,MATCH(TRUE,INDEX($JU$9:$JU$53&gt;$JY35,0),))-INDEX($JU$9:$JU$53,MATCH(TRUE,INDEX($JU$9:$JU$53&gt;$JY35,0),)-1))))+INDEX($JV$9:$JV$53,MATCH(INDEX($JU$9:$JU$53,MATCH(TRUE,INDEX($JU$9:$JU$53&gt;$JY35,0),)-1),$JU$9:$JU$53,0)))</f>
        <v>-43.648452012573458</v>
      </c>
      <c r="KD35" s="970">
        <v>-58.523539999999997</v>
      </c>
      <c r="KE35" s="968">
        <f t="shared" si="140"/>
        <v>-14.875087987426539</v>
      </c>
      <c r="KF35" s="968" cm="1">
        <f t="array" ref="KF35">(((INDEX($JW$9:$JW$53,MATCH(INDEX($JU$9:$JU$53,MATCH(TRUE,INDEX($JU$9:$JU$53&gt;$JY35,0),)),$JU$9:$JU$53,0))-INDEX($JW$9:$JW$53,MATCH(INDEX($JU$9:$JU$53,MATCH(TRUE,INDEX($JU$9:$JU$53&gt;$JY35,0),)-1),$JU$9:$JU$53,0)))*(($JY35-INDEX($JU$9:$JU$53,MATCH(TRUE,INDEX($JU$9:$JU$53&gt;$JY35,0),)-1))/(INDEX($JU$9:$JU$53,MATCH(TRUE,INDEX($JU$9:$JU$53&gt;$JY35,0),))-INDEX($JU$9:$JU$53,MATCH(TRUE,INDEX($JU$9:$JU$53&gt;$JY35,0),)-1))))+INDEX($JW$9:$JW$53,MATCH(INDEX($JU$9:$JU$53,MATCH(TRUE,INDEX($JU$9:$JU$53&gt;$JY35,0),)-1),$JU$9:$JU$53,0)))</f>
        <v>19.313095419957275</v>
      </c>
      <c r="KG35" s="966">
        <f t="shared" si="244"/>
        <v>-3.936399999999999</v>
      </c>
      <c r="KH35" s="966">
        <f t="shared" si="141"/>
        <v>1.2911050911636011</v>
      </c>
      <c r="KJ35" s="31"/>
    </row>
    <row r="36" spans="1:296" ht="15" customHeight="1" x14ac:dyDescent="0.25">
      <c r="A36" s="75">
        <f t="shared" si="1"/>
        <v>0.02</v>
      </c>
      <c r="B36" s="578">
        <f t="shared" ref="B36:D36" si="312">IFERROR(O191+($A36*-E36),"")</f>
        <v>3.1632936976041429E-2</v>
      </c>
      <c r="C36" s="572">
        <f t="shared" si="312"/>
        <v>-2.5884096043584046</v>
      </c>
      <c r="D36" s="576">
        <f t="shared" si="312"/>
        <v>-0.11276151020381793</v>
      </c>
      <c r="E36" s="580">
        <f t="shared" ref="E36:K36" si="313">R191</f>
        <v>0.96719225662015762</v>
      </c>
      <c r="F36" s="572">
        <f t="shared" si="313"/>
        <v>-5.4824677725050494E-2</v>
      </c>
      <c r="G36" s="579">
        <f t="shared" si="313"/>
        <v>0.24805925390186856</v>
      </c>
      <c r="H36" s="580">
        <f t="shared" si="313"/>
        <v>0.26450000000000001</v>
      </c>
      <c r="I36" s="572">
        <f t="shared" si="313"/>
        <v>0.52</v>
      </c>
      <c r="J36" s="483">
        <f t="shared" si="94"/>
        <v>5.1180000000000003</v>
      </c>
      <c r="K36" s="806">
        <f t="shared" si="313"/>
        <v>1313</v>
      </c>
      <c r="L36" s="309"/>
      <c r="M36" s="164">
        <f t="shared" si="4"/>
        <v>5.1180000000000003</v>
      </c>
      <c r="N36" s="575">
        <f t="shared" si="5"/>
        <v>3.1632936976041429E-2</v>
      </c>
      <c r="O36" s="572">
        <f t="shared" si="6"/>
        <v>-2.5884096043584046</v>
      </c>
      <c r="P36" s="576">
        <f t="shared" si="7"/>
        <v>-0.11276151020381793</v>
      </c>
      <c r="Q36" s="528">
        <f t="shared" si="144"/>
        <v>270.70017649322119</v>
      </c>
      <c r="R36" s="572">
        <f>IF(M36="","",SQRT(N36^2+O36^2))</f>
        <v>2.5886028901004812</v>
      </c>
      <c r="S36" s="577">
        <f>IF(M36="","",P36)</f>
        <v>-0.11276151020381793</v>
      </c>
      <c r="T36" s="578">
        <f>IF(M36="","",X36*COS(RADIANS(W36)))</f>
        <v>-2.5863257378543527</v>
      </c>
      <c r="U36" s="572">
        <f>IF(M36="","",X36*SIN(RADIANS(W36)))</f>
        <v>-0.10855459616572331</v>
      </c>
      <c r="V36" s="579">
        <f>IF(M36="","",Y36)</f>
        <v>-0.11276151020381793</v>
      </c>
      <c r="W36" s="528">
        <f t="shared" si="268"/>
        <v>182.40343726289618</v>
      </c>
      <c r="X36" s="572">
        <f>IF(M36="","",R36)</f>
        <v>2.5886028901004812</v>
      </c>
      <c r="Y36" s="573">
        <f t="shared" si="271"/>
        <v>-0.11276151020381793</v>
      </c>
      <c r="Z36" s="575">
        <f t="shared" si="10"/>
        <v>-0.96719225662015762</v>
      </c>
      <c r="AA36" s="572">
        <f t="shared" si="11"/>
        <v>5.4824677725050494E-2</v>
      </c>
      <c r="AB36" s="572">
        <f t="shared" si="12"/>
        <v>-0.24805925390186856</v>
      </c>
      <c r="AC36" s="579">
        <f>IF(M36="","",SQRT(Z36^2+AA36^2+AB36^2))</f>
        <v>1</v>
      </c>
      <c r="AD36" s="580">
        <f>IF(M36="","",Z36*(1/SQRT(Z36^2+AA36^2+AB36^2)))</f>
        <v>-0.96719225662015762</v>
      </c>
      <c r="AE36" s="572">
        <f>IF(M36="","",AA36*(1/SQRT(Z36^2+AA36^2+AB36^2)))</f>
        <v>5.4824677725050494E-2</v>
      </c>
      <c r="AF36" s="576">
        <f>IF(M36="","",AB36*(1/SQRT(Z36^2+AA36^2+AB36^2)))</f>
        <v>-0.24805925390186856</v>
      </c>
      <c r="AG36" s="545">
        <f>IF(M36="","",DEGREES(ATAN2(-AF36,AE36)))</f>
        <v>12.462846693446874</v>
      </c>
      <c r="AH36" s="546">
        <f>IF(M36="","",DEGREES(ACOS(AD36)))</f>
        <v>165.28296344490585</v>
      </c>
      <c r="AI36" s="528">
        <f>IF(M36="","",DEGREES(-ACOS(-AF36)))</f>
        <v>-75.637301502577429</v>
      </c>
      <c r="AJ36" s="529">
        <f>IF(M36="","",DEGREES(ATAN2(-AE36,AD36)))</f>
        <v>-93.244303006451446</v>
      </c>
      <c r="AK36" s="578">
        <f>IF(M36="","",(COS(RADIANS((90-$Q$8)-W36))*AD36)+(-SIN(RADIANS((90-$Q$8)-W36))*AE36))</f>
        <v>0.96645007632838453</v>
      </c>
      <c r="AL36" s="572">
        <f>IF(M36="","",(SIN(RADIANS((90-$Q$8)-W36))*AD36)+(COS(RADIANS((90-$Q$8)-W36))*AE36))</f>
        <v>-6.6639751789066615E-2</v>
      </c>
      <c r="AM36" s="577">
        <f>IF(M36="","",AF36)</f>
        <v>-0.24805925390186856</v>
      </c>
      <c r="AN36" s="524">
        <f>IF(M36="","",DEGREES(ATAN2(-AM36,AL36)))</f>
        <v>-15.037162544463204</v>
      </c>
      <c r="AO36" s="525">
        <f t="shared" si="110"/>
        <v>14.883502643063663</v>
      </c>
      <c r="AP36" s="528">
        <f>IF(M36="","",DEGREES(ATAN2(AK36,AL36)))</f>
        <v>-3.9444794996726391</v>
      </c>
      <c r="AQ36" s="529">
        <f t="shared" si="13"/>
        <v>1.0566942478293702</v>
      </c>
      <c r="AR36" s="979"/>
      <c r="AS36" s="954">
        <f t="shared" si="147"/>
        <v>182.40343726289618</v>
      </c>
      <c r="AT36" s="950">
        <f t="shared" si="14"/>
        <v>3.3637393739012603E-2</v>
      </c>
      <c r="AU36" s="418"/>
      <c r="AV36" s="164" t="str">
        <f t="shared" si="15"/>
        <v/>
      </c>
      <c r="AW36" s="829" t="str">
        <f>IFERROR(INDEX(MassProp!C$9:C$150,MATCH($M36,MassProp!$B$9:$B$150,0)),"")</f>
        <v/>
      </c>
      <c r="AX36" s="830" t="str">
        <f>IFERROR(INDEX(MassProp!D$9:D$150,MATCH($M36,MassProp!$B$9:$B$150,0)),"")</f>
        <v/>
      </c>
      <c r="AY36" s="831" t="str">
        <f>IFERROR(INDEX(MassProp!E$9:E$150,MATCH($M36,MassProp!$B$9:$B$150,0)),"")</f>
        <v/>
      </c>
      <c r="AZ36" s="297" t="str">
        <f t="shared" si="148"/>
        <v/>
      </c>
      <c r="BA36" s="296" t="str">
        <f t="shared" si="16"/>
        <v/>
      </c>
      <c r="BB36" s="190" t="str">
        <f t="shared" si="149"/>
        <v/>
      </c>
      <c r="BC36" s="9"/>
      <c r="BD36" s="5" t="str">
        <f t="shared" si="150"/>
        <v/>
      </c>
      <c r="BE36" s="6" t="str">
        <f t="shared" si="17"/>
        <v/>
      </c>
      <c r="BF36" s="4" t="str">
        <f t="shared" si="18"/>
        <v/>
      </c>
      <c r="BG36" s="5" t="str">
        <f t="shared" si="19"/>
        <v/>
      </c>
      <c r="BH36" s="10" t="str">
        <f t="shared" si="20"/>
        <v/>
      </c>
      <c r="BI36" s="9" t="str">
        <f t="shared" si="151"/>
        <v/>
      </c>
      <c r="BJ36" s="5" t="str">
        <f t="shared" si="21"/>
        <v/>
      </c>
      <c r="BK36" s="8" t="str">
        <f t="shared" si="22"/>
        <v/>
      </c>
      <c r="BL36" s="173" t="str">
        <f t="shared" si="23"/>
        <v/>
      </c>
      <c r="BM36" s="5" t="str">
        <f t="shared" si="24"/>
        <v/>
      </c>
      <c r="BN36" s="6" t="str">
        <f t="shared" si="25"/>
        <v/>
      </c>
      <c r="BO36" s="4" t="str">
        <f t="shared" si="152"/>
        <v/>
      </c>
      <c r="BP36" s="5" t="str">
        <f t="shared" si="153"/>
        <v/>
      </c>
      <c r="BQ36" s="5" t="str">
        <f t="shared" si="154"/>
        <v/>
      </c>
      <c r="BR36" s="6" t="str">
        <f t="shared" si="155"/>
        <v/>
      </c>
      <c r="BS36" s="4" t="str">
        <f t="shared" si="112"/>
        <v/>
      </c>
      <c r="BT36" s="5" t="str">
        <f t="shared" si="112"/>
        <v/>
      </c>
      <c r="BU36" s="10" t="str">
        <f t="shared" si="113"/>
        <v/>
      </c>
      <c r="BV36" s="9" t="str">
        <f t="shared" si="114"/>
        <v/>
      </c>
      <c r="BW36" s="5" t="str">
        <f t="shared" si="115"/>
        <v/>
      </c>
      <c r="BX36" s="8" t="str">
        <f t="shared" si="116"/>
        <v/>
      </c>
      <c r="BY36" s="173" t="str">
        <f t="shared" si="117"/>
        <v/>
      </c>
      <c r="BZ36" s="5" t="str">
        <f t="shared" si="118"/>
        <v/>
      </c>
      <c r="CA36" s="6" t="str">
        <f t="shared" si="119"/>
        <v/>
      </c>
      <c r="CB36" s="4" t="str">
        <f t="shared" si="156"/>
        <v/>
      </c>
      <c r="CC36" s="5" t="str">
        <f t="shared" si="157"/>
        <v/>
      </c>
      <c r="CD36" s="5" t="str">
        <f t="shared" si="158"/>
        <v/>
      </c>
      <c r="CE36" s="6" t="str">
        <f t="shared" si="159"/>
        <v/>
      </c>
      <c r="CF36" s="4" t="str">
        <f t="shared" si="160"/>
        <v/>
      </c>
      <c r="CG36" s="5" t="str">
        <f t="shared" si="161"/>
        <v/>
      </c>
      <c r="CH36" s="5" t="str">
        <f t="shared" si="162"/>
        <v/>
      </c>
      <c r="CI36" s="4" t="str">
        <f t="shared" si="120"/>
        <v/>
      </c>
      <c r="CJ36" s="5" t="str">
        <f t="shared" si="121"/>
        <v/>
      </c>
      <c r="CK36" s="8" t="str">
        <f t="shared" si="122"/>
        <v/>
      </c>
      <c r="CL36" s="173" t="str">
        <f t="shared" si="123"/>
        <v/>
      </c>
      <c r="CM36" s="5" t="str">
        <f t="shared" si="124"/>
        <v/>
      </c>
      <c r="CN36" s="6" t="str">
        <f t="shared" si="125"/>
        <v/>
      </c>
      <c r="CO36" s="167" t="str">
        <f t="shared" si="26"/>
        <v/>
      </c>
      <c r="CP36" s="4" t="str">
        <f t="shared" si="248"/>
        <v/>
      </c>
      <c r="CQ36" s="5" t="str">
        <f t="shared" si="249"/>
        <v/>
      </c>
      <c r="CR36" s="5" t="str">
        <f t="shared" si="163"/>
        <v/>
      </c>
      <c r="CS36" s="8" t="str">
        <f t="shared" si="164"/>
        <v/>
      </c>
      <c r="CT36" s="9" t="str">
        <f t="shared" si="165"/>
        <v/>
      </c>
      <c r="CU36" s="6" t="str">
        <f t="shared" si="166"/>
        <v/>
      </c>
      <c r="CV36" s="4" t="str">
        <f t="shared" si="250"/>
        <v/>
      </c>
      <c r="CW36" s="5" t="str">
        <f t="shared" si="167"/>
        <v/>
      </c>
      <c r="CX36" s="8" t="str">
        <f t="shared" si="168"/>
        <v/>
      </c>
      <c r="CY36" s="9" t="str">
        <f t="shared" si="169"/>
        <v/>
      </c>
      <c r="CZ36" s="5" t="str">
        <f t="shared" si="170"/>
        <v/>
      </c>
      <c r="DA36" s="6" t="str">
        <f t="shared" si="171"/>
        <v/>
      </c>
      <c r="DB36" s="4" t="str">
        <f t="shared" si="172"/>
        <v/>
      </c>
      <c r="DC36" s="5" t="str">
        <f t="shared" si="172"/>
        <v/>
      </c>
      <c r="DD36" s="10" t="str">
        <f t="shared" si="173"/>
        <v/>
      </c>
      <c r="DE36" s="9" t="str">
        <f t="shared" si="174"/>
        <v/>
      </c>
      <c r="DF36" s="5" t="str">
        <f t="shared" si="174"/>
        <v/>
      </c>
      <c r="DG36" s="10" t="str">
        <f t="shared" si="175"/>
        <v/>
      </c>
      <c r="DH36" s="70" t="str">
        <f t="shared" si="176"/>
        <v/>
      </c>
      <c r="DI36" s="4" t="str">
        <f t="shared" si="177"/>
        <v/>
      </c>
      <c r="DJ36" s="5" t="str">
        <f t="shared" si="178"/>
        <v/>
      </c>
      <c r="DK36" s="10" t="str">
        <f t="shared" si="179"/>
        <v/>
      </c>
      <c r="DL36" s="9" t="str">
        <f t="shared" si="180"/>
        <v/>
      </c>
      <c r="DM36" s="173" t="str">
        <f t="shared" si="181"/>
        <v/>
      </c>
      <c r="DN36" s="178" t="str">
        <f t="shared" si="182"/>
        <v/>
      </c>
      <c r="DO36" s="9" t="str">
        <f t="shared" si="183"/>
        <v/>
      </c>
      <c r="DP36" s="173" t="str">
        <f t="shared" si="184"/>
        <v/>
      </c>
      <c r="DQ36" s="11" t="str">
        <f t="shared" si="185"/>
        <v/>
      </c>
      <c r="DR36" s="173" t="str">
        <f t="shared" si="186"/>
        <v/>
      </c>
      <c r="DS36" s="5" t="str">
        <f t="shared" si="187"/>
        <v/>
      </c>
      <c r="DT36" s="5" t="str">
        <f t="shared" si="188"/>
        <v/>
      </c>
      <c r="DU36" s="5" t="str">
        <f t="shared" si="189"/>
        <v/>
      </c>
      <c r="DV36" s="5" t="str">
        <f t="shared" si="190"/>
        <v/>
      </c>
      <c r="DW36" s="5" t="str">
        <f t="shared" si="191"/>
        <v/>
      </c>
      <c r="DX36" s="167" t="str">
        <f t="shared" si="192"/>
        <v/>
      </c>
      <c r="DY36" s="9" t="str">
        <f t="shared" si="193"/>
        <v/>
      </c>
      <c r="DZ36" s="5" t="str">
        <f t="shared" si="194"/>
        <v/>
      </c>
      <c r="EA36" s="10" t="str">
        <f t="shared" si="195"/>
        <v/>
      </c>
      <c r="EB36" s="6" t="str">
        <f t="shared" si="196"/>
        <v/>
      </c>
      <c r="EC36" s="173" t="str">
        <f t="shared" si="197"/>
        <v/>
      </c>
      <c r="ED36" s="5" t="str">
        <f t="shared" si="198"/>
        <v/>
      </c>
      <c r="EE36" s="4" t="str">
        <f t="shared" si="199"/>
        <v/>
      </c>
      <c r="EF36" s="5" t="str">
        <f t="shared" si="200"/>
        <v/>
      </c>
      <c r="EG36" s="10" t="str">
        <f t="shared" si="201"/>
        <v/>
      </c>
      <c r="EH36" s="9" t="str">
        <f t="shared" si="202"/>
        <v/>
      </c>
      <c r="EI36" s="5" t="str">
        <f t="shared" si="203"/>
        <v/>
      </c>
      <c r="EJ36" s="6" t="str">
        <f t="shared" si="204"/>
        <v/>
      </c>
      <c r="EK36" s="236" t="str">
        <f t="shared" si="205"/>
        <v/>
      </c>
      <c r="EL36" s="238" t="str">
        <f t="shared" si="206"/>
        <v/>
      </c>
      <c r="EM36" s="4" t="str">
        <f t="shared" si="207"/>
        <v/>
      </c>
      <c r="EN36" s="5" t="str">
        <f t="shared" si="208"/>
        <v/>
      </c>
      <c r="EO36" s="10" t="str">
        <f t="shared" si="209"/>
        <v/>
      </c>
      <c r="EP36" s="9" t="str">
        <f t="shared" si="210"/>
        <v/>
      </c>
      <c r="EQ36" s="5" t="str">
        <f t="shared" si="211"/>
        <v/>
      </c>
      <c r="ER36" s="7" t="str">
        <f t="shared" si="212"/>
        <v/>
      </c>
      <c r="ES36" s="21" t="str">
        <f t="shared" si="126"/>
        <v/>
      </c>
      <c r="ET36" s="5" t="str">
        <f t="shared" si="35"/>
        <v/>
      </c>
      <c r="EU36" s="10" t="str">
        <f t="shared" si="36"/>
        <v/>
      </c>
      <c r="EV36" s="174" t="str">
        <f t="shared" si="264"/>
        <v/>
      </c>
      <c r="EW36" s="9" t="str">
        <f t="shared" si="127"/>
        <v/>
      </c>
      <c r="EX36" s="5" t="str">
        <f t="shared" si="37"/>
        <v/>
      </c>
      <c r="EY36" s="6" t="str">
        <f t="shared" si="213"/>
        <v/>
      </c>
      <c r="EZ36" s="51" t="str">
        <f t="shared" si="214"/>
        <v/>
      </c>
      <c r="FA36" s="266" t="str">
        <f t="shared" si="128"/>
        <v/>
      </c>
      <c r="FB36" s="267" t="str">
        <f t="shared" si="129"/>
        <v/>
      </c>
      <c r="FC36" s="269" t="str">
        <f t="shared" si="38"/>
        <v/>
      </c>
      <c r="FD36" s="4" t="str">
        <f t="shared" si="130"/>
        <v/>
      </c>
      <c r="FE36" s="5" t="str">
        <f t="shared" si="39"/>
        <v/>
      </c>
      <c r="FF36" s="7" t="str">
        <f t="shared" si="215"/>
        <v/>
      </c>
      <c r="FG36" s="173" t="str">
        <f t="shared" si="216"/>
        <v/>
      </c>
      <c r="FH36" s="5" t="str">
        <f t="shared" si="40"/>
        <v/>
      </c>
      <c r="FI36" s="10" t="str">
        <f t="shared" si="41"/>
        <v/>
      </c>
      <c r="FJ36" s="279" t="str">
        <f t="shared" si="217"/>
        <v/>
      </c>
      <c r="FK36" s="4" t="str">
        <f t="shared" si="42"/>
        <v/>
      </c>
      <c r="FL36" s="5" t="str">
        <f t="shared" si="218"/>
        <v/>
      </c>
      <c r="FM36" s="8" t="str">
        <f t="shared" si="219"/>
        <v/>
      </c>
      <c r="FN36" s="9" t="str">
        <f t="shared" si="220"/>
        <v/>
      </c>
      <c r="FO36" s="10" t="str">
        <f t="shared" si="43"/>
        <v/>
      </c>
      <c r="FP36" s="277" t="str">
        <f t="shared" si="44"/>
        <v/>
      </c>
      <c r="FQ36" s="173" t="str">
        <f t="shared" si="251"/>
        <v/>
      </c>
      <c r="FR36" s="10" t="str">
        <f t="shared" si="221"/>
        <v/>
      </c>
      <c r="FS36" s="9" t="str">
        <f t="shared" si="222"/>
        <v/>
      </c>
      <c r="FT36" s="6" t="str">
        <f t="shared" si="223"/>
        <v/>
      </c>
      <c r="FU36" s="4" t="str">
        <f t="shared" si="224"/>
        <v/>
      </c>
      <c r="FV36" s="5" t="str">
        <f t="shared" si="225"/>
        <v/>
      </c>
      <c r="FW36" s="8" t="str">
        <f t="shared" si="252"/>
        <v/>
      </c>
      <c r="FX36" s="9" t="str">
        <f t="shared" si="253"/>
        <v/>
      </c>
      <c r="FY36" s="10" t="str">
        <f t="shared" si="45"/>
        <v/>
      </c>
      <c r="FZ36" s="277" t="str">
        <f t="shared" si="254"/>
        <v/>
      </c>
      <c r="GA36" s="177" t="str">
        <f t="shared" si="226"/>
        <v/>
      </c>
      <c r="GB36" s="4" t="str">
        <f t="shared" si="227"/>
        <v/>
      </c>
      <c r="GC36" s="5" t="str">
        <f t="shared" si="228"/>
        <v/>
      </c>
      <c r="GD36" s="10" t="str">
        <f t="shared" si="229"/>
        <v/>
      </c>
      <c r="GE36" s="311" t="str">
        <f t="shared" si="230"/>
        <v/>
      </c>
      <c r="GF36" s="341" t="str">
        <f t="shared" si="255"/>
        <v/>
      </c>
      <c r="GG36" s="285" t="str">
        <f t="shared" si="46"/>
        <v/>
      </c>
      <c r="GH36" s="286" t="str">
        <f t="shared" si="47"/>
        <v/>
      </c>
      <c r="GI36" s="281" t="str">
        <f t="shared" si="48"/>
        <v/>
      </c>
      <c r="GJ36" s="167" t="str">
        <f t="shared" si="231"/>
        <v/>
      </c>
      <c r="GK36" s="174" t="str">
        <f t="shared" si="49"/>
        <v/>
      </c>
      <c r="GL36" s="174" t="str">
        <f t="shared" si="232"/>
        <v/>
      </c>
      <c r="GM36" s="177" t="str">
        <f t="shared" si="256"/>
        <v/>
      </c>
      <c r="GN36" s="280" t="str">
        <f t="shared" si="233"/>
        <v/>
      </c>
      <c r="GO36" s="4" t="str">
        <f t="shared" si="234"/>
        <v/>
      </c>
      <c r="GP36" s="8" t="str">
        <f t="shared" si="257"/>
        <v/>
      </c>
      <c r="GQ36" s="177" t="str">
        <f t="shared" si="235"/>
        <v/>
      </c>
      <c r="GR36" s="371" t="str">
        <f t="shared" si="258"/>
        <v/>
      </c>
      <c r="GS36" s="342" t="str">
        <f t="shared" si="51"/>
        <v/>
      </c>
      <c r="GT36" s="343" t="str">
        <f t="shared" si="52"/>
        <v/>
      </c>
      <c r="GU36" s="344" t="str">
        <f t="shared" si="53"/>
        <v/>
      </c>
      <c r="GV36" s="343" t="str">
        <f t="shared" si="265"/>
        <v/>
      </c>
      <c r="GW36" s="345" t="str">
        <f t="shared" si="54"/>
        <v/>
      </c>
      <c r="GX36" s="346" t="str">
        <f t="shared" si="55"/>
        <v/>
      </c>
      <c r="GY36" s="344" t="str">
        <f t="shared" si="56"/>
        <v/>
      </c>
      <c r="GZ36" s="345" t="str">
        <f t="shared" si="57"/>
        <v/>
      </c>
      <c r="HA36" s="342" t="str">
        <f t="shared" si="58"/>
        <v/>
      </c>
      <c r="HB36" s="5" t="str">
        <f t="shared" si="236"/>
        <v/>
      </c>
      <c r="HC36" s="343" t="str">
        <f t="shared" si="237"/>
        <v/>
      </c>
      <c r="HD36" s="363" t="str">
        <f t="shared" si="238"/>
        <v/>
      </c>
      <c r="HE36" s="344" t="str">
        <f t="shared" si="59"/>
        <v/>
      </c>
      <c r="HF36" s="5" t="str">
        <f t="shared" si="60"/>
        <v/>
      </c>
      <c r="HG36" s="343" t="str">
        <f t="shared" si="239"/>
        <v/>
      </c>
      <c r="HH36" s="349" t="str">
        <f t="shared" si="240"/>
        <v/>
      </c>
      <c r="HI36" s="317" t="str">
        <f t="shared" si="61"/>
        <v/>
      </c>
      <c r="HJ36" s="336"/>
      <c r="HK36" s="310" t="str">
        <f t="shared" si="131"/>
        <v/>
      </c>
      <c r="HL36" s="348" t="str">
        <f t="shared" si="62"/>
        <v/>
      </c>
      <c r="HM36" s="923" t="str">
        <f t="shared" si="63"/>
        <v/>
      </c>
      <c r="HN36" s="924" t="str">
        <f t="shared" si="64"/>
        <v/>
      </c>
      <c r="HO36" s="925"/>
      <c r="HP36" s="926"/>
      <c r="HQ36" s="924" t="str">
        <f t="shared" si="65"/>
        <v/>
      </c>
      <c r="HR36" s="927" t="str">
        <f t="shared" si="66"/>
        <v/>
      </c>
      <c r="HS36" s="879" t="str">
        <f t="shared" si="261"/>
        <v/>
      </c>
      <c r="HT36" s="889" t="str">
        <f t="shared" si="67"/>
        <v/>
      </c>
      <c r="HU36" s="890" t="str">
        <f t="shared" si="68"/>
        <v/>
      </c>
      <c r="HV36" s="886" t="str">
        <f t="shared" si="69"/>
        <v/>
      </c>
      <c r="HW36" s="880" t="str">
        <f t="shared" si="70"/>
        <v/>
      </c>
      <c r="HX36" s="881" t="str">
        <f t="shared" si="71"/>
        <v/>
      </c>
      <c r="HY36" s="880" t="str">
        <f t="shared" si="72"/>
        <v/>
      </c>
      <c r="HZ36" s="882" t="str">
        <f t="shared" si="73"/>
        <v/>
      </c>
      <c r="IA36" s="883" t="str">
        <f t="shared" si="74"/>
        <v/>
      </c>
      <c r="IB36" s="884" t="str">
        <f t="shared" si="75"/>
        <v/>
      </c>
      <c r="IC36" s="855" t="str">
        <f t="shared" si="76"/>
        <v/>
      </c>
      <c r="ID36" s="351" t="str">
        <f t="shared" si="77"/>
        <v/>
      </c>
      <c r="IE36" s="857" t="str">
        <f t="shared" si="78"/>
        <v/>
      </c>
      <c r="IF36" s="858"/>
      <c r="IG36" s="790" t="str">
        <f>IFERROR(IF($IW36="","",IF($IW36&lt;(((Settings!$C$19/2)*-1)*$IG$8),"Taper","Nose")),"")</f>
        <v/>
      </c>
      <c r="IH36" s="482" t="str">
        <f>IFERROR(IF((((($IY36*COS(RADIANS(180-$JA36)))*COS(RADIANS($JA36)))-(($IZ36*SIN(RADIANS(180-$JA36)))*SIN(RADIANS($JA36))))+$IW36)&lt;(((Settings!$C$19+$IH$8)/2)*-1),"Gage",""),"")</f>
        <v/>
      </c>
      <c r="II36" s="788">
        <f t="shared" si="241"/>
        <v>5.1180000000000003</v>
      </c>
      <c r="IJ36" s="674" t="str" cm="1">
        <f t="array" ref="IJ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K36" s="677" t="str" cm="1">
        <f t="array" ref="IK36">IFERROR(ROUND(VALUE(IF($IJ36&lt;1,$IJ36+LARGE((IF($M$9:$M$150="",0,$M$9:$M$150)-MOD(IF($M$9:$M$150="",0,$M$9:$M$150),1)),1),$IJ36)),4),"")</f>
        <v/>
      </c>
      <c r="IL36" s="482">
        <f t="shared" si="79"/>
        <v>1313</v>
      </c>
      <c r="IM36" s="482" t="str">
        <f t="shared" si="242"/>
        <v/>
      </c>
      <c r="IN36" s="670" t="str">
        <f t="shared" si="81"/>
        <v/>
      </c>
      <c r="IO36" s="702"/>
      <c r="IP36" s="5" t="str">
        <f t="shared" si="82"/>
        <v/>
      </c>
      <c r="IQ36" s="714"/>
      <c r="IR36" s="9" t="str">
        <f t="shared" si="132"/>
        <v/>
      </c>
      <c r="IS36" s="5" t="str">
        <f t="shared" si="83"/>
        <v/>
      </c>
      <c r="IT36" s="5" t="str">
        <f t="shared" si="84"/>
        <v/>
      </c>
      <c r="IU36" s="5" t="str">
        <f t="shared" si="85"/>
        <v/>
      </c>
      <c r="IV36" s="670" t="str">
        <f t="shared" si="86"/>
        <v/>
      </c>
      <c r="IW36" s="9" t="str">
        <f t="shared" si="87"/>
        <v/>
      </c>
      <c r="IX36" s="5" t="str">
        <f t="shared" si="88"/>
        <v/>
      </c>
      <c r="IY36" s="5" t="str">
        <f t="shared" si="89"/>
        <v/>
      </c>
      <c r="IZ36" s="5" t="str">
        <f t="shared" si="90"/>
        <v/>
      </c>
      <c r="JA36" s="705" t="str">
        <f t="shared" si="91"/>
        <v/>
      </c>
      <c r="JM36" s="489">
        <f t="shared" si="133"/>
        <v>18</v>
      </c>
      <c r="JN36" s="960">
        <f>($JO36-SMALL($JO$9:$JO$88,1))/((Settings!$C$19/2)-((Settings!$C$19/2)-LARGE($JO$9:$JO$88,1))-SMALL($JO$9:$JO$88,1))</f>
        <v>0.66871180048645484</v>
      </c>
      <c r="JO36" s="162">
        <f t="shared" si="134"/>
        <v>2.5886028901004812</v>
      </c>
      <c r="JP36" s="961">
        <f t="shared" si="135"/>
        <v>-15.037162544463204</v>
      </c>
      <c r="JQ36" s="961">
        <f t="shared" si="136"/>
        <v>14.883502643063663</v>
      </c>
      <c r="JS36" s="82">
        <v>28</v>
      </c>
      <c r="JT36" s="322">
        <f t="shared" si="137"/>
        <v>3.3149319681289442</v>
      </c>
      <c r="JU36" s="963">
        <f t="shared" si="138"/>
        <v>0.88071393016335664</v>
      </c>
      <c r="JV36" s="961">
        <f t="shared" si="287"/>
        <v>-42.190940198569173</v>
      </c>
      <c r="JW36" s="961">
        <f t="shared" si="92"/>
        <v>18.77899501425555</v>
      </c>
      <c r="JX36" s="1">
        <v>6.5144000000000002</v>
      </c>
      <c r="JY36" s="965">
        <f t="shared" si="139"/>
        <v>0.9086976354085432</v>
      </c>
      <c r="JZ36" s="973">
        <v>60.530599999999993</v>
      </c>
      <c r="KA36" s="410">
        <f t="shared" si="280"/>
        <v>-1.9292533333333353</v>
      </c>
      <c r="KB36" s="976">
        <f t="shared" si="243"/>
        <v>28</v>
      </c>
      <c r="KC36" s="968" cm="1">
        <f t="array" ref="KC36">(((INDEX($JV$9:$JV$53,MATCH(INDEX($JU$9:$JU$53,MATCH(TRUE,INDEX($JU$9:$JU$53&gt;$JY36,0),)),$JU$9:$JU$53,0))-INDEX($JV$9:$JV$53,MATCH(INDEX($JU$9:$JU$53,MATCH(TRUE,INDEX($JU$9:$JU$53&gt;$JY36,0),)-1),$JU$9:$JU$53,0)))*(($JY36-INDEX($JU$9:$JU$53,MATCH(TRUE,INDEX($JU$9:$JU$53&gt;$JY36,0),)-1))/(INDEX($JU$9:$JU$53,MATCH(TRUE,INDEX($JU$9:$JU$53&gt;$JY36,0),))-INDEX($JU$9:$JU$53,MATCH(TRUE,INDEX($JU$9:$JU$53&gt;$JY36,0),)-1))))+INDEX($JV$9:$JV$53,MATCH(INDEX($JU$9:$JU$53,MATCH(TRUE,INDEX($JU$9:$JU$53&gt;$JY36,0),)-1),$JU$9:$JU$53,0)))</f>
        <v>-46.88164847210065</v>
      </c>
      <c r="KD36" s="970">
        <v>-62.459853333333328</v>
      </c>
      <c r="KE36" s="968">
        <f t="shared" si="140"/>
        <v>-15.578204861232678</v>
      </c>
      <c r="KF36" s="978" cm="1">
        <f t="array" ref="KF36">(((INDEX($JW$9:$JW$53,MATCH(INDEX($JU$9:$JU$53,MATCH(TRUE,INDEX($JU$9:$JU$53&gt;$JY36,0),)),$JU$9:$JU$53,0))-INDEX($JW$9:$JW$53,MATCH(INDEX($JU$9:$JU$53,MATCH(TRUE,INDEX($JU$9:$JU$53&gt;$JY36,0),)-1),$JU$9:$JU$53,0)))*(($JY36-INDEX($JU$9:$JU$53,MATCH(TRUE,INDEX($JU$9:$JU$53&gt;$JY36,0),)-1))/(INDEX($JU$9:$JU$53,MATCH(TRUE,INDEX($JU$9:$JU$53&gt;$JY36,0),))-INDEX($JU$9:$JU$53,MATCH(TRUE,INDEX($JU$9:$JU$53&gt;$JY36,0),)-1))))+INDEX($JW$9:$JW$53,MATCH(INDEX($JU$9:$JU$53,MATCH(TRUE,INDEX($JU$9:$JU$53&gt;$JY36,0),)-1),$JU$9:$JU$53,0)))</f>
        <v>20.500757426154472</v>
      </c>
      <c r="KG36" s="966">
        <f t="shared" si="244"/>
        <v>-3.9363133333333309</v>
      </c>
      <c r="KH36" s="966">
        <f t="shared" si="141"/>
        <v>1.187662006197197</v>
      </c>
      <c r="KJ36" s="31"/>
    </row>
    <row r="37" spans="1:296" ht="15" customHeight="1" x14ac:dyDescent="0.25">
      <c r="A37" s="75">
        <f t="shared" si="1"/>
        <v>0.02</v>
      </c>
      <c r="B37" s="578">
        <f t="shared" ref="B37:D37" si="314">IFERROR(O192+($A37*-E37),"")</f>
        <v>-5.7565094016825795E-3</v>
      </c>
      <c r="C37" s="572">
        <f t="shared" si="314"/>
        <v>-3.1907914285983696</v>
      </c>
      <c r="D37" s="576">
        <f t="shared" si="314"/>
        <v>-0.42383215836285382</v>
      </c>
      <c r="E37" s="580">
        <f t="shared" ref="E37:K37" si="315">R192</f>
        <v>0.95704437131991182</v>
      </c>
      <c r="F37" s="572">
        <f t="shared" si="315"/>
        <v>-0.17450822910809666</v>
      </c>
      <c r="G37" s="579">
        <f t="shared" si="315"/>
        <v>0.23154470259202845</v>
      </c>
      <c r="H37" s="580">
        <f t="shared" si="315"/>
        <v>0.26450000000000001</v>
      </c>
      <c r="I37" s="572">
        <f t="shared" si="315"/>
        <v>0.52</v>
      </c>
      <c r="J37" s="483">
        <f t="shared" si="94"/>
        <v>5.1260000000000003</v>
      </c>
      <c r="K37" s="806">
        <f t="shared" si="315"/>
        <v>1313</v>
      </c>
      <c r="L37" s="309"/>
      <c r="M37" s="164">
        <f t="shared" si="4"/>
        <v>5.1260000000000003</v>
      </c>
      <c r="N37" s="575">
        <f t="shared" si="5"/>
        <v>-5.7565094016825795E-3</v>
      </c>
      <c r="O37" s="572">
        <f t="shared" si="6"/>
        <v>-3.1907914285983696</v>
      </c>
      <c r="P37" s="576">
        <f t="shared" si="7"/>
        <v>-0.42383215836285382</v>
      </c>
      <c r="Q37" s="528">
        <f t="shared" si="144"/>
        <v>269.89663274990215</v>
      </c>
      <c r="R37" s="572">
        <f t="shared" si="95"/>
        <v>3.1907966212557821</v>
      </c>
      <c r="S37" s="577">
        <f t="shared" si="96"/>
        <v>-0.42383215836285382</v>
      </c>
      <c r="T37" s="578">
        <f t="shared" si="97"/>
        <v>-3.1895527432104602</v>
      </c>
      <c r="U37" s="572">
        <f t="shared" si="98"/>
        <v>-8.9086342926080905E-2</v>
      </c>
      <c r="V37" s="579">
        <f t="shared" si="145"/>
        <v>-0.42383215836285382</v>
      </c>
      <c r="W37" s="528">
        <f t="shared" si="268"/>
        <v>181.59989351957714</v>
      </c>
      <c r="X37" s="572">
        <f t="shared" si="99"/>
        <v>3.1907966212557821</v>
      </c>
      <c r="Y37" s="573">
        <f t="shared" si="271"/>
        <v>-0.42383215836285382</v>
      </c>
      <c r="Z37" s="575">
        <f t="shared" si="10"/>
        <v>-0.95704437131991182</v>
      </c>
      <c r="AA37" s="572">
        <f t="shared" si="11"/>
        <v>0.17450822910809666</v>
      </c>
      <c r="AB37" s="572">
        <f t="shared" si="12"/>
        <v>-0.23154470259202845</v>
      </c>
      <c r="AC37" s="579">
        <f t="shared" si="100"/>
        <v>1</v>
      </c>
      <c r="AD37" s="580">
        <f t="shared" si="146"/>
        <v>-0.95704437131991182</v>
      </c>
      <c r="AE37" s="572">
        <f t="shared" si="101"/>
        <v>0.17450822910809666</v>
      </c>
      <c r="AF37" s="576">
        <f t="shared" si="102"/>
        <v>-0.23154470259202845</v>
      </c>
      <c r="AG37" s="545">
        <f t="shared" si="103"/>
        <v>37.004226517155395</v>
      </c>
      <c r="AH37" s="546">
        <f t="shared" si="104"/>
        <v>163.1455464706747</v>
      </c>
      <c r="AI37" s="528">
        <f t="shared" si="105"/>
        <v>-76.611968085100258</v>
      </c>
      <c r="AJ37" s="529">
        <f t="shared" si="106"/>
        <v>-100.33382899759837</v>
      </c>
      <c r="AK37" s="578">
        <f t="shared" si="247"/>
        <v>0.95735764376458099</v>
      </c>
      <c r="AL37" s="572">
        <f t="shared" si="107"/>
        <v>-0.17278134339997153</v>
      </c>
      <c r="AM37" s="577">
        <f t="shared" si="108"/>
        <v>-0.23154470259202845</v>
      </c>
      <c r="AN37" s="524">
        <f t="shared" si="109"/>
        <v>-36.730726939286235</v>
      </c>
      <c r="AO37" s="525">
        <f t="shared" si="110"/>
        <v>16.792436485975752</v>
      </c>
      <c r="AP37" s="528">
        <f t="shared" si="111"/>
        <v>-10.230461747500513</v>
      </c>
      <c r="AQ37" s="529">
        <f t="shared" si="13"/>
        <v>0.8572993279872424</v>
      </c>
      <c r="AR37" s="979"/>
      <c r="AS37" s="954">
        <f t="shared" si="147"/>
        <v>181.59989351957714</v>
      </c>
      <c r="AT37" s="950">
        <f t="shared" si="14"/>
        <v>-0.27676363463392406</v>
      </c>
      <c r="AU37" s="418"/>
      <c r="AV37" s="164" t="str">
        <f t="shared" si="15"/>
        <v/>
      </c>
      <c r="AW37" s="797" t="str">
        <f>IFERROR(INDEX(MassProp!C$9:C$150,MATCH($M37,MassProp!$B$9:$B$150,0)),"")</f>
        <v/>
      </c>
      <c r="AX37" s="744" t="str">
        <f>IFERROR(INDEX(MassProp!D$9:D$150,MATCH($M37,MassProp!$B$9:$B$150,0)),"")</f>
        <v/>
      </c>
      <c r="AY37" s="731" t="str">
        <f>IFERROR(INDEX(MassProp!E$9:E$150,MATCH($M37,MassProp!$B$9:$B$150,0)),"")</f>
        <v/>
      </c>
      <c r="AZ37" s="297" t="str">
        <f t="shared" si="148"/>
        <v/>
      </c>
      <c r="BA37" s="296" t="str">
        <f t="shared" si="16"/>
        <v/>
      </c>
      <c r="BB37" s="177" t="str">
        <f t="shared" si="149"/>
        <v/>
      </c>
      <c r="BC37" s="9"/>
      <c r="BD37" s="5" t="str">
        <f t="shared" si="150"/>
        <v/>
      </c>
      <c r="BE37" s="6" t="str">
        <f t="shared" si="17"/>
        <v/>
      </c>
      <c r="BF37" s="4" t="str">
        <f t="shared" si="18"/>
        <v/>
      </c>
      <c r="BG37" s="5" t="str">
        <f t="shared" si="19"/>
        <v/>
      </c>
      <c r="BH37" s="10" t="str">
        <f t="shared" si="20"/>
        <v/>
      </c>
      <c r="BI37" s="9" t="str">
        <f t="shared" si="151"/>
        <v/>
      </c>
      <c r="BJ37" s="5" t="str">
        <f t="shared" si="21"/>
        <v/>
      </c>
      <c r="BK37" s="8" t="str">
        <f t="shared" si="22"/>
        <v/>
      </c>
      <c r="BL37" s="173" t="str">
        <f t="shared" si="23"/>
        <v/>
      </c>
      <c r="BM37" s="5" t="str">
        <f t="shared" si="24"/>
        <v/>
      </c>
      <c r="BN37" s="6" t="str">
        <f t="shared" si="25"/>
        <v/>
      </c>
      <c r="BO37" s="4" t="str">
        <f t="shared" si="152"/>
        <v/>
      </c>
      <c r="BP37" s="5" t="str">
        <f t="shared" si="153"/>
        <v/>
      </c>
      <c r="BQ37" s="5" t="str">
        <f t="shared" si="154"/>
        <v/>
      </c>
      <c r="BR37" s="6" t="str">
        <f t="shared" si="155"/>
        <v/>
      </c>
      <c r="BS37" s="4" t="str">
        <f t="shared" si="112"/>
        <v/>
      </c>
      <c r="BT37" s="5" t="str">
        <f t="shared" si="112"/>
        <v/>
      </c>
      <c r="BU37" s="10" t="str">
        <f t="shared" si="113"/>
        <v/>
      </c>
      <c r="BV37" s="9" t="str">
        <f t="shared" si="114"/>
        <v/>
      </c>
      <c r="BW37" s="5" t="str">
        <f t="shared" si="115"/>
        <v/>
      </c>
      <c r="BX37" s="8" t="str">
        <f t="shared" si="116"/>
        <v/>
      </c>
      <c r="BY37" s="173" t="str">
        <f t="shared" si="117"/>
        <v/>
      </c>
      <c r="BZ37" s="5" t="str">
        <f t="shared" si="118"/>
        <v/>
      </c>
      <c r="CA37" s="6" t="str">
        <f t="shared" si="119"/>
        <v/>
      </c>
      <c r="CB37" s="4" t="str">
        <f t="shared" si="156"/>
        <v/>
      </c>
      <c r="CC37" s="5" t="str">
        <f t="shared" si="157"/>
        <v/>
      </c>
      <c r="CD37" s="5" t="str">
        <f t="shared" si="158"/>
        <v/>
      </c>
      <c r="CE37" s="6" t="str">
        <f t="shared" si="159"/>
        <v/>
      </c>
      <c r="CF37" s="4" t="str">
        <f t="shared" si="160"/>
        <v/>
      </c>
      <c r="CG37" s="5" t="str">
        <f t="shared" si="161"/>
        <v/>
      </c>
      <c r="CH37" s="5" t="str">
        <f t="shared" si="162"/>
        <v/>
      </c>
      <c r="CI37" s="4" t="str">
        <f t="shared" si="120"/>
        <v/>
      </c>
      <c r="CJ37" s="5" t="str">
        <f t="shared" si="121"/>
        <v/>
      </c>
      <c r="CK37" s="8" t="str">
        <f t="shared" si="122"/>
        <v/>
      </c>
      <c r="CL37" s="173" t="str">
        <f t="shared" si="123"/>
        <v/>
      </c>
      <c r="CM37" s="5" t="str">
        <f t="shared" si="124"/>
        <v/>
      </c>
      <c r="CN37" s="6" t="str">
        <f t="shared" si="125"/>
        <v/>
      </c>
      <c r="CO37" s="167" t="str">
        <f t="shared" si="26"/>
        <v/>
      </c>
      <c r="CP37" s="4" t="str">
        <f t="shared" si="248"/>
        <v/>
      </c>
      <c r="CQ37" s="5" t="str">
        <f t="shared" si="249"/>
        <v/>
      </c>
      <c r="CR37" s="5" t="str">
        <f t="shared" si="163"/>
        <v/>
      </c>
      <c r="CS37" s="8" t="str">
        <f t="shared" si="164"/>
        <v/>
      </c>
      <c r="CT37" s="9" t="str">
        <f t="shared" si="165"/>
        <v/>
      </c>
      <c r="CU37" s="6" t="str">
        <f t="shared" si="166"/>
        <v/>
      </c>
      <c r="CV37" s="4" t="str">
        <f t="shared" si="250"/>
        <v/>
      </c>
      <c r="CW37" s="5" t="str">
        <f t="shared" si="167"/>
        <v/>
      </c>
      <c r="CX37" s="8" t="str">
        <f t="shared" si="168"/>
        <v/>
      </c>
      <c r="CY37" s="9" t="str">
        <f t="shared" si="169"/>
        <v/>
      </c>
      <c r="CZ37" s="5" t="str">
        <f t="shared" si="170"/>
        <v/>
      </c>
      <c r="DA37" s="6" t="str">
        <f t="shared" si="171"/>
        <v/>
      </c>
      <c r="DB37" s="4" t="str">
        <f t="shared" si="172"/>
        <v/>
      </c>
      <c r="DC37" s="5" t="str">
        <f t="shared" si="172"/>
        <v/>
      </c>
      <c r="DD37" s="10" t="str">
        <f t="shared" si="173"/>
        <v/>
      </c>
      <c r="DE37" s="9" t="str">
        <f t="shared" si="174"/>
        <v/>
      </c>
      <c r="DF37" s="5" t="str">
        <f t="shared" si="174"/>
        <v/>
      </c>
      <c r="DG37" s="10" t="str">
        <f t="shared" si="175"/>
        <v/>
      </c>
      <c r="DH37" s="70" t="str">
        <f t="shared" si="176"/>
        <v/>
      </c>
      <c r="DI37" s="4" t="str">
        <f t="shared" si="177"/>
        <v/>
      </c>
      <c r="DJ37" s="5" t="str">
        <f t="shared" si="178"/>
        <v/>
      </c>
      <c r="DK37" s="10" t="str">
        <f t="shared" si="179"/>
        <v/>
      </c>
      <c r="DL37" s="9" t="str">
        <f t="shared" si="180"/>
        <v/>
      </c>
      <c r="DM37" s="173" t="str">
        <f t="shared" si="181"/>
        <v/>
      </c>
      <c r="DN37" s="178" t="str">
        <f t="shared" si="182"/>
        <v/>
      </c>
      <c r="DO37" s="9" t="str">
        <f t="shared" si="183"/>
        <v/>
      </c>
      <c r="DP37" s="173" t="str">
        <f t="shared" si="184"/>
        <v/>
      </c>
      <c r="DQ37" s="11" t="str">
        <f t="shared" si="185"/>
        <v/>
      </c>
      <c r="DR37" s="173" t="str">
        <f t="shared" si="186"/>
        <v/>
      </c>
      <c r="DS37" s="5" t="str">
        <f t="shared" si="187"/>
        <v/>
      </c>
      <c r="DT37" s="5" t="str">
        <f t="shared" si="188"/>
        <v/>
      </c>
      <c r="DU37" s="5" t="str">
        <f t="shared" si="189"/>
        <v/>
      </c>
      <c r="DV37" s="5" t="str">
        <f t="shared" si="190"/>
        <v/>
      </c>
      <c r="DW37" s="5" t="str">
        <f t="shared" si="191"/>
        <v/>
      </c>
      <c r="DX37" s="167" t="str">
        <f t="shared" si="192"/>
        <v/>
      </c>
      <c r="DY37" s="9" t="str">
        <f t="shared" si="193"/>
        <v/>
      </c>
      <c r="DZ37" s="5" t="str">
        <f t="shared" si="194"/>
        <v/>
      </c>
      <c r="EA37" s="10" t="str">
        <f t="shared" si="195"/>
        <v/>
      </c>
      <c r="EB37" s="6" t="str">
        <f t="shared" si="196"/>
        <v/>
      </c>
      <c r="EC37" s="173" t="str">
        <f t="shared" si="197"/>
        <v/>
      </c>
      <c r="ED37" s="5" t="str">
        <f t="shared" si="198"/>
        <v/>
      </c>
      <c r="EE37" s="4" t="str">
        <f t="shared" si="199"/>
        <v/>
      </c>
      <c r="EF37" s="5" t="str">
        <f t="shared" si="200"/>
        <v/>
      </c>
      <c r="EG37" s="10" t="str">
        <f t="shared" si="201"/>
        <v/>
      </c>
      <c r="EH37" s="9" t="str">
        <f t="shared" si="202"/>
        <v/>
      </c>
      <c r="EI37" s="5" t="str">
        <f t="shared" si="203"/>
        <v/>
      </c>
      <c r="EJ37" s="6" t="str">
        <f t="shared" si="204"/>
        <v/>
      </c>
      <c r="EK37" s="236" t="str">
        <f t="shared" si="205"/>
        <v/>
      </c>
      <c r="EL37" s="238" t="str">
        <f t="shared" si="206"/>
        <v/>
      </c>
      <c r="EM37" s="4" t="str">
        <f t="shared" si="207"/>
        <v/>
      </c>
      <c r="EN37" s="5" t="str">
        <f t="shared" si="208"/>
        <v/>
      </c>
      <c r="EO37" s="10" t="str">
        <f t="shared" si="209"/>
        <v/>
      </c>
      <c r="EP37" s="9" t="str">
        <f t="shared" si="210"/>
        <v/>
      </c>
      <c r="EQ37" s="5" t="str">
        <f t="shared" si="211"/>
        <v/>
      </c>
      <c r="ER37" s="7" t="str">
        <f t="shared" si="212"/>
        <v/>
      </c>
      <c r="ES37" s="21" t="str">
        <f t="shared" si="126"/>
        <v/>
      </c>
      <c r="ET37" s="5" t="str">
        <f t="shared" si="35"/>
        <v/>
      </c>
      <c r="EU37" s="10" t="str">
        <f t="shared" si="36"/>
        <v/>
      </c>
      <c r="EV37" s="174" t="str">
        <f t="shared" si="264"/>
        <v/>
      </c>
      <c r="EW37" s="9" t="str">
        <f t="shared" si="127"/>
        <v/>
      </c>
      <c r="EX37" s="5" t="str">
        <f t="shared" si="37"/>
        <v/>
      </c>
      <c r="EY37" s="6" t="str">
        <f t="shared" si="213"/>
        <v/>
      </c>
      <c r="EZ37" s="51" t="str">
        <f t="shared" si="214"/>
        <v/>
      </c>
      <c r="FA37" s="266" t="str">
        <f t="shared" si="128"/>
        <v/>
      </c>
      <c r="FB37" s="267" t="str">
        <f t="shared" si="129"/>
        <v/>
      </c>
      <c r="FC37" s="269" t="str">
        <f t="shared" si="38"/>
        <v/>
      </c>
      <c r="FD37" s="4" t="str">
        <f t="shared" si="130"/>
        <v/>
      </c>
      <c r="FE37" s="5" t="str">
        <f t="shared" si="39"/>
        <v/>
      </c>
      <c r="FF37" s="7" t="str">
        <f t="shared" si="215"/>
        <v/>
      </c>
      <c r="FG37" s="173" t="str">
        <f t="shared" si="216"/>
        <v/>
      </c>
      <c r="FH37" s="5" t="str">
        <f t="shared" si="40"/>
        <v/>
      </c>
      <c r="FI37" s="10" t="str">
        <f t="shared" si="41"/>
        <v/>
      </c>
      <c r="FJ37" s="279" t="str">
        <f t="shared" si="217"/>
        <v/>
      </c>
      <c r="FK37" s="4" t="str">
        <f t="shared" si="42"/>
        <v/>
      </c>
      <c r="FL37" s="5" t="str">
        <f t="shared" si="218"/>
        <v/>
      </c>
      <c r="FM37" s="8" t="str">
        <f t="shared" si="219"/>
        <v/>
      </c>
      <c r="FN37" s="9" t="str">
        <f t="shared" si="220"/>
        <v/>
      </c>
      <c r="FO37" s="10" t="str">
        <f t="shared" si="43"/>
        <v/>
      </c>
      <c r="FP37" s="277" t="str">
        <f t="shared" si="44"/>
        <v/>
      </c>
      <c r="FQ37" s="173" t="str">
        <f t="shared" si="251"/>
        <v/>
      </c>
      <c r="FR37" s="10" t="str">
        <f t="shared" si="221"/>
        <v/>
      </c>
      <c r="FS37" s="9" t="str">
        <f t="shared" si="222"/>
        <v/>
      </c>
      <c r="FT37" s="6" t="str">
        <f t="shared" si="223"/>
        <v/>
      </c>
      <c r="FU37" s="4" t="str">
        <f t="shared" si="224"/>
        <v/>
      </c>
      <c r="FV37" s="5" t="str">
        <f t="shared" si="225"/>
        <v/>
      </c>
      <c r="FW37" s="8" t="str">
        <f t="shared" si="252"/>
        <v/>
      </c>
      <c r="FX37" s="9" t="str">
        <f t="shared" si="253"/>
        <v/>
      </c>
      <c r="FY37" s="10" t="str">
        <f t="shared" si="45"/>
        <v/>
      </c>
      <c r="FZ37" s="277" t="str">
        <f t="shared" si="254"/>
        <v/>
      </c>
      <c r="GA37" s="177" t="str">
        <f t="shared" si="226"/>
        <v/>
      </c>
      <c r="GB37" s="4" t="str">
        <f t="shared" si="227"/>
        <v/>
      </c>
      <c r="GC37" s="5" t="str">
        <f t="shared" si="228"/>
        <v/>
      </c>
      <c r="GD37" s="10" t="str">
        <f t="shared" si="229"/>
        <v/>
      </c>
      <c r="GE37" s="311" t="str">
        <f t="shared" si="230"/>
        <v/>
      </c>
      <c r="GF37" s="341" t="str">
        <f t="shared" si="255"/>
        <v/>
      </c>
      <c r="GG37" s="285" t="str">
        <f t="shared" si="46"/>
        <v/>
      </c>
      <c r="GH37" s="286" t="str">
        <f t="shared" si="47"/>
        <v/>
      </c>
      <c r="GI37" s="281" t="str">
        <f t="shared" si="48"/>
        <v/>
      </c>
      <c r="GJ37" s="167" t="str">
        <f t="shared" si="231"/>
        <v/>
      </c>
      <c r="GK37" s="174" t="str">
        <f t="shared" si="49"/>
        <v/>
      </c>
      <c r="GL37" s="174" t="str">
        <f t="shared" si="232"/>
        <v/>
      </c>
      <c r="GM37" s="177" t="str">
        <f t="shared" si="256"/>
        <v/>
      </c>
      <c r="GN37" s="280" t="str">
        <f t="shared" si="233"/>
        <v/>
      </c>
      <c r="GO37" s="4" t="str">
        <f t="shared" si="234"/>
        <v/>
      </c>
      <c r="GP37" s="8" t="str">
        <f t="shared" si="257"/>
        <v/>
      </c>
      <c r="GQ37" s="177" t="str">
        <f t="shared" si="235"/>
        <v/>
      </c>
      <c r="GR37" s="371" t="str">
        <f t="shared" si="258"/>
        <v/>
      </c>
      <c r="GS37" s="342" t="str">
        <f t="shared" si="51"/>
        <v/>
      </c>
      <c r="GT37" s="343" t="str">
        <f t="shared" si="52"/>
        <v/>
      </c>
      <c r="GU37" s="344" t="str">
        <f t="shared" si="53"/>
        <v/>
      </c>
      <c r="GV37" s="343" t="str">
        <f t="shared" si="265"/>
        <v/>
      </c>
      <c r="GW37" s="345" t="str">
        <f t="shared" si="54"/>
        <v/>
      </c>
      <c r="GX37" s="346" t="str">
        <f t="shared" si="55"/>
        <v/>
      </c>
      <c r="GY37" s="344" t="str">
        <f t="shared" si="56"/>
        <v/>
      </c>
      <c r="GZ37" s="345" t="str">
        <f t="shared" si="57"/>
        <v/>
      </c>
      <c r="HA37" s="342" t="str">
        <f t="shared" si="58"/>
        <v/>
      </c>
      <c r="HB37" s="5" t="str">
        <f t="shared" si="236"/>
        <v/>
      </c>
      <c r="HC37" s="343" t="str">
        <f t="shared" si="237"/>
        <v/>
      </c>
      <c r="HD37" s="363" t="str">
        <f t="shared" si="238"/>
        <v/>
      </c>
      <c r="HE37" s="344" t="str">
        <f t="shared" si="59"/>
        <v/>
      </c>
      <c r="HF37" s="5" t="str">
        <f t="shared" si="60"/>
        <v/>
      </c>
      <c r="HG37" s="343" t="str">
        <f t="shared" si="239"/>
        <v/>
      </c>
      <c r="HH37" s="349" t="str">
        <f t="shared" si="240"/>
        <v/>
      </c>
      <c r="HI37" s="317" t="str">
        <f t="shared" si="61"/>
        <v/>
      </c>
      <c r="HJ37" s="336"/>
      <c r="HK37" s="310" t="str">
        <f t="shared" si="131"/>
        <v/>
      </c>
      <c r="HL37" s="348" t="str">
        <f t="shared" si="62"/>
        <v/>
      </c>
      <c r="HM37" s="923" t="str">
        <f t="shared" si="63"/>
        <v/>
      </c>
      <c r="HN37" s="924" t="str">
        <f t="shared" si="64"/>
        <v/>
      </c>
      <c r="HO37" s="925"/>
      <c r="HP37" s="926"/>
      <c r="HQ37" s="924" t="str">
        <f t="shared" si="65"/>
        <v/>
      </c>
      <c r="HR37" s="927" t="str">
        <f t="shared" si="66"/>
        <v/>
      </c>
      <c r="HS37" s="879" t="str">
        <f t="shared" si="261"/>
        <v/>
      </c>
      <c r="HT37" s="889" t="str">
        <f t="shared" si="67"/>
        <v/>
      </c>
      <c r="HU37" s="890" t="str">
        <f t="shared" si="68"/>
        <v/>
      </c>
      <c r="HV37" s="886" t="str">
        <f t="shared" si="69"/>
        <v/>
      </c>
      <c r="HW37" s="880" t="str">
        <f t="shared" si="70"/>
        <v/>
      </c>
      <c r="HX37" s="881" t="str">
        <f t="shared" si="71"/>
        <v/>
      </c>
      <c r="HY37" s="880" t="str">
        <f t="shared" si="72"/>
        <v/>
      </c>
      <c r="HZ37" s="882" t="str">
        <f t="shared" si="73"/>
        <v/>
      </c>
      <c r="IA37" s="883" t="str">
        <f t="shared" si="74"/>
        <v/>
      </c>
      <c r="IB37" s="884" t="str">
        <f t="shared" si="75"/>
        <v/>
      </c>
      <c r="IC37" s="855" t="str">
        <f t="shared" si="76"/>
        <v/>
      </c>
      <c r="ID37" s="351" t="str">
        <f t="shared" si="77"/>
        <v/>
      </c>
      <c r="IE37" s="857" t="str">
        <f t="shared" si="78"/>
        <v/>
      </c>
      <c r="IF37" s="858"/>
      <c r="IG37" s="790" t="str">
        <f>IFERROR(IF($IW37="","",IF($IW37&lt;(((Settings!$C$19/2)*-1)*$IG$8),"Taper","Nose")),"")</f>
        <v/>
      </c>
      <c r="IH37" s="482" t="str">
        <f>IFERROR(IF((((($IY37*COS(RADIANS(180-$JA37)))*COS(RADIANS($JA37)))-(($IZ37*SIN(RADIANS(180-$JA37)))*SIN(RADIANS($JA37))))+$IW37)&lt;(((Settings!$C$19+$IH$8)/2)*-1),"Gage",""),"")</f>
        <v/>
      </c>
      <c r="II37" s="788">
        <f t="shared" si="241"/>
        <v>5.1260000000000003</v>
      </c>
      <c r="IJ37" s="674" t="str" cm="1">
        <f t="array" ref="IJ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K37" s="677" t="str" cm="1">
        <f t="array" ref="IK37">IFERROR(ROUND(VALUE(IF($IJ37&lt;1,$IJ37+LARGE((IF($M$9:$M$150="",0,$M$9:$M$150)-MOD(IF($M$9:$M$150="",0,$M$9:$M$150),1)),1),$IJ37)),4),"")</f>
        <v/>
      </c>
      <c r="IL37" s="482">
        <f t="shared" si="79"/>
        <v>1313</v>
      </c>
      <c r="IM37" s="482" t="str">
        <f t="shared" si="242"/>
        <v/>
      </c>
      <c r="IN37" s="670" t="str">
        <f t="shared" si="81"/>
        <v/>
      </c>
      <c r="IO37" s="702"/>
      <c r="IP37" s="5" t="str">
        <f t="shared" si="82"/>
        <v/>
      </c>
      <c r="IQ37" s="714"/>
      <c r="IR37" s="9" t="str">
        <f t="shared" si="132"/>
        <v/>
      </c>
      <c r="IS37" s="5" t="str">
        <f t="shared" si="83"/>
        <v/>
      </c>
      <c r="IT37" s="5" t="str">
        <f t="shared" si="84"/>
        <v/>
      </c>
      <c r="IU37" s="5" t="str">
        <f t="shared" si="85"/>
        <v/>
      </c>
      <c r="IV37" s="670" t="str">
        <f t="shared" si="86"/>
        <v/>
      </c>
      <c r="IW37" s="9" t="str">
        <f t="shared" si="87"/>
        <v/>
      </c>
      <c r="IX37" s="5" t="str">
        <f t="shared" si="88"/>
        <v/>
      </c>
      <c r="IY37" s="5" t="str">
        <f t="shared" si="89"/>
        <v/>
      </c>
      <c r="IZ37" s="5" t="str">
        <f t="shared" si="90"/>
        <v/>
      </c>
      <c r="JA37" s="705" t="str">
        <f t="shared" si="91"/>
        <v/>
      </c>
      <c r="JM37" s="489">
        <f t="shared" si="133"/>
        <v>26</v>
      </c>
      <c r="JN37" s="960">
        <f>($JO37-SMALL($JO$9:$JO$88,1))/((Settings!$C$19/2)-((Settings!$C$19/2)-LARGE($JO$9:$JO$88,1))-SMALL($JO$9:$JO$88,1))</f>
        <v>0.84448110030512535</v>
      </c>
      <c r="JO37" s="162">
        <f t="shared" si="134"/>
        <v>3.1907966212557821</v>
      </c>
      <c r="JP37" s="961">
        <f t="shared" si="135"/>
        <v>-36.730726939286235</v>
      </c>
      <c r="JQ37" s="961">
        <f t="shared" si="136"/>
        <v>16.792436485975752</v>
      </c>
      <c r="JS37" s="82">
        <v>29</v>
      </c>
      <c r="JT37" s="322">
        <f t="shared" si="137"/>
        <v>3.3718814394277494</v>
      </c>
      <c r="JU37" s="963">
        <f t="shared" si="138"/>
        <v>0.89733643580789479</v>
      </c>
      <c r="JV37" s="961">
        <f t="shared" si="287"/>
        <v>-44.90439341033882</v>
      </c>
      <c r="JW37" s="961">
        <f t="shared" si="92"/>
        <v>19.773331010254932</v>
      </c>
      <c r="JX37" s="1">
        <v>6.6369999999999996</v>
      </c>
      <c r="JY37" s="965">
        <f t="shared" si="139"/>
        <v>0.92673739350509843</v>
      </c>
      <c r="JZ37" s="973">
        <v>65.012599999999992</v>
      </c>
      <c r="KA37" s="410">
        <f t="shared" si="280"/>
        <v>-1.3316533333333354</v>
      </c>
      <c r="KB37" s="974">
        <f t="shared" si="243"/>
        <v>29</v>
      </c>
      <c r="KC37" s="968" cm="1">
        <f t="array" ref="KC37">(((INDEX($JV$9:$JV$53,MATCH(INDEX($JU$9:$JU$53,MATCH(TRUE,INDEX($JU$9:$JU$53&gt;$JY37,0),)),$JU$9:$JU$53,0))-INDEX($JV$9:$JV$53,MATCH(INDEX($JU$9:$JU$53,MATCH(TRUE,INDEX($JU$9:$JU$53&gt;$JY37,0),)-1),$JU$9:$JU$53,0)))*(($JY37-INDEX($JU$9:$JU$53,MATCH(TRUE,INDEX($JU$9:$JU$53&gt;$JY37,0),)-1))/(INDEX($JU$9:$JU$53,MATCH(TRUE,INDEX($JU$9:$JU$53&gt;$JY37,0),))-INDEX($JU$9:$JU$53,MATCH(TRUE,INDEX($JU$9:$JU$53&gt;$JY37,0),)-1))))+INDEX($JV$9:$JV$53,MATCH(INDEX($JU$9:$JU$53,MATCH(TRUE,INDEX($JU$9:$JU$53&gt;$JY37,0),)-1),$JU$9:$JU$53,0)))</f>
        <v>-50.204826467759609</v>
      </c>
      <c r="KD37" s="970">
        <v>-66.344253333333327</v>
      </c>
      <c r="KE37" s="968">
        <f t="shared" si="140"/>
        <v>-16.139426865573718</v>
      </c>
      <c r="KF37" s="968" cm="1">
        <f t="array" ref="KF37">(((INDEX($JW$9:$JW$53,MATCH(INDEX($JU$9:$JU$53,MATCH(TRUE,INDEX($JU$9:$JU$53&gt;$JY37,0),)),$JU$9:$JU$53,0))-INDEX($JW$9:$JW$53,MATCH(INDEX($JU$9:$JU$53,MATCH(TRUE,INDEX($JU$9:$JU$53&gt;$JY37,0),)-1),$JU$9:$JU$53,0)))*(($JY37-INDEX($JU$9:$JU$53,MATCH(TRUE,INDEX($JU$9:$JU$53&gt;$JY37,0),)-1))/(INDEX($JU$9:$JU$53,MATCH(TRUE,INDEX($JU$9:$JU$53&gt;$JY37,0),))-INDEX($JU$9:$JU$53,MATCH(TRUE,INDEX($JU$9:$JU$53&gt;$JY37,0),)-1))))+INDEX($JW$9:$JW$53,MATCH(INDEX($JU$9:$JU$53,MATCH(TRUE,INDEX($JU$9:$JU$53&gt;$JY37,0),)-1),$JU$9:$JU$53,0)))</f>
        <v>21.72665160578681</v>
      </c>
      <c r="KG37" s="966">
        <f t="shared" si="244"/>
        <v>-3.8843999999999994</v>
      </c>
      <c r="KH37" s="966">
        <f t="shared" si="141"/>
        <v>1.2258941796323377</v>
      </c>
      <c r="KJ37" s="31"/>
    </row>
    <row r="38" spans="1:296" ht="15" customHeight="1" x14ac:dyDescent="0.25">
      <c r="A38" s="75">
        <f t="shared" si="1"/>
        <v>0.02</v>
      </c>
      <c r="B38" s="578">
        <f t="shared" ref="B38:D38" si="316">IFERROR(O193+($A38*-E38),"")</f>
        <v>-4.5277314787633589E-2</v>
      </c>
      <c r="C38" s="572">
        <f t="shared" si="316"/>
        <v>-3.597350623753218</v>
      </c>
      <c r="D38" s="576">
        <f t="shared" si="316"/>
        <v>-0.96509605334867088</v>
      </c>
      <c r="E38" s="580">
        <f t="shared" ref="E38:K38" si="317">R193</f>
        <v>0.90355709591758437</v>
      </c>
      <c r="F38" s="572">
        <f t="shared" si="317"/>
        <v>-0.36787909453996581</v>
      </c>
      <c r="G38" s="579">
        <f t="shared" si="317"/>
        <v>0.21965779343660091</v>
      </c>
      <c r="H38" s="580">
        <f t="shared" si="317"/>
        <v>0.26450000000000001</v>
      </c>
      <c r="I38" s="572">
        <f t="shared" si="317"/>
        <v>0.52</v>
      </c>
      <c r="J38" s="483">
        <f t="shared" si="94"/>
        <v>5.1340000000000003</v>
      </c>
      <c r="K38" s="806">
        <f t="shared" si="317"/>
        <v>1313</v>
      </c>
      <c r="L38" s="309"/>
      <c r="M38" s="164">
        <f t="shared" si="4"/>
        <v>5.1340000000000003</v>
      </c>
      <c r="N38" s="575">
        <f t="shared" si="5"/>
        <v>-4.5277314787633589E-2</v>
      </c>
      <c r="O38" s="572">
        <f t="shared" si="6"/>
        <v>-3.597350623753218</v>
      </c>
      <c r="P38" s="576">
        <f t="shared" si="7"/>
        <v>-0.96509605334867088</v>
      </c>
      <c r="Q38" s="528">
        <f t="shared" si="144"/>
        <v>269.2788965150105</v>
      </c>
      <c r="R38" s="572">
        <f t="shared" si="95"/>
        <v>3.597635549281228</v>
      </c>
      <c r="S38" s="577">
        <f t="shared" si="96"/>
        <v>-0.96509605334867088</v>
      </c>
      <c r="T38" s="578">
        <f t="shared" si="97"/>
        <v>-3.5971069904235207</v>
      </c>
      <c r="U38" s="572">
        <f t="shared" si="98"/>
        <v>-6.1667210884602267E-2</v>
      </c>
      <c r="V38" s="579">
        <f t="shared" si="145"/>
        <v>-0.96509605334867088</v>
      </c>
      <c r="W38" s="528">
        <f t="shared" si="268"/>
        <v>180.98215728468548</v>
      </c>
      <c r="X38" s="572">
        <f t="shared" si="99"/>
        <v>3.597635549281228</v>
      </c>
      <c r="Y38" s="573">
        <f t="shared" si="271"/>
        <v>-0.96509605334867088</v>
      </c>
      <c r="Z38" s="575">
        <f t="shared" si="10"/>
        <v>-0.90355709591758437</v>
      </c>
      <c r="AA38" s="572">
        <f t="shared" si="11"/>
        <v>0.36787909453996581</v>
      </c>
      <c r="AB38" s="572">
        <f t="shared" si="12"/>
        <v>-0.21965779343660091</v>
      </c>
      <c r="AC38" s="579">
        <f t="shared" si="100"/>
        <v>1</v>
      </c>
      <c r="AD38" s="580">
        <f t="shared" si="146"/>
        <v>-0.90355709591758437</v>
      </c>
      <c r="AE38" s="572">
        <f t="shared" si="101"/>
        <v>0.36787909453996581</v>
      </c>
      <c r="AF38" s="576">
        <f t="shared" si="102"/>
        <v>-0.21965779343660091</v>
      </c>
      <c r="AG38" s="545">
        <f t="shared" si="103"/>
        <v>59.158897691247262</v>
      </c>
      <c r="AH38" s="546">
        <f t="shared" si="104"/>
        <v>154.62964389208335</v>
      </c>
      <c r="AI38" s="528">
        <f t="shared" si="105"/>
        <v>-77.311065641425927</v>
      </c>
      <c r="AJ38" s="529">
        <f t="shared" si="106"/>
        <v>-112.15346858965819</v>
      </c>
      <c r="AK38" s="578">
        <f t="shared" si="247"/>
        <v>0.90811540396741197</v>
      </c>
      <c r="AL38" s="572">
        <f t="shared" si="107"/>
        <v>-0.3564784241152163</v>
      </c>
      <c r="AM38" s="577">
        <f t="shared" si="108"/>
        <v>-0.21965779343660091</v>
      </c>
      <c r="AN38" s="524">
        <f t="shared" si="109"/>
        <v>-58.359115045289606</v>
      </c>
      <c r="AO38" s="525">
        <f t="shared" si="110"/>
        <v>24.753800177213943</v>
      </c>
      <c r="AP38" s="528">
        <f t="shared" si="111"/>
        <v>-21.432365104668698</v>
      </c>
      <c r="AQ38" s="529">
        <f t="shared" si="13"/>
        <v>0.76036366690189094</v>
      </c>
      <c r="AR38" s="979"/>
      <c r="AS38" s="954">
        <f t="shared" si="147"/>
        <v>180.98215728468548</v>
      </c>
      <c r="AT38" s="950">
        <f t="shared" si="14"/>
        <v>-0.8175127494239981</v>
      </c>
      <c r="AU38" s="418"/>
      <c r="AV38" s="164" t="str">
        <f t="shared" si="15"/>
        <v/>
      </c>
      <c r="AW38" s="829" t="str">
        <f>IFERROR(INDEX(MassProp!C$9:C$150,MATCH($M38,MassProp!$B$9:$B$150,0)),"")</f>
        <v/>
      </c>
      <c r="AX38" s="830" t="str">
        <f>IFERROR(INDEX(MassProp!D$9:D$150,MATCH($M38,MassProp!$B$9:$B$150,0)),"")</f>
        <v/>
      </c>
      <c r="AY38" s="831" t="str">
        <f>IFERROR(INDEX(MassProp!E$9:E$150,MATCH($M38,MassProp!$B$9:$B$150,0)),"")</f>
        <v/>
      </c>
      <c r="AZ38" s="297" t="str">
        <f t="shared" si="148"/>
        <v/>
      </c>
      <c r="BA38" s="296" t="str">
        <f t="shared" si="16"/>
        <v/>
      </c>
      <c r="BB38" s="190" t="str">
        <f t="shared" si="149"/>
        <v/>
      </c>
      <c r="BC38" s="9"/>
      <c r="BD38" s="5" t="str">
        <f t="shared" si="150"/>
        <v/>
      </c>
      <c r="BE38" s="6" t="str">
        <f t="shared" si="17"/>
        <v/>
      </c>
      <c r="BF38" s="4" t="str">
        <f t="shared" si="18"/>
        <v/>
      </c>
      <c r="BG38" s="5" t="str">
        <f t="shared" si="19"/>
        <v/>
      </c>
      <c r="BH38" s="10" t="str">
        <f t="shared" si="20"/>
        <v/>
      </c>
      <c r="BI38" s="9" t="str">
        <f t="shared" si="151"/>
        <v/>
      </c>
      <c r="BJ38" s="5" t="str">
        <f t="shared" si="21"/>
        <v/>
      </c>
      <c r="BK38" s="8" t="str">
        <f t="shared" si="22"/>
        <v/>
      </c>
      <c r="BL38" s="173" t="str">
        <f t="shared" si="23"/>
        <v/>
      </c>
      <c r="BM38" s="5" t="str">
        <f t="shared" si="24"/>
        <v/>
      </c>
      <c r="BN38" s="6" t="str">
        <f t="shared" si="25"/>
        <v/>
      </c>
      <c r="BO38" s="4" t="str">
        <f t="shared" si="152"/>
        <v/>
      </c>
      <c r="BP38" s="5" t="str">
        <f t="shared" si="153"/>
        <v/>
      </c>
      <c r="BQ38" s="5" t="str">
        <f t="shared" si="154"/>
        <v/>
      </c>
      <c r="BR38" s="6" t="str">
        <f t="shared" si="155"/>
        <v/>
      </c>
      <c r="BS38" s="4" t="str">
        <f t="shared" si="112"/>
        <v/>
      </c>
      <c r="BT38" s="5" t="str">
        <f t="shared" si="112"/>
        <v/>
      </c>
      <c r="BU38" s="10" t="str">
        <f t="shared" si="113"/>
        <v/>
      </c>
      <c r="BV38" s="9" t="str">
        <f t="shared" si="114"/>
        <v/>
      </c>
      <c r="BW38" s="5" t="str">
        <f t="shared" si="115"/>
        <v/>
      </c>
      <c r="BX38" s="8" t="str">
        <f t="shared" si="116"/>
        <v/>
      </c>
      <c r="BY38" s="173" t="str">
        <f t="shared" si="117"/>
        <v/>
      </c>
      <c r="BZ38" s="5" t="str">
        <f t="shared" si="118"/>
        <v/>
      </c>
      <c r="CA38" s="6" t="str">
        <f t="shared" si="119"/>
        <v/>
      </c>
      <c r="CB38" s="4" t="str">
        <f t="shared" si="156"/>
        <v/>
      </c>
      <c r="CC38" s="5" t="str">
        <f t="shared" si="157"/>
        <v/>
      </c>
      <c r="CD38" s="5" t="str">
        <f t="shared" si="158"/>
        <v/>
      </c>
      <c r="CE38" s="6" t="str">
        <f t="shared" si="159"/>
        <v/>
      </c>
      <c r="CF38" s="4" t="str">
        <f t="shared" si="160"/>
        <v/>
      </c>
      <c r="CG38" s="5" t="str">
        <f t="shared" si="161"/>
        <v/>
      </c>
      <c r="CH38" s="5" t="str">
        <f t="shared" si="162"/>
        <v/>
      </c>
      <c r="CI38" s="4" t="str">
        <f t="shared" si="120"/>
        <v/>
      </c>
      <c r="CJ38" s="5" t="str">
        <f t="shared" si="121"/>
        <v/>
      </c>
      <c r="CK38" s="8" t="str">
        <f t="shared" si="122"/>
        <v/>
      </c>
      <c r="CL38" s="173" t="str">
        <f t="shared" si="123"/>
        <v/>
      </c>
      <c r="CM38" s="5" t="str">
        <f t="shared" si="124"/>
        <v/>
      </c>
      <c r="CN38" s="6" t="str">
        <f t="shared" si="125"/>
        <v/>
      </c>
      <c r="CO38" s="167" t="str">
        <f t="shared" si="26"/>
        <v/>
      </c>
      <c r="CP38" s="4" t="str">
        <f t="shared" si="248"/>
        <v/>
      </c>
      <c r="CQ38" s="5" t="str">
        <f t="shared" si="249"/>
        <v/>
      </c>
      <c r="CR38" s="5" t="str">
        <f t="shared" si="163"/>
        <v/>
      </c>
      <c r="CS38" s="8" t="str">
        <f t="shared" si="164"/>
        <v/>
      </c>
      <c r="CT38" s="9" t="str">
        <f t="shared" si="165"/>
        <v/>
      </c>
      <c r="CU38" s="6" t="str">
        <f t="shared" si="166"/>
        <v/>
      </c>
      <c r="CV38" s="4" t="str">
        <f t="shared" si="250"/>
        <v/>
      </c>
      <c r="CW38" s="5" t="str">
        <f t="shared" si="167"/>
        <v/>
      </c>
      <c r="CX38" s="8" t="str">
        <f t="shared" si="168"/>
        <v/>
      </c>
      <c r="CY38" s="9" t="str">
        <f t="shared" si="169"/>
        <v/>
      </c>
      <c r="CZ38" s="5" t="str">
        <f t="shared" si="170"/>
        <v/>
      </c>
      <c r="DA38" s="6" t="str">
        <f t="shared" si="171"/>
        <v/>
      </c>
      <c r="DB38" s="4" t="str">
        <f t="shared" si="172"/>
        <v/>
      </c>
      <c r="DC38" s="5" t="str">
        <f t="shared" si="172"/>
        <v/>
      </c>
      <c r="DD38" s="10" t="str">
        <f t="shared" si="173"/>
        <v/>
      </c>
      <c r="DE38" s="9" t="str">
        <f t="shared" si="174"/>
        <v/>
      </c>
      <c r="DF38" s="5" t="str">
        <f t="shared" si="174"/>
        <v/>
      </c>
      <c r="DG38" s="10" t="str">
        <f t="shared" si="175"/>
        <v/>
      </c>
      <c r="DH38" s="70" t="str">
        <f t="shared" si="176"/>
        <v/>
      </c>
      <c r="DI38" s="4" t="str">
        <f t="shared" si="177"/>
        <v/>
      </c>
      <c r="DJ38" s="5" t="str">
        <f t="shared" si="178"/>
        <v/>
      </c>
      <c r="DK38" s="10" t="str">
        <f t="shared" si="179"/>
        <v/>
      </c>
      <c r="DL38" s="9" t="str">
        <f t="shared" si="180"/>
        <v/>
      </c>
      <c r="DM38" s="173" t="str">
        <f t="shared" si="181"/>
        <v/>
      </c>
      <c r="DN38" s="178" t="str">
        <f t="shared" si="182"/>
        <v/>
      </c>
      <c r="DO38" s="9" t="str">
        <f t="shared" si="183"/>
        <v/>
      </c>
      <c r="DP38" s="173" t="str">
        <f t="shared" si="184"/>
        <v/>
      </c>
      <c r="DQ38" s="11" t="str">
        <f t="shared" si="185"/>
        <v/>
      </c>
      <c r="DR38" s="173" t="str">
        <f t="shared" si="186"/>
        <v/>
      </c>
      <c r="DS38" s="5" t="str">
        <f t="shared" si="187"/>
        <v/>
      </c>
      <c r="DT38" s="5" t="str">
        <f t="shared" si="188"/>
        <v/>
      </c>
      <c r="DU38" s="5" t="str">
        <f t="shared" si="189"/>
        <v/>
      </c>
      <c r="DV38" s="5" t="str">
        <f t="shared" si="190"/>
        <v/>
      </c>
      <c r="DW38" s="5" t="str">
        <f t="shared" si="191"/>
        <v/>
      </c>
      <c r="DX38" s="167" t="str">
        <f t="shared" si="192"/>
        <v/>
      </c>
      <c r="DY38" s="9" t="str">
        <f t="shared" si="193"/>
        <v/>
      </c>
      <c r="DZ38" s="5" t="str">
        <f t="shared" si="194"/>
        <v/>
      </c>
      <c r="EA38" s="10" t="str">
        <f t="shared" si="195"/>
        <v/>
      </c>
      <c r="EB38" s="6" t="str">
        <f t="shared" si="196"/>
        <v/>
      </c>
      <c r="EC38" s="173" t="str">
        <f t="shared" si="197"/>
        <v/>
      </c>
      <c r="ED38" s="5" t="str">
        <f t="shared" si="198"/>
        <v/>
      </c>
      <c r="EE38" s="4" t="str">
        <f t="shared" si="199"/>
        <v/>
      </c>
      <c r="EF38" s="5" t="str">
        <f t="shared" si="200"/>
        <v/>
      </c>
      <c r="EG38" s="10" t="str">
        <f t="shared" si="201"/>
        <v/>
      </c>
      <c r="EH38" s="9" t="str">
        <f t="shared" si="202"/>
        <v/>
      </c>
      <c r="EI38" s="5" t="str">
        <f t="shared" si="203"/>
        <v/>
      </c>
      <c r="EJ38" s="6" t="str">
        <f t="shared" si="204"/>
        <v/>
      </c>
      <c r="EK38" s="236" t="str">
        <f t="shared" si="205"/>
        <v/>
      </c>
      <c r="EL38" s="238" t="str">
        <f t="shared" si="206"/>
        <v/>
      </c>
      <c r="EM38" s="4" t="str">
        <f t="shared" si="207"/>
        <v/>
      </c>
      <c r="EN38" s="5" t="str">
        <f t="shared" si="208"/>
        <v/>
      </c>
      <c r="EO38" s="10" t="str">
        <f t="shared" si="209"/>
        <v/>
      </c>
      <c r="EP38" s="9" t="str">
        <f t="shared" si="210"/>
        <v/>
      </c>
      <c r="EQ38" s="5" t="str">
        <f t="shared" si="211"/>
        <v/>
      </c>
      <c r="ER38" s="7" t="str">
        <f t="shared" si="212"/>
        <v/>
      </c>
      <c r="ES38" s="21" t="str">
        <f t="shared" si="126"/>
        <v/>
      </c>
      <c r="ET38" s="5" t="str">
        <f t="shared" si="35"/>
        <v/>
      </c>
      <c r="EU38" s="10" t="str">
        <f t="shared" si="36"/>
        <v/>
      </c>
      <c r="EV38" s="174" t="str">
        <f t="shared" si="264"/>
        <v/>
      </c>
      <c r="EW38" s="9" t="str">
        <f t="shared" si="127"/>
        <v/>
      </c>
      <c r="EX38" s="5" t="str">
        <f t="shared" si="37"/>
        <v/>
      </c>
      <c r="EY38" s="6" t="str">
        <f t="shared" si="213"/>
        <v/>
      </c>
      <c r="EZ38" s="51" t="str">
        <f t="shared" si="214"/>
        <v/>
      </c>
      <c r="FA38" s="266" t="str">
        <f t="shared" si="128"/>
        <v/>
      </c>
      <c r="FB38" s="267" t="str">
        <f t="shared" si="129"/>
        <v/>
      </c>
      <c r="FC38" s="269" t="str">
        <f t="shared" si="38"/>
        <v/>
      </c>
      <c r="FD38" s="4" t="str">
        <f t="shared" si="130"/>
        <v/>
      </c>
      <c r="FE38" s="5" t="str">
        <f t="shared" si="39"/>
        <v/>
      </c>
      <c r="FF38" s="7" t="str">
        <f t="shared" si="215"/>
        <v/>
      </c>
      <c r="FG38" s="173" t="str">
        <f t="shared" si="216"/>
        <v/>
      </c>
      <c r="FH38" s="5" t="str">
        <f t="shared" si="40"/>
        <v/>
      </c>
      <c r="FI38" s="10" t="str">
        <f t="shared" si="41"/>
        <v/>
      </c>
      <c r="FJ38" s="279" t="str">
        <f t="shared" si="217"/>
        <v/>
      </c>
      <c r="FK38" s="4" t="str">
        <f t="shared" si="42"/>
        <v/>
      </c>
      <c r="FL38" s="5" t="str">
        <f t="shared" si="218"/>
        <v/>
      </c>
      <c r="FM38" s="8" t="str">
        <f t="shared" si="219"/>
        <v/>
      </c>
      <c r="FN38" s="9" t="str">
        <f t="shared" si="220"/>
        <v/>
      </c>
      <c r="FO38" s="10" t="str">
        <f t="shared" si="43"/>
        <v/>
      </c>
      <c r="FP38" s="277" t="str">
        <f t="shared" si="44"/>
        <v/>
      </c>
      <c r="FQ38" s="173" t="str">
        <f t="shared" si="251"/>
        <v/>
      </c>
      <c r="FR38" s="10" t="str">
        <f t="shared" si="221"/>
        <v/>
      </c>
      <c r="FS38" s="9" t="str">
        <f t="shared" si="222"/>
        <v/>
      </c>
      <c r="FT38" s="6" t="str">
        <f t="shared" si="223"/>
        <v/>
      </c>
      <c r="FU38" s="4" t="str">
        <f t="shared" si="224"/>
        <v/>
      </c>
      <c r="FV38" s="5" t="str">
        <f t="shared" si="225"/>
        <v/>
      </c>
      <c r="FW38" s="8" t="str">
        <f t="shared" si="252"/>
        <v/>
      </c>
      <c r="FX38" s="9" t="str">
        <f t="shared" si="253"/>
        <v/>
      </c>
      <c r="FY38" s="10" t="str">
        <f t="shared" si="45"/>
        <v/>
      </c>
      <c r="FZ38" s="277" t="str">
        <f t="shared" si="254"/>
        <v/>
      </c>
      <c r="GA38" s="177" t="str">
        <f t="shared" si="226"/>
        <v/>
      </c>
      <c r="GB38" s="4" t="str">
        <f t="shared" si="227"/>
        <v/>
      </c>
      <c r="GC38" s="5" t="str">
        <f t="shared" si="228"/>
        <v/>
      </c>
      <c r="GD38" s="10" t="str">
        <f t="shared" si="229"/>
        <v/>
      </c>
      <c r="GE38" s="311" t="str">
        <f t="shared" si="230"/>
        <v/>
      </c>
      <c r="GF38" s="341" t="str">
        <f t="shared" si="255"/>
        <v/>
      </c>
      <c r="GG38" s="285" t="str">
        <f t="shared" si="46"/>
        <v/>
      </c>
      <c r="GH38" s="286" t="str">
        <f t="shared" si="47"/>
        <v/>
      </c>
      <c r="GI38" s="281" t="str">
        <f t="shared" si="48"/>
        <v/>
      </c>
      <c r="GJ38" s="167" t="str">
        <f t="shared" si="231"/>
        <v/>
      </c>
      <c r="GK38" s="174" t="str">
        <f t="shared" si="49"/>
        <v/>
      </c>
      <c r="GL38" s="174" t="str">
        <f t="shared" si="232"/>
        <v/>
      </c>
      <c r="GM38" s="177" t="str">
        <f t="shared" si="256"/>
        <v/>
      </c>
      <c r="GN38" s="280" t="str">
        <f t="shared" si="233"/>
        <v/>
      </c>
      <c r="GO38" s="4" t="str">
        <f t="shared" si="234"/>
        <v/>
      </c>
      <c r="GP38" s="8" t="str">
        <f t="shared" si="257"/>
        <v/>
      </c>
      <c r="GQ38" s="177" t="str">
        <f t="shared" si="235"/>
        <v/>
      </c>
      <c r="GR38" s="371" t="str">
        <f t="shared" si="258"/>
        <v/>
      </c>
      <c r="GS38" s="342" t="str">
        <f t="shared" si="51"/>
        <v/>
      </c>
      <c r="GT38" s="343" t="str">
        <f t="shared" si="52"/>
        <v/>
      </c>
      <c r="GU38" s="344" t="str">
        <f t="shared" si="53"/>
        <v/>
      </c>
      <c r="GV38" s="343" t="str">
        <f t="shared" si="265"/>
        <v/>
      </c>
      <c r="GW38" s="345" t="str">
        <f t="shared" si="54"/>
        <v/>
      </c>
      <c r="GX38" s="346" t="str">
        <f t="shared" si="55"/>
        <v/>
      </c>
      <c r="GY38" s="344" t="str">
        <f t="shared" si="56"/>
        <v/>
      </c>
      <c r="GZ38" s="345" t="str">
        <f t="shared" si="57"/>
        <v/>
      </c>
      <c r="HA38" s="342" t="str">
        <f t="shared" si="58"/>
        <v/>
      </c>
      <c r="HB38" s="5" t="str">
        <f t="shared" si="236"/>
        <v/>
      </c>
      <c r="HC38" s="343" t="str">
        <f t="shared" si="237"/>
        <v/>
      </c>
      <c r="HD38" s="363" t="str">
        <f t="shared" si="238"/>
        <v/>
      </c>
      <c r="HE38" s="344" t="str">
        <f t="shared" si="59"/>
        <v/>
      </c>
      <c r="HF38" s="5" t="str">
        <f t="shared" si="60"/>
        <v/>
      </c>
      <c r="HG38" s="343" t="str">
        <f t="shared" si="239"/>
        <v/>
      </c>
      <c r="HH38" s="349" t="str">
        <f t="shared" si="240"/>
        <v/>
      </c>
      <c r="HI38" s="317" t="str">
        <f t="shared" si="61"/>
        <v/>
      </c>
      <c r="HJ38" s="336"/>
      <c r="HK38" s="310" t="str">
        <f t="shared" si="131"/>
        <v/>
      </c>
      <c r="HL38" s="348" t="str">
        <f t="shared" si="62"/>
        <v/>
      </c>
      <c r="HM38" s="923" t="str">
        <f t="shared" si="63"/>
        <v/>
      </c>
      <c r="HN38" s="924" t="str">
        <f t="shared" si="64"/>
        <v/>
      </c>
      <c r="HO38" s="925"/>
      <c r="HP38" s="926"/>
      <c r="HQ38" s="924" t="str">
        <f t="shared" si="65"/>
        <v/>
      </c>
      <c r="HR38" s="927" t="str">
        <f t="shared" si="66"/>
        <v/>
      </c>
      <c r="HS38" s="879" t="str">
        <f t="shared" si="261"/>
        <v/>
      </c>
      <c r="HT38" s="889" t="str">
        <f t="shared" si="67"/>
        <v/>
      </c>
      <c r="HU38" s="890" t="str">
        <f t="shared" si="68"/>
        <v/>
      </c>
      <c r="HV38" s="886" t="str">
        <f t="shared" si="69"/>
        <v/>
      </c>
      <c r="HW38" s="880" t="str">
        <f t="shared" si="70"/>
        <v/>
      </c>
      <c r="HX38" s="881" t="str">
        <f t="shared" si="71"/>
        <v/>
      </c>
      <c r="HY38" s="880" t="str">
        <f t="shared" si="72"/>
        <v/>
      </c>
      <c r="HZ38" s="882" t="str">
        <f t="shared" si="73"/>
        <v/>
      </c>
      <c r="IA38" s="883" t="str">
        <f t="shared" si="74"/>
        <v/>
      </c>
      <c r="IB38" s="884" t="str">
        <f t="shared" si="75"/>
        <v/>
      </c>
      <c r="IC38" s="855" t="str">
        <f t="shared" si="76"/>
        <v/>
      </c>
      <c r="ID38" s="351" t="str">
        <f t="shared" si="77"/>
        <v/>
      </c>
      <c r="IE38" s="857" t="str">
        <f t="shared" si="78"/>
        <v/>
      </c>
      <c r="IF38" s="859"/>
      <c r="IG38" s="790" t="str">
        <f>IFERROR(IF($IW38="","",IF($IW38&lt;(((Settings!$C$19/2)*-1)*$IG$8),"Taper","Nose")),"")</f>
        <v/>
      </c>
      <c r="IH38" s="482" t="str">
        <f>IFERROR(IF((((($IY38*COS(RADIANS(180-$JA38)))*COS(RADIANS($JA38)))-(($IZ38*SIN(RADIANS(180-$JA38)))*SIN(RADIANS($JA38))))+$IW38)&lt;(((Settings!$C$19+$IH$8)/2)*-1),"Gage",""),"")</f>
        <v/>
      </c>
      <c r="II38" s="788">
        <f t="shared" si="241"/>
        <v>5.1340000000000003</v>
      </c>
      <c r="IJ38" s="674" t="str" cm="1">
        <f t="array" ref="IJ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K38" s="677" t="str" cm="1">
        <f t="array" ref="IK38">IFERROR(ROUND(VALUE(IF($IJ38&lt;1,$IJ38+LARGE((IF($M$9:$M$150="",0,$M$9:$M$150)-MOD(IF($M$9:$M$150="",0,$M$9:$M$150),1)),1),$IJ38)),4),"")</f>
        <v/>
      </c>
      <c r="IL38" s="482">
        <f t="shared" si="79"/>
        <v>1313</v>
      </c>
      <c r="IM38" s="482" t="str">
        <f t="shared" si="242"/>
        <v/>
      </c>
      <c r="IN38" s="670" t="str">
        <f t="shared" si="81"/>
        <v/>
      </c>
      <c r="IO38" s="702"/>
      <c r="IP38" s="5" t="str">
        <f t="shared" si="82"/>
        <v/>
      </c>
      <c r="IQ38" s="714"/>
      <c r="IR38" s="9" t="str">
        <f t="shared" si="132"/>
        <v/>
      </c>
      <c r="IS38" s="5" t="str">
        <f t="shared" si="83"/>
        <v/>
      </c>
      <c r="IT38" s="5" t="str">
        <f t="shared" si="84"/>
        <v/>
      </c>
      <c r="IU38" s="5" t="str">
        <f t="shared" si="85"/>
        <v/>
      </c>
      <c r="IV38" s="670" t="str">
        <f t="shared" si="86"/>
        <v/>
      </c>
      <c r="IW38" s="9" t="str">
        <f t="shared" si="87"/>
        <v/>
      </c>
      <c r="IX38" s="5" t="str">
        <f t="shared" si="88"/>
        <v/>
      </c>
      <c r="IY38" s="5" t="str">
        <f t="shared" si="89"/>
        <v/>
      </c>
      <c r="IZ38" s="5" t="str">
        <f t="shared" si="90"/>
        <v/>
      </c>
      <c r="JA38" s="705" t="str">
        <f t="shared" si="91"/>
        <v/>
      </c>
      <c r="JM38" s="489">
        <f t="shared" si="133"/>
        <v>34</v>
      </c>
      <c r="JN38" s="960">
        <f>($JO38-SMALL($JO$9:$JO$88,1))/((Settings!$C$19/2)-((Settings!$C$19/2)-LARGE($JO$9:$JO$88,1))-SMALL($JO$9:$JO$88,1))</f>
        <v>0.96322991786724199</v>
      </c>
      <c r="JO38" s="162">
        <f t="shared" si="134"/>
        <v>3.597635549281228</v>
      </c>
      <c r="JP38" s="961">
        <f t="shared" si="135"/>
        <v>-58.359115045289606</v>
      </c>
      <c r="JQ38" s="961">
        <f t="shared" si="136"/>
        <v>24.753800177213943</v>
      </c>
      <c r="JS38" s="82">
        <v>30</v>
      </c>
      <c r="JT38" s="322">
        <f t="shared" si="137"/>
        <v>3.4251216587834441</v>
      </c>
      <c r="JU38" s="963">
        <f t="shared" si="138"/>
        <v>0.91287627887532374</v>
      </c>
      <c r="JV38" s="961">
        <f t="shared" si="287"/>
        <v>-47.608881883748332</v>
      </c>
      <c r="JW38" s="961">
        <f t="shared" si="92"/>
        <v>20.76830449400008</v>
      </c>
      <c r="JX38" s="1">
        <v>6.7382</v>
      </c>
      <c r="JY38" s="965">
        <f t="shared" si="139"/>
        <v>0.94162828681155364</v>
      </c>
      <c r="JZ38" s="973">
        <v>69.494599999999991</v>
      </c>
      <c r="KA38" s="410">
        <f t="shared" si="280"/>
        <v>-0.73405333333333544</v>
      </c>
      <c r="KB38" s="977">
        <f t="shared" si="243"/>
        <v>30</v>
      </c>
      <c r="KC38" s="968" cm="1">
        <f t="array" ref="KC38">(((INDEX($JV$9:$JV$53,MATCH(INDEX($JU$9:$JU$53,MATCH(TRUE,INDEX($JU$9:$JU$53&gt;$JY38,0),)),$JU$9:$JU$53,0))-INDEX($JV$9:$JV$53,MATCH(INDEX($JU$9:$JU$53,MATCH(TRUE,INDEX($JU$9:$JU$53&gt;$JY38,0),)-1),$JU$9:$JU$53,0)))*(($JY38-INDEX($JU$9:$JU$53,MATCH(TRUE,INDEX($JU$9:$JU$53&gt;$JY38,0),)-1))/(INDEX($JU$9:$JU$53,MATCH(TRUE,INDEX($JU$9:$JU$53&gt;$JY38,0),))-INDEX($JU$9:$JU$53,MATCH(TRUE,INDEX($JU$9:$JU$53&gt;$JY38,0),)-1))))+INDEX($JV$9:$JV$53,MATCH(INDEX($JU$9:$JU$53,MATCH(TRUE,INDEX($JU$9:$JU$53&gt;$JY38,0),)-1),$JU$9:$JU$53,0)))</f>
        <v>-53.246626482473438</v>
      </c>
      <c r="KD38" s="970">
        <v>-70.228653333333327</v>
      </c>
      <c r="KE38" s="968">
        <f t="shared" si="140"/>
        <v>-16.982026850859889</v>
      </c>
      <c r="KF38" s="968" cm="1">
        <f t="array" ref="KF38">(((INDEX($JW$9:$JW$53,MATCH(INDEX($JU$9:$JU$53,MATCH(TRUE,INDEX($JU$9:$JU$53&gt;$JY38,0),)),$JU$9:$JU$53,0))-INDEX($JW$9:$JW$53,MATCH(INDEX($JU$9:$JU$53,MATCH(TRUE,INDEX($JU$9:$JU$53&gt;$JY38,0),)-1),$JU$9:$JU$53,0)))*(($JY38-INDEX($JU$9:$JU$53,MATCH(TRUE,INDEX($JU$9:$JU$53&gt;$JY38,0),)-1))/(INDEX($JU$9:$JU$53,MATCH(TRUE,INDEX($JU$9:$JU$53&gt;$JY38,0),))-INDEX($JU$9:$JU$53,MATCH(TRUE,INDEX($JU$9:$JU$53&gt;$JY38,0),)-1))))+INDEX($JW$9:$JW$53,MATCH(INDEX($JU$9:$JU$53,MATCH(TRUE,INDEX($JU$9:$JU$53&gt;$JY38,0),)-1),$JU$9:$JU$53,0)))</f>
        <v>22.853157581673322</v>
      </c>
      <c r="KG38" s="966">
        <f t="shared" si="244"/>
        <v>-3.8843999999999994</v>
      </c>
      <c r="KH38" s="966">
        <f t="shared" si="141"/>
        <v>1.1265059758865128</v>
      </c>
      <c r="KJ38" s="31"/>
    </row>
    <row r="39" spans="1:296" ht="15" customHeight="1" x14ac:dyDescent="0.25">
      <c r="A39" s="75">
        <f t="shared" si="1"/>
        <v>0.02</v>
      </c>
      <c r="B39" s="578">
        <f t="shared" ref="B39:D39" si="318">IFERROR(O194+($A39*-E39),"")</f>
        <v>-5.9660218264063605E-2</v>
      </c>
      <c r="C39" s="572">
        <f t="shared" si="318"/>
        <v>-3.7231335744321052</v>
      </c>
      <c r="D39" s="576">
        <f t="shared" si="318"/>
        <v>-1.6296866067484277</v>
      </c>
      <c r="E39" s="580">
        <f t="shared" ref="E39:K39" si="319">R194</f>
        <v>0.8603749078844305</v>
      </c>
      <c r="F39" s="572">
        <f t="shared" si="319"/>
        <v>-0.5018156110536881</v>
      </c>
      <c r="G39" s="579">
        <f t="shared" si="319"/>
        <v>8.908484936099674E-2</v>
      </c>
      <c r="H39" s="580">
        <f t="shared" si="319"/>
        <v>0.26450000000000001</v>
      </c>
      <c r="I39" s="572">
        <f t="shared" si="319"/>
        <v>0.52</v>
      </c>
      <c r="J39" s="483">
        <f t="shared" si="94"/>
        <v>5.1420000000000003</v>
      </c>
      <c r="K39" s="806">
        <f t="shared" si="319"/>
        <v>1313</v>
      </c>
      <c r="L39" s="309"/>
      <c r="M39" s="164">
        <f t="shared" si="4"/>
        <v>5.1420000000000003</v>
      </c>
      <c r="N39" s="575">
        <f t="shared" si="5"/>
        <v>-5.9660218264063605E-2</v>
      </c>
      <c r="O39" s="572">
        <f t="shared" si="6"/>
        <v>-3.7231335744321052</v>
      </c>
      <c r="P39" s="576">
        <f t="shared" si="7"/>
        <v>-1.6296866067484277</v>
      </c>
      <c r="Q39" s="528">
        <f t="shared" si="144"/>
        <v>269.08195982977128</v>
      </c>
      <c r="R39" s="572">
        <f t="shared" si="95"/>
        <v>3.7236115472356808</v>
      </c>
      <c r="S39" s="577">
        <f t="shared" si="96"/>
        <v>-1.6296866067484277</v>
      </c>
      <c r="T39" s="578">
        <f t="shared" si="97"/>
        <v>-3.7232618713534844</v>
      </c>
      <c r="U39" s="572">
        <f t="shared" si="98"/>
        <v>-5.1029325218440835E-2</v>
      </c>
      <c r="V39" s="579">
        <f t="shared" si="145"/>
        <v>-1.6296866067484277</v>
      </c>
      <c r="W39" s="528">
        <f t="shared" si="268"/>
        <v>180.78522059944626</v>
      </c>
      <c r="X39" s="572">
        <f t="shared" si="99"/>
        <v>3.7236115472356808</v>
      </c>
      <c r="Y39" s="573">
        <f t="shared" si="271"/>
        <v>-1.6296866067484277</v>
      </c>
      <c r="Z39" s="575">
        <f t="shared" si="10"/>
        <v>-0.8603749078844305</v>
      </c>
      <c r="AA39" s="572">
        <f t="shared" si="11"/>
        <v>0.5018156110536881</v>
      </c>
      <c r="AB39" s="572">
        <f t="shared" si="12"/>
        <v>-8.908484936099674E-2</v>
      </c>
      <c r="AC39" s="579">
        <f t="shared" si="100"/>
        <v>1</v>
      </c>
      <c r="AD39" s="580">
        <f t="shared" si="146"/>
        <v>-0.8603749078844305</v>
      </c>
      <c r="AE39" s="572">
        <f t="shared" si="101"/>
        <v>0.5018156110536881</v>
      </c>
      <c r="AF39" s="576">
        <f t="shared" si="102"/>
        <v>-8.908484936099674E-2</v>
      </c>
      <c r="AG39" s="545">
        <f t="shared" si="103"/>
        <v>79.933438355991441</v>
      </c>
      <c r="AH39" s="546">
        <f t="shared" si="104"/>
        <v>149.35870361931759</v>
      </c>
      <c r="AI39" s="528">
        <f t="shared" si="105"/>
        <v>-84.889038657775785</v>
      </c>
      <c r="AJ39" s="529">
        <f t="shared" si="106"/>
        <v>-120.25297130115068</v>
      </c>
      <c r="AK39" s="578">
        <f t="shared" si="247"/>
        <v>0.86830462684205112</v>
      </c>
      <c r="AL39" s="572">
        <f t="shared" si="107"/>
        <v>-0.48796615109965868</v>
      </c>
      <c r="AM39" s="577">
        <f t="shared" si="108"/>
        <v>-8.908484936099674E-2</v>
      </c>
      <c r="AN39" s="524">
        <f t="shared" si="109"/>
        <v>-79.653817237246486</v>
      </c>
      <c r="AO39" s="525">
        <f t="shared" si="110"/>
        <v>29.737780066539504</v>
      </c>
      <c r="AP39" s="528">
        <f t="shared" si="111"/>
        <v>-29.334931130921962</v>
      </c>
      <c r="AQ39" s="529">
        <f t="shared" si="13"/>
        <v>0.7346421627444164</v>
      </c>
      <c r="AR39" s="979"/>
      <c r="AS39" s="954">
        <f t="shared" si="147"/>
        <v>180.78522059944626</v>
      </c>
      <c r="AT39" s="950">
        <f t="shared" si="14"/>
        <v>-1.4819391889193889</v>
      </c>
      <c r="AU39" s="418"/>
      <c r="AV39" s="164" t="str">
        <f t="shared" si="15"/>
        <v/>
      </c>
      <c r="AW39" s="829" t="str">
        <f>IFERROR(INDEX(MassProp!C$9:C$150,MATCH($M39,MassProp!$B$9:$B$150,0)),"")</f>
        <v/>
      </c>
      <c r="AX39" s="830" t="str">
        <f>IFERROR(INDEX(MassProp!D$9:D$150,MATCH($M39,MassProp!$B$9:$B$150,0)),"")</f>
        <v/>
      </c>
      <c r="AY39" s="831" t="str">
        <f>IFERROR(INDEX(MassProp!E$9:E$150,MATCH($M39,MassProp!$B$9:$B$150,0)),"")</f>
        <v/>
      </c>
      <c r="AZ39" s="297" t="str">
        <f t="shared" si="148"/>
        <v/>
      </c>
      <c r="BA39" s="296" t="str">
        <f t="shared" si="16"/>
        <v/>
      </c>
      <c r="BB39" s="190" t="str">
        <f t="shared" si="149"/>
        <v/>
      </c>
      <c r="BC39" s="9"/>
      <c r="BD39" s="5" t="str">
        <f t="shared" si="150"/>
        <v/>
      </c>
      <c r="BE39" s="6" t="str">
        <f t="shared" si="17"/>
        <v/>
      </c>
      <c r="BF39" s="4" t="str">
        <f t="shared" si="18"/>
        <v/>
      </c>
      <c r="BG39" s="5" t="str">
        <f t="shared" si="19"/>
        <v/>
      </c>
      <c r="BH39" s="10" t="str">
        <f t="shared" si="20"/>
        <v/>
      </c>
      <c r="BI39" s="9" t="str">
        <f t="shared" si="151"/>
        <v/>
      </c>
      <c r="BJ39" s="5" t="str">
        <f t="shared" si="21"/>
        <v/>
      </c>
      <c r="BK39" s="8" t="str">
        <f t="shared" si="22"/>
        <v/>
      </c>
      <c r="BL39" s="173" t="str">
        <f t="shared" si="23"/>
        <v/>
      </c>
      <c r="BM39" s="5" t="str">
        <f t="shared" si="24"/>
        <v/>
      </c>
      <c r="BN39" s="6" t="str">
        <f t="shared" si="25"/>
        <v/>
      </c>
      <c r="BO39" s="4" t="str">
        <f t="shared" si="152"/>
        <v/>
      </c>
      <c r="BP39" s="5" t="str">
        <f t="shared" si="153"/>
        <v/>
      </c>
      <c r="BQ39" s="5" t="str">
        <f t="shared" si="154"/>
        <v/>
      </c>
      <c r="BR39" s="6" t="str">
        <f t="shared" si="155"/>
        <v/>
      </c>
      <c r="BS39" s="4" t="str">
        <f t="shared" si="112"/>
        <v/>
      </c>
      <c r="BT39" s="5" t="str">
        <f t="shared" si="112"/>
        <v/>
      </c>
      <c r="BU39" s="10" t="str">
        <f t="shared" si="113"/>
        <v/>
      </c>
      <c r="BV39" s="9" t="str">
        <f t="shared" si="114"/>
        <v/>
      </c>
      <c r="BW39" s="5" t="str">
        <f t="shared" si="115"/>
        <v/>
      </c>
      <c r="BX39" s="8" t="str">
        <f t="shared" si="116"/>
        <v/>
      </c>
      <c r="BY39" s="173" t="str">
        <f t="shared" si="117"/>
        <v/>
      </c>
      <c r="BZ39" s="5" t="str">
        <f t="shared" si="118"/>
        <v/>
      </c>
      <c r="CA39" s="6" t="str">
        <f t="shared" si="119"/>
        <v/>
      </c>
      <c r="CB39" s="4" t="str">
        <f t="shared" si="156"/>
        <v/>
      </c>
      <c r="CC39" s="5" t="str">
        <f t="shared" si="157"/>
        <v/>
      </c>
      <c r="CD39" s="5" t="str">
        <f t="shared" si="158"/>
        <v/>
      </c>
      <c r="CE39" s="6" t="str">
        <f t="shared" si="159"/>
        <v/>
      </c>
      <c r="CF39" s="4" t="str">
        <f t="shared" si="160"/>
        <v/>
      </c>
      <c r="CG39" s="5" t="str">
        <f t="shared" si="161"/>
        <v/>
      </c>
      <c r="CH39" s="5" t="str">
        <f t="shared" si="162"/>
        <v/>
      </c>
      <c r="CI39" s="4" t="str">
        <f t="shared" si="120"/>
        <v/>
      </c>
      <c r="CJ39" s="5" t="str">
        <f t="shared" si="121"/>
        <v/>
      </c>
      <c r="CK39" s="8" t="str">
        <f t="shared" si="122"/>
        <v/>
      </c>
      <c r="CL39" s="173" t="str">
        <f t="shared" si="123"/>
        <v/>
      </c>
      <c r="CM39" s="5" t="str">
        <f t="shared" si="124"/>
        <v/>
      </c>
      <c r="CN39" s="6" t="str">
        <f t="shared" si="125"/>
        <v/>
      </c>
      <c r="CO39" s="167" t="str">
        <f t="shared" si="26"/>
        <v/>
      </c>
      <c r="CP39" s="4" t="str">
        <f t="shared" si="248"/>
        <v/>
      </c>
      <c r="CQ39" s="5" t="str">
        <f t="shared" si="249"/>
        <v/>
      </c>
      <c r="CR39" s="5" t="str">
        <f t="shared" si="163"/>
        <v/>
      </c>
      <c r="CS39" s="8" t="str">
        <f t="shared" si="164"/>
        <v/>
      </c>
      <c r="CT39" s="9" t="str">
        <f t="shared" si="165"/>
        <v/>
      </c>
      <c r="CU39" s="6" t="str">
        <f t="shared" si="166"/>
        <v/>
      </c>
      <c r="CV39" s="4" t="str">
        <f t="shared" si="250"/>
        <v/>
      </c>
      <c r="CW39" s="5" t="str">
        <f t="shared" si="167"/>
        <v/>
      </c>
      <c r="CX39" s="8" t="str">
        <f t="shared" si="168"/>
        <v/>
      </c>
      <c r="CY39" s="9" t="str">
        <f t="shared" si="169"/>
        <v/>
      </c>
      <c r="CZ39" s="5" t="str">
        <f t="shared" si="170"/>
        <v/>
      </c>
      <c r="DA39" s="6" t="str">
        <f t="shared" si="171"/>
        <v/>
      </c>
      <c r="DB39" s="4" t="str">
        <f t="shared" si="172"/>
        <v/>
      </c>
      <c r="DC39" s="5" t="str">
        <f t="shared" si="172"/>
        <v/>
      </c>
      <c r="DD39" s="10" t="str">
        <f t="shared" si="173"/>
        <v/>
      </c>
      <c r="DE39" s="9" t="str">
        <f t="shared" si="174"/>
        <v/>
      </c>
      <c r="DF39" s="5" t="str">
        <f t="shared" si="174"/>
        <v/>
      </c>
      <c r="DG39" s="10" t="str">
        <f t="shared" si="175"/>
        <v/>
      </c>
      <c r="DH39" s="70" t="str">
        <f t="shared" si="176"/>
        <v/>
      </c>
      <c r="DI39" s="4" t="str">
        <f t="shared" si="177"/>
        <v/>
      </c>
      <c r="DJ39" s="5" t="str">
        <f t="shared" si="178"/>
        <v/>
      </c>
      <c r="DK39" s="10" t="str">
        <f t="shared" si="179"/>
        <v/>
      </c>
      <c r="DL39" s="9" t="str">
        <f t="shared" si="180"/>
        <v/>
      </c>
      <c r="DM39" s="173" t="str">
        <f t="shared" si="181"/>
        <v/>
      </c>
      <c r="DN39" s="178" t="str">
        <f t="shared" si="182"/>
        <v/>
      </c>
      <c r="DO39" s="9" t="str">
        <f t="shared" si="183"/>
        <v/>
      </c>
      <c r="DP39" s="173" t="str">
        <f t="shared" si="184"/>
        <v/>
      </c>
      <c r="DQ39" s="11" t="str">
        <f t="shared" si="185"/>
        <v/>
      </c>
      <c r="DR39" s="173" t="str">
        <f t="shared" si="186"/>
        <v/>
      </c>
      <c r="DS39" s="5" t="str">
        <f t="shared" si="187"/>
        <v/>
      </c>
      <c r="DT39" s="5" t="str">
        <f t="shared" si="188"/>
        <v/>
      </c>
      <c r="DU39" s="5" t="str">
        <f t="shared" si="189"/>
        <v/>
      </c>
      <c r="DV39" s="5" t="str">
        <f t="shared" si="190"/>
        <v/>
      </c>
      <c r="DW39" s="5" t="str">
        <f t="shared" si="191"/>
        <v/>
      </c>
      <c r="DX39" s="167" t="str">
        <f t="shared" si="192"/>
        <v/>
      </c>
      <c r="DY39" s="9" t="str">
        <f t="shared" si="193"/>
        <v/>
      </c>
      <c r="DZ39" s="5" t="str">
        <f t="shared" si="194"/>
        <v/>
      </c>
      <c r="EA39" s="10" t="str">
        <f t="shared" si="195"/>
        <v/>
      </c>
      <c r="EB39" s="6" t="str">
        <f t="shared" si="196"/>
        <v/>
      </c>
      <c r="EC39" s="173" t="str">
        <f t="shared" si="197"/>
        <v/>
      </c>
      <c r="ED39" s="5" t="str">
        <f t="shared" si="198"/>
        <v/>
      </c>
      <c r="EE39" s="4" t="str">
        <f t="shared" si="199"/>
        <v/>
      </c>
      <c r="EF39" s="5" t="str">
        <f t="shared" si="200"/>
        <v/>
      </c>
      <c r="EG39" s="10" t="str">
        <f t="shared" si="201"/>
        <v/>
      </c>
      <c r="EH39" s="9" t="str">
        <f t="shared" si="202"/>
        <v/>
      </c>
      <c r="EI39" s="5" t="str">
        <f t="shared" si="203"/>
        <v/>
      </c>
      <c r="EJ39" s="6" t="str">
        <f t="shared" si="204"/>
        <v/>
      </c>
      <c r="EK39" s="236" t="str">
        <f t="shared" si="205"/>
        <v/>
      </c>
      <c r="EL39" s="238" t="str">
        <f t="shared" si="206"/>
        <v/>
      </c>
      <c r="EM39" s="4" t="str">
        <f t="shared" si="207"/>
        <v/>
      </c>
      <c r="EN39" s="5" t="str">
        <f t="shared" si="208"/>
        <v/>
      </c>
      <c r="EO39" s="10" t="str">
        <f t="shared" si="209"/>
        <v/>
      </c>
      <c r="EP39" s="9" t="str">
        <f t="shared" si="210"/>
        <v/>
      </c>
      <c r="EQ39" s="5" t="str">
        <f t="shared" si="211"/>
        <v/>
      </c>
      <c r="ER39" s="7" t="str">
        <f t="shared" si="212"/>
        <v/>
      </c>
      <c r="ES39" s="21" t="str">
        <f t="shared" si="126"/>
        <v/>
      </c>
      <c r="ET39" s="5" t="str">
        <f t="shared" si="35"/>
        <v/>
      </c>
      <c r="EU39" s="10" t="str">
        <f t="shared" si="36"/>
        <v/>
      </c>
      <c r="EV39" s="174" t="str">
        <f t="shared" si="264"/>
        <v/>
      </c>
      <c r="EW39" s="9" t="str">
        <f t="shared" si="127"/>
        <v/>
      </c>
      <c r="EX39" s="5" t="str">
        <f t="shared" si="37"/>
        <v/>
      </c>
      <c r="EY39" s="6" t="str">
        <f t="shared" si="213"/>
        <v/>
      </c>
      <c r="EZ39" s="51" t="str">
        <f t="shared" si="214"/>
        <v/>
      </c>
      <c r="FA39" s="266" t="str">
        <f t="shared" si="128"/>
        <v/>
      </c>
      <c r="FB39" s="267" t="str">
        <f t="shared" si="129"/>
        <v/>
      </c>
      <c r="FC39" s="269" t="str">
        <f t="shared" si="38"/>
        <v/>
      </c>
      <c r="FD39" s="4" t="str">
        <f t="shared" si="130"/>
        <v/>
      </c>
      <c r="FE39" s="5" t="str">
        <f t="shared" si="39"/>
        <v/>
      </c>
      <c r="FF39" s="7" t="str">
        <f t="shared" si="215"/>
        <v/>
      </c>
      <c r="FG39" s="173" t="str">
        <f t="shared" si="216"/>
        <v/>
      </c>
      <c r="FH39" s="5" t="str">
        <f t="shared" si="40"/>
        <v/>
      </c>
      <c r="FI39" s="10" t="str">
        <f t="shared" si="41"/>
        <v/>
      </c>
      <c r="FJ39" s="279" t="str">
        <f t="shared" si="217"/>
        <v/>
      </c>
      <c r="FK39" s="4" t="str">
        <f t="shared" si="42"/>
        <v/>
      </c>
      <c r="FL39" s="5" t="str">
        <f t="shared" si="218"/>
        <v/>
      </c>
      <c r="FM39" s="8" t="str">
        <f t="shared" si="219"/>
        <v/>
      </c>
      <c r="FN39" s="9" t="str">
        <f t="shared" si="220"/>
        <v/>
      </c>
      <c r="FO39" s="10" t="str">
        <f t="shared" si="43"/>
        <v/>
      </c>
      <c r="FP39" s="277" t="str">
        <f t="shared" si="44"/>
        <v/>
      </c>
      <c r="FQ39" s="173" t="str">
        <f t="shared" si="251"/>
        <v/>
      </c>
      <c r="FR39" s="10" t="str">
        <f t="shared" si="221"/>
        <v/>
      </c>
      <c r="FS39" s="9" t="str">
        <f t="shared" si="222"/>
        <v/>
      </c>
      <c r="FT39" s="6" t="str">
        <f t="shared" si="223"/>
        <v/>
      </c>
      <c r="FU39" s="4" t="str">
        <f t="shared" si="224"/>
        <v/>
      </c>
      <c r="FV39" s="5" t="str">
        <f t="shared" si="225"/>
        <v/>
      </c>
      <c r="FW39" s="8" t="str">
        <f t="shared" si="252"/>
        <v/>
      </c>
      <c r="FX39" s="9" t="str">
        <f t="shared" si="253"/>
        <v/>
      </c>
      <c r="FY39" s="10" t="str">
        <f t="shared" si="45"/>
        <v/>
      </c>
      <c r="FZ39" s="277" t="str">
        <f t="shared" si="254"/>
        <v/>
      </c>
      <c r="GA39" s="177" t="str">
        <f t="shared" si="226"/>
        <v/>
      </c>
      <c r="GB39" s="4" t="str">
        <f t="shared" si="227"/>
        <v/>
      </c>
      <c r="GC39" s="5" t="str">
        <f t="shared" si="228"/>
        <v/>
      </c>
      <c r="GD39" s="10" t="str">
        <f t="shared" si="229"/>
        <v/>
      </c>
      <c r="GE39" s="311" t="str">
        <f t="shared" si="230"/>
        <v/>
      </c>
      <c r="GF39" s="341" t="str">
        <f t="shared" si="255"/>
        <v/>
      </c>
      <c r="GG39" s="285" t="str">
        <f t="shared" si="46"/>
        <v/>
      </c>
      <c r="GH39" s="286" t="str">
        <f t="shared" si="47"/>
        <v/>
      </c>
      <c r="GI39" s="281" t="str">
        <f t="shared" si="48"/>
        <v/>
      </c>
      <c r="GJ39" s="167" t="str">
        <f t="shared" si="231"/>
        <v/>
      </c>
      <c r="GK39" s="174" t="str">
        <f t="shared" si="49"/>
        <v/>
      </c>
      <c r="GL39" s="174" t="str">
        <f t="shared" si="232"/>
        <v/>
      </c>
      <c r="GM39" s="177" t="str">
        <f t="shared" si="256"/>
        <v/>
      </c>
      <c r="GN39" s="280" t="str">
        <f t="shared" si="233"/>
        <v/>
      </c>
      <c r="GO39" s="4" t="str">
        <f t="shared" si="234"/>
        <v/>
      </c>
      <c r="GP39" s="8" t="str">
        <f t="shared" si="257"/>
        <v/>
      </c>
      <c r="GQ39" s="177" t="str">
        <f t="shared" si="235"/>
        <v/>
      </c>
      <c r="GR39" s="371" t="str">
        <f t="shared" si="258"/>
        <v/>
      </c>
      <c r="GS39" s="342" t="str">
        <f t="shared" si="51"/>
        <v/>
      </c>
      <c r="GT39" s="343" t="str">
        <f t="shared" si="52"/>
        <v/>
      </c>
      <c r="GU39" s="344" t="str">
        <f t="shared" si="53"/>
        <v/>
      </c>
      <c r="GV39" s="343" t="str">
        <f t="shared" si="265"/>
        <v/>
      </c>
      <c r="GW39" s="345" t="str">
        <f t="shared" si="54"/>
        <v/>
      </c>
      <c r="GX39" s="346" t="str">
        <f t="shared" si="55"/>
        <v/>
      </c>
      <c r="GY39" s="344" t="str">
        <f t="shared" si="56"/>
        <v/>
      </c>
      <c r="GZ39" s="345" t="str">
        <f t="shared" si="57"/>
        <v/>
      </c>
      <c r="HA39" s="342" t="str">
        <f t="shared" si="58"/>
        <v/>
      </c>
      <c r="HB39" s="5" t="str">
        <f t="shared" si="236"/>
        <v/>
      </c>
      <c r="HC39" s="343" t="str">
        <f t="shared" si="237"/>
        <v/>
      </c>
      <c r="HD39" s="363" t="str">
        <f t="shared" si="238"/>
        <v/>
      </c>
      <c r="HE39" s="344" t="str">
        <f t="shared" si="59"/>
        <v/>
      </c>
      <c r="HF39" s="5" t="str">
        <f t="shared" si="60"/>
        <v/>
      </c>
      <c r="HG39" s="343" t="str">
        <f t="shared" si="239"/>
        <v/>
      </c>
      <c r="HH39" s="349" t="str">
        <f t="shared" si="240"/>
        <v/>
      </c>
      <c r="HI39" s="317" t="str">
        <f t="shared" si="61"/>
        <v/>
      </c>
      <c r="HJ39" s="336"/>
      <c r="HK39" s="310" t="str">
        <f t="shared" si="131"/>
        <v/>
      </c>
      <c r="HL39" s="348" t="str">
        <f t="shared" si="62"/>
        <v/>
      </c>
      <c r="HM39" s="923" t="str">
        <f t="shared" si="63"/>
        <v/>
      </c>
      <c r="HN39" s="924" t="str">
        <f t="shared" si="64"/>
        <v/>
      </c>
      <c r="HO39" s="925"/>
      <c r="HP39" s="926"/>
      <c r="HQ39" s="924" t="str">
        <f t="shared" si="65"/>
        <v/>
      </c>
      <c r="HR39" s="927" t="str">
        <f t="shared" si="66"/>
        <v/>
      </c>
      <c r="HS39" s="879" t="str">
        <f t="shared" si="261"/>
        <v/>
      </c>
      <c r="HT39" s="889" t="str">
        <f t="shared" si="67"/>
        <v/>
      </c>
      <c r="HU39" s="890" t="str">
        <f t="shared" si="68"/>
        <v/>
      </c>
      <c r="HV39" s="886" t="str">
        <f t="shared" si="69"/>
        <v/>
      </c>
      <c r="HW39" s="880" t="str">
        <f t="shared" si="70"/>
        <v/>
      </c>
      <c r="HX39" s="881" t="str">
        <f t="shared" si="71"/>
        <v/>
      </c>
      <c r="HY39" s="880" t="str">
        <f t="shared" si="72"/>
        <v/>
      </c>
      <c r="HZ39" s="882" t="str">
        <f t="shared" si="73"/>
        <v/>
      </c>
      <c r="IA39" s="883" t="str">
        <f t="shared" si="74"/>
        <v/>
      </c>
      <c r="IB39" s="884" t="str">
        <f t="shared" si="75"/>
        <v/>
      </c>
      <c r="IC39" s="855" t="str">
        <f t="shared" si="76"/>
        <v/>
      </c>
      <c r="ID39" s="351" t="str">
        <f t="shared" si="77"/>
        <v/>
      </c>
      <c r="IE39" s="857" t="str">
        <f t="shared" si="78"/>
        <v/>
      </c>
      <c r="IF39" s="859"/>
      <c r="IG39" s="790" t="str">
        <f>IFERROR(IF($IW39="","",IF($IW39&lt;(((Settings!$C$19/2)*-1)*$IG$8),"Taper","Nose")),"")</f>
        <v/>
      </c>
      <c r="IH39" s="482" t="str">
        <f>IFERROR(IF((((($IY39*COS(RADIANS(180-$JA39)))*COS(RADIANS($JA39)))-(($IZ39*SIN(RADIANS(180-$JA39)))*SIN(RADIANS($JA39))))+$IW39)&lt;(((Settings!$C$19+$IH$8)/2)*-1),"Gage",""),"")</f>
        <v/>
      </c>
      <c r="II39" s="788">
        <f t="shared" si="241"/>
        <v>5.1420000000000003</v>
      </c>
      <c r="IJ39" s="674" t="str" cm="1">
        <f t="array" ref="IJ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K39" s="677" t="str" cm="1">
        <f t="array" ref="IK39">IFERROR(ROUND(VALUE(IF($IJ39&lt;1,$IJ39+LARGE((IF($M$9:$M$150="",0,$M$9:$M$150)-MOD(IF($M$9:$M$150="",0,$M$9:$M$150),1)),1),$IJ39)),4),"")</f>
        <v/>
      </c>
      <c r="IL39" s="482">
        <f t="shared" si="79"/>
        <v>1313</v>
      </c>
      <c r="IM39" s="482" t="str">
        <f t="shared" si="242"/>
        <v/>
      </c>
      <c r="IN39" s="670" t="str">
        <f t="shared" si="81"/>
        <v/>
      </c>
      <c r="IO39" s="702"/>
      <c r="IP39" s="5" t="str">
        <f t="shared" si="82"/>
        <v/>
      </c>
      <c r="IQ39" s="714"/>
      <c r="IR39" s="9" t="str">
        <f t="shared" si="132"/>
        <v/>
      </c>
      <c r="IS39" s="5" t="str">
        <f t="shared" si="83"/>
        <v/>
      </c>
      <c r="IT39" s="5" t="str">
        <f t="shared" si="84"/>
        <v/>
      </c>
      <c r="IU39" s="5" t="str">
        <f t="shared" si="85"/>
        <v/>
      </c>
      <c r="IV39" s="670" t="str">
        <f t="shared" si="86"/>
        <v/>
      </c>
      <c r="IW39" s="9" t="str">
        <f t="shared" si="87"/>
        <v/>
      </c>
      <c r="IX39" s="5" t="str">
        <f t="shared" si="88"/>
        <v/>
      </c>
      <c r="IY39" s="5" t="str">
        <f t="shared" si="89"/>
        <v/>
      </c>
      <c r="IZ39" s="5" t="str">
        <f t="shared" si="90"/>
        <v/>
      </c>
      <c r="JA39" s="705" t="str">
        <f t="shared" si="91"/>
        <v/>
      </c>
      <c r="JM39" s="489">
        <f t="shared" si="133"/>
        <v>42</v>
      </c>
      <c r="JN39" s="960">
        <f>($JO39-SMALL($JO$9:$JO$88,1))/((Settings!$C$19/2)-((Settings!$C$19/2)-LARGE($JO$9:$JO$88,1))-SMALL($JO$9:$JO$88,1))</f>
        <v>1</v>
      </c>
      <c r="JO39" s="162">
        <f t="shared" si="134"/>
        <v>3.7236115472356808</v>
      </c>
      <c r="JP39" s="961">
        <f t="shared" si="135"/>
        <v>-79.653817237246486</v>
      </c>
      <c r="JQ39" s="961">
        <f t="shared" si="136"/>
        <v>29.737780066539504</v>
      </c>
      <c r="JS39" s="82">
        <v>31</v>
      </c>
      <c r="JT39" s="322">
        <f t="shared" si="137"/>
        <v>3.4744548669915978</v>
      </c>
      <c r="JU39" s="963">
        <f t="shared" si="138"/>
        <v>0.92727573708276834</v>
      </c>
      <c r="JV39" s="961">
        <f t="shared" si="287"/>
        <v>-50.305648813733683</v>
      </c>
      <c r="JW39" s="961">
        <f t="shared" si="92"/>
        <v>21.763872278625101</v>
      </c>
      <c r="JX39" s="1">
        <v>6.8108000000000004</v>
      </c>
      <c r="JY39" s="965">
        <f t="shared" si="139"/>
        <v>0.9523108841835759</v>
      </c>
      <c r="JZ39" s="973">
        <v>73.976699999999994</v>
      </c>
      <c r="KA39" s="410">
        <f t="shared" si="280"/>
        <v>-0.13644000000000744</v>
      </c>
      <c r="KB39" s="976">
        <f t="shared" si="243"/>
        <v>31</v>
      </c>
      <c r="KC39" s="968" cm="1">
        <f t="array" ref="KC39">(((INDEX($JV$9:$JV$53,MATCH(INDEX($JU$9:$JU$53,MATCH(TRUE,INDEX($JU$9:$JU$53&gt;$JY39,0),)),$JU$9:$JU$53,0))-INDEX($JV$9:$JV$53,MATCH(INDEX($JU$9:$JU$53,MATCH(TRUE,INDEX($JU$9:$JU$53&gt;$JY39,0),)-1),$JU$9:$JU$53,0)))*(($JY39-INDEX($JU$9:$JU$53,MATCH(TRUE,INDEX($JU$9:$JU$53&gt;$JY39,0),)-1))/(INDEX($JU$9:$JU$53,MATCH(TRUE,INDEX($JU$9:$JU$53&gt;$JY39,0),))-INDEX($JU$9:$JU$53,MATCH(TRUE,INDEX($JU$9:$JU$53&gt;$JY39,0),)-1))))+INDEX($JV$9:$JV$53,MATCH(INDEX($JU$9:$JU$53,MATCH(TRUE,INDEX($JU$9:$JU$53&gt;$JY39,0),)-1),$JU$9:$JU$53,0)))</f>
        <v>-55.635403273237131</v>
      </c>
      <c r="KD39" s="970">
        <v>-74.113140000000001</v>
      </c>
      <c r="KE39" s="968">
        <f t="shared" si="140"/>
        <v>-18.47773672676287</v>
      </c>
      <c r="KF39" s="968" cm="1">
        <f t="array" ref="KF39">(((INDEX($JW$9:$JW$53,MATCH(INDEX($JU$9:$JU$53,MATCH(TRUE,INDEX($JU$9:$JU$53&gt;$JY39,0),)),$JU$9:$JU$53,0))-INDEX($JW$9:$JW$53,MATCH(INDEX($JU$9:$JU$53,MATCH(TRUE,INDEX($JU$9:$JU$53&gt;$JY39,0),)-1),$JU$9:$JU$53,0)))*(($JY39-INDEX($JU$9:$JU$53,MATCH(TRUE,INDEX($JU$9:$JU$53&gt;$JY39,0),)-1))/(INDEX($JU$9:$JU$53,MATCH(TRUE,INDEX($JU$9:$JU$53&gt;$JY39,0),))-INDEX($JU$9:$JU$53,MATCH(TRUE,INDEX($JU$9:$JU$53&gt;$JY39,0),)-1))))+INDEX($JW$9:$JW$53,MATCH(INDEX($JU$9:$JU$53,MATCH(TRUE,INDEX($JU$9:$JU$53&gt;$JY39,0),)-1),$JU$9:$JU$53,0)))</f>
        <v>23.740103037309165</v>
      </c>
      <c r="KG39" s="966">
        <f t="shared" si="244"/>
        <v>-3.8844866666666746</v>
      </c>
      <c r="KH39" s="966">
        <f t="shared" si="141"/>
        <v>0.88694545563584271</v>
      </c>
      <c r="KJ39" s="31"/>
    </row>
    <row r="40" spans="1:296" ht="15" customHeight="1" x14ac:dyDescent="0.25">
      <c r="A40" s="75">
        <f t="shared" si="1"/>
        <v>0.02</v>
      </c>
      <c r="B40" s="578">
        <f t="shared" ref="B40:D40" si="320">IFERROR(O195+($A40*-E40),"")</f>
        <v>-1.2624580062171078</v>
      </c>
      <c r="C40" s="572">
        <f t="shared" si="320"/>
        <v>-1.3212237394514652</v>
      </c>
      <c r="D40" s="576">
        <f t="shared" si="320"/>
        <v>-0.10476090951027904</v>
      </c>
      <c r="E40" s="580">
        <f t="shared" ref="E40:K40" si="321">R195</f>
        <v>0.71917441602095833</v>
      </c>
      <c r="F40" s="572">
        <f t="shared" si="321"/>
        <v>-0.64514218837897419</v>
      </c>
      <c r="G40" s="579">
        <f t="shared" si="321"/>
        <v>0.25803045578865635</v>
      </c>
      <c r="H40" s="580">
        <f t="shared" si="321"/>
        <v>0.26450000000000001</v>
      </c>
      <c r="I40" s="572">
        <f t="shared" si="321"/>
        <v>0.52</v>
      </c>
      <c r="J40" s="483">
        <f t="shared" si="94"/>
        <v>6.11</v>
      </c>
      <c r="K40" s="806">
        <f t="shared" si="321"/>
        <v>1313</v>
      </c>
      <c r="L40" s="309"/>
      <c r="M40" s="164">
        <f t="shared" si="4"/>
        <v>6.11</v>
      </c>
      <c r="N40" s="575">
        <f t="shared" si="5"/>
        <v>-1.2624580062171078</v>
      </c>
      <c r="O40" s="572">
        <f t="shared" si="6"/>
        <v>-1.3212237394514652</v>
      </c>
      <c r="P40" s="576">
        <f t="shared" si="7"/>
        <v>-0.10476090951027904</v>
      </c>
      <c r="Q40" s="528">
        <f t="shared" si="144"/>
        <v>226.30296545037027</v>
      </c>
      <c r="R40" s="572">
        <f t="shared" si="95"/>
        <v>1.8274113896853628</v>
      </c>
      <c r="S40" s="577">
        <f t="shared" si="96"/>
        <v>-0.10476090951027904</v>
      </c>
      <c r="T40" s="578">
        <f t="shared" si="97"/>
        <v>-1.3581641870123637</v>
      </c>
      <c r="U40" s="572">
        <f t="shared" si="98"/>
        <v>1.2226293094265464</v>
      </c>
      <c r="V40" s="579">
        <f t="shared" si="145"/>
        <v>-0.10476090951027904</v>
      </c>
      <c r="W40" s="528">
        <f t="shared" si="268"/>
        <v>138.00622622004525</v>
      </c>
      <c r="X40" s="572">
        <f t="shared" si="99"/>
        <v>1.8274113896853628</v>
      </c>
      <c r="Y40" s="573">
        <f t="shared" si="271"/>
        <v>-0.10476090951027904</v>
      </c>
      <c r="Z40" s="575">
        <f t="shared" si="10"/>
        <v>-0.71917441602095833</v>
      </c>
      <c r="AA40" s="572">
        <f t="shared" si="11"/>
        <v>0.64514218837897419</v>
      </c>
      <c r="AB40" s="572">
        <f t="shared" si="12"/>
        <v>-0.25803045578865635</v>
      </c>
      <c r="AC40" s="579">
        <f t="shared" si="100"/>
        <v>1</v>
      </c>
      <c r="AD40" s="580">
        <f t="shared" si="146"/>
        <v>-0.71917441602095833</v>
      </c>
      <c r="AE40" s="572">
        <f t="shared" si="101"/>
        <v>0.64514218837897419</v>
      </c>
      <c r="AF40" s="576">
        <f t="shared" si="102"/>
        <v>-0.25803045578865635</v>
      </c>
      <c r="AG40" s="545">
        <f t="shared" si="103"/>
        <v>68.200613257833709</v>
      </c>
      <c r="AH40" s="546">
        <f t="shared" si="104"/>
        <v>135.98636069742903</v>
      </c>
      <c r="AI40" s="528">
        <f t="shared" si="105"/>
        <v>-75.046771607423238</v>
      </c>
      <c r="AJ40" s="529">
        <f t="shared" si="106"/>
        <v>-131.89399201161993</v>
      </c>
      <c r="AK40" s="578">
        <f t="shared" si="247"/>
        <v>0.96565844017439773</v>
      </c>
      <c r="AL40" s="572">
        <f t="shared" si="107"/>
        <v>3.0398368466865555E-2</v>
      </c>
      <c r="AM40" s="577">
        <f t="shared" si="108"/>
        <v>-0.25803045578865635</v>
      </c>
      <c r="AN40" s="524">
        <f t="shared" si="109"/>
        <v>6.7190013243943669</v>
      </c>
      <c r="AO40" s="525">
        <f t="shared" si="110"/>
        <v>15.059078642892576</v>
      </c>
      <c r="AP40" s="528">
        <f t="shared" si="111"/>
        <v>1.803042538009783</v>
      </c>
      <c r="AQ40" s="529">
        <f t="shared" si="13"/>
        <v>1.496679789374816</v>
      </c>
      <c r="AR40" s="979"/>
      <c r="AS40" s="954">
        <f t="shared" si="147"/>
        <v>138.00622622004525</v>
      </c>
      <c r="AT40" s="950">
        <f t="shared" si="14"/>
        <v>7.8635670301593921E-2</v>
      </c>
      <c r="AU40" s="418"/>
      <c r="AV40" s="164" t="str">
        <f t="shared" si="15"/>
        <v/>
      </c>
      <c r="AW40" s="829" t="str">
        <f>IFERROR(INDEX(MassProp!C$9:C$150,MATCH($M40,MassProp!$B$9:$B$150,0)),"")</f>
        <v/>
      </c>
      <c r="AX40" s="830" t="str">
        <f>IFERROR(INDEX(MassProp!D$9:D$150,MATCH($M40,MassProp!$B$9:$B$150,0)),"")</f>
        <v/>
      </c>
      <c r="AY40" s="831" t="str">
        <f>IFERROR(INDEX(MassProp!E$9:E$150,MATCH($M40,MassProp!$B$9:$B$150,0)),"")</f>
        <v/>
      </c>
      <c r="AZ40" s="297" t="str">
        <f t="shared" si="148"/>
        <v/>
      </c>
      <c r="BA40" s="296" t="str">
        <f t="shared" si="16"/>
        <v/>
      </c>
      <c r="BB40" s="190" t="str">
        <f t="shared" si="149"/>
        <v/>
      </c>
      <c r="BC40" s="9"/>
      <c r="BD40" s="5" t="str">
        <f t="shared" si="150"/>
        <v/>
      </c>
      <c r="BE40" s="6" t="str">
        <f t="shared" si="17"/>
        <v/>
      </c>
      <c r="BF40" s="4" t="str">
        <f t="shared" si="18"/>
        <v/>
      </c>
      <c r="BG40" s="5" t="str">
        <f t="shared" si="19"/>
        <v/>
      </c>
      <c r="BH40" s="10" t="str">
        <f t="shared" si="20"/>
        <v/>
      </c>
      <c r="BI40" s="9" t="str">
        <f t="shared" si="151"/>
        <v/>
      </c>
      <c r="BJ40" s="5" t="str">
        <f t="shared" si="21"/>
        <v/>
      </c>
      <c r="BK40" s="8" t="str">
        <f t="shared" si="22"/>
        <v/>
      </c>
      <c r="BL40" s="173" t="str">
        <f t="shared" si="23"/>
        <v/>
      </c>
      <c r="BM40" s="5" t="str">
        <f t="shared" si="24"/>
        <v/>
      </c>
      <c r="BN40" s="6" t="str">
        <f t="shared" si="25"/>
        <v/>
      </c>
      <c r="BO40" s="4" t="str">
        <f t="shared" si="152"/>
        <v/>
      </c>
      <c r="BP40" s="5" t="str">
        <f t="shared" si="153"/>
        <v/>
      </c>
      <c r="BQ40" s="5" t="str">
        <f t="shared" si="154"/>
        <v/>
      </c>
      <c r="BR40" s="6" t="str">
        <f t="shared" si="155"/>
        <v/>
      </c>
      <c r="BS40" s="4" t="str">
        <f t="shared" si="112"/>
        <v/>
      </c>
      <c r="BT40" s="5" t="str">
        <f t="shared" si="112"/>
        <v/>
      </c>
      <c r="BU40" s="10" t="str">
        <f t="shared" si="113"/>
        <v/>
      </c>
      <c r="BV40" s="9" t="str">
        <f t="shared" si="114"/>
        <v/>
      </c>
      <c r="BW40" s="5" t="str">
        <f t="shared" si="115"/>
        <v/>
      </c>
      <c r="BX40" s="8" t="str">
        <f t="shared" si="116"/>
        <v/>
      </c>
      <c r="BY40" s="173" t="str">
        <f t="shared" si="117"/>
        <v/>
      </c>
      <c r="BZ40" s="5" t="str">
        <f t="shared" si="118"/>
        <v/>
      </c>
      <c r="CA40" s="6" t="str">
        <f t="shared" si="119"/>
        <v/>
      </c>
      <c r="CB40" s="4" t="str">
        <f t="shared" si="156"/>
        <v/>
      </c>
      <c r="CC40" s="5" t="str">
        <f t="shared" si="157"/>
        <v/>
      </c>
      <c r="CD40" s="5" t="str">
        <f t="shared" si="158"/>
        <v/>
      </c>
      <c r="CE40" s="6" t="str">
        <f t="shared" si="159"/>
        <v/>
      </c>
      <c r="CF40" s="4" t="str">
        <f t="shared" si="160"/>
        <v/>
      </c>
      <c r="CG40" s="5" t="str">
        <f t="shared" si="161"/>
        <v/>
      </c>
      <c r="CH40" s="5" t="str">
        <f t="shared" si="162"/>
        <v/>
      </c>
      <c r="CI40" s="4" t="str">
        <f t="shared" si="120"/>
        <v/>
      </c>
      <c r="CJ40" s="5" t="str">
        <f t="shared" si="121"/>
        <v/>
      </c>
      <c r="CK40" s="8" t="str">
        <f t="shared" si="122"/>
        <v/>
      </c>
      <c r="CL40" s="173" t="str">
        <f t="shared" si="123"/>
        <v/>
      </c>
      <c r="CM40" s="5" t="str">
        <f t="shared" si="124"/>
        <v/>
      </c>
      <c r="CN40" s="6" t="str">
        <f t="shared" si="125"/>
        <v/>
      </c>
      <c r="CO40" s="167" t="str">
        <f t="shared" si="26"/>
        <v/>
      </c>
      <c r="CP40" s="4" t="str">
        <f t="shared" si="248"/>
        <v/>
      </c>
      <c r="CQ40" s="5" t="str">
        <f t="shared" si="249"/>
        <v/>
      </c>
      <c r="CR40" s="5" t="str">
        <f t="shared" si="163"/>
        <v/>
      </c>
      <c r="CS40" s="8" t="str">
        <f t="shared" si="164"/>
        <v/>
      </c>
      <c r="CT40" s="9" t="str">
        <f t="shared" si="165"/>
        <v/>
      </c>
      <c r="CU40" s="6" t="str">
        <f t="shared" si="166"/>
        <v/>
      </c>
      <c r="CV40" s="4" t="str">
        <f t="shared" si="250"/>
        <v/>
      </c>
      <c r="CW40" s="5" t="str">
        <f t="shared" si="167"/>
        <v/>
      </c>
      <c r="CX40" s="8" t="str">
        <f t="shared" si="168"/>
        <v/>
      </c>
      <c r="CY40" s="9" t="str">
        <f t="shared" si="169"/>
        <v/>
      </c>
      <c r="CZ40" s="5" t="str">
        <f t="shared" si="170"/>
        <v/>
      </c>
      <c r="DA40" s="6" t="str">
        <f t="shared" si="171"/>
        <v/>
      </c>
      <c r="DB40" s="4" t="str">
        <f t="shared" si="172"/>
        <v/>
      </c>
      <c r="DC40" s="5" t="str">
        <f t="shared" si="172"/>
        <v/>
      </c>
      <c r="DD40" s="10" t="str">
        <f t="shared" si="173"/>
        <v/>
      </c>
      <c r="DE40" s="9" t="str">
        <f t="shared" si="174"/>
        <v/>
      </c>
      <c r="DF40" s="5" t="str">
        <f t="shared" si="174"/>
        <v/>
      </c>
      <c r="DG40" s="10" t="str">
        <f t="shared" si="175"/>
        <v/>
      </c>
      <c r="DH40" s="70" t="str">
        <f t="shared" si="176"/>
        <v/>
      </c>
      <c r="DI40" s="4" t="str">
        <f t="shared" si="177"/>
        <v/>
      </c>
      <c r="DJ40" s="5" t="str">
        <f t="shared" si="178"/>
        <v/>
      </c>
      <c r="DK40" s="10" t="str">
        <f t="shared" si="179"/>
        <v/>
      </c>
      <c r="DL40" s="9" t="str">
        <f t="shared" si="180"/>
        <v/>
      </c>
      <c r="DM40" s="173" t="str">
        <f t="shared" si="181"/>
        <v/>
      </c>
      <c r="DN40" s="178" t="str">
        <f t="shared" si="182"/>
        <v/>
      </c>
      <c r="DO40" s="9" t="str">
        <f t="shared" si="183"/>
        <v/>
      </c>
      <c r="DP40" s="173" t="str">
        <f t="shared" si="184"/>
        <v/>
      </c>
      <c r="DQ40" s="11" t="str">
        <f t="shared" si="185"/>
        <v/>
      </c>
      <c r="DR40" s="173" t="str">
        <f t="shared" si="186"/>
        <v/>
      </c>
      <c r="DS40" s="5" t="str">
        <f t="shared" si="187"/>
        <v/>
      </c>
      <c r="DT40" s="5" t="str">
        <f t="shared" si="188"/>
        <v/>
      </c>
      <c r="DU40" s="5" t="str">
        <f t="shared" si="189"/>
        <v/>
      </c>
      <c r="DV40" s="5" t="str">
        <f t="shared" si="190"/>
        <v/>
      </c>
      <c r="DW40" s="5" t="str">
        <f t="shared" si="191"/>
        <v/>
      </c>
      <c r="DX40" s="167" t="str">
        <f t="shared" si="192"/>
        <v/>
      </c>
      <c r="DY40" s="9" t="str">
        <f t="shared" si="193"/>
        <v/>
      </c>
      <c r="DZ40" s="5" t="str">
        <f t="shared" si="194"/>
        <v/>
      </c>
      <c r="EA40" s="10" t="str">
        <f t="shared" si="195"/>
        <v/>
      </c>
      <c r="EB40" s="6" t="str">
        <f t="shared" si="196"/>
        <v/>
      </c>
      <c r="EC40" s="173" t="str">
        <f t="shared" si="197"/>
        <v/>
      </c>
      <c r="ED40" s="5" t="str">
        <f t="shared" si="198"/>
        <v/>
      </c>
      <c r="EE40" s="4" t="str">
        <f t="shared" si="199"/>
        <v/>
      </c>
      <c r="EF40" s="5" t="str">
        <f t="shared" si="200"/>
        <v/>
      </c>
      <c r="EG40" s="10" t="str">
        <f t="shared" si="201"/>
        <v/>
      </c>
      <c r="EH40" s="9" t="str">
        <f t="shared" si="202"/>
        <v/>
      </c>
      <c r="EI40" s="5" t="str">
        <f t="shared" si="203"/>
        <v/>
      </c>
      <c r="EJ40" s="6" t="str">
        <f t="shared" si="204"/>
        <v/>
      </c>
      <c r="EK40" s="236" t="str">
        <f t="shared" si="205"/>
        <v/>
      </c>
      <c r="EL40" s="238" t="str">
        <f t="shared" si="206"/>
        <v/>
      </c>
      <c r="EM40" s="4" t="str">
        <f t="shared" si="207"/>
        <v/>
      </c>
      <c r="EN40" s="5" t="str">
        <f t="shared" si="208"/>
        <v/>
      </c>
      <c r="EO40" s="10" t="str">
        <f t="shared" si="209"/>
        <v/>
      </c>
      <c r="EP40" s="9" t="str">
        <f t="shared" si="210"/>
        <v/>
      </c>
      <c r="EQ40" s="5" t="str">
        <f t="shared" si="211"/>
        <v/>
      </c>
      <c r="ER40" s="7" t="str">
        <f t="shared" si="212"/>
        <v/>
      </c>
      <c r="ES40" s="21" t="str">
        <f t="shared" si="126"/>
        <v/>
      </c>
      <c r="ET40" s="5" t="str">
        <f t="shared" si="35"/>
        <v/>
      </c>
      <c r="EU40" s="10" t="str">
        <f t="shared" si="36"/>
        <v/>
      </c>
      <c r="EV40" s="174" t="str">
        <f t="shared" si="264"/>
        <v/>
      </c>
      <c r="EW40" s="9" t="str">
        <f t="shared" si="127"/>
        <v/>
      </c>
      <c r="EX40" s="5" t="str">
        <f t="shared" si="37"/>
        <v/>
      </c>
      <c r="EY40" s="6" t="str">
        <f t="shared" si="213"/>
        <v/>
      </c>
      <c r="EZ40" s="51" t="str">
        <f t="shared" si="214"/>
        <v/>
      </c>
      <c r="FA40" s="266" t="str">
        <f t="shared" si="128"/>
        <v/>
      </c>
      <c r="FB40" s="267" t="str">
        <f t="shared" si="129"/>
        <v/>
      </c>
      <c r="FC40" s="269" t="str">
        <f t="shared" si="38"/>
        <v/>
      </c>
      <c r="FD40" s="4" t="str">
        <f t="shared" si="130"/>
        <v/>
      </c>
      <c r="FE40" s="5" t="str">
        <f t="shared" si="39"/>
        <v/>
      </c>
      <c r="FF40" s="7" t="str">
        <f t="shared" si="215"/>
        <v/>
      </c>
      <c r="FG40" s="173" t="str">
        <f t="shared" si="216"/>
        <v/>
      </c>
      <c r="FH40" s="5" t="str">
        <f t="shared" si="40"/>
        <v/>
      </c>
      <c r="FI40" s="10" t="str">
        <f t="shared" si="41"/>
        <v/>
      </c>
      <c r="FJ40" s="279" t="str">
        <f t="shared" si="217"/>
        <v/>
      </c>
      <c r="FK40" s="4" t="str">
        <f t="shared" si="42"/>
        <v/>
      </c>
      <c r="FL40" s="5" t="str">
        <f t="shared" si="218"/>
        <v/>
      </c>
      <c r="FM40" s="8" t="str">
        <f t="shared" si="219"/>
        <v/>
      </c>
      <c r="FN40" s="9" t="str">
        <f t="shared" si="220"/>
        <v/>
      </c>
      <c r="FO40" s="10" t="str">
        <f t="shared" si="43"/>
        <v/>
      </c>
      <c r="FP40" s="277" t="str">
        <f t="shared" si="44"/>
        <v/>
      </c>
      <c r="FQ40" s="173" t="str">
        <f t="shared" si="251"/>
        <v/>
      </c>
      <c r="FR40" s="10" t="str">
        <f t="shared" si="221"/>
        <v/>
      </c>
      <c r="FS40" s="9" t="str">
        <f t="shared" si="222"/>
        <v/>
      </c>
      <c r="FT40" s="6" t="str">
        <f t="shared" si="223"/>
        <v/>
      </c>
      <c r="FU40" s="4" t="str">
        <f t="shared" si="224"/>
        <v/>
      </c>
      <c r="FV40" s="5" t="str">
        <f t="shared" si="225"/>
        <v/>
      </c>
      <c r="FW40" s="8" t="str">
        <f t="shared" si="252"/>
        <v/>
      </c>
      <c r="FX40" s="9" t="str">
        <f t="shared" si="253"/>
        <v/>
      </c>
      <c r="FY40" s="10" t="str">
        <f t="shared" si="45"/>
        <v/>
      </c>
      <c r="FZ40" s="277" t="str">
        <f t="shared" si="254"/>
        <v/>
      </c>
      <c r="GA40" s="177" t="str">
        <f t="shared" si="226"/>
        <v/>
      </c>
      <c r="GB40" s="4" t="str">
        <f t="shared" si="227"/>
        <v/>
      </c>
      <c r="GC40" s="5" t="str">
        <f t="shared" si="228"/>
        <v/>
      </c>
      <c r="GD40" s="10" t="str">
        <f t="shared" si="229"/>
        <v/>
      </c>
      <c r="GE40" s="311" t="str">
        <f t="shared" si="230"/>
        <v/>
      </c>
      <c r="GF40" s="341" t="str">
        <f t="shared" si="255"/>
        <v/>
      </c>
      <c r="GG40" s="285" t="str">
        <f t="shared" si="46"/>
        <v/>
      </c>
      <c r="GH40" s="286" t="str">
        <f t="shared" si="47"/>
        <v/>
      </c>
      <c r="GI40" s="281" t="str">
        <f t="shared" si="48"/>
        <v/>
      </c>
      <c r="GJ40" s="167" t="str">
        <f t="shared" si="231"/>
        <v/>
      </c>
      <c r="GK40" s="174" t="str">
        <f t="shared" si="49"/>
        <v/>
      </c>
      <c r="GL40" s="174" t="str">
        <f t="shared" si="232"/>
        <v/>
      </c>
      <c r="GM40" s="177" t="str">
        <f t="shared" si="256"/>
        <v/>
      </c>
      <c r="GN40" s="280" t="str">
        <f t="shared" si="233"/>
        <v/>
      </c>
      <c r="GO40" s="4" t="str">
        <f t="shared" si="234"/>
        <v/>
      </c>
      <c r="GP40" s="8" t="str">
        <f t="shared" si="257"/>
        <v/>
      </c>
      <c r="GQ40" s="177" t="str">
        <f t="shared" si="235"/>
        <v/>
      </c>
      <c r="GR40" s="371" t="str">
        <f t="shared" si="258"/>
        <v/>
      </c>
      <c r="GS40" s="342" t="str">
        <f t="shared" si="51"/>
        <v/>
      </c>
      <c r="GT40" s="343" t="str">
        <f t="shared" si="52"/>
        <v/>
      </c>
      <c r="GU40" s="344" t="str">
        <f t="shared" si="53"/>
        <v/>
      </c>
      <c r="GV40" s="343" t="str">
        <f t="shared" si="265"/>
        <v/>
      </c>
      <c r="GW40" s="345" t="str">
        <f t="shared" si="54"/>
        <v/>
      </c>
      <c r="GX40" s="346" t="str">
        <f t="shared" si="55"/>
        <v/>
      </c>
      <c r="GY40" s="344" t="str">
        <f t="shared" si="56"/>
        <v/>
      </c>
      <c r="GZ40" s="345" t="str">
        <f t="shared" si="57"/>
        <v/>
      </c>
      <c r="HA40" s="342" t="str">
        <f t="shared" si="58"/>
        <v/>
      </c>
      <c r="HB40" s="5" t="str">
        <f t="shared" si="236"/>
        <v/>
      </c>
      <c r="HC40" s="343" t="str">
        <f t="shared" si="237"/>
        <v/>
      </c>
      <c r="HD40" s="363" t="str">
        <f t="shared" si="238"/>
        <v/>
      </c>
      <c r="HE40" s="344" t="str">
        <f t="shared" si="59"/>
        <v/>
      </c>
      <c r="HF40" s="5" t="str">
        <f t="shared" si="60"/>
        <v/>
      </c>
      <c r="HG40" s="343" t="str">
        <f t="shared" si="239"/>
        <v/>
      </c>
      <c r="HH40" s="349" t="str">
        <f t="shared" si="240"/>
        <v/>
      </c>
      <c r="HI40" s="317" t="str">
        <f t="shared" si="61"/>
        <v/>
      </c>
      <c r="HJ40" s="336"/>
      <c r="HK40" s="310" t="str">
        <f t="shared" si="131"/>
        <v/>
      </c>
      <c r="HL40" s="348" t="str">
        <f t="shared" si="62"/>
        <v/>
      </c>
      <c r="HM40" s="923" t="str">
        <f t="shared" si="63"/>
        <v/>
      </c>
      <c r="HN40" s="924" t="str">
        <f t="shared" si="64"/>
        <v/>
      </c>
      <c r="HO40" s="925"/>
      <c r="HP40" s="926"/>
      <c r="HQ40" s="924" t="str">
        <f t="shared" si="65"/>
        <v/>
      </c>
      <c r="HR40" s="927" t="str">
        <f t="shared" si="66"/>
        <v/>
      </c>
      <c r="HS40" s="879" t="str">
        <f t="shared" si="261"/>
        <v/>
      </c>
      <c r="HT40" s="889" t="str">
        <f t="shared" si="67"/>
        <v/>
      </c>
      <c r="HU40" s="890" t="str">
        <f t="shared" si="68"/>
        <v/>
      </c>
      <c r="HV40" s="886" t="str">
        <f t="shared" si="69"/>
        <v/>
      </c>
      <c r="HW40" s="880" t="str">
        <f t="shared" si="70"/>
        <v/>
      </c>
      <c r="HX40" s="881" t="str">
        <f t="shared" si="71"/>
        <v/>
      </c>
      <c r="HY40" s="880" t="str">
        <f t="shared" si="72"/>
        <v/>
      </c>
      <c r="HZ40" s="882" t="str">
        <f t="shared" si="73"/>
        <v/>
      </c>
      <c r="IA40" s="883" t="str">
        <f t="shared" si="74"/>
        <v/>
      </c>
      <c r="IB40" s="884" t="str">
        <f t="shared" si="75"/>
        <v/>
      </c>
      <c r="IC40" s="855" t="str">
        <f t="shared" si="76"/>
        <v/>
      </c>
      <c r="ID40" s="351" t="str">
        <f t="shared" si="77"/>
        <v/>
      </c>
      <c r="IE40" s="857" t="str">
        <f t="shared" si="78"/>
        <v/>
      </c>
      <c r="IF40" s="859"/>
      <c r="IG40" s="790" t="str">
        <f>IFERROR(IF($IW40="","",IF($IW40&lt;(((Settings!$C$19/2)*-1)*$IG$8),"Taper","Nose")),"")</f>
        <v/>
      </c>
      <c r="IH40" s="482" t="str">
        <f>IFERROR(IF((((($IY40*COS(RADIANS(180-$JA40)))*COS(RADIANS($JA40)))-(($IZ40*SIN(RADIANS(180-$JA40)))*SIN(RADIANS($JA40))))+$IW40)&lt;(((Settings!$C$19+$IH$8)/2)*-1),"Gage",""),"")</f>
        <v/>
      </c>
      <c r="II40" s="788">
        <f t="shared" si="241"/>
        <v>6.11</v>
      </c>
      <c r="IJ40" s="674" t="str" cm="1">
        <f t="array" ref="IJ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K40" s="677" t="str" cm="1">
        <f t="array" ref="IK40">IFERROR(ROUND(VALUE(IF($IJ40&lt;1,$IJ40+LARGE((IF($M$9:$M$150="",0,$M$9:$M$150)-MOD(IF($M$9:$M$150="",0,$M$9:$M$150),1)),1),$IJ40)),4),"")</f>
        <v/>
      </c>
      <c r="IL40" s="482">
        <f t="shared" si="79"/>
        <v>1313</v>
      </c>
      <c r="IM40" s="482" t="str">
        <f t="shared" si="242"/>
        <v/>
      </c>
      <c r="IN40" s="670" t="str">
        <f t="shared" si="81"/>
        <v/>
      </c>
      <c r="IO40" s="702"/>
      <c r="IP40" s="5" t="str">
        <f t="shared" si="82"/>
        <v/>
      </c>
      <c r="IQ40" s="714"/>
      <c r="IR40" s="9" t="str">
        <f t="shared" si="132"/>
        <v/>
      </c>
      <c r="IS40" s="5" t="str">
        <f t="shared" si="83"/>
        <v/>
      </c>
      <c r="IT40" s="5" t="str">
        <f t="shared" si="84"/>
        <v/>
      </c>
      <c r="IU40" s="5" t="str">
        <f t="shared" si="85"/>
        <v/>
      </c>
      <c r="IV40" s="670" t="str">
        <f t="shared" si="86"/>
        <v/>
      </c>
      <c r="IW40" s="9" t="str">
        <f t="shared" si="87"/>
        <v/>
      </c>
      <c r="IX40" s="5" t="str">
        <f t="shared" si="88"/>
        <v/>
      </c>
      <c r="IY40" s="5" t="str">
        <f t="shared" si="89"/>
        <v/>
      </c>
      <c r="IZ40" s="5" t="str">
        <f t="shared" si="90"/>
        <v/>
      </c>
      <c r="JA40" s="705" t="str">
        <f t="shared" si="91"/>
        <v/>
      </c>
      <c r="JM40" s="489">
        <f t="shared" si="133"/>
        <v>10</v>
      </c>
      <c r="JN40" s="960">
        <f>($JO40-SMALL($JO$9:$JO$88,1))/((Settings!$C$19/2)-((Settings!$C$19/2)-LARGE($JO$9:$JO$88,1))-SMALL($JO$9:$JO$88,1))</f>
        <v>0.44653396944326817</v>
      </c>
      <c r="JO40" s="162">
        <f t="shared" si="134"/>
        <v>1.8274113896853628</v>
      </c>
      <c r="JP40" s="961">
        <f t="shared" si="135"/>
        <v>6.7190013243943669</v>
      </c>
      <c r="JQ40" s="961">
        <f t="shared" si="136"/>
        <v>15.059078642892576</v>
      </c>
      <c r="JS40" s="82">
        <v>32</v>
      </c>
      <c r="JT40" s="322">
        <f t="shared" si="137"/>
        <v>3.5197833558004921</v>
      </c>
      <c r="JU40" s="963">
        <f t="shared" si="138"/>
        <v>0.94050629118450646</v>
      </c>
      <c r="JV40" s="961">
        <f t="shared" si="287"/>
        <v>-52.995732713861685</v>
      </c>
      <c r="JW40" s="961">
        <f t="shared" si="92"/>
        <v>22.760001499121799</v>
      </c>
      <c r="JX40" s="1">
        <v>6.8855000000000004</v>
      </c>
      <c r="JY40" s="965">
        <f t="shared" si="139"/>
        <v>0.96330248230602855</v>
      </c>
      <c r="JZ40" s="973">
        <v>76.26574285714284</v>
      </c>
      <c r="KA40" s="410">
        <f t="shared" si="280"/>
        <v>0.16876571428571197</v>
      </c>
      <c r="KB40" s="974">
        <f t="shared" si="243"/>
        <v>32</v>
      </c>
      <c r="KC40" s="968" cm="1">
        <f t="array" ref="KC40">(((INDEX($JV$9:$JV$53,MATCH(INDEX($JU$9:$JU$53,MATCH(TRUE,INDEX($JU$9:$JU$53&gt;$JY40,0),)),$JU$9:$JU$53,0))-INDEX($JV$9:$JV$53,MATCH(INDEX($JU$9:$JU$53,MATCH(TRUE,INDEX($JU$9:$JU$53&gt;$JY40,0),)-1),$JU$9:$JU$53,0)))*(($JY40-INDEX($JU$9:$JU$53,MATCH(TRUE,INDEX($JU$9:$JU$53&gt;$JY40,0),)-1))/(INDEX($JU$9:$JU$53,MATCH(TRUE,INDEX($JU$9:$JU$53&gt;$JY40,0),))-INDEX($JU$9:$JU$53,MATCH(TRUE,INDEX($JU$9:$JU$53&gt;$JY40,0),)-1))))+INDEX($JV$9:$JV$53,MATCH(INDEX($JU$9:$JU$53,MATCH(TRUE,INDEX($JU$9:$JU$53&gt;$JY40,0),)-1),$JU$9:$JU$53,0)))</f>
        <v>-58.379746997658238</v>
      </c>
      <c r="KD40" s="970">
        <v>-76.096977142857128</v>
      </c>
      <c r="KE40" s="968">
        <f t="shared" si="140"/>
        <v>-17.71723014519889</v>
      </c>
      <c r="KF40" s="968" cm="1">
        <f t="array" ref="KF40">(((INDEX($JW$9:$JW$53,MATCH(INDEX($JU$9:$JU$53,MATCH(TRUE,INDEX($JU$9:$JU$53&gt;$JY40,0),)),$JU$9:$JU$53,0))-INDEX($JW$9:$JW$53,MATCH(INDEX($JU$9:$JU$53,MATCH(TRUE,INDEX($JU$9:$JU$53&gt;$JY40,0),)-1),$JU$9:$JU$53,0)))*(($JY40-INDEX($JU$9:$JU$53,MATCH(TRUE,INDEX($JU$9:$JU$53&gt;$JY40,0),)-1))/(INDEX($JU$9:$JU$53,MATCH(TRUE,INDEX($JU$9:$JU$53&gt;$JY40,0),))-INDEX($JU$9:$JU$53,MATCH(TRUE,INDEX($JU$9:$JU$53&gt;$JY40,0),)-1))))+INDEX($JW$9:$JW$53,MATCH(INDEX($JU$9:$JU$53,MATCH(TRUE,INDEX($JU$9:$JU$53&gt;$JY40,0),)-1),$JU$9:$JU$53,0)))</f>
        <v>24.761495702836257</v>
      </c>
      <c r="KG40" s="966">
        <f t="shared" si="244"/>
        <v>-1.9838371428571264</v>
      </c>
      <c r="KH40" s="966">
        <f t="shared" si="141"/>
        <v>1.0213926655270917</v>
      </c>
      <c r="KJ40" s="31"/>
    </row>
    <row r="41" spans="1:296" ht="15" customHeight="1" x14ac:dyDescent="0.25">
      <c r="A41" s="75">
        <f t="shared" ref="A41:A72" si="322">IF($K41="","",IF(AND($A$8="Y",ISNUMBER($K41)),$A$5,0))</f>
        <v>0.02</v>
      </c>
      <c r="B41" s="578">
        <f t="shared" ref="B41:D41" si="323">IFERROR(O196+($A41*-E41),"")</f>
        <v>-1.7468647824803332</v>
      </c>
      <c r="C41" s="572">
        <f t="shared" si="323"/>
        <v>-1.7960135964642827</v>
      </c>
      <c r="D41" s="576">
        <f t="shared" si="323"/>
        <v>-9.3224033831964717E-2</v>
      </c>
      <c r="E41" s="580">
        <f t="shared" ref="E41:K41" si="324">R196</f>
        <v>0.65444415534309142</v>
      </c>
      <c r="F41" s="572">
        <f t="shared" si="324"/>
        <v>-0.71316704898995653</v>
      </c>
      <c r="G41" s="579">
        <f t="shared" si="324"/>
        <v>0.25118839099812074</v>
      </c>
      <c r="H41" s="580">
        <f t="shared" si="324"/>
        <v>0.26450000000000001</v>
      </c>
      <c r="I41" s="572">
        <f t="shared" si="324"/>
        <v>0.52</v>
      </c>
      <c r="J41" s="483">
        <f t="shared" si="94"/>
        <v>6.117</v>
      </c>
      <c r="K41" s="806">
        <f t="shared" si="324"/>
        <v>1313</v>
      </c>
      <c r="L41" s="309"/>
      <c r="M41" s="164">
        <f t="shared" ref="M41:M72" si="325">IF(J41="","",VALUE(J41))</f>
        <v>6.117</v>
      </c>
      <c r="N41" s="575">
        <f t="shared" ref="N41:N72" si="326">IF(M41="","",B41)</f>
        <v>-1.7468647824803332</v>
      </c>
      <c r="O41" s="572">
        <f t="shared" ref="O41:O72" si="327">IF(M41="","",C41)</f>
        <v>-1.7960135964642827</v>
      </c>
      <c r="P41" s="576">
        <f t="shared" ref="P41:P72" si="328">IF(M41="","",D41)</f>
        <v>-9.3224033831964717E-2</v>
      </c>
      <c r="Q41" s="528">
        <f t="shared" si="144"/>
        <v>225.79478849770373</v>
      </c>
      <c r="R41" s="572">
        <f t="shared" si="95"/>
        <v>2.5054343749048047</v>
      </c>
      <c r="S41" s="577">
        <f t="shared" si="96"/>
        <v>-9.3224033831964717E-2</v>
      </c>
      <c r="T41" s="578">
        <f t="shared" si="97"/>
        <v>-1.8471423533575686</v>
      </c>
      <c r="U41" s="572">
        <f t="shared" si="98"/>
        <v>1.6927098196050299</v>
      </c>
      <c r="V41" s="579">
        <f t="shared" si="145"/>
        <v>-9.3224033831964717E-2</v>
      </c>
      <c r="W41" s="528">
        <f t="shared" si="268"/>
        <v>137.49804926737872</v>
      </c>
      <c r="X41" s="572">
        <f t="shared" si="99"/>
        <v>2.5054343749048047</v>
      </c>
      <c r="Y41" s="573">
        <f t="shared" si="271"/>
        <v>-9.3224033831964717E-2</v>
      </c>
      <c r="Z41" s="575">
        <f t="shared" ref="Z41:Z72" si="329">IF(M41="","",-E41)</f>
        <v>-0.65444415534309142</v>
      </c>
      <c r="AA41" s="572">
        <f t="shared" ref="AA41:AA72" si="330">IF(M41="","",-F41)</f>
        <v>0.71316704898995653</v>
      </c>
      <c r="AB41" s="572">
        <f t="shared" ref="AB41:AB72" si="331">IF(M41="","",-G41)</f>
        <v>-0.25118839099812074</v>
      </c>
      <c r="AC41" s="579">
        <f t="shared" si="100"/>
        <v>1</v>
      </c>
      <c r="AD41" s="580">
        <f t="shared" si="146"/>
        <v>-0.65444415534309142</v>
      </c>
      <c r="AE41" s="572">
        <f t="shared" si="101"/>
        <v>0.71316704898995653</v>
      </c>
      <c r="AF41" s="576">
        <f t="shared" si="102"/>
        <v>-0.25118839099812074</v>
      </c>
      <c r="AG41" s="545">
        <f t="shared" si="103"/>
        <v>70.596953189259764</v>
      </c>
      <c r="AH41" s="546">
        <f t="shared" si="104"/>
        <v>130.87751629705562</v>
      </c>
      <c r="AI41" s="528">
        <f t="shared" si="105"/>
        <v>-75.452153818783913</v>
      </c>
      <c r="AJ41" s="529">
        <f t="shared" si="106"/>
        <v>-137.4586728220861</v>
      </c>
      <c r="AK41" s="578">
        <f t="shared" si="247"/>
        <v>0.96637813677348938</v>
      </c>
      <c r="AL41" s="572">
        <f t="shared" si="107"/>
        <v>-5.493349610187459E-2</v>
      </c>
      <c r="AM41" s="577">
        <f t="shared" si="108"/>
        <v>-0.25118839099812074</v>
      </c>
      <c r="AN41" s="524">
        <f t="shared" si="109"/>
        <v>-12.336047432735542</v>
      </c>
      <c r="AO41" s="525">
        <f t="shared" si="110"/>
        <v>14.899541540009668</v>
      </c>
      <c r="AP41" s="528">
        <f t="shared" si="111"/>
        <v>-3.2534613197898379</v>
      </c>
      <c r="AQ41" s="529">
        <f t="shared" ref="AQ41:AQ72" si="332">IF(M41="","",DEGREES(ATAN(($AS$5*SIN(RADIANS(90)))/(($X41*2*PI())-($AS$5*COS(RADIANS(90)))))))</f>
        <v>1.0917631215636894</v>
      </c>
      <c r="AR41" s="979"/>
      <c r="AS41" s="954">
        <f t="shared" si="147"/>
        <v>137.49804926737872</v>
      </c>
      <c r="AT41" s="950">
        <f t="shared" ref="AT41:AT72" si="333">IF(M41="","",Y41+(((AS41-$AS$9)*$AS$6)*-1))</f>
        <v>9.0596026773797037E-2</v>
      </c>
      <c r="AU41" s="418"/>
      <c r="AV41" s="164" t="str">
        <f t="shared" ref="AV41:AV72" si="334">IF(AND(ISNUMBER(VALUE(K41)),ISNUMBER(AW41),ISNUMBER(AX41),ISNUMBER(AY41),AY41&gt;=0.0001),$M41,"")</f>
        <v/>
      </c>
      <c r="AW41" s="829" t="str">
        <f>IFERROR(INDEX(MassProp!C$9:C$150,MATCH($M41,MassProp!$B$9:$B$150,0)),"")</f>
        <v/>
      </c>
      <c r="AX41" s="830" t="str">
        <f>IFERROR(INDEX(MassProp!D$9:D$150,MATCH($M41,MassProp!$B$9:$B$150,0)),"")</f>
        <v/>
      </c>
      <c r="AY41" s="831" t="str">
        <f>IFERROR(INDEX(MassProp!E$9:E$150,MATCH($M41,MassProp!$B$9:$B$150,0)),"")</f>
        <v/>
      </c>
      <c r="AZ41" s="297" t="str">
        <f t="shared" ref="AZ41:AZ53" si="335">IF(ISNUMBER(AV41),$AY41*SQRT((2*PI()*$AW41)^2+$AS$5^2),"")</f>
        <v/>
      </c>
      <c r="BA41" s="296" t="str">
        <f t="shared" ref="BA41:BA72" si="336">IF(ISNUMBER(AV41),AZ41/$AZ$151,"")</f>
        <v/>
      </c>
      <c r="BB41" s="190" t="str">
        <f t="shared" si="149"/>
        <v/>
      </c>
      <c r="BC41" s="9"/>
      <c r="BD41" s="5" t="str">
        <f t="shared" ref="BD41:BD53" si="337">IF(ISNUMBER(AV41),AW41,"")</f>
        <v/>
      </c>
      <c r="BE41" s="6" t="str">
        <f t="shared" ref="BE41:BE72" si="338">IF(ISNUMBER(AV41),Y41+BB41,"")</f>
        <v/>
      </c>
      <c r="BF41" s="4" t="str">
        <f t="shared" ref="BF41:BF72" si="339">IF(ISNUMBER($AV41),N41,"")</f>
        <v/>
      </c>
      <c r="BG41" s="5" t="str">
        <f t="shared" ref="BG41:BG72" si="340">IF(ISNUMBER($AV41),O41,"")</f>
        <v/>
      </c>
      <c r="BH41" s="10" t="str">
        <f t="shared" ref="BH41:BH72" si="341">IF(ISNUMBER($AV41),P41,"")</f>
        <v/>
      </c>
      <c r="BI41" s="9" t="str">
        <f t="shared" ref="BI41:BI53" si="342">IF(ISNUMBER($AV41),BF41+0,"")</f>
        <v/>
      </c>
      <c r="BJ41" s="5" t="str">
        <f t="shared" ref="BJ41:BJ72" si="343">IF(ISNUMBER($AV41),BG41+COS(RADIANS($AG41)),"")</f>
        <v/>
      </c>
      <c r="BK41" s="8" t="str">
        <f t="shared" ref="BK41:BK72" si="344">IF(ISNUMBER($AV41),BH41+SIN(RADIANS($AG41)),"")</f>
        <v/>
      </c>
      <c r="BL41" s="173" t="str">
        <f t="shared" ref="BL41:BL72" si="345">IF(ISNUMBER($AV41),BF41+SIN(RADIANS($AH41)),"")</f>
        <v/>
      </c>
      <c r="BM41" s="5" t="str">
        <f t="shared" ref="BM41:BM72" si="346">IF(ISNUMBER($AV41),BG41-SIN(RADIANS($AG41))*COS(RADIANS($AH41)),"")</f>
        <v/>
      </c>
      <c r="BN41" s="6" t="str">
        <f t="shared" ref="BN41:BN72" si="347">IF(ISNUMBER($AV41),BH41+COS(RADIANS($AG41))*COS(RADIANS($AH41)),"")</f>
        <v/>
      </c>
      <c r="BO41" s="4" t="str">
        <f t="shared" ref="BO41:BO53" si="348">IF(ISNUMBER($AV41),BJ41*BN41-BM41*BK41-BG41*(BN41-BK41)+BH41*(BM41-BJ41),"")</f>
        <v/>
      </c>
      <c r="BP41" s="5" t="str">
        <f t="shared" ref="BP41:BP53" si="349">IF(ISNUMBER($AV41),BF41*(BN41-BK41)-(BI41*BN41-BL41*BK41)+BH41*(BI41-BL41),"")</f>
        <v/>
      </c>
      <c r="BQ41" s="5" t="str">
        <f t="shared" ref="BQ41:BQ53" si="350">IF(ISNUMBER($AV41),BF41*(BJ41-BM41)-BG41*(BI41-BL41)+(BI41*BM41-BL41*BJ41),"")</f>
        <v/>
      </c>
      <c r="BR41" s="6" t="str">
        <f t="shared" ref="BR41:BR53" si="351">IF(ISNUMBER($AV41),-(BF41*(BJ41*BN41-BM41*BK41)-BG41*(BI41*BN41-BL41*BK41)+BH41*(BI41*BM41-BL41*BJ41)),"")</f>
        <v/>
      </c>
      <c r="BS41" s="4" t="str">
        <f t="shared" si="112"/>
        <v/>
      </c>
      <c r="BT41" s="5" t="str">
        <f t="shared" si="112"/>
        <v/>
      </c>
      <c r="BU41" s="10" t="str">
        <f t="shared" si="113"/>
        <v/>
      </c>
      <c r="BV41" s="9" t="str">
        <f t="shared" si="114"/>
        <v/>
      </c>
      <c r="BW41" s="5" t="str">
        <f t="shared" si="115"/>
        <v/>
      </c>
      <c r="BX41" s="8" t="str">
        <f t="shared" si="116"/>
        <v/>
      </c>
      <c r="BY41" s="173" t="str">
        <f t="shared" si="117"/>
        <v/>
      </c>
      <c r="BZ41" s="5" t="str">
        <f t="shared" si="118"/>
        <v/>
      </c>
      <c r="CA41" s="6" t="str">
        <f t="shared" si="119"/>
        <v/>
      </c>
      <c r="CB41" s="4" t="str">
        <f t="shared" ref="CB41:CB53" si="352">IF(ISNUMBER($AV41),BW41*CA41-BZ41*BX41-BT41*(CA41-BX41)+BU41*(BZ41-BW41),"")</f>
        <v/>
      </c>
      <c r="CC41" s="5" t="str">
        <f t="shared" ref="CC41:CC53" si="353">IF(ISNUMBER($AV41),BS41*(CA41-BX41)-(BV41*CA41-BY41*BX41)+BU41*(BV41-BY41),"")</f>
        <v/>
      </c>
      <c r="CD41" s="5" t="str">
        <f t="shared" ref="CD41:CD53" si="354">IF(ISNUMBER($AV41),BS41*(BW41-BZ41)-BT41*(BV41-BY41)+(BV41*BZ41-BY41*BW41),"")</f>
        <v/>
      </c>
      <c r="CE41" s="6" t="str">
        <f t="shared" ref="CE41:CE53" si="355">IF(ISNUMBER($AV41),-(BS41*(BW41*CA41-BZ41*BX41)-BT41*(BV41*CA41-BY41*BX41)+BU41*(BV41*BZ41-BY41*BW41)),"")</f>
        <v/>
      </c>
      <c r="CF41" s="4" t="str">
        <f t="shared" ref="CF41:CF53" si="356">IF(ISNUMBER($AV41),(BP41*CD41)-(BQ41*CC41),"")</f>
        <v/>
      </c>
      <c r="CG41" s="5" t="str">
        <f t="shared" ref="CG41:CG53" si="357">IF(ISNUMBER($AV41),(BQ41*CB41)-(BO41*CD41),"")</f>
        <v/>
      </c>
      <c r="CH41" s="5" t="str">
        <f t="shared" ref="CH41:CH53" si="358">IF(ISNUMBER($AV41),(BO41*CC41)-(BP41*CB41),"")</f>
        <v/>
      </c>
      <c r="CI41" s="4" t="str">
        <f t="shared" si="120"/>
        <v/>
      </c>
      <c r="CJ41" s="5" t="str">
        <f t="shared" ref="CJ41:CJ53" si="359">IF(ISNUMBER($AV41),(CD41*BR41-BQ41*CE41)/(BQ41*CC41-CD41*BP41),"")</f>
        <v/>
      </c>
      <c r="CK41" s="8" t="str">
        <f t="shared" ref="CK41:CK53" si="360">IF(ISNUMBER($AV41),(CC41*BR41-BP41*CE41)/(-CC41*BQ41+BP41*CD41),"")</f>
        <v/>
      </c>
      <c r="CL41" s="173" t="str">
        <f t="shared" ref="CL41:CL53" si="361">IF(ISNUMBER($AV41),CI41+CF41,"")</f>
        <v/>
      </c>
      <c r="CM41" s="5" t="str">
        <f t="shared" ref="CM41:CM53" si="362">IF(ISNUMBER($AV41),CJ41+CG41,"")</f>
        <v/>
      </c>
      <c r="CN41" s="6" t="str">
        <f t="shared" ref="CN41:CN53" si="363">IF(ISNUMBER($AV41),CK41+CH41,"")</f>
        <v/>
      </c>
      <c r="CO41" s="167" t="str">
        <f t="shared" ref="CO41:CO72" si="364">IF(ISNUMBER($AV41),IF(AND(($H41*2)&gt;=$AB$161,($H41*2)&lt;=$AC$161),($AA$161/2),IF(AND(($H41*2)&gt;=$AB$163,($H41*2)&lt;=$AC$163),($AA$163/2),IF(AND(($H41*2)&gt;=$AB$165,($H41*2)&lt;=$AC$165),($AA$165/2),IF(AND(($H41*2)&gt;=$AB$168,($H41*2)&lt;=$AC$168),($AA$168/2),"Radius")))),"")</f>
        <v/>
      </c>
      <c r="CP41" s="4" t="str">
        <f t="shared" ref="CP41:CP53" si="365">IF(ISNUMBER($AV41),(CL41-CI41)^2+(CM41-CJ41)^2+(CN41-CK41)^2,"")</f>
        <v/>
      </c>
      <c r="CQ41" s="5" t="str">
        <f t="shared" ref="CQ41:CQ53" si="366">IF(ISNUMBER($AV41),2*((CL41-CI41)*(CI41-BF41)+(CM41-CJ41)*(CJ41-BG41)+(CN41-CK41)*(CK41-BH41)),"")</f>
        <v/>
      </c>
      <c r="CR41" s="5" t="str">
        <f t="shared" ref="CR41:CR53" si="367">IF(ISNUMBER($AV41),BF41^2+BG41^2+BH41^2+CI41^2+CJ41^2+CK41^2-2*(BF41*CI41+BG41*CJ41+BH41*CK41)-CO41^2,"")</f>
        <v/>
      </c>
      <c r="CS41" s="8" t="str">
        <f t="shared" ref="CS41:CS53" si="368">IF(ISNUMBER($AV41),CQ41^2-(4*CP41*CR41),"")</f>
        <v/>
      </c>
      <c r="CT41" s="9" t="str">
        <f t="shared" si="165"/>
        <v/>
      </c>
      <c r="CU41" s="6" t="str">
        <f t="shared" ref="CU41:CU53" si="369">IF(ISNUMBER($AV41),(-CQ41-SQRT(CS41))/(CP41*2),"")</f>
        <v/>
      </c>
      <c r="CV41" s="4" t="str">
        <f t="shared" ref="CV41:CV53" si="370">IF(ISNUMBER($AV41),CI41+($CT41*(CL41-CI41)),"")</f>
        <v/>
      </c>
      <c r="CW41" s="5" t="str">
        <f t="shared" ref="CW41:CW53" si="371">IF(ISNUMBER($AV41),CJ41+($CT41*(CM41-CJ41)),"")</f>
        <v/>
      </c>
      <c r="CX41" s="8" t="str">
        <f t="shared" ref="CX41:CX53" si="372">IF(ISNUMBER($AV41),CK41+($CT41*(CN41-CK41)),"")</f>
        <v/>
      </c>
      <c r="CY41" s="9" t="str">
        <f t="shared" ref="CY41:CY53" si="373">IF(ISNUMBER($AV41),CI41+($CU41*(CL41-CI41)),"")</f>
        <v/>
      </c>
      <c r="CZ41" s="5" t="str">
        <f t="shared" ref="CZ41:CZ53" si="374">IF(ISNUMBER($AV41),CJ41+($CU41*(CM41-CJ41)),"")</f>
        <v/>
      </c>
      <c r="DA41" s="6" t="str">
        <f t="shared" ref="DA41:DA53" si="375">IF(ISNUMBER($AV41),CK41+($CU41*(CN41-CK41)),"")</f>
        <v/>
      </c>
      <c r="DB41" s="4" t="str">
        <f t="shared" si="172"/>
        <v/>
      </c>
      <c r="DC41" s="5" t="str">
        <f t="shared" si="172"/>
        <v/>
      </c>
      <c r="DD41" s="10" t="str">
        <f t="shared" si="173"/>
        <v/>
      </c>
      <c r="DE41" s="9" t="str">
        <f t="shared" si="174"/>
        <v/>
      </c>
      <c r="DF41" s="5" t="str">
        <f t="shared" si="174"/>
        <v/>
      </c>
      <c r="DG41" s="10" t="str">
        <f t="shared" si="175"/>
        <v/>
      </c>
      <c r="DH41" s="70" t="str">
        <f t="shared" ref="DH41:DH53" si="376">IF(ISNUMBER($AV41),BD41,"")</f>
        <v/>
      </c>
      <c r="DI41" s="4" t="str">
        <f t="shared" ref="DI41:DI53" si="377">IF(ISNUMBER($AV41),DE41-DB41,"")</f>
        <v/>
      </c>
      <c r="DJ41" s="5" t="str">
        <f t="shared" ref="DJ41:DJ53" si="378">IF(ISNUMBER($AV41),DF41-DC41,"")</f>
        <v/>
      </c>
      <c r="DK41" s="10" t="str">
        <f t="shared" ref="DK41:DK53" si="379">IF(ISNUMBER($AV41),DG41-DD41,"")</f>
        <v/>
      </c>
      <c r="DL41" s="9" t="str">
        <f t="shared" ref="DL41:DL53" si="380">IF(ISNUMBER($AV41),CV41-DB41,"")</f>
        <v/>
      </c>
      <c r="DM41" s="173" t="str">
        <f t="shared" ref="DM41:DM53" si="381">IF(ISNUMBER($AV41),CW41-DC41,"")</f>
        <v/>
      </c>
      <c r="DN41" s="178" t="str">
        <f t="shared" ref="DN41:DN53" si="382">IF(ISNUMBER($AV41),CX41-DD41,"")</f>
        <v/>
      </c>
      <c r="DO41" s="9" t="str">
        <f t="shared" ref="DO41:DO53" si="383">IF(ISNUMBER($AV41),CY41-CV41,"")</f>
        <v/>
      </c>
      <c r="DP41" s="173" t="str">
        <f t="shared" ref="DP41:DP53" si="384">IF(ISNUMBER($AV41),CZ41-CW41,"")</f>
        <v/>
      </c>
      <c r="DQ41" s="11" t="str">
        <f t="shared" ref="DQ41:DQ53" si="385">IF(ISNUMBER($AV41),DA41-CX41,"")</f>
        <v/>
      </c>
      <c r="DR41" s="173" t="str">
        <f t="shared" ref="DR41:DR53" si="386">IF(ISNUMBER($AV41),SUMPRODUCT(DI41:DK41,DL41:DN41),"")</f>
        <v/>
      </c>
      <c r="DS41" s="5" t="str">
        <f t="shared" ref="DS41:DS53" si="387">IF(ISNUMBER($AV41),SUMPRODUCT(DO41:DQ41,DI41:DK41),"")</f>
        <v/>
      </c>
      <c r="DT41" s="5" t="str">
        <f t="shared" ref="DT41:DT53" si="388">IF(ISNUMBER($AV41),SUMPRODUCT(DI41:DK41,DI41:DK41),"")</f>
        <v/>
      </c>
      <c r="DU41" s="5" t="str">
        <f t="shared" ref="DU41:DU53" si="389">IF(ISNUMBER($AV41),SUMPRODUCT(DO41:DQ41,DO41:DQ41),"")</f>
        <v/>
      </c>
      <c r="DV41" s="5" t="str">
        <f t="shared" ref="DV41:DV53" si="390">IF(ISNUMBER($AV41),SUMPRODUCT(DL41:DN41,DO41:DQ41),"")</f>
        <v/>
      </c>
      <c r="DW41" s="5" t="str">
        <f t="shared" ref="DW41:DW53" si="391">IF(ISNUMBER($AV41),SUMPRODUCT(DL41:DN41,DL41:DN41),"")</f>
        <v/>
      </c>
      <c r="DX41" s="167" t="str">
        <f t="shared" ref="DX41:DX53" si="392">IF(ISNUMBER($AV41),DW41-DH41*DH41,"")</f>
        <v/>
      </c>
      <c r="DY41" s="9" t="str">
        <f t="shared" ref="DY41:DY53" si="393">IF(ISNUMBER($AV41),DT41*DU41-DS41*DS41,"")</f>
        <v/>
      </c>
      <c r="DZ41" s="5" t="str">
        <f t="shared" ref="DZ41:DZ53" si="394">IF(ISNUMBER($AV41),DT41*DV41-DS41*DR41,"")</f>
        <v/>
      </c>
      <c r="EA41" s="10" t="str">
        <f t="shared" ref="EA41:EA53" si="395">IF(ISNUMBER($AV41),DT41*DX41-DR41*DR41,"")</f>
        <v/>
      </c>
      <c r="EB41" s="6" t="str">
        <f t="shared" ref="EB41:EB53" si="396">IF(ISNUMBER($AV41),DZ41*DZ41-DY41*EA41,"")</f>
        <v/>
      </c>
      <c r="EC41" s="173" t="str">
        <f t="shared" ref="EC41:EC53" si="397">IF(ISNUMBER($AV41),(-DZ41+SQRT(DZ41^2-DY41*EA41))/DY41,"")</f>
        <v/>
      </c>
      <c r="ED41" s="5" t="str">
        <f t="shared" ref="ED41:ED53" si="398">IF(ISNUMBER($AV41),(-DZ41-SQRT(DZ41^2-DY41*EA41))/DY41,"")</f>
        <v/>
      </c>
      <c r="EE41" s="4" t="str">
        <f t="shared" ref="EE41:EE53" si="399">IF(ISNUMBER($AV41),CV41+DO41*$EC41,"")</f>
        <v/>
      </c>
      <c r="EF41" s="5" t="str">
        <f t="shared" ref="EF41:EF53" si="400">IF(ISNUMBER($AV41),CW41+DP41*$EC41,"")</f>
        <v/>
      </c>
      <c r="EG41" s="10" t="str">
        <f t="shared" ref="EG41:EG53" si="401">IF(ISNUMBER($AV41),CX41+DQ41*$EC41,"")</f>
        <v/>
      </c>
      <c r="EH41" s="9" t="str">
        <f t="shared" ref="EH41:EH53" si="402">IF(ISNUMBER($AV41),CV41+DO41*$ED41,"")</f>
        <v/>
      </c>
      <c r="EI41" s="5" t="str">
        <f t="shared" ref="EI41:EI53" si="403">IF(ISNUMBER($AV41),CW41+DP41*$ED41,"")</f>
        <v/>
      </c>
      <c r="EJ41" s="6" t="str">
        <f t="shared" ref="EJ41:EJ53" si="404">IF(ISNUMBER($AV41),CX41+DQ41*$ED41,"")</f>
        <v/>
      </c>
      <c r="EK41" s="236" t="str">
        <f t="shared" si="205"/>
        <v/>
      </c>
      <c r="EL41" s="238" t="str">
        <f t="shared" si="206"/>
        <v/>
      </c>
      <c r="EM41" s="4" t="str">
        <f t="shared" ref="EM41:EM53" si="405">IF(ISNUMBER($AV41),IF($EK41=TRUE,EE41,IF($EL41=TRUE,EH41,"")),"")</f>
        <v/>
      </c>
      <c r="EN41" s="5" t="str">
        <f t="shared" ref="EN41:EN53" si="406">IF(ISNUMBER($AV41),IF($EK41=TRUE,EF41,IF($EL41=TRUE,EI41,"")),"")</f>
        <v/>
      </c>
      <c r="EO41" s="10" t="str">
        <f t="shared" ref="EO41:EO53" si="407">IF(ISNUMBER($AV41),IF($EK41=TRUE,EG41,IF($EL41=TRUE,EJ41,"")),"")</f>
        <v/>
      </c>
      <c r="EP41" s="9" t="str">
        <f t="shared" ref="EP41:EP53" si="408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409">IF(ISNUMBER($AV41),SQRT(EM41^2+EN41^2),"")</f>
        <v/>
      </c>
      <c r="ER41" s="7" t="str">
        <f t="shared" ref="ER41:ER53" si="410">IF(ISNUMBER($AV41),EO41,"")</f>
        <v/>
      </c>
      <c r="ES41" s="21" t="str">
        <f t="shared" ref="ES41:ES72" si="411">IF(ISNUMBER($AV41),AD41,"")</f>
        <v/>
      </c>
      <c r="ET41" s="5" t="str">
        <f t="shared" ref="ET41:ET72" si="412">IF(ISNUMBER($AV41),AE41,"")</f>
        <v/>
      </c>
      <c r="EU41" s="10" t="str">
        <f t="shared" ref="EU41:EU72" si="413">IF(ISNUMBER($AV41),AF41,"")</f>
        <v/>
      </c>
      <c r="EV41" s="174" t="str">
        <f t="shared" ref="EV41:EV53" si="414">IF(ISNUMBER($AV41),IF(($EV$1-EP41)&lt;0,(360+($EV$1-EP41)),($EV$1-EP41)),"")</f>
        <v/>
      </c>
      <c r="EW41" s="9" t="str">
        <f t="shared" ref="EW41:EW53" si="415">IF(ISNUMBER($AV41),(COS(RADIANS($EV41))*ES41)+(-SIN(RADIANS($EV41))*ET41),"")</f>
        <v/>
      </c>
      <c r="EX41" s="5" t="str">
        <f t="shared" ref="EX41:EX53" si="416">IF(ISNUMBER($AV41),(SIN(RADIANS($EV41))*ES41)+(COS(RADIANS($EV41))*ET41),"")</f>
        <v/>
      </c>
      <c r="EY41" s="6" t="str">
        <f t="shared" ref="EY41:EY53" si="417">IF(ISNUMBER($AV41),EU41,"")</f>
        <v/>
      </c>
      <c r="EZ41" s="51" t="str">
        <f t="shared" si="214"/>
        <v/>
      </c>
      <c r="FA41" s="266" t="str">
        <f t="shared" si="128"/>
        <v/>
      </c>
      <c r="FB41" s="267" t="str">
        <f t="shared" si="129"/>
        <v/>
      </c>
      <c r="FC41" s="269" t="str">
        <f t="shared" si="38"/>
        <v/>
      </c>
      <c r="FD41" s="4" t="str">
        <f t="shared" ref="FD41:FD53" si="418">IF(ISNUMBER($AV41),(COS(RADIANS($EV41))*FA41)+(-SIN(RADIANS($EV41))*FB41),"")</f>
        <v/>
      </c>
      <c r="FE41" s="5" t="str">
        <f t="shared" ref="FE41:FE53" si="419">IF(ISNUMBER($AV41),(SIN(RADIANS($EV41))*FA41)+(COS(RADIANS($EV41))*FB41),"")</f>
        <v/>
      </c>
      <c r="FF41" s="7" t="str">
        <f t="shared" ref="FF41:FF53" si="420">IF(ISNUMBER($AV41),FC41,"")</f>
        <v/>
      </c>
      <c r="FG41" s="173" t="str">
        <f t="shared" ref="FG41:FG53" si="421">IF(ISNUMBER($AV41),EW41-FD41,"")</f>
        <v/>
      </c>
      <c r="FH41" s="5" t="str">
        <f t="shared" ref="FH41:FH53" si="422">IF(ISNUMBER($AV41),EX41-FE41,"")</f>
        <v/>
      </c>
      <c r="FI41" s="10" t="str">
        <f t="shared" ref="FI41:FI53" si="423">IF(ISNUMBER($AV41),EY41-FF41,"")</f>
        <v/>
      </c>
      <c r="FJ41" s="279" t="str">
        <f t="shared" ref="FJ41:FJ53" si="424">IF(ISNUMBER($AV41),DEGREES(ACOS((2-SQRT((FG41)^2+(FH41)^2+(FI41)^2)^2)/2)),"")</f>
        <v/>
      </c>
      <c r="FK41" s="4" t="str">
        <f t="shared" ref="FK41:FK53" si="425">IF(ISNUMBER($AV41),SQRT(ES41^2+ET41^2),"")</f>
        <v/>
      </c>
      <c r="FL41" s="5" t="str">
        <f t="shared" ref="FL41:FL53" si="426">IF(ISNUMBER($AV41),SQRT(FA41^2+FB41^2),"")</f>
        <v/>
      </c>
      <c r="FM41" s="8" t="str">
        <f t="shared" ref="FM41:FM53" si="427">IF(ISNUMBER($AV41),SQRT(FG41^2+FH41^2),"")</f>
        <v/>
      </c>
      <c r="FN41" s="9" t="str">
        <f t="shared" ref="FN41:FN53" si="428">IF(ISNUMBER($AV41),DEGREES(ACOS((FK41^2+FL41^2-FM41^2)/(2*FK41*FL41))),"")</f>
        <v/>
      </c>
      <c r="FO41" s="10" t="str">
        <f t="shared" ref="FO41:FO53" si="429">IF(ISNUMBER($AV41),IF(SQRT((EM41+(ES41/SQRT(ES41^2+(ET41/SQRT(ES41^2+ET41^2))^2)))^2+(EN41+ET41)^2)&gt;SQRT((EM41+(FA41/SQRT(FA41^2+FB41^2)))^2+(EN41+(FB41/SQRT(FA41^2+FB41^2)))^2),-1,1),"")</f>
        <v/>
      </c>
      <c r="FP41" s="277" t="str">
        <f t="shared" ref="FP41:FP53" si="430">IF(ISNUMBER($AV41),FN41*FO41,"")</f>
        <v/>
      </c>
      <c r="FQ41" s="173" t="str">
        <f t="shared" ref="FQ41:FQ53" si="431">IF(ISNUMBER($AV41),SIN(RADIANS(FN41)),"")</f>
        <v/>
      </c>
      <c r="FR41" s="10" t="str">
        <f t="shared" ref="FR41:FR53" si="432">IF(ISNUMBER($AV41),COS(RADIANS(FN41)),"")</f>
        <v/>
      </c>
      <c r="FS41" s="9" t="str">
        <f t="shared" ref="FS41:FS53" si="433">IF(ISNUMBER($AV41),FQ41/(FQ41+FR41),"")</f>
        <v/>
      </c>
      <c r="FT41" s="6" t="str">
        <f t="shared" ref="FT41:FT53" si="434">IF(ISNUMBER($AV41),FR41/(FQ41+FR41),"")</f>
        <v/>
      </c>
      <c r="FU41" s="4" t="str">
        <f t="shared" ref="FU41:FU53" si="435">IF(ISNUMBER($AV41),SQRT(EW41^2+EY41^2),"")</f>
        <v/>
      </c>
      <c r="FV41" s="5" t="str">
        <f t="shared" ref="FV41:FV53" si="436">IF(ISNUMBER($AV41),SQRT(FD41^2+FF41^2),"")</f>
        <v/>
      </c>
      <c r="FW41" s="8" t="str">
        <f t="shared" ref="FW41:FW53" si="437">IF(ISNUMBER($AV41),SQRT(FG41^2+FI41^2),"")</f>
        <v/>
      </c>
      <c r="FX41" s="9" t="str">
        <f t="shared" ref="FX41:FX53" si="438">IF(ISNUMBER($AV41),DEGREES(ACOS((FU41^2+FV41^2-FW41^2)/(2*FU41*FV41))),"")</f>
        <v/>
      </c>
      <c r="FY41" s="10" t="str">
        <f t="shared" ref="FY41:FY53" si="439">IF(ISNUMBER($AV41),IF(EU41&lt;FC41,1,-1),"")</f>
        <v/>
      </c>
      <c r="FZ41" s="277" t="str">
        <f t="shared" ref="FZ41:FZ53" si="440">IF(ISNUMBER($AV41),FX41*FY41,"")</f>
        <v/>
      </c>
      <c r="GA41" s="177" t="str">
        <f t="shared" ref="GA41:GA53" si="441">IF(ISNUMBER($AV41),DEGREES(FZ41*SIN(RADIANS(FU41))),"")</f>
        <v/>
      </c>
      <c r="GB41" s="4" t="str">
        <f t="shared" ref="GB41:GB53" si="442">IF(ISNUMBER($AV41),COS(RADIANS(FP41+90))*COS(RADIANS(FZ41)),"")</f>
        <v/>
      </c>
      <c r="GC41" s="5" t="str">
        <f t="shared" ref="GC41:GC53" si="443">IF(ISNUMBER($AV41),SIN(RADIANS(FP41+90))*COS(RADIANS(FZ41)),"")</f>
        <v/>
      </c>
      <c r="GD41" s="10" t="str">
        <f t="shared" ref="GD41:GD53" si="444">IF(ISNUMBER($AV41),-SIN(RADIANS(FZ41)),"")</f>
        <v/>
      </c>
      <c r="GE41" s="311" t="str">
        <f t="shared" ref="GE41:GE53" si="445">IF(ISNUMBER($AV41),SUM(ABS(GB41),ABS(GC41),ABS(GD41)),"")</f>
        <v/>
      </c>
      <c r="GF41" s="341" t="str">
        <f t="shared" ref="GF41:GF53" si="446">IF(ISNUMBER($AV41),1/GE41,"")</f>
        <v/>
      </c>
      <c r="GG41" s="285" t="str">
        <f t="shared" ref="GG41:GG53" si="447">IF(ISNUMBER($AV41),ABS(GB41)/(ABS($GB41)+ABS($GC41)+ABS($GD41)),"")</f>
        <v/>
      </c>
      <c r="GH41" s="286" t="str">
        <f t="shared" ref="GH41:GH53" si="448">IF(ISNUMBER($AV41),ABS(GC41)/(ABS($GB41)+ABS($GC41)+ABS($GD41)),"")</f>
        <v/>
      </c>
      <c r="GI41" s="281" t="str">
        <f t="shared" ref="GI41:GI53" si="449">IF(ISNUMBER($AV41),ABS(GD41)/(ABS($GB41)+ABS($GC41)+ABS($GD41)),"")</f>
        <v/>
      </c>
      <c r="GJ41" s="167" t="str">
        <f t="shared" ref="GJ41:GJ53" si="450">IF(ISNUMBER($AV41),AW41,"")</f>
        <v/>
      </c>
      <c r="GK41" s="174" t="str">
        <f t="shared" si="49"/>
        <v/>
      </c>
      <c r="GL41" s="174" t="str">
        <f t="shared" ref="GL41:GL53" si="451">IF(ISNUMBER($AV41),AY41,"")</f>
        <v/>
      </c>
      <c r="GM41" s="177" t="str">
        <f t="shared" ref="GM41:GM53" si="452">IF(ISNUMBER($AV41),AZ41,"")</f>
        <v/>
      </c>
      <c r="GN41" s="280" t="str">
        <f t="shared" ref="GN41:GN53" si="453">IF(ISNUMBER($AV41),BA41,"")</f>
        <v/>
      </c>
      <c r="GO41" s="4" t="str">
        <f t="shared" ref="GO41:GO53" si="454">IF(ISNUMBER($AV41),FP41,"")</f>
        <v/>
      </c>
      <c r="GP41" s="8" t="str">
        <f t="shared" ref="GP41:GP53" si="455">IF(ISNUMBER($AV41),FZ41,"")</f>
        <v/>
      </c>
      <c r="GQ41" s="177" t="str">
        <f t="shared" ref="GQ41:GQ53" si="456">IF(ISNUMBER($AV41),FJ41,"")</f>
        <v/>
      </c>
      <c r="GR41" s="371" t="str">
        <f t="shared" ref="GR41:GR53" si="457">IF(ISNUMBER($AV41),GS41+GU41+GY41,"")</f>
        <v/>
      </c>
      <c r="GS41" s="342" t="str">
        <f t="shared" ref="GS41:GS53" si="458">IF(ISNUMBER($AV41),GU41/GH41*GG41,"")</f>
        <v/>
      </c>
      <c r="GT41" s="343" t="str">
        <f t="shared" ref="GT41:GT53" si="459">IF(ISNUMBER($AV41),GS41/$GK41,"")</f>
        <v/>
      </c>
      <c r="GU41" s="344" t="str">
        <f t="shared" si="53"/>
        <v/>
      </c>
      <c r="GV41" s="343" t="str">
        <f t="shared" ref="GV41:GV53" si="460">IF(ISNUMBER($AV41),GW41*$GL41,"")</f>
        <v/>
      </c>
      <c r="GW41" s="345" t="str">
        <f t="shared" si="54"/>
        <v/>
      </c>
      <c r="GX41" s="346" t="str">
        <f t="shared" si="55"/>
        <v/>
      </c>
      <c r="GY41" s="344" t="str">
        <f t="shared" ref="GY41:GY53" si="461">IF(ISNUMBER($AV41),GU41/GH41*GI41,"")</f>
        <v/>
      </c>
      <c r="GZ41" s="345" t="str">
        <f t="shared" ref="GZ41:GZ53" si="462">IF(ISNUMBER($AV41),GY41/$GK41,"")</f>
        <v/>
      </c>
      <c r="HA41" s="342" t="str">
        <f t="shared" si="58"/>
        <v/>
      </c>
      <c r="HB41" s="5" t="str">
        <f t="shared" si="236"/>
        <v/>
      </c>
      <c r="HC41" s="343" t="str">
        <f t="shared" ref="HC41:HC53" si="463">IF(ISNUMBER($AV41),HA41*COS(RADIANS(HB41)),"")</f>
        <v/>
      </c>
      <c r="HD41" s="345" t="str">
        <f t="shared" ref="HD41:HD53" si="464">IF(ISNUMBER($AV41),HA41*SIN(RADIANS(HB41)),"")</f>
        <v/>
      </c>
      <c r="HE41" s="344" t="str">
        <f t="shared" si="59"/>
        <v/>
      </c>
      <c r="HF41" s="5" t="str">
        <f t="shared" si="60"/>
        <v/>
      </c>
      <c r="HG41" s="343" t="str">
        <f t="shared" ref="HG41:HG53" si="465">IF(ISNUMBER($AV41),HE41*COS(RADIANS(HF41)),"")</f>
        <v/>
      </c>
      <c r="HH41" s="349" t="str">
        <f t="shared" ref="HH41:HH53" si="466">IF(ISNUMBER($AV41),HE41*SIN(RADIANS(HF41)),"")</f>
        <v/>
      </c>
      <c r="HI41" s="317" t="str">
        <f t="shared" ref="HI41:HI72" si="467">IF(ISNUMBER($AV41),$M41,"")</f>
        <v/>
      </c>
      <c r="HJ41" s="336"/>
      <c r="HK41" s="310" t="str">
        <f t="shared" si="131"/>
        <v/>
      </c>
      <c r="HL41" s="348" t="str">
        <f t="shared" ref="HL41:HL72" si="468">IF(ISNUMBER($HS41),INDEX(HI$9:HI$150,MATCH($HS41,$GJ$9:$GJ$150,0)),"")</f>
        <v/>
      </c>
      <c r="HM41" s="923" t="str">
        <f t="shared" ref="HM41:HM72" si="469">IF(ISNUMBER($HL41),INDEX(GO$9:GO$150,MATCH($HL41,$AV$9:$AV$150,0)),"")</f>
        <v/>
      </c>
      <c r="HN41" s="924" t="str">
        <f t="shared" ref="HN41:HN72" si="470">IF(ISNUMBER($HL41),INDEX(AO$9:AO$150,MATCH($HL41,$AV$9:$AV$150,0)),"")</f>
        <v/>
      </c>
      <c r="HO41" s="925"/>
      <c r="HP41" s="926"/>
      <c r="HQ41" s="924" t="str">
        <f t="shared" ref="HQ41:HQ72" si="471">IF(ISNUMBER($HL41),INDEX(GQ$9:GQ$150,MATCH($HL41,$AV$9:$AV$150,0)),"")</f>
        <v/>
      </c>
      <c r="HR41" s="927" t="str">
        <f t="shared" ref="HR41:HR72" si="472">IF(ISNUMBER($HL41),INDEX(GP$9:GP$150,MATCH($HL41,$AV$9:$AV$150,0)),"")</f>
        <v/>
      </c>
      <c r="HS41" s="879" t="str">
        <f t="shared" si="261"/>
        <v/>
      </c>
      <c r="HT41" s="889" t="str">
        <f t="shared" ref="HT41:HT72" si="473">IF(ISNUMBER($HL41),INDEX(GL$9:GL$150,MATCH($HL41,$AV$9:$AV$150,0)),"")</f>
        <v/>
      </c>
      <c r="HU41" s="890" t="str">
        <f t="shared" ref="HU41:HU72" si="474">IF(ISNUMBER($HL41),INDEX(GM$9:GM$150,MATCH($HL41,$AV$9:$AV$150,0)),"")</f>
        <v/>
      </c>
      <c r="HV41" s="886" t="str">
        <f t="shared" ref="HV41:HV72" si="475">IF(ISNUMBER($HL41),INDEX(GN$9:GN$150,MATCH($HL41,$AV$9:$AV$150,0)),"")</f>
        <v/>
      </c>
      <c r="HW41" s="880" t="str">
        <f t="shared" ref="HW41:HW72" si="476">IF(ISNUMBER($HL41),INDEX(GW$9:GW$150,MATCH($HL41,$AV$9:$AV$150,0)),"")</f>
        <v/>
      </c>
      <c r="HX41" s="881" t="str">
        <f t="shared" ref="HX41:HX72" si="477">IF(ISNUMBER($HL41),INDEX(GX$9:GX$150,MATCH($HL41,$AV$9:$AV$150,0)),"")</f>
        <v/>
      </c>
      <c r="HY41" s="880" t="str">
        <f t="shared" ref="HY41:HY72" si="478">IF(ISNUMBER($HL41),INDEX(GS$9:GS$150,MATCH($HL41,$AV$9:$AV$150,0)),"")</f>
        <v/>
      </c>
      <c r="HZ41" s="882" t="str">
        <f t="shared" ref="HZ41:HZ72" si="479">IF(ISNUMBER($HL41),INDEX(GU$9:GU$150,MATCH($HL41,$AV$9:$AV$150,0)),"")</f>
        <v/>
      </c>
      <c r="IA41" s="883" t="str">
        <f t="shared" ref="IA41:IA72" si="480">IF(ISNUMBER($HL41),INDEX(GY$9:GY$150,MATCH($HL41,$AV$9:$AV$150,0)),"")</f>
        <v/>
      </c>
      <c r="IB41" s="884" t="str">
        <f t="shared" ref="IB41:IB72" si="481">IF(ISNUMBER($HL41),INDEX(GR$9:GR$150,MATCH($HL41,$AV$9:$AV$150,0)),"")</f>
        <v/>
      </c>
      <c r="IC41" s="855" t="str">
        <f t="shared" ref="IC41:IC72" si="482">IF(ISNUMBER($HL41),INDEX(GT$9:GT$150,MATCH($HL41,$AV$9:$AV$150,0)),"")</f>
        <v/>
      </c>
      <c r="ID41" s="351" t="str">
        <f t="shared" ref="ID41:ID72" si="483">IF(ISNUMBER($HL41),INDEX(GV$9:GV$150,MATCH($HL41,$AV$9:$AV$150,0)),"")</f>
        <v/>
      </c>
      <c r="IE41" s="857" t="str">
        <f t="shared" ref="IE41:IE72" si="484">IF(ISNUMBER($HL41),INDEX(GZ$9:GZ$150,MATCH($HL41,$AV$9:$AV$150,0)),"")</f>
        <v/>
      </c>
      <c r="IF41" s="858"/>
      <c r="IG41" s="790" t="str">
        <f>IFERROR(IF($IW41="","",IF($IW41&lt;(((Settings!$C$19/2)*-1)*$IG$8),"Taper","Nose")),"")</f>
        <v/>
      </c>
      <c r="IH41" s="482" t="str">
        <f>IFERROR(IF((((($IY41*COS(RADIANS(180-$JA41)))*COS(RADIANS($JA41)))-(($IZ41*SIN(RADIANS(180-$JA41)))*SIN(RADIANS($JA41))))+$IW41)&lt;(((Settings!$C$19+$IH$8)/2)*-1),"Gage",""),"")</f>
        <v/>
      </c>
      <c r="II41" s="788">
        <f t="shared" si="241"/>
        <v>6.117</v>
      </c>
      <c r="IJ41" s="674" t="str" cm="1">
        <f t="array" ref="IJ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K41" s="677" t="str" cm="1">
        <f t="array" ref="IK41">IFERROR(ROUND(VALUE(IF($IJ41&lt;1,$IJ41+LARGE((IF($M$9:$M$150="",0,$M$9:$M$150)-MOD(IF($M$9:$M$150="",0,$M$9:$M$150),1)),1),$IJ41)),4),"")</f>
        <v/>
      </c>
      <c r="IL41" s="482">
        <f t="shared" ref="IL41:IL72" si="485">IF(ISNUMBER($IK41),INDEX($K$9:$K$150,MATCH($IK41,$M$9:$M$150,0)),$K41)</f>
        <v>1313</v>
      </c>
      <c r="IM41" s="482" t="str">
        <f t="shared" si="242"/>
        <v/>
      </c>
      <c r="IN41" s="670" t="str">
        <f t="shared" ref="IN41:IN72" si="486">IF(ISNUMBER($IK41),IFERROR(IF(INDEX($W$9:$W$150,MATCH($IK41,$M$9:$M$150,0))&lt;$W41,((INDEX($W$9:$W$150,MATCH($IK41,$M$9:$M$150,0))+360)-$W41),INDEX($W$9:$W$150,MATCH($IK41,$M$9:$M$150,0))-$W41),""),"")</f>
        <v/>
      </c>
      <c r="IO41" s="702">
        <v>5.1520140625573099E-2</v>
      </c>
      <c r="IP41" s="5" t="str">
        <f t="shared" ref="IP41:IP72" si="487">IF(ISNUMBER($IK41),(($IQ41*12)/60)/$AS$3,"")</f>
        <v/>
      </c>
      <c r="IQ41" s="714">
        <v>80</v>
      </c>
      <c r="IR41" s="9" t="str">
        <f t="shared" ref="IR41:IR72" si="488">IF(ISNUMBER($IK41),(INDEX($X$9:$X$150,MATCH($IK41,$M$9:$M$150,0))*-1),"")</f>
        <v/>
      </c>
      <c r="IS41" s="5" t="str">
        <f t="shared" ref="IS41:IS72" si="489">IF(ISNUMBER($IK41),INDEX($Y$9:$Y$150,MATCH($IK41,$M$9:$M$150,0)),"")</f>
        <v/>
      </c>
      <c r="IT41" s="5" t="str">
        <f t="shared" ref="IT41:IT72" si="490">IF(ISNUMBER($IK41),INDEX($H$9:$H$150,MATCH($IK41,$M$9:$M$150,0)),"")</f>
        <v/>
      </c>
      <c r="IU41" s="5" t="str">
        <f t="shared" ref="IU41:IU72" si="491">IF(ISNUMBER($IK41),$IT41*COS(RADIANS(INDEX($AO$9:$AO$150,MATCH($IK41,$M$9:$M$150,0)))),"")</f>
        <v/>
      </c>
      <c r="IV41" s="670" t="str">
        <f t="shared" ref="IV41:IV72" si="492">IF(ISNUMBER($IK41),(-1*INDEX($AN$9:$AN$150,MATCH($IK41,$M$9:$M$150,0))),"")</f>
        <v/>
      </c>
      <c r="IW41" s="9" t="str">
        <f t="shared" ref="IW41:IW72" si="493">IF(ISNUMBER($IK41),-$X41,"")</f>
        <v/>
      </c>
      <c r="IX41" s="5" t="str">
        <f t="shared" ref="IX41:IX72" si="494">IF(ISNUMBER($IK41),$Y41,"")</f>
        <v/>
      </c>
      <c r="IY41" s="5" t="str">
        <f t="shared" ref="IY41:IY72" si="495">IF(ISNUMBER($IK41),$H41,"")</f>
        <v/>
      </c>
      <c r="IZ41" s="5" t="str">
        <f t="shared" ref="IZ41:IZ72" si="496">IF(ISNUMBER($IK41),$IY41*COS(RADIANS($AO41)),"")</f>
        <v/>
      </c>
      <c r="JA41" s="705" t="str">
        <f t="shared" ref="JA41:JA72" si="497">IF(ISNUMBER($IK41),(-1*$AN41),"")</f>
        <v/>
      </c>
      <c r="JM41" s="489">
        <f t="shared" si="133"/>
        <v>17</v>
      </c>
      <c r="JN41" s="960">
        <f>($JO41-SMALL($JO$9:$JO$88,1))/((Settings!$C$19/2)-((Settings!$C$19/2)-LARGE($JO$9:$JO$88,1))-SMALL($JO$9:$JO$88,1))</f>
        <v>0.64443643705007836</v>
      </c>
      <c r="JO41" s="162">
        <f t="shared" si="134"/>
        <v>2.5054343749048047</v>
      </c>
      <c r="JP41" s="961">
        <f t="shared" si="135"/>
        <v>-12.336047432735542</v>
      </c>
      <c r="JQ41" s="961">
        <f t="shared" si="136"/>
        <v>14.899541540009668</v>
      </c>
      <c r="JS41" s="82">
        <v>33</v>
      </c>
      <c r="JT41" s="322">
        <f t="shared" si="137"/>
        <v>3.5609094605810356</v>
      </c>
      <c r="JU41" s="963">
        <f t="shared" si="138"/>
        <v>0.95251024650246907</v>
      </c>
      <c r="JV41" s="961">
        <f t="shared" si="287"/>
        <v>-55.679983450111727</v>
      </c>
      <c r="JW41" s="961">
        <f t="shared" si="92"/>
        <v>23.756655519501411</v>
      </c>
      <c r="JX41" s="1">
        <v>6.9458000000000002</v>
      </c>
      <c r="JY41" s="965">
        <f t="shared" si="139"/>
        <v>0.97217521813981556</v>
      </c>
      <c r="JZ41" s="973">
        <v>78.554785714285714</v>
      </c>
      <c r="KA41" s="410">
        <f t="shared" si="280"/>
        <v>0.47397142857143137</v>
      </c>
      <c r="KB41" s="977">
        <f t="shared" si="243"/>
        <v>33</v>
      </c>
      <c r="KC41" s="968" cm="1">
        <f t="array" ref="KC41">(((INDEX($JV$9:$JV$53,MATCH(INDEX($JU$9:$JU$53,MATCH(TRUE,INDEX($JU$9:$JU$53&gt;$JY41,0),)),$JU$9:$JU$53,0))-INDEX($JV$9:$JV$53,MATCH(INDEX($JU$9:$JU$53,MATCH(TRUE,INDEX($JU$9:$JU$53&gt;$JY41,0),)-1),$JU$9:$JU$53,0)))*(($JY41-INDEX($JU$9:$JU$53,MATCH(TRUE,INDEX($JU$9:$JU$53&gt;$JY41,0),)-1))/(INDEX($JU$9:$JU$53,MATCH(TRUE,INDEX($JU$9:$JU$53&gt;$JY41,0),))-INDEX($JU$9:$JU$53,MATCH(TRUE,INDEX($JU$9:$JU$53&gt;$JY41,0),)-1))))+INDEX($JV$9:$JV$53,MATCH(INDEX($JU$9:$JU$53,MATCH(TRUE,INDEX($JU$9:$JU$53&gt;$JY41,0),)-1),$JU$9:$JU$53,0)))</f>
        <v>-60.902495966207326</v>
      </c>
      <c r="KD41" s="970">
        <v>-78.080814285714283</v>
      </c>
      <c r="KE41" s="968">
        <f t="shared" si="140"/>
        <v>-17.178318319506957</v>
      </c>
      <c r="KF41" s="968" cm="1">
        <f t="array" ref="KF41">(((INDEX($JW$9:$JW$53,MATCH(INDEX($JU$9:$JU$53,MATCH(TRUE,INDEX($JU$9:$JU$53&gt;$JY41,0),)),$JU$9:$JU$53,0))-INDEX($JW$9:$JW$53,MATCH(INDEX($JU$9:$JU$53,MATCH(TRUE,INDEX($JU$9:$JU$53&gt;$JY41,0),)-1),$JU$9:$JU$53,0)))*(($JY41-INDEX($JU$9:$JU$53,MATCH(TRUE,INDEX($JU$9:$JU$53&gt;$JY41,0),)-1))/(INDEX($JU$9:$JU$53,MATCH(TRUE,INDEX($JU$9:$JU$53&gt;$JY41,0),))-INDEX($JU$9:$JU$53,MATCH(TRUE,INDEX($JU$9:$JU$53&gt;$JY41,0),)-1))))+INDEX($JW$9:$JW$53,MATCH(INDEX($JU$9:$JU$53,MATCH(TRUE,INDEX($JU$9:$JU$53&gt;$JY41,0),)-1),$JU$9:$JU$53,0)))</f>
        <v>25.702457516786993</v>
      </c>
      <c r="KG41" s="966">
        <f t="shared" si="244"/>
        <v>-1.9838371428571548</v>
      </c>
      <c r="KH41" s="966">
        <f t="shared" si="141"/>
        <v>0.94096181395073586</v>
      </c>
      <c r="KJ41" s="31"/>
    </row>
    <row r="42" spans="1:296" ht="15" customHeight="1" x14ac:dyDescent="0.25">
      <c r="A42" s="75">
        <f t="shared" si="322"/>
        <v>0.02</v>
      </c>
      <c r="B42" s="578">
        <f t="shared" ref="B42:D42" si="498">IFERROR(O197+($A42*-E42),"")</f>
        <v>-2.2092692507480916</v>
      </c>
      <c r="C42" s="572">
        <f t="shared" si="498"/>
        <v>-2.2087432308745112</v>
      </c>
      <c r="D42" s="576">
        <f t="shared" si="498"/>
        <v>-0.37061688187484793</v>
      </c>
      <c r="E42" s="580">
        <f t="shared" ref="E42:K42" si="499">R197</f>
        <v>0.57268814409708801</v>
      </c>
      <c r="F42" s="572">
        <f t="shared" si="499"/>
        <v>-0.78806577689101598</v>
      </c>
      <c r="G42" s="579">
        <f t="shared" si="499"/>
        <v>0.22578888569589151</v>
      </c>
      <c r="H42" s="580">
        <f t="shared" si="499"/>
        <v>0.26450000000000001</v>
      </c>
      <c r="I42" s="572">
        <f t="shared" si="499"/>
        <v>0.52</v>
      </c>
      <c r="J42" s="483">
        <f t="shared" si="94"/>
        <v>6.125</v>
      </c>
      <c r="K42" s="806">
        <f t="shared" si="499"/>
        <v>1313</v>
      </c>
      <c r="L42" s="309"/>
      <c r="M42" s="164">
        <f t="shared" si="325"/>
        <v>6.125</v>
      </c>
      <c r="N42" s="575">
        <f t="shared" si="326"/>
        <v>-2.2092692507480916</v>
      </c>
      <c r="O42" s="572">
        <f t="shared" si="327"/>
        <v>-2.2087432308745112</v>
      </c>
      <c r="P42" s="576">
        <f t="shared" si="328"/>
        <v>-0.37061688187484793</v>
      </c>
      <c r="Q42" s="528">
        <f t="shared" si="144"/>
        <v>224.99317821787986</v>
      </c>
      <c r="R42" s="572">
        <f t="shared" ref="R42:R47" si="500">IF(M42="","",SQRT(N42^2+O42^2))</f>
        <v>3.1240066072649411</v>
      </c>
      <c r="S42" s="577">
        <f t="shared" ref="S42:S47" si="501">IF(M42="","",P42)</f>
        <v>-0.37061688187484793</v>
      </c>
      <c r="T42" s="578">
        <f t="shared" ref="T42:T47" si="502">IF(M42="","",X42*COS(RADIANS(W42)))</f>
        <v>-2.2734337396941395</v>
      </c>
      <c r="U42" s="572">
        <f t="shared" ref="U42:U47" si="503">IF(M42="","",X42*SIN(RADIANS(W42)))</f>
        <v>2.1426423671381389</v>
      </c>
      <c r="V42" s="579">
        <f t="shared" ref="V42:V47" si="504">IF(M42="","",Y42)</f>
        <v>-0.37061688187484793</v>
      </c>
      <c r="W42" s="528">
        <f t="shared" si="268"/>
        <v>136.69643898755484</v>
      </c>
      <c r="X42" s="572">
        <f t="shared" ref="X42:X47" si="505">IF(M42="","",R42)</f>
        <v>3.1240066072649411</v>
      </c>
      <c r="Y42" s="573">
        <f t="shared" si="271"/>
        <v>-0.37061688187484793</v>
      </c>
      <c r="Z42" s="575">
        <f t="shared" si="329"/>
        <v>-0.57268814409708801</v>
      </c>
      <c r="AA42" s="572">
        <f t="shared" si="330"/>
        <v>0.78806577689101598</v>
      </c>
      <c r="AB42" s="572">
        <f t="shared" si="331"/>
        <v>-0.22578888569589151</v>
      </c>
      <c r="AC42" s="579">
        <f t="shared" ref="AC42:AC47" si="506">IF(M42="","",SQRT(Z42^2+AA42^2+AB42^2))</f>
        <v>1</v>
      </c>
      <c r="AD42" s="580">
        <f t="shared" ref="AD42:AD47" si="507">IF(M42="","",Z42*(1/SQRT(Z42^2+AA42^2+AB42^2)))</f>
        <v>-0.57268814409708801</v>
      </c>
      <c r="AE42" s="572">
        <f t="shared" ref="AE42:AE47" si="508">IF(M42="","",AA42*(1/SQRT(Z42^2+AA42^2+AB42^2)))</f>
        <v>0.78806577689101598</v>
      </c>
      <c r="AF42" s="576">
        <f t="shared" ref="AF42:AF47" si="509">IF(M42="","",AB42*(1/SQRT(Z42^2+AA42^2+AB42^2)))</f>
        <v>-0.22578888569589151</v>
      </c>
      <c r="AG42" s="545">
        <f t="shared" ref="AG42:AG47" si="510">IF(M42="","",DEGREES(ATAN2(-AF42,AE42)))</f>
        <v>74.012451982079085</v>
      </c>
      <c r="AH42" s="546">
        <f t="shared" ref="AH42:AH47" si="511">IF(M42="","",DEGREES(ACOS(AD42)))</f>
        <v>124.93789175105132</v>
      </c>
      <c r="AI42" s="528">
        <f t="shared" ref="AI42:AI47" si="512">IF(M42="","",DEGREES(-ACOS(-AF42)))</f>
        <v>-76.950728194729095</v>
      </c>
      <c r="AJ42" s="529">
        <f t="shared" ref="AJ42:AJ47" si="513">IF(M42="","",DEGREES(ATAN2(-AE42,AD42)))</f>
        <v>-143.99405975210999</v>
      </c>
      <c r="AK42" s="578">
        <f t="shared" ref="AK42:AK47" si="514">IF(M42="","",(COS(RADIANS((90-$Q$8)-W42))*AD42)+(-SIN(RADIANS((90-$Q$8)-W42))*AE42))</f>
        <v>0.96221645086739294</v>
      </c>
      <c r="AL42" s="572">
        <f t="shared" ref="AL42:AL47" si="515">IF(M42="","",(SIN(RADIANS((90-$Q$8)-W42))*AD42)+(COS(RADIANS((90-$Q$8)-W42))*AE42))</f>
        <v>-0.15218042179060182</v>
      </c>
      <c r="AM42" s="577">
        <f t="shared" ref="AM42:AM47" si="516">IF(M42="","",AF42)</f>
        <v>-0.22578888569589151</v>
      </c>
      <c r="AN42" s="524">
        <f t="shared" ref="AN42:AN47" si="517">IF(M42="","",DEGREES(ATAN2(-AM42,AL42)))</f>
        <v>-33.979745500140638</v>
      </c>
      <c r="AO42" s="525">
        <f t="shared" si="110"/>
        <v>15.800324618226137</v>
      </c>
      <c r="AP42" s="528">
        <f t="shared" ref="AP42:AP47" si="518">IF(M42="","",DEGREES(ATAN2(AK42,AL42)))</f>
        <v>-8.9872379699898222</v>
      </c>
      <c r="AQ42" s="529">
        <f t="shared" si="332"/>
        <v>0.87562522147639821</v>
      </c>
      <c r="AR42" s="979"/>
      <c r="AS42" s="954">
        <f t="shared" si="147"/>
        <v>136.69643898755484</v>
      </c>
      <c r="AT42" s="950">
        <f t="shared" si="333"/>
        <v>-0.18612881270256629</v>
      </c>
      <c r="AU42" s="418"/>
      <c r="AV42" s="164" t="str">
        <f t="shared" si="334"/>
        <v/>
      </c>
      <c r="AW42" s="829" t="str">
        <f>IFERROR(INDEX(MassProp!C$9:C$150,MATCH($M42,MassProp!$B$9:$B$150,0)),"")</f>
        <v/>
      </c>
      <c r="AX42" s="830" t="str">
        <f>IFERROR(INDEX(MassProp!D$9:D$150,MATCH($M42,MassProp!$B$9:$B$150,0)),"")</f>
        <v/>
      </c>
      <c r="AY42" s="831" t="str">
        <f>IFERROR(INDEX(MassProp!E$9:E$150,MATCH($M42,MassProp!$B$9:$B$150,0)),"")</f>
        <v/>
      </c>
      <c r="AZ42" s="297" t="str">
        <f t="shared" si="335"/>
        <v/>
      </c>
      <c r="BA42" s="296" t="str">
        <f t="shared" si="336"/>
        <v/>
      </c>
      <c r="BB42" s="190" t="str">
        <f t="shared" si="149"/>
        <v/>
      </c>
      <c r="BC42" s="9"/>
      <c r="BD42" s="5" t="str">
        <f t="shared" si="337"/>
        <v/>
      </c>
      <c r="BE42" s="6" t="str">
        <f t="shared" si="338"/>
        <v/>
      </c>
      <c r="BF42" s="4" t="str">
        <f t="shared" si="339"/>
        <v/>
      </c>
      <c r="BG42" s="5" t="str">
        <f t="shared" si="340"/>
        <v/>
      </c>
      <c r="BH42" s="10" t="str">
        <f t="shared" si="341"/>
        <v/>
      </c>
      <c r="BI42" s="9" t="str">
        <f t="shared" si="342"/>
        <v/>
      </c>
      <c r="BJ42" s="5" t="str">
        <f t="shared" si="343"/>
        <v/>
      </c>
      <c r="BK42" s="8" t="str">
        <f t="shared" si="344"/>
        <v/>
      </c>
      <c r="BL42" s="173" t="str">
        <f t="shared" si="345"/>
        <v/>
      </c>
      <c r="BM42" s="5" t="str">
        <f t="shared" si="346"/>
        <v/>
      </c>
      <c r="BN42" s="6" t="str">
        <f t="shared" si="347"/>
        <v/>
      </c>
      <c r="BO42" s="4" t="str">
        <f t="shared" si="348"/>
        <v/>
      </c>
      <c r="BP42" s="5" t="str">
        <f t="shared" si="349"/>
        <v/>
      </c>
      <c r="BQ42" s="5" t="str">
        <f t="shared" si="350"/>
        <v/>
      </c>
      <c r="BR42" s="6" t="str">
        <f t="shared" si="351"/>
        <v/>
      </c>
      <c r="BS42" s="4" t="str">
        <f t="shared" ref="BS42:BT53" si="519">IF(ISNUMBER($AV42),0,"")</f>
        <v/>
      </c>
      <c r="BT42" s="5" t="str">
        <f t="shared" si="519"/>
        <v/>
      </c>
      <c r="BU42" s="10" t="str">
        <f t="shared" si="113"/>
        <v/>
      </c>
      <c r="BV42" s="9" t="str">
        <f t="shared" si="114"/>
        <v/>
      </c>
      <c r="BW42" s="5" t="str">
        <f t="shared" si="115"/>
        <v/>
      </c>
      <c r="BX42" s="8" t="str">
        <f t="shared" si="116"/>
        <v/>
      </c>
      <c r="BY42" s="173" t="str">
        <f t="shared" si="117"/>
        <v/>
      </c>
      <c r="BZ42" s="5" t="str">
        <f t="shared" si="118"/>
        <v/>
      </c>
      <c r="CA42" s="6" t="str">
        <f t="shared" si="119"/>
        <v/>
      </c>
      <c r="CB42" s="4" t="str">
        <f t="shared" si="352"/>
        <v/>
      </c>
      <c r="CC42" s="5" t="str">
        <f t="shared" si="353"/>
        <v/>
      </c>
      <c r="CD42" s="5" t="str">
        <f t="shared" si="354"/>
        <v/>
      </c>
      <c r="CE42" s="6" t="str">
        <f t="shared" si="355"/>
        <v/>
      </c>
      <c r="CF42" s="4" t="str">
        <f t="shared" si="356"/>
        <v/>
      </c>
      <c r="CG42" s="5" t="str">
        <f t="shared" si="357"/>
        <v/>
      </c>
      <c r="CH42" s="5" t="str">
        <f t="shared" si="358"/>
        <v/>
      </c>
      <c r="CI42" s="4" t="str">
        <f t="shared" si="120"/>
        <v/>
      </c>
      <c r="CJ42" s="5" t="str">
        <f t="shared" si="359"/>
        <v/>
      </c>
      <c r="CK42" s="8" t="str">
        <f t="shared" si="360"/>
        <v/>
      </c>
      <c r="CL42" s="173" t="str">
        <f t="shared" si="361"/>
        <v/>
      </c>
      <c r="CM42" s="5" t="str">
        <f t="shared" si="362"/>
        <v/>
      </c>
      <c r="CN42" s="6" t="str">
        <f t="shared" si="363"/>
        <v/>
      </c>
      <c r="CO42" s="167" t="str">
        <f t="shared" si="364"/>
        <v/>
      </c>
      <c r="CP42" s="4" t="str">
        <f t="shared" si="365"/>
        <v/>
      </c>
      <c r="CQ42" s="5" t="str">
        <f t="shared" si="366"/>
        <v/>
      </c>
      <c r="CR42" s="5" t="str">
        <f t="shared" si="367"/>
        <v/>
      </c>
      <c r="CS42" s="8" t="str">
        <f t="shared" si="368"/>
        <v/>
      </c>
      <c r="CT42" s="9" t="str">
        <f t="shared" si="165"/>
        <v/>
      </c>
      <c r="CU42" s="6" t="str">
        <f t="shared" si="369"/>
        <v/>
      </c>
      <c r="CV42" s="4" t="str">
        <f t="shared" si="370"/>
        <v/>
      </c>
      <c r="CW42" s="5" t="str">
        <f t="shared" si="371"/>
        <v/>
      </c>
      <c r="CX42" s="8" t="str">
        <f t="shared" si="372"/>
        <v/>
      </c>
      <c r="CY42" s="9" t="str">
        <f t="shared" si="373"/>
        <v/>
      </c>
      <c r="CZ42" s="5" t="str">
        <f t="shared" si="374"/>
        <v/>
      </c>
      <c r="DA42" s="6" t="str">
        <f t="shared" si="375"/>
        <v/>
      </c>
      <c r="DB42" s="4" t="str">
        <f t="shared" si="172"/>
        <v/>
      </c>
      <c r="DC42" s="5" t="str">
        <f t="shared" si="172"/>
        <v/>
      </c>
      <c r="DD42" s="10" t="str">
        <f t="shared" si="173"/>
        <v/>
      </c>
      <c r="DE42" s="9" t="str">
        <f t="shared" si="174"/>
        <v/>
      </c>
      <c r="DF42" s="5" t="str">
        <f t="shared" si="174"/>
        <v/>
      </c>
      <c r="DG42" s="10" t="str">
        <f t="shared" si="175"/>
        <v/>
      </c>
      <c r="DH42" s="70" t="str">
        <f t="shared" si="376"/>
        <v/>
      </c>
      <c r="DI42" s="4" t="str">
        <f t="shared" si="377"/>
        <v/>
      </c>
      <c r="DJ42" s="5" t="str">
        <f t="shared" si="378"/>
        <v/>
      </c>
      <c r="DK42" s="10" t="str">
        <f t="shared" si="379"/>
        <v/>
      </c>
      <c r="DL42" s="9" t="str">
        <f t="shared" si="380"/>
        <v/>
      </c>
      <c r="DM42" s="173" t="str">
        <f t="shared" si="381"/>
        <v/>
      </c>
      <c r="DN42" s="178" t="str">
        <f t="shared" si="382"/>
        <v/>
      </c>
      <c r="DO42" s="9" t="str">
        <f t="shared" si="383"/>
        <v/>
      </c>
      <c r="DP42" s="173" t="str">
        <f t="shared" si="384"/>
        <v/>
      </c>
      <c r="DQ42" s="11" t="str">
        <f t="shared" si="385"/>
        <v/>
      </c>
      <c r="DR42" s="173" t="str">
        <f t="shared" si="386"/>
        <v/>
      </c>
      <c r="DS42" s="5" t="str">
        <f t="shared" si="387"/>
        <v/>
      </c>
      <c r="DT42" s="5" t="str">
        <f t="shared" si="388"/>
        <v/>
      </c>
      <c r="DU42" s="5" t="str">
        <f t="shared" si="389"/>
        <v/>
      </c>
      <c r="DV42" s="5" t="str">
        <f t="shared" si="390"/>
        <v/>
      </c>
      <c r="DW42" s="5" t="str">
        <f t="shared" si="391"/>
        <v/>
      </c>
      <c r="DX42" s="167" t="str">
        <f t="shared" si="392"/>
        <v/>
      </c>
      <c r="DY42" s="9" t="str">
        <f t="shared" si="393"/>
        <v/>
      </c>
      <c r="DZ42" s="5" t="str">
        <f t="shared" si="394"/>
        <v/>
      </c>
      <c r="EA42" s="10" t="str">
        <f t="shared" si="395"/>
        <v/>
      </c>
      <c r="EB42" s="6" t="str">
        <f t="shared" si="396"/>
        <v/>
      </c>
      <c r="EC42" s="173" t="str">
        <f t="shared" si="397"/>
        <v/>
      </c>
      <c r="ED42" s="5" t="str">
        <f t="shared" si="398"/>
        <v/>
      </c>
      <c r="EE42" s="4" t="str">
        <f t="shared" si="399"/>
        <v/>
      </c>
      <c r="EF42" s="5" t="str">
        <f t="shared" si="400"/>
        <v/>
      </c>
      <c r="EG42" s="10" t="str">
        <f t="shared" si="401"/>
        <v/>
      </c>
      <c r="EH42" s="9" t="str">
        <f t="shared" si="402"/>
        <v/>
      </c>
      <c r="EI42" s="5" t="str">
        <f t="shared" si="403"/>
        <v/>
      </c>
      <c r="EJ42" s="6" t="str">
        <f t="shared" si="404"/>
        <v/>
      </c>
      <c r="EK42" s="236" t="str">
        <f t="shared" si="205"/>
        <v/>
      </c>
      <c r="EL42" s="238" t="str">
        <f t="shared" si="206"/>
        <v/>
      </c>
      <c r="EM42" s="4" t="str">
        <f t="shared" si="405"/>
        <v/>
      </c>
      <c r="EN42" s="5" t="str">
        <f t="shared" si="406"/>
        <v/>
      </c>
      <c r="EO42" s="10" t="str">
        <f t="shared" si="407"/>
        <v/>
      </c>
      <c r="EP42" s="9" t="str">
        <f t="shared" si="408"/>
        <v/>
      </c>
      <c r="EQ42" s="5" t="str">
        <f t="shared" si="409"/>
        <v/>
      </c>
      <c r="ER42" s="7" t="str">
        <f t="shared" si="410"/>
        <v/>
      </c>
      <c r="ES42" s="21" t="str">
        <f t="shared" si="411"/>
        <v/>
      </c>
      <c r="ET42" s="5" t="str">
        <f t="shared" si="412"/>
        <v/>
      </c>
      <c r="EU42" s="10" t="str">
        <f t="shared" si="413"/>
        <v/>
      </c>
      <c r="EV42" s="174" t="str">
        <f t="shared" si="414"/>
        <v/>
      </c>
      <c r="EW42" s="9" t="str">
        <f t="shared" si="415"/>
        <v/>
      </c>
      <c r="EX42" s="5" t="str">
        <f t="shared" si="416"/>
        <v/>
      </c>
      <c r="EY42" s="6" t="str">
        <f t="shared" si="417"/>
        <v/>
      </c>
      <c r="EZ42" s="51" t="str">
        <f t="shared" si="214"/>
        <v/>
      </c>
      <c r="FA42" s="266" t="str">
        <f t="shared" si="128"/>
        <v/>
      </c>
      <c r="FB42" s="267" t="str">
        <f t="shared" si="129"/>
        <v/>
      </c>
      <c r="FC42" s="269" t="str">
        <f t="shared" si="38"/>
        <v/>
      </c>
      <c r="FD42" s="4" t="str">
        <f t="shared" si="418"/>
        <v/>
      </c>
      <c r="FE42" s="5" t="str">
        <f t="shared" si="419"/>
        <v/>
      </c>
      <c r="FF42" s="7" t="str">
        <f t="shared" si="420"/>
        <v/>
      </c>
      <c r="FG42" s="173" t="str">
        <f t="shared" si="421"/>
        <v/>
      </c>
      <c r="FH42" s="5" t="str">
        <f t="shared" si="422"/>
        <v/>
      </c>
      <c r="FI42" s="10" t="str">
        <f t="shared" si="423"/>
        <v/>
      </c>
      <c r="FJ42" s="279" t="str">
        <f t="shared" si="424"/>
        <v/>
      </c>
      <c r="FK42" s="4" t="str">
        <f t="shared" si="425"/>
        <v/>
      </c>
      <c r="FL42" s="5" t="str">
        <f t="shared" si="426"/>
        <v/>
      </c>
      <c r="FM42" s="8" t="str">
        <f t="shared" si="427"/>
        <v/>
      </c>
      <c r="FN42" s="9" t="str">
        <f t="shared" si="428"/>
        <v/>
      </c>
      <c r="FO42" s="10" t="str">
        <f t="shared" si="429"/>
        <v/>
      </c>
      <c r="FP42" s="277" t="str">
        <f t="shared" si="430"/>
        <v/>
      </c>
      <c r="FQ42" s="173" t="str">
        <f t="shared" si="431"/>
        <v/>
      </c>
      <c r="FR42" s="10" t="str">
        <f t="shared" si="432"/>
        <v/>
      </c>
      <c r="FS42" s="9" t="str">
        <f t="shared" si="433"/>
        <v/>
      </c>
      <c r="FT42" s="6" t="str">
        <f t="shared" si="434"/>
        <v/>
      </c>
      <c r="FU42" s="4" t="str">
        <f t="shared" si="435"/>
        <v/>
      </c>
      <c r="FV42" s="5" t="str">
        <f t="shared" si="436"/>
        <v/>
      </c>
      <c r="FW42" s="8" t="str">
        <f t="shared" si="437"/>
        <v/>
      </c>
      <c r="FX42" s="9" t="str">
        <f t="shared" si="438"/>
        <v/>
      </c>
      <c r="FY42" s="10" t="str">
        <f t="shared" si="439"/>
        <v/>
      </c>
      <c r="FZ42" s="277" t="str">
        <f t="shared" si="440"/>
        <v/>
      </c>
      <c r="GA42" s="177" t="str">
        <f t="shared" si="441"/>
        <v/>
      </c>
      <c r="GB42" s="4" t="str">
        <f t="shared" si="442"/>
        <v/>
      </c>
      <c r="GC42" s="5" t="str">
        <f t="shared" si="443"/>
        <v/>
      </c>
      <c r="GD42" s="10" t="str">
        <f t="shared" si="444"/>
        <v/>
      </c>
      <c r="GE42" s="311" t="str">
        <f t="shared" si="445"/>
        <v/>
      </c>
      <c r="GF42" s="341" t="str">
        <f t="shared" si="446"/>
        <v/>
      </c>
      <c r="GG42" s="285" t="str">
        <f t="shared" si="447"/>
        <v/>
      </c>
      <c r="GH42" s="286" t="str">
        <f t="shared" si="448"/>
        <v/>
      </c>
      <c r="GI42" s="281" t="str">
        <f t="shared" si="449"/>
        <v/>
      </c>
      <c r="GJ42" s="167" t="str">
        <f t="shared" si="450"/>
        <v/>
      </c>
      <c r="GK42" s="174" t="str">
        <f t="shared" si="49"/>
        <v/>
      </c>
      <c r="GL42" s="174" t="str">
        <f t="shared" si="451"/>
        <v/>
      </c>
      <c r="GM42" s="177" t="str">
        <f t="shared" si="452"/>
        <v/>
      </c>
      <c r="GN42" s="280" t="str">
        <f t="shared" si="453"/>
        <v/>
      </c>
      <c r="GO42" s="4" t="str">
        <f t="shared" si="454"/>
        <v/>
      </c>
      <c r="GP42" s="8" t="str">
        <f t="shared" si="455"/>
        <v/>
      </c>
      <c r="GQ42" s="177" t="str">
        <f t="shared" si="456"/>
        <v/>
      </c>
      <c r="GR42" s="371" t="str">
        <f t="shared" si="457"/>
        <v/>
      </c>
      <c r="GS42" s="342" t="str">
        <f t="shared" si="458"/>
        <v/>
      </c>
      <c r="GT42" s="343" t="str">
        <f t="shared" si="459"/>
        <v/>
      </c>
      <c r="GU42" s="344" t="str">
        <f t="shared" si="53"/>
        <v/>
      </c>
      <c r="GV42" s="343" t="str">
        <f t="shared" si="460"/>
        <v/>
      </c>
      <c r="GW42" s="345" t="str">
        <f t="shared" si="54"/>
        <v/>
      </c>
      <c r="GX42" s="346" t="str">
        <f t="shared" si="55"/>
        <v/>
      </c>
      <c r="GY42" s="344" t="str">
        <f t="shared" si="461"/>
        <v/>
      </c>
      <c r="GZ42" s="345" t="str">
        <f t="shared" si="462"/>
        <v/>
      </c>
      <c r="HA42" s="342" t="str">
        <f t="shared" si="58"/>
        <v/>
      </c>
      <c r="HB42" s="5" t="str">
        <f t="shared" si="236"/>
        <v/>
      </c>
      <c r="HC42" s="343" t="str">
        <f t="shared" si="463"/>
        <v/>
      </c>
      <c r="HD42" s="345" t="str">
        <f t="shared" si="464"/>
        <v/>
      </c>
      <c r="HE42" s="344" t="str">
        <f t="shared" si="59"/>
        <v/>
      </c>
      <c r="HF42" s="5" t="str">
        <f t="shared" si="60"/>
        <v/>
      </c>
      <c r="HG42" s="343" t="str">
        <f t="shared" si="465"/>
        <v/>
      </c>
      <c r="HH42" s="349" t="str">
        <f t="shared" si="466"/>
        <v/>
      </c>
      <c r="HI42" s="317" t="str">
        <f t="shared" si="467"/>
        <v/>
      </c>
      <c r="HJ42" s="336"/>
      <c r="HK42" s="310" t="str">
        <f t="shared" ref="HK42:HK73" si="520">IF(ISNUMBER(HS42),HK41+1,"")</f>
        <v/>
      </c>
      <c r="HL42" s="348" t="str">
        <f t="shared" si="468"/>
        <v/>
      </c>
      <c r="HM42" s="923" t="str">
        <f t="shared" si="469"/>
        <v/>
      </c>
      <c r="HN42" s="924" t="str">
        <f t="shared" si="470"/>
        <v/>
      </c>
      <c r="HO42" s="925"/>
      <c r="HP42" s="926"/>
      <c r="HQ42" s="924" t="str">
        <f t="shared" si="471"/>
        <v/>
      </c>
      <c r="HR42" s="927" t="str">
        <f t="shared" si="472"/>
        <v/>
      </c>
      <c r="HS42" s="879" t="str">
        <f t="shared" ref="HS42:HS73" si="521">IFERROR(SMALL($GJ$9:$GJ$150,($HK41+1)),"")</f>
        <v/>
      </c>
      <c r="HT42" s="889" t="str">
        <f t="shared" si="473"/>
        <v/>
      </c>
      <c r="HU42" s="890" t="str">
        <f t="shared" si="474"/>
        <v/>
      </c>
      <c r="HV42" s="886" t="str">
        <f t="shared" si="475"/>
        <v/>
      </c>
      <c r="HW42" s="880" t="str">
        <f t="shared" si="476"/>
        <v/>
      </c>
      <c r="HX42" s="881" t="str">
        <f t="shared" si="477"/>
        <v/>
      </c>
      <c r="HY42" s="880" t="str">
        <f t="shared" si="478"/>
        <v/>
      </c>
      <c r="HZ42" s="882" t="str">
        <f t="shared" si="479"/>
        <v/>
      </c>
      <c r="IA42" s="883" t="str">
        <f t="shared" si="480"/>
        <v/>
      </c>
      <c r="IB42" s="884" t="str">
        <f t="shared" si="481"/>
        <v/>
      </c>
      <c r="IC42" s="855" t="str">
        <f t="shared" si="482"/>
        <v/>
      </c>
      <c r="ID42" s="351" t="str">
        <f t="shared" si="483"/>
        <v/>
      </c>
      <c r="IE42" s="857" t="str">
        <f t="shared" si="484"/>
        <v/>
      </c>
      <c r="IF42" s="858"/>
      <c r="IG42" s="790" t="str">
        <f>IFERROR(IF($IW42="","",IF($IW42&lt;(((Settings!$C$19/2)*-1)*$IG$8),"Taper","Nose")),"")</f>
        <v/>
      </c>
      <c r="IH42" s="482" t="str">
        <f>IFERROR(IF((((($IY42*COS(RADIANS(180-$JA42)))*COS(RADIANS($JA42)))-(($IZ42*SIN(RADIANS(180-$JA42)))*SIN(RADIANS($JA42))))+$IW42)&lt;(((Settings!$C$19+$IH$8)/2)*-1),"Gage",""),"")</f>
        <v/>
      </c>
      <c r="II42" s="788">
        <f t="shared" si="241"/>
        <v>6.125</v>
      </c>
      <c r="IJ42" s="674" t="str" cm="1">
        <f t="array" ref="IJ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K42" s="677" t="str" cm="1">
        <f t="array" ref="IK42">IFERROR(ROUND(VALUE(IF($IJ42&lt;1,$IJ42+LARGE((IF($M$9:$M$150="",0,$M$9:$M$150)-MOD(IF($M$9:$M$150="",0,$M$9:$M$150),1)),1),$IJ42)),4),"")</f>
        <v/>
      </c>
      <c r="IL42" s="482">
        <f t="shared" si="485"/>
        <v>1313</v>
      </c>
      <c r="IM42" s="482" t="str">
        <f t="shared" si="242"/>
        <v/>
      </c>
      <c r="IN42" s="670" t="str">
        <f t="shared" si="486"/>
        <v/>
      </c>
      <c r="IO42" s="702">
        <v>3.9607104365600401E-2</v>
      </c>
      <c r="IP42" s="5" t="str">
        <f t="shared" si="487"/>
        <v/>
      </c>
      <c r="IQ42" s="714">
        <v>80</v>
      </c>
      <c r="IR42" s="9" t="str">
        <f t="shared" si="488"/>
        <v/>
      </c>
      <c r="IS42" s="5" t="str">
        <f t="shared" si="489"/>
        <v/>
      </c>
      <c r="IT42" s="5" t="str">
        <f t="shared" si="490"/>
        <v/>
      </c>
      <c r="IU42" s="5" t="str">
        <f t="shared" si="491"/>
        <v/>
      </c>
      <c r="IV42" s="670" t="str">
        <f t="shared" si="492"/>
        <v/>
      </c>
      <c r="IW42" s="9" t="str">
        <f t="shared" si="493"/>
        <v/>
      </c>
      <c r="IX42" s="5" t="str">
        <f t="shared" si="494"/>
        <v/>
      </c>
      <c r="IY42" s="5" t="str">
        <f t="shared" si="495"/>
        <v/>
      </c>
      <c r="IZ42" s="5" t="str">
        <f t="shared" si="496"/>
        <v/>
      </c>
      <c r="JA42" s="705" t="str">
        <f t="shared" si="497"/>
        <v/>
      </c>
      <c r="JM42" s="489">
        <f t="shared" si="133"/>
        <v>25</v>
      </c>
      <c r="JN42" s="960">
        <f>($JO42-SMALL($JO$9:$JO$88,1))/((Settings!$C$19/2)-((Settings!$C$19/2)-LARGE($JO$9:$JO$88,1))-SMALL($JO$9:$JO$88,1))</f>
        <v>0.82498632082356715</v>
      </c>
      <c r="JO42" s="162">
        <f t="shared" si="134"/>
        <v>3.1240066072649411</v>
      </c>
      <c r="JP42" s="961">
        <f t="shared" si="135"/>
        <v>-33.979745500140638</v>
      </c>
      <c r="JQ42" s="961">
        <f t="shared" si="136"/>
        <v>15.800324618226137</v>
      </c>
      <c r="JS42" s="82">
        <v>34</v>
      </c>
      <c r="JT42" s="322">
        <f t="shared" si="137"/>
        <v>3.597635549281228</v>
      </c>
      <c r="JU42" s="963">
        <f t="shared" si="138"/>
        <v>0.96322991786724199</v>
      </c>
      <c r="JV42" s="961">
        <f t="shared" si="287"/>
        <v>-58.359115045289606</v>
      </c>
      <c r="JW42" s="961">
        <f t="shared" si="92"/>
        <v>24.753800177213943</v>
      </c>
      <c r="JX42" s="1">
        <v>6.9874999999999998</v>
      </c>
      <c r="JY42" s="965">
        <f t="shared" si="139"/>
        <v>0.97831109018407614</v>
      </c>
      <c r="JZ42" s="973">
        <v>80.84382857142856</v>
      </c>
      <c r="KA42" s="410">
        <f t="shared" si="280"/>
        <v>0.77917714285713657</v>
      </c>
      <c r="KB42" s="976">
        <f t="shared" si="243"/>
        <v>34</v>
      </c>
      <c r="KC42" s="970">
        <v>-80.064651428571423</v>
      </c>
      <c r="KD42" s="970">
        <v>-80.064651428571423</v>
      </c>
      <c r="KE42" s="968">
        <f t="shared" si="140"/>
        <v>0</v>
      </c>
      <c r="KF42" s="968" cm="1">
        <f t="array" ref="KF42">(((INDEX($JW$9:$JW$53,MATCH(INDEX($JU$9:$JU$53,MATCH(TRUE,INDEX($JU$9:$JU$53&gt;$JY42,0),)),$JU$9:$JU$53,0))-INDEX($JW$9:$JW$53,MATCH(INDEX($JU$9:$JU$53,MATCH(TRUE,INDEX($JU$9:$JU$53&gt;$JY42,0),)-1),$JU$9:$JU$53,0)))*(($JY42-INDEX($JU$9:$JU$53,MATCH(TRUE,INDEX($JU$9:$JU$53&gt;$JY42,0),)-1))/(INDEX($JU$9:$JU$53,MATCH(TRUE,INDEX($JU$9:$JU$53&gt;$JY42,0),))-INDEX($JU$9:$JU$53,MATCH(TRUE,INDEX($JU$9:$JU$53&gt;$JY42,0),)-1))))+INDEX($JW$9:$JW$53,MATCH(INDEX($JU$9:$JU$53,MATCH(TRUE,INDEX($JU$9:$JU$53&gt;$JY42,0),)-1),$JU$9:$JU$53,0)))</f>
        <v>26.456097700900354</v>
      </c>
      <c r="KG42" s="966">
        <f t="shared" si="244"/>
        <v>-1.9838371428571406</v>
      </c>
      <c r="KH42" s="966">
        <f t="shared" si="141"/>
        <v>0.75364018411336176</v>
      </c>
      <c r="KJ42" s="31"/>
    </row>
    <row r="43" spans="1:296" ht="15" customHeight="1" x14ac:dyDescent="0.25">
      <c r="A43" s="75">
        <f t="shared" si="322"/>
        <v>0.02</v>
      </c>
      <c r="B43" s="578">
        <f t="shared" ref="B43:D43" si="522">IFERROR(O198+($A43*-E43),"")</f>
        <v>-2.5469453640881023</v>
      </c>
      <c r="C43" s="572">
        <f t="shared" si="522"/>
        <v>-2.488603121995479</v>
      </c>
      <c r="D43" s="576">
        <f t="shared" si="522"/>
        <v>-0.88804535295009623</v>
      </c>
      <c r="E43" s="580">
        <f t="shared" ref="E43:K43" si="523">R198</f>
        <v>0.40167236188388927</v>
      </c>
      <c r="F43" s="572">
        <f t="shared" si="523"/>
        <v>-0.88716924601994007</v>
      </c>
      <c r="G43" s="579">
        <f t="shared" si="523"/>
        <v>0.2271344153029855</v>
      </c>
      <c r="H43" s="580">
        <f t="shared" si="523"/>
        <v>0.26450000000000001</v>
      </c>
      <c r="I43" s="572">
        <f t="shared" si="523"/>
        <v>0.52</v>
      </c>
      <c r="J43" s="483">
        <f t="shared" si="94"/>
        <v>6.133</v>
      </c>
      <c r="K43" s="806">
        <f t="shared" si="523"/>
        <v>1313</v>
      </c>
      <c r="L43" s="309"/>
      <c r="M43" s="164">
        <f t="shared" si="325"/>
        <v>6.133</v>
      </c>
      <c r="N43" s="575">
        <f t="shared" si="326"/>
        <v>-2.5469453640881023</v>
      </c>
      <c r="O43" s="572">
        <f t="shared" si="327"/>
        <v>-2.488603121995479</v>
      </c>
      <c r="P43" s="576">
        <f t="shared" si="328"/>
        <v>-0.88804535295009623</v>
      </c>
      <c r="Q43" s="528">
        <f t="shared" si="144"/>
        <v>224.33619650646608</v>
      </c>
      <c r="R43" s="572">
        <f t="shared" si="500"/>
        <v>3.5609094605810356</v>
      </c>
      <c r="S43" s="577">
        <f t="shared" si="501"/>
        <v>-0.88804535295009623</v>
      </c>
      <c r="T43" s="578">
        <f t="shared" si="502"/>
        <v>-2.5632067714313043</v>
      </c>
      <c r="U43" s="572">
        <f t="shared" si="503"/>
        <v>2.4718509731260565</v>
      </c>
      <c r="V43" s="579">
        <f t="shared" si="504"/>
        <v>-0.88804535295009623</v>
      </c>
      <c r="W43" s="528">
        <f t="shared" si="268"/>
        <v>136.03945727614106</v>
      </c>
      <c r="X43" s="572">
        <f t="shared" si="505"/>
        <v>3.5609094605810356</v>
      </c>
      <c r="Y43" s="573">
        <f t="shared" si="271"/>
        <v>-0.88804535295009623</v>
      </c>
      <c r="Z43" s="575">
        <f t="shared" si="329"/>
        <v>-0.40167236188388927</v>
      </c>
      <c r="AA43" s="572">
        <f t="shared" si="330"/>
        <v>0.88716924601994007</v>
      </c>
      <c r="AB43" s="572">
        <f t="shared" si="331"/>
        <v>-0.2271344153029855</v>
      </c>
      <c r="AC43" s="579">
        <f t="shared" si="506"/>
        <v>1</v>
      </c>
      <c r="AD43" s="580">
        <f t="shared" si="507"/>
        <v>-0.40167236188388927</v>
      </c>
      <c r="AE43" s="572">
        <f t="shared" si="508"/>
        <v>0.88716924601994007</v>
      </c>
      <c r="AF43" s="576">
        <f t="shared" si="509"/>
        <v>-0.2271344153029855</v>
      </c>
      <c r="AG43" s="545">
        <f t="shared" si="510"/>
        <v>75.63950650857663</v>
      </c>
      <c r="AH43" s="546">
        <f t="shared" si="511"/>
        <v>113.6827676015271</v>
      </c>
      <c r="AI43" s="528">
        <f t="shared" si="512"/>
        <v>-76.871578723156475</v>
      </c>
      <c r="AJ43" s="529">
        <f t="shared" si="513"/>
        <v>-155.64101215392421</v>
      </c>
      <c r="AK43" s="578">
        <f t="shared" si="514"/>
        <v>0.91526468959527163</v>
      </c>
      <c r="AL43" s="572">
        <f t="shared" si="515"/>
        <v>-0.33271685464527062</v>
      </c>
      <c r="AM43" s="577">
        <f t="shared" si="516"/>
        <v>-0.2271344153029855</v>
      </c>
      <c r="AN43" s="524">
        <f t="shared" si="517"/>
        <v>-55.679983450111727</v>
      </c>
      <c r="AO43" s="525">
        <f t="shared" si="110"/>
        <v>23.756655519501411</v>
      </c>
      <c r="AP43" s="528">
        <f t="shared" si="518"/>
        <v>-19.977208660390311</v>
      </c>
      <c r="AQ43" s="529">
        <f t="shared" si="332"/>
        <v>0.76820488114981078</v>
      </c>
      <c r="AR43" s="979"/>
      <c r="AS43" s="954">
        <f t="shared" ref="AS43:AS74" si="524">IF(G43="","",IF(AND(W43&lt;(AS42+180),W43&gt;(AS42-180)),W43,IF(W43&gt;(AS42+180),W43-360,IF(W43&lt;(AS42-180),W43+360,"Error"))))</f>
        <v>136.03945727614106</v>
      </c>
      <c r="AT43" s="950">
        <f t="shared" si="333"/>
        <v>-0.70300979901830307</v>
      </c>
      <c r="AU43" s="418"/>
      <c r="AV43" s="164" t="str">
        <f t="shared" si="334"/>
        <v/>
      </c>
      <c r="AW43" s="829" t="str">
        <f>IFERROR(INDEX(MassProp!C$9:C$150,MATCH($M43,MassProp!$B$9:$B$150,0)),"")</f>
        <v/>
      </c>
      <c r="AX43" s="830" t="str">
        <f>IFERROR(INDEX(MassProp!D$9:D$150,MATCH($M43,MassProp!$B$9:$B$150,0)),"")</f>
        <v/>
      </c>
      <c r="AY43" s="831" t="str">
        <f>IFERROR(INDEX(MassProp!E$9:E$150,MATCH($M43,MassProp!$B$9:$B$150,0)),"")</f>
        <v/>
      </c>
      <c r="AZ43" s="297" t="str">
        <f t="shared" si="335"/>
        <v/>
      </c>
      <c r="BA43" s="296" t="str">
        <f t="shared" si="336"/>
        <v/>
      </c>
      <c r="BB43" s="190" t="str">
        <f t="shared" si="149"/>
        <v/>
      </c>
      <c r="BC43" s="9"/>
      <c r="BD43" s="5" t="str">
        <f t="shared" si="337"/>
        <v/>
      </c>
      <c r="BE43" s="6" t="str">
        <f t="shared" si="338"/>
        <v/>
      </c>
      <c r="BF43" s="4" t="str">
        <f t="shared" si="339"/>
        <v/>
      </c>
      <c r="BG43" s="5" t="str">
        <f t="shared" si="340"/>
        <v/>
      </c>
      <c r="BH43" s="10" t="str">
        <f t="shared" si="341"/>
        <v/>
      </c>
      <c r="BI43" s="9" t="str">
        <f t="shared" si="342"/>
        <v/>
      </c>
      <c r="BJ43" s="5" t="str">
        <f t="shared" si="343"/>
        <v/>
      </c>
      <c r="BK43" s="8" t="str">
        <f t="shared" si="344"/>
        <v/>
      </c>
      <c r="BL43" s="173" t="str">
        <f t="shared" si="345"/>
        <v/>
      </c>
      <c r="BM43" s="5" t="str">
        <f t="shared" si="346"/>
        <v/>
      </c>
      <c r="BN43" s="6" t="str">
        <f t="shared" si="347"/>
        <v/>
      </c>
      <c r="BO43" s="4" t="str">
        <f t="shared" si="348"/>
        <v/>
      </c>
      <c r="BP43" s="5" t="str">
        <f t="shared" si="349"/>
        <v/>
      </c>
      <c r="BQ43" s="5" t="str">
        <f t="shared" si="350"/>
        <v/>
      </c>
      <c r="BR43" s="6" t="str">
        <f t="shared" si="351"/>
        <v/>
      </c>
      <c r="BS43" s="4" t="str">
        <f t="shared" si="519"/>
        <v/>
      </c>
      <c r="BT43" s="5" t="str">
        <f t="shared" si="519"/>
        <v/>
      </c>
      <c r="BU43" s="10" t="str">
        <f t="shared" si="113"/>
        <v/>
      </c>
      <c r="BV43" s="9" t="str">
        <f t="shared" si="114"/>
        <v/>
      </c>
      <c r="BW43" s="5" t="str">
        <f t="shared" si="115"/>
        <v/>
      </c>
      <c r="BX43" s="8" t="str">
        <f t="shared" si="116"/>
        <v/>
      </c>
      <c r="BY43" s="173" t="str">
        <f t="shared" si="117"/>
        <v/>
      </c>
      <c r="BZ43" s="5" t="str">
        <f t="shared" si="118"/>
        <v/>
      </c>
      <c r="CA43" s="6" t="str">
        <f t="shared" si="119"/>
        <v/>
      </c>
      <c r="CB43" s="4" t="str">
        <f t="shared" si="352"/>
        <v/>
      </c>
      <c r="CC43" s="5" t="str">
        <f t="shared" si="353"/>
        <v/>
      </c>
      <c r="CD43" s="5" t="str">
        <f t="shared" si="354"/>
        <v/>
      </c>
      <c r="CE43" s="6" t="str">
        <f t="shared" si="355"/>
        <v/>
      </c>
      <c r="CF43" s="4" t="str">
        <f t="shared" si="356"/>
        <v/>
      </c>
      <c r="CG43" s="5" t="str">
        <f t="shared" si="357"/>
        <v/>
      </c>
      <c r="CH43" s="5" t="str">
        <f t="shared" si="358"/>
        <v/>
      </c>
      <c r="CI43" s="4" t="str">
        <f t="shared" si="120"/>
        <v/>
      </c>
      <c r="CJ43" s="5" t="str">
        <f t="shared" si="359"/>
        <v/>
      </c>
      <c r="CK43" s="8" t="str">
        <f t="shared" si="360"/>
        <v/>
      </c>
      <c r="CL43" s="173" t="str">
        <f t="shared" si="361"/>
        <v/>
      </c>
      <c r="CM43" s="5" t="str">
        <f t="shared" si="362"/>
        <v/>
      </c>
      <c r="CN43" s="6" t="str">
        <f t="shared" si="363"/>
        <v/>
      </c>
      <c r="CO43" s="167" t="str">
        <f t="shared" si="364"/>
        <v/>
      </c>
      <c r="CP43" s="4" t="str">
        <f t="shared" si="365"/>
        <v/>
      </c>
      <c r="CQ43" s="5" t="str">
        <f t="shared" si="366"/>
        <v/>
      </c>
      <c r="CR43" s="5" t="str">
        <f t="shared" si="367"/>
        <v/>
      </c>
      <c r="CS43" s="8" t="str">
        <f t="shared" si="368"/>
        <v/>
      </c>
      <c r="CT43" s="9" t="str">
        <f t="shared" si="165"/>
        <v/>
      </c>
      <c r="CU43" s="6" t="str">
        <f t="shared" si="369"/>
        <v/>
      </c>
      <c r="CV43" s="4" t="str">
        <f t="shared" si="370"/>
        <v/>
      </c>
      <c r="CW43" s="5" t="str">
        <f t="shared" si="371"/>
        <v/>
      </c>
      <c r="CX43" s="8" t="str">
        <f t="shared" si="372"/>
        <v/>
      </c>
      <c r="CY43" s="9" t="str">
        <f t="shared" si="373"/>
        <v/>
      </c>
      <c r="CZ43" s="5" t="str">
        <f t="shared" si="374"/>
        <v/>
      </c>
      <c r="DA43" s="6" t="str">
        <f t="shared" si="375"/>
        <v/>
      </c>
      <c r="DB43" s="4" t="str">
        <f t="shared" ref="DB43:DC53" si="525">IF(ISNUMBER($AV43),0,"")</f>
        <v/>
      </c>
      <c r="DC43" s="5" t="str">
        <f t="shared" si="525"/>
        <v/>
      </c>
      <c r="DD43" s="10" t="str">
        <f t="shared" si="173"/>
        <v/>
      </c>
      <c r="DE43" s="9" t="str">
        <f t="shared" ref="DE43:DF53" si="526">IF(ISNUMBER($AV43),0,"")</f>
        <v/>
      </c>
      <c r="DF43" s="5" t="str">
        <f t="shared" si="526"/>
        <v/>
      </c>
      <c r="DG43" s="10" t="str">
        <f t="shared" si="175"/>
        <v/>
      </c>
      <c r="DH43" s="70" t="str">
        <f t="shared" si="376"/>
        <v/>
      </c>
      <c r="DI43" s="4" t="str">
        <f t="shared" si="377"/>
        <v/>
      </c>
      <c r="DJ43" s="5" t="str">
        <f t="shared" si="378"/>
        <v/>
      </c>
      <c r="DK43" s="10" t="str">
        <f t="shared" si="379"/>
        <v/>
      </c>
      <c r="DL43" s="9" t="str">
        <f t="shared" si="380"/>
        <v/>
      </c>
      <c r="DM43" s="173" t="str">
        <f t="shared" si="381"/>
        <v/>
      </c>
      <c r="DN43" s="178" t="str">
        <f t="shared" si="382"/>
        <v/>
      </c>
      <c r="DO43" s="9" t="str">
        <f t="shared" si="383"/>
        <v/>
      </c>
      <c r="DP43" s="173" t="str">
        <f t="shared" si="384"/>
        <v/>
      </c>
      <c r="DQ43" s="11" t="str">
        <f t="shared" si="385"/>
        <v/>
      </c>
      <c r="DR43" s="173" t="str">
        <f t="shared" si="386"/>
        <v/>
      </c>
      <c r="DS43" s="5" t="str">
        <f t="shared" si="387"/>
        <v/>
      </c>
      <c r="DT43" s="5" t="str">
        <f t="shared" si="388"/>
        <v/>
      </c>
      <c r="DU43" s="5" t="str">
        <f t="shared" si="389"/>
        <v/>
      </c>
      <c r="DV43" s="5" t="str">
        <f t="shared" si="390"/>
        <v/>
      </c>
      <c r="DW43" s="5" t="str">
        <f t="shared" si="391"/>
        <v/>
      </c>
      <c r="DX43" s="167" t="str">
        <f t="shared" si="392"/>
        <v/>
      </c>
      <c r="DY43" s="9" t="str">
        <f t="shared" si="393"/>
        <v/>
      </c>
      <c r="DZ43" s="5" t="str">
        <f t="shared" si="394"/>
        <v/>
      </c>
      <c r="EA43" s="10" t="str">
        <f t="shared" si="395"/>
        <v/>
      </c>
      <c r="EB43" s="6" t="str">
        <f t="shared" si="396"/>
        <v/>
      </c>
      <c r="EC43" s="173" t="str">
        <f t="shared" si="397"/>
        <v/>
      </c>
      <c r="ED43" s="5" t="str">
        <f t="shared" si="398"/>
        <v/>
      </c>
      <c r="EE43" s="4" t="str">
        <f t="shared" si="399"/>
        <v/>
      </c>
      <c r="EF43" s="5" t="str">
        <f t="shared" si="400"/>
        <v/>
      </c>
      <c r="EG43" s="10" t="str">
        <f t="shared" si="401"/>
        <v/>
      </c>
      <c r="EH43" s="9" t="str">
        <f t="shared" si="402"/>
        <v/>
      </c>
      <c r="EI43" s="5" t="str">
        <f t="shared" si="403"/>
        <v/>
      </c>
      <c r="EJ43" s="6" t="str">
        <f t="shared" si="404"/>
        <v/>
      </c>
      <c r="EK43" s="236" t="str">
        <f t="shared" si="205"/>
        <v/>
      </c>
      <c r="EL43" s="238" t="str">
        <f t="shared" si="206"/>
        <v/>
      </c>
      <c r="EM43" s="4" t="str">
        <f t="shared" si="405"/>
        <v/>
      </c>
      <c r="EN43" s="5" t="str">
        <f t="shared" si="406"/>
        <v/>
      </c>
      <c r="EO43" s="10" t="str">
        <f t="shared" si="407"/>
        <v/>
      </c>
      <c r="EP43" s="9" t="str">
        <f t="shared" si="408"/>
        <v/>
      </c>
      <c r="EQ43" s="5" t="str">
        <f t="shared" si="409"/>
        <v/>
      </c>
      <c r="ER43" s="7" t="str">
        <f t="shared" si="410"/>
        <v/>
      </c>
      <c r="ES43" s="21" t="str">
        <f t="shared" si="411"/>
        <v/>
      </c>
      <c r="ET43" s="5" t="str">
        <f t="shared" si="412"/>
        <v/>
      </c>
      <c r="EU43" s="10" t="str">
        <f t="shared" si="413"/>
        <v/>
      </c>
      <c r="EV43" s="174" t="str">
        <f t="shared" si="414"/>
        <v/>
      </c>
      <c r="EW43" s="9" t="str">
        <f t="shared" si="415"/>
        <v/>
      </c>
      <c r="EX43" s="5" t="str">
        <f t="shared" si="416"/>
        <v/>
      </c>
      <c r="EY43" s="6" t="str">
        <f t="shared" si="417"/>
        <v/>
      </c>
      <c r="EZ43" s="51" t="str">
        <f t="shared" si="214"/>
        <v/>
      </c>
      <c r="FA43" s="266" t="str">
        <f t="shared" si="128"/>
        <v/>
      </c>
      <c r="FB43" s="267" t="str">
        <f t="shared" si="129"/>
        <v/>
      </c>
      <c r="FC43" s="269" t="str">
        <f t="shared" si="38"/>
        <v/>
      </c>
      <c r="FD43" s="4" t="str">
        <f t="shared" si="418"/>
        <v/>
      </c>
      <c r="FE43" s="5" t="str">
        <f t="shared" si="419"/>
        <v/>
      </c>
      <c r="FF43" s="7" t="str">
        <f t="shared" si="420"/>
        <v/>
      </c>
      <c r="FG43" s="173" t="str">
        <f t="shared" si="421"/>
        <v/>
      </c>
      <c r="FH43" s="5" t="str">
        <f t="shared" si="422"/>
        <v/>
      </c>
      <c r="FI43" s="10" t="str">
        <f t="shared" si="423"/>
        <v/>
      </c>
      <c r="FJ43" s="279" t="str">
        <f t="shared" si="424"/>
        <v/>
      </c>
      <c r="FK43" s="4" t="str">
        <f t="shared" si="425"/>
        <v/>
      </c>
      <c r="FL43" s="5" t="str">
        <f t="shared" si="426"/>
        <v/>
      </c>
      <c r="FM43" s="8" t="str">
        <f t="shared" si="427"/>
        <v/>
      </c>
      <c r="FN43" s="9" t="str">
        <f t="shared" si="428"/>
        <v/>
      </c>
      <c r="FO43" s="10" t="str">
        <f t="shared" si="429"/>
        <v/>
      </c>
      <c r="FP43" s="277" t="str">
        <f t="shared" si="430"/>
        <v/>
      </c>
      <c r="FQ43" s="173" t="str">
        <f t="shared" si="431"/>
        <v/>
      </c>
      <c r="FR43" s="10" t="str">
        <f t="shared" si="432"/>
        <v/>
      </c>
      <c r="FS43" s="9" t="str">
        <f t="shared" si="433"/>
        <v/>
      </c>
      <c r="FT43" s="6" t="str">
        <f t="shared" si="434"/>
        <v/>
      </c>
      <c r="FU43" s="4" t="str">
        <f t="shared" si="435"/>
        <v/>
      </c>
      <c r="FV43" s="5" t="str">
        <f t="shared" si="436"/>
        <v/>
      </c>
      <c r="FW43" s="8" t="str">
        <f t="shared" si="437"/>
        <v/>
      </c>
      <c r="FX43" s="9" t="str">
        <f t="shared" si="438"/>
        <v/>
      </c>
      <c r="FY43" s="10" t="str">
        <f t="shared" si="439"/>
        <v/>
      </c>
      <c r="FZ43" s="277" t="str">
        <f t="shared" si="440"/>
        <v/>
      </c>
      <c r="GA43" s="177" t="str">
        <f t="shared" si="441"/>
        <v/>
      </c>
      <c r="GB43" s="4" t="str">
        <f t="shared" si="442"/>
        <v/>
      </c>
      <c r="GC43" s="5" t="str">
        <f t="shared" si="443"/>
        <v/>
      </c>
      <c r="GD43" s="10" t="str">
        <f t="shared" si="444"/>
        <v/>
      </c>
      <c r="GE43" s="311" t="str">
        <f t="shared" si="445"/>
        <v/>
      </c>
      <c r="GF43" s="341" t="str">
        <f t="shared" si="446"/>
        <v/>
      </c>
      <c r="GG43" s="285" t="str">
        <f t="shared" si="447"/>
        <v/>
      </c>
      <c r="GH43" s="286" t="str">
        <f t="shared" si="448"/>
        <v/>
      </c>
      <c r="GI43" s="281" t="str">
        <f t="shared" si="449"/>
        <v/>
      </c>
      <c r="GJ43" s="167" t="str">
        <f t="shared" si="450"/>
        <v/>
      </c>
      <c r="GK43" s="174" t="str">
        <f t="shared" si="49"/>
        <v/>
      </c>
      <c r="GL43" s="174" t="str">
        <f t="shared" si="451"/>
        <v/>
      </c>
      <c r="GM43" s="177" t="str">
        <f t="shared" si="452"/>
        <v/>
      </c>
      <c r="GN43" s="280" t="str">
        <f t="shared" si="453"/>
        <v/>
      </c>
      <c r="GO43" s="4" t="str">
        <f t="shared" si="454"/>
        <v/>
      </c>
      <c r="GP43" s="8" t="str">
        <f t="shared" si="455"/>
        <v/>
      </c>
      <c r="GQ43" s="177" t="str">
        <f t="shared" si="456"/>
        <v/>
      </c>
      <c r="GR43" s="371" t="str">
        <f t="shared" si="457"/>
        <v/>
      </c>
      <c r="GS43" s="342" t="str">
        <f t="shared" si="458"/>
        <v/>
      </c>
      <c r="GT43" s="343" t="str">
        <f t="shared" si="459"/>
        <v/>
      </c>
      <c r="GU43" s="344" t="str">
        <f t="shared" si="53"/>
        <v/>
      </c>
      <c r="GV43" s="343" t="str">
        <f t="shared" si="460"/>
        <v/>
      </c>
      <c r="GW43" s="345" t="str">
        <f t="shared" si="54"/>
        <v/>
      </c>
      <c r="GX43" s="346" t="str">
        <f t="shared" si="55"/>
        <v/>
      </c>
      <c r="GY43" s="344" t="str">
        <f t="shared" si="461"/>
        <v/>
      </c>
      <c r="GZ43" s="345" t="str">
        <f t="shared" si="462"/>
        <v/>
      </c>
      <c r="HA43" s="342" t="str">
        <f t="shared" si="58"/>
        <v/>
      </c>
      <c r="HB43" s="5" t="str">
        <f t="shared" si="236"/>
        <v/>
      </c>
      <c r="HC43" s="343" t="str">
        <f t="shared" si="463"/>
        <v/>
      </c>
      <c r="HD43" s="345" t="str">
        <f t="shared" si="464"/>
        <v/>
      </c>
      <c r="HE43" s="344" t="str">
        <f t="shared" si="59"/>
        <v/>
      </c>
      <c r="HF43" s="5" t="str">
        <f t="shared" si="60"/>
        <v/>
      </c>
      <c r="HG43" s="343" t="str">
        <f t="shared" si="465"/>
        <v/>
      </c>
      <c r="HH43" s="349" t="str">
        <f t="shared" si="466"/>
        <v/>
      </c>
      <c r="HI43" s="317" t="str">
        <f t="shared" si="467"/>
        <v/>
      </c>
      <c r="HJ43" s="336"/>
      <c r="HK43" s="310" t="str">
        <f t="shared" si="520"/>
        <v/>
      </c>
      <c r="HL43" s="348" t="str">
        <f t="shared" si="468"/>
        <v/>
      </c>
      <c r="HM43" s="923" t="str">
        <f t="shared" si="469"/>
        <v/>
      </c>
      <c r="HN43" s="924" t="str">
        <f t="shared" si="470"/>
        <v/>
      </c>
      <c r="HO43" s="925"/>
      <c r="HP43" s="926"/>
      <c r="HQ43" s="924" t="str">
        <f t="shared" si="471"/>
        <v/>
      </c>
      <c r="HR43" s="927" t="str">
        <f t="shared" si="472"/>
        <v/>
      </c>
      <c r="HS43" s="879" t="str">
        <f t="shared" si="521"/>
        <v/>
      </c>
      <c r="HT43" s="889" t="str">
        <f t="shared" si="473"/>
        <v/>
      </c>
      <c r="HU43" s="890" t="str">
        <f t="shared" si="474"/>
        <v/>
      </c>
      <c r="HV43" s="886" t="str">
        <f t="shared" si="475"/>
        <v/>
      </c>
      <c r="HW43" s="880" t="str">
        <f t="shared" si="476"/>
        <v/>
      </c>
      <c r="HX43" s="881" t="str">
        <f t="shared" si="477"/>
        <v/>
      </c>
      <c r="HY43" s="880" t="str">
        <f t="shared" si="478"/>
        <v/>
      </c>
      <c r="HZ43" s="882" t="str">
        <f t="shared" si="479"/>
        <v/>
      </c>
      <c r="IA43" s="883" t="str">
        <f t="shared" si="480"/>
        <v/>
      </c>
      <c r="IB43" s="884" t="str">
        <f t="shared" si="481"/>
        <v/>
      </c>
      <c r="IC43" s="855" t="str">
        <f t="shared" si="482"/>
        <v/>
      </c>
      <c r="ID43" s="351" t="str">
        <f t="shared" si="483"/>
        <v/>
      </c>
      <c r="IE43" s="857" t="str">
        <f t="shared" si="484"/>
        <v/>
      </c>
      <c r="IF43" s="858"/>
      <c r="IG43" s="790" t="str">
        <f>IFERROR(IF($IW43="","",IF($IW43&lt;(((Settings!$C$19/2)*-1)*$IG$8),"Taper","Nose")),"")</f>
        <v/>
      </c>
      <c r="IH43" s="482" t="str">
        <f>IFERROR(IF((((($IY43*COS(RADIANS(180-$JA43)))*COS(RADIANS($JA43)))-(($IZ43*SIN(RADIANS(180-$JA43)))*SIN(RADIANS($JA43))))+$IW43)&lt;(((Settings!$C$19+$IH$8)/2)*-1),"Gage",""),"")</f>
        <v/>
      </c>
      <c r="II43" s="788">
        <f t="shared" si="241"/>
        <v>6.133</v>
      </c>
      <c r="IJ43" s="674" t="str" cm="1">
        <f t="array" ref="IJ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K43" s="677" t="str" cm="1">
        <f t="array" ref="IK43">IFERROR(ROUND(VALUE(IF($IJ43&lt;1,$IJ43+LARGE((IF($M$9:$M$150="",0,$M$9:$M$150)-MOD(IF($M$9:$M$150="",0,$M$9:$M$150),1)),1),$IJ43)),4),"")</f>
        <v/>
      </c>
      <c r="IL43" s="482">
        <f t="shared" si="485"/>
        <v>1313</v>
      </c>
      <c r="IM43" s="482" t="str">
        <f t="shared" si="242"/>
        <v/>
      </c>
      <c r="IN43" s="670" t="str">
        <f t="shared" si="486"/>
        <v/>
      </c>
      <c r="IO43" s="702">
        <v>9.1691308993507806E-3</v>
      </c>
      <c r="IP43" s="5" t="str">
        <f t="shared" si="487"/>
        <v/>
      </c>
      <c r="IQ43" s="714">
        <v>140</v>
      </c>
      <c r="IR43" s="9" t="str">
        <f t="shared" si="488"/>
        <v/>
      </c>
      <c r="IS43" s="5" t="str">
        <f t="shared" si="489"/>
        <v/>
      </c>
      <c r="IT43" s="5" t="str">
        <f t="shared" si="490"/>
        <v/>
      </c>
      <c r="IU43" s="5" t="str">
        <f t="shared" si="491"/>
        <v/>
      </c>
      <c r="IV43" s="670" t="str">
        <f t="shared" si="492"/>
        <v/>
      </c>
      <c r="IW43" s="9" t="str">
        <f t="shared" si="493"/>
        <v/>
      </c>
      <c r="IX43" s="5" t="str">
        <f t="shared" si="494"/>
        <v/>
      </c>
      <c r="IY43" s="5" t="str">
        <f t="shared" si="495"/>
        <v/>
      </c>
      <c r="IZ43" s="5" t="str">
        <f t="shared" si="496"/>
        <v/>
      </c>
      <c r="JA43" s="705" t="str">
        <f t="shared" si="497"/>
        <v/>
      </c>
      <c r="JM43" s="489">
        <f t="shared" si="133"/>
        <v>33</v>
      </c>
      <c r="JN43" s="960">
        <f>($JO43-SMALL($JO$9:$JO$88,1))/((Settings!$C$19/2)-((Settings!$C$19/2)-LARGE($JO$9:$JO$88,1))-SMALL($JO$9:$JO$88,1))</f>
        <v>0.95251024650246907</v>
      </c>
      <c r="JO43" s="162">
        <f t="shared" si="134"/>
        <v>3.5609094605810356</v>
      </c>
      <c r="JP43" s="961">
        <f t="shared" si="135"/>
        <v>-55.679983450111727</v>
      </c>
      <c r="JQ43" s="961">
        <f t="shared" si="136"/>
        <v>23.756655519501411</v>
      </c>
      <c r="JS43" s="82">
        <v>35</v>
      </c>
      <c r="JT43" s="322">
        <f t="shared" si="137"/>
        <v>3.6298640115651111</v>
      </c>
      <c r="JU43" s="963">
        <f t="shared" si="138"/>
        <v>0.97263681461291673</v>
      </c>
      <c r="JV43" s="961">
        <f t="shared" si="287"/>
        <v>-61.033739817959066</v>
      </c>
      <c r="JW43" s="961">
        <f t="shared" si="92"/>
        <v>25.751410248253265</v>
      </c>
      <c r="JX43" s="1">
        <v>7.0460000000000003</v>
      </c>
      <c r="JY43" s="965">
        <f t="shared" si="139"/>
        <v>0.98691896823178005</v>
      </c>
      <c r="JZ43" s="973">
        <v>83.132871428571434</v>
      </c>
      <c r="KA43" s="410">
        <f t="shared" si="280"/>
        <v>1.084382857142856</v>
      </c>
      <c r="KB43" s="974">
        <f t="shared" si="243"/>
        <v>35</v>
      </c>
      <c r="KC43" s="970">
        <v>-82.048488571428578</v>
      </c>
      <c r="KD43" s="970">
        <v>-82.048488571428578</v>
      </c>
      <c r="KE43" s="968">
        <f t="shared" si="140"/>
        <v>0</v>
      </c>
      <c r="KF43" s="968" cm="1">
        <f t="array" ref="KF43">(((INDEX($JW$9:$JW$53,MATCH(INDEX($JU$9:$JU$53,MATCH(TRUE,INDEX($JU$9:$JU$53&gt;$JY43,0),)),$JU$9:$JU$53,0))-INDEX($JW$9:$JW$53,MATCH(INDEX($JU$9:$JU$53,MATCH(TRUE,INDEX($JU$9:$JU$53&gt;$JY43,0),)-1),$JU$9:$JU$53,0)))*(($JY43-INDEX($JU$9:$JU$53,MATCH(TRUE,INDEX($JU$9:$JU$53&gt;$JY43,0),)-1))/(INDEX($JU$9:$JU$53,MATCH(TRUE,INDEX($JU$9:$JU$53&gt;$JY43,0),))-INDEX($JU$9:$JU$53,MATCH(TRUE,INDEX($JU$9:$JU$53&gt;$JY43,0),)-1))))+INDEX($JW$9:$JW$53,MATCH(INDEX($JU$9:$JU$53,MATCH(TRUE,INDEX($JU$9:$JU$53&gt;$JY43,0),)-1),$JU$9:$JU$53,0)))</f>
        <v>27.684868959072574</v>
      </c>
      <c r="KG43" s="966">
        <f t="shared" si="244"/>
        <v>-1.9838371428571548</v>
      </c>
      <c r="KH43" s="966">
        <f t="shared" si="141"/>
        <v>1.2287712581722197</v>
      </c>
      <c r="KJ43" s="31"/>
    </row>
    <row r="44" spans="1:296" ht="15" customHeight="1" x14ac:dyDescent="0.25">
      <c r="A44" s="75">
        <f t="shared" si="322"/>
        <v>0.02</v>
      </c>
      <c r="B44" s="578">
        <f t="shared" ref="B44:D44" si="527">IFERROR(O199+($A44*-E44),"")</f>
        <v>-2.6748196937520756</v>
      </c>
      <c r="C44" s="572">
        <f t="shared" si="527"/>
        <v>-2.5904756957770751</v>
      </c>
      <c r="D44" s="576">
        <f t="shared" si="527"/>
        <v>-1.5445362589332048</v>
      </c>
      <c r="E44" s="580">
        <f t="shared" ref="E44:K44" si="528">R199</f>
        <v>0.25684079029006179</v>
      </c>
      <c r="F44" s="572">
        <f t="shared" si="528"/>
        <v>-0.9599909531432147</v>
      </c>
      <c r="G44" s="579">
        <f t="shared" si="528"/>
        <v>0.1115803671187674</v>
      </c>
      <c r="H44" s="580">
        <f t="shared" si="528"/>
        <v>0.26450000000000001</v>
      </c>
      <c r="I44" s="572">
        <f t="shared" si="528"/>
        <v>0.52</v>
      </c>
      <c r="J44" s="483">
        <f t="shared" si="94"/>
        <v>6.141</v>
      </c>
      <c r="K44" s="806">
        <f t="shared" si="528"/>
        <v>1313</v>
      </c>
      <c r="L44" s="309"/>
      <c r="M44" s="164">
        <f t="shared" si="325"/>
        <v>6.141</v>
      </c>
      <c r="N44" s="575">
        <f t="shared" si="326"/>
        <v>-2.6748196937520756</v>
      </c>
      <c r="O44" s="572">
        <f t="shared" si="327"/>
        <v>-2.5904756957770751</v>
      </c>
      <c r="P44" s="576">
        <f t="shared" si="328"/>
        <v>-1.5445362589332048</v>
      </c>
      <c r="Q44" s="528">
        <f t="shared" si="144"/>
        <v>224.08226576727563</v>
      </c>
      <c r="R44" s="572">
        <f t="shared" si="500"/>
        <v>3.7236037281772707</v>
      </c>
      <c r="S44" s="577">
        <f t="shared" si="501"/>
        <v>-1.5445362589332048</v>
      </c>
      <c r="T44" s="578">
        <f t="shared" si="502"/>
        <v>-2.6688351602140381</v>
      </c>
      <c r="U44" s="572">
        <f t="shared" si="503"/>
        <v>2.5966408323256758</v>
      </c>
      <c r="V44" s="579">
        <f t="shared" si="504"/>
        <v>-1.5445362589332048</v>
      </c>
      <c r="W44" s="528">
        <f t="shared" si="268"/>
        <v>135.78552653695061</v>
      </c>
      <c r="X44" s="572">
        <f t="shared" si="505"/>
        <v>3.7236037281772707</v>
      </c>
      <c r="Y44" s="573">
        <f t="shared" si="271"/>
        <v>-1.5445362589332048</v>
      </c>
      <c r="Z44" s="575">
        <f t="shared" si="329"/>
        <v>-0.25684079029006179</v>
      </c>
      <c r="AA44" s="572">
        <f t="shared" si="330"/>
        <v>0.9599909531432147</v>
      </c>
      <c r="AB44" s="572">
        <f t="shared" si="331"/>
        <v>-0.1115803671187674</v>
      </c>
      <c r="AC44" s="579">
        <f t="shared" si="506"/>
        <v>1</v>
      </c>
      <c r="AD44" s="580">
        <f t="shared" si="507"/>
        <v>-0.25684079029006179</v>
      </c>
      <c r="AE44" s="572">
        <f t="shared" si="508"/>
        <v>0.9599909531432147</v>
      </c>
      <c r="AF44" s="576">
        <f t="shared" si="509"/>
        <v>-0.1115803671187674</v>
      </c>
      <c r="AG44" s="545">
        <f t="shared" si="510"/>
        <v>83.370222954260953</v>
      </c>
      <c r="AH44" s="546">
        <f t="shared" si="511"/>
        <v>104.88268804469149</v>
      </c>
      <c r="AI44" s="528">
        <f t="shared" si="512"/>
        <v>-83.59357516959723</v>
      </c>
      <c r="AJ44" s="529">
        <f t="shared" si="513"/>
        <v>-165.02160877856264</v>
      </c>
      <c r="AK44" s="578">
        <f t="shared" si="514"/>
        <v>0.86828319236980755</v>
      </c>
      <c r="AL44" s="572">
        <f t="shared" si="515"/>
        <v>-0.48335713455139684</v>
      </c>
      <c r="AM44" s="577">
        <f t="shared" si="516"/>
        <v>-0.1115803671187674</v>
      </c>
      <c r="AN44" s="524">
        <f t="shared" si="517"/>
        <v>-77.001285222819448</v>
      </c>
      <c r="AO44" s="525">
        <f t="shared" si="110"/>
        <v>29.740255834278436</v>
      </c>
      <c r="AP44" s="528">
        <f t="shared" si="518"/>
        <v>-29.103874545838288</v>
      </c>
      <c r="AQ44" s="529">
        <f t="shared" si="332"/>
        <v>0.73464370522338229</v>
      </c>
      <c r="AR44" s="979"/>
      <c r="AS44" s="954">
        <f t="shared" si="524"/>
        <v>135.78552653695061</v>
      </c>
      <c r="AT44" s="950">
        <f t="shared" si="333"/>
        <v>-1.3592890960520863</v>
      </c>
      <c r="AU44" s="418"/>
      <c r="AV44" s="164" t="str">
        <f t="shared" si="334"/>
        <v/>
      </c>
      <c r="AW44" s="829" t="str">
        <f>IFERROR(INDEX(MassProp!C$9:C$150,MATCH($M44,MassProp!$B$9:$B$150,0)),"")</f>
        <v/>
      </c>
      <c r="AX44" s="830" t="str">
        <f>IFERROR(INDEX(MassProp!D$9:D$150,MATCH($M44,MassProp!$B$9:$B$150,0)),"")</f>
        <v/>
      </c>
      <c r="AY44" s="831" t="str">
        <f>IFERROR(INDEX(MassProp!E$9:E$150,MATCH($M44,MassProp!$B$9:$B$150,0)),"")</f>
        <v/>
      </c>
      <c r="AZ44" s="297" t="str">
        <f t="shared" si="335"/>
        <v/>
      </c>
      <c r="BA44" s="296" t="str">
        <f t="shared" si="336"/>
        <v/>
      </c>
      <c r="BB44" s="190" t="str">
        <f t="shared" si="149"/>
        <v/>
      </c>
      <c r="BC44" s="9"/>
      <c r="BD44" s="5" t="str">
        <f t="shared" si="337"/>
        <v/>
      </c>
      <c r="BE44" s="6" t="str">
        <f t="shared" si="338"/>
        <v/>
      </c>
      <c r="BF44" s="4" t="str">
        <f t="shared" si="339"/>
        <v/>
      </c>
      <c r="BG44" s="5" t="str">
        <f t="shared" si="340"/>
        <v/>
      </c>
      <c r="BH44" s="10" t="str">
        <f t="shared" si="341"/>
        <v/>
      </c>
      <c r="BI44" s="9" t="str">
        <f t="shared" si="342"/>
        <v/>
      </c>
      <c r="BJ44" s="5" t="str">
        <f t="shared" si="343"/>
        <v/>
      </c>
      <c r="BK44" s="8" t="str">
        <f t="shared" si="344"/>
        <v/>
      </c>
      <c r="BL44" s="173" t="str">
        <f t="shared" si="345"/>
        <v/>
      </c>
      <c r="BM44" s="5" t="str">
        <f t="shared" si="346"/>
        <v/>
      </c>
      <c r="BN44" s="6" t="str">
        <f t="shared" si="347"/>
        <v/>
      </c>
      <c r="BO44" s="4" t="str">
        <f t="shared" si="348"/>
        <v/>
      </c>
      <c r="BP44" s="5" t="str">
        <f t="shared" si="349"/>
        <v/>
      </c>
      <c r="BQ44" s="5" t="str">
        <f t="shared" si="350"/>
        <v/>
      </c>
      <c r="BR44" s="6" t="str">
        <f t="shared" si="351"/>
        <v/>
      </c>
      <c r="BS44" s="4" t="str">
        <f t="shared" si="519"/>
        <v/>
      </c>
      <c r="BT44" s="5" t="str">
        <f t="shared" si="519"/>
        <v/>
      </c>
      <c r="BU44" s="10" t="str">
        <f t="shared" si="113"/>
        <v/>
      </c>
      <c r="BV44" s="9" t="str">
        <f t="shared" si="114"/>
        <v/>
      </c>
      <c r="BW44" s="5" t="str">
        <f t="shared" si="115"/>
        <v/>
      </c>
      <c r="BX44" s="8" t="str">
        <f t="shared" si="116"/>
        <v/>
      </c>
      <c r="BY44" s="173" t="str">
        <f t="shared" si="117"/>
        <v/>
      </c>
      <c r="BZ44" s="5" t="str">
        <f t="shared" si="118"/>
        <v/>
      </c>
      <c r="CA44" s="6" t="str">
        <f t="shared" si="119"/>
        <v/>
      </c>
      <c r="CB44" s="4" t="str">
        <f t="shared" si="352"/>
        <v/>
      </c>
      <c r="CC44" s="5" t="str">
        <f t="shared" si="353"/>
        <v/>
      </c>
      <c r="CD44" s="5" t="str">
        <f t="shared" si="354"/>
        <v/>
      </c>
      <c r="CE44" s="6" t="str">
        <f t="shared" si="355"/>
        <v/>
      </c>
      <c r="CF44" s="4" t="str">
        <f t="shared" si="356"/>
        <v/>
      </c>
      <c r="CG44" s="5" t="str">
        <f t="shared" si="357"/>
        <v/>
      </c>
      <c r="CH44" s="5" t="str">
        <f t="shared" si="358"/>
        <v/>
      </c>
      <c r="CI44" s="4" t="str">
        <f t="shared" si="120"/>
        <v/>
      </c>
      <c r="CJ44" s="5" t="str">
        <f t="shared" si="359"/>
        <v/>
      </c>
      <c r="CK44" s="8" t="str">
        <f t="shared" si="360"/>
        <v/>
      </c>
      <c r="CL44" s="173" t="str">
        <f t="shared" si="361"/>
        <v/>
      </c>
      <c r="CM44" s="5" t="str">
        <f t="shared" si="362"/>
        <v/>
      </c>
      <c r="CN44" s="6" t="str">
        <f t="shared" si="363"/>
        <v/>
      </c>
      <c r="CO44" s="167" t="str">
        <f t="shared" si="364"/>
        <v/>
      </c>
      <c r="CP44" s="4" t="str">
        <f t="shared" si="365"/>
        <v/>
      </c>
      <c r="CQ44" s="5" t="str">
        <f t="shared" si="366"/>
        <v/>
      </c>
      <c r="CR44" s="5" t="str">
        <f t="shared" si="367"/>
        <v/>
      </c>
      <c r="CS44" s="8" t="str">
        <f t="shared" si="368"/>
        <v/>
      </c>
      <c r="CT44" s="9" t="str">
        <f t="shared" si="165"/>
        <v/>
      </c>
      <c r="CU44" s="6" t="str">
        <f t="shared" si="369"/>
        <v/>
      </c>
      <c r="CV44" s="4" t="str">
        <f t="shared" si="370"/>
        <v/>
      </c>
      <c r="CW44" s="5" t="str">
        <f t="shared" si="371"/>
        <v/>
      </c>
      <c r="CX44" s="8" t="str">
        <f t="shared" si="372"/>
        <v/>
      </c>
      <c r="CY44" s="9" t="str">
        <f t="shared" si="373"/>
        <v/>
      </c>
      <c r="CZ44" s="5" t="str">
        <f t="shared" si="374"/>
        <v/>
      </c>
      <c r="DA44" s="6" t="str">
        <f t="shared" si="375"/>
        <v/>
      </c>
      <c r="DB44" s="4" t="str">
        <f t="shared" si="525"/>
        <v/>
      </c>
      <c r="DC44" s="5" t="str">
        <f t="shared" si="525"/>
        <v/>
      </c>
      <c r="DD44" s="10" t="str">
        <f t="shared" si="173"/>
        <v/>
      </c>
      <c r="DE44" s="9" t="str">
        <f t="shared" si="526"/>
        <v/>
      </c>
      <c r="DF44" s="5" t="str">
        <f t="shared" si="526"/>
        <v/>
      </c>
      <c r="DG44" s="10" t="str">
        <f t="shared" si="175"/>
        <v/>
      </c>
      <c r="DH44" s="70" t="str">
        <f t="shared" si="376"/>
        <v/>
      </c>
      <c r="DI44" s="4" t="str">
        <f t="shared" si="377"/>
        <v/>
      </c>
      <c r="DJ44" s="5" t="str">
        <f t="shared" si="378"/>
        <v/>
      </c>
      <c r="DK44" s="10" t="str">
        <f t="shared" si="379"/>
        <v/>
      </c>
      <c r="DL44" s="9" t="str">
        <f t="shared" si="380"/>
        <v/>
      </c>
      <c r="DM44" s="173" t="str">
        <f t="shared" si="381"/>
        <v/>
      </c>
      <c r="DN44" s="178" t="str">
        <f t="shared" si="382"/>
        <v/>
      </c>
      <c r="DO44" s="9" t="str">
        <f t="shared" si="383"/>
        <v/>
      </c>
      <c r="DP44" s="173" t="str">
        <f t="shared" si="384"/>
        <v/>
      </c>
      <c r="DQ44" s="11" t="str">
        <f t="shared" si="385"/>
        <v/>
      </c>
      <c r="DR44" s="173" t="str">
        <f t="shared" si="386"/>
        <v/>
      </c>
      <c r="DS44" s="5" t="str">
        <f t="shared" si="387"/>
        <v/>
      </c>
      <c r="DT44" s="5" t="str">
        <f t="shared" si="388"/>
        <v/>
      </c>
      <c r="DU44" s="5" t="str">
        <f t="shared" si="389"/>
        <v/>
      </c>
      <c r="DV44" s="5" t="str">
        <f t="shared" si="390"/>
        <v/>
      </c>
      <c r="DW44" s="5" t="str">
        <f t="shared" si="391"/>
        <v/>
      </c>
      <c r="DX44" s="167" t="str">
        <f t="shared" si="392"/>
        <v/>
      </c>
      <c r="DY44" s="9" t="str">
        <f t="shared" si="393"/>
        <v/>
      </c>
      <c r="DZ44" s="5" t="str">
        <f t="shared" si="394"/>
        <v/>
      </c>
      <c r="EA44" s="10" t="str">
        <f t="shared" si="395"/>
        <v/>
      </c>
      <c r="EB44" s="6" t="str">
        <f t="shared" si="396"/>
        <v/>
      </c>
      <c r="EC44" s="173" t="str">
        <f t="shared" si="397"/>
        <v/>
      </c>
      <c r="ED44" s="5" t="str">
        <f t="shared" si="398"/>
        <v/>
      </c>
      <c r="EE44" s="4" t="str">
        <f t="shared" si="399"/>
        <v/>
      </c>
      <c r="EF44" s="5" t="str">
        <f t="shared" si="400"/>
        <v/>
      </c>
      <c r="EG44" s="10" t="str">
        <f t="shared" si="401"/>
        <v/>
      </c>
      <c r="EH44" s="9" t="str">
        <f t="shared" si="402"/>
        <v/>
      </c>
      <c r="EI44" s="5" t="str">
        <f t="shared" si="403"/>
        <v/>
      </c>
      <c r="EJ44" s="6" t="str">
        <f t="shared" si="404"/>
        <v/>
      </c>
      <c r="EK44" s="236" t="str">
        <f t="shared" si="205"/>
        <v/>
      </c>
      <c r="EL44" s="238" t="str">
        <f t="shared" si="206"/>
        <v/>
      </c>
      <c r="EM44" s="4" t="str">
        <f t="shared" si="405"/>
        <v/>
      </c>
      <c r="EN44" s="5" t="str">
        <f t="shared" si="406"/>
        <v/>
      </c>
      <c r="EO44" s="10" t="str">
        <f t="shared" si="407"/>
        <v/>
      </c>
      <c r="EP44" s="9" t="str">
        <f t="shared" si="408"/>
        <v/>
      </c>
      <c r="EQ44" s="5" t="str">
        <f t="shared" si="409"/>
        <v/>
      </c>
      <c r="ER44" s="7" t="str">
        <f t="shared" si="410"/>
        <v/>
      </c>
      <c r="ES44" s="21" t="str">
        <f t="shared" si="411"/>
        <v/>
      </c>
      <c r="ET44" s="5" t="str">
        <f t="shared" si="412"/>
        <v/>
      </c>
      <c r="EU44" s="10" t="str">
        <f t="shared" si="413"/>
        <v/>
      </c>
      <c r="EV44" s="174" t="str">
        <f t="shared" si="414"/>
        <v/>
      </c>
      <c r="EW44" s="9" t="str">
        <f t="shared" si="415"/>
        <v/>
      </c>
      <c r="EX44" s="5" t="str">
        <f t="shared" si="416"/>
        <v/>
      </c>
      <c r="EY44" s="6" t="str">
        <f t="shared" si="417"/>
        <v/>
      </c>
      <c r="EZ44" s="51" t="str">
        <f t="shared" si="214"/>
        <v/>
      </c>
      <c r="FA44" s="266" t="str">
        <f t="shared" si="128"/>
        <v/>
      </c>
      <c r="FB44" s="267" t="str">
        <f t="shared" si="129"/>
        <v/>
      </c>
      <c r="FC44" s="269" t="str">
        <f t="shared" si="38"/>
        <v/>
      </c>
      <c r="FD44" s="4" t="str">
        <f t="shared" si="418"/>
        <v/>
      </c>
      <c r="FE44" s="5" t="str">
        <f t="shared" si="419"/>
        <v/>
      </c>
      <c r="FF44" s="7" t="str">
        <f t="shared" si="420"/>
        <v/>
      </c>
      <c r="FG44" s="173" t="str">
        <f t="shared" si="421"/>
        <v/>
      </c>
      <c r="FH44" s="5" t="str">
        <f t="shared" si="422"/>
        <v/>
      </c>
      <c r="FI44" s="10" t="str">
        <f t="shared" si="423"/>
        <v/>
      </c>
      <c r="FJ44" s="279" t="str">
        <f t="shared" si="424"/>
        <v/>
      </c>
      <c r="FK44" s="4" t="str">
        <f t="shared" si="425"/>
        <v/>
      </c>
      <c r="FL44" s="5" t="str">
        <f t="shared" si="426"/>
        <v/>
      </c>
      <c r="FM44" s="8" t="str">
        <f t="shared" si="427"/>
        <v/>
      </c>
      <c r="FN44" s="9" t="str">
        <f t="shared" si="428"/>
        <v/>
      </c>
      <c r="FO44" s="10" t="str">
        <f t="shared" si="429"/>
        <v/>
      </c>
      <c r="FP44" s="277" t="str">
        <f t="shared" si="430"/>
        <v/>
      </c>
      <c r="FQ44" s="173" t="str">
        <f t="shared" si="431"/>
        <v/>
      </c>
      <c r="FR44" s="10" t="str">
        <f t="shared" si="432"/>
        <v/>
      </c>
      <c r="FS44" s="9" t="str">
        <f t="shared" si="433"/>
        <v/>
      </c>
      <c r="FT44" s="6" t="str">
        <f t="shared" si="434"/>
        <v/>
      </c>
      <c r="FU44" s="4" t="str">
        <f t="shared" si="435"/>
        <v/>
      </c>
      <c r="FV44" s="5" t="str">
        <f t="shared" si="436"/>
        <v/>
      </c>
      <c r="FW44" s="8" t="str">
        <f t="shared" si="437"/>
        <v/>
      </c>
      <c r="FX44" s="9" t="str">
        <f t="shared" si="438"/>
        <v/>
      </c>
      <c r="FY44" s="10" t="str">
        <f t="shared" si="439"/>
        <v/>
      </c>
      <c r="FZ44" s="277" t="str">
        <f t="shared" si="440"/>
        <v/>
      </c>
      <c r="GA44" s="177" t="str">
        <f t="shared" si="441"/>
        <v/>
      </c>
      <c r="GB44" s="4" t="str">
        <f t="shared" si="442"/>
        <v/>
      </c>
      <c r="GC44" s="5" t="str">
        <f t="shared" si="443"/>
        <v/>
      </c>
      <c r="GD44" s="10" t="str">
        <f t="shared" si="444"/>
        <v/>
      </c>
      <c r="GE44" s="311" t="str">
        <f t="shared" si="445"/>
        <v/>
      </c>
      <c r="GF44" s="341" t="str">
        <f t="shared" si="446"/>
        <v/>
      </c>
      <c r="GG44" s="285" t="str">
        <f t="shared" si="447"/>
        <v/>
      </c>
      <c r="GH44" s="286" t="str">
        <f t="shared" si="448"/>
        <v/>
      </c>
      <c r="GI44" s="281" t="str">
        <f t="shared" si="449"/>
        <v/>
      </c>
      <c r="GJ44" s="167" t="str">
        <f t="shared" si="450"/>
        <v/>
      </c>
      <c r="GK44" s="174" t="str">
        <f t="shared" si="49"/>
        <v/>
      </c>
      <c r="GL44" s="174" t="str">
        <f t="shared" si="451"/>
        <v/>
      </c>
      <c r="GM44" s="177" t="str">
        <f t="shared" si="452"/>
        <v/>
      </c>
      <c r="GN44" s="280" t="str">
        <f t="shared" si="453"/>
        <v/>
      </c>
      <c r="GO44" s="4" t="str">
        <f t="shared" si="454"/>
        <v/>
      </c>
      <c r="GP44" s="8" t="str">
        <f t="shared" si="455"/>
        <v/>
      </c>
      <c r="GQ44" s="177" t="str">
        <f t="shared" si="456"/>
        <v/>
      </c>
      <c r="GR44" s="371" t="str">
        <f t="shared" si="457"/>
        <v/>
      </c>
      <c r="GS44" s="342" t="str">
        <f t="shared" si="458"/>
        <v/>
      </c>
      <c r="GT44" s="343" t="str">
        <f t="shared" si="459"/>
        <v/>
      </c>
      <c r="GU44" s="344" t="str">
        <f t="shared" si="53"/>
        <v/>
      </c>
      <c r="GV44" s="343" t="str">
        <f t="shared" si="460"/>
        <v/>
      </c>
      <c r="GW44" s="345" t="str">
        <f t="shared" si="54"/>
        <v/>
      </c>
      <c r="GX44" s="346" t="str">
        <f t="shared" si="55"/>
        <v/>
      </c>
      <c r="GY44" s="344" t="str">
        <f t="shared" si="461"/>
        <v/>
      </c>
      <c r="GZ44" s="345" t="str">
        <f t="shared" si="462"/>
        <v/>
      </c>
      <c r="HA44" s="342" t="str">
        <f t="shared" si="58"/>
        <v/>
      </c>
      <c r="HB44" s="5" t="str">
        <f t="shared" si="236"/>
        <v/>
      </c>
      <c r="HC44" s="343" t="str">
        <f t="shared" si="463"/>
        <v/>
      </c>
      <c r="HD44" s="345" t="str">
        <f t="shared" si="464"/>
        <v/>
      </c>
      <c r="HE44" s="344" t="str">
        <f t="shared" si="59"/>
        <v/>
      </c>
      <c r="HF44" s="5" t="str">
        <f t="shared" si="60"/>
        <v/>
      </c>
      <c r="HG44" s="343" t="str">
        <f t="shared" si="465"/>
        <v/>
      </c>
      <c r="HH44" s="349" t="str">
        <f t="shared" si="466"/>
        <v/>
      </c>
      <c r="HI44" s="317" t="str">
        <f t="shared" si="467"/>
        <v/>
      </c>
      <c r="HJ44" s="336"/>
      <c r="HK44" s="310" t="str">
        <f t="shared" si="520"/>
        <v/>
      </c>
      <c r="HL44" s="348" t="str">
        <f t="shared" si="468"/>
        <v/>
      </c>
      <c r="HM44" s="923" t="str">
        <f t="shared" si="469"/>
        <v/>
      </c>
      <c r="HN44" s="924" t="str">
        <f t="shared" si="470"/>
        <v/>
      </c>
      <c r="HO44" s="925"/>
      <c r="HP44" s="926"/>
      <c r="HQ44" s="924" t="str">
        <f t="shared" si="471"/>
        <v/>
      </c>
      <c r="HR44" s="927" t="str">
        <f t="shared" si="472"/>
        <v/>
      </c>
      <c r="HS44" s="879" t="str">
        <f t="shared" si="521"/>
        <v/>
      </c>
      <c r="HT44" s="889" t="str">
        <f t="shared" si="473"/>
        <v/>
      </c>
      <c r="HU44" s="890" t="str">
        <f t="shared" si="474"/>
        <v/>
      </c>
      <c r="HV44" s="886" t="str">
        <f t="shared" si="475"/>
        <v/>
      </c>
      <c r="HW44" s="880" t="str">
        <f t="shared" si="476"/>
        <v/>
      </c>
      <c r="HX44" s="881" t="str">
        <f t="shared" si="477"/>
        <v/>
      </c>
      <c r="HY44" s="880" t="str">
        <f t="shared" si="478"/>
        <v/>
      </c>
      <c r="HZ44" s="882" t="str">
        <f t="shared" si="479"/>
        <v/>
      </c>
      <c r="IA44" s="883" t="str">
        <f t="shared" si="480"/>
        <v/>
      </c>
      <c r="IB44" s="884" t="str">
        <f t="shared" si="481"/>
        <v/>
      </c>
      <c r="IC44" s="855" t="str">
        <f t="shared" si="482"/>
        <v/>
      </c>
      <c r="ID44" s="351" t="str">
        <f t="shared" si="483"/>
        <v/>
      </c>
      <c r="IE44" s="857" t="str">
        <f t="shared" si="484"/>
        <v/>
      </c>
      <c r="IF44" s="858"/>
      <c r="IG44" s="790" t="str">
        <f>IFERROR(IF($IW44="","",IF($IW44&lt;(((Settings!$C$19/2)*-1)*$IG$8),"Taper","Nose")),"")</f>
        <v/>
      </c>
      <c r="IH44" s="482" t="str">
        <f>IFERROR(IF((((($IY44*COS(RADIANS(180-$JA44)))*COS(RADIANS($JA44)))-(($IZ44*SIN(RADIANS(180-$JA44)))*SIN(RADIANS($JA44))))+$IW44)&lt;(((Settings!$C$19+$IH$8)/2)*-1),"Gage",""),"")</f>
        <v/>
      </c>
      <c r="II44" s="788">
        <f t="shared" si="241"/>
        <v>6.141</v>
      </c>
      <c r="IJ44" s="674" t="str" cm="1">
        <f t="array" ref="IJ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K44" s="677" t="str" cm="1">
        <f t="array" ref="IK44">IFERROR(ROUND(VALUE(IF($IJ44&lt;1,$IJ44+LARGE((IF($M$9:$M$150="",0,$M$9:$M$150)-MOD(IF($M$9:$M$150="",0,$M$9:$M$150),1)),1),$IJ44)),4),"")</f>
        <v/>
      </c>
      <c r="IL44" s="482">
        <f t="shared" si="485"/>
        <v>1313</v>
      </c>
      <c r="IM44" s="482" t="str">
        <f t="shared" si="242"/>
        <v/>
      </c>
      <c r="IN44" s="670" t="str">
        <f t="shared" si="486"/>
        <v/>
      </c>
      <c r="IO44" s="702">
        <v>7.6066951695147296E-3</v>
      </c>
      <c r="IP44" s="5" t="str">
        <f t="shared" si="487"/>
        <v/>
      </c>
      <c r="IQ44" s="714">
        <v>140</v>
      </c>
      <c r="IR44" s="9" t="str">
        <f t="shared" si="488"/>
        <v/>
      </c>
      <c r="IS44" s="5" t="str">
        <f t="shared" si="489"/>
        <v/>
      </c>
      <c r="IT44" s="5" t="str">
        <f t="shared" si="490"/>
        <v/>
      </c>
      <c r="IU44" s="5" t="str">
        <f t="shared" si="491"/>
        <v/>
      </c>
      <c r="IV44" s="670" t="str">
        <f t="shared" si="492"/>
        <v/>
      </c>
      <c r="IW44" s="9" t="str">
        <f t="shared" si="493"/>
        <v/>
      </c>
      <c r="IX44" s="5" t="str">
        <f t="shared" si="494"/>
        <v/>
      </c>
      <c r="IY44" s="5" t="str">
        <f t="shared" si="495"/>
        <v/>
      </c>
      <c r="IZ44" s="5" t="str">
        <f t="shared" si="496"/>
        <v/>
      </c>
      <c r="JA44" s="705" t="str">
        <f t="shared" si="497"/>
        <v/>
      </c>
      <c r="JM44" s="489">
        <f t="shared" si="133"/>
        <v>41</v>
      </c>
      <c r="JN44" s="960">
        <f>($JO44-SMALL($JO$9:$JO$88,1))/((Settings!$C$19/2)-((Settings!$C$19/2)-LARGE($JO$9:$JO$88,1))-SMALL($JO$9:$JO$88,1))</f>
        <v>0.99999771776033053</v>
      </c>
      <c r="JO44" s="162">
        <f t="shared" si="134"/>
        <v>3.7236037281772707</v>
      </c>
      <c r="JP44" s="961">
        <f t="shared" si="135"/>
        <v>-77.001285222819448</v>
      </c>
      <c r="JQ44" s="961">
        <f t="shared" si="136"/>
        <v>29.740255834278436</v>
      </c>
      <c r="JS44" s="82">
        <v>36</v>
      </c>
      <c r="JT44" s="322">
        <f t="shared" si="137"/>
        <v>3.6573972507404204</v>
      </c>
      <c r="JU44" s="963">
        <f t="shared" si="138"/>
        <v>0.9806732618909374</v>
      </c>
      <c r="JV44" s="961">
        <f t="shared" si="287"/>
        <v>-63.704369737192849</v>
      </c>
      <c r="JW44" s="961">
        <f t="shared" si="92"/>
        <v>26.749455459427928</v>
      </c>
      <c r="JX44" s="1">
        <v>7.0907</v>
      </c>
      <c r="JY44" s="965">
        <f t="shared" si="139"/>
        <v>0.99349626991951268</v>
      </c>
      <c r="JZ44" s="973">
        <v>85.42191428571428</v>
      </c>
      <c r="KA44" s="410">
        <f t="shared" si="280"/>
        <v>1.3895885714285612</v>
      </c>
      <c r="KB44" s="977">
        <f t="shared" si="243"/>
        <v>36</v>
      </c>
      <c r="KC44" s="970">
        <v>-84.032325714285719</v>
      </c>
      <c r="KD44" s="970">
        <v>-84.032325714285719</v>
      </c>
      <c r="KE44" s="968">
        <f t="shared" si="140"/>
        <v>0</v>
      </c>
      <c r="KF44" s="969">
        <v>30.1</v>
      </c>
      <c r="KG44" s="966">
        <f t="shared" si="244"/>
        <v>-1.9838371428571406</v>
      </c>
      <c r="KH44" s="966">
        <f t="shared" si="141"/>
        <v>2.4151310409274274</v>
      </c>
      <c r="KJ44" s="31"/>
    </row>
    <row r="45" spans="1:296" ht="15" customHeight="1" x14ac:dyDescent="0.25">
      <c r="A45" s="75">
        <f t="shared" si="322"/>
        <v>0.02</v>
      </c>
      <c r="B45" s="578">
        <f t="shared" ref="B45:D45" si="529">IFERROR(O200+($A45*-E45),"")</f>
        <v>-1.0861430129694627</v>
      </c>
      <c r="C45" s="572">
        <f t="shared" si="529"/>
        <v>1.9318763053137112E-2</v>
      </c>
      <c r="D45" s="576">
        <f t="shared" si="529"/>
        <v>-0.30310089841761101</v>
      </c>
      <c r="E45" s="580">
        <f t="shared" ref="E45:K45" si="530">R200</f>
        <v>6.6987060141155297E-2</v>
      </c>
      <c r="F45" s="572">
        <f t="shared" si="530"/>
        <v>-0.96592585126455566</v>
      </c>
      <c r="G45" s="579">
        <f t="shared" si="530"/>
        <v>0.24999996726497573</v>
      </c>
      <c r="H45" s="580">
        <f t="shared" si="530"/>
        <v>0.26450000000000001</v>
      </c>
      <c r="I45" s="572">
        <f t="shared" si="530"/>
        <v>0.52</v>
      </c>
      <c r="J45" s="483">
        <f t="shared" si="94"/>
        <v>7.1050000000000004</v>
      </c>
      <c r="K45" s="806">
        <f t="shared" si="530"/>
        <v>1313</v>
      </c>
      <c r="L45" s="309"/>
      <c r="M45" s="164">
        <f t="shared" si="325"/>
        <v>7.1050000000000004</v>
      </c>
      <c r="N45" s="575">
        <f t="shared" si="326"/>
        <v>-1.0861430129694627</v>
      </c>
      <c r="O45" s="572">
        <f t="shared" si="327"/>
        <v>1.9318763053137112E-2</v>
      </c>
      <c r="P45" s="576">
        <f t="shared" si="328"/>
        <v>-0.30310089841761101</v>
      </c>
      <c r="Q45" s="528">
        <f t="shared" si="144"/>
        <v>178.98101182633141</v>
      </c>
      <c r="R45" s="572">
        <f t="shared" si="500"/>
        <v>1.0863148066874011</v>
      </c>
      <c r="S45" s="577">
        <f t="shared" si="501"/>
        <v>-0.30310089841761101</v>
      </c>
      <c r="T45" s="578">
        <f t="shared" si="502"/>
        <v>-1.2973342694438091E-2</v>
      </c>
      <c r="U45" s="572">
        <f t="shared" si="503"/>
        <v>1.0862373366845839</v>
      </c>
      <c r="V45" s="579">
        <f t="shared" si="504"/>
        <v>-0.30310089841761101</v>
      </c>
      <c r="W45" s="528">
        <f t="shared" si="268"/>
        <v>90.684272596006394</v>
      </c>
      <c r="X45" s="572">
        <f t="shared" si="505"/>
        <v>1.0863148066874011</v>
      </c>
      <c r="Y45" s="573">
        <f t="shared" si="271"/>
        <v>-0.30310089841761101</v>
      </c>
      <c r="Z45" s="575">
        <f t="shared" si="329"/>
        <v>-6.6987060141155297E-2</v>
      </c>
      <c r="AA45" s="572">
        <f t="shared" si="330"/>
        <v>0.96592585126455566</v>
      </c>
      <c r="AB45" s="572">
        <f t="shared" si="331"/>
        <v>-0.24999996726497573</v>
      </c>
      <c r="AC45" s="579">
        <f t="shared" si="506"/>
        <v>1</v>
      </c>
      <c r="AD45" s="580">
        <f t="shared" si="507"/>
        <v>-6.6987060141155297E-2</v>
      </c>
      <c r="AE45" s="572">
        <f t="shared" si="508"/>
        <v>0.96592585126455566</v>
      </c>
      <c r="AF45" s="576">
        <f t="shared" si="509"/>
        <v>-0.24999996726497573</v>
      </c>
      <c r="AG45" s="545">
        <f t="shared" si="510"/>
        <v>75.489183480126258</v>
      </c>
      <c r="AH45" s="546">
        <f t="shared" si="511"/>
        <v>93.840952051080606</v>
      </c>
      <c r="AI45" s="528">
        <f t="shared" si="512"/>
        <v>-75.522489751159455</v>
      </c>
      <c r="AJ45" s="529">
        <f t="shared" si="513"/>
        <v>-176.03288334930383</v>
      </c>
      <c r="AK45" s="578">
        <f t="shared" si="514"/>
        <v>0.96458181441009438</v>
      </c>
      <c r="AL45" s="572">
        <f t="shared" si="515"/>
        <v>8.4154261192416188E-2</v>
      </c>
      <c r="AM45" s="577">
        <f t="shared" si="516"/>
        <v>-0.24999996726497573</v>
      </c>
      <c r="AN45" s="524">
        <f t="shared" si="517"/>
        <v>18.604112481934671</v>
      </c>
      <c r="AO45" s="525">
        <f t="shared" si="110"/>
        <v>15.294701916780184</v>
      </c>
      <c r="AP45" s="528">
        <f t="shared" si="518"/>
        <v>4.9861048243647641</v>
      </c>
      <c r="AQ45" s="529">
        <f t="shared" si="332"/>
        <v>2.5166851753082553</v>
      </c>
      <c r="AR45" s="979"/>
      <c r="AS45" s="954">
        <f t="shared" si="524"/>
        <v>90.684272596006394</v>
      </c>
      <c r="AT45" s="950">
        <f t="shared" si="333"/>
        <v>-8.0269357252372331E-2</v>
      </c>
      <c r="AU45" s="418"/>
      <c r="AV45" s="164" t="str">
        <f t="shared" si="334"/>
        <v/>
      </c>
      <c r="AW45" s="829" t="str">
        <f>IFERROR(INDEX(MassProp!C$9:C$150,MATCH($M45,MassProp!$B$9:$B$150,0)),"")</f>
        <v/>
      </c>
      <c r="AX45" s="830" t="str">
        <f>IFERROR(INDEX(MassProp!D$9:D$150,MATCH($M45,MassProp!$B$9:$B$150,0)),"")</f>
        <v/>
      </c>
      <c r="AY45" s="831" t="str">
        <f>IFERROR(INDEX(MassProp!E$9:E$150,MATCH($M45,MassProp!$B$9:$B$150,0)),"")</f>
        <v/>
      </c>
      <c r="AZ45" s="297" t="str">
        <f t="shared" si="335"/>
        <v/>
      </c>
      <c r="BA45" s="296" t="str">
        <f t="shared" si="336"/>
        <v/>
      </c>
      <c r="BB45" s="190" t="str">
        <f t="shared" si="149"/>
        <v/>
      </c>
      <c r="BC45" s="9"/>
      <c r="BD45" s="5" t="str">
        <f t="shared" si="337"/>
        <v/>
      </c>
      <c r="BE45" s="6" t="str">
        <f t="shared" si="338"/>
        <v/>
      </c>
      <c r="BF45" s="4" t="str">
        <f t="shared" si="339"/>
        <v/>
      </c>
      <c r="BG45" s="5" t="str">
        <f t="shared" si="340"/>
        <v/>
      </c>
      <c r="BH45" s="10" t="str">
        <f t="shared" si="341"/>
        <v/>
      </c>
      <c r="BI45" s="9" t="str">
        <f t="shared" si="342"/>
        <v/>
      </c>
      <c r="BJ45" s="5" t="str">
        <f t="shared" si="343"/>
        <v/>
      </c>
      <c r="BK45" s="8" t="str">
        <f t="shared" si="344"/>
        <v/>
      </c>
      <c r="BL45" s="173" t="str">
        <f t="shared" si="345"/>
        <v/>
      </c>
      <c r="BM45" s="5" t="str">
        <f t="shared" si="346"/>
        <v/>
      </c>
      <c r="BN45" s="6" t="str">
        <f t="shared" si="347"/>
        <v/>
      </c>
      <c r="BO45" s="4" t="str">
        <f t="shared" si="348"/>
        <v/>
      </c>
      <c r="BP45" s="5" t="str">
        <f t="shared" si="349"/>
        <v/>
      </c>
      <c r="BQ45" s="5" t="str">
        <f t="shared" si="350"/>
        <v/>
      </c>
      <c r="BR45" s="6" t="str">
        <f t="shared" si="351"/>
        <v/>
      </c>
      <c r="BS45" s="4" t="str">
        <f t="shared" si="519"/>
        <v/>
      </c>
      <c r="BT45" s="5" t="str">
        <f t="shared" si="519"/>
        <v/>
      </c>
      <c r="BU45" s="10" t="str">
        <f t="shared" si="113"/>
        <v/>
      </c>
      <c r="BV45" s="9" t="str">
        <f t="shared" si="114"/>
        <v/>
      </c>
      <c r="BW45" s="5" t="str">
        <f t="shared" si="115"/>
        <v/>
      </c>
      <c r="BX45" s="8" t="str">
        <f t="shared" si="116"/>
        <v/>
      </c>
      <c r="BY45" s="173" t="str">
        <f t="shared" si="117"/>
        <v/>
      </c>
      <c r="BZ45" s="5" t="str">
        <f t="shared" si="118"/>
        <v/>
      </c>
      <c r="CA45" s="6" t="str">
        <f t="shared" si="119"/>
        <v/>
      </c>
      <c r="CB45" s="4" t="str">
        <f t="shared" si="352"/>
        <v/>
      </c>
      <c r="CC45" s="5" t="str">
        <f t="shared" si="353"/>
        <v/>
      </c>
      <c r="CD45" s="5" t="str">
        <f t="shared" si="354"/>
        <v/>
      </c>
      <c r="CE45" s="6" t="str">
        <f t="shared" si="355"/>
        <v/>
      </c>
      <c r="CF45" s="4" t="str">
        <f t="shared" si="356"/>
        <v/>
      </c>
      <c r="CG45" s="5" t="str">
        <f t="shared" si="357"/>
        <v/>
      </c>
      <c r="CH45" s="5" t="str">
        <f t="shared" si="358"/>
        <v/>
      </c>
      <c r="CI45" s="4" t="str">
        <f t="shared" si="120"/>
        <v/>
      </c>
      <c r="CJ45" s="5" t="str">
        <f t="shared" si="359"/>
        <v/>
      </c>
      <c r="CK45" s="8" t="str">
        <f t="shared" si="360"/>
        <v/>
      </c>
      <c r="CL45" s="173" t="str">
        <f t="shared" si="361"/>
        <v/>
      </c>
      <c r="CM45" s="5" t="str">
        <f t="shared" si="362"/>
        <v/>
      </c>
      <c r="CN45" s="6" t="str">
        <f t="shared" si="363"/>
        <v/>
      </c>
      <c r="CO45" s="167" t="str">
        <f t="shared" si="364"/>
        <v/>
      </c>
      <c r="CP45" s="4" t="str">
        <f t="shared" si="365"/>
        <v/>
      </c>
      <c r="CQ45" s="5" t="str">
        <f t="shared" si="366"/>
        <v/>
      </c>
      <c r="CR45" s="5" t="str">
        <f t="shared" si="367"/>
        <v/>
      </c>
      <c r="CS45" s="8" t="str">
        <f t="shared" si="368"/>
        <v/>
      </c>
      <c r="CT45" s="9" t="str">
        <f t="shared" si="165"/>
        <v/>
      </c>
      <c r="CU45" s="6" t="str">
        <f t="shared" si="369"/>
        <v/>
      </c>
      <c r="CV45" s="4" t="str">
        <f t="shared" si="370"/>
        <v/>
      </c>
      <c r="CW45" s="5" t="str">
        <f t="shared" si="371"/>
        <v/>
      </c>
      <c r="CX45" s="8" t="str">
        <f t="shared" si="372"/>
        <v/>
      </c>
      <c r="CY45" s="9" t="str">
        <f t="shared" si="373"/>
        <v/>
      </c>
      <c r="CZ45" s="5" t="str">
        <f t="shared" si="374"/>
        <v/>
      </c>
      <c r="DA45" s="6" t="str">
        <f t="shared" si="375"/>
        <v/>
      </c>
      <c r="DB45" s="4" t="str">
        <f t="shared" si="525"/>
        <v/>
      </c>
      <c r="DC45" s="5" t="str">
        <f t="shared" si="525"/>
        <v/>
      </c>
      <c r="DD45" s="10" t="str">
        <f t="shared" si="173"/>
        <v/>
      </c>
      <c r="DE45" s="9" t="str">
        <f t="shared" si="526"/>
        <v/>
      </c>
      <c r="DF45" s="5" t="str">
        <f t="shared" si="526"/>
        <v/>
      </c>
      <c r="DG45" s="10" t="str">
        <f t="shared" si="175"/>
        <v/>
      </c>
      <c r="DH45" s="70" t="str">
        <f t="shared" si="376"/>
        <v/>
      </c>
      <c r="DI45" s="4" t="str">
        <f t="shared" si="377"/>
        <v/>
      </c>
      <c r="DJ45" s="5" t="str">
        <f t="shared" si="378"/>
        <v/>
      </c>
      <c r="DK45" s="10" t="str">
        <f t="shared" si="379"/>
        <v/>
      </c>
      <c r="DL45" s="9" t="str">
        <f t="shared" si="380"/>
        <v/>
      </c>
      <c r="DM45" s="173" t="str">
        <f t="shared" si="381"/>
        <v/>
      </c>
      <c r="DN45" s="178" t="str">
        <f t="shared" si="382"/>
        <v/>
      </c>
      <c r="DO45" s="9" t="str">
        <f t="shared" si="383"/>
        <v/>
      </c>
      <c r="DP45" s="173" t="str">
        <f t="shared" si="384"/>
        <v/>
      </c>
      <c r="DQ45" s="11" t="str">
        <f t="shared" si="385"/>
        <v/>
      </c>
      <c r="DR45" s="173" t="str">
        <f t="shared" si="386"/>
        <v/>
      </c>
      <c r="DS45" s="5" t="str">
        <f t="shared" si="387"/>
        <v/>
      </c>
      <c r="DT45" s="5" t="str">
        <f t="shared" si="388"/>
        <v/>
      </c>
      <c r="DU45" s="5" t="str">
        <f t="shared" si="389"/>
        <v/>
      </c>
      <c r="DV45" s="5" t="str">
        <f t="shared" si="390"/>
        <v/>
      </c>
      <c r="DW45" s="5" t="str">
        <f t="shared" si="391"/>
        <v/>
      </c>
      <c r="DX45" s="167" t="str">
        <f t="shared" si="392"/>
        <v/>
      </c>
      <c r="DY45" s="9" t="str">
        <f t="shared" si="393"/>
        <v/>
      </c>
      <c r="DZ45" s="5" t="str">
        <f t="shared" si="394"/>
        <v/>
      </c>
      <c r="EA45" s="10" t="str">
        <f t="shared" si="395"/>
        <v/>
      </c>
      <c r="EB45" s="6" t="str">
        <f t="shared" si="396"/>
        <v/>
      </c>
      <c r="EC45" s="173" t="str">
        <f t="shared" si="397"/>
        <v/>
      </c>
      <c r="ED45" s="5" t="str">
        <f t="shared" si="398"/>
        <v/>
      </c>
      <c r="EE45" s="4" t="str">
        <f t="shared" si="399"/>
        <v/>
      </c>
      <c r="EF45" s="5" t="str">
        <f t="shared" si="400"/>
        <v/>
      </c>
      <c r="EG45" s="10" t="str">
        <f t="shared" si="401"/>
        <v/>
      </c>
      <c r="EH45" s="9" t="str">
        <f t="shared" si="402"/>
        <v/>
      </c>
      <c r="EI45" s="5" t="str">
        <f t="shared" si="403"/>
        <v/>
      </c>
      <c r="EJ45" s="6" t="str">
        <f t="shared" si="404"/>
        <v/>
      </c>
      <c r="EK45" s="236" t="str">
        <f t="shared" si="205"/>
        <v/>
      </c>
      <c r="EL45" s="238" t="str">
        <f t="shared" si="206"/>
        <v/>
      </c>
      <c r="EM45" s="4" t="str">
        <f t="shared" si="405"/>
        <v/>
      </c>
      <c r="EN45" s="5" t="str">
        <f t="shared" si="406"/>
        <v/>
      </c>
      <c r="EO45" s="10" t="str">
        <f t="shared" si="407"/>
        <v/>
      </c>
      <c r="EP45" s="9" t="str">
        <f t="shared" si="408"/>
        <v/>
      </c>
      <c r="EQ45" s="5" t="str">
        <f t="shared" si="409"/>
        <v/>
      </c>
      <c r="ER45" s="7" t="str">
        <f t="shared" si="410"/>
        <v/>
      </c>
      <c r="ES45" s="21" t="str">
        <f t="shared" si="411"/>
        <v/>
      </c>
      <c r="ET45" s="5" t="str">
        <f t="shared" si="412"/>
        <v/>
      </c>
      <c r="EU45" s="10" t="str">
        <f t="shared" si="413"/>
        <v/>
      </c>
      <c r="EV45" s="174" t="str">
        <f t="shared" si="414"/>
        <v/>
      </c>
      <c r="EW45" s="9" t="str">
        <f t="shared" si="415"/>
        <v/>
      </c>
      <c r="EX45" s="5" t="str">
        <f t="shared" si="416"/>
        <v/>
      </c>
      <c r="EY45" s="6" t="str">
        <f t="shared" si="417"/>
        <v/>
      </c>
      <c r="EZ45" s="51" t="str">
        <f t="shared" si="214"/>
        <v/>
      </c>
      <c r="FA45" s="266" t="str">
        <f t="shared" si="128"/>
        <v/>
      </c>
      <c r="FB45" s="267" t="str">
        <f t="shared" si="129"/>
        <v/>
      </c>
      <c r="FC45" s="269" t="str">
        <f t="shared" si="38"/>
        <v/>
      </c>
      <c r="FD45" s="4" t="str">
        <f t="shared" si="418"/>
        <v/>
      </c>
      <c r="FE45" s="5" t="str">
        <f t="shared" si="419"/>
        <v/>
      </c>
      <c r="FF45" s="7" t="str">
        <f t="shared" si="420"/>
        <v/>
      </c>
      <c r="FG45" s="173" t="str">
        <f t="shared" si="421"/>
        <v/>
      </c>
      <c r="FH45" s="5" t="str">
        <f t="shared" si="422"/>
        <v/>
      </c>
      <c r="FI45" s="10" t="str">
        <f t="shared" si="423"/>
        <v/>
      </c>
      <c r="FJ45" s="279" t="str">
        <f t="shared" si="424"/>
        <v/>
      </c>
      <c r="FK45" s="4" t="str">
        <f t="shared" si="425"/>
        <v/>
      </c>
      <c r="FL45" s="5" t="str">
        <f t="shared" si="426"/>
        <v/>
      </c>
      <c r="FM45" s="8" t="str">
        <f t="shared" si="427"/>
        <v/>
      </c>
      <c r="FN45" s="9" t="str">
        <f t="shared" si="428"/>
        <v/>
      </c>
      <c r="FO45" s="10" t="str">
        <f t="shared" si="429"/>
        <v/>
      </c>
      <c r="FP45" s="277" t="str">
        <f t="shared" si="430"/>
        <v/>
      </c>
      <c r="FQ45" s="173" t="str">
        <f t="shared" si="431"/>
        <v/>
      </c>
      <c r="FR45" s="10" t="str">
        <f t="shared" si="432"/>
        <v/>
      </c>
      <c r="FS45" s="9" t="str">
        <f t="shared" si="433"/>
        <v/>
      </c>
      <c r="FT45" s="6" t="str">
        <f t="shared" si="434"/>
        <v/>
      </c>
      <c r="FU45" s="4" t="str">
        <f t="shared" si="435"/>
        <v/>
      </c>
      <c r="FV45" s="5" t="str">
        <f t="shared" si="436"/>
        <v/>
      </c>
      <c r="FW45" s="8" t="str">
        <f t="shared" si="437"/>
        <v/>
      </c>
      <c r="FX45" s="9" t="str">
        <f t="shared" si="438"/>
        <v/>
      </c>
      <c r="FY45" s="10" t="str">
        <f t="shared" si="439"/>
        <v/>
      </c>
      <c r="FZ45" s="277" t="str">
        <f t="shared" si="440"/>
        <v/>
      </c>
      <c r="GA45" s="177" t="str">
        <f t="shared" si="441"/>
        <v/>
      </c>
      <c r="GB45" s="4" t="str">
        <f t="shared" si="442"/>
        <v/>
      </c>
      <c r="GC45" s="5" t="str">
        <f t="shared" si="443"/>
        <v/>
      </c>
      <c r="GD45" s="10" t="str">
        <f t="shared" si="444"/>
        <v/>
      </c>
      <c r="GE45" s="311" t="str">
        <f t="shared" si="445"/>
        <v/>
      </c>
      <c r="GF45" s="341" t="str">
        <f t="shared" si="446"/>
        <v/>
      </c>
      <c r="GG45" s="285" t="str">
        <f t="shared" si="447"/>
        <v/>
      </c>
      <c r="GH45" s="286" t="str">
        <f t="shared" si="448"/>
        <v/>
      </c>
      <c r="GI45" s="281" t="str">
        <f t="shared" si="449"/>
        <v/>
      </c>
      <c r="GJ45" s="167" t="str">
        <f t="shared" si="450"/>
        <v/>
      </c>
      <c r="GK45" s="174" t="str">
        <f t="shared" si="49"/>
        <v/>
      </c>
      <c r="GL45" s="174" t="str">
        <f t="shared" si="451"/>
        <v/>
      </c>
      <c r="GM45" s="177" t="str">
        <f t="shared" si="452"/>
        <v/>
      </c>
      <c r="GN45" s="280" t="str">
        <f t="shared" si="453"/>
        <v/>
      </c>
      <c r="GO45" s="4" t="str">
        <f t="shared" si="454"/>
        <v/>
      </c>
      <c r="GP45" s="8" t="str">
        <f t="shared" si="455"/>
        <v/>
      </c>
      <c r="GQ45" s="177" t="str">
        <f t="shared" si="456"/>
        <v/>
      </c>
      <c r="GR45" s="371" t="str">
        <f t="shared" si="457"/>
        <v/>
      </c>
      <c r="GS45" s="342" t="str">
        <f t="shared" si="458"/>
        <v/>
      </c>
      <c r="GT45" s="343" t="str">
        <f t="shared" si="459"/>
        <v/>
      </c>
      <c r="GU45" s="344" t="str">
        <f t="shared" si="53"/>
        <v/>
      </c>
      <c r="GV45" s="343" t="str">
        <f t="shared" si="460"/>
        <v/>
      </c>
      <c r="GW45" s="345" t="str">
        <f t="shared" si="54"/>
        <v/>
      </c>
      <c r="GX45" s="346" t="str">
        <f t="shared" si="55"/>
        <v/>
      </c>
      <c r="GY45" s="344" t="str">
        <f t="shared" si="461"/>
        <v/>
      </c>
      <c r="GZ45" s="345" t="str">
        <f t="shared" si="462"/>
        <v/>
      </c>
      <c r="HA45" s="342" t="str">
        <f t="shared" si="58"/>
        <v/>
      </c>
      <c r="HB45" s="5" t="str">
        <f t="shared" si="236"/>
        <v/>
      </c>
      <c r="HC45" s="343" t="str">
        <f t="shared" si="463"/>
        <v/>
      </c>
      <c r="HD45" s="345" t="str">
        <f t="shared" si="464"/>
        <v/>
      </c>
      <c r="HE45" s="344" t="str">
        <f t="shared" si="59"/>
        <v/>
      </c>
      <c r="HF45" s="5" t="str">
        <f t="shared" si="60"/>
        <v/>
      </c>
      <c r="HG45" s="343" t="str">
        <f t="shared" si="465"/>
        <v/>
      </c>
      <c r="HH45" s="349" t="str">
        <f t="shared" si="466"/>
        <v/>
      </c>
      <c r="HI45" s="317" t="str">
        <f t="shared" si="467"/>
        <v/>
      </c>
      <c r="HJ45" s="336"/>
      <c r="HK45" s="310" t="str">
        <f t="shared" si="520"/>
        <v/>
      </c>
      <c r="HL45" s="348" t="str">
        <f t="shared" si="468"/>
        <v/>
      </c>
      <c r="HM45" s="923" t="str">
        <f t="shared" si="469"/>
        <v/>
      </c>
      <c r="HN45" s="924" t="str">
        <f t="shared" si="470"/>
        <v/>
      </c>
      <c r="HO45" s="925"/>
      <c r="HP45" s="926"/>
      <c r="HQ45" s="924" t="str">
        <f t="shared" si="471"/>
        <v/>
      </c>
      <c r="HR45" s="927" t="str">
        <f t="shared" si="472"/>
        <v/>
      </c>
      <c r="HS45" s="879" t="str">
        <f t="shared" si="521"/>
        <v/>
      </c>
      <c r="HT45" s="889" t="str">
        <f t="shared" si="473"/>
        <v/>
      </c>
      <c r="HU45" s="890" t="str">
        <f t="shared" si="474"/>
        <v/>
      </c>
      <c r="HV45" s="886" t="str">
        <f t="shared" si="475"/>
        <v/>
      </c>
      <c r="HW45" s="880" t="str">
        <f t="shared" si="476"/>
        <v/>
      </c>
      <c r="HX45" s="881" t="str">
        <f t="shared" si="477"/>
        <v/>
      </c>
      <c r="HY45" s="880" t="str">
        <f t="shared" si="478"/>
        <v/>
      </c>
      <c r="HZ45" s="882" t="str">
        <f t="shared" si="479"/>
        <v/>
      </c>
      <c r="IA45" s="883" t="str">
        <f t="shared" si="480"/>
        <v/>
      </c>
      <c r="IB45" s="884" t="str">
        <f t="shared" si="481"/>
        <v/>
      </c>
      <c r="IC45" s="855" t="str">
        <f t="shared" si="482"/>
        <v/>
      </c>
      <c r="ID45" s="351" t="str">
        <f t="shared" si="483"/>
        <v/>
      </c>
      <c r="IE45" s="857" t="str">
        <f t="shared" si="484"/>
        <v/>
      </c>
      <c r="IF45" s="858"/>
      <c r="IG45" s="790" t="str">
        <f>IFERROR(IF($IW45="","",IF($IW45&lt;(((Settings!$C$19/2)*-1)*$IG$8),"Taper","Nose")),"")</f>
        <v/>
      </c>
      <c r="IH45" s="482" t="str">
        <f>IFERROR(IF((((($IY45*COS(RADIANS(180-$JA45)))*COS(RADIANS($JA45)))-(($IZ45*SIN(RADIANS(180-$JA45)))*SIN(RADIANS($JA45))))+$IW45)&lt;(((Settings!$C$19+$IH$8)/2)*-1),"Gage",""),"")</f>
        <v/>
      </c>
      <c r="II45" s="788">
        <f t="shared" si="241"/>
        <v>7.1050000000000004</v>
      </c>
      <c r="IJ45" s="674" t="str" cm="1">
        <f t="array" ref="IJ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K45" s="677" t="str" cm="1">
        <f t="array" ref="IK45">IFERROR(ROUND(VALUE(IF($IJ45&lt;1,$IJ45+LARGE((IF($M$9:$M$150="",0,$M$9:$M$150)-MOD(IF($M$9:$M$150="",0,$M$9:$M$150),1)),1),$IJ45)),4),"")</f>
        <v/>
      </c>
      <c r="IL45" s="482">
        <f t="shared" si="485"/>
        <v>1313</v>
      </c>
      <c r="IM45" s="482" t="str">
        <f t="shared" si="242"/>
        <v/>
      </c>
      <c r="IN45" s="670" t="str">
        <f t="shared" si="486"/>
        <v/>
      </c>
      <c r="IO45" s="702">
        <v>2.09608067072167E-2</v>
      </c>
      <c r="IP45" s="5" t="str">
        <f t="shared" si="487"/>
        <v/>
      </c>
      <c r="IQ45" s="714">
        <v>280</v>
      </c>
      <c r="IR45" s="9" t="str">
        <f t="shared" si="488"/>
        <v/>
      </c>
      <c r="IS45" s="5" t="str">
        <f t="shared" si="489"/>
        <v/>
      </c>
      <c r="IT45" s="5" t="str">
        <f t="shared" si="490"/>
        <v/>
      </c>
      <c r="IU45" s="5" t="str">
        <f t="shared" si="491"/>
        <v/>
      </c>
      <c r="IV45" s="670" t="str">
        <f t="shared" si="492"/>
        <v/>
      </c>
      <c r="IW45" s="9" t="str">
        <f t="shared" si="493"/>
        <v/>
      </c>
      <c r="IX45" s="5" t="str">
        <f t="shared" si="494"/>
        <v/>
      </c>
      <c r="IY45" s="5" t="str">
        <f t="shared" si="495"/>
        <v/>
      </c>
      <c r="IZ45" s="5" t="str">
        <f t="shared" si="496"/>
        <v/>
      </c>
      <c r="JA45" s="705" t="str">
        <f t="shared" si="497"/>
        <v/>
      </c>
      <c r="JM45" s="489">
        <f t="shared" si="133"/>
        <v>5</v>
      </c>
      <c r="JN45" s="960">
        <f>($JO45-SMALL($JO$9:$JO$88,1))/((Settings!$C$19/2)-((Settings!$C$19/2)-LARGE($JO$9:$JO$88,1))-SMALL($JO$9:$JO$88,1))</f>
        <v>0.23022147605072663</v>
      </c>
      <c r="JO45" s="162">
        <f t="shared" si="134"/>
        <v>1.0863148066874011</v>
      </c>
      <c r="JP45" s="961">
        <f t="shared" si="135"/>
        <v>18.604112481934671</v>
      </c>
      <c r="JQ45" s="961">
        <f t="shared" si="136"/>
        <v>15.294701916780184</v>
      </c>
      <c r="JS45" s="82">
        <v>37</v>
      </c>
      <c r="JT45" s="322">
        <f t="shared" si="137"/>
        <v>3.6802376708939213</v>
      </c>
      <c r="JU45" s="963">
        <f t="shared" si="138"/>
        <v>0.98733996141011549</v>
      </c>
      <c r="JV45" s="961">
        <f t="shared" si="287"/>
        <v>-66.371455906022035</v>
      </c>
      <c r="JW45" s="961">
        <f t="shared" si="92"/>
        <v>27.747920707070726</v>
      </c>
      <c r="JX45" s="1">
        <v>7.0993000000000004</v>
      </c>
      <c r="JY45" s="965">
        <f t="shared" si="139"/>
        <v>0.99476170156413246</v>
      </c>
      <c r="JZ45" s="973">
        <v>87.710957142857126</v>
      </c>
      <c r="KA45" s="410">
        <f t="shared" si="280"/>
        <v>1.6947942857142806</v>
      </c>
      <c r="KB45" s="976">
        <f t="shared" si="243"/>
        <v>37</v>
      </c>
      <c r="KC45" s="970">
        <v>-86.016162857142845</v>
      </c>
      <c r="KD45" s="970">
        <v>-86.016162857142845</v>
      </c>
      <c r="KE45" s="968">
        <f t="shared" si="140"/>
        <v>0</v>
      </c>
      <c r="KF45" s="969">
        <v>31.2</v>
      </c>
      <c r="KG45" s="966">
        <f t="shared" si="244"/>
        <v>-1.9838371428571264</v>
      </c>
      <c r="KH45" s="966">
        <f t="shared" si="141"/>
        <v>1.0999999999999979</v>
      </c>
      <c r="KJ45" s="31"/>
    </row>
    <row r="46" spans="1:296" ht="15" customHeight="1" x14ac:dyDescent="0.25">
      <c r="A46" s="75">
        <f t="shared" si="322"/>
        <v>0.02</v>
      </c>
      <c r="B46" s="578">
        <f t="shared" ref="B46:D46" si="531">IFERROR(O201+($A46*-E46),"")</f>
        <v>-1.7171328327697135</v>
      </c>
      <c r="C46" s="572">
        <f t="shared" si="531"/>
        <v>2.0409804276323901E-2</v>
      </c>
      <c r="D46" s="576">
        <f t="shared" si="531"/>
        <v>-0.13393701704648225</v>
      </c>
      <c r="E46" s="580">
        <f t="shared" ref="E46:K46" si="532">R201</f>
        <v>3.1400121657827906E-2</v>
      </c>
      <c r="F46" s="572">
        <f t="shared" si="532"/>
        <v>-0.96594598675176513</v>
      </c>
      <c r="G46" s="579">
        <f t="shared" si="532"/>
        <v>0.25683142922553792</v>
      </c>
      <c r="H46" s="580">
        <f t="shared" si="532"/>
        <v>0.26450000000000001</v>
      </c>
      <c r="I46" s="572">
        <f t="shared" si="532"/>
        <v>0.52</v>
      </c>
      <c r="J46" s="483">
        <f t="shared" si="94"/>
        <v>7.109</v>
      </c>
      <c r="K46" s="806">
        <f t="shared" si="532"/>
        <v>1313</v>
      </c>
      <c r="L46" s="309"/>
      <c r="M46" s="164">
        <f t="shared" si="325"/>
        <v>7.109</v>
      </c>
      <c r="N46" s="575">
        <f t="shared" si="326"/>
        <v>-1.7171328327697135</v>
      </c>
      <c r="O46" s="572">
        <f t="shared" si="327"/>
        <v>2.0409804276323901E-2</v>
      </c>
      <c r="P46" s="576">
        <f t="shared" si="328"/>
        <v>-0.13393701704648225</v>
      </c>
      <c r="Q46" s="528">
        <f t="shared" si="144"/>
        <v>179.31901565289377</v>
      </c>
      <c r="R46" s="572">
        <f t="shared" si="500"/>
        <v>1.7172541237354297</v>
      </c>
      <c r="S46" s="577">
        <f t="shared" si="501"/>
        <v>-0.13393701704648225</v>
      </c>
      <c r="T46" s="578">
        <f t="shared" si="502"/>
        <v>-3.0637776066311399E-2</v>
      </c>
      <c r="U46" s="572">
        <f t="shared" si="503"/>
        <v>1.716980795514047</v>
      </c>
      <c r="V46" s="579">
        <f t="shared" si="504"/>
        <v>-0.13393701704648225</v>
      </c>
      <c r="W46" s="528">
        <f t="shared" si="268"/>
        <v>91.022276422568751</v>
      </c>
      <c r="X46" s="572">
        <f t="shared" si="505"/>
        <v>1.7172541237354297</v>
      </c>
      <c r="Y46" s="573">
        <f t="shared" si="271"/>
        <v>-0.13393701704648225</v>
      </c>
      <c r="Z46" s="575">
        <f t="shared" si="329"/>
        <v>-3.1400121657827906E-2</v>
      </c>
      <c r="AA46" s="572">
        <f t="shared" si="330"/>
        <v>0.96594598675176513</v>
      </c>
      <c r="AB46" s="572">
        <f t="shared" si="331"/>
        <v>-0.25683142922553792</v>
      </c>
      <c r="AC46" s="579">
        <f t="shared" si="506"/>
        <v>1</v>
      </c>
      <c r="AD46" s="580">
        <f t="shared" si="507"/>
        <v>-3.1400121657827906E-2</v>
      </c>
      <c r="AE46" s="572">
        <f t="shared" si="508"/>
        <v>0.96594598675176513</v>
      </c>
      <c r="AF46" s="576">
        <f t="shared" si="509"/>
        <v>-0.25683142922553792</v>
      </c>
      <c r="AG46" s="545">
        <f t="shared" si="510"/>
        <v>75.110355015127212</v>
      </c>
      <c r="AH46" s="546">
        <f t="shared" si="511"/>
        <v>91.799390219924135</v>
      </c>
      <c r="AI46" s="528">
        <f t="shared" si="512"/>
        <v>-75.117866921141953</v>
      </c>
      <c r="AJ46" s="529">
        <f t="shared" si="513"/>
        <v>-178.13813488060353</v>
      </c>
      <c r="AK46" s="578">
        <f t="shared" si="514"/>
        <v>0.96550456643524085</v>
      </c>
      <c r="AL46" s="572">
        <f t="shared" si="515"/>
        <v>4.2878306340913191E-2</v>
      </c>
      <c r="AM46" s="577">
        <f t="shared" si="516"/>
        <v>-0.25683142922553792</v>
      </c>
      <c r="AN46" s="524">
        <f t="shared" si="517"/>
        <v>9.4781814792388452</v>
      </c>
      <c r="AO46" s="525">
        <f t="shared" si="110"/>
        <v>15.092974446194832</v>
      </c>
      <c r="AP46" s="528">
        <f t="shared" si="518"/>
        <v>2.5428494665027053</v>
      </c>
      <c r="AQ46" s="529">
        <f t="shared" si="332"/>
        <v>1.5926398431353568</v>
      </c>
      <c r="AR46" s="979"/>
      <c r="AS46" s="954">
        <f t="shared" si="524"/>
        <v>91.022276422568751</v>
      </c>
      <c r="AT46" s="950">
        <f t="shared" si="333"/>
        <v>8.8612854263287771E-2</v>
      </c>
      <c r="AU46" s="418"/>
      <c r="AV46" s="164" t="str">
        <f t="shared" si="334"/>
        <v/>
      </c>
      <c r="AW46" s="829" t="str">
        <f>IFERROR(INDEX(MassProp!C$9:C$150,MATCH($M46,MassProp!$B$9:$B$150,0)),"")</f>
        <v/>
      </c>
      <c r="AX46" s="830" t="str">
        <f>IFERROR(INDEX(MassProp!D$9:D$150,MATCH($M46,MassProp!$B$9:$B$150,0)),"")</f>
        <v/>
      </c>
      <c r="AY46" s="831" t="str">
        <f>IFERROR(INDEX(MassProp!E$9:E$150,MATCH($M46,MassProp!$B$9:$B$150,0)),"")</f>
        <v/>
      </c>
      <c r="AZ46" s="297" t="str">
        <f t="shared" si="335"/>
        <v/>
      </c>
      <c r="BA46" s="296" t="str">
        <f t="shared" si="336"/>
        <v/>
      </c>
      <c r="BB46" s="190" t="str">
        <f t="shared" si="149"/>
        <v/>
      </c>
      <c r="BC46" s="9"/>
      <c r="BD46" s="5" t="str">
        <f t="shared" si="337"/>
        <v/>
      </c>
      <c r="BE46" s="6" t="str">
        <f t="shared" si="338"/>
        <v/>
      </c>
      <c r="BF46" s="4" t="str">
        <f t="shared" si="339"/>
        <v/>
      </c>
      <c r="BG46" s="5" t="str">
        <f t="shared" si="340"/>
        <v/>
      </c>
      <c r="BH46" s="10" t="str">
        <f t="shared" si="341"/>
        <v/>
      </c>
      <c r="BI46" s="9" t="str">
        <f t="shared" si="342"/>
        <v/>
      </c>
      <c r="BJ46" s="5" t="str">
        <f t="shared" si="343"/>
        <v/>
      </c>
      <c r="BK46" s="8" t="str">
        <f t="shared" si="344"/>
        <v/>
      </c>
      <c r="BL46" s="173" t="str">
        <f t="shared" si="345"/>
        <v/>
      </c>
      <c r="BM46" s="5" t="str">
        <f t="shared" si="346"/>
        <v/>
      </c>
      <c r="BN46" s="6" t="str">
        <f t="shared" si="347"/>
        <v/>
      </c>
      <c r="BO46" s="4" t="str">
        <f t="shared" si="348"/>
        <v/>
      </c>
      <c r="BP46" s="5" t="str">
        <f t="shared" si="349"/>
        <v/>
      </c>
      <c r="BQ46" s="5" t="str">
        <f t="shared" si="350"/>
        <v/>
      </c>
      <c r="BR46" s="6" t="str">
        <f t="shared" si="351"/>
        <v/>
      </c>
      <c r="BS46" s="4" t="str">
        <f t="shared" si="519"/>
        <v/>
      </c>
      <c r="BT46" s="5" t="str">
        <f t="shared" si="519"/>
        <v/>
      </c>
      <c r="BU46" s="10" t="str">
        <f t="shared" si="113"/>
        <v/>
      </c>
      <c r="BV46" s="9" t="str">
        <f t="shared" si="114"/>
        <v/>
      </c>
      <c r="BW46" s="5" t="str">
        <f t="shared" si="115"/>
        <v/>
      </c>
      <c r="BX46" s="8" t="str">
        <f t="shared" si="116"/>
        <v/>
      </c>
      <c r="BY46" s="173" t="str">
        <f t="shared" si="117"/>
        <v/>
      </c>
      <c r="BZ46" s="5" t="str">
        <f t="shared" si="118"/>
        <v/>
      </c>
      <c r="CA46" s="6" t="str">
        <f t="shared" si="119"/>
        <v/>
      </c>
      <c r="CB46" s="4" t="str">
        <f t="shared" si="352"/>
        <v/>
      </c>
      <c r="CC46" s="5" t="str">
        <f t="shared" si="353"/>
        <v/>
      </c>
      <c r="CD46" s="5" t="str">
        <f t="shared" si="354"/>
        <v/>
      </c>
      <c r="CE46" s="6" t="str">
        <f t="shared" si="355"/>
        <v/>
      </c>
      <c r="CF46" s="4" t="str">
        <f t="shared" si="356"/>
        <v/>
      </c>
      <c r="CG46" s="5" t="str">
        <f t="shared" si="357"/>
        <v/>
      </c>
      <c r="CH46" s="5" t="str">
        <f t="shared" si="358"/>
        <v/>
      </c>
      <c r="CI46" s="4" t="str">
        <f t="shared" si="120"/>
        <v/>
      </c>
      <c r="CJ46" s="5" t="str">
        <f t="shared" si="359"/>
        <v/>
      </c>
      <c r="CK46" s="8" t="str">
        <f t="shared" si="360"/>
        <v/>
      </c>
      <c r="CL46" s="173" t="str">
        <f t="shared" si="361"/>
        <v/>
      </c>
      <c r="CM46" s="5" t="str">
        <f t="shared" si="362"/>
        <v/>
      </c>
      <c r="CN46" s="6" t="str">
        <f t="shared" si="363"/>
        <v/>
      </c>
      <c r="CO46" s="167" t="str">
        <f t="shared" si="364"/>
        <v/>
      </c>
      <c r="CP46" s="4" t="str">
        <f t="shared" si="365"/>
        <v/>
      </c>
      <c r="CQ46" s="5" t="str">
        <f t="shared" si="366"/>
        <v/>
      </c>
      <c r="CR46" s="5" t="str">
        <f t="shared" si="367"/>
        <v/>
      </c>
      <c r="CS46" s="8" t="str">
        <f t="shared" si="368"/>
        <v/>
      </c>
      <c r="CT46" s="9" t="str">
        <f t="shared" si="165"/>
        <v/>
      </c>
      <c r="CU46" s="6" t="str">
        <f t="shared" si="369"/>
        <v/>
      </c>
      <c r="CV46" s="4" t="str">
        <f t="shared" si="370"/>
        <v/>
      </c>
      <c r="CW46" s="5" t="str">
        <f t="shared" si="371"/>
        <v/>
      </c>
      <c r="CX46" s="8" t="str">
        <f t="shared" si="372"/>
        <v/>
      </c>
      <c r="CY46" s="9" t="str">
        <f t="shared" si="373"/>
        <v/>
      </c>
      <c r="CZ46" s="5" t="str">
        <f t="shared" si="374"/>
        <v/>
      </c>
      <c r="DA46" s="6" t="str">
        <f t="shared" si="375"/>
        <v/>
      </c>
      <c r="DB46" s="4" t="str">
        <f t="shared" si="525"/>
        <v/>
      </c>
      <c r="DC46" s="5" t="str">
        <f t="shared" si="525"/>
        <v/>
      </c>
      <c r="DD46" s="10" t="str">
        <f t="shared" si="173"/>
        <v/>
      </c>
      <c r="DE46" s="9" t="str">
        <f t="shared" si="526"/>
        <v/>
      </c>
      <c r="DF46" s="5" t="str">
        <f t="shared" si="526"/>
        <v/>
      </c>
      <c r="DG46" s="10" t="str">
        <f t="shared" si="175"/>
        <v/>
      </c>
      <c r="DH46" s="70" t="str">
        <f t="shared" si="376"/>
        <v/>
      </c>
      <c r="DI46" s="4" t="str">
        <f t="shared" si="377"/>
        <v/>
      </c>
      <c r="DJ46" s="5" t="str">
        <f t="shared" si="378"/>
        <v/>
      </c>
      <c r="DK46" s="10" t="str">
        <f t="shared" si="379"/>
        <v/>
      </c>
      <c r="DL46" s="9" t="str">
        <f t="shared" si="380"/>
        <v/>
      </c>
      <c r="DM46" s="173" t="str">
        <f t="shared" si="381"/>
        <v/>
      </c>
      <c r="DN46" s="178" t="str">
        <f t="shared" si="382"/>
        <v/>
      </c>
      <c r="DO46" s="9" t="str">
        <f t="shared" si="383"/>
        <v/>
      </c>
      <c r="DP46" s="173" t="str">
        <f t="shared" si="384"/>
        <v/>
      </c>
      <c r="DQ46" s="11" t="str">
        <f t="shared" si="385"/>
        <v/>
      </c>
      <c r="DR46" s="173" t="str">
        <f t="shared" si="386"/>
        <v/>
      </c>
      <c r="DS46" s="5" t="str">
        <f t="shared" si="387"/>
        <v/>
      </c>
      <c r="DT46" s="5" t="str">
        <f t="shared" si="388"/>
        <v/>
      </c>
      <c r="DU46" s="5" t="str">
        <f t="shared" si="389"/>
        <v/>
      </c>
      <c r="DV46" s="5" t="str">
        <f t="shared" si="390"/>
        <v/>
      </c>
      <c r="DW46" s="5" t="str">
        <f t="shared" si="391"/>
        <v/>
      </c>
      <c r="DX46" s="167" t="str">
        <f t="shared" si="392"/>
        <v/>
      </c>
      <c r="DY46" s="9" t="str">
        <f t="shared" si="393"/>
        <v/>
      </c>
      <c r="DZ46" s="5" t="str">
        <f t="shared" si="394"/>
        <v/>
      </c>
      <c r="EA46" s="10" t="str">
        <f t="shared" si="395"/>
        <v/>
      </c>
      <c r="EB46" s="6" t="str">
        <f t="shared" si="396"/>
        <v/>
      </c>
      <c r="EC46" s="173" t="str">
        <f t="shared" si="397"/>
        <v/>
      </c>
      <c r="ED46" s="5" t="str">
        <f t="shared" si="398"/>
        <v/>
      </c>
      <c r="EE46" s="4" t="str">
        <f t="shared" si="399"/>
        <v/>
      </c>
      <c r="EF46" s="5" t="str">
        <f t="shared" si="400"/>
        <v/>
      </c>
      <c r="EG46" s="10" t="str">
        <f t="shared" si="401"/>
        <v/>
      </c>
      <c r="EH46" s="9" t="str">
        <f t="shared" si="402"/>
        <v/>
      </c>
      <c r="EI46" s="5" t="str">
        <f t="shared" si="403"/>
        <v/>
      </c>
      <c r="EJ46" s="6" t="str">
        <f t="shared" si="404"/>
        <v/>
      </c>
      <c r="EK46" s="236" t="str">
        <f t="shared" si="205"/>
        <v/>
      </c>
      <c r="EL46" s="238" t="str">
        <f t="shared" si="206"/>
        <v/>
      </c>
      <c r="EM46" s="4" t="str">
        <f t="shared" si="405"/>
        <v/>
      </c>
      <c r="EN46" s="5" t="str">
        <f t="shared" si="406"/>
        <v/>
      </c>
      <c r="EO46" s="10" t="str">
        <f t="shared" si="407"/>
        <v/>
      </c>
      <c r="EP46" s="9" t="str">
        <f t="shared" si="408"/>
        <v/>
      </c>
      <c r="EQ46" s="5" t="str">
        <f t="shared" si="409"/>
        <v/>
      </c>
      <c r="ER46" s="7" t="str">
        <f t="shared" si="410"/>
        <v/>
      </c>
      <c r="ES46" s="21" t="str">
        <f t="shared" si="411"/>
        <v/>
      </c>
      <c r="ET46" s="5" t="str">
        <f t="shared" si="412"/>
        <v/>
      </c>
      <c r="EU46" s="10" t="str">
        <f t="shared" si="413"/>
        <v/>
      </c>
      <c r="EV46" s="174" t="str">
        <f t="shared" si="414"/>
        <v/>
      </c>
      <c r="EW46" s="9" t="str">
        <f t="shared" si="415"/>
        <v/>
      </c>
      <c r="EX46" s="5" t="str">
        <f t="shared" si="416"/>
        <v/>
      </c>
      <c r="EY46" s="6" t="str">
        <f t="shared" si="417"/>
        <v/>
      </c>
      <c r="EZ46" s="51" t="str">
        <f t="shared" si="214"/>
        <v/>
      </c>
      <c r="FA46" s="266" t="str">
        <f t="shared" si="128"/>
        <v/>
      </c>
      <c r="FB46" s="267" t="str">
        <f t="shared" si="129"/>
        <v/>
      </c>
      <c r="FC46" s="269" t="str">
        <f t="shared" si="38"/>
        <v/>
      </c>
      <c r="FD46" s="4" t="str">
        <f t="shared" si="418"/>
        <v/>
      </c>
      <c r="FE46" s="5" t="str">
        <f t="shared" si="419"/>
        <v/>
      </c>
      <c r="FF46" s="7" t="str">
        <f t="shared" si="420"/>
        <v/>
      </c>
      <c r="FG46" s="173" t="str">
        <f t="shared" si="421"/>
        <v/>
      </c>
      <c r="FH46" s="5" t="str">
        <f t="shared" si="422"/>
        <v/>
      </c>
      <c r="FI46" s="10" t="str">
        <f t="shared" si="423"/>
        <v/>
      </c>
      <c r="FJ46" s="279" t="str">
        <f t="shared" si="424"/>
        <v/>
      </c>
      <c r="FK46" s="4" t="str">
        <f t="shared" si="425"/>
        <v/>
      </c>
      <c r="FL46" s="5" t="str">
        <f t="shared" si="426"/>
        <v/>
      </c>
      <c r="FM46" s="8" t="str">
        <f t="shared" si="427"/>
        <v/>
      </c>
      <c r="FN46" s="9" t="str">
        <f t="shared" si="428"/>
        <v/>
      </c>
      <c r="FO46" s="10" t="str">
        <f t="shared" si="429"/>
        <v/>
      </c>
      <c r="FP46" s="277" t="str">
        <f t="shared" si="430"/>
        <v/>
      </c>
      <c r="FQ46" s="173" t="str">
        <f t="shared" si="431"/>
        <v/>
      </c>
      <c r="FR46" s="10" t="str">
        <f t="shared" si="432"/>
        <v/>
      </c>
      <c r="FS46" s="9" t="str">
        <f t="shared" si="433"/>
        <v/>
      </c>
      <c r="FT46" s="6" t="str">
        <f t="shared" si="434"/>
        <v/>
      </c>
      <c r="FU46" s="4" t="str">
        <f t="shared" si="435"/>
        <v/>
      </c>
      <c r="FV46" s="5" t="str">
        <f t="shared" si="436"/>
        <v/>
      </c>
      <c r="FW46" s="8" t="str">
        <f t="shared" si="437"/>
        <v/>
      </c>
      <c r="FX46" s="9" t="str">
        <f t="shared" si="438"/>
        <v/>
      </c>
      <c r="FY46" s="10" t="str">
        <f t="shared" si="439"/>
        <v/>
      </c>
      <c r="FZ46" s="277" t="str">
        <f t="shared" si="440"/>
        <v/>
      </c>
      <c r="GA46" s="177" t="str">
        <f t="shared" si="441"/>
        <v/>
      </c>
      <c r="GB46" s="4" t="str">
        <f t="shared" si="442"/>
        <v/>
      </c>
      <c r="GC46" s="5" t="str">
        <f t="shared" si="443"/>
        <v/>
      </c>
      <c r="GD46" s="10" t="str">
        <f t="shared" si="444"/>
        <v/>
      </c>
      <c r="GE46" s="311" t="str">
        <f t="shared" si="445"/>
        <v/>
      </c>
      <c r="GF46" s="341" t="str">
        <f t="shared" si="446"/>
        <v/>
      </c>
      <c r="GG46" s="285" t="str">
        <f t="shared" si="447"/>
        <v/>
      </c>
      <c r="GH46" s="286" t="str">
        <f t="shared" si="448"/>
        <v/>
      </c>
      <c r="GI46" s="281" t="str">
        <f t="shared" si="449"/>
        <v/>
      </c>
      <c r="GJ46" s="167" t="str">
        <f t="shared" si="450"/>
        <v/>
      </c>
      <c r="GK46" s="174" t="str">
        <f t="shared" si="49"/>
        <v/>
      </c>
      <c r="GL46" s="174" t="str">
        <f t="shared" si="451"/>
        <v/>
      </c>
      <c r="GM46" s="177" t="str">
        <f t="shared" si="452"/>
        <v/>
      </c>
      <c r="GN46" s="280" t="str">
        <f t="shared" si="453"/>
        <v/>
      </c>
      <c r="GO46" s="4" t="str">
        <f t="shared" si="454"/>
        <v/>
      </c>
      <c r="GP46" s="8" t="str">
        <f t="shared" si="455"/>
        <v/>
      </c>
      <c r="GQ46" s="177" t="str">
        <f t="shared" si="456"/>
        <v/>
      </c>
      <c r="GR46" s="371" t="str">
        <f t="shared" si="457"/>
        <v/>
      </c>
      <c r="GS46" s="342" t="str">
        <f t="shared" si="458"/>
        <v/>
      </c>
      <c r="GT46" s="343" t="str">
        <f t="shared" si="459"/>
        <v/>
      </c>
      <c r="GU46" s="344" t="str">
        <f t="shared" si="53"/>
        <v/>
      </c>
      <c r="GV46" s="343" t="str">
        <f t="shared" si="460"/>
        <v/>
      </c>
      <c r="GW46" s="345" t="str">
        <f t="shared" si="54"/>
        <v/>
      </c>
      <c r="GX46" s="346" t="str">
        <f t="shared" si="55"/>
        <v/>
      </c>
      <c r="GY46" s="344" t="str">
        <f t="shared" si="461"/>
        <v/>
      </c>
      <c r="GZ46" s="345" t="str">
        <f t="shared" si="462"/>
        <v/>
      </c>
      <c r="HA46" s="342" t="str">
        <f t="shared" si="58"/>
        <v/>
      </c>
      <c r="HB46" s="5" t="str">
        <f t="shared" si="236"/>
        <v/>
      </c>
      <c r="HC46" s="343" t="str">
        <f t="shared" si="463"/>
        <v/>
      </c>
      <c r="HD46" s="345" t="str">
        <f t="shared" si="464"/>
        <v/>
      </c>
      <c r="HE46" s="344" t="str">
        <f t="shared" si="59"/>
        <v/>
      </c>
      <c r="HF46" s="5" t="str">
        <f t="shared" si="60"/>
        <v/>
      </c>
      <c r="HG46" s="343" t="str">
        <f t="shared" si="465"/>
        <v/>
      </c>
      <c r="HH46" s="349" t="str">
        <f t="shared" si="466"/>
        <v/>
      </c>
      <c r="HI46" s="317" t="str">
        <f t="shared" si="467"/>
        <v/>
      </c>
      <c r="HJ46" s="336"/>
      <c r="HK46" s="310" t="str">
        <f t="shared" si="520"/>
        <v/>
      </c>
      <c r="HL46" s="348" t="str">
        <f t="shared" si="468"/>
        <v/>
      </c>
      <c r="HM46" s="923" t="str">
        <f t="shared" si="469"/>
        <v/>
      </c>
      <c r="HN46" s="924" t="str">
        <f t="shared" si="470"/>
        <v/>
      </c>
      <c r="HO46" s="925"/>
      <c r="HP46" s="926"/>
      <c r="HQ46" s="924" t="str">
        <f t="shared" si="471"/>
        <v/>
      </c>
      <c r="HR46" s="927" t="str">
        <f t="shared" si="472"/>
        <v/>
      </c>
      <c r="HS46" s="879" t="str">
        <f t="shared" si="521"/>
        <v/>
      </c>
      <c r="HT46" s="889" t="str">
        <f t="shared" si="473"/>
        <v/>
      </c>
      <c r="HU46" s="890" t="str">
        <f t="shared" si="474"/>
        <v/>
      </c>
      <c r="HV46" s="886" t="str">
        <f t="shared" si="475"/>
        <v/>
      </c>
      <c r="HW46" s="880" t="str">
        <f t="shared" si="476"/>
        <v/>
      </c>
      <c r="HX46" s="881" t="str">
        <f t="shared" si="477"/>
        <v/>
      </c>
      <c r="HY46" s="880" t="str">
        <f t="shared" si="478"/>
        <v/>
      </c>
      <c r="HZ46" s="882" t="str">
        <f t="shared" si="479"/>
        <v/>
      </c>
      <c r="IA46" s="883" t="str">
        <f t="shared" si="480"/>
        <v/>
      </c>
      <c r="IB46" s="884" t="str">
        <f t="shared" si="481"/>
        <v/>
      </c>
      <c r="IC46" s="855" t="str">
        <f t="shared" si="482"/>
        <v/>
      </c>
      <c r="ID46" s="351" t="str">
        <f t="shared" si="483"/>
        <v/>
      </c>
      <c r="IE46" s="857" t="str">
        <f t="shared" si="484"/>
        <v/>
      </c>
      <c r="IF46" s="858"/>
      <c r="IG46" s="790" t="str">
        <f>IFERROR(IF($IW46="","",IF($IW46&lt;(((Settings!$C$19/2)*-1)*$IG$8),"Taper","Nose")),"")</f>
        <v/>
      </c>
      <c r="IH46" s="482" t="str">
        <f>IFERROR(IF((((($IY46*COS(RADIANS(180-$JA46)))*COS(RADIANS($JA46)))-(($IZ46*SIN(RADIANS(180-$JA46)))*SIN(RADIANS($JA46))))+$IW46)&lt;(((Settings!$C$19+$IH$8)/2)*-1),"Gage",""),"")</f>
        <v/>
      </c>
      <c r="II46" s="788">
        <f t="shared" si="241"/>
        <v>7.109</v>
      </c>
      <c r="IJ46" s="674" t="str" cm="1">
        <f t="array" ref="IJ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K46" s="677" t="str" cm="1">
        <f t="array" ref="IK46">IFERROR(ROUND(VALUE(IF($IJ46&lt;1,$IJ46+LARGE((IF($M$9:$M$150="",0,$M$9:$M$150)-MOD(IF($M$9:$M$150="",0,$M$9:$M$150),1)),1),$IJ46)),4),"")</f>
        <v/>
      </c>
      <c r="IL46" s="482">
        <f t="shared" si="485"/>
        <v>1313</v>
      </c>
      <c r="IM46" s="482" t="str">
        <f t="shared" si="242"/>
        <v/>
      </c>
      <c r="IN46" s="670" t="str">
        <f t="shared" si="486"/>
        <v/>
      </c>
      <c r="IO46" s="702">
        <v>2.0596001756787202E-2</v>
      </c>
      <c r="IP46" s="5" t="str">
        <f t="shared" si="487"/>
        <v/>
      </c>
      <c r="IQ46" s="714">
        <v>310</v>
      </c>
      <c r="IR46" s="9" t="str">
        <f t="shared" si="488"/>
        <v/>
      </c>
      <c r="IS46" s="5" t="str">
        <f t="shared" si="489"/>
        <v/>
      </c>
      <c r="IT46" s="5" t="str">
        <f t="shared" si="490"/>
        <v/>
      </c>
      <c r="IU46" s="5" t="str">
        <f t="shared" si="491"/>
        <v/>
      </c>
      <c r="IV46" s="670" t="str">
        <f t="shared" si="492"/>
        <v/>
      </c>
      <c r="IW46" s="9" t="str">
        <f t="shared" si="493"/>
        <v/>
      </c>
      <c r="IX46" s="5" t="str">
        <f t="shared" si="494"/>
        <v/>
      </c>
      <c r="IY46" s="5" t="str">
        <f t="shared" si="495"/>
        <v/>
      </c>
      <c r="IZ46" s="5" t="str">
        <f t="shared" si="496"/>
        <v/>
      </c>
      <c r="JA46" s="705" t="str">
        <f t="shared" si="497"/>
        <v/>
      </c>
      <c r="JM46" s="489">
        <f t="shared" si="133"/>
        <v>9</v>
      </c>
      <c r="JN46" s="960">
        <f>($JO46-SMALL($JO$9:$JO$88,1))/((Settings!$C$19/2)-((Settings!$C$19/2)-LARGE($JO$9:$JO$88,1))-SMALL($JO$9:$JO$88,1))</f>
        <v>0.41438108490756809</v>
      </c>
      <c r="JO46" s="162">
        <f t="shared" si="134"/>
        <v>1.7172541237354297</v>
      </c>
      <c r="JP46" s="961">
        <f t="shared" si="135"/>
        <v>9.4781814792388452</v>
      </c>
      <c r="JQ46" s="961">
        <f t="shared" si="136"/>
        <v>15.092974446194832</v>
      </c>
      <c r="JS46" s="82">
        <v>38</v>
      </c>
      <c r="JT46" s="322">
        <f t="shared" si="137"/>
        <v>3.6982876695462257</v>
      </c>
      <c r="JU46" s="963">
        <f t="shared" si="138"/>
        <v>0.99260842479773137</v>
      </c>
      <c r="JV46" s="961">
        <f t="shared" si="287"/>
        <v>-69.035377727587189</v>
      </c>
      <c r="JW46" s="961">
        <f t="shared" si="92"/>
        <v>28.746785280256283</v>
      </c>
      <c r="JX46" s="1">
        <v>7.1349</v>
      </c>
      <c r="JY46" s="965">
        <f t="shared" si="139"/>
        <v>1</v>
      </c>
      <c r="JZ46" s="973">
        <v>90</v>
      </c>
      <c r="KA46" s="410">
        <f t="shared" si="280"/>
        <v>2</v>
      </c>
      <c r="KB46" s="974">
        <f t="shared" si="243"/>
        <v>38</v>
      </c>
      <c r="KC46" s="970">
        <v>-88</v>
      </c>
      <c r="KD46" s="970">
        <v>-88</v>
      </c>
      <c r="KE46" s="968">
        <f t="shared" si="140"/>
        <v>0</v>
      </c>
      <c r="KF46" s="969">
        <v>32.4</v>
      </c>
      <c r="KG46" s="966">
        <f t="shared" si="244"/>
        <v>-1.9838371428571548</v>
      </c>
      <c r="KH46" s="966">
        <f t="shared" si="141"/>
        <v>1.1999999999999993</v>
      </c>
      <c r="KJ46" s="31"/>
    </row>
    <row r="47" spans="1:296" ht="15" customHeight="1" x14ac:dyDescent="0.25">
      <c r="A47" s="75">
        <f t="shared" si="322"/>
        <v>0.02</v>
      </c>
      <c r="B47" s="578">
        <f t="shared" ref="B47:D47" si="533">IFERROR(O202+($A47*-E47),"")</f>
        <v>-2.4208102529674154</v>
      </c>
      <c r="C47" s="572">
        <f t="shared" si="533"/>
        <v>4.7114336083462188E-2</v>
      </c>
      <c r="D47" s="576">
        <f t="shared" si="533"/>
        <v>-7.8375975667595493E-2</v>
      </c>
      <c r="E47" s="580">
        <f t="shared" ref="E47:K47" si="534">R202</f>
        <v>-6.1870724688650298E-2</v>
      </c>
      <c r="F47" s="572">
        <f t="shared" si="534"/>
        <v>-0.96527913148319666</v>
      </c>
      <c r="G47" s="579">
        <f t="shared" si="534"/>
        <v>0.25378772970643582</v>
      </c>
      <c r="H47" s="580">
        <f t="shared" si="534"/>
        <v>0.26450000000000001</v>
      </c>
      <c r="I47" s="572">
        <f t="shared" si="534"/>
        <v>0.52</v>
      </c>
      <c r="J47" s="483">
        <f t="shared" si="94"/>
        <v>7.1159999999999997</v>
      </c>
      <c r="K47" s="806">
        <f t="shared" si="534"/>
        <v>1313</v>
      </c>
      <c r="L47" s="309"/>
      <c r="M47" s="164">
        <f t="shared" si="325"/>
        <v>7.1159999999999997</v>
      </c>
      <c r="N47" s="575">
        <f t="shared" si="326"/>
        <v>-2.4208102529674154</v>
      </c>
      <c r="O47" s="572">
        <f t="shared" si="327"/>
        <v>4.7114336083462188E-2</v>
      </c>
      <c r="P47" s="576">
        <f t="shared" si="328"/>
        <v>-7.8375975667595493E-2</v>
      </c>
      <c r="Q47" s="528">
        <f t="shared" si="144"/>
        <v>178.88503782761941</v>
      </c>
      <c r="R47" s="572">
        <f t="shared" si="500"/>
        <v>2.4212686842927504</v>
      </c>
      <c r="S47" s="577">
        <f t="shared" si="501"/>
        <v>-7.8375975667595493E-2</v>
      </c>
      <c r="T47" s="578">
        <f t="shared" si="502"/>
        <v>-2.4860538665956038E-2</v>
      </c>
      <c r="U47" s="572">
        <f t="shared" si="503"/>
        <v>2.4211410523044679</v>
      </c>
      <c r="V47" s="579">
        <f t="shared" si="504"/>
        <v>-7.8375975667595493E-2</v>
      </c>
      <c r="W47" s="528">
        <f t="shared" si="268"/>
        <v>90.588298597294397</v>
      </c>
      <c r="X47" s="572">
        <f t="shared" si="505"/>
        <v>2.4212686842927504</v>
      </c>
      <c r="Y47" s="573">
        <f t="shared" si="271"/>
        <v>-7.8375975667595493E-2</v>
      </c>
      <c r="Z47" s="575">
        <f t="shared" si="329"/>
        <v>6.1870724688650298E-2</v>
      </c>
      <c r="AA47" s="572">
        <f t="shared" si="330"/>
        <v>0.96527913148319666</v>
      </c>
      <c r="AB47" s="572">
        <f t="shared" si="331"/>
        <v>-0.25378772970643582</v>
      </c>
      <c r="AC47" s="579">
        <f t="shared" si="506"/>
        <v>1</v>
      </c>
      <c r="AD47" s="580">
        <f t="shared" si="507"/>
        <v>6.1870724688650298E-2</v>
      </c>
      <c r="AE47" s="572">
        <f t="shared" si="508"/>
        <v>0.96527913148319666</v>
      </c>
      <c r="AF47" s="576">
        <f t="shared" si="509"/>
        <v>-0.25378772970643582</v>
      </c>
      <c r="AG47" s="545">
        <f t="shared" si="510"/>
        <v>75.26937754851015</v>
      </c>
      <c r="AH47" s="546">
        <f t="shared" si="511"/>
        <v>86.452803036804681</v>
      </c>
      <c r="AI47" s="528">
        <f t="shared" si="512"/>
        <v>-75.298235681226558</v>
      </c>
      <c r="AJ47" s="529">
        <f t="shared" si="513"/>
        <v>176.33257506372101</v>
      </c>
      <c r="AK47" s="578">
        <f t="shared" si="514"/>
        <v>0.96630028371681032</v>
      </c>
      <c r="AL47" s="572">
        <f t="shared" si="515"/>
        <v>-4.3076094754111033E-2</v>
      </c>
      <c r="AM47" s="577">
        <f t="shared" si="516"/>
        <v>-0.25378772970643582</v>
      </c>
      <c r="AN47" s="524">
        <f t="shared" si="517"/>
        <v>-9.6331636591965726</v>
      </c>
      <c r="AO47" s="525">
        <f t="shared" si="110"/>
        <v>14.916879859542677</v>
      </c>
      <c r="AP47" s="528">
        <f t="shared" si="518"/>
        <v>-2.5524627638983968</v>
      </c>
      <c r="AQ47" s="529">
        <f t="shared" si="332"/>
        <v>1.1297042158589468</v>
      </c>
      <c r="AR47" s="979"/>
      <c r="AS47" s="954">
        <f t="shared" si="524"/>
        <v>90.588298597294397</v>
      </c>
      <c r="AT47" s="950">
        <f t="shared" si="333"/>
        <v>0.14453554382990319</v>
      </c>
      <c r="AU47" s="418"/>
      <c r="AV47" s="164" t="str">
        <f>IF(AND(ISNUMBER(VALUE(K47)),ISNUMBER(AW47),ISNUMBER(AX47),ISNUMBER(AY47),AY47&gt;=0.0001),$M47,"")</f>
        <v/>
      </c>
      <c r="AW47" s="829" t="str">
        <f>IFERROR(INDEX(MassProp!C$9:C$150,MATCH($M47,MassProp!$B$9:$B$150,0)),"")</f>
        <v/>
      </c>
      <c r="AX47" s="830" t="str">
        <f>IFERROR(INDEX(MassProp!D$9:D$150,MATCH($M47,MassProp!$B$9:$B$150,0)),"")</f>
        <v/>
      </c>
      <c r="AY47" s="831" t="str">
        <f>IFERROR(INDEX(MassProp!E$9:E$150,MATCH($M47,MassProp!$B$9:$B$150,0)),"")</f>
        <v/>
      </c>
      <c r="AZ47" s="297" t="str">
        <f t="shared" si="335"/>
        <v/>
      </c>
      <c r="BA47" s="296" t="str">
        <f t="shared" si="336"/>
        <v/>
      </c>
      <c r="BB47" s="190" t="str">
        <f t="shared" si="149"/>
        <v/>
      </c>
      <c r="BC47" s="9"/>
      <c r="BD47" s="5" t="str">
        <f t="shared" si="337"/>
        <v/>
      </c>
      <c r="BE47" s="6" t="str">
        <f t="shared" si="338"/>
        <v/>
      </c>
      <c r="BF47" s="4" t="str">
        <f t="shared" si="339"/>
        <v/>
      </c>
      <c r="BG47" s="5" t="str">
        <f t="shared" si="340"/>
        <v/>
      </c>
      <c r="BH47" s="10" t="str">
        <f t="shared" si="341"/>
        <v/>
      </c>
      <c r="BI47" s="9" t="str">
        <f t="shared" si="342"/>
        <v/>
      </c>
      <c r="BJ47" s="5" t="str">
        <f t="shared" si="343"/>
        <v/>
      </c>
      <c r="BK47" s="8" t="str">
        <f t="shared" si="344"/>
        <v/>
      </c>
      <c r="BL47" s="173" t="str">
        <f t="shared" si="345"/>
        <v/>
      </c>
      <c r="BM47" s="5" t="str">
        <f t="shared" si="346"/>
        <v/>
      </c>
      <c r="BN47" s="6" t="str">
        <f t="shared" si="347"/>
        <v/>
      </c>
      <c r="BO47" s="4" t="str">
        <f t="shared" si="348"/>
        <v/>
      </c>
      <c r="BP47" s="5" t="str">
        <f t="shared" si="349"/>
        <v/>
      </c>
      <c r="BQ47" s="5" t="str">
        <f t="shared" si="350"/>
        <v/>
      </c>
      <c r="BR47" s="6" t="str">
        <f t="shared" si="351"/>
        <v/>
      </c>
      <c r="BS47" s="4" t="str">
        <f t="shared" si="519"/>
        <v/>
      </c>
      <c r="BT47" s="5" t="str">
        <f t="shared" si="519"/>
        <v/>
      </c>
      <c r="BU47" s="10" t="str">
        <f t="shared" si="113"/>
        <v/>
      </c>
      <c r="BV47" s="9" t="str">
        <f t="shared" si="114"/>
        <v/>
      </c>
      <c r="BW47" s="5" t="str">
        <f t="shared" si="115"/>
        <v/>
      </c>
      <c r="BX47" s="8" t="str">
        <f t="shared" si="116"/>
        <v/>
      </c>
      <c r="BY47" s="173" t="str">
        <f t="shared" si="117"/>
        <v/>
      </c>
      <c r="BZ47" s="5" t="str">
        <f t="shared" si="118"/>
        <v/>
      </c>
      <c r="CA47" s="6" t="str">
        <f t="shared" si="119"/>
        <v/>
      </c>
      <c r="CB47" s="4" t="str">
        <f t="shared" si="352"/>
        <v/>
      </c>
      <c r="CC47" s="5" t="str">
        <f t="shared" si="353"/>
        <v/>
      </c>
      <c r="CD47" s="5" t="str">
        <f t="shared" si="354"/>
        <v/>
      </c>
      <c r="CE47" s="6" t="str">
        <f t="shared" si="355"/>
        <v/>
      </c>
      <c r="CF47" s="4" t="str">
        <f t="shared" si="356"/>
        <v/>
      </c>
      <c r="CG47" s="5" t="str">
        <f t="shared" si="357"/>
        <v/>
      </c>
      <c r="CH47" s="5" t="str">
        <f t="shared" si="358"/>
        <v/>
      </c>
      <c r="CI47" s="4" t="str">
        <f t="shared" si="120"/>
        <v/>
      </c>
      <c r="CJ47" s="5" t="str">
        <f t="shared" si="359"/>
        <v/>
      </c>
      <c r="CK47" s="8" t="str">
        <f t="shared" si="360"/>
        <v/>
      </c>
      <c r="CL47" s="173" t="str">
        <f t="shared" si="361"/>
        <v/>
      </c>
      <c r="CM47" s="5" t="str">
        <f t="shared" si="362"/>
        <v/>
      </c>
      <c r="CN47" s="6" t="str">
        <f t="shared" si="363"/>
        <v/>
      </c>
      <c r="CO47" s="167" t="str">
        <f t="shared" si="364"/>
        <v/>
      </c>
      <c r="CP47" s="4" t="str">
        <f t="shared" si="365"/>
        <v/>
      </c>
      <c r="CQ47" s="5" t="str">
        <f t="shared" si="366"/>
        <v/>
      </c>
      <c r="CR47" s="5" t="str">
        <f t="shared" si="367"/>
        <v/>
      </c>
      <c r="CS47" s="8" t="str">
        <f t="shared" si="368"/>
        <v/>
      </c>
      <c r="CT47" s="9" t="str">
        <f t="shared" si="165"/>
        <v/>
      </c>
      <c r="CU47" s="6" t="str">
        <f t="shared" si="369"/>
        <v/>
      </c>
      <c r="CV47" s="4" t="str">
        <f t="shared" si="370"/>
        <v/>
      </c>
      <c r="CW47" s="5" t="str">
        <f t="shared" si="371"/>
        <v/>
      </c>
      <c r="CX47" s="8" t="str">
        <f t="shared" si="372"/>
        <v/>
      </c>
      <c r="CY47" s="9" t="str">
        <f t="shared" si="373"/>
        <v/>
      </c>
      <c r="CZ47" s="5" t="str">
        <f t="shared" si="374"/>
        <v/>
      </c>
      <c r="DA47" s="6" t="str">
        <f t="shared" si="375"/>
        <v/>
      </c>
      <c r="DB47" s="4" t="str">
        <f t="shared" si="525"/>
        <v/>
      </c>
      <c r="DC47" s="5" t="str">
        <f t="shared" si="525"/>
        <v/>
      </c>
      <c r="DD47" s="10" t="str">
        <f t="shared" si="173"/>
        <v/>
      </c>
      <c r="DE47" s="9" t="str">
        <f t="shared" si="526"/>
        <v/>
      </c>
      <c r="DF47" s="5" t="str">
        <f t="shared" si="526"/>
        <v/>
      </c>
      <c r="DG47" s="10" t="str">
        <f t="shared" si="175"/>
        <v/>
      </c>
      <c r="DH47" s="70" t="str">
        <f t="shared" si="376"/>
        <v/>
      </c>
      <c r="DI47" s="4" t="str">
        <f t="shared" si="377"/>
        <v/>
      </c>
      <c r="DJ47" s="5" t="str">
        <f t="shared" si="378"/>
        <v/>
      </c>
      <c r="DK47" s="10" t="str">
        <f t="shared" si="379"/>
        <v/>
      </c>
      <c r="DL47" s="9" t="str">
        <f t="shared" si="380"/>
        <v/>
      </c>
      <c r="DM47" s="173" t="str">
        <f t="shared" si="381"/>
        <v/>
      </c>
      <c r="DN47" s="178" t="str">
        <f t="shared" si="382"/>
        <v/>
      </c>
      <c r="DO47" s="9" t="str">
        <f t="shared" si="383"/>
        <v/>
      </c>
      <c r="DP47" s="173" t="str">
        <f t="shared" si="384"/>
        <v/>
      </c>
      <c r="DQ47" s="11" t="str">
        <f t="shared" si="385"/>
        <v/>
      </c>
      <c r="DR47" s="173" t="str">
        <f t="shared" si="386"/>
        <v/>
      </c>
      <c r="DS47" s="5" t="str">
        <f t="shared" si="387"/>
        <v/>
      </c>
      <c r="DT47" s="5" t="str">
        <f t="shared" si="388"/>
        <v/>
      </c>
      <c r="DU47" s="5" t="str">
        <f t="shared" si="389"/>
        <v/>
      </c>
      <c r="DV47" s="5" t="str">
        <f t="shared" si="390"/>
        <v/>
      </c>
      <c r="DW47" s="5" t="str">
        <f t="shared" si="391"/>
        <v/>
      </c>
      <c r="DX47" s="167" t="str">
        <f t="shared" si="392"/>
        <v/>
      </c>
      <c r="DY47" s="9" t="str">
        <f t="shared" si="393"/>
        <v/>
      </c>
      <c r="DZ47" s="5" t="str">
        <f t="shared" si="394"/>
        <v/>
      </c>
      <c r="EA47" s="10" t="str">
        <f t="shared" si="395"/>
        <v/>
      </c>
      <c r="EB47" s="6" t="str">
        <f t="shared" si="396"/>
        <v/>
      </c>
      <c r="EC47" s="173" t="str">
        <f t="shared" si="397"/>
        <v/>
      </c>
      <c r="ED47" s="5" t="str">
        <f t="shared" si="398"/>
        <v/>
      </c>
      <c r="EE47" s="4" t="str">
        <f t="shared" si="399"/>
        <v/>
      </c>
      <c r="EF47" s="5" t="str">
        <f t="shared" si="400"/>
        <v/>
      </c>
      <c r="EG47" s="10" t="str">
        <f t="shared" si="401"/>
        <v/>
      </c>
      <c r="EH47" s="9" t="str">
        <f t="shared" si="402"/>
        <v/>
      </c>
      <c r="EI47" s="5" t="str">
        <f t="shared" si="403"/>
        <v/>
      </c>
      <c r="EJ47" s="6" t="str">
        <f t="shared" si="404"/>
        <v/>
      </c>
      <c r="EK47" s="236" t="str">
        <f t="shared" si="205"/>
        <v/>
      </c>
      <c r="EL47" s="238" t="str">
        <f t="shared" si="206"/>
        <v/>
      </c>
      <c r="EM47" s="4" t="str">
        <f t="shared" si="405"/>
        <v/>
      </c>
      <c r="EN47" s="5" t="str">
        <f t="shared" si="406"/>
        <v/>
      </c>
      <c r="EO47" s="10" t="str">
        <f t="shared" si="407"/>
        <v/>
      </c>
      <c r="EP47" s="9" t="str">
        <f t="shared" si="408"/>
        <v/>
      </c>
      <c r="EQ47" s="5" t="str">
        <f t="shared" si="409"/>
        <v/>
      </c>
      <c r="ER47" s="7" t="str">
        <f t="shared" si="410"/>
        <v/>
      </c>
      <c r="ES47" s="21" t="str">
        <f t="shared" si="411"/>
        <v/>
      </c>
      <c r="ET47" s="5" t="str">
        <f t="shared" si="412"/>
        <v/>
      </c>
      <c r="EU47" s="10" t="str">
        <f t="shared" si="413"/>
        <v/>
      </c>
      <c r="EV47" s="174" t="str">
        <f t="shared" si="414"/>
        <v/>
      </c>
      <c r="EW47" s="9" t="str">
        <f t="shared" si="415"/>
        <v/>
      </c>
      <c r="EX47" s="5" t="str">
        <f t="shared" si="416"/>
        <v/>
      </c>
      <c r="EY47" s="6" t="str">
        <f t="shared" si="417"/>
        <v/>
      </c>
      <c r="EZ47" s="51" t="str">
        <f t="shared" si="214"/>
        <v/>
      </c>
      <c r="FA47" s="266" t="str">
        <f t="shared" si="128"/>
        <v/>
      </c>
      <c r="FB47" s="267" t="str">
        <f t="shared" si="129"/>
        <v/>
      </c>
      <c r="FC47" s="269" t="str">
        <f t="shared" si="38"/>
        <v/>
      </c>
      <c r="FD47" s="4" t="str">
        <f t="shared" si="418"/>
        <v/>
      </c>
      <c r="FE47" s="5" t="str">
        <f t="shared" si="419"/>
        <v/>
      </c>
      <c r="FF47" s="7" t="str">
        <f t="shared" si="420"/>
        <v/>
      </c>
      <c r="FG47" s="173" t="str">
        <f t="shared" si="421"/>
        <v/>
      </c>
      <c r="FH47" s="5" t="str">
        <f t="shared" si="422"/>
        <v/>
      </c>
      <c r="FI47" s="10" t="str">
        <f t="shared" si="423"/>
        <v/>
      </c>
      <c r="FJ47" s="279" t="str">
        <f t="shared" si="424"/>
        <v/>
      </c>
      <c r="FK47" s="4" t="str">
        <f t="shared" si="425"/>
        <v/>
      </c>
      <c r="FL47" s="5" t="str">
        <f t="shared" si="426"/>
        <v/>
      </c>
      <c r="FM47" s="8" t="str">
        <f t="shared" si="427"/>
        <v/>
      </c>
      <c r="FN47" s="9" t="str">
        <f t="shared" si="428"/>
        <v/>
      </c>
      <c r="FO47" s="10" t="str">
        <f t="shared" si="429"/>
        <v/>
      </c>
      <c r="FP47" s="277" t="str">
        <f t="shared" si="430"/>
        <v/>
      </c>
      <c r="FQ47" s="173" t="str">
        <f t="shared" si="431"/>
        <v/>
      </c>
      <c r="FR47" s="10" t="str">
        <f t="shared" si="432"/>
        <v/>
      </c>
      <c r="FS47" s="9" t="str">
        <f t="shared" si="433"/>
        <v/>
      </c>
      <c r="FT47" s="6" t="str">
        <f t="shared" si="434"/>
        <v/>
      </c>
      <c r="FU47" s="4" t="str">
        <f t="shared" si="435"/>
        <v/>
      </c>
      <c r="FV47" s="5" t="str">
        <f t="shared" si="436"/>
        <v/>
      </c>
      <c r="FW47" s="8" t="str">
        <f t="shared" si="437"/>
        <v/>
      </c>
      <c r="FX47" s="9" t="str">
        <f t="shared" si="438"/>
        <v/>
      </c>
      <c r="FY47" s="10" t="str">
        <f t="shared" si="439"/>
        <v/>
      </c>
      <c r="FZ47" s="277" t="str">
        <f t="shared" si="440"/>
        <v/>
      </c>
      <c r="GA47" s="177" t="str">
        <f t="shared" si="441"/>
        <v/>
      </c>
      <c r="GB47" s="4" t="str">
        <f t="shared" si="442"/>
        <v/>
      </c>
      <c r="GC47" s="5" t="str">
        <f t="shared" si="443"/>
        <v/>
      </c>
      <c r="GD47" s="10" t="str">
        <f t="shared" si="444"/>
        <v/>
      </c>
      <c r="GE47" s="311" t="str">
        <f t="shared" si="445"/>
        <v/>
      </c>
      <c r="GF47" s="341" t="str">
        <f t="shared" si="446"/>
        <v/>
      </c>
      <c r="GG47" s="285" t="str">
        <f t="shared" si="447"/>
        <v/>
      </c>
      <c r="GH47" s="286" t="str">
        <f t="shared" si="448"/>
        <v/>
      </c>
      <c r="GI47" s="281" t="str">
        <f t="shared" si="449"/>
        <v/>
      </c>
      <c r="GJ47" s="167" t="str">
        <f t="shared" si="450"/>
        <v/>
      </c>
      <c r="GK47" s="174" t="str">
        <f t="shared" si="49"/>
        <v/>
      </c>
      <c r="GL47" s="174" t="str">
        <f t="shared" si="451"/>
        <v/>
      </c>
      <c r="GM47" s="177" t="str">
        <f t="shared" si="452"/>
        <v/>
      </c>
      <c r="GN47" s="280" t="str">
        <f t="shared" si="453"/>
        <v/>
      </c>
      <c r="GO47" s="4" t="str">
        <f t="shared" si="454"/>
        <v/>
      </c>
      <c r="GP47" s="8" t="str">
        <f t="shared" si="455"/>
        <v/>
      </c>
      <c r="GQ47" s="177" t="str">
        <f t="shared" si="456"/>
        <v/>
      </c>
      <c r="GR47" s="371" t="str">
        <f t="shared" si="457"/>
        <v/>
      </c>
      <c r="GS47" s="342" t="str">
        <f t="shared" si="458"/>
        <v/>
      </c>
      <c r="GT47" s="343" t="str">
        <f t="shared" si="459"/>
        <v/>
      </c>
      <c r="GU47" s="344" t="str">
        <f t="shared" si="53"/>
        <v/>
      </c>
      <c r="GV47" s="343" t="str">
        <f t="shared" si="460"/>
        <v/>
      </c>
      <c r="GW47" s="345" t="str">
        <f t="shared" si="54"/>
        <v/>
      </c>
      <c r="GX47" s="346" t="str">
        <f t="shared" si="55"/>
        <v/>
      </c>
      <c r="GY47" s="344" t="str">
        <f t="shared" si="461"/>
        <v/>
      </c>
      <c r="GZ47" s="345" t="str">
        <f t="shared" si="462"/>
        <v/>
      </c>
      <c r="HA47" s="342" t="str">
        <f t="shared" si="58"/>
        <v/>
      </c>
      <c r="HB47" s="5" t="str">
        <f t="shared" si="236"/>
        <v/>
      </c>
      <c r="HC47" s="343" t="str">
        <f t="shared" si="463"/>
        <v/>
      </c>
      <c r="HD47" s="345" t="str">
        <f t="shared" si="464"/>
        <v/>
      </c>
      <c r="HE47" s="344" t="str">
        <f t="shared" si="59"/>
        <v/>
      </c>
      <c r="HF47" s="5" t="str">
        <f t="shared" si="60"/>
        <v/>
      </c>
      <c r="HG47" s="343" t="str">
        <f t="shared" si="465"/>
        <v/>
      </c>
      <c r="HH47" s="349" t="str">
        <f t="shared" si="466"/>
        <v/>
      </c>
      <c r="HI47" s="317" t="str">
        <f t="shared" si="467"/>
        <v/>
      </c>
      <c r="HJ47" s="336"/>
      <c r="HK47" s="310" t="str">
        <f t="shared" si="520"/>
        <v/>
      </c>
      <c r="HL47" s="348" t="str">
        <f t="shared" si="468"/>
        <v/>
      </c>
      <c r="HM47" s="923" t="str">
        <f t="shared" si="469"/>
        <v/>
      </c>
      <c r="HN47" s="924" t="str">
        <f t="shared" si="470"/>
        <v/>
      </c>
      <c r="HO47" s="925"/>
      <c r="HP47" s="926"/>
      <c r="HQ47" s="924" t="str">
        <f t="shared" si="471"/>
        <v/>
      </c>
      <c r="HR47" s="927" t="str">
        <f t="shared" si="472"/>
        <v/>
      </c>
      <c r="HS47" s="879" t="str">
        <f t="shared" si="521"/>
        <v/>
      </c>
      <c r="HT47" s="889" t="str">
        <f t="shared" si="473"/>
        <v/>
      </c>
      <c r="HU47" s="890" t="str">
        <f t="shared" si="474"/>
        <v/>
      </c>
      <c r="HV47" s="886" t="str">
        <f t="shared" si="475"/>
        <v/>
      </c>
      <c r="HW47" s="880" t="str">
        <f t="shared" si="476"/>
        <v/>
      </c>
      <c r="HX47" s="881" t="str">
        <f t="shared" si="477"/>
        <v/>
      </c>
      <c r="HY47" s="880" t="str">
        <f t="shared" si="478"/>
        <v/>
      </c>
      <c r="HZ47" s="882" t="str">
        <f t="shared" si="479"/>
        <v/>
      </c>
      <c r="IA47" s="883" t="str">
        <f t="shared" si="480"/>
        <v/>
      </c>
      <c r="IB47" s="884" t="str">
        <f t="shared" si="481"/>
        <v/>
      </c>
      <c r="IC47" s="855" t="str">
        <f t="shared" si="482"/>
        <v/>
      </c>
      <c r="ID47" s="351" t="str">
        <f t="shared" si="483"/>
        <v/>
      </c>
      <c r="IE47" s="857" t="str">
        <f t="shared" si="484"/>
        <v/>
      </c>
      <c r="IF47" s="858"/>
      <c r="IG47" s="790" t="str">
        <f>IFERROR(IF($IW47="","",IF($IW47&lt;(((Settings!$C$19/2)*-1)*$IG$8),"Taper","Nose")),"")</f>
        <v/>
      </c>
      <c r="IH47" s="482" t="str">
        <f>IFERROR(IF((((($IY47*COS(RADIANS(180-$JA47)))*COS(RADIANS($JA47)))-(($IZ47*SIN(RADIANS(180-$JA47)))*SIN(RADIANS($JA47))))+$IW47)&lt;(((Settings!$C$19+$IH$8)/2)*-1),"Gage",""),"")</f>
        <v/>
      </c>
      <c r="II47" s="788">
        <f t="shared" si="241"/>
        <v>7.1159999999999997</v>
      </c>
      <c r="IJ47" s="674" t="str" cm="1">
        <f t="array" ref="IJ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K47" s="677" t="str" cm="1">
        <f t="array" ref="IK47">IFERROR(ROUND(VALUE(IF($IJ47&lt;1,$IJ47+LARGE((IF($M$9:$M$150="",0,$M$9:$M$150)-MOD(IF($M$9:$M$150="",0,$M$9:$M$150),1)),1),$IJ47)),4),"")</f>
        <v/>
      </c>
      <c r="IL47" s="482">
        <f t="shared" si="485"/>
        <v>1313</v>
      </c>
      <c r="IM47" s="482" t="str">
        <f t="shared" si="242"/>
        <v/>
      </c>
      <c r="IN47" s="670" t="str">
        <f t="shared" si="486"/>
        <v/>
      </c>
      <c r="IO47" s="702"/>
      <c r="IP47" s="5" t="str">
        <f t="shared" si="487"/>
        <v/>
      </c>
      <c r="IQ47" s="714"/>
      <c r="IR47" s="9" t="str">
        <f t="shared" si="488"/>
        <v/>
      </c>
      <c r="IS47" s="5" t="str">
        <f t="shared" si="489"/>
        <v/>
      </c>
      <c r="IT47" s="5" t="str">
        <f t="shared" si="490"/>
        <v/>
      </c>
      <c r="IU47" s="5" t="str">
        <f t="shared" si="491"/>
        <v/>
      </c>
      <c r="IV47" s="670" t="str">
        <f t="shared" si="492"/>
        <v/>
      </c>
      <c r="IW47" s="9" t="str">
        <f t="shared" si="493"/>
        <v/>
      </c>
      <c r="IX47" s="5" t="str">
        <f t="shared" si="494"/>
        <v/>
      </c>
      <c r="IY47" s="5" t="str">
        <f t="shared" si="495"/>
        <v/>
      </c>
      <c r="IZ47" s="5" t="str">
        <f t="shared" si="496"/>
        <v/>
      </c>
      <c r="JA47" s="705" t="str">
        <f t="shared" si="497"/>
        <v/>
      </c>
      <c r="JM47" s="489">
        <f t="shared" si="133"/>
        <v>16</v>
      </c>
      <c r="JN47" s="960">
        <f>($JO47-SMALL($JO$9:$JO$88,1))/((Settings!$C$19/2)-((Settings!$C$19/2)-LARGE($JO$9:$JO$88,1))-SMALL($JO$9:$JO$88,1))</f>
        <v>0.61987001640791384</v>
      </c>
      <c r="JO47" s="162">
        <f t="shared" si="134"/>
        <v>2.4212686842927504</v>
      </c>
      <c r="JP47" s="961">
        <f t="shared" si="135"/>
        <v>-9.6331636591965726</v>
      </c>
      <c r="JQ47" s="961">
        <f t="shared" si="136"/>
        <v>14.916879859542677</v>
      </c>
      <c r="JS47" s="82">
        <v>39</v>
      </c>
      <c r="JT47" s="322">
        <f t="shared" si="137"/>
        <v>3.711549625765362</v>
      </c>
      <c r="JU47" s="963">
        <f t="shared" si="138"/>
        <v>0.99647934646008629</v>
      </c>
      <c r="JV47" s="961">
        <f t="shared" si="287"/>
        <v>-71.69646687513675</v>
      </c>
      <c r="JW47" s="961">
        <f t="shared" si="92"/>
        <v>29.7460363142104</v>
      </c>
      <c r="JX47" s="1">
        <v>7.1349</v>
      </c>
      <c r="JY47" s="965">
        <f t="shared" si="139"/>
        <v>1</v>
      </c>
      <c r="JZ47" s="973">
        <v>90</v>
      </c>
      <c r="KA47" s="410">
        <f t="shared" si="280"/>
        <v>2</v>
      </c>
      <c r="KB47" s="977">
        <f t="shared" si="243"/>
        <v>39</v>
      </c>
      <c r="KC47" s="970">
        <v>-88</v>
      </c>
      <c r="KD47" s="970">
        <v>-88</v>
      </c>
      <c r="KE47" s="968">
        <f t="shared" si="140"/>
        <v>0</v>
      </c>
      <c r="KF47" s="969">
        <v>32.4</v>
      </c>
      <c r="KG47" s="966">
        <f t="shared" si="244"/>
        <v>0</v>
      </c>
      <c r="KH47" s="966">
        <f t="shared" si="141"/>
        <v>0</v>
      </c>
    </row>
    <row r="48" spans="1:296" ht="15" customHeight="1" x14ac:dyDescent="0.25">
      <c r="A48" s="75">
        <f t="shared" si="322"/>
        <v>0.02</v>
      </c>
      <c r="B48" s="578">
        <f t="shared" ref="B48:D48" si="535">IFERROR(O203+($A48*-E48),"")</f>
        <v>-3.0527054723769327</v>
      </c>
      <c r="C48" s="572">
        <f t="shared" si="535"/>
        <v>0.10170074200273849</v>
      </c>
      <c r="D48" s="576">
        <f t="shared" si="535"/>
        <v>-0.32117304607767255</v>
      </c>
      <c r="E48" s="580">
        <f t="shared" ref="E48:K48" si="536">R203</f>
        <v>-0.16456662934110805</v>
      </c>
      <c r="F48" s="572">
        <f t="shared" si="536"/>
        <v>-0.96183672410644838</v>
      </c>
      <c r="G48" s="579">
        <f t="shared" si="536"/>
        <v>0.21860453029953977</v>
      </c>
      <c r="H48" s="580">
        <f t="shared" si="536"/>
        <v>0.26450000000000001</v>
      </c>
      <c r="I48" s="572">
        <f t="shared" si="536"/>
        <v>0.52</v>
      </c>
      <c r="J48" s="483">
        <f t="shared" si="94"/>
        <v>7.1239999999999997</v>
      </c>
      <c r="K48" s="806">
        <f t="shared" si="536"/>
        <v>1313</v>
      </c>
      <c r="L48" s="309"/>
      <c r="M48" s="164">
        <f t="shared" si="325"/>
        <v>7.1239999999999997</v>
      </c>
      <c r="N48" s="575">
        <f t="shared" si="326"/>
        <v>-3.0527054723769327</v>
      </c>
      <c r="O48" s="572">
        <f t="shared" si="327"/>
        <v>0.10170074200273849</v>
      </c>
      <c r="P48" s="576">
        <f t="shared" si="328"/>
        <v>-0.32117304607767255</v>
      </c>
      <c r="Q48" s="528">
        <f t="shared" si="144"/>
        <v>178.09189946433028</v>
      </c>
      <c r="R48" s="572">
        <f t="shared" si="95"/>
        <v>3.0543990803436243</v>
      </c>
      <c r="S48" s="577">
        <f t="shared" si="96"/>
        <v>-0.32117304607767255</v>
      </c>
      <c r="T48" s="578">
        <f t="shared" si="97"/>
        <v>1.0919845499411811E-2</v>
      </c>
      <c r="U48" s="572">
        <f t="shared" si="98"/>
        <v>3.0543795603981909</v>
      </c>
      <c r="V48" s="579">
        <f t="shared" si="145"/>
        <v>-0.32117304607767255</v>
      </c>
      <c r="W48" s="528">
        <f t="shared" si="268"/>
        <v>89.795160234005266</v>
      </c>
      <c r="X48" s="572">
        <f t="shared" si="99"/>
        <v>3.0543990803436243</v>
      </c>
      <c r="Y48" s="573">
        <f t="shared" si="271"/>
        <v>-0.32117304607767255</v>
      </c>
      <c r="Z48" s="575">
        <f t="shared" si="329"/>
        <v>0.16456662934110805</v>
      </c>
      <c r="AA48" s="572">
        <f t="shared" si="330"/>
        <v>0.96183672410644838</v>
      </c>
      <c r="AB48" s="572">
        <f t="shared" si="331"/>
        <v>-0.21860453029953977</v>
      </c>
      <c r="AC48" s="579">
        <f t="shared" si="100"/>
        <v>1</v>
      </c>
      <c r="AD48" s="580">
        <f t="shared" si="146"/>
        <v>0.16456662934110805</v>
      </c>
      <c r="AE48" s="572">
        <f t="shared" si="101"/>
        <v>0.96183672410644838</v>
      </c>
      <c r="AF48" s="576">
        <f t="shared" si="102"/>
        <v>-0.21860453029953977</v>
      </c>
      <c r="AG48" s="545">
        <f t="shared" si="103"/>
        <v>77.195435151597223</v>
      </c>
      <c r="AH48" s="546">
        <f t="shared" si="104"/>
        <v>80.527939981377159</v>
      </c>
      <c r="AI48" s="528">
        <f t="shared" si="105"/>
        <v>-77.372916435433893</v>
      </c>
      <c r="AJ48" s="529">
        <f t="shared" si="106"/>
        <v>170.29092107883469</v>
      </c>
      <c r="AK48" s="578">
        <f t="shared" si="247"/>
        <v>0.96678289308335152</v>
      </c>
      <c r="AL48" s="572">
        <f t="shared" si="107"/>
        <v>-0.1324496016373877</v>
      </c>
      <c r="AM48" s="577">
        <f t="shared" si="108"/>
        <v>-0.21860453029953977</v>
      </c>
      <c r="AN48" s="524">
        <f t="shared" si="109"/>
        <v>-31.211119471115051</v>
      </c>
      <c r="AO48" s="525">
        <f t="shared" si="110"/>
        <v>14.80908031050858</v>
      </c>
      <c r="AP48" s="528">
        <f t="shared" si="111"/>
        <v>-7.8009783854955987</v>
      </c>
      <c r="AQ48" s="529">
        <f t="shared" si="332"/>
        <v>0.89557686762337918</v>
      </c>
      <c r="AR48" s="979"/>
      <c r="AS48" s="954">
        <f t="shared" si="524"/>
        <v>89.795160234005266</v>
      </c>
      <c r="AT48" s="950">
        <f t="shared" si="333"/>
        <v>-9.7600577944099598E-2</v>
      </c>
      <c r="AU48" s="418"/>
      <c r="AV48" s="164" t="str">
        <f t="shared" si="334"/>
        <v/>
      </c>
      <c r="AW48" s="829" t="str">
        <f>IFERROR(INDEX(MassProp!C$9:C$150,MATCH($M48,MassProp!$B$9:$B$150,0)),"")</f>
        <v/>
      </c>
      <c r="AX48" s="830" t="str">
        <f>IFERROR(INDEX(MassProp!D$9:D$150,MATCH($M48,MassProp!$B$9:$B$150,0)),"")</f>
        <v/>
      </c>
      <c r="AY48" s="831" t="str">
        <f>IFERROR(INDEX(MassProp!E$9:E$150,MATCH($M48,MassProp!$B$9:$B$150,0)),"")</f>
        <v/>
      </c>
      <c r="AZ48" s="297" t="str">
        <f t="shared" si="335"/>
        <v/>
      </c>
      <c r="BA48" s="296" t="str">
        <f t="shared" si="336"/>
        <v/>
      </c>
      <c r="BB48" s="190" t="str">
        <f t="shared" si="149"/>
        <v/>
      </c>
      <c r="BC48" s="9"/>
      <c r="BD48" s="5" t="str">
        <f t="shared" si="337"/>
        <v/>
      </c>
      <c r="BE48" s="6" t="str">
        <f t="shared" si="338"/>
        <v/>
      </c>
      <c r="BF48" s="4" t="str">
        <f t="shared" si="339"/>
        <v/>
      </c>
      <c r="BG48" s="5" t="str">
        <f t="shared" si="340"/>
        <v/>
      </c>
      <c r="BH48" s="10" t="str">
        <f t="shared" si="341"/>
        <v/>
      </c>
      <c r="BI48" s="9" t="str">
        <f t="shared" si="342"/>
        <v/>
      </c>
      <c r="BJ48" s="5" t="str">
        <f t="shared" si="343"/>
        <v/>
      </c>
      <c r="BK48" s="8" t="str">
        <f t="shared" si="344"/>
        <v/>
      </c>
      <c r="BL48" s="173" t="str">
        <f t="shared" si="345"/>
        <v/>
      </c>
      <c r="BM48" s="5" t="str">
        <f t="shared" si="346"/>
        <v/>
      </c>
      <c r="BN48" s="6" t="str">
        <f t="shared" si="347"/>
        <v/>
      </c>
      <c r="BO48" s="4" t="str">
        <f t="shared" si="348"/>
        <v/>
      </c>
      <c r="BP48" s="5" t="str">
        <f t="shared" si="349"/>
        <v/>
      </c>
      <c r="BQ48" s="5" t="str">
        <f t="shared" si="350"/>
        <v/>
      </c>
      <c r="BR48" s="6" t="str">
        <f t="shared" si="351"/>
        <v/>
      </c>
      <c r="BS48" s="4" t="str">
        <f t="shared" si="519"/>
        <v/>
      </c>
      <c r="BT48" s="5" t="str">
        <f t="shared" si="519"/>
        <v/>
      </c>
      <c r="BU48" s="10" t="str">
        <f t="shared" si="113"/>
        <v/>
      </c>
      <c r="BV48" s="9" t="str">
        <f t="shared" si="114"/>
        <v/>
      </c>
      <c r="BW48" s="5" t="str">
        <f t="shared" si="115"/>
        <v/>
      </c>
      <c r="BX48" s="8" t="str">
        <f t="shared" si="116"/>
        <v/>
      </c>
      <c r="BY48" s="173" t="str">
        <f t="shared" si="117"/>
        <v/>
      </c>
      <c r="BZ48" s="5" t="str">
        <f t="shared" si="118"/>
        <v/>
      </c>
      <c r="CA48" s="6" t="str">
        <f t="shared" si="119"/>
        <v/>
      </c>
      <c r="CB48" s="4" t="str">
        <f t="shared" si="352"/>
        <v/>
      </c>
      <c r="CC48" s="5" t="str">
        <f t="shared" si="353"/>
        <v/>
      </c>
      <c r="CD48" s="5" t="str">
        <f t="shared" si="354"/>
        <v/>
      </c>
      <c r="CE48" s="6" t="str">
        <f t="shared" si="355"/>
        <v/>
      </c>
      <c r="CF48" s="4" t="str">
        <f t="shared" si="356"/>
        <v/>
      </c>
      <c r="CG48" s="5" t="str">
        <f t="shared" si="357"/>
        <v/>
      </c>
      <c r="CH48" s="5" t="str">
        <f t="shared" si="358"/>
        <v/>
      </c>
      <c r="CI48" s="4" t="str">
        <f t="shared" si="120"/>
        <v/>
      </c>
      <c r="CJ48" s="5" t="str">
        <f t="shared" si="359"/>
        <v/>
      </c>
      <c r="CK48" s="8" t="str">
        <f t="shared" si="360"/>
        <v/>
      </c>
      <c r="CL48" s="173" t="str">
        <f t="shared" si="361"/>
        <v/>
      </c>
      <c r="CM48" s="5" t="str">
        <f t="shared" si="362"/>
        <v/>
      </c>
      <c r="CN48" s="6" t="str">
        <f t="shared" si="363"/>
        <v/>
      </c>
      <c r="CO48" s="167" t="str">
        <f t="shared" si="364"/>
        <v/>
      </c>
      <c r="CP48" s="4" t="str">
        <f t="shared" si="365"/>
        <v/>
      </c>
      <c r="CQ48" s="5" t="str">
        <f t="shared" si="366"/>
        <v/>
      </c>
      <c r="CR48" s="5" t="str">
        <f t="shared" si="367"/>
        <v/>
      </c>
      <c r="CS48" s="8" t="str">
        <f t="shared" si="368"/>
        <v/>
      </c>
      <c r="CT48" s="9" t="str">
        <f t="shared" si="165"/>
        <v/>
      </c>
      <c r="CU48" s="6" t="str">
        <f t="shared" si="369"/>
        <v/>
      </c>
      <c r="CV48" s="4" t="str">
        <f t="shared" si="370"/>
        <v/>
      </c>
      <c r="CW48" s="5" t="str">
        <f t="shared" si="371"/>
        <v/>
      </c>
      <c r="CX48" s="8" t="str">
        <f t="shared" si="372"/>
        <v/>
      </c>
      <c r="CY48" s="9" t="str">
        <f t="shared" si="373"/>
        <v/>
      </c>
      <c r="CZ48" s="5" t="str">
        <f t="shared" si="374"/>
        <v/>
      </c>
      <c r="DA48" s="6" t="str">
        <f t="shared" si="375"/>
        <v/>
      </c>
      <c r="DB48" s="4" t="str">
        <f t="shared" si="525"/>
        <v/>
      </c>
      <c r="DC48" s="5" t="str">
        <f t="shared" si="525"/>
        <v/>
      </c>
      <c r="DD48" s="10" t="str">
        <f t="shared" si="173"/>
        <v/>
      </c>
      <c r="DE48" s="9" t="str">
        <f t="shared" si="526"/>
        <v/>
      </c>
      <c r="DF48" s="5" t="str">
        <f t="shared" si="526"/>
        <v/>
      </c>
      <c r="DG48" s="10" t="str">
        <f t="shared" si="175"/>
        <v/>
      </c>
      <c r="DH48" s="70" t="str">
        <f t="shared" si="376"/>
        <v/>
      </c>
      <c r="DI48" s="4" t="str">
        <f t="shared" si="377"/>
        <v/>
      </c>
      <c r="DJ48" s="5" t="str">
        <f t="shared" si="378"/>
        <v/>
      </c>
      <c r="DK48" s="10" t="str">
        <f t="shared" si="379"/>
        <v/>
      </c>
      <c r="DL48" s="9" t="str">
        <f t="shared" si="380"/>
        <v/>
      </c>
      <c r="DM48" s="173" t="str">
        <f t="shared" si="381"/>
        <v/>
      </c>
      <c r="DN48" s="178" t="str">
        <f t="shared" si="382"/>
        <v/>
      </c>
      <c r="DO48" s="9" t="str">
        <f t="shared" si="383"/>
        <v/>
      </c>
      <c r="DP48" s="173" t="str">
        <f t="shared" si="384"/>
        <v/>
      </c>
      <c r="DQ48" s="11" t="str">
        <f t="shared" si="385"/>
        <v/>
      </c>
      <c r="DR48" s="173" t="str">
        <f t="shared" si="386"/>
        <v/>
      </c>
      <c r="DS48" s="5" t="str">
        <f t="shared" si="387"/>
        <v/>
      </c>
      <c r="DT48" s="5" t="str">
        <f t="shared" si="388"/>
        <v/>
      </c>
      <c r="DU48" s="5" t="str">
        <f t="shared" si="389"/>
        <v/>
      </c>
      <c r="DV48" s="5" t="str">
        <f t="shared" si="390"/>
        <v/>
      </c>
      <c r="DW48" s="5" t="str">
        <f t="shared" si="391"/>
        <v/>
      </c>
      <c r="DX48" s="167" t="str">
        <f t="shared" si="392"/>
        <v/>
      </c>
      <c r="DY48" s="9" t="str">
        <f t="shared" si="393"/>
        <v/>
      </c>
      <c r="DZ48" s="5" t="str">
        <f t="shared" si="394"/>
        <v/>
      </c>
      <c r="EA48" s="10" t="str">
        <f t="shared" si="395"/>
        <v/>
      </c>
      <c r="EB48" s="6" t="str">
        <f t="shared" si="396"/>
        <v/>
      </c>
      <c r="EC48" s="173" t="str">
        <f t="shared" si="397"/>
        <v/>
      </c>
      <c r="ED48" s="5" t="str">
        <f t="shared" si="398"/>
        <v/>
      </c>
      <c r="EE48" s="4" t="str">
        <f t="shared" si="399"/>
        <v/>
      </c>
      <c r="EF48" s="5" t="str">
        <f t="shared" si="400"/>
        <v/>
      </c>
      <c r="EG48" s="10" t="str">
        <f t="shared" si="401"/>
        <v/>
      </c>
      <c r="EH48" s="9" t="str">
        <f t="shared" si="402"/>
        <v/>
      </c>
      <c r="EI48" s="5" t="str">
        <f t="shared" si="403"/>
        <v/>
      </c>
      <c r="EJ48" s="6" t="str">
        <f t="shared" si="404"/>
        <v/>
      </c>
      <c r="EK48" s="236" t="str">
        <f t="shared" si="205"/>
        <v/>
      </c>
      <c r="EL48" s="238" t="str">
        <f t="shared" si="206"/>
        <v/>
      </c>
      <c r="EM48" s="4" t="str">
        <f t="shared" si="405"/>
        <v/>
      </c>
      <c r="EN48" s="5" t="str">
        <f t="shared" si="406"/>
        <v/>
      </c>
      <c r="EO48" s="10" t="str">
        <f t="shared" si="407"/>
        <v/>
      </c>
      <c r="EP48" s="9" t="str">
        <f t="shared" si="408"/>
        <v/>
      </c>
      <c r="EQ48" s="5" t="str">
        <f t="shared" si="409"/>
        <v/>
      </c>
      <c r="ER48" s="7" t="str">
        <f t="shared" si="410"/>
        <v/>
      </c>
      <c r="ES48" s="21" t="str">
        <f t="shared" si="411"/>
        <v/>
      </c>
      <c r="ET48" s="5" t="str">
        <f t="shared" si="412"/>
        <v/>
      </c>
      <c r="EU48" s="10" t="str">
        <f t="shared" si="413"/>
        <v/>
      </c>
      <c r="EV48" s="174" t="str">
        <f t="shared" si="414"/>
        <v/>
      </c>
      <c r="EW48" s="9" t="str">
        <f t="shared" si="415"/>
        <v/>
      </c>
      <c r="EX48" s="5" t="str">
        <f t="shared" si="416"/>
        <v/>
      </c>
      <c r="EY48" s="6" t="str">
        <f t="shared" si="417"/>
        <v/>
      </c>
      <c r="EZ48" s="51" t="str">
        <f t="shared" si="214"/>
        <v/>
      </c>
      <c r="FA48" s="266" t="str">
        <f t="shared" si="128"/>
        <v/>
      </c>
      <c r="FB48" s="267" t="str">
        <f t="shared" si="129"/>
        <v/>
      </c>
      <c r="FC48" s="269" t="str">
        <f t="shared" si="38"/>
        <v/>
      </c>
      <c r="FD48" s="4" t="str">
        <f t="shared" si="418"/>
        <v/>
      </c>
      <c r="FE48" s="5" t="str">
        <f t="shared" si="419"/>
        <v/>
      </c>
      <c r="FF48" s="7" t="str">
        <f t="shared" si="420"/>
        <v/>
      </c>
      <c r="FG48" s="173" t="str">
        <f t="shared" si="421"/>
        <v/>
      </c>
      <c r="FH48" s="5" t="str">
        <f t="shared" si="422"/>
        <v/>
      </c>
      <c r="FI48" s="10" t="str">
        <f t="shared" si="423"/>
        <v/>
      </c>
      <c r="FJ48" s="279" t="str">
        <f t="shared" si="424"/>
        <v/>
      </c>
      <c r="FK48" s="4" t="str">
        <f t="shared" si="425"/>
        <v/>
      </c>
      <c r="FL48" s="5" t="str">
        <f t="shared" si="426"/>
        <v/>
      </c>
      <c r="FM48" s="8" t="str">
        <f t="shared" si="427"/>
        <v/>
      </c>
      <c r="FN48" s="9" t="str">
        <f t="shared" si="428"/>
        <v/>
      </c>
      <c r="FO48" s="10" t="str">
        <f t="shared" si="429"/>
        <v/>
      </c>
      <c r="FP48" s="277" t="str">
        <f t="shared" si="430"/>
        <v/>
      </c>
      <c r="FQ48" s="173" t="str">
        <f t="shared" si="431"/>
        <v/>
      </c>
      <c r="FR48" s="10" t="str">
        <f t="shared" si="432"/>
        <v/>
      </c>
      <c r="FS48" s="9" t="str">
        <f t="shared" si="433"/>
        <v/>
      </c>
      <c r="FT48" s="6" t="str">
        <f t="shared" si="434"/>
        <v/>
      </c>
      <c r="FU48" s="4" t="str">
        <f t="shared" si="435"/>
        <v/>
      </c>
      <c r="FV48" s="5" t="str">
        <f t="shared" si="436"/>
        <v/>
      </c>
      <c r="FW48" s="8" t="str">
        <f t="shared" si="437"/>
        <v/>
      </c>
      <c r="FX48" s="9" t="str">
        <f t="shared" si="438"/>
        <v/>
      </c>
      <c r="FY48" s="10" t="str">
        <f t="shared" si="439"/>
        <v/>
      </c>
      <c r="FZ48" s="277" t="str">
        <f t="shared" si="440"/>
        <v/>
      </c>
      <c r="GA48" s="177" t="str">
        <f t="shared" si="441"/>
        <v/>
      </c>
      <c r="GB48" s="4" t="str">
        <f t="shared" si="442"/>
        <v/>
      </c>
      <c r="GC48" s="5" t="str">
        <f t="shared" si="443"/>
        <v/>
      </c>
      <c r="GD48" s="10" t="str">
        <f t="shared" si="444"/>
        <v/>
      </c>
      <c r="GE48" s="311" t="str">
        <f t="shared" si="445"/>
        <v/>
      </c>
      <c r="GF48" s="341" t="str">
        <f t="shared" si="446"/>
        <v/>
      </c>
      <c r="GG48" s="285" t="str">
        <f t="shared" si="447"/>
        <v/>
      </c>
      <c r="GH48" s="286" t="str">
        <f t="shared" si="448"/>
        <v/>
      </c>
      <c r="GI48" s="281" t="str">
        <f t="shared" si="449"/>
        <v/>
      </c>
      <c r="GJ48" s="167" t="str">
        <f t="shared" si="450"/>
        <v/>
      </c>
      <c r="GK48" s="174" t="str">
        <f t="shared" si="49"/>
        <v/>
      </c>
      <c r="GL48" s="174" t="str">
        <f t="shared" si="451"/>
        <v/>
      </c>
      <c r="GM48" s="177" t="str">
        <f t="shared" si="452"/>
        <v/>
      </c>
      <c r="GN48" s="280" t="str">
        <f t="shared" si="453"/>
        <v/>
      </c>
      <c r="GO48" s="4" t="str">
        <f t="shared" si="454"/>
        <v/>
      </c>
      <c r="GP48" s="8" t="str">
        <f t="shared" si="455"/>
        <v/>
      </c>
      <c r="GQ48" s="177" t="str">
        <f t="shared" si="456"/>
        <v/>
      </c>
      <c r="GR48" s="371" t="str">
        <f t="shared" si="457"/>
        <v/>
      </c>
      <c r="GS48" s="342" t="str">
        <f t="shared" si="458"/>
        <v/>
      </c>
      <c r="GT48" s="343" t="str">
        <f t="shared" si="459"/>
        <v/>
      </c>
      <c r="GU48" s="344" t="str">
        <f t="shared" si="53"/>
        <v/>
      </c>
      <c r="GV48" s="343" t="str">
        <f t="shared" si="460"/>
        <v/>
      </c>
      <c r="GW48" s="345" t="str">
        <f t="shared" si="54"/>
        <v/>
      </c>
      <c r="GX48" s="346" t="str">
        <f t="shared" si="55"/>
        <v/>
      </c>
      <c r="GY48" s="344" t="str">
        <f t="shared" si="461"/>
        <v/>
      </c>
      <c r="GZ48" s="345" t="str">
        <f t="shared" si="462"/>
        <v/>
      </c>
      <c r="HA48" s="342" t="str">
        <f t="shared" si="58"/>
        <v/>
      </c>
      <c r="HB48" s="5" t="str">
        <f t="shared" si="236"/>
        <v/>
      </c>
      <c r="HC48" s="343" t="str">
        <f t="shared" si="463"/>
        <v/>
      </c>
      <c r="HD48" s="345" t="str">
        <f t="shared" si="464"/>
        <v/>
      </c>
      <c r="HE48" s="344" t="str">
        <f t="shared" si="59"/>
        <v/>
      </c>
      <c r="HF48" s="5" t="str">
        <f t="shared" si="60"/>
        <v/>
      </c>
      <c r="HG48" s="343" t="str">
        <f t="shared" si="465"/>
        <v/>
      </c>
      <c r="HH48" s="349" t="str">
        <f t="shared" si="466"/>
        <v/>
      </c>
      <c r="HI48" s="317" t="str">
        <f t="shared" si="467"/>
        <v/>
      </c>
      <c r="HJ48" s="336"/>
      <c r="HK48" s="310" t="str">
        <f t="shared" si="520"/>
        <v/>
      </c>
      <c r="HL48" s="348" t="str">
        <f t="shared" si="468"/>
        <v/>
      </c>
      <c r="HM48" s="923" t="str">
        <f t="shared" si="469"/>
        <v/>
      </c>
      <c r="HN48" s="924" t="str">
        <f t="shared" si="470"/>
        <v/>
      </c>
      <c r="HO48" s="925"/>
      <c r="HP48" s="926"/>
      <c r="HQ48" s="924" t="str">
        <f t="shared" si="471"/>
        <v/>
      </c>
      <c r="HR48" s="927" t="str">
        <f t="shared" si="472"/>
        <v/>
      </c>
      <c r="HS48" s="879" t="str">
        <f t="shared" si="521"/>
        <v/>
      </c>
      <c r="HT48" s="889" t="str">
        <f t="shared" si="473"/>
        <v/>
      </c>
      <c r="HU48" s="890" t="str">
        <f t="shared" si="474"/>
        <v/>
      </c>
      <c r="HV48" s="886" t="str">
        <f t="shared" si="475"/>
        <v/>
      </c>
      <c r="HW48" s="880" t="str">
        <f t="shared" si="476"/>
        <v/>
      </c>
      <c r="HX48" s="881" t="str">
        <f t="shared" si="477"/>
        <v/>
      </c>
      <c r="HY48" s="880" t="str">
        <f t="shared" si="478"/>
        <v/>
      </c>
      <c r="HZ48" s="882" t="str">
        <f t="shared" si="479"/>
        <v/>
      </c>
      <c r="IA48" s="883" t="str">
        <f t="shared" si="480"/>
        <v/>
      </c>
      <c r="IB48" s="884" t="str">
        <f t="shared" si="481"/>
        <v/>
      </c>
      <c r="IC48" s="855" t="str">
        <f t="shared" si="482"/>
        <v/>
      </c>
      <c r="ID48" s="351" t="str">
        <f t="shared" si="483"/>
        <v/>
      </c>
      <c r="IE48" s="857" t="str">
        <f t="shared" si="484"/>
        <v/>
      </c>
      <c r="IF48" s="858"/>
      <c r="IG48" s="790" t="str">
        <f>IFERROR(IF($IW48="","",IF($IW48&lt;(((Settings!$C$19/2)*-1)*$IG$8),"Taper","Nose")),"")</f>
        <v/>
      </c>
      <c r="IH48" s="482" t="str">
        <f>IFERROR(IF((((($IY48*COS(RADIANS(180-$JA48)))*COS(RADIANS($JA48)))-(($IZ48*SIN(RADIANS(180-$JA48)))*SIN(RADIANS($JA48))))+$IW48)&lt;(((Settings!$C$19+$IH$8)/2)*-1),"Gage",""),"")</f>
        <v/>
      </c>
      <c r="II48" s="788">
        <f t="shared" si="241"/>
        <v>7.1239999999999997</v>
      </c>
      <c r="IJ48" s="674" t="str" cm="1">
        <f t="array" ref="IJ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K48" s="677" t="str" cm="1">
        <f t="array" ref="IK48">IFERROR(ROUND(VALUE(IF($IJ48&lt;1,$IJ48+LARGE((IF($M$9:$M$150="",0,$M$9:$M$150)-MOD(IF($M$9:$M$150="",0,$M$9:$M$150),1)),1),$IJ48)),4),"")</f>
        <v/>
      </c>
      <c r="IL48" s="482">
        <f t="shared" si="485"/>
        <v>1313</v>
      </c>
      <c r="IM48" s="482" t="str">
        <f t="shared" si="242"/>
        <v/>
      </c>
      <c r="IN48" s="670" t="str">
        <f t="shared" si="486"/>
        <v/>
      </c>
      <c r="IO48" s="702"/>
      <c r="IP48" s="5" t="str">
        <f t="shared" si="487"/>
        <v/>
      </c>
      <c r="IQ48" s="714"/>
      <c r="IR48" s="9" t="str">
        <f t="shared" si="488"/>
        <v/>
      </c>
      <c r="IS48" s="5" t="str">
        <f t="shared" si="489"/>
        <v/>
      </c>
      <c r="IT48" s="5" t="str">
        <f t="shared" si="490"/>
        <v/>
      </c>
      <c r="IU48" s="5" t="str">
        <f t="shared" si="491"/>
        <v/>
      </c>
      <c r="IV48" s="670" t="str">
        <f t="shared" si="492"/>
        <v/>
      </c>
      <c r="IW48" s="9" t="str">
        <f t="shared" si="493"/>
        <v/>
      </c>
      <c r="IX48" s="5" t="str">
        <f t="shared" si="494"/>
        <v/>
      </c>
      <c r="IY48" s="5" t="str">
        <f t="shared" si="495"/>
        <v/>
      </c>
      <c r="IZ48" s="5" t="str">
        <f t="shared" si="496"/>
        <v/>
      </c>
      <c r="JA48" s="705" t="str">
        <f t="shared" si="497"/>
        <v/>
      </c>
      <c r="JM48" s="489">
        <f t="shared" si="133"/>
        <v>24</v>
      </c>
      <c r="JN48" s="960">
        <f>($JO48-SMALL($JO$9:$JO$88,1))/((Settings!$C$19/2)-((Settings!$C$19/2)-LARGE($JO$9:$JO$88,1))-SMALL($JO$9:$JO$88,1))</f>
        <v>0.80466916101920205</v>
      </c>
      <c r="JO48" s="162">
        <f t="shared" si="134"/>
        <v>3.0543990803436243</v>
      </c>
      <c r="JP48" s="961">
        <f t="shared" si="135"/>
        <v>-31.211119471115051</v>
      </c>
      <c r="JQ48" s="961">
        <f t="shared" si="136"/>
        <v>14.80908031050858</v>
      </c>
      <c r="JS48" s="82">
        <v>40</v>
      </c>
      <c r="JT48" s="322">
        <f t="shared" si="137"/>
        <v>3.7200164967979661</v>
      </c>
      <c r="JU48" s="963">
        <f t="shared" si="138"/>
        <v>0.99895067074670862</v>
      </c>
      <c r="JV48" s="961">
        <f t="shared" si="287"/>
        <v>-74.348857426455766</v>
      </c>
      <c r="JW48" s="961">
        <f t="shared" si="92"/>
        <v>29.743036733173174</v>
      </c>
      <c r="JX48" s="1">
        <v>7.1349</v>
      </c>
      <c r="JY48" s="965">
        <f t="shared" si="139"/>
        <v>1</v>
      </c>
      <c r="JZ48" s="973">
        <v>90</v>
      </c>
      <c r="KA48" s="410">
        <f t="shared" si="280"/>
        <v>2</v>
      </c>
      <c r="KB48" s="976">
        <f t="shared" si="243"/>
        <v>40</v>
      </c>
      <c r="KC48" s="970">
        <v>-88</v>
      </c>
      <c r="KD48" s="970">
        <v>-88</v>
      </c>
      <c r="KE48" s="968">
        <f t="shared" si="140"/>
        <v>0</v>
      </c>
      <c r="KF48" s="969">
        <v>32.4</v>
      </c>
      <c r="KG48" s="966">
        <f t="shared" si="244"/>
        <v>0</v>
      </c>
      <c r="KH48" s="966">
        <f t="shared" si="141"/>
        <v>0</v>
      </c>
    </row>
    <row r="49" spans="1:284" ht="15" customHeight="1" x14ac:dyDescent="0.25">
      <c r="A49" s="75">
        <f t="shared" si="322"/>
        <v>0.02</v>
      </c>
      <c r="B49" s="578">
        <f t="shared" ref="B49:D49" si="537">IFERROR(O204+($A49*-E49),"")</f>
        <v>-3.5161605487793124</v>
      </c>
      <c r="C49" s="572">
        <f t="shared" si="537"/>
        <v>0.15965546335199213</v>
      </c>
      <c r="D49" s="576">
        <f t="shared" si="537"/>
        <v>-0.81325940580411893</v>
      </c>
      <c r="E49" s="580">
        <f t="shared" ref="E49:K49" si="538">R204</f>
        <v>-0.3504618011412523</v>
      </c>
      <c r="F49" s="572">
        <f t="shared" si="538"/>
        <v>-0.9071704197478504</v>
      </c>
      <c r="G49" s="579">
        <f t="shared" si="538"/>
        <v>0.2328483529581826</v>
      </c>
      <c r="H49" s="580">
        <f t="shared" si="538"/>
        <v>0.26450000000000001</v>
      </c>
      <c r="I49" s="572">
        <f t="shared" si="538"/>
        <v>0.52</v>
      </c>
      <c r="J49" s="483">
        <f t="shared" si="94"/>
        <v>7.1319999999999997</v>
      </c>
      <c r="K49" s="806">
        <f t="shared" si="538"/>
        <v>1313</v>
      </c>
      <c r="L49" s="309"/>
      <c r="M49" s="164">
        <f t="shared" si="325"/>
        <v>7.1319999999999997</v>
      </c>
      <c r="N49" s="575">
        <f t="shared" si="326"/>
        <v>-3.5161605487793124</v>
      </c>
      <c r="O49" s="572">
        <f t="shared" si="327"/>
        <v>0.15965546335199213</v>
      </c>
      <c r="P49" s="576">
        <f t="shared" si="328"/>
        <v>-0.81325940580411893</v>
      </c>
      <c r="Q49" s="528">
        <f t="shared" si="144"/>
        <v>177.40020250160603</v>
      </c>
      <c r="R49" s="572">
        <f t="shared" si="95"/>
        <v>3.5197833558004921</v>
      </c>
      <c r="S49" s="577">
        <f t="shared" si="96"/>
        <v>-0.81325940580411893</v>
      </c>
      <c r="T49" s="578">
        <f t="shared" si="97"/>
        <v>5.507362516643987E-2</v>
      </c>
      <c r="U49" s="572">
        <f t="shared" si="98"/>
        <v>3.5193524642441258</v>
      </c>
      <c r="V49" s="579">
        <f t="shared" si="145"/>
        <v>-0.81325940580411893</v>
      </c>
      <c r="W49" s="528">
        <f t="shared" si="268"/>
        <v>89.103463271281015</v>
      </c>
      <c r="X49" s="572">
        <f t="shared" si="99"/>
        <v>3.5197833558004921</v>
      </c>
      <c r="Y49" s="573">
        <f t="shared" si="271"/>
        <v>-0.81325940580411893</v>
      </c>
      <c r="Z49" s="575">
        <f t="shared" si="329"/>
        <v>0.3504618011412523</v>
      </c>
      <c r="AA49" s="572">
        <f t="shared" si="330"/>
        <v>0.9071704197478504</v>
      </c>
      <c r="AB49" s="572">
        <f t="shared" si="331"/>
        <v>-0.2328483529581826</v>
      </c>
      <c r="AC49" s="579">
        <f t="shared" si="100"/>
        <v>1</v>
      </c>
      <c r="AD49" s="580">
        <f t="shared" si="146"/>
        <v>0.3504618011412523</v>
      </c>
      <c r="AE49" s="572">
        <f t="shared" si="101"/>
        <v>0.9071704197478504</v>
      </c>
      <c r="AF49" s="576">
        <f t="shared" si="102"/>
        <v>-0.2328483529581826</v>
      </c>
      <c r="AG49" s="545">
        <f t="shared" si="103"/>
        <v>75.604350545682664</v>
      </c>
      <c r="AH49" s="546">
        <f t="shared" si="104"/>
        <v>69.484436469807747</v>
      </c>
      <c r="AI49" s="528">
        <f t="shared" si="105"/>
        <v>-76.535175590613562</v>
      </c>
      <c r="AJ49" s="529">
        <f t="shared" si="106"/>
        <v>158.87725163176196</v>
      </c>
      <c r="AK49" s="578">
        <f t="shared" si="247"/>
        <v>0.92213345370717581</v>
      </c>
      <c r="AL49" s="572">
        <f t="shared" si="107"/>
        <v>-0.30895232331014683</v>
      </c>
      <c r="AM49" s="577">
        <f t="shared" si="108"/>
        <v>-0.2328483529581826</v>
      </c>
      <c r="AN49" s="524">
        <f t="shared" si="109"/>
        <v>-52.995732713861685</v>
      </c>
      <c r="AO49" s="525">
        <f t="shared" si="110"/>
        <v>22.760001499121799</v>
      </c>
      <c r="AP49" s="528">
        <f t="shared" si="111"/>
        <v>-18.52295086984407</v>
      </c>
      <c r="AQ49" s="529">
        <f t="shared" si="332"/>
        <v>0.77717970104527345</v>
      </c>
      <c r="AR49" s="979"/>
      <c r="AS49" s="954">
        <f t="shared" si="524"/>
        <v>89.103463271281015</v>
      </c>
      <c r="AT49" s="950">
        <f t="shared" si="333"/>
        <v>-0.58911052353494242</v>
      </c>
      <c r="AU49" s="418"/>
      <c r="AV49" s="164" t="str">
        <f t="shared" si="334"/>
        <v/>
      </c>
      <c r="AW49" s="829" t="str">
        <f>IFERROR(INDEX(MassProp!C$9:C$150,MATCH($M49,MassProp!$B$9:$B$150,0)),"")</f>
        <v/>
      </c>
      <c r="AX49" s="830" t="str">
        <f>IFERROR(INDEX(MassProp!D$9:D$150,MATCH($M49,MassProp!$B$9:$B$150,0)),"")</f>
        <v/>
      </c>
      <c r="AY49" s="831" t="str">
        <f>IFERROR(INDEX(MassProp!E$9:E$150,MATCH($M49,MassProp!$B$9:$B$150,0)),"")</f>
        <v/>
      </c>
      <c r="AZ49" s="297" t="str">
        <f t="shared" si="335"/>
        <v/>
      </c>
      <c r="BA49" s="296" t="str">
        <f t="shared" si="336"/>
        <v/>
      </c>
      <c r="BB49" s="190" t="str">
        <f t="shared" si="149"/>
        <v/>
      </c>
      <c r="BC49" s="9"/>
      <c r="BD49" s="5" t="str">
        <f t="shared" si="337"/>
        <v/>
      </c>
      <c r="BE49" s="6" t="str">
        <f t="shared" si="338"/>
        <v/>
      </c>
      <c r="BF49" s="4" t="str">
        <f t="shared" si="339"/>
        <v/>
      </c>
      <c r="BG49" s="5" t="str">
        <f t="shared" si="340"/>
        <v/>
      </c>
      <c r="BH49" s="10" t="str">
        <f t="shared" si="341"/>
        <v/>
      </c>
      <c r="BI49" s="9" t="str">
        <f t="shared" si="342"/>
        <v/>
      </c>
      <c r="BJ49" s="5" t="str">
        <f t="shared" si="343"/>
        <v/>
      </c>
      <c r="BK49" s="8" t="str">
        <f t="shared" si="344"/>
        <v/>
      </c>
      <c r="BL49" s="173" t="str">
        <f t="shared" si="345"/>
        <v/>
      </c>
      <c r="BM49" s="5" t="str">
        <f t="shared" si="346"/>
        <v/>
      </c>
      <c r="BN49" s="6" t="str">
        <f t="shared" si="347"/>
        <v/>
      </c>
      <c r="BO49" s="4" t="str">
        <f t="shared" si="348"/>
        <v/>
      </c>
      <c r="BP49" s="5" t="str">
        <f t="shared" si="349"/>
        <v/>
      </c>
      <c r="BQ49" s="5" t="str">
        <f t="shared" si="350"/>
        <v/>
      </c>
      <c r="BR49" s="6" t="str">
        <f t="shared" si="351"/>
        <v/>
      </c>
      <c r="BS49" s="4" t="str">
        <f t="shared" si="519"/>
        <v/>
      </c>
      <c r="BT49" s="5" t="str">
        <f t="shared" si="519"/>
        <v/>
      </c>
      <c r="BU49" s="10" t="str">
        <f t="shared" si="113"/>
        <v/>
      </c>
      <c r="BV49" s="9" t="str">
        <f t="shared" si="114"/>
        <v/>
      </c>
      <c r="BW49" s="5" t="str">
        <f t="shared" si="115"/>
        <v/>
      </c>
      <c r="BX49" s="8" t="str">
        <f t="shared" si="116"/>
        <v/>
      </c>
      <c r="BY49" s="173" t="str">
        <f t="shared" si="117"/>
        <v/>
      </c>
      <c r="BZ49" s="5" t="str">
        <f t="shared" si="118"/>
        <v/>
      </c>
      <c r="CA49" s="6" t="str">
        <f t="shared" si="119"/>
        <v/>
      </c>
      <c r="CB49" s="4" t="str">
        <f t="shared" si="352"/>
        <v/>
      </c>
      <c r="CC49" s="5" t="str">
        <f t="shared" si="353"/>
        <v/>
      </c>
      <c r="CD49" s="5" t="str">
        <f t="shared" si="354"/>
        <v/>
      </c>
      <c r="CE49" s="6" t="str">
        <f t="shared" si="355"/>
        <v/>
      </c>
      <c r="CF49" s="4" t="str">
        <f t="shared" si="356"/>
        <v/>
      </c>
      <c r="CG49" s="5" t="str">
        <f t="shared" si="357"/>
        <v/>
      </c>
      <c r="CH49" s="5" t="str">
        <f t="shared" si="358"/>
        <v/>
      </c>
      <c r="CI49" s="4" t="str">
        <f t="shared" si="120"/>
        <v/>
      </c>
      <c r="CJ49" s="5" t="str">
        <f t="shared" si="359"/>
        <v/>
      </c>
      <c r="CK49" s="8" t="str">
        <f t="shared" si="360"/>
        <v/>
      </c>
      <c r="CL49" s="173" t="str">
        <f t="shared" si="361"/>
        <v/>
      </c>
      <c r="CM49" s="5" t="str">
        <f t="shared" si="362"/>
        <v/>
      </c>
      <c r="CN49" s="6" t="str">
        <f t="shared" si="363"/>
        <v/>
      </c>
      <c r="CO49" s="167" t="str">
        <f t="shared" si="364"/>
        <v/>
      </c>
      <c r="CP49" s="4" t="str">
        <f t="shared" si="365"/>
        <v/>
      </c>
      <c r="CQ49" s="5" t="str">
        <f t="shared" si="366"/>
        <v/>
      </c>
      <c r="CR49" s="5" t="str">
        <f t="shared" si="367"/>
        <v/>
      </c>
      <c r="CS49" s="8" t="str">
        <f t="shared" si="368"/>
        <v/>
      </c>
      <c r="CT49" s="9" t="str">
        <f t="shared" si="165"/>
        <v/>
      </c>
      <c r="CU49" s="6" t="str">
        <f t="shared" si="369"/>
        <v/>
      </c>
      <c r="CV49" s="4" t="str">
        <f t="shared" si="370"/>
        <v/>
      </c>
      <c r="CW49" s="5" t="str">
        <f t="shared" si="371"/>
        <v/>
      </c>
      <c r="CX49" s="8" t="str">
        <f t="shared" si="372"/>
        <v/>
      </c>
      <c r="CY49" s="9" t="str">
        <f t="shared" si="373"/>
        <v/>
      </c>
      <c r="CZ49" s="5" t="str">
        <f t="shared" si="374"/>
        <v/>
      </c>
      <c r="DA49" s="6" t="str">
        <f t="shared" si="375"/>
        <v/>
      </c>
      <c r="DB49" s="4" t="str">
        <f t="shared" si="525"/>
        <v/>
      </c>
      <c r="DC49" s="5" t="str">
        <f t="shared" si="525"/>
        <v/>
      </c>
      <c r="DD49" s="10" t="str">
        <f t="shared" si="173"/>
        <v/>
      </c>
      <c r="DE49" s="9" t="str">
        <f t="shared" si="526"/>
        <v/>
      </c>
      <c r="DF49" s="5" t="str">
        <f t="shared" si="526"/>
        <v/>
      </c>
      <c r="DG49" s="10" t="str">
        <f t="shared" si="175"/>
        <v/>
      </c>
      <c r="DH49" s="70" t="str">
        <f t="shared" si="376"/>
        <v/>
      </c>
      <c r="DI49" s="4" t="str">
        <f t="shared" si="377"/>
        <v/>
      </c>
      <c r="DJ49" s="5" t="str">
        <f t="shared" si="378"/>
        <v/>
      </c>
      <c r="DK49" s="10" t="str">
        <f t="shared" si="379"/>
        <v/>
      </c>
      <c r="DL49" s="9" t="str">
        <f t="shared" si="380"/>
        <v/>
      </c>
      <c r="DM49" s="173" t="str">
        <f t="shared" si="381"/>
        <v/>
      </c>
      <c r="DN49" s="178" t="str">
        <f t="shared" si="382"/>
        <v/>
      </c>
      <c r="DO49" s="9" t="str">
        <f t="shared" si="383"/>
        <v/>
      </c>
      <c r="DP49" s="173" t="str">
        <f t="shared" si="384"/>
        <v/>
      </c>
      <c r="DQ49" s="11" t="str">
        <f t="shared" si="385"/>
        <v/>
      </c>
      <c r="DR49" s="173" t="str">
        <f t="shared" si="386"/>
        <v/>
      </c>
      <c r="DS49" s="5" t="str">
        <f t="shared" si="387"/>
        <v/>
      </c>
      <c r="DT49" s="5" t="str">
        <f t="shared" si="388"/>
        <v/>
      </c>
      <c r="DU49" s="5" t="str">
        <f t="shared" si="389"/>
        <v/>
      </c>
      <c r="DV49" s="5" t="str">
        <f t="shared" si="390"/>
        <v/>
      </c>
      <c r="DW49" s="5" t="str">
        <f t="shared" si="391"/>
        <v/>
      </c>
      <c r="DX49" s="167" t="str">
        <f t="shared" si="392"/>
        <v/>
      </c>
      <c r="DY49" s="9" t="str">
        <f t="shared" si="393"/>
        <v/>
      </c>
      <c r="DZ49" s="5" t="str">
        <f t="shared" si="394"/>
        <v/>
      </c>
      <c r="EA49" s="10" t="str">
        <f t="shared" si="395"/>
        <v/>
      </c>
      <c r="EB49" s="6" t="str">
        <f t="shared" si="396"/>
        <v/>
      </c>
      <c r="EC49" s="173" t="str">
        <f t="shared" si="397"/>
        <v/>
      </c>
      <c r="ED49" s="5" t="str">
        <f t="shared" si="398"/>
        <v/>
      </c>
      <c r="EE49" s="4" t="str">
        <f t="shared" si="399"/>
        <v/>
      </c>
      <c r="EF49" s="5" t="str">
        <f t="shared" si="400"/>
        <v/>
      </c>
      <c r="EG49" s="10" t="str">
        <f t="shared" si="401"/>
        <v/>
      </c>
      <c r="EH49" s="9" t="str">
        <f t="shared" si="402"/>
        <v/>
      </c>
      <c r="EI49" s="5" t="str">
        <f t="shared" si="403"/>
        <v/>
      </c>
      <c r="EJ49" s="6" t="str">
        <f t="shared" si="404"/>
        <v/>
      </c>
      <c r="EK49" s="236" t="str">
        <f t="shared" si="205"/>
        <v/>
      </c>
      <c r="EL49" s="238" t="str">
        <f t="shared" si="206"/>
        <v/>
      </c>
      <c r="EM49" s="4" t="str">
        <f t="shared" si="405"/>
        <v/>
      </c>
      <c r="EN49" s="5" t="str">
        <f t="shared" si="406"/>
        <v/>
      </c>
      <c r="EO49" s="10" t="str">
        <f t="shared" si="407"/>
        <v/>
      </c>
      <c r="EP49" s="9" t="str">
        <f t="shared" si="408"/>
        <v/>
      </c>
      <c r="EQ49" s="5" t="str">
        <f t="shared" si="409"/>
        <v/>
      </c>
      <c r="ER49" s="7" t="str">
        <f t="shared" si="410"/>
        <v/>
      </c>
      <c r="ES49" s="21" t="str">
        <f t="shared" si="411"/>
        <v/>
      </c>
      <c r="ET49" s="5" t="str">
        <f t="shared" si="412"/>
        <v/>
      </c>
      <c r="EU49" s="10" t="str">
        <f t="shared" si="413"/>
        <v/>
      </c>
      <c r="EV49" s="174" t="str">
        <f t="shared" si="414"/>
        <v/>
      </c>
      <c r="EW49" s="9" t="str">
        <f t="shared" si="415"/>
        <v/>
      </c>
      <c r="EX49" s="5" t="str">
        <f t="shared" si="416"/>
        <v/>
      </c>
      <c r="EY49" s="6" t="str">
        <f t="shared" si="417"/>
        <v/>
      </c>
      <c r="EZ49" s="51" t="str">
        <f t="shared" si="214"/>
        <v/>
      </c>
      <c r="FA49" s="266" t="str">
        <f t="shared" si="128"/>
        <v/>
      </c>
      <c r="FB49" s="267" t="str">
        <f t="shared" si="129"/>
        <v/>
      </c>
      <c r="FC49" s="269" t="str">
        <f t="shared" si="38"/>
        <v/>
      </c>
      <c r="FD49" s="4" t="str">
        <f t="shared" si="418"/>
        <v/>
      </c>
      <c r="FE49" s="5" t="str">
        <f t="shared" si="419"/>
        <v/>
      </c>
      <c r="FF49" s="7" t="str">
        <f t="shared" si="420"/>
        <v/>
      </c>
      <c r="FG49" s="173" t="str">
        <f t="shared" si="421"/>
        <v/>
      </c>
      <c r="FH49" s="5" t="str">
        <f t="shared" si="422"/>
        <v/>
      </c>
      <c r="FI49" s="10" t="str">
        <f t="shared" si="423"/>
        <v/>
      </c>
      <c r="FJ49" s="279" t="str">
        <f t="shared" si="424"/>
        <v/>
      </c>
      <c r="FK49" s="4" t="str">
        <f t="shared" si="425"/>
        <v/>
      </c>
      <c r="FL49" s="5" t="str">
        <f t="shared" si="426"/>
        <v/>
      </c>
      <c r="FM49" s="8" t="str">
        <f t="shared" si="427"/>
        <v/>
      </c>
      <c r="FN49" s="9" t="str">
        <f t="shared" si="428"/>
        <v/>
      </c>
      <c r="FO49" s="10" t="str">
        <f t="shared" si="429"/>
        <v/>
      </c>
      <c r="FP49" s="277" t="str">
        <f t="shared" si="430"/>
        <v/>
      </c>
      <c r="FQ49" s="173" t="str">
        <f t="shared" si="431"/>
        <v/>
      </c>
      <c r="FR49" s="10" t="str">
        <f t="shared" si="432"/>
        <v/>
      </c>
      <c r="FS49" s="9" t="str">
        <f t="shared" si="433"/>
        <v/>
      </c>
      <c r="FT49" s="6" t="str">
        <f t="shared" si="434"/>
        <v/>
      </c>
      <c r="FU49" s="4" t="str">
        <f t="shared" si="435"/>
        <v/>
      </c>
      <c r="FV49" s="5" t="str">
        <f t="shared" si="436"/>
        <v/>
      </c>
      <c r="FW49" s="8" t="str">
        <f t="shared" si="437"/>
        <v/>
      </c>
      <c r="FX49" s="9" t="str">
        <f t="shared" si="438"/>
        <v/>
      </c>
      <c r="FY49" s="10" t="str">
        <f t="shared" si="439"/>
        <v/>
      </c>
      <c r="FZ49" s="277" t="str">
        <f t="shared" si="440"/>
        <v/>
      </c>
      <c r="GA49" s="177" t="str">
        <f t="shared" si="441"/>
        <v/>
      </c>
      <c r="GB49" s="4" t="str">
        <f t="shared" si="442"/>
        <v/>
      </c>
      <c r="GC49" s="5" t="str">
        <f t="shared" si="443"/>
        <v/>
      </c>
      <c r="GD49" s="10" t="str">
        <f t="shared" si="444"/>
        <v/>
      </c>
      <c r="GE49" s="311" t="str">
        <f t="shared" si="445"/>
        <v/>
      </c>
      <c r="GF49" s="341" t="str">
        <f t="shared" si="446"/>
        <v/>
      </c>
      <c r="GG49" s="285" t="str">
        <f t="shared" si="447"/>
        <v/>
      </c>
      <c r="GH49" s="286" t="str">
        <f t="shared" si="448"/>
        <v/>
      </c>
      <c r="GI49" s="281" t="str">
        <f t="shared" si="449"/>
        <v/>
      </c>
      <c r="GJ49" s="167" t="str">
        <f t="shared" si="450"/>
        <v/>
      </c>
      <c r="GK49" s="174" t="str">
        <f t="shared" si="49"/>
        <v/>
      </c>
      <c r="GL49" s="174" t="str">
        <f t="shared" si="451"/>
        <v/>
      </c>
      <c r="GM49" s="177" t="str">
        <f t="shared" si="452"/>
        <v/>
      </c>
      <c r="GN49" s="280" t="str">
        <f t="shared" si="453"/>
        <v/>
      </c>
      <c r="GO49" s="4" t="str">
        <f t="shared" si="454"/>
        <v/>
      </c>
      <c r="GP49" s="8" t="str">
        <f t="shared" si="455"/>
        <v/>
      </c>
      <c r="GQ49" s="177" t="str">
        <f t="shared" si="456"/>
        <v/>
      </c>
      <c r="GR49" s="371" t="str">
        <f t="shared" si="457"/>
        <v/>
      </c>
      <c r="GS49" s="342" t="str">
        <f t="shared" si="458"/>
        <v/>
      </c>
      <c r="GT49" s="343" t="str">
        <f t="shared" si="459"/>
        <v/>
      </c>
      <c r="GU49" s="344" t="str">
        <f t="shared" si="53"/>
        <v/>
      </c>
      <c r="GV49" s="343" t="str">
        <f t="shared" si="460"/>
        <v/>
      </c>
      <c r="GW49" s="345" t="str">
        <f t="shared" si="54"/>
        <v/>
      </c>
      <c r="GX49" s="346" t="str">
        <f t="shared" si="55"/>
        <v/>
      </c>
      <c r="GY49" s="344" t="str">
        <f t="shared" si="461"/>
        <v/>
      </c>
      <c r="GZ49" s="345" t="str">
        <f t="shared" si="462"/>
        <v/>
      </c>
      <c r="HA49" s="342" t="str">
        <f t="shared" si="58"/>
        <v/>
      </c>
      <c r="HB49" s="5" t="str">
        <f t="shared" si="236"/>
        <v/>
      </c>
      <c r="HC49" s="343" t="str">
        <f t="shared" si="463"/>
        <v/>
      </c>
      <c r="HD49" s="345" t="str">
        <f t="shared" si="464"/>
        <v/>
      </c>
      <c r="HE49" s="344" t="str">
        <f t="shared" si="59"/>
        <v/>
      </c>
      <c r="HF49" s="5" t="str">
        <f t="shared" si="60"/>
        <v/>
      </c>
      <c r="HG49" s="343" t="str">
        <f t="shared" si="465"/>
        <v/>
      </c>
      <c r="HH49" s="349" t="str">
        <f t="shared" si="466"/>
        <v/>
      </c>
      <c r="HI49" s="317" t="str">
        <f t="shared" si="467"/>
        <v/>
      </c>
      <c r="HJ49" s="336"/>
      <c r="HK49" s="310" t="str">
        <f t="shared" si="520"/>
        <v/>
      </c>
      <c r="HL49" s="348" t="str">
        <f t="shared" si="468"/>
        <v/>
      </c>
      <c r="HM49" s="923" t="str">
        <f t="shared" si="469"/>
        <v/>
      </c>
      <c r="HN49" s="924" t="str">
        <f t="shared" si="470"/>
        <v/>
      </c>
      <c r="HO49" s="925"/>
      <c r="HP49" s="926"/>
      <c r="HQ49" s="924" t="str">
        <f t="shared" si="471"/>
        <v/>
      </c>
      <c r="HR49" s="927" t="str">
        <f t="shared" si="472"/>
        <v/>
      </c>
      <c r="HS49" s="879" t="str">
        <f t="shared" si="521"/>
        <v/>
      </c>
      <c r="HT49" s="889" t="str">
        <f t="shared" si="473"/>
        <v/>
      </c>
      <c r="HU49" s="890" t="str">
        <f t="shared" si="474"/>
        <v/>
      </c>
      <c r="HV49" s="886" t="str">
        <f t="shared" si="475"/>
        <v/>
      </c>
      <c r="HW49" s="880" t="str">
        <f t="shared" si="476"/>
        <v/>
      </c>
      <c r="HX49" s="881" t="str">
        <f t="shared" si="477"/>
        <v/>
      </c>
      <c r="HY49" s="880" t="str">
        <f t="shared" si="478"/>
        <v/>
      </c>
      <c r="HZ49" s="882" t="str">
        <f t="shared" si="479"/>
        <v/>
      </c>
      <c r="IA49" s="883" t="str">
        <f t="shared" si="480"/>
        <v/>
      </c>
      <c r="IB49" s="884" t="str">
        <f t="shared" si="481"/>
        <v/>
      </c>
      <c r="IC49" s="855" t="str">
        <f t="shared" si="482"/>
        <v/>
      </c>
      <c r="ID49" s="351" t="str">
        <f t="shared" si="483"/>
        <v/>
      </c>
      <c r="IE49" s="857" t="str">
        <f t="shared" si="484"/>
        <v/>
      </c>
      <c r="IF49" s="858"/>
      <c r="IG49" s="790" t="str">
        <f>IFERROR(IF($IW49="","",IF($IW49&lt;(((Settings!$C$19/2)*-1)*$IG$8),"Taper","Nose")),"")</f>
        <v/>
      </c>
      <c r="IH49" s="482" t="str">
        <f>IFERROR(IF((((($IY49*COS(RADIANS(180-$JA49)))*COS(RADIANS($JA49)))-(($IZ49*SIN(RADIANS(180-$JA49)))*SIN(RADIANS($JA49))))+$IW49)&lt;(((Settings!$C$19+$IH$8)/2)*-1),"Gage",""),"")</f>
        <v/>
      </c>
      <c r="II49" s="788">
        <f t="shared" si="241"/>
        <v>7.1319999999999997</v>
      </c>
      <c r="IJ49" s="674" t="str" cm="1">
        <f t="array" ref="IJ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K49" s="677" t="str" cm="1">
        <f t="array" ref="IK49">IFERROR(ROUND(VALUE(IF($IJ49&lt;1,$IJ49+LARGE((IF($M$9:$M$150="",0,$M$9:$M$150)-MOD(IF($M$9:$M$150="",0,$M$9:$M$150),1)),1),$IJ49)),4),"")</f>
        <v/>
      </c>
      <c r="IL49" s="482">
        <f t="shared" si="485"/>
        <v>1313</v>
      </c>
      <c r="IM49" s="482" t="str">
        <f t="shared" si="242"/>
        <v/>
      </c>
      <c r="IN49" s="670" t="str">
        <f t="shared" si="486"/>
        <v/>
      </c>
      <c r="IO49" s="702"/>
      <c r="IP49" s="5" t="str">
        <f t="shared" si="487"/>
        <v/>
      </c>
      <c r="IQ49" s="714"/>
      <c r="IR49" s="9" t="str">
        <f t="shared" si="488"/>
        <v/>
      </c>
      <c r="IS49" s="5" t="str">
        <f t="shared" si="489"/>
        <v/>
      </c>
      <c r="IT49" s="5" t="str">
        <f t="shared" si="490"/>
        <v/>
      </c>
      <c r="IU49" s="5" t="str">
        <f t="shared" si="491"/>
        <v/>
      </c>
      <c r="IV49" s="670" t="str">
        <f t="shared" si="492"/>
        <v/>
      </c>
      <c r="IW49" s="9" t="str">
        <f t="shared" si="493"/>
        <v/>
      </c>
      <c r="IX49" s="5" t="str">
        <f t="shared" si="494"/>
        <v/>
      </c>
      <c r="IY49" s="5" t="str">
        <f t="shared" si="495"/>
        <v/>
      </c>
      <c r="IZ49" s="5" t="str">
        <f t="shared" si="496"/>
        <v/>
      </c>
      <c r="JA49" s="705" t="str">
        <f t="shared" si="497"/>
        <v/>
      </c>
      <c r="JM49" s="489">
        <f t="shared" si="133"/>
        <v>32</v>
      </c>
      <c r="JN49" s="960">
        <f>($JO49-SMALL($JO$9:$JO$88,1))/((Settings!$C$19/2)-((Settings!$C$19/2)-LARGE($JO$9:$JO$88,1))-SMALL($JO$9:$JO$88,1))</f>
        <v>0.94050629118450646</v>
      </c>
      <c r="JO49" s="162">
        <f t="shared" si="134"/>
        <v>3.5197833558004921</v>
      </c>
      <c r="JP49" s="961">
        <f t="shared" si="135"/>
        <v>-52.995732713861685</v>
      </c>
      <c r="JQ49" s="961">
        <f t="shared" si="136"/>
        <v>22.760001499121799</v>
      </c>
      <c r="JS49" s="82">
        <v>41</v>
      </c>
      <c r="JT49" s="322">
        <f t="shared" si="137"/>
        <v>3.7236037281772707</v>
      </c>
      <c r="JU49" s="963">
        <f t="shared" si="138"/>
        <v>0.99999771776033053</v>
      </c>
      <c r="JV49" s="961">
        <f t="shared" si="287"/>
        <v>-77.001285222819448</v>
      </c>
      <c r="JW49" s="961">
        <f t="shared" si="92"/>
        <v>29.740255834278436</v>
      </c>
      <c r="JX49" s="1"/>
    </row>
    <row r="50" spans="1:284" ht="15" customHeight="1" x14ac:dyDescent="0.25">
      <c r="A50" s="75">
        <f t="shared" si="322"/>
        <v>0.02</v>
      </c>
      <c r="B50" s="578">
        <f t="shared" ref="B50:D50" si="539">IFERROR(O205+($A50*-E50),"")</f>
        <v>-3.7152140257715867</v>
      </c>
      <c r="C50" s="572">
        <f t="shared" si="539"/>
        <v>0.18896422719417968</v>
      </c>
      <c r="D50" s="576">
        <f t="shared" si="539"/>
        <v>-1.4593812042843264</v>
      </c>
      <c r="E50" s="580">
        <f t="shared" ref="E50:K50" si="540">R205</f>
        <v>-0.52120415117911922</v>
      </c>
      <c r="F50" s="572">
        <f t="shared" si="540"/>
        <v>-0.84287184185452912</v>
      </c>
      <c r="G50" s="579">
        <f t="shared" si="540"/>
        <v>0.13384054319378502</v>
      </c>
      <c r="H50" s="580">
        <f t="shared" si="540"/>
        <v>0.26450000000000001</v>
      </c>
      <c r="I50" s="572">
        <f t="shared" si="540"/>
        <v>0.52</v>
      </c>
      <c r="J50" s="483">
        <f t="shared" si="94"/>
        <v>7.14</v>
      </c>
      <c r="K50" s="806">
        <f t="shared" si="540"/>
        <v>1313</v>
      </c>
      <c r="L50" s="309"/>
      <c r="M50" s="164">
        <f t="shared" si="325"/>
        <v>7.14</v>
      </c>
      <c r="N50" s="575">
        <f t="shared" si="326"/>
        <v>-3.7152140257715867</v>
      </c>
      <c r="O50" s="572">
        <f t="shared" si="327"/>
        <v>0.18896422719417968</v>
      </c>
      <c r="P50" s="576">
        <f t="shared" si="328"/>
        <v>-1.4593812042843264</v>
      </c>
      <c r="Q50" s="528">
        <f t="shared" si="144"/>
        <v>177.0883155488186</v>
      </c>
      <c r="R50" s="572">
        <f t="shared" si="95"/>
        <v>3.7200164967979661</v>
      </c>
      <c r="S50" s="577">
        <f t="shared" si="96"/>
        <v>-1.4593812042843264</v>
      </c>
      <c r="T50" s="578">
        <f t="shared" si="97"/>
        <v>7.8452947117717164E-2</v>
      </c>
      <c r="U50" s="572">
        <f t="shared" si="98"/>
        <v>3.7191891416728939</v>
      </c>
      <c r="V50" s="579">
        <f t="shared" si="145"/>
        <v>-1.4593812042843264</v>
      </c>
      <c r="W50" s="528">
        <f t="shared" si="268"/>
        <v>88.791576318493583</v>
      </c>
      <c r="X50" s="572">
        <f t="shared" si="99"/>
        <v>3.7200164967979661</v>
      </c>
      <c r="Y50" s="573">
        <f t="shared" si="271"/>
        <v>-1.4593812042843264</v>
      </c>
      <c r="Z50" s="575">
        <f t="shared" si="329"/>
        <v>0.52120415117911922</v>
      </c>
      <c r="AA50" s="572">
        <f t="shared" si="330"/>
        <v>0.84287184185452912</v>
      </c>
      <c r="AB50" s="572">
        <f t="shared" si="331"/>
        <v>-0.13384054319378502</v>
      </c>
      <c r="AC50" s="579">
        <f t="shared" si="100"/>
        <v>1</v>
      </c>
      <c r="AD50" s="580">
        <f t="shared" si="146"/>
        <v>0.52120415117911922</v>
      </c>
      <c r="AE50" s="572">
        <f t="shared" si="101"/>
        <v>0.84287184185452912</v>
      </c>
      <c r="AF50" s="576">
        <f t="shared" si="102"/>
        <v>-0.13384054319378502</v>
      </c>
      <c r="AG50" s="545">
        <f t="shared" si="103"/>
        <v>80.977271982423261</v>
      </c>
      <c r="AH50" s="546">
        <f t="shared" si="104"/>
        <v>58.586941711545634</v>
      </c>
      <c r="AI50" s="528">
        <f t="shared" si="105"/>
        <v>-82.308420528127584</v>
      </c>
      <c r="AJ50" s="529">
        <f t="shared" si="106"/>
        <v>148.26872019456613</v>
      </c>
      <c r="AK50" s="578">
        <f t="shared" si="247"/>
        <v>0.86825911422813129</v>
      </c>
      <c r="AL50" s="572">
        <f t="shared" si="107"/>
        <v>-0.47771625423191666</v>
      </c>
      <c r="AM50" s="577">
        <f t="shared" si="108"/>
        <v>-0.13384054319378502</v>
      </c>
      <c r="AN50" s="524">
        <f t="shared" si="109"/>
        <v>-74.348857426455766</v>
      </c>
      <c r="AO50" s="525">
        <f t="shared" si="110"/>
        <v>29.743036733173174</v>
      </c>
      <c r="AP50" s="528">
        <f t="shared" si="111"/>
        <v>-28.819595354252481</v>
      </c>
      <c r="AQ50" s="529">
        <f t="shared" si="332"/>
        <v>0.73535204823978495</v>
      </c>
      <c r="AR50" s="979"/>
      <c r="AS50" s="954">
        <f t="shared" si="524"/>
        <v>88.791576318493583</v>
      </c>
      <c r="AT50" s="950">
        <f t="shared" si="333"/>
        <v>-1.2349724162211604</v>
      </c>
      <c r="AU50" s="418"/>
      <c r="AV50" s="164" t="str">
        <f t="shared" si="334"/>
        <v/>
      </c>
      <c r="AW50" s="829" t="str">
        <f>IFERROR(INDEX(MassProp!C$9:C$150,MATCH($M50,MassProp!$B$9:$B$150,0)),"")</f>
        <v/>
      </c>
      <c r="AX50" s="830" t="str">
        <f>IFERROR(INDEX(MassProp!D$9:D$150,MATCH($M50,MassProp!$B$9:$B$150,0)),"")</f>
        <v/>
      </c>
      <c r="AY50" s="831" t="str">
        <f>IFERROR(INDEX(MassProp!E$9:E$150,MATCH($M50,MassProp!$B$9:$B$150,0)),"")</f>
        <v/>
      </c>
      <c r="AZ50" s="297" t="str">
        <f t="shared" si="335"/>
        <v/>
      </c>
      <c r="BA50" s="296" t="str">
        <f t="shared" si="336"/>
        <v/>
      </c>
      <c r="BB50" s="190" t="str">
        <f t="shared" si="149"/>
        <v/>
      </c>
      <c r="BC50" s="9"/>
      <c r="BD50" s="5" t="str">
        <f t="shared" si="337"/>
        <v/>
      </c>
      <c r="BE50" s="6" t="str">
        <f t="shared" si="338"/>
        <v/>
      </c>
      <c r="BF50" s="4" t="str">
        <f t="shared" si="339"/>
        <v/>
      </c>
      <c r="BG50" s="5" t="str">
        <f t="shared" si="340"/>
        <v/>
      </c>
      <c r="BH50" s="10" t="str">
        <f t="shared" si="341"/>
        <v/>
      </c>
      <c r="BI50" s="9" t="str">
        <f t="shared" si="342"/>
        <v/>
      </c>
      <c r="BJ50" s="5" t="str">
        <f t="shared" si="343"/>
        <v/>
      </c>
      <c r="BK50" s="8" t="str">
        <f t="shared" si="344"/>
        <v/>
      </c>
      <c r="BL50" s="173" t="str">
        <f t="shared" si="345"/>
        <v/>
      </c>
      <c r="BM50" s="5" t="str">
        <f t="shared" si="346"/>
        <v/>
      </c>
      <c r="BN50" s="6" t="str">
        <f t="shared" si="347"/>
        <v/>
      </c>
      <c r="BO50" s="4" t="str">
        <f t="shared" si="348"/>
        <v/>
      </c>
      <c r="BP50" s="5" t="str">
        <f t="shared" si="349"/>
        <v/>
      </c>
      <c r="BQ50" s="5" t="str">
        <f t="shared" si="350"/>
        <v/>
      </c>
      <c r="BR50" s="6" t="str">
        <f t="shared" si="351"/>
        <v/>
      </c>
      <c r="BS50" s="4" t="str">
        <f t="shared" si="519"/>
        <v/>
      </c>
      <c r="BT50" s="5" t="str">
        <f t="shared" si="519"/>
        <v/>
      </c>
      <c r="BU50" s="10" t="str">
        <f t="shared" si="113"/>
        <v/>
      </c>
      <c r="BV50" s="9" t="str">
        <f t="shared" si="114"/>
        <v/>
      </c>
      <c r="BW50" s="5" t="str">
        <f t="shared" si="115"/>
        <v/>
      </c>
      <c r="BX50" s="8" t="str">
        <f t="shared" si="116"/>
        <v/>
      </c>
      <c r="BY50" s="173" t="str">
        <f t="shared" si="117"/>
        <v/>
      </c>
      <c r="BZ50" s="5" t="str">
        <f t="shared" si="118"/>
        <v/>
      </c>
      <c r="CA50" s="6" t="str">
        <f t="shared" si="119"/>
        <v/>
      </c>
      <c r="CB50" s="4" t="str">
        <f t="shared" si="352"/>
        <v/>
      </c>
      <c r="CC50" s="5" t="str">
        <f t="shared" si="353"/>
        <v/>
      </c>
      <c r="CD50" s="5" t="str">
        <f t="shared" si="354"/>
        <v/>
      </c>
      <c r="CE50" s="6" t="str">
        <f t="shared" si="355"/>
        <v/>
      </c>
      <c r="CF50" s="4" t="str">
        <f t="shared" si="356"/>
        <v/>
      </c>
      <c r="CG50" s="5" t="str">
        <f t="shared" si="357"/>
        <v/>
      </c>
      <c r="CH50" s="5" t="str">
        <f t="shared" si="358"/>
        <v/>
      </c>
      <c r="CI50" s="4" t="str">
        <f t="shared" si="120"/>
        <v/>
      </c>
      <c r="CJ50" s="5" t="str">
        <f t="shared" si="359"/>
        <v/>
      </c>
      <c r="CK50" s="8" t="str">
        <f t="shared" si="360"/>
        <v/>
      </c>
      <c r="CL50" s="173" t="str">
        <f t="shared" si="361"/>
        <v/>
      </c>
      <c r="CM50" s="5" t="str">
        <f t="shared" si="362"/>
        <v/>
      </c>
      <c r="CN50" s="6" t="str">
        <f t="shared" si="363"/>
        <v/>
      </c>
      <c r="CO50" s="167" t="str">
        <f t="shared" si="364"/>
        <v/>
      </c>
      <c r="CP50" s="4" t="str">
        <f t="shared" si="365"/>
        <v/>
      </c>
      <c r="CQ50" s="5" t="str">
        <f t="shared" si="366"/>
        <v/>
      </c>
      <c r="CR50" s="5" t="str">
        <f t="shared" si="367"/>
        <v/>
      </c>
      <c r="CS50" s="8" t="str">
        <f t="shared" si="368"/>
        <v/>
      </c>
      <c r="CT50" s="9" t="str">
        <f t="shared" si="165"/>
        <v/>
      </c>
      <c r="CU50" s="6" t="str">
        <f t="shared" si="369"/>
        <v/>
      </c>
      <c r="CV50" s="4" t="str">
        <f t="shared" si="370"/>
        <v/>
      </c>
      <c r="CW50" s="5" t="str">
        <f t="shared" si="371"/>
        <v/>
      </c>
      <c r="CX50" s="8" t="str">
        <f t="shared" si="372"/>
        <v/>
      </c>
      <c r="CY50" s="9" t="str">
        <f t="shared" si="373"/>
        <v/>
      </c>
      <c r="CZ50" s="5" t="str">
        <f t="shared" si="374"/>
        <v/>
      </c>
      <c r="DA50" s="6" t="str">
        <f t="shared" si="375"/>
        <v/>
      </c>
      <c r="DB50" s="4" t="str">
        <f t="shared" si="525"/>
        <v/>
      </c>
      <c r="DC50" s="5" t="str">
        <f t="shared" si="525"/>
        <v/>
      </c>
      <c r="DD50" s="10" t="str">
        <f t="shared" si="173"/>
        <v/>
      </c>
      <c r="DE50" s="9" t="str">
        <f t="shared" si="526"/>
        <v/>
      </c>
      <c r="DF50" s="5" t="str">
        <f t="shared" si="526"/>
        <v/>
      </c>
      <c r="DG50" s="10" t="str">
        <f t="shared" si="175"/>
        <v/>
      </c>
      <c r="DH50" s="70" t="str">
        <f t="shared" si="376"/>
        <v/>
      </c>
      <c r="DI50" s="4" t="str">
        <f t="shared" si="377"/>
        <v/>
      </c>
      <c r="DJ50" s="5" t="str">
        <f t="shared" si="378"/>
        <v/>
      </c>
      <c r="DK50" s="10" t="str">
        <f t="shared" si="379"/>
        <v/>
      </c>
      <c r="DL50" s="9" t="str">
        <f t="shared" si="380"/>
        <v/>
      </c>
      <c r="DM50" s="173" t="str">
        <f t="shared" si="381"/>
        <v/>
      </c>
      <c r="DN50" s="178" t="str">
        <f t="shared" si="382"/>
        <v/>
      </c>
      <c r="DO50" s="9" t="str">
        <f t="shared" si="383"/>
        <v/>
      </c>
      <c r="DP50" s="173" t="str">
        <f t="shared" si="384"/>
        <v/>
      </c>
      <c r="DQ50" s="11" t="str">
        <f t="shared" si="385"/>
        <v/>
      </c>
      <c r="DR50" s="173" t="str">
        <f t="shared" si="386"/>
        <v/>
      </c>
      <c r="DS50" s="5" t="str">
        <f t="shared" si="387"/>
        <v/>
      </c>
      <c r="DT50" s="5" t="str">
        <f t="shared" si="388"/>
        <v/>
      </c>
      <c r="DU50" s="5" t="str">
        <f t="shared" si="389"/>
        <v/>
      </c>
      <c r="DV50" s="5" t="str">
        <f t="shared" si="390"/>
        <v/>
      </c>
      <c r="DW50" s="5" t="str">
        <f t="shared" si="391"/>
        <v/>
      </c>
      <c r="DX50" s="167" t="str">
        <f t="shared" si="392"/>
        <v/>
      </c>
      <c r="DY50" s="9" t="str">
        <f t="shared" si="393"/>
        <v/>
      </c>
      <c r="DZ50" s="5" t="str">
        <f t="shared" si="394"/>
        <v/>
      </c>
      <c r="EA50" s="10" t="str">
        <f t="shared" si="395"/>
        <v/>
      </c>
      <c r="EB50" s="6" t="str">
        <f t="shared" si="396"/>
        <v/>
      </c>
      <c r="EC50" s="173" t="str">
        <f t="shared" si="397"/>
        <v/>
      </c>
      <c r="ED50" s="5" t="str">
        <f t="shared" si="398"/>
        <v/>
      </c>
      <c r="EE50" s="4" t="str">
        <f t="shared" si="399"/>
        <v/>
      </c>
      <c r="EF50" s="5" t="str">
        <f t="shared" si="400"/>
        <v/>
      </c>
      <c r="EG50" s="10" t="str">
        <f t="shared" si="401"/>
        <v/>
      </c>
      <c r="EH50" s="9" t="str">
        <f t="shared" si="402"/>
        <v/>
      </c>
      <c r="EI50" s="5" t="str">
        <f t="shared" si="403"/>
        <v/>
      </c>
      <c r="EJ50" s="6" t="str">
        <f t="shared" si="404"/>
        <v/>
      </c>
      <c r="EK50" s="236" t="str">
        <f t="shared" si="205"/>
        <v/>
      </c>
      <c r="EL50" s="238" t="str">
        <f t="shared" si="206"/>
        <v/>
      </c>
      <c r="EM50" s="4" t="str">
        <f t="shared" si="405"/>
        <v/>
      </c>
      <c r="EN50" s="5" t="str">
        <f t="shared" si="406"/>
        <v/>
      </c>
      <c r="EO50" s="10" t="str">
        <f t="shared" si="407"/>
        <v/>
      </c>
      <c r="EP50" s="9" t="str">
        <f t="shared" si="408"/>
        <v/>
      </c>
      <c r="EQ50" s="5" t="str">
        <f t="shared" si="409"/>
        <v/>
      </c>
      <c r="ER50" s="7" t="str">
        <f t="shared" si="410"/>
        <v/>
      </c>
      <c r="ES50" s="21" t="str">
        <f t="shared" si="411"/>
        <v/>
      </c>
      <c r="ET50" s="5" t="str">
        <f t="shared" si="412"/>
        <v/>
      </c>
      <c r="EU50" s="10" t="str">
        <f t="shared" si="413"/>
        <v/>
      </c>
      <c r="EV50" s="174" t="str">
        <f t="shared" si="414"/>
        <v/>
      </c>
      <c r="EW50" s="9" t="str">
        <f t="shared" si="415"/>
        <v/>
      </c>
      <c r="EX50" s="5" t="str">
        <f t="shared" si="416"/>
        <v/>
      </c>
      <c r="EY50" s="6" t="str">
        <f t="shared" si="417"/>
        <v/>
      </c>
      <c r="EZ50" s="51" t="str">
        <f t="shared" si="214"/>
        <v/>
      </c>
      <c r="FA50" s="266" t="str">
        <f t="shared" si="128"/>
        <v/>
      </c>
      <c r="FB50" s="267" t="str">
        <f t="shared" si="129"/>
        <v/>
      </c>
      <c r="FC50" s="269" t="str">
        <f t="shared" si="38"/>
        <v/>
      </c>
      <c r="FD50" s="4" t="str">
        <f t="shared" si="418"/>
        <v/>
      </c>
      <c r="FE50" s="5" t="str">
        <f t="shared" si="419"/>
        <v/>
      </c>
      <c r="FF50" s="7" t="str">
        <f t="shared" si="420"/>
        <v/>
      </c>
      <c r="FG50" s="173" t="str">
        <f t="shared" si="421"/>
        <v/>
      </c>
      <c r="FH50" s="5" t="str">
        <f t="shared" si="422"/>
        <v/>
      </c>
      <c r="FI50" s="10" t="str">
        <f t="shared" si="423"/>
        <v/>
      </c>
      <c r="FJ50" s="279" t="str">
        <f t="shared" si="424"/>
        <v/>
      </c>
      <c r="FK50" s="4" t="str">
        <f t="shared" si="425"/>
        <v/>
      </c>
      <c r="FL50" s="5" t="str">
        <f t="shared" si="426"/>
        <v/>
      </c>
      <c r="FM50" s="8" t="str">
        <f t="shared" si="427"/>
        <v/>
      </c>
      <c r="FN50" s="9" t="str">
        <f t="shared" si="428"/>
        <v/>
      </c>
      <c r="FO50" s="10" t="str">
        <f t="shared" si="429"/>
        <v/>
      </c>
      <c r="FP50" s="277" t="str">
        <f t="shared" si="430"/>
        <v/>
      </c>
      <c r="FQ50" s="173" t="str">
        <f t="shared" si="431"/>
        <v/>
      </c>
      <c r="FR50" s="10" t="str">
        <f t="shared" si="432"/>
        <v/>
      </c>
      <c r="FS50" s="9" t="str">
        <f t="shared" si="433"/>
        <v/>
      </c>
      <c r="FT50" s="6" t="str">
        <f t="shared" si="434"/>
        <v/>
      </c>
      <c r="FU50" s="4" t="str">
        <f t="shared" si="435"/>
        <v/>
      </c>
      <c r="FV50" s="5" t="str">
        <f t="shared" si="436"/>
        <v/>
      </c>
      <c r="FW50" s="8" t="str">
        <f t="shared" si="437"/>
        <v/>
      </c>
      <c r="FX50" s="9" t="str">
        <f t="shared" si="438"/>
        <v/>
      </c>
      <c r="FY50" s="10" t="str">
        <f t="shared" si="439"/>
        <v/>
      </c>
      <c r="FZ50" s="277" t="str">
        <f t="shared" si="440"/>
        <v/>
      </c>
      <c r="GA50" s="177" t="str">
        <f t="shared" si="441"/>
        <v/>
      </c>
      <c r="GB50" s="4" t="str">
        <f t="shared" si="442"/>
        <v/>
      </c>
      <c r="GC50" s="5" t="str">
        <f t="shared" si="443"/>
        <v/>
      </c>
      <c r="GD50" s="10" t="str">
        <f t="shared" si="444"/>
        <v/>
      </c>
      <c r="GE50" s="311" t="str">
        <f t="shared" si="445"/>
        <v/>
      </c>
      <c r="GF50" s="341" t="str">
        <f t="shared" si="446"/>
        <v/>
      </c>
      <c r="GG50" s="285" t="str">
        <f t="shared" si="447"/>
        <v/>
      </c>
      <c r="GH50" s="286" t="str">
        <f t="shared" si="448"/>
        <v/>
      </c>
      <c r="GI50" s="281" t="str">
        <f t="shared" si="449"/>
        <v/>
      </c>
      <c r="GJ50" s="167" t="str">
        <f t="shared" si="450"/>
        <v/>
      </c>
      <c r="GK50" s="174" t="str">
        <f t="shared" si="49"/>
        <v/>
      </c>
      <c r="GL50" s="174" t="str">
        <f t="shared" si="451"/>
        <v/>
      </c>
      <c r="GM50" s="177" t="str">
        <f t="shared" si="452"/>
        <v/>
      </c>
      <c r="GN50" s="280" t="str">
        <f t="shared" si="453"/>
        <v/>
      </c>
      <c r="GO50" s="4" t="str">
        <f t="shared" si="454"/>
        <v/>
      </c>
      <c r="GP50" s="8" t="str">
        <f t="shared" si="455"/>
        <v/>
      </c>
      <c r="GQ50" s="177" t="str">
        <f t="shared" si="456"/>
        <v/>
      </c>
      <c r="GR50" s="371" t="str">
        <f t="shared" si="457"/>
        <v/>
      </c>
      <c r="GS50" s="342" t="str">
        <f t="shared" si="458"/>
        <v/>
      </c>
      <c r="GT50" s="343" t="str">
        <f t="shared" si="459"/>
        <v/>
      </c>
      <c r="GU50" s="344" t="str">
        <f t="shared" si="53"/>
        <v/>
      </c>
      <c r="GV50" s="343" t="str">
        <f t="shared" si="460"/>
        <v/>
      </c>
      <c r="GW50" s="345" t="str">
        <f t="shared" si="54"/>
        <v/>
      </c>
      <c r="GX50" s="346" t="str">
        <f t="shared" si="55"/>
        <v/>
      </c>
      <c r="GY50" s="344" t="str">
        <f t="shared" si="461"/>
        <v/>
      </c>
      <c r="GZ50" s="345" t="str">
        <f t="shared" si="462"/>
        <v/>
      </c>
      <c r="HA50" s="342" t="str">
        <f t="shared" si="58"/>
        <v/>
      </c>
      <c r="HB50" s="5" t="str">
        <f t="shared" si="236"/>
        <v/>
      </c>
      <c r="HC50" s="343" t="str">
        <f t="shared" si="463"/>
        <v/>
      </c>
      <c r="HD50" s="345" t="str">
        <f t="shared" si="464"/>
        <v/>
      </c>
      <c r="HE50" s="344" t="str">
        <f t="shared" si="59"/>
        <v/>
      </c>
      <c r="HF50" s="5" t="str">
        <f t="shared" si="60"/>
        <v/>
      </c>
      <c r="HG50" s="343" t="str">
        <f t="shared" si="465"/>
        <v/>
      </c>
      <c r="HH50" s="349" t="str">
        <f t="shared" si="466"/>
        <v/>
      </c>
      <c r="HI50" s="317" t="str">
        <f t="shared" si="467"/>
        <v/>
      </c>
      <c r="HJ50" s="336"/>
      <c r="HK50" s="310" t="str">
        <f t="shared" si="520"/>
        <v/>
      </c>
      <c r="HL50" s="348" t="str">
        <f t="shared" si="468"/>
        <v/>
      </c>
      <c r="HM50" s="923" t="str">
        <f t="shared" si="469"/>
        <v/>
      </c>
      <c r="HN50" s="924" t="str">
        <f t="shared" si="470"/>
        <v/>
      </c>
      <c r="HO50" s="925"/>
      <c r="HP50" s="926"/>
      <c r="HQ50" s="924" t="str">
        <f t="shared" si="471"/>
        <v/>
      </c>
      <c r="HR50" s="927" t="str">
        <f t="shared" si="472"/>
        <v/>
      </c>
      <c r="HS50" s="879" t="str">
        <f t="shared" si="521"/>
        <v/>
      </c>
      <c r="HT50" s="889" t="str">
        <f t="shared" si="473"/>
        <v/>
      </c>
      <c r="HU50" s="890" t="str">
        <f t="shared" si="474"/>
        <v/>
      </c>
      <c r="HV50" s="886" t="str">
        <f t="shared" si="475"/>
        <v/>
      </c>
      <c r="HW50" s="880" t="str">
        <f t="shared" si="476"/>
        <v/>
      </c>
      <c r="HX50" s="881" t="str">
        <f t="shared" si="477"/>
        <v/>
      </c>
      <c r="HY50" s="880" t="str">
        <f t="shared" si="478"/>
        <v/>
      </c>
      <c r="HZ50" s="882" t="str">
        <f t="shared" si="479"/>
        <v/>
      </c>
      <c r="IA50" s="883" t="str">
        <f t="shared" si="480"/>
        <v/>
      </c>
      <c r="IB50" s="884" t="str">
        <f t="shared" si="481"/>
        <v/>
      </c>
      <c r="IC50" s="855" t="str">
        <f t="shared" si="482"/>
        <v/>
      </c>
      <c r="ID50" s="351" t="str">
        <f t="shared" si="483"/>
        <v/>
      </c>
      <c r="IE50" s="857" t="str">
        <f t="shared" si="484"/>
        <v/>
      </c>
      <c r="IF50" s="858"/>
      <c r="IG50" s="790" t="str">
        <f>IFERROR(IF($IW50="","",IF($IW50&lt;(((Settings!$C$19/2)*-1)*$IG$8),"Taper","Nose")),"")</f>
        <v/>
      </c>
      <c r="IH50" s="482" t="str">
        <f>IFERROR(IF((((($IY50*COS(RADIANS(180-$JA50)))*COS(RADIANS($JA50)))-(($IZ50*SIN(RADIANS(180-$JA50)))*SIN(RADIANS($JA50))))+$IW50)&lt;(((Settings!$C$19+$IH$8)/2)*-1),"Gage",""),"")</f>
        <v/>
      </c>
      <c r="II50" s="788">
        <f t="shared" si="241"/>
        <v>7.14</v>
      </c>
      <c r="IJ50" s="674" t="str" cm="1">
        <f t="array" ref="IJ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K50" s="677" t="str" cm="1">
        <f t="array" ref="IK50">IFERROR(ROUND(VALUE(IF($IJ50&lt;1,$IJ50+LARGE((IF($M$9:$M$150="",0,$M$9:$M$150)-MOD(IF($M$9:$M$150="",0,$M$9:$M$150),1)),1),$IJ50)),4),"")</f>
        <v/>
      </c>
      <c r="IL50" s="482">
        <f t="shared" si="485"/>
        <v>1313</v>
      </c>
      <c r="IM50" s="482" t="str">
        <f t="shared" si="242"/>
        <v/>
      </c>
      <c r="IN50" s="670" t="str">
        <f t="shared" si="486"/>
        <v/>
      </c>
      <c r="IO50" s="702"/>
      <c r="IP50" s="5" t="str">
        <f t="shared" si="487"/>
        <v/>
      </c>
      <c r="IQ50" s="714"/>
      <c r="IR50" s="9" t="str">
        <f t="shared" si="488"/>
        <v/>
      </c>
      <c r="IS50" s="5" t="str">
        <f t="shared" si="489"/>
        <v/>
      </c>
      <c r="IT50" s="5" t="str">
        <f t="shared" si="490"/>
        <v/>
      </c>
      <c r="IU50" s="5" t="str">
        <f t="shared" si="491"/>
        <v/>
      </c>
      <c r="IV50" s="670" t="str">
        <f t="shared" si="492"/>
        <v/>
      </c>
      <c r="IW50" s="9" t="str">
        <f t="shared" si="493"/>
        <v/>
      </c>
      <c r="IX50" s="5" t="str">
        <f t="shared" si="494"/>
        <v/>
      </c>
      <c r="IY50" s="5" t="str">
        <f t="shared" si="495"/>
        <v/>
      </c>
      <c r="IZ50" s="5" t="str">
        <f t="shared" si="496"/>
        <v/>
      </c>
      <c r="JA50" s="705" t="str">
        <f t="shared" si="497"/>
        <v/>
      </c>
      <c r="JM50" s="489">
        <f t="shared" si="133"/>
        <v>40</v>
      </c>
      <c r="JN50" s="960">
        <f>($JO50-SMALL($JO$9:$JO$88,1))/((Settings!$C$19/2)-((Settings!$C$19/2)-LARGE($JO$9:$JO$88,1))-SMALL($JO$9:$JO$88,1))</f>
        <v>0.99895067074670862</v>
      </c>
      <c r="JO50" s="162">
        <f t="shared" si="134"/>
        <v>3.7200164967979661</v>
      </c>
      <c r="JP50" s="961">
        <f t="shared" si="135"/>
        <v>-74.348857426455766</v>
      </c>
      <c r="JQ50" s="961">
        <f t="shared" si="136"/>
        <v>29.743036733173174</v>
      </c>
      <c r="JS50" s="82">
        <v>42</v>
      </c>
      <c r="JT50" s="322">
        <f t="shared" si="137"/>
        <v>3.7236115472356808</v>
      </c>
      <c r="JU50" s="963">
        <f t="shared" si="138"/>
        <v>1</v>
      </c>
      <c r="JV50" s="961">
        <f t="shared" si="287"/>
        <v>-79.653817237246486</v>
      </c>
      <c r="JW50" s="961">
        <f t="shared" si="92"/>
        <v>29.737780066539504</v>
      </c>
      <c r="JX50" s="1"/>
    </row>
    <row r="51" spans="1:284" ht="15" customHeight="1" x14ac:dyDescent="0.25">
      <c r="A51" s="75">
        <f t="shared" si="322"/>
        <v>0.02</v>
      </c>
      <c r="B51" s="578">
        <f t="shared" ref="B51:D51" si="541">IFERROR(O206+($A51*-E51),"")</f>
        <v>-1.7355418873102881</v>
      </c>
      <c r="C51" s="572">
        <f t="shared" si="541"/>
        <v>1.5643374208045948</v>
      </c>
      <c r="D51" s="576">
        <f t="shared" si="541"/>
        <v>-6.80172254586945E-2</v>
      </c>
      <c r="E51" s="580">
        <f t="shared" ref="E51:K51" si="542">R206</f>
        <v>-0.66999519340004665</v>
      </c>
      <c r="F51" s="572">
        <f t="shared" si="542"/>
        <v>-0.69688327832559049</v>
      </c>
      <c r="G51" s="579">
        <f t="shared" si="542"/>
        <v>0.25585178758611737</v>
      </c>
      <c r="H51" s="580">
        <f t="shared" si="542"/>
        <v>0.26450000000000001</v>
      </c>
      <c r="I51" s="572">
        <f t="shared" si="542"/>
        <v>0.52</v>
      </c>
      <c r="J51" s="483">
        <f t="shared" si="94"/>
        <v>8.1150000000000002</v>
      </c>
      <c r="K51" s="806">
        <f t="shared" si="542"/>
        <v>1313</v>
      </c>
      <c r="L51" s="309"/>
      <c r="M51" s="164">
        <f t="shared" si="325"/>
        <v>8.1150000000000002</v>
      </c>
      <c r="N51" s="575">
        <f t="shared" si="326"/>
        <v>-1.7355418873102881</v>
      </c>
      <c r="O51" s="572">
        <f t="shared" si="327"/>
        <v>1.5643374208045948</v>
      </c>
      <c r="P51" s="576">
        <f t="shared" si="328"/>
        <v>-6.80172254586945E-2</v>
      </c>
      <c r="Q51" s="528">
        <f t="shared" si="144"/>
        <v>137.96995897776645</v>
      </c>
      <c r="R51" s="572">
        <f t="shared" si="95"/>
        <v>2.3365053410463519</v>
      </c>
      <c r="S51" s="577">
        <f t="shared" si="96"/>
        <v>-6.80172254586945E-2</v>
      </c>
      <c r="T51" s="578">
        <f t="shared" si="97"/>
        <v>1.5120605124461681</v>
      </c>
      <c r="U51" s="572">
        <f t="shared" si="98"/>
        <v>1.7812720778811868</v>
      </c>
      <c r="V51" s="579">
        <f t="shared" si="145"/>
        <v>-6.80172254586945E-2</v>
      </c>
      <c r="W51" s="528">
        <f t="shared" si="268"/>
        <v>49.673219747441436</v>
      </c>
      <c r="X51" s="572">
        <f t="shared" si="99"/>
        <v>2.3365053410463519</v>
      </c>
      <c r="Y51" s="573">
        <f t="shared" si="271"/>
        <v>-6.80172254586945E-2</v>
      </c>
      <c r="Z51" s="575">
        <f t="shared" si="329"/>
        <v>0.66999519340004665</v>
      </c>
      <c r="AA51" s="572">
        <f t="shared" si="330"/>
        <v>0.69688327832559049</v>
      </c>
      <c r="AB51" s="572">
        <f t="shared" si="331"/>
        <v>-0.25585178758611737</v>
      </c>
      <c r="AC51" s="579">
        <f t="shared" si="100"/>
        <v>1</v>
      </c>
      <c r="AD51" s="580">
        <f t="shared" si="146"/>
        <v>0.66999519340004665</v>
      </c>
      <c r="AE51" s="572">
        <f t="shared" si="101"/>
        <v>0.69688327832559049</v>
      </c>
      <c r="AF51" s="576">
        <f t="shared" si="102"/>
        <v>-0.25585178758611737</v>
      </c>
      <c r="AG51" s="545">
        <f t="shared" si="103"/>
        <v>69.83993475241337</v>
      </c>
      <c r="AH51" s="546">
        <f t="shared" si="104"/>
        <v>47.933306172071219</v>
      </c>
      <c r="AI51" s="528">
        <f t="shared" si="105"/>
        <v>-75.175936580471287</v>
      </c>
      <c r="AJ51" s="529">
        <f t="shared" si="106"/>
        <v>136.12692909628777</v>
      </c>
      <c r="AK51" s="578">
        <f t="shared" si="247"/>
        <v>0.96621592651017818</v>
      </c>
      <c r="AL51" s="572">
        <f t="shared" si="107"/>
        <v>-3.10909335187316E-2</v>
      </c>
      <c r="AM51" s="577">
        <f t="shared" si="108"/>
        <v>-0.25585178758611737</v>
      </c>
      <c r="AN51" s="524">
        <f t="shared" si="109"/>
        <v>-6.9285724353836047</v>
      </c>
      <c r="AO51" s="525">
        <f t="shared" si="110"/>
        <v>14.935644485399896</v>
      </c>
      <c r="AP51" s="528">
        <f t="shared" si="111"/>
        <v>-1.8430298814786878</v>
      </c>
      <c r="AQ51" s="529">
        <f t="shared" si="332"/>
        <v>1.1706762274498881</v>
      </c>
      <c r="AR51" s="979"/>
      <c r="AS51" s="954">
        <f t="shared" si="524"/>
        <v>49.673219747441436</v>
      </c>
      <c r="AT51" s="950">
        <f t="shared" si="333"/>
        <v>0.18899019308034837</v>
      </c>
      <c r="AU51" s="418"/>
      <c r="AV51" s="164" t="str">
        <f t="shared" si="334"/>
        <v/>
      </c>
      <c r="AW51" s="829" t="str">
        <f>IFERROR(INDEX(MassProp!C$9:C$150,MATCH($M51,MassProp!$B$9:$B$150,0)),"")</f>
        <v/>
      </c>
      <c r="AX51" s="830" t="str">
        <f>IFERROR(INDEX(MassProp!D$9:D$150,MATCH($M51,MassProp!$B$9:$B$150,0)),"")</f>
        <v/>
      </c>
      <c r="AY51" s="831" t="str">
        <f>IFERROR(INDEX(MassProp!E$9:E$150,MATCH($M51,MassProp!$B$9:$B$150,0)),"")</f>
        <v/>
      </c>
      <c r="AZ51" s="297" t="str">
        <f t="shared" si="335"/>
        <v/>
      </c>
      <c r="BA51" s="296" t="str">
        <f t="shared" si="336"/>
        <v/>
      </c>
      <c r="BB51" s="190" t="str">
        <f t="shared" si="149"/>
        <v/>
      </c>
      <c r="BC51" s="9"/>
      <c r="BD51" s="5" t="str">
        <f t="shared" si="337"/>
        <v/>
      </c>
      <c r="BE51" s="6" t="str">
        <f t="shared" si="338"/>
        <v/>
      </c>
      <c r="BF51" s="4" t="str">
        <f t="shared" si="339"/>
        <v/>
      </c>
      <c r="BG51" s="5" t="str">
        <f t="shared" si="340"/>
        <v/>
      </c>
      <c r="BH51" s="10" t="str">
        <f t="shared" si="341"/>
        <v/>
      </c>
      <c r="BI51" s="9" t="str">
        <f t="shared" si="342"/>
        <v/>
      </c>
      <c r="BJ51" s="5" t="str">
        <f t="shared" si="343"/>
        <v/>
      </c>
      <c r="BK51" s="8" t="str">
        <f t="shared" si="344"/>
        <v/>
      </c>
      <c r="BL51" s="173" t="str">
        <f t="shared" si="345"/>
        <v/>
      </c>
      <c r="BM51" s="5" t="str">
        <f t="shared" si="346"/>
        <v/>
      </c>
      <c r="BN51" s="6" t="str">
        <f t="shared" si="347"/>
        <v/>
      </c>
      <c r="BO51" s="4" t="str">
        <f t="shared" si="348"/>
        <v/>
      </c>
      <c r="BP51" s="5" t="str">
        <f t="shared" si="349"/>
        <v/>
      </c>
      <c r="BQ51" s="5" t="str">
        <f t="shared" si="350"/>
        <v/>
      </c>
      <c r="BR51" s="6" t="str">
        <f t="shared" si="351"/>
        <v/>
      </c>
      <c r="BS51" s="4" t="str">
        <f t="shared" si="519"/>
        <v/>
      </c>
      <c r="BT51" s="5" t="str">
        <f t="shared" si="519"/>
        <v/>
      </c>
      <c r="BU51" s="10" t="str">
        <f t="shared" si="113"/>
        <v/>
      </c>
      <c r="BV51" s="9" t="str">
        <f t="shared" si="114"/>
        <v/>
      </c>
      <c r="BW51" s="5" t="str">
        <f t="shared" si="115"/>
        <v/>
      </c>
      <c r="BX51" s="8" t="str">
        <f t="shared" si="116"/>
        <v/>
      </c>
      <c r="BY51" s="173" t="str">
        <f t="shared" si="117"/>
        <v/>
      </c>
      <c r="BZ51" s="5" t="str">
        <f t="shared" si="118"/>
        <v/>
      </c>
      <c r="CA51" s="6" t="str">
        <f t="shared" si="119"/>
        <v/>
      </c>
      <c r="CB51" s="4" t="str">
        <f t="shared" si="352"/>
        <v/>
      </c>
      <c r="CC51" s="5" t="str">
        <f t="shared" si="353"/>
        <v/>
      </c>
      <c r="CD51" s="5" t="str">
        <f t="shared" si="354"/>
        <v/>
      </c>
      <c r="CE51" s="6" t="str">
        <f t="shared" si="355"/>
        <v/>
      </c>
      <c r="CF51" s="4" t="str">
        <f t="shared" si="356"/>
        <v/>
      </c>
      <c r="CG51" s="5" t="str">
        <f t="shared" si="357"/>
        <v/>
      </c>
      <c r="CH51" s="5" t="str">
        <f t="shared" si="358"/>
        <v/>
      </c>
      <c r="CI51" s="4" t="str">
        <f t="shared" si="120"/>
        <v/>
      </c>
      <c r="CJ51" s="5" t="str">
        <f t="shared" si="359"/>
        <v/>
      </c>
      <c r="CK51" s="8" t="str">
        <f t="shared" si="360"/>
        <v/>
      </c>
      <c r="CL51" s="173" t="str">
        <f t="shared" si="361"/>
        <v/>
      </c>
      <c r="CM51" s="5" t="str">
        <f t="shared" si="362"/>
        <v/>
      </c>
      <c r="CN51" s="6" t="str">
        <f t="shared" si="363"/>
        <v/>
      </c>
      <c r="CO51" s="167" t="str">
        <f t="shared" si="364"/>
        <v/>
      </c>
      <c r="CP51" s="4" t="str">
        <f t="shared" si="365"/>
        <v/>
      </c>
      <c r="CQ51" s="5" t="str">
        <f t="shared" si="366"/>
        <v/>
      </c>
      <c r="CR51" s="5" t="str">
        <f t="shared" si="367"/>
        <v/>
      </c>
      <c r="CS51" s="8" t="str">
        <f t="shared" si="368"/>
        <v/>
      </c>
      <c r="CT51" s="9" t="str">
        <f t="shared" si="165"/>
        <v/>
      </c>
      <c r="CU51" s="6" t="str">
        <f t="shared" si="369"/>
        <v/>
      </c>
      <c r="CV51" s="4" t="str">
        <f t="shared" si="370"/>
        <v/>
      </c>
      <c r="CW51" s="5" t="str">
        <f t="shared" si="371"/>
        <v/>
      </c>
      <c r="CX51" s="8" t="str">
        <f t="shared" si="372"/>
        <v/>
      </c>
      <c r="CY51" s="9" t="str">
        <f t="shared" si="373"/>
        <v/>
      </c>
      <c r="CZ51" s="5" t="str">
        <f t="shared" si="374"/>
        <v/>
      </c>
      <c r="DA51" s="6" t="str">
        <f t="shared" si="375"/>
        <v/>
      </c>
      <c r="DB51" s="4" t="str">
        <f t="shared" si="525"/>
        <v/>
      </c>
      <c r="DC51" s="5" t="str">
        <f t="shared" si="525"/>
        <v/>
      </c>
      <c r="DD51" s="10" t="str">
        <f t="shared" si="173"/>
        <v/>
      </c>
      <c r="DE51" s="9" t="str">
        <f t="shared" si="526"/>
        <v/>
      </c>
      <c r="DF51" s="5" t="str">
        <f t="shared" si="526"/>
        <v/>
      </c>
      <c r="DG51" s="10" t="str">
        <f t="shared" si="175"/>
        <v/>
      </c>
      <c r="DH51" s="70" t="str">
        <f t="shared" si="376"/>
        <v/>
      </c>
      <c r="DI51" s="4" t="str">
        <f t="shared" si="377"/>
        <v/>
      </c>
      <c r="DJ51" s="5" t="str">
        <f t="shared" si="378"/>
        <v/>
      </c>
      <c r="DK51" s="10" t="str">
        <f t="shared" si="379"/>
        <v/>
      </c>
      <c r="DL51" s="9" t="str">
        <f t="shared" si="380"/>
        <v/>
      </c>
      <c r="DM51" s="173" t="str">
        <f t="shared" si="381"/>
        <v/>
      </c>
      <c r="DN51" s="178" t="str">
        <f t="shared" si="382"/>
        <v/>
      </c>
      <c r="DO51" s="9" t="str">
        <f t="shared" si="383"/>
        <v/>
      </c>
      <c r="DP51" s="173" t="str">
        <f t="shared" si="384"/>
        <v/>
      </c>
      <c r="DQ51" s="11" t="str">
        <f t="shared" si="385"/>
        <v/>
      </c>
      <c r="DR51" s="173" t="str">
        <f t="shared" si="386"/>
        <v/>
      </c>
      <c r="DS51" s="5" t="str">
        <f t="shared" si="387"/>
        <v/>
      </c>
      <c r="DT51" s="5" t="str">
        <f t="shared" si="388"/>
        <v/>
      </c>
      <c r="DU51" s="5" t="str">
        <f t="shared" si="389"/>
        <v/>
      </c>
      <c r="DV51" s="5" t="str">
        <f t="shared" si="390"/>
        <v/>
      </c>
      <c r="DW51" s="5" t="str">
        <f t="shared" si="391"/>
        <v/>
      </c>
      <c r="DX51" s="167" t="str">
        <f t="shared" si="392"/>
        <v/>
      </c>
      <c r="DY51" s="9" t="str">
        <f t="shared" si="393"/>
        <v/>
      </c>
      <c r="DZ51" s="5" t="str">
        <f t="shared" si="394"/>
        <v/>
      </c>
      <c r="EA51" s="10" t="str">
        <f t="shared" si="395"/>
        <v/>
      </c>
      <c r="EB51" s="6" t="str">
        <f t="shared" si="396"/>
        <v/>
      </c>
      <c r="EC51" s="173" t="str">
        <f t="shared" si="397"/>
        <v/>
      </c>
      <c r="ED51" s="5" t="str">
        <f t="shared" si="398"/>
        <v/>
      </c>
      <c r="EE51" s="4" t="str">
        <f t="shared" si="399"/>
        <v/>
      </c>
      <c r="EF51" s="5" t="str">
        <f t="shared" si="400"/>
        <v/>
      </c>
      <c r="EG51" s="10" t="str">
        <f t="shared" si="401"/>
        <v/>
      </c>
      <c r="EH51" s="9" t="str">
        <f t="shared" si="402"/>
        <v/>
      </c>
      <c r="EI51" s="5" t="str">
        <f t="shared" si="403"/>
        <v/>
      </c>
      <c r="EJ51" s="6" t="str">
        <f t="shared" si="404"/>
        <v/>
      </c>
      <c r="EK51" s="236" t="str">
        <f t="shared" si="205"/>
        <v/>
      </c>
      <c r="EL51" s="238" t="str">
        <f t="shared" si="206"/>
        <v/>
      </c>
      <c r="EM51" s="4" t="str">
        <f t="shared" si="405"/>
        <v/>
      </c>
      <c r="EN51" s="5" t="str">
        <f t="shared" si="406"/>
        <v/>
      </c>
      <c r="EO51" s="10" t="str">
        <f t="shared" si="407"/>
        <v/>
      </c>
      <c r="EP51" s="9" t="str">
        <f t="shared" si="408"/>
        <v/>
      </c>
      <c r="EQ51" s="5" t="str">
        <f t="shared" si="409"/>
        <v/>
      </c>
      <c r="ER51" s="7" t="str">
        <f t="shared" si="410"/>
        <v/>
      </c>
      <c r="ES51" s="21" t="str">
        <f t="shared" si="411"/>
        <v/>
      </c>
      <c r="ET51" s="5" t="str">
        <f t="shared" si="412"/>
        <v/>
      </c>
      <c r="EU51" s="10" t="str">
        <f t="shared" si="413"/>
        <v/>
      </c>
      <c r="EV51" s="174" t="str">
        <f t="shared" si="414"/>
        <v/>
      </c>
      <c r="EW51" s="9" t="str">
        <f t="shared" si="415"/>
        <v/>
      </c>
      <c r="EX51" s="5" t="str">
        <f t="shared" si="416"/>
        <v/>
      </c>
      <c r="EY51" s="6" t="str">
        <f t="shared" si="417"/>
        <v/>
      </c>
      <c r="EZ51" s="51" t="str">
        <f t="shared" si="214"/>
        <v/>
      </c>
      <c r="FA51" s="266" t="str">
        <f t="shared" si="128"/>
        <v/>
      </c>
      <c r="FB51" s="267" t="str">
        <f t="shared" si="129"/>
        <v/>
      </c>
      <c r="FC51" s="269" t="str">
        <f t="shared" si="38"/>
        <v/>
      </c>
      <c r="FD51" s="4" t="str">
        <f t="shared" si="418"/>
        <v/>
      </c>
      <c r="FE51" s="5" t="str">
        <f t="shared" si="419"/>
        <v/>
      </c>
      <c r="FF51" s="7" t="str">
        <f t="shared" si="420"/>
        <v/>
      </c>
      <c r="FG51" s="173" t="str">
        <f t="shared" si="421"/>
        <v/>
      </c>
      <c r="FH51" s="5" t="str">
        <f t="shared" si="422"/>
        <v/>
      </c>
      <c r="FI51" s="10" t="str">
        <f t="shared" si="423"/>
        <v/>
      </c>
      <c r="FJ51" s="279" t="str">
        <f t="shared" si="424"/>
        <v/>
      </c>
      <c r="FK51" s="4" t="str">
        <f t="shared" si="425"/>
        <v/>
      </c>
      <c r="FL51" s="5" t="str">
        <f t="shared" si="426"/>
        <v/>
      </c>
      <c r="FM51" s="8" t="str">
        <f t="shared" si="427"/>
        <v/>
      </c>
      <c r="FN51" s="9" t="str">
        <f t="shared" si="428"/>
        <v/>
      </c>
      <c r="FO51" s="10" t="str">
        <f t="shared" si="429"/>
        <v/>
      </c>
      <c r="FP51" s="277" t="str">
        <f t="shared" si="430"/>
        <v/>
      </c>
      <c r="FQ51" s="173" t="str">
        <f t="shared" si="431"/>
        <v/>
      </c>
      <c r="FR51" s="10" t="str">
        <f t="shared" si="432"/>
        <v/>
      </c>
      <c r="FS51" s="9" t="str">
        <f t="shared" si="433"/>
        <v/>
      </c>
      <c r="FT51" s="6" t="str">
        <f t="shared" si="434"/>
        <v/>
      </c>
      <c r="FU51" s="4" t="str">
        <f t="shared" si="435"/>
        <v/>
      </c>
      <c r="FV51" s="5" t="str">
        <f t="shared" si="436"/>
        <v/>
      </c>
      <c r="FW51" s="8" t="str">
        <f t="shared" si="437"/>
        <v/>
      </c>
      <c r="FX51" s="9" t="str">
        <f t="shared" si="438"/>
        <v/>
      </c>
      <c r="FY51" s="10" t="str">
        <f t="shared" si="439"/>
        <v/>
      </c>
      <c r="FZ51" s="277" t="str">
        <f t="shared" si="440"/>
        <v/>
      </c>
      <c r="GA51" s="177" t="str">
        <f t="shared" si="441"/>
        <v/>
      </c>
      <c r="GB51" s="4" t="str">
        <f t="shared" si="442"/>
        <v/>
      </c>
      <c r="GC51" s="5" t="str">
        <f t="shared" si="443"/>
        <v/>
      </c>
      <c r="GD51" s="10" t="str">
        <f t="shared" si="444"/>
        <v/>
      </c>
      <c r="GE51" s="311" t="str">
        <f t="shared" si="445"/>
        <v/>
      </c>
      <c r="GF51" s="341" t="str">
        <f t="shared" si="446"/>
        <v/>
      </c>
      <c r="GG51" s="285" t="str">
        <f t="shared" si="447"/>
        <v/>
      </c>
      <c r="GH51" s="286" t="str">
        <f t="shared" si="448"/>
        <v/>
      </c>
      <c r="GI51" s="281" t="str">
        <f t="shared" si="449"/>
        <v/>
      </c>
      <c r="GJ51" s="167" t="str">
        <f t="shared" si="450"/>
        <v/>
      </c>
      <c r="GK51" s="174" t="str">
        <f t="shared" si="49"/>
        <v/>
      </c>
      <c r="GL51" s="174" t="str">
        <f t="shared" si="451"/>
        <v/>
      </c>
      <c r="GM51" s="177" t="str">
        <f t="shared" si="452"/>
        <v/>
      </c>
      <c r="GN51" s="280" t="str">
        <f t="shared" si="453"/>
        <v/>
      </c>
      <c r="GO51" s="4" t="str">
        <f t="shared" si="454"/>
        <v/>
      </c>
      <c r="GP51" s="8" t="str">
        <f t="shared" si="455"/>
        <v/>
      </c>
      <c r="GQ51" s="177" t="str">
        <f t="shared" si="456"/>
        <v/>
      </c>
      <c r="GR51" s="371" t="str">
        <f t="shared" si="457"/>
        <v/>
      </c>
      <c r="GS51" s="342" t="str">
        <f t="shared" si="458"/>
        <v/>
      </c>
      <c r="GT51" s="343" t="str">
        <f t="shared" si="459"/>
        <v/>
      </c>
      <c r="GU51" s="344" t="str">
        <f t="shared" si="53"/>
        <v/>
      </c>
      <c r="GV51" s="343" t="str">
        <f t="shared" si="460"/>
        <v/>
      </c>
      <c r="GW51" s="345" t="str">
        <f t="shared" si="54"/>
        <v/>
      </c>
      <c r="GX51" s="346" t="str">
        <f t="shared" si="55"/>
        <v/>
      </c>
      <c r="GY51" s="344" t="str">
        <f t="shared" si="461"/>
        <v/>
      </c>
      <c r="GZ51" s="345" t="str">
        <f t="shared" si="462"/>
        <v/>
      </c>
      <c r="HA51" s="342" t="str">
        <f t="shared" si="58"/>
        <v/>
      </c>
      <c r="HB51" s="5" t="str">
        <f t="shared" si="236"/>
        <v/>
      </c>
      <c r="HC51" s="343" t="str">
        <f t="shared" si="463"/>
        <v/>
      </c>
      <c r="HD51" s="345" t="str">
        <f t="shared" si="464"/>
        <v/>
      </c>
      <c r="HE51" s="344" t="str">
        <f t="shared" si="59"/>
        <v/>
      </c>
      <c r="HF51" s="5" t="str">
        <f t="shared" si="60"/>
        <v/>
      </c>
      <c r="HG51" s="343" t="str">
        <f t="shared" si="465"/>
        <v/>
      </c>
      <c r="HH51" s="349" t="str">
        <f t="shared" si="466"/>
        <v/>
      </c>
      <c r="HI51" s="317" t="str">
        <f t="shared" si="467"/>
        <v/>
      </c>
      <c r="HJ51" s="336"/>
      <c r="HK51" s="310" t="str">
        <f t="shared" si="520"/>
        <v/>
      </c>
      <c r="HL51" s="348" t="str">
        <f t="shared" si="468"/>
        <v/>
      </c>
      <c r="HM51" s="923" t="str">
        <f t="shared" si="469"/>
        <v/>
      </c>
      <c r="HN51" s="924" t="str">
        <f t="shared" si="470"/>
        <v/>
      </c>
      <c r="HO51" s="925"/>
      <c r="HP51" s="926"/>
      <c r="HQ51" s="924" t="str">
        <f t="shared" si="471"/>
        <v/>
      </c>
      <c r="HR51" s="927" t="str">
        <f t="shared" si="472"/>
        <v/>
      </c>
      <c r="HS51" s="879" t="str">
        <f t="shared" si="521"/>
        <v/>
      </c>
      <c r="HT51" s="889" t="str">
        <f t="shared" si="473"/>
        <v/>
      </c>
      <c r="HU51" s="890" t="str">
        <f t="shared" si="474"/>
        <v/>
      </c>
      <c r="HV51" s="886" t="str">
        <f t="shared" si="475"/>
        <v/>
      </c>
      <c r="HW51" s="880" t="str">
        <f t="shared" si="476"/>
        <v/>
      </c>
      <c r="HX51" s="881" t="str">
        <f t="shared" si="477"/>
        <v/>
      </c>
      <c r="HY51" s="880" t="str">
        <f t="shared" si="478"/>
        <v/>
      </c>
      <c r="HZ51" s="882" t="str">
        <f t="shared" si="479"/>
        <v/>
      </c>
      <c r="IA51" s="883" t="str">
        <f t="shared" si="480"/>
        <v/>
      </c>
      <c r="IB51" s="884" t="str">
        <f t="shared" si="481"/>
        <v/>
      </c>
      <c r="IC51" s="855" t="str">
        <f t="shared" si="482"/>
        <v/>
      </c>
      <c r="ID51" s="351" t="str">
        <f t="shared" si="483"/>
        <v/>
      </c>
      <c r="IE51" s="857" t="str">
        <f t="shared" si="484"/>
        <v/>
      </c>
      <c r="IF51" s="858"/>
      <c r="IG51" s="790" t="str">
        <f>IFERROR(IF($IW51="","",IF($IW51&lt;(((Settings!$C$19/2)*-1)*$IG$8),"Taper","Nose")),"")</f>
        <v/>
      </c>
      <c r="IH51" s="482" t="str">
        <f>IFERROR(IF((((($IY51*COS(RADIANS(180-$JA51)))*COS(RADIANS($JA51)))-(($IZ51*SIN(RADIANS(180-$JA51)))*SIN(RADIANS($JA51))))+$IW51)&lt;(((Settings!$C$19+$IH$8)/2)*-1),"Gage",""),"")</f>
        <v/>
      </c>
      <c r="II51" s="788">
        <f t="shared" si="241"/>
        <v>8.1150000000000002</v>
      </c>
      <c r="IJ51" s="674" t="str" cm="1">
        <f t="array" ref="IJ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K51" s="677" t="str" cm="1">
        <f t="array" ref="IK51">IFERROR(ROUND(VALUE(IF($IJ51&lt;1,$IJ51+LARGE((IF($M$9:$M$150="",0,$M$9:$M$150)-MOD(IF($M$9:$M$150="",0,$M$9:$M$150),1)),1),$IJ51)),4),"")</f>
        <v/>
      </c>
      <c r="IL51" s="482">
        <f t="shared" si="485"/>
        <v>1313</v>
      </c>
      <c r="IM51" s="482" t="str">
        <f t="shared" si="242"/>
        <v/>
      </c>
      <c r="IN51" s="670" t="str">
        <f t="shared" si="486"/>
        <v/>
      </c>
      <c r="IO51" s="702"/>
      <c r="IP51" s="5" t="str">
        <f t="shared" si="487"/>
        <v/>
      </c>
      <c r="IQ51" s="714"/>
      <c r="IR51" s="9" t="str">
        <f t="shared" si="488"/>
        <v/>
      </c>
      <c r="IS51" s="5" t="str">
        <f t="shared" si="489"/>
        <v/>
      </c>
      <c r="IT51" s="5" t="str">
        <f t="shared" si="490"/>
        <v/>
      </c>
      <c r="IU51" s="5" t="str">
        <f t="shared" si="491"/>
        <v/>
      </c>
      <c r="IV51" s="670" t="str">
        <f t="shared" si="492"/>
        <v/>
      </c>
      <c r="IW51" s="9" t="str">
        <f t="shared" si="493"/>
        <v/>
      </c>
      <c r="IX51" s="5" t="str">
        <f t="shared" si="494"/>
        <v/>
      </c>
      <c r="IY51" s="5" t="str">
        <f t="shared" si="495"/>
        <v/>
      </c>
      <c r="IZ51" s="5" t="str">
        <f t="shared" si="496"/>
        <v/>
      </c>
      <c r="JA51" s="705" t="str">
        <f t="shared" si="497"/>
        <v/>
      </c>
      <c r="JM51" s="489">
        <f t="shared" si="133"/>
        <v>15</v>
      </c>
      <c r="JN51" s="960">
        <f>($JO51-SMALL($JO$9:$JO$88,1))/((Settings!$C$19/2)-((Settings!$C$19/2)-LARGE($JO$9:$JO$88,1))-SMALL($JO$9:$JO$88,1))</f>
        <v>0.59512915192876037</v>
      </c>
      <c r="JO51" s="162">
        <f t="shared" si="134"/>
        <v>2.3365053410463519</v>
      </c>
      <c r="JP51" s="961">
        <f t="shared" si="135"/>
        <v>-6.9285724353836047</v>
      </c>
      <c r="JQ51" s="961">
        <f t="shared" si="136"/>
        <v>14.935644485399896</v>
      </c>
      <c r="JS51" s="82">
        <v>43</v>
      </c>
      <c r="JT51" s="322">
        <f t="shared" si="137"/>
        <v>3.7235401210503789</v>
      </c>
      <c r="JU51" s="963">
        <f t="shared" si="138"/>
        <v>0.9999791520071869</v>
      </c>
      <c r="JV51" s="961">
        <f t="shared" si="287"/>
        <v>-82.306527841606595</v>
      </c>
      <c r="JW51" s="961">
        <f t="shared" si="92"/>
        <v>29.735856089755377</v>
      </c>
      <c r="JX51" s="1"/>
    </row>
    <row r="52" spans="1:284" ht="15" customHeight="1" x14ac:dyDescent="0.25">
      <c r="A52" s="75">
        <f t="shared" si="322"/>
        <v>0.02</v>
      </c>
      <c r="B52" s="578">
        <f t="shared" ref="B52:D52" si="543">IFERROR(O207+($A52*-E52),"")</f>
        <v>-2.1876961323611779</v>
      </c>
      <c r="C52" s="572">
        <f t="shared" si="543"/>
        <v>2.0262618637183922</v>
      </c>
      <c r="D52" s="576">
        <f t="shared" si="543"/>
        <v>-0.27589553562385133</v>
      </c>
      <c r="E52" s="580">
        <f t="shared" ref="E52:K52" si="544">R207</f>
        <v>-0.74650967823854808</v>
      </c>
      <c r="F52" s="572">
        <f t="shared" si="544"/>
        <v>-0.62627238183232503</v>
      </c>
      <c r="G52" s="579">
        <f t="shared" si="544"/>
        <v>0.22473585394913287</v>
      </c>
      <c r="H52" s="580">
        <f t="shared" si="544"/>
        <v>0.26450000000000001</v>
      </c>
      <c r="I52" s="572">
        <f t="shared" si="544"/>
        <v>0.52</v>
      </c>
      <c r="J52" s="483">
        <f t="shared" si="94"/>
        <v>8.1229999999999993</v>
      </c>
      <c r="K52" s="806">
        <f t="shared" si="544"/>
        <v>1313</v>
      </c>
      <c r="L52" s="309"/>
      <c r="M52" s="164">
        <f t="shared" si="325"/>
        <v>8.1229999999999993</v>
      </c>
      <c r="N52" s="575">
        <f t="shared" si="326"/>
        <v>-2.1876961323611779</v>
      </c>
      <c r="O52" s="572">
        <f t="shared" si="327"/>
        <v>2.0262618637183922</v>
      </c>
      <c r="P52" s="576">
        <f t="shared" si="328"/>
        <v>-0.27589553562385133</v>
      </c>
      <c r="Q52" s="528">
        <f t="shared" si="144"/>
        <v>137.19389499360608</v>
      </c>
      <c r="R52" s="572">
        <f t="shared" si="95"/>
        <v>2.9819040071584446</v>
      </c>
      <c r="S52" s="577">
        <f t="shared" si="96"/>
        <v>-0.27589553562385133</v>
      </c>
      <c r="T52" s="578">
        <f t="shared" si="97"/>
        <v>1.9603414238814545</v>
      </c>
      <c r="U52" s="572">
        <f t="shared" si="98"/>
        <v>2.2469563880329364</v>
      </c>
      <c r="V52" s="579">
        <f t="shared" si="145"/>
        <v>-0.27589553562385133</v>
      </c>
      <c r="W52" s="528">
        <f t="shared" si="268"/>
        <v>48.897155763281063</v>
      </c>
      <c r="X52" s="572">
        <f t="shared" si="99"/>
        <v>2.9819040071584446</v>
      </c>
      <c r="Y52" s="573">
        <f t="shared" si="271"/>
        <v>-0.27589553562385133</v>
      </c>
      <c r="Z52" s="575">
        <f t="shared" si="329"/>
        <v>0.74650967823854808</v>
      </c>
      <c r="AA52" s="572">
        <f t="shared" si="330"/>
        <v>0.62627238183232503</v>
      </c>
      <c r="AB52" s="572">
        <f t="shared" si="331"/>
        <v>-0.22473585394913287</v>
      </c>
      <c r="AC52" s="579">
        <f t="shared" si="100"/>
        <v>1</v>
      </c>
      <c r="AD52" s="580">
        <f t="shared" si="146"/>
        <v>0.74650967823854808</v>
      </c>
      <c r="AE52" s="572">
        <f t="shared" si="101"/>
        <v>0.62627238183232503</v>
      </c>
      <c r="AF52" s="576">
        <f t="shared" si="102"/>
        <v>-0.22473585394913287</v>
      </c>
      <c r="AG52" s="545">
        <f t="shared" si="103"/>
        <v>70.259636834946448</v>
      </c>
      <c r="AH52" s="546">
        <f t="shared" si="104"/>
        <v>41.711066755353819</v>
      </c>
      <c r="AI52" s="528">
        <f t="shared" si="105"/>
        <v>-77.012654083469528</v>
      </c>
      <c r="AJ52" s="529">
        <f t="shared" si="106"/>
        <v>129.99443202009121</v>
      </c>
      <c r="AK52" s="578">
        <f t="shared" si="247"/>
        <v>0.96673727676354548</v>
      </c>
      <c r="AL52" s="572">
        <f t="shared" si="107"/>
        <v>-0.12211811358499747</v>
      </c>
      <c r="AM52" s="577">
        <f t="shared" si="108"/>
        <v>-0.22473585394913287</v>
      </c>
      <c r="AN52" s="524">
        <f t="shared" si="109"/>
        <v>-28.518997648556844</v>
      </c>
      <c r="AO52" s="525">
        <f t="shared" si="110"/>
        <v>14.81930234299273</v>
      </c>
      <c r="AP52" s="528">
        <f t="shared" si="111"/>
        <v>-7.199462973514863</v>
      </c>
      <c r="AQ52" s="529">
        <f t="shared" si="332"/>
        <v>0.91734616242503875</v>
      </c>
      <c r="AR52" s="979"/>
      <c r="AS52" s="954">
        <f t="shared" si="524"/>
        <v>48.897155763281063</v>
      </c>
      <c r="AT52" s="950">
        <f t="shared" si="333"/>
        <v>-1.8241397098008205E-2</v>
      </c>
      <c r="AU52" s="418"/>
      <c r="AV52" s="164" t="str">
        <f t="shared" si="334"/>
        <v/>
      </c>
      <c r="AW52" s="829" t="str">
        <f>IFERROR(INDEX(MassProp!C$9:C$150,MATCH($M52,MassProp!$B$9:$B$150,0)),"")</f>
        <v/>
      </c>
      <c r="AX52" s="830" t="str">
        <f>IFERROR(INDEX(MassProp!D$9:D$150,MATCH($M52,MassProp!$B$9:$B$150,0)),"")</f>
        <v/>
      </c>
      <c r="AY52" s="831" t="str">
        <f>IFERROR(INDEX(MassProp!E$9:E$150,MATCH($M52,MassProp!$B$9:$B$150,0)),"")</f>
        <v/>
      </c>
      <c r="AZ52" s="297" t="str">
        <f t="shared" si="335"/>
        <v/>
      </c>
      <c r="BA52" s="296" t="str">
        <f t="shared" si="336"/>
        <v/>
      </c>
      <c r="BB52" s="190" t="str">
        <f t="shared" si="149"/>
        <v/>
      </c>
      <c r="BC52" s="9"/>
      <c r="BD52" s="5" t="str">
        <f t="shared" si="337"/>
        <v/>
      </c>
      <c r="BE52" s="6" t="str">
        <f t="shared" si="338"/>
        <v/>
      </c>
      <c r="BF52" s="4" t="str">
        <f t="shared" si="339"/>
        <v/>
      </c>
      <c r="BG52" s="5" t="str">
        <f t="shared" si="340"/>
        <v/>
      </c>
      <c r="BH52" s="10" t="str">
        <f t="shared" si="341"/>
        <v/>
      </c>
      <c r="BI52" s="9" t="str">
        <f t="shared" si="342"/>
        <v/>
      </c>
      <c r="BJ52" s="5" t="str">
        <f t="shared" si="343"/>
        <v/>
      </c>
      <c r="BK52" s="8" t="str">
        <f t="shared" si="344"/>
        <v/>
      </c>
      <c r="BL52" s="173" t="str">
        <f t="shared" si="345"/>
        <v/>
      </c>
      <c r="BM52" s="5" t="str">
        <f t="shared" si="346"/>
        <v/>
      </c>
      <c r="BN52" s="6" t="str">
        <f t="shared" si="347"/>
        <v/>
      </c>
      <c r="BO52" s="4" t="str">
        <f t="shared" si="348"/>
        <v/>
      </c>
      <c r="BP52" s="5" t="str">
        <f t="shared" si="349"/>
        <v/>
      </c>
      <c r="BQ52" s="5" t="str">
        <f t="shared" si="350"/>
        <v/>
      </c>
      <c r="BR52" s="6" t="str">
        <f t="shared" si="351"/>
        <v/>
      </c>
      <c r="BS52" s="4" t="str">
        <f t="shared" si="519"/>
        <v/>
      </c>
      <c r="BT52" s="5" t="str">
        <f t="shared" si="519"/>
        <v/>
      </c>
      <c r="BU52" s="10" t="str">
        <f t="shared" si="113"/>
        <v/>
      </c>
      <c r="BV52" s="9" t="str">
        <f t="shared" si="114"/>
        <v/>
      </c>
      <c r="BW52" s="5" t="str">
        <f t="shared" si="115"/>
        <v/>
      </c>
      <c r="BX52" s="8" t="str">
        <f t="shared" si="116"/>
        <v/>
      </c>
      <c r="BY52" s="173" t="str">
        <f t="shared" si="117"/>
        <v/>
      </c>
      <c r="BZ52" s="5" t="str">
        <f t="shared" si="118"/>
        <v/>
      </c>
      <c r="CA52" s="6" t="str">
        <f t="shared" si="119"/>
        <v/>
      </c>
      <c r="CB52" s="4" t="str">
        <f t="shared" si="352"/>
        <v/>
      </c>
      <c r="CC52" s="5" t="str">
        <f t="shared" si="353"/>
        <v/>
      </c>
      <c r="CD52" s="5" t="str">
        <f t="shared" si="354"/>
        <v/>
      </c>
      <c r="CE52" s="6" t="str">
        <f t="shared" si="355"/>
        <v/>
      </c>
      <c r="CF52" s="4" t="str">
        <f t="shared" si="356"/>
        <v/>
      </c>
      <c r="CG52" s="5" t="str">
        <f t="shared" si="357"/>
        <v/>
      </c>
      <c r="CH52" s="5" t="str">
        <f t="shared" si="358"/>
        <v/>
      </c>
      <c r="CI52" s="4" t="str">
        <f t="shared" si="120"/>
        <v/>
      </c>
      <c r="CJ52" s="5" t="str">
        <f t="shared" si="359"/>
        <v/>
      </c>
      <c r="CK52" s="8" t="str">
        <f t="shared" si="360"/>
        <v/>
      </c>
      <c r="CL52" s="173" t="str">
        <f t="shared" si="361"/>
        <v/>
      </c>
      <c r="CM52" s="5" t="str">
        <f t="shared" si="362"/>
        <v/>
      </c>
      <c r="CN52" s="6" t="str">
        <f t="shared" si="363"/>
        <v/>
      </c>
      <c r="CO52" s="167" t="str">
        <f t="shared" si="364"/>
        <v/>
      </c>
      <c r="CP52" s="4" t="str">
        <f t="shared" si="365"/>
        <v/>
      </c>
      <c r="CQ52" s="5" t="str">
        <f t="shared" si="366"/>
        <v/>
      </c>
      <c r="CR52" s="5" t="str">
        <f t="shared" si="367"/>
        <v/>
      </c>
      <c r="CS52" s="8" t="str">
        <f t="shared" si="368"/>
        <v/>
      </c>
      <c r="CT52" s="9" t="str">
        <f t="shared" si="165"/>
        <v/>
      </c>
      <c r="CU52" s="6" t="str">
        <f t="shared" si="369"/>
        <v/>
      </c>
      <c r="CV52" s="4" t="str">
        <f t="shared" si="370"/>
        <v/>
      </c>
      <c r="CW52" s="5" t="str">
        <f t="shared" si="371"/>
        <v/>
      </c>
      <c r="CX52" s="8" t="str">
        <f t="shared" si="372"/>
        <v/>
      </c>
      <c r="CY52" s="9" t="str">
        <f t="shared" si="373"/>
        <v/>
      </c>
      <c r="CZ52" s="5" t="str">
        <f t="shared" si="374"/>
        <v/>
      </c>
      <c r="DA52" s="6" t="str">
        <f t="shared" si="375"/>
        <v/>
      </c>
      <c r="DB52" s="4" t="str">
        <f t="shared" si="525"/>
        <v/>
      </c>
      <c r="DC52" s="5" t="str">
        <f t="shared" si="525"/>
        <v/>
      </c>
      <c r="DD52" s="10" t="str">
        <f t="shared" si="173"/>
        <v/>
      </c>
      <c r="DE52" s="9" t="str">
        <f t="shared" si="526"/>
        <v/>
      </c>
      <c r="DF52" s="5" t="str">
        <f t="shared" si="526"/>
        <v/>
      </c>
      <c r="DG52" s="10" t="str">
        <f t="shared" si="175"/>
        <v/>
      </c>
      <c r="DH52" s="70" t="str">
        <f t="shared" si="376"/>
        <v/>
      </c>
      <c r="DI52" s="4" t="str">
        <f t="shared" si="377"/>
        <v/>
      </c>
      <c r="DJ52" s="5" t="str">
        <f t="shared" si="378"/>
        <v/>
      </c>
      <c r="DK52" s="10" t="str">
        <f t="shared" si="379"/>
        <v/>
      </c>
      <c r="DL52" s="9" t="str">
        <f t="shared" si="380"/>
        <v/>
      </c>
      <c r="DM52" s="173" t="str">
        <f t="shared" si="381"/>
        <v/>
      </c>
      <c r="DN52" s="178" t="str">
        <f t="shared" si="382"/>
        <v/>
      </c>
      <c r="DO52" s="9" t="str">
        <f t="shared" si="383"/>
        <v/>
      </c>
      <c r="DP52" s="173" t="str">
        <f t="shared" si="384"/>
        <v/>
      </c>
      <c r="DQ52" s="11" t="str">
        <f t="shared" si="385"/>
        <v/>
      </c>
      <c r="DR52" s="173" t="str">
        <f t="shared" si="386"/>
        <v/>
      </c>
      <c r="DS52" s="5" t="str">
        <f t="shared" si="387"/>
        <v/>
      </c>
      <c r="DT52" s="5" t="str">
        <f t="shared" si="388"/>
        <v/>
      </c>
      <c r="DU52" s="5" t="str">
        <f t="shared" si="389"/>
        <v/>
      </c>
      <c r="DV52" s="5" t="str">
        <f t="shared" si="390"/>
        <v/>
      </c>
      <c r="DW52" s="5" t="str">
        <f t="shared" si="391"/>
        <v/>
      </c>
      <c r="DX52" s="167" t="str">
        <f t="shared" si="392"/>
        <v/>
      </c>
      <c r="DY52" s="9" t="str">
        <f t="shared" si="393"/>
        <v/>
      </c>
      <c r="DZ52" s="5" t="str">
        <f t="shared" si="394"/>
        <v/>
      </c>
      <c r="EA52" s="10" t="str">
        <f t="shared" si="395"/>
        <v/>
      </c>
      <c r="EB52" s="6" t="str">
        <f t="shared" si="396"/>
        <v/>
      </c>
      <c r="EC52" s="173" t="str">
        <f t="shared" si="397"/>
        <v/>
      </c>
      <c r="ED52" s="5" t="str">
        <f t="shared" si="398"/>
        <v/>
      </c>
      <c r="EE52" s="4" t="str">
        <f t="shared" si="399"/>
        <v/>
      </c>
      <c r="EF52" s="5" t="str">
        <f t="shared" si="400"/>
        <v/>
      </c>
      <c r="EG52" s="10" t="str">
        <f t="shared" si="401"/>
        <v/>
      </c>
      <c r="EH52" s="9" t="str">
        <f t="shared" si="402"/>
        <v/>
      </c>
      <c r="EI52" s="5" t="str">
        <f t="shared" si="403"/>
        <v/>
      </c>
      <c r="EJ52" s="6" t="str">
        <f t="shared" si="404"/>
        <v/>
      </c>
      <c r="EK52" s="236" t="str">
        <f t="shared" si="205"/>
        <v/>
      </c>
      <c r="EL52" s="238" t="str">
        <f t="shared" si="206"/>
        <v/>
      </c>
      <c r="EM52" s="4" t="str">
        <f t="shared" si="405"/>
        <v/>
      </c>
      <c r="EN52" s="5" t="str">
        <f t="shared" si="406"/>
        <v/>
      </c>
      <c r="EO52" s="10" t="str">
        <f t="shared" si="407"/>
        <v/>
      </c>
      <c r="EP52" s="9" t="str">
        <f t="shared" si="408"/>
        <v/>
      </c>
      <c r="EQ52" s="5" t="str">
        <f t="shared" si="409"/>
        <v/>
      </c>
      <c r="ER52" s="7" t="str">
        <f t="shared" si="410"/>
        <v/>
      </c>
      <c r="ES52" s="21" t="str">
        <f t="shared" si="411"/>
        <v/>
      </c>
      <c r="ET52" s="5" t="str">
        <f t="shared" si="412"/>
        <v/>
      </c>
      <c r="EU52" s="10" t="str">
        <f t="shared" si="413"/>
        <v/>
      </c>
      <c r="EV52" s="174" t="str">
        <f t="shared" si="414"/>
        <v/>
      </c>
      <c r="EW52" s="9" t="str">
        <f t="shared" si="415"/>
        <v/>
      </c>
      <c r="EX52" s="5" t="str">
        <f t="shared" si="416"/>
        <v/>
      </c>
      <c r="EY52" s="6" t="str">
        <f t="shared" si="417"/>
        <v/>
      </c>
      <c r="EZ52" s="51" t="str">
        <f t="shared" si="214"/>
        <v/>
      </c>
      <c r="FA52" s="266" t="str">
        <f t="shared" si="128"/>
        <v/>
      </c>
      <c r="FB52" s="267" t="str">
        <f t="shared" si="129"/>
        <v/>
      </c>
      <c r="FC52" s="269" t="str">
        <f t="shared" si="38"/>
        <v/>
      </c>
      <c r="FD52" s="4" t="str">
        <f t="shared" si="418"/>
        <v/>
      </c>
      <c r="FE52" s="5" t="str">
        <f t="shared" si="419"/>
        <v/>
      </c>
      <c r="FF52" s="7" t="str">
        <f t="shared" si="420"/>
        <v/>
      </c>
      <c r="FG52" s="173" t="str">
        <f t="shared" si="421"/>
        <v/>
      </c>
      <c r="FH52" s="5" t="str">
        <f t="shared" si="422"/>
        <v/>
      </c>
      <c r="FI52" s="10" t="str">
        <f t="shared" si="423"/>
        <v/>
      </c>
      <c r="FJ52" s="279" t="str">
        <f t="shared" si="424"/>
        <v/>
      </c>
      <c r="FK52" s="4" t="str">
        <f t="shared" si="425"/>
        <v/>
      </c>
      <c r="FL52" s="5" t="str">
        <f t="shared" si="426"/>
        <v/>
      </c>
      <c r="FM52" s="8" t="str">
        <f t="shared" si="427"/>
        <v/>
      </c>
      <c r="FN52" s="9" t="str">
        <f t="shared" si="428"/>
        <v/>
      </c>
      <c r="FO52" s="10" t="str">
        <f t="shared" si="429"/>
        <v/>
      </c>
      <c r="FP52" s="277" t="str">
        <f t="shared" si="430"/>
        <v/>
      </c>
      <c r="FQ52" s="173" t="str">
        <f t="shared" si="431"/>
        <v/>
      </c>
      <c r="FR52" s="10" t="str">
        <f t="shared" si="432"/>
        <v/>
      </c>
      <c r="FS52" s="9" t="str">
        <f t="shared" si="433"/>
        <v/>
      </c>
      <c r="FT52" s="6" t="str">
        <f t="shared" si="434"/>
        <v/>
      </c>
      <c r="FU52" s="4" t="str">
        <f t="shared" si="435"/>
        <v/>
      </c>
      <c r="FV52" s="5" t="str">
        <f t="shared" si="436"/>
        <v/>
      </c>
      <c r="FW52" s="8" t="str">
        <f t="shared" si="437"/>
        <v/>
      </c>
      <c r="FX52" s="9" t="str">
        <f t="shared" si="438"/>
        <v/>
      </c>
      <c r="FY52" s="10" t="str">
        <f t="shared" si="439"/>
        <v/>
      </c>
      <c r="FZ52" s="277" t="str">
        <f t="shared" si="440"/>
        <v/>
      </c>
      <c r="GA52" s="177" t="str">
        <f t="shared" si="441"/>
        <v/>
      </c>
      <c r="GB52" s="4" t="str">
        <f t="shared" si="442"/>
        <v/>
      </c>
      <c r="GC52" s="5" t="str">
        <f t="shared" si="443"/>
        <v/>
      </c>
      <c r="GD52" s="10" t="str">
        <f t="shared" si="444"/>
        <v/>
      </c>
      <c r="GE52" s="311" t="str">
        <f t="shared" si="445"/>
        <v/>
      </c>
      <c r="GF52" s="341" t="str">
        <f t="shared" si="446"/>
        <v/>
      </c>
      <c r="GG52" s="285" t="str">
        <f t="shared" si="447"/>
        <v/>
      </c>
      <c r="GH52" s="286" t="str">
        <f t="shared" si="448"/>
        <v/>
      </c>
      <c r="GI52" s="281" t="str">
        <f t="shared" si="449"/>
        <v/>
      </c>
      <c r="GJ52" s="167" t="str">
        <f t="shared" si="450"/>
        <v/>
      </c>
      <c r="GK52" s="174" t="str">
        <f t="shared" si="49"/>
        <v/>
      </c>
      <c r="GL52" s="174" t="str">
        <f t="shared" si="451"/>
        <v/>
      </c>
      <c r="GM52" s="177" t="str">
        <f t="shared" si="452"/>
        <v/>
      </c>
      <c r="GN52" s="280" t="str">
        <f t="shared" si="453"/>
        <v/>
      </c>
      <c r="GO52" s="4" t="str">
        <f t="shared" si="454"/>
        <v/>
      </c>
      <c r="GP52" s="8" t="str">
        <f t="shared" si="455"/>
        <v/>
      </c>
      <c r="GQ52" s="177" t="str">
        <f t="shared" si="456"/>
        <v/>
      </c>
      <c r="GR52" s="371" t="str">
        <f t="shared" si="457"/>
        <v/>
      </c>
      <c r="GS52" s="342" t="str">
        <f t="shared" si="458"/>
        <v/>
      </c>
      <c r="GT52" s="343" t="str">
        <f t="shared" si="459"/>
        <v/>
      </c>
      <c r="GU52" s="344" t="str">
        <f t="shared" si="53"/>
        <v/>
      </c>
      <c r="GV52" s="343" t="str">
        <f t="shared" si="460"/>
        <v/>
      </c>
      <c r="GW52" s="345" t="str">
        <f t="shared" si="54"/>
        <v/>
      </c>
      <c r="GX52" s="346" t="str">
        <f t="shared" si="55"/>
        <v/>
      </c>
      <c r="GY52" s="344" t="str">
        <f t="shared" si="461"/>
        <v/>
      </c>
      <c r="GZ52" s="345" t="str">
        <f t="shared" si="462"/>
        <v/>
      </c>
      <c r="HA52" s="342" t="str">
        <f t="shared" si="58"/>
        <v/>
      </c>
      <c r="HB52" s="5" t="str">
        <f t="shared" si="236"/>
        <v/>
      </c>
      <c r="HC52" s="343" t="str">
        <f t="shared" si="463"/>
        <v/>
      </c>
      <c r="HD52" s="345" t="str">
        <f t="shared" si="464"/>
        <v/>
      </c>
      <c r="HE52" s="344" t="str">
        <f t="shared" si="59"/>
        <v/>
      </c>
      <c r="HF52" s="5" t="str">
        <f t="shared" si="60"/>
        <v/>
      </c>
      <c r="HG52" s="343" t="str">
        <f t="shared" si="465"/>
        <v/>
      </c>
      <c r="HH52" s="349" t="str">
        <f t="shared" si="466"/>
        <v/>
      </c>
      <c r="HI52" s="317" t="str">
        <f t="shared" si="467"/>
        <v/>
      </c>
      <c r="HJ52" s="336"/>
      <c r="HK52" s="310" t="str">
        <f t="shared" si="520"/>
        <v/>
      </c>
      <c r="HL52" s="348" t="str">
        <f t="shared" si="468"/>
        <v/>
      </c>
      <c r="HM52" s="923" t="str">
        <f t="shared" si="469"/>
        <v/>
      </c>
      <c r="HN52" s="924" t="str">
        <f t="shared" si="470"/>
        <v/>
      </c>
      <c r="HO52" s="925"/>
      <c r="HP52" s="926"/>
      <c r="HQ52" s="924" t="str">
        <f t="shared" si="471"/>
        <v/>
      </c>
      <c r="HR52" s="927" t="str">
        <f t="shared" si="472"/>
        <v/>
      </c>
      <c r="HS52" s="879" t="str">
        <f t="shared" si="521"/>
        <v/>
      </c>
      <c r="HT52" s="889" t="str">
        <f t="shared" si="473"/>
        <v/>
      </c>
      <c r="HU52" s="890" t="str">
        <f t="shared" si="474"/>
        <v/>
      </c>
      <c r="HV52" s="886" t="str">
        <f t="shared" si="475"/>
        <v/>
      </c>
      <c r="HW52" s="880" t="str">
        <f t="shared" si="476"/>
        <v/>
      </c>
      <c r="HX52" s="881" t="str">
        <f t="shared" si="477"/>
        <v/>
      </c>
      <c r="HY52" s="880" t="str">
        <f t="shared" si="478"/>
        <v/>
      </c>
      <c r="HZ52" s="882" t="str">
        <f t="shared" si="479"/>
        <v/>
      </c>
      <c r="IA52" s="883" t="str">
        <f t="shared" si="480"/>
        <v/>
      </c>
      <c r="IB52" s="884" t="str">
        <f t="shared" si="481"/>
        <v/>
      </c>
      <c r="IC52" s="855" t="str">
        <f t="shared" si="482"/>
        <v/>
      </c>
      <c r="ID52" s="351" t="str">
        <f t="shared" si="483"/>
        <v/>
      </c>
      <c r="IE52" s="857" t="str">
        <f t="shared" si="484"/>
        <v/>
      </c>
      <c r="IF52" s="858"/>
      <c r="IG52" s="790" t="str">
        <f>IFERROR(IF($IW52="","",IF($IW52&lt;(((Settings!$C$19/2)*-1)*$IG$8),"Taper","Nose")),"")</f>
        <v/>
      </c>
      <c r="IH52" s="482" t="str">
        <f>IFERROR(IF((((($IY52*COS(RADIANS(180-$JA52)))*COS(RADIANS($JA52)))-(($IZ52*SIN(RADIANS(180-$JA52)))*SIN(RADIANS($JA52))))+$IW52)&lt;(((Settings!$C$19+$IH$8)/2)*-1),"Gage",""),"")</f>
        <v/>
      </c>
      <c r="II52" s="788">
        <f t="shared" si="241"/>
        <v>8.1229999999999993</v>
      </c>
      <c r="IJ52" s="674" t="str" cm="1">
        <f t="array" ref="IJ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K52" s="677" t="str" cm="1">
        <f t="array" ref="IK52">IFERROR(ROUND(VALUE(IF($IJ52&lt;1,$IJ52+LARGE((IF($M$9:$M$150="",0,$M$9:$M$150)-MOD(IF($M$9:$M$150="",0,$M$9:$M$150),1)),1),$IJ52)),4),"")</f>
        <v/>
      </c>
      <c r="IL52" s="482">
        <f t="shared" si="485"/>
        <v>1313</v>
      </c>
      <c r="IM52" s="482" t="str">
        <f t="shared" si="242"/>
        <v/>
      </c>
      <c r="IN52" s="670" t="str">
        <f t="shared" si="486"/>
        <v/>
      </c>
      <c r="IO52" s="702">
        <v>9.4974959524461496E-3</v>
      </c>
      <c r="IP52" s="5" t="str">
        <f t="shared" si="487"/>
        <v/>
      </c>
      <c r="IQ52" s="714">
        <v>140</v>
      </c>
      <c r="IR52" s="9" t="str">
        <f t="shared" si="488"/>
        <v/>
      </c>
      <c r="IS52" s="5" t="str">
        <f t="shared" si="489"/>
        <v/>
      </c>
      <c r="IT52" s="5" t="str">
        <f t="shared" si="490"/>
        <v/>
      </c>
      <c r="IU52" s="5" t="str">
        <f t="shared" si="491"/>
        <v/>
      </c>
      <c r="IV52" s="670" t="str">
        <f t="shared" si="492"/>
        <v/>
      </c>
      <c r="IW52" s="9" t="str">
        <f t="shared" si="493"/>
        <v/>
      </c>
      <c r="IX52" s="5" t="str">
        <f t="shared" si="494"/>
        <v/>
      </c>
      <c r="IY52" s="5" t="str">
        <f t="shared" si="495"/>
        <v/>
      </c>
      <c r="IZ52" s="5" t="str">
        <f t="shared" si="496"/>
        <v/>
      </c>
      <c r="JA52" s="705" t="str">
        <f t="shared" si="497"/>
        <v/>
      </c>
      <c r="JM52" s="489">
        <f t="shared" si="133"/>
        <v>23</v>
      </c>
      <c r="JN52" s="960">
        <f>($JO52-SMALL($JO$9:$JO$88,1))/((Settings!$C$19/2)-((Settings!$C$19/2)-LARGE($JO$9:$JO$88,1))-SMALL($JO$9:$JO$88,1))</f>
        <v>0.78350917944713194</v>
      </c>
      <c r="JO52" s="162">
        <f t="shared" si="134"/>
        <v>2.9819040071584446</v>
      </c>
      <c r="JP52" s="961">
        <f t="shared" si="135"/>
        <v>-28.518997648556844</v>
      </c>
      <c r="JQ52" s="961">
        <f t="shared" si="136"/>
        <v>14.81930234299273</v>
      </c>
      <c r="JS52" s="82">
        <v>44</v>
      </c>
      <c r="JT52" s="322">
        <f t="shared" si="137"/>
        <v>3.7234895994909034</v>
      </c>
      <c r="JU52" s="963">
        <f t="shared" si="138"/>
        <v>0.99996440569105083</v>
      </c>
      <c r="JV52" s="961">
        <f t="shared" si="287"/>
        <v>-84.959373709566435</v>
      </c>
      <c r="JW52" s="961">
        <f t="shared" si="92"/>
        <v>29.734495099119425</v>
      </c>
      <c r="JX52" s="1"/>
    </row>
    <row r="53" spans="1:284" ht="15" customHeight="1" x14ac:dyDescent="0.25">
      <c r="A53" s="75">
        <f t="shared" si="322"/>
        <v>0.02</v>
      </c>
      <c r="B53" s="578">
        <f t="shared" ref="B53:D53" si="545">IFERROR(O208+($A53*-E53),"")</f>
        <v>-2.5190402529408171</v>
      </c>
      <c r="C53" s="572">
        <f t="shared" si="545"/>
        <v>2.3929631896093735</v>
      </c>
      <c r="D53" s="576">
        <f t="shared" si="545"/>
        <v>-0.74093853394849807</v>
      </c>
      <c r="E53" s="580">
        <f t="shared" ref="E53:K53" si="546">R208</f>
        <v>-0.84648740491983365</v>
      </c>
      <c r="F53" s="572">
        <f t="shared" si="546"/>
        <v>-0.47684107195572312</v>
      </c>
      <c r="G53" s="579">
        <f t="shared" si="546"/>
        <v>0.23681567813006538</v>
      </c>
      <c r="H53" s="580">
        <f t="shared" si="546"/>
        <v>0.26450000000000001</v>
      </c>
      <c r="I53" s="572">
        <f t="shared" si="546"/>
        <v>0.52</v>
      </c>
      <c r="J53" s="483">
        <f t="shared" si="94"/>
        <v>8.1310000000000002</v>
      </c>
      <c r="K53" s="806">
        <f t="shared" si="546"/>
        <v>1313</v>
      </c>
      <c r="L53" s="309"/>
      <c r="M53" s="164">
        <f t="shared" si="325"/>
        <v>8.1310000000000002</v>
      </c>
      <c r="N53" s="575">
        <f t="shared" si="326"/>
        <v>-2.5190402529408171</v>
      </c>
      <c r="O53" s="572">
        <f t="shared" si="327"/>
        <v>2.3929631896093735</v>
      </c>
      <c r="P53" s="576">
        <f t="shared" si="328"/>
        <v>-0.74093853394849807</v>
      </c>
      <c r="Q53" s="528">
        <f t="shared" si="144"/>
        <v>136.47029577808971</v>
      </c>
      <c r="R53" s="572">
        <f t="shared" ref="R53:R58" si="547">IF(M53="","",SQRT(N53^2+O53^2))</f>
        <v>3.4744548669915978</v>
      </c>
      <c r="S53" s="577">
        <f t="shared" ref="S53:S58" si="548">IF(M53="","",P53)</f>
        <v>-0.74093853394849807</v>
      </c>
      <c r="T53" s="578">
        <f t="shared" ref="T53:T58" si="549">IF(M53="","",X53*COS(RADIANS(W53)))</f>
        <v>2.3170321457621914</v>
      </c>
      <c r="U53" s="572">
        <f t="shared" ref="U53:U58" si="550">IF(M53="","",X53*SIN(RADIANS(W53)))</f>
        <v>2.5890536221303444</v>
      </c>
      <c r="V53" s="579">
        <f t="shared" ref="V53:V58" si="551">IF(M53="","",Y53)</f>
        <v>-0.74093853394849807</v>
      </c>
      <c r="W53" s="528">
        <f t="shared" si="268"/>
        <v>48.17355654776469</v>
      </c>
      <c r="X53" s="572">
        <f t="shared" ref="X53:X58" si="552">IF(M53="","",R53)</f>
        <v>3.4744548669915978</v>
      </c>
      <c r="Y53" s="573">
        <f t="shared" si="271"/>
        <v>-0.74093853394849807</v>
      </c>
      <c r="Z53" s="575">
        <f t="shared" si="329"/>
        <v>0.84648740491983365</v>
      </c>
      <c r="AA53" s="572">
        <f t="shared" si="330"/>
        <v>0.47684107195572312</v>
      </c>
      <c r="AB53" s="572">
        <f t="shared" si="331"/>
        <v>-0.23681567813006538</v>
      </c>
      <c r="AC53" s="579">
        <f t="shared" ref="AC53:AC58" si="553">IF(M53="","",SQRT(Z53^2+AA53^2+AB53^2))</f>
        <v>1.0000000000000002</v>
      </c>
      <c r="AD53" s="580">
        <f t="shared" ref="AD53:AD58" si="554">IF(M53="","",Z53*(1/SQRT(Z53^2+AA53^2+AB53^2)))</f>
        <v>0.84648740491983343</v>
      </c>
      <c r="AE53" s="572">
        <f t="shared" ref="AE53:AE58" si="555">IF(M53="","",AA53*(1/SQRT(Z53^2+AA53^2+AB53^2)))</f>
        <v>0.47684107195572301</v>
      </c>
      <c r="AF53" s="576">
        <f t="shared" ref="AF53:AF58" si="556">IF(M53="","",AB53*(1/SQRT(Z53^2+AA53^2+AB53^2)))</f>
        <v>-0.23681567813006532</v>
      </c>
      <c r="AG53" s="545">
        <f t="shared" ref="AG53:AG58" si="557">IF(M53="","",DEGREES(ATAN2(-AF53,AE53)))</f>
        <v>63.589424298469105</v>
      </c>
      <c r="AH53" s="546">
        <f t="shared" ref="AH53:AH58" si="558">IF(M53="","",DEGREES(ACOS(AD53)))</f>
        <v>32.168349051792312</v>
      </c>
      <c r="AI53" s="528">
        <f t="shared" ref="AI53:AI58" si="559">IF(M53="","",DEGREES(-ACOS(-AF53)))</f>
        <v>-76.301325012010821</v>
      </c>
      <c r="AJ53" s="529">
        <f t="shared" ref="AJ53:AJ58" si="560">IF(M53="","",DEGREES(ATAN2(-AE53,AD53)))</f>
        <v>119.39331733059578</v>
      </c>
      <c r="AK53" s="578">
        <f t="shared" ref="AK53:AK58" si="561">IF(M53="","",(COS(RADIANS((90-$Q$8)-W53))*AD53)+(-SIN(RADIANS((90-$Q$8)-W53))*AE53))</f>
        <v>0.92871980741744486</v>
      </c>
      <c r="AL53" s="572">
        <f t="shared" ref="AL53:AL58" si="562">IF(M53="","",(SIN(RADIANS((90-$Q$8)-W53))*AD53)+(COS(RADIANS((90-$Q$8)-W53))*AE53))</f>
        <v>-0.28530309129468101</v>
      </c>
      <c r="AM53" s="577">
        <f t="shared" ref="AM53:AM58" si="563">IF(M53="","",AF53)</f>
        <v>-0.23681567813006532</v>
      </c>
      <c r="AN53" s="524">
        <f t="shared" ref="AN53:AN58" si="564">IF(M53="","",DEGREES(ATAN2(-AM53,AL53)))</f>
        <v>-50.305648813733683</v>
      </c>
      <c r="AO53" s="525">
        <f t="shared" si="110"/>
        <v>21.763872278625101</v>
      </c>
      <c r="AP53" s="528">
        <f t="shared" ref="AP53:AP58" si="565">IF(M53="","",DEGREES(ATAN2(AK53,AL53)))</f>
        <v>-17.076978447493929</v>
      </c>
      <c r="AQ53" s="529">
        <f t="shared" si="332"/>
        <v>0.78731768724103168</v>
      </c>
      <c r="AR53" s="979"/>
      <c r="AS53" s="954">
        <f t="shared" si="524"/>
        <v>48.17355654776469</v>
      </c>
      <c r="AT53" s="950">
        <f t="shared" si="333"/>
        <v>-0.48268139607639132</v>
      </c>
      <c r="AU53" s="418"/>
      <c r="AV53" s="164" t="str">
        <f t="shared" si="334"/>
        <v/>
      </c>
      <c r="AW53" s="829" t="str">
        <f>IFERROR(INDEX(MassProp!C$9:C$150,MATCH($M53,MassProp!$B$9:$B$150,0)),"")</f>
        <v/>
      </c>
      <c r="AX53" s="830" t="str">
        <f>IFERROR(INDEX(MassProp!D$9:D$150,MATCH($M53,MassProp!$B$9:$B$150,0)),"")</f>
        <v/>
      </c>
      <c r="AY53" s="831" t="str">
        <f>IFERROR(INDEX(MassProp!E$9:E$150,MATCH($M53,MassProp!$B$9:$B$150,0)),"")</f>
        <v/>
      </c>
      <c r="AZ53" s="297" t="str">
        <f t="shared" si="335"/>
        <v/>
      </c>
      <c r="BA53" s="296" t="str">
        <f t="shared" si="336"/>
        <v/>
      </c>
      <c r="BB53" s="190" t="str">
        <f t="shared" si="149"/>
        <v/>
      </c>
      <c r="BC53" s="9"/>
      <c r="BD53" s="5" t="str">
        <f t="shared" si="337"/>
        <v/>
      </c>
      <c r="BE53" s="6" t="str">
        <f t="shared" si="338"/>
        <v/>
      </c>
      <c r="BF53" s="4" t="str">
        <f t="shared" si="339"/>
        <v/>
      </c>
      <c r="BG53" s="5" t="str">
        <f t="shared" si="340"/>
        <v/>
      </c>
      <c r="BH53" s="10" t="str">
        <f t="shared" si="341"/>
        <v/>
      </c>
      <c r="BI53" s="9" t="str">
        <f t="shared" si="342"/>
        <v/>
      </c>
      <c r="BJ53" s="5" t="str">
        <f t="shared" si="343"/>
        <v/>
      </c>
      <c r="BK53" s="8" t="str">
        <f t="shared" si="344"/>
        <v/>
      </c>
      <c r="BL53" s="173" t="str">
        <f t="shared" si="345"/>
        <v/>
      </c>
      <c r="BM53" s="5" t="str">
        <f t="shared" si="346"/>
        <v/>
      </c>
      <c r="BN53" s="6" t="str">
        <f t="shared" si="347"/>
        <v/>
      </c>
      <c r="BO53" s="4" t="str">
        <f t="shared" si="348"/>
        <v/>
      </c>
      <c r="BP53" s="5" t="str">
        <f t="shared" si="349"/>
        <v/>
      </c>
      <c r="BQ53" s="5" t="str">
        <f t="shared" si="350"/>
        <v/>
      </c>
      <c r="BR53" s="6" t="str">
        <f t="shared" si="351"/>
        <v/>
      </c>
      <c r="BS53" s="4" t="str">
        <f t="shared" si="519"/>
        <v/>
      </c>
      <c r="BT53" s="5" t="str">
        <f t="shared" si="519"/>
        <v/>
      </c>
      <c r="BU53" s="10" t="str">
        <f t="shared" si="113"/>
        <v/>
      </c>
      <c r="BV53" s="9" t="str">
        <f t="shared" si="114"/>
        <v/>
      </c>
      <c r="BW53" s="5" t="str">
        <f t="shared" si="115"/>
        <v/>
      </c>
      <c r="BX53" s="8" t="str">
        <f t="shared" si="116"/>
        <v/>
      </c>
      <c r="BY53" s="173" t="str">
        <f t="shared" si="117"/>
        <v/>
      </c>
      <c r="BZ53" s="5" t="str">
        <f t="shared" si="118"/>
        <v/>
      </c>
      <c r="CA53" s="6" t="str">
        <f t="shared" si="119"/>
        <v/>
      </c>
      <c r="CB53" s="4" t="str">
        <f t="shared" si="352"/>
        <v/>
      </c>
      <c r="CC53" s="5" t="str">
        <f t="shared" si="353"/>
        <v/>
      </c>
      <c r="CD53" s="5" t="str">
        <f t="shared" si="354"/>
        <v/>
      </c>
      <c r="CE53" s="6" t="str">
        <f t="shared" si="355"/>
        <v/>
      </c>
      <c r="CF53" s="4" t="str">
        <f t="shared" si="356"/>
        <v/>
      </c>
      <c r="CG53" s="5" t="str">
        <f t="shared" si="357"/>
        <v/>
      </c>
      <c r="CH53" s="5" t="str">
        <f t="shared" si="358"/>
        <v/>
      </c>
      <c r="CI53" s="4" t="str">
        <f t="shared" si="120"/>
        <v/>
      </c>
      <c r="CJ53" s="5" t="str">
        <f t="shared" si="359"/>
        <v/>
      </c>
      <c r="CK53" s="8" t="str">
        <f t="shared" si="360"/>
        <v/>
      </c>
      <c r="CL53" s="173" t="str">
        <f t="shared" si="361"/>
        <v/>
      </c>
      <c r="CM53" s="5" t="str">
        <f t="shared" si="362"/>
        <v/>
      </c>
      <c r="CN53" s="6" t="str">
        <f t="shared" si="363"/>
        <v/>
      </c>
      <c r="CO53" s="167" t="str">
        <f t="shared" si="364"/>
        <v/>
      </c>
      <c r="CP53" s="4" t="str">
        <f t="shared" si="365"/>
        <v/>
      </c>
      <c r="CQ53" s="5" t="str">
        <f t="shared" si="366"/>
        <v/>
      </c>
      <c r="CR53" s="5" t="str">
        <f t="shared" si="367"/>
        <v/>
      </c>
      <c r="CS53" s="8" t="str">
        <f t="shared" si="368"/>
        <v/>
      </c>
      <c r="CT53" s="9" t="str">
        <f t="shared" si="165"/>
        <v/>
      </c>
      <c r="CU53" s="6" t="str">
        <f t="shared" si="369"/>
        <v/>
      </c>
      <c r="CV53" s="4" t="str">
        <f t="shared" si="370"/>
        <v/>
      </c>
      <c r="CW53" s="5" t="str">
        <f t="shared" si="371"/>
        <v/>
      </c>
      <c r="CX53" s="8" t="str">
        <f t="shared" si="372"/>
        <v/>
      </c>
      <c r="CY53" s="9" t="str">
        <f t="shared" si="373"/>
        <v/>
      </c>
      <c r="CZ53" s="5" t="str">
        <f t="shared" si="374"/>
        <v/>
      </c>
      <c r="DA53" s="6" t="str">
        <f t="shared" si="375"/>
        <v/>
      </c>
      <c r="DB53" s="4" t="str">
        <f t="shared" si="525"/>
        <v/>
      </c>
      <c r="DC53" s="5" t="str">
        <f t="shared" si="525"/>
        <v/>
      </c>
      <c r="DD53" s="10" t="str">
        <f t="shared" si="173"/>
        <v/>
      </c>
      <c r="DE53" s="9" t="str">
        <f t="shared" si="526"/>
        <v/>
      </c>
      <c r="DF53" s="5" t="str">
        <f t="shared" si="526"/>
        <v/>
      </c>
      <c r="DG53" s="10" t="str">
        <f t="shared" si="175"/>
        <v/>
      </c>
      <c r="DH53" s="70" t="str">
        <f t="shared" si="376"/>
        <v/>
      </c>
      <c r="DI53" s="4" t="str">
        <f t="shared" si="377"/>
        <v/>
      </c>
      <c r="DJ53" s="5" t="str">
        <f t="shared" si="378"/>
        <v/>
      </c>
      <c r="DK53" s="10" t="str">
        <f t="shared" si="379"/>
        <v/>
      </c>
      <c r="DL53" s="9" t="str">
        <f t="shared" si="380"/>
        <v/>
      </c>
      <c r="DM53" s="173" t="str">
        <f t="shared" si="381"/>
        <v/>
      </c>
      <c r="DN53" s="178" t="str">
        <f t="shared" si="382"/>
        <v/>
      </c>
      <c r="DO53" s="9" t="str">
        <f t="shared" si="383"/>
        <v/>
      </c>
      <c r="DP53" s="173" t="str">
        <f t="shared" si="384"/>
        <v/>
      </c>
      <c r="DQ53" s="11" t="str">
        <f t="shared" si="385"/>
        <v/>
      </c>
      <c r="DR53" s="173" t="str">
        <f t="shared" si="386"/>
        <v/>
      </c>
      <c r="DS53" s="5" t="str">
        <f t="shared" si="387"/>
        <v/>
      </c>
      <c r="DT53" s="5" t="str">
        <f t="shared" si="388"/>
        <v/>
      </c>
      <c r="DU53" s="5" t="str">
        <f t="shared" si="389"/>
        <v/>
      </c>
      <c r="DV53" s="5" t="str">
        <f t="shared" si="390"/>
        <v/>
      </c>
      <c r="DW53" s="5" t="str">
        <f t="shared" si="391"/>
        <v/>
      </c>
      <c r="DX53" s="167" t="str">
        <f t="shared" si="392"/>
        <v/>
      </c>
      <c r="DY53" s="9" t="str">
        <f t="shared" si="393"/>
        <v/>
      </c>
      <c r="DZ53" s="5" t="str">
        <f t="shared" si="394"/>
        <v/>
      </c>
      <c r="EA53" s="10" t="str">
        <f t="shared" si="395"/>
        <v/>
      </c>
      <c r="EB53" s="6" t="str">
        <f t="shared" si="396"/>
        <v/>
      </c>
      <c r="EC53" s="173" t="str">
        <f t="shared" si="397"/>
        <v/>
      </c>
      <c r="ED53" s="5" t="str">
        <f t="shared" si="398"/>
        <v/>
      </c>
      <c r="EE53" s="4" t="str">
        <f t="shared" si="399"/>
        <v/>
      </c>
      <c r="EF53" s="5" t="str">
        <f t="shared" si="400"/>
        <v/>
      </c>
      <c r="EG53" s="10" t="str">
        <f t="shared" si="401"/>
        <v/>
      </c>
      <c r="EH53" s="9" t="str">
        <f t="shared" si="402"/>
        <v/>
      </c>
      <c r="EI53" s="5" t="str">
        <f t="shared" si="403"/>
        <v/>
      </c>
      <c r="EJ53" s="6" t="str">
        <f t="shared" si="404"/>
        <v/>
      </c>
      <c r="EK53" s="236" t="str">
        <f t="shared" si="205"/>
        <v/>
      </c>
      <c r="EL53" s="238" t="str">
        <f t="shared" si="206"/>
        <v/>
      </c>
      <c r="EM53" s="4" t="str">
        <f t="shared" si="405"/>
        <v/>
      </c>
      <c r="EN53" s="5" t="str">
        <f t="shared" si="406"/>
        <v/>
      </c>
      <c r="EO53" s="10" t="str">
        <f t="shared" si="407"/>
        <v/>
      </c>
      <c r="EP53" s="9" t="str">
        <f t="shared" si="408"/>
        <v/>
      </c>
      <c r="EQ53" s="5" t="str">
        <f t="shared" si="409"/>
        <v/>
      </c>
      <c r="ER53" s="7" t="str">
        <f t="shared" si="410"/>
        <v/>
      </c>
      <c r="ES53" s="21" t="str">
        <f t="shared" si="411"/>
        <v/>
      </c>
      <c r="ET53" s="5" t="str">
        <f t="shared" si="412"/>
        <v/>
      </c>
      <c r="EU53" s="10" t="str">
        <f t="shared" si="413"/>
        <v/>
      </c>
      <c r="EV53" s="174" t="str">
        <f t="shared" si="414"/>
        <v/>
      </c>
      <c r="EW53" s="9" t="str">
        <f t="shared" si="415"/>
        <v/>
      </c>
      <c r="EX53" s="5" t="str">
        <f t="shared" si="416"/>
        <v/>
      </c>
      <c r="EY53" s="6" t="str">
        <f t="shared" si="417"/>
        <v/>
      </c>
      <c r="EZ53" s="51" t="str">
        <f t="shared" si="214"/>
        <v/>
      </c>
      <c r="FA53" s="266" t="str">
        <f t="shared" si="128"/>
        <v/>
      </c>
      <c r="FB53" s="267" t="str">
        <f t="shared" si="129"/>
        <v/>
      </c>
      <c r="FC53" s="269" t="str">
        <f t="shared" si="38"/>
        <v/>
      </c>
      <c r="FD53" s="4" t="str">
        <f t="shared" si="418"/>
        <v/>
      </c>
      <c r="FE53" s="5" t="str">
        <f t="shared" si="419"/>
        <v/>
      </c>
      <c r="FF53" s="7" t="str">
        <f t="shared" si="420"/>
        <v/>
      </c>
      <c r="FG53" s="173" t="str">
        <f t="shared" si="421"/>
        <v/>
      </c>
      <c r="FH53" s="5" t="str">
        <f t="shared" si="422"/>
        <v/>
      </c>
      <c r="FI53" s="10" t="str">
        <f t="shared" si="423"/>
        <v/>
      </c>
      <c r="FJ53" s="279" t="str">
        <f t="shared" si="424"/>
        <v/>
      </c>
      <c r="FK53" s="4" t="str">
        <f t="shared" si="425"/>
        <v/>
      </c>
      <c r="FL53" s="5" t="str">
        <f t="shared" si="426"/>
        <v/>
      </c>
      <c r="FM53" s="8" t="str">
        <f t="shared" si="427"/>
        <v/>
      </c>
      <c r="FN53" s="9" t="str">
        <f t="shared" si="428"/>
        <v/>
      </c>
      <c r="FO53" s="10" t="str">
        <f t="shared" si="429"/>
        <v/>
      </c>
      <c r="FP53" s="277" t="str">
        <f t="shared" si="430"/>
        <v/>
      </c>
      <c r="FQ53" s="173" t="str">
        <f t="shared" si="431"/>
        <v/>
      </c>
      <c r="FR53" s="10" t="str">
        <f t="shared" si="432"/>
        <v/>
      </c>
      <c r="FS53" s="9" t="str">
        <f t="shared" si="433"/>
        <v/>
      </c>
      <c r="FT53" s="6" t="str">
        <f t="shared" si="434"/>
        <v/>
      </c>
      <c r="FU53" s="4" t="str">
        <f t="shared" si="435"/>
        <v/>
      </c>
      <c r="FV53" s="5" t="str">
        <f t="shared" si="436"/>
        <v/>
      </c>
      <c r="FW53" s="8" t="str">
        <f t="shared" si="437"/>
        <v/>
      </c>
      <c r="FX53" s="9" t="str">
        <f t="shared" si="438"/>
        <v/>
      </c>
      <c r="FY53" s="10" t="str">
        <f t="shared" si="439"/>
        <v/>
      </c>
      <c r="FZ53" s="277" t="str">
        <f t="shared" si="440"/>
        <v/>
      </c>
      <c r="GA53" s="177" t="str">
        <f t="shared" si="441"/>
        <v/>
      </c>
      <c r="GB53" s="4" t="str">
        <f t="shared" si="442"/>
        <v/>
      </c>
      <c r="GC53" s="5" t="str">
        <f t="shared" si="443"/>
        <v/>
      </c>
      <c r="GD53" s="10" t="str">
        <f t="shared" si="444"/>
        <v/>
      </c>
      <c r="GE53" s="311" t="str">
        <f t="shared" si="445"/>
        <v/>
      </c>
      <c r="GF53" s="341" t="str">
        <f t="shared" si="446"/>
        <v/>
      </c>
      <c r="GG53" s="285" t="str">
        <f t="shared" si="447"/>
        <v/>
      </c>
      <c r="GH53" s="286" t="str">
        <f t="shared" si="448"/>
        <v/>
      </c>
      <c r="GI53" s="281" t="str">
        <f t="shared" si="449"/>
        <v/>
      </c>
      <c r="GJ53" s="167" t="str">
        <f t="shared" si="450"/>
        <v/>
      </c>
      <c r="GK53" s="174" t="str">
        <f t="shared" si="49"/>
        <v/>
      </c>
      <c r="GL53" s="174" t="str">
        <f t="shared" si="451"/>
        <v/>
      </c>
      <c r="GM53" s="177" t="str">
        <f t="shared" si="452"/>
        <v/>
      </c>
      <c r="GN53" s="280" t="str">
        <f t="shared" si="453"/>
        <v/>
      </c>
      <c r="GO53" s="4" t="str">
        <f t="shared" si="454"/>
        <v/>
      </c>
      <c r="GP53" s="8" t="str">
        <f t="shared" si="455"/>
        <v/>
      </c>
      <c r="GQ53" s="177" t="str">
        <f t="shared" si="456"/>
        <v/>
      </c>
      <c r="GR53" s="371" t="str">
        <f t="shared" si="457"/>
        <v/>
      </c>
      <c r="GS53" s="342" t="str">
        <f t="shared" si="458"/>
        <v/>
      </c>
      <c r="GT53" s="343" t="str">
        <f t="shared" si="459"/>
        <v/>
      </c>
      <c r="GU53" s="344" t="str">
        <f t="shared" si="53"/>
        <v/>
      </c>
      <c r="GV53" s="343" t="str">
        <f t="shared" si="460"/>
        <v/>
      </c>
      <c r="GW53" s="345" t="str">
        <f t="shared" si="54"/>
        <v/>
      </c>
      <c r="GX53" s="346" t="str">
        <f t="shared" si="55"/>
        <v/>
      </c>
      <c r="GY53" s="344" t="str">
        <f t="shared" si="461"/>
        <v/>
      </c>
      <c r="GZ53" s="345" t="str">
        <f t="shared" si="462"/>
        <v/>
      </c>
      <c r="HA53" s="342" t="str">
        <f t="shared" si="58"/>
        <v/>
      </c>
      <c r="HB53" s="5" t="str">
        <f t="shared" si="236"/>
        <v/>
      </c>
      <c r="HC53" s="343" t="str">
        <f t="shared" si="463"/>
        <v/>
      </c>
      <c r="HD53" s="345" t="str">
        <f t="shared" si="464"/>
        <v/>
      </c>
      <c r="HE53" s="344" t="str">
        <f t="shared" si="59"/>
        <v/>
      </c>
      <c r="HF53" s="5" t="str">
        <f t="shared" si="60"/>
        <v/>
      </c>
      <c r="HG53" s="343" t="str">
        <f t="shared" si="465"/>
        <v/>
      </c>
      <c r="HH53" s="349" t="str">
        <f t="shared" si="466"/>
        <v/>
      </c>
      <c r="HI53" s="317" t="str">
        <f t="shared" si="467"/>
        <v/>
      </c>
      <c r="HJ53" s="336"/>
      <c r="HK53" s="310" t="str">
        <f t="shared" si="520"/>
        <v/>
      </c>
      <c r="HL53" s="348" t="str">
        <f t="shared" si="468"/>
        <v/>
      </c>
      <c r="HM53" s="923" t="str">
        <f t="shared" si="469"/>
        <v/>
      </c>
      <c r="HN53" s="924" t="str">
        <f t="shared" si="470"/>
        <v/>
      </c>
      <c r="HO53" s="925"/>
      <c r="HP53" s="926"/>
      <c r="HQ53" s="924" t="str">
        <f t="shared" si="471"/>
        <v/>
      </c>
      <c r="HR53" s="927" t="str">
        <f t="shared" si="472"/>
        <v/>
      </c>
      <c r="HS53" s="879" t="str">
        <f t="shared" si="521"/>
        <v/>
      </c>
      <c r="HT53" s="889" t="str">
        <f t="shared" si="473"/>
        <v/>
      </c>
      <c r="HU53" s="890" t="str">
        <f t="shared" si="474"/>
        <v/>
      </c>
      <c r="HV53" s="886" t="str">
        <f t="shared" si="475"/>
        <v/>
      </c>
      <c r="HW53" s="880" t="str">
        <f t="shared" si="476"/>
        <v/>
      </c>
      <c r="HX53" s="881" t="str">
        <f t="shared" si="477"/>
        <v/>
      </c>
      <c r="HY53" s="880" t="str">
        <f t="shared" si="478"/>
        <v/>
      </c>
      <c r="HZ53" s="882" t="str">
        <f t="shared" si="479"/>
        <v/>
      </c>
      <c r="IA53" s="883" t="str">
        <f t="shared" si="480"/>
        <v/>
      </c>
      <c r="IB53" s="884" t="str">
        <f t="shared" si="481"/>
        <v/>
      </c>
      <c r="IC53" s="855" t="str">
        <f t="shared" si="482"/>
        <v/>
      </c>
      <c r="ID53" s="351" t="str">
        <f t="shared" si="483"/>
        <v/>
      </c>
      <c r="IE53" s="857" t="str">
        <f t="shared" si="484"/>
        <v/>
      </c>
      <c r="IF53" s="858"/>
      <c r="IG53" s="790" t="str">
        <f>IFERROR(IF($IW53="","",IF($IW53&lt;(((Settings!$C$19/2)*-1)*$IG$8),"Taper","Nose")),"")</f>
        <v/>
      </c>
      <c r="IH53" s="482" t="str">
        <f>IFERROR(IF((((($IY53*COS(RADIANS(180-$JA53)))*COS(RADIANS($JA53)))-(($IZ53*SIN(RADIANS(180-$JA53)))*SIN(RADIANS($JA53))))+$IW53)&lt;(((Settings!$C$19+$IH$8)/2)*-1),"Gage",""),"")</f>
        <v/>
      </c>
      <c r="II53" s="788">
        <f t="shared" si="241"/>
        <v>8.1310000000000002</v>
      </c>
      <c r="IJ53" s="674" t="str" cm="1">
        <f t="array" ref="IJ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K53" s="677" t="str" cm="1">
        <f t="array" ref="IK53">IFERROR(ROUND(VALUE(IF($IJ53&lt;1,$IJ53+LARGE((IF($M$9:$M$150="",0,$M$9:$M$150)-MOD(IF($M$9:$M$150="",0,$M$9:$M$150),1)),1),$IJ53)),4),"")</f>
        <v/>
      </c>
      <c r="IL53" s="482">
        <f t="shared" si="485"/>
        <v>1313</v>
      </c>
      <c r="IM53" s="482" t="str">
        <f t="shared" si="242"/>
        <v/>
      </c>
      <c r="IN53" s="670" t="str">
        <f t="shared" si="486"/>
        <v/>
      </c>
      <c r="IO53" s="702">
        <v>7.8432524647123296E-3</v>
      </c>
      <c r="IP53" s="5" t="str">
        <f t="shared" si="487"/>
        <v/>
      </c>
      <c r="IQ53" s="714">
        <v>140</v>
      </c>
      <c r="IR53" s="9" t="str">
        <f t="shared" si="488"/>
        <v/>
      </c>
      <c r="IS53" s="5" t="str">
        <f t="shared" si="489"/>
        <v/>
      </c>
      <c r="IT53" s="5" t="str">
        <f t="shared" si="490"/>
        <v/>
      </c>
      <c r="IU53" s="5" t="str">
        <f t="shared" si="491"/>
        <v/>
      </c>
      <c r="IV53" s="670" t="str">
        <f t="shared" si="492"/>
        <v/>
      </c>
      <c r="IW53" s="9" t="str">
        <f t="shared" si="493"/>
        <v/>
      </c>
      <c r="IX53" s="5" t="str">
        <f t="shared" si="494"/>
        <v/>
      </c>
      <c r="IY53" s="5" t="str">
        <f t="shared" si="495"/>
        <v/>
      </c>
      <c r="IZ53" s="5" t="str">
        <f t="shared" si="496"/>
        <v/>
      </c>
      <c r="JA53" s="705" t="str">
        <f t="shared" si="497"/>
        <v/>
      </c>
      <c r="JM53" s="489">
        <f t="shared" si="133"/>
        <v>31</v>
      </c>
      <c r="JN53" s="960">
        <f>($JO53-SMALL($JO$9:$JO$88,1))/((Settings!$C$19/2)-((Settings!$C$19/2)-LARGE($JO$9:$JO$88,1))-SMALL($JO$9:$JO$88,1))</f>
        <v>0.92727573708276834</v>
      </c>
      <c r="JO53" s="162">
        <f t="shared" si="134"/>
        <v>3.4744548669915978</v>
      </c>
      <c r="JP53" s="961">
        <f t="shared" si="135"/>
        <v>-50.305648813733683</v>
      </c>
      <c r="JQ53" s="961">
        <f t="shared" si="136"/>
        <v>21.763872278625101</v>
      </c>
      <c r="JS53" s="82">
        <v>45</v>
      </c>
      <c r="JT53" s="322">
        <f t="shared" si="137"/>
        <v>3.7234895994909039</v>
      </c>
      <c r="JU53" s="963">
        <f t="shared" si="138"/>
        <v>0.99996440569105094</v>
      </c>
      <c r="JV53" s="961">
        <f t="shared" si="287"/>
        <v>-84.959373709566407</v>
      </c>
      <c r="JW53" s="961">
        <f t="shared" si="92"/>
        <v>29.734495099119385</v>
      </c>
      <c r="JX53" s="1"/>
    </row>
    <row r="54" spans="1:284" ht="15" customHeight="1" x14ac:dyDescent="0.25">
      <c r="A54" s="75">
        <f t="shared" si="322"/>
        <v>0.02</v>
      </c>
      <c r="B54" s="578">
        <f t="shared" ref="B54:D54" si="566">IFERROR(O209+($A54*-E54),"")</f>
        <v>-2.6744740798664219</v>
      </c>
      <c r="C54" s="572">
        <f t="shared" si="566"/>
        <v>2.5734780008077887</v>
      </c>
      <c r="D54" s="576">
        <f t="shared" si="566"/>
        <v>-1.3746205049994029</v>
      </c>
      <c r="E54" s="580">
        <f t="shared" ref="E54:K54" si="567">R209</f>
        <v>-0.94143978678150453</v>
      </c>
      <c r="F54" s="572">
        <f t="shared" si="567"/>
        <v>-0.29901796873503267</v>
      </c>
      <c r="G54" s="579">
        <f t="shared" si="567"/>
        <v>0.15581842714637609</v>
      </c>
      <c r="H54" s="580">
        <f t="shared" si="567"/>
        <v>0.26450000000000001</v>
      </c>
      <c r="I54" s="572">
        <f t="shared" si="567"/>
        <v>0.52</v>
      </c>
      <c r="J54" s="483">
        <f t="shared" si="94"/>
        <v>8.1389999999999993</v>
      </c>
      <c r="K54" s="806">
        <f t="shared" si="567"/>
        <v>1313</v>
      </c>
      <c r="L54" s="309"/>
      <c r="M54" s="164">
        <f t="shared" si="325"/>
        <v>8.1389999999999993</v>
      </c>
      <c r="N54" s="575">
        <f t="shared" si="326"/>
        <v>-2.6744740798664219</v>
      </c>
      <c r="O54" s="572">
        <f t="shared" si="327"/>
        <v>2.5734780008077887</v>
      </c>
      <c r="P54" s="576">
        <f t="shared" si="328"/>
        <v>-1.3746205049994029</v>
      </c>
      <c r="Q54" s="528">
        <f t="shared" si="144"/>
        <v>136.1025128959779</v>
      </c>
      <c r="R54" s="572">
        <f t="shared" si="547"/>
        <v>3.711549625765362</v>
      </c>
      <c r="S54" s="577">
        <f t="shared" si="548"/>
        <v>-1.3746205049994029</v>
      </c>
      <c r="T54" s="578">
        <f t="shared" si="549"/>
        <v>2.4928472202622509</v>
      </c>
      <c r="U54" s="572">
        <f t="shared" si="550"/>
        <v>2.7497842389812641</v>
      </c>
      <c r="V54" s="579">
        <f t="shared" si="551"/>
        <v>-1.3746205049994029</v>
      </c>
      <c r="W54" s="528">
        <f t="shared" si="268"/>
        <v>47.805773665652879</v>
      </c>
      <c r="X54" s="572">
        <f t="shared" si="552"/>
        <v>3.711549625765362</v>
      </c>
      <c r="Y54" s="573">
        <f t="shared" si="271"/>
        <v>-1.3746205049994029</v>
      </c>
      <c r="Z54" s="575">
        <f t="shared" si="329"/>
        <v>0.94143978678150453</v>
      </c>
      <c r="AA54" s="572">
        <f t="shared" si="330"/>
        <v>0.29901796873503267</v>
      </c>
      <c r="AB54" s="572">
        <f t="shared" si="331"/>
        <v>-0.15581842714637609</v>
      </c>
      <c r="AC54" s="579">
        <f t="shared" si="553"/>
        <v>1</v>
      </c>
      <c r="AD54" s="580">
        <f t="shared" si="554"/>
        <v>0.94143978678150453</v>
      </c>
      <c r="AE54" s="572">
        <f t="shared" si="555"/>
        <v>0.29901796873503267</v>
      </c>
      <c r="AF54" s="576">
        <f t="shared" si="556"/>
        <v>-0.15581842714637609</v>
      </c>
      <c r="AG54" s="545">
        <f t="shared" si="557"/>
        <v>62.475955413809785</v>
      </c>
      <c r="AH54" s="546">
        <f t="shared" si="558"/>
        <v>19.705227248981735</v>
      </c>
      <c r="AI54" s="528">
        <f t="shared" si="559"/>
        <v>-81.035734582393431</v>
      </c>
      <c r="AJ54" s="529">
        <f t="shared" si="560"/>
        <v>107.62077085172093</v>
      </c>
      <c r="AK54" s="578">
        <f t="shared" si="561"/>
        <v>0.86823314035549715</v>
      </c>
      <c r="AL54" s="572">
        <f t="shared" si="562"/>
        <v>-0.471053958427335</v>
      </c>
      <c r="AM54" s="577">
        <f t="shared" si="563"/>
        <v>-0.15581842714637609</v>
      </c>
      <c r="AN54" s="524">
        <f t="shared" si="564"/>
        <v>-71.69646687513675</v>
      </c>
      <c r="AO54" s="525">
        <f t="shared" si="110"/>
        <v>29.7460363142104</v>
      </c>
      <c r="AP54" s="528">
        <f t="shared" si="565"/>
        <v>-28.481742044256958</v>
      </c>
      <c r="AQ54" s="529">
        <f t="shared" si="332"/>
        <v>0.737029365143683</v>
      </c>
      <c r="AR54" s="979"/>
      <c r="AS54" s="954">
        <f t="shared" si="524"/>
        <v>47.805773665652879</v>
      </c>
      <c r="AT54" s="950">
        <f t="shared" si="333"/>
        <v>-1.1160568813922029</v>
      </c>
      <c r="AU54" s="418"/>
      <c r="AV54" s="164" t="str">
        <f t="shared" si="334"/>
        <v/>
      </c>
      <c r="AW54" s="797" t="str">
        <f>IFERROR(INDEX(MassProp!C$9:C$150,MATCH($M54,MassProp!$B$9:$B$150,0)),"")</f>
        <v/>
      </c>
      <c r="AX54" s="744" t="str">
        <f>IFERROR(INDEX(MassProp!D$9:D$150,MATCH($M54,MassProp!$B$9:$B$150,0)),"")</f>
        <v/>
      </c>
      <c r="AY54" s="731" t="str">
        <f>IFERROR(INDEX(MassProp!E$9:E$150,MATCH($M54,MassProp!$B$9:$B$150,0)),"")</f>
        <v/>
      </c>
      <c r="AZ54" s="297" t="str">
        <f t="shared" si="148"/>
        <v/>
      </c>
      <c r="BA54" s="296" t="str">
        <f t="shared" si="336"/>
        <v/>
      </c>
      <c r="BB54" s="177" t="str">
        <f t="shared" si="149"/>
        <v/>
      </c>
      <c r="BC54" s="9"/>
      <c r="BD54" s="5" t="str">
        <f t="shared" si="150"/>
        <v/>
      </c>
      <c r="BE54" s="6" t="str">
        <f t="shared" si="338"/>
        <v/>
      </c>
      <c r="BF54" s="4" t="str">
        <f t="shared" si="339"/>
        <v/>
      </c>
      <c r="BG54" s="5" t="str">
        <f t="shared" si="340"/>
        <v/>
      </c>
      <c r="BH54" s="10" t="str">
        <f t="shared" si="341"/>
        <v/>
      </c>
      <c r="BI54" s="9" t="str">
        <f t="shared" si="151"/>
        <v/>
      </c>
      <c r="BJ54" s="5" t="str">
        <f t="shared" si="343"/>
        <v/>
      </c>
      <c r="BK54" s="8" t="str">
        <f t="shared" si="344"/>
        <v/>
      </c>
      <c r="BL54" s="173" t="str">
        <f t="shared" si="345"/>
        <v/>
      </c>
      <c r="BM54" s="5" t="str">
        <f t="shared" si="346"/>
        <v/>
      </c>
      <c r="BN54" s="6" t="str">
        <f t="shared" si="347"/>
        <v/>
      </c>
      <c r="BO54" s="4" t="str">
        <f t="shared" si="152"/>
        <v/>
      </c>
      <c r="BP54" s="5" t="str">
        <f t="shared" si="153"/>
        <v/>
      </c>
      <c r="BQ54" s="5" t="str">
        <f t="shared" si="154"/>
        <v/>
      </c>
      <c r="BR54" s="6" t="str">
        <f t="shared" si="155"/>
        <v/>
      </c>
      <c r="BS54" s="4" t="str">
        <f t="shared" ref="BS54:BT73" si="568">IF(ISNUMBER($AV54),0,"")</f>
        <v/>
      </c>
      <c r="BT54" s="5" t="str">
        <f t="shared" si="568"/>
        <v/>
      </c>
      <c r="BU54" s="10" t="str">
        <f t="shared" si="113"/>
        <v/>
      </c>
      <c r="BV54" s="9" t="str">
        <f t="shared" si="114"/>
        <v/>
      </c>
      <c r="BW54" s="5" t="str">
        <f t="shared" si="115"/>
        <v/>
      </c>
      <c r="BX54" s="8" t="str">
        <f t="shared" si="116"/>
        <v/>
      </c>
      <c r="BY54" s="173" t="str">
        <f t="shared" si="117"/>
        <v/>
      </c>
      <c r="BZ54" s="5" t="str">
        <f t="shared" si="118"/>
        <v/>
      </c>
      <c r="CA54" s="6" t="str">
        <f t="shared" si="119"/>
        <v/>
      </c>
      <c r="CB54" s="4" t="str">
        <f t="shared" si="156"/>
        <v/>
      </c>
      <c r="CC54" s="5" t="str">
        <f t="shared" si="157"/>
        <v/>
      </c>
      <c r="CD54" s="5" t="str">
        <f t="shared" si="158"/>
        <v/>
      </c>
      <c r="CE54" s="6" t="str">
        <f t="shared" si="159"/>
        <v/>
      </c>
      <c r="CF54" s="4" t="str">
        <f t="shared" si="160"/>
        <v/>
      </c>
      <c r="CG54" s="5" t="str">
        <f t="shared" si="161"/>
        <v/>
      </c>
      <c r="CH54" s="5" t="str">
        <f t="shared" si="162"/>
        <v/>
      </c>
      <c r="CI54" s="4" t="str">
        <f t="shared" si="120"/>
        <v/>
      </c>
      <c r="CJ54" s="5" t="str">
        <f t="shared" si="121"/>
        <v/>
      </c>
      <c r="CK54" s="8" t="str">
        <f t="shared" si="122"/>
        <v/>
      </c>
      <c r="CL54" s="173" t="str">
        <f t="shared" si="123"/>
        <v/>
      </c>
      <c r="CM54" s="5" t="str">
        <f t="shared" si="124"/>
        <v/>
      </c>
      <c r="CN54" s="6" t="str">
        <f t="shared" si="125"/>
        <v/>
      </c>
      <c r="CO54" s="167" t="str">
        <f t="shared" si="364"/>
        <v/>
      </c>
      <c r="CP54" s="4" t="str">
        <f t="shared" si="248"/>
        <v/>
      </c>
      <c r="CQ54" s="5" t="str">
        <f t="shared" si="249"/>
        <v/>
      </c>
      <c r="CR54" s="5" t="str">
        <f t="shared" si="163"/>
        <v/>
      </c>
      <c r="CS54" s="8" t="str">
        <f t="shared" si="164"/>
        <v/>
      </c>
      <c r="CT54" s="9" t="str">
        <f t="shared" si="165"/>
        <v/>
      </c>
      <c r="CU54" s="6" t="str">
        <f t="shared" si="166"/>
        <v/>
      </c>
      <c r="CV54" s="4" t="str">
        <f t="shared" si="250"/>
        <v/>
      </c>
      <c r="CW54" s="5" t="str">
        <f t="shared" si="167"/>
        <v/>
      </c>
      <c r="CX54" s="8" t="str">
        <f t="shared" si="168"/>
        <v/>
      </c>
      <c r="CY54" s="9" t="str">
        <f t="shared" si="169"/>
        <v/>
      </c>
      <c r="CZ54" s="5" t="str">
        <f t="shared" si="170"/>
        <v/>
      </c>
      <c r="DA54" s="6" t="str">
        <f t="shared" si="171"/>
        <v/>
      </c>
      <c r="DB54" s="4" t="str">
        <f t="shared" ref="DB54:DC74" si="569">IF(ISNUMBER($AV54),0,"")</f>
        <v/>
      </c>
      <c r="DC54" s="5" t="str">
        <f t="shared" si="569"/>
        <v/>
      </c>
      <c r="DD54" s="10" t="str">
        <f t="shared" si="173"/>
        <v/>
      </c>
      <c r="DE54" s="9" t="str">
        <f t="shared" ref="DE54:DF74" si="570">IF(ISNUMBER($AV54),0,"")</f>
        <v/>
      </c>
      <c r="DF54" s="5" t="str">
        <f t="shared" si="570"/>
        <v/>
      </c>
      <c r="DG54" s="10" t="str">
        <f t="shared" si="175"/>
        <v/>
      </c>
      <c r="DH54" s="70" t="str">
        <f t="shared" si="176"/>
        <v/>
      </c>
      <c r="DI54" s="4" t="str">
        <f t="shared" si="177"/>
        <v/>
      </c>
      <c r="DJ54" s="5" t="str">
        <f t="shared" si="178"/>
        <v/>
      </c>
      <c r="DK54" s="10" t="str">
        <f t="shared" si="179"/>
        <v/>
      </c>
      <c r="DL54" s="9" t="str">
        <f t="shared" si="180"/>
        <v/>
      </c>
      <c r="DM54" s="173" t="str">
        <f t="shared" si="181"/>
        <v/>
      </c>
      <c r="DN54" s="178" t="str">
        <f t="shared" si="182"/>
        <v/>
      </c>
      <c r="DO54" s="9" t="str">
        <f t="shared" si="183"/>
        <v/>
      </c>
      <c r="DP54" s="173" t="str">
        <f t="shared" si="184"/>
        <v/>
      </c>
      <c r="DQ54" s="11" t="str">
        <f t="shared" si="185"/>
        <v/>
      </c>
      <c r="DR54" s="173" t="str">
        <f t="shared" si="186"/>
        <v/>
      </c>
      <c r="DS54" s="5" t="str">
        <f t="shared" si="187"/>
        <v/>
      </c>
      <c r="DT54" s="5" t="str">
        <f t="shared" si="188"/>
        <v/>
      </c>
      <c r="DU54" s="5" t="str">
        <f t="shared" si="189"/>
        <v/>
      </c>
      <c r="DV54" s="5" t="str">
        <f t="shared" si="190"/>
        <v/>
      </c>
      <c r="DW54" s="5" t="str">
        <f t="shared" si="191"/>
        <v/>
      </c>
      <c r="DX54" s="167" t="str">
        <f t="shared" si="192"/>
        <v/>
      </c>
      <c r="DY54" s="9" t="str">
        <f t="shared" si="193"/>
        <v/>
      </c>
      <c r="DZ54" s="5" t="str">
        <f t="shared" si="194"/>
        <v/>
      </c>
      <c r="EA54" s="10" t="str">
        <f t="shared" si="195"/>
        <v/>
      </c>
      <c r="EB54" s="6" t="str">
        <f t="shared" si="196"/>
        <v/>
      </c>
      <c r="EC54" s="173" t="str">
        <f t="shared" si="197"/>
        <v/>
      </c>
      <c r="ED54" s="5" t="str">
        <f t="shared" si="198"/>
        <v/>
      </c>
      <c r="EE54" s="4" t="str">
        <f t="shared" si="199"/>
        <v/>
      </c>
      <c r="EF54" s="5" t="str">
        <f t="shared" si="200"/>
        <v/>
      </c>
      <c r="EG54" s="10" t="str">
        <f t="shared" si="201"/>
        <v/>
      </c>
      <c r="EH54" s="9" t="str">
        <f t="shared" si="202"/>
        <v/>
      </c>
      <c r="EI54" s="5" t="str">
        <f t="shared" si="203"/>
        <v/>
      </c>
      <c r="EJ54" s="6" t="str">
        <f t="shared" si="204"/>
        <v/>
      </c>
      <c r="EK54" s="236" t="str">
        <f t="shared" si="205"/>
        <v/>
      </c>
      <c r="EL54" s="238" t="str">
        <f t="shared" si="206"/>
        <v/>
      </c>
      <c r="EM54" s="4" t="str">
        <f t="shared" si="207"/>
        <v/>
      </c>
      <c r="EN54" s="5" t="str">
        <f t="shared" si="208"/>
        <v/>
      </c>
      <c r="EO54" s="10" t="str">
        <f t="shared" si="209"/>
        <v/>
      </c>
      <c r="EP54" s="9" t="str">
        <f t="shared" si="210"/>
        <v/>
      </c>
      <c r="EQ54" s="5" t="str">
        <f t="shared" si="211"/>
        <v/>
      </c>
      <c r="ER54" s="7" t="str">
        <f t="shared" si="212"/>
        <v/>
      </c>
      <c r="ES54" s="21" t="str">
        <f t="shared" si="411"/>
        <v/>
      </c>
      <c r="ET54" s="5" t="str">
        <f t="shared" si="412"/>
        <v/>
      </c>
      <c r="EU54" s="10" t="str">
        <f t="shared" si="413"/>
        <v/>
      </c>
      <c r="EV54" s="174" t="str">
        <f t="shared" ref="EV54:EV72" si="571">IF(ISNUMBER($AV54),IF(($EV$1-EP54)&lt;0,(360+($EV$1-EP54)),($EV$1-EP54)),"")</f>
        <v/>
      </c>
      <c r="EW54" s="9" t="str">
        <f t="shared" ref="EW54:EW72" si="572">IF(ISNUMBER($AV54),(COS(RADIANS($EV54))*ES54)+(-SIN(RADIANS($EV54))*ET54),"")</f>
        <v/>
      </c>
      <c r="EX54" s="5" t="str">
        <f t="shared" ref="EX54:EX72" si="573">IF(ISNUMBER($AV54),(SIN(RADIANS($EV54))*ES54)+(COS(RADIANS($EV54))*ET54),"")</f>
        <v/>
      </c>
      <c r="EY54" s="6" t="str">
        <f t="shared" si="213"/>
        <v/>
      </c>
      <c r="EZ54" s="51" t="str">
        <f t="shared" si="214"/>
        <v/>
      </c>
      <c r="FA54" s="173" t="str">
        <f t="shared" ref="FA54:FA72" si="574">IF(ISNUMBER($AV54),SIN(RADIANS($EP54))*COS(RADIANS($EZ54)),"")</f>
        <v/>
      </c>
      <c r="FB54" s="5" t="str">
        <f t="shared" ref="FB54:FB72" si="575">IF(ISNUMBER($AV54),-1*COS(RADIANS($EP54))*COS(RADIANS($EZ54)),"")</f>
        <v/>
      </c>
      <c r="FC54" s="6" t="str">
        <f t="shared" ref="FC54:FC72" si="576">IF(ISNUMBER($AV54),-1*SIN(RADIANS($EZ54)),"")</f>
        <v/>
      </c>
      <c r="FD54" s="4" t="str">
        <f t="shared" ref="FD54:FD72" si="577">IF(ISNUMBER($AV54),(COS(RADIANS($EV54))*FA54)+(-SIN(RADIANS($EV54))*FB54),"")</f>
        <v/>
      </c>
      <c r="FE54" s="5" t="str">
        <f t="shared" ref="FE54:FE72" si="578">IF(ISNUMBER($AV54),(SIN(RADIANS($EV54))*FA54)+(COS(RADIANS($EV54))*FB54),"")</f>
        <v/>
      </c>
      <c r="FF54" s="7" t="str">
        <f t="shared" si="215"/>
        <v/>
      </c>
      <c r="FG54" s="173" t="str">
        <f t="shared" ref="FG54:FG72" si="579">IF(ISNUMBER($AV54),EW54-FD54,"")</f>
        <v/>
      </c>
      <c r="FH54" s="5" t="str">
        <f t="shared" ref="FH54:FH72" si="580">IF(ISNUMBER($AV54),EX54-FE54,"")</f>
        <v/>
      </c>
      <c r="FI54" s="10" t="str">
        <f t="shared" ref="FI54:FI72" si="581">IF(ISNUMBER($AV54),EY54-FF54,"")</f>
        <v/>
      </c>
      <c r="FJ54" s="279" t="str">
        <f t="shared" si="217"/>
        <v/>
      </c>
      <c r="FK54" s="4" t="str">
        <f t="shared" ref="FK54:FK72" si="582">IF(ISNUMBER($AV54),SQRT(ES54^2+ET54^2),"")</f>
        <v/>
      </c>
      <c r="FL54" s="5" t="str">
        <f t="shared" si="218"/>
        <v/>
      </c>
      <c r="FM54" s="8" t="str">
        <f t="shared" si="219"/>
        <v/>
      </c>
      <c r="FN54" s="9" t="str">
        <f t="shared" si="220"/>
        <v/>
      </c>
      <c r="FO54" s="10" t="str">
        <f t="shared" ref="FO54:FO72" si="583">IF(ISNUMBER($AV54),IF(SQRT((EM54+(ES54/SQRT(ES54^2+(ET54/SQRT(ES54^2+ET54^2))^2)))^2+(EN54+ET54)^2)&gt;SQRT((EM54+(FA54/SQRT(FA54^2+FB54^2)))^2+(EN54+(FB54/SQRT(FA54^2+FB54^2)))^2),-1,1),"")</f>
        <v/>
      </c>
      <c r="FP54" s="277" t="str">
        <f t="shared" ref="FP54:FP72" si="584">IF(ISNUMBER($AV54),FN54*FO54,"")</f>
        <v/>
      </c>
      <c r="FQ54" s="173" t="str">
        <f t="shared" si="251"/>
        <v/>
      </c>
      <c r="FR54" s="10" t="str">
        <f t="shared" si="221"/>
        <v/>
      </c>
      <c r="FS54" s="9" t="str">
        <f t="shared" si="222"/>
        <v/>
      </c>
      <c r="FT54" s="6" t="str">
        <f t="shared" si="223"/>
        <v/>
      </c>
      <c r="FU54" s="4" t="str">
        <f t="shared" si="224"/>
        <v/>
      </c>
      <c r="FV54" s="5" t="str">
        <f t="shared" si="225"/>
        <v/>
      </c>
      <c r="FW54" s="8" t="str">
        <f t="shared" si="252"/>
        <v/>
      </c>
      <c r="FX54" s="9" t="str">
        <f t="shared" si="253"/>
        <v/>
      </c>
      <c r="FY54" s="10" t="str">
        <f t="shared" ref="FY54:FY72" si="585">IF(ISNUMBER($AV54),IF(EU54&lt;FC54,1,-1),"")</f>
        <v/>
      </c>
      <c r="FZ54" s="277" t="str">
        <f t="shared" si="254"/>
        <v/>
      </c>
      <c r="GA54" s="177" t="str">
        <f t="shared" si="226"/>
        <v/>
      </c>
      <c r="GB54" s="4" t="str">
        <f t="shared" si="227"/>
        <v/>
      </c>
      <c r="GC54" s="5" t="str">
        <f t="shared" si="228"/>
        <v/>
      </c>
      <c r="GD54" s="10" t="str">
        <f t="shared" si="229"/>
        <v/>
      </c>
      <c r="GE54" s="311" t="str">
        <f t="shared" si="230"/>
        <v/>
      </c>
      <c r="GF54" s="341" t="str">
        <f t="shared" si="255"/>
        <v/>
      </c>
      <c r="GG54" s="285" t="str">
        <f t="shared" ref="GG54:GG72" si="586">IF(ISNUMBER($AV54),ABS(GB54)/(ABS($GB54)+ABS($GC54)+ABS($GD54)),"")</f>
        <v/>
      </c>
      <c r="GH54" s="286" t="str">
        <f t="shared" ref="GH54:GH72" si="587">IF(ISNUMBER($AV54),ABS(GC54)/(ABS($GB54)+ABS($GC54)+ABS($GD54)),"")</f>
        <v/>
      </c>
      <c r="GI54" s="281" t="str">
        <f t="shared" ref="GI54:GI72" si="588">IF(ISNUMBER($AV54),ABS(GD54)/(ABS($GB54)+ABS($GC54)+ABS($GD54)),"")</f>
        <v/>
      </c>
      <c r="GJ54" s="167" t="str">
        <f t="shared" si="231"/>
        <v/>
      </c>
      <c r="GK54" s="174" t="str">
        <f t="shared" ref="GK54:GK72" si="589">IF(ISNUMBER($AV54),SQRT((2*PI()*$GJ54)^2+$AS$5^2)/12,"")</f>
        <v/>
      </c>
      <c r="GL54" s="174" t="str">
        <f t="shared" si="232"/>
        <v/>
      </c>
      <c r="GM54" s="177" t="str">
        <f t="shared" si="256"/>
        <v/>
      </c>
      <c r="GN54" s="280" t="str">
        <f t="shared" si="233"/>
        <v/>
      </c>
      <c r="GO54" s="4" t="str">
        <f t="shared" si="234"/>
        <v/>
      </c>
      <c r="GP54" s="8" t="str">
        <f t="shared" si="257"/>
        <v/>
      </c>
      <c r="GQ54" s="177" t="str">
        <f t="shared" si="235"/>
        <v/>
      </c>
      <c r="GR54" s="371" t="str">
        <f t="shared" si="258"/>
        <v/>
      </c>
      <c r="GS54" s="342" t="str">
        <f t="shared" ref="GS54:GS72" si="590">IF(ISNUMBER($AV54),GU54/GH54*GG54,"")</f>
        <v/>
      </c>
      <c r="GT54" s="343" t="str">
        <f t="shared" ref="GT54:GT72" si="591">IF(ISNUMBER($AV54),GS54/$GK54,"")</f>
        <v/>
      </c>
      <c r="GU54" s="344" t="str">
        <f t="shared" ref="GU54:GU72" si="592">IF(ISNUMBER($AV54),$GV54*$GK54,"")</f>
        <v/>
      </c>
      <c r="GV54" s="343" t="str">
        <f t="shared" si="265"/>
        <v/>
      </c>
      <c r="GW54" s="345" t="str">
        <f t="shared" ref="GW54:GW72" si="593">IF(ISNUMBER($AV54),$GW$2,"")</f>
        <v/>
      </c>
      <c r="GX54" s="346" t="str">
        <f t="shared" ref="GX54:GX72" si="594">IF(ISNUMBER($AV54),($GJ54/12)*$GV54,"")</f>
        <v/>
      </c>
      <c r="GY54" s="344" t="str">
        <f t="shared" ref="GY54:GY72" si="595">IF(ISNUMBER($AV54),GU54/GH54*GI54,"")</f>
        <v/>
      </c>
      <c r="GZ54" s="345" t="str">
        <f t="shared" ref="GZ54:GZ72" si="596">IF(ISNUMBER($AV54),GY54/$GK54,"")</f>
        <v/>
      </c>
      <c r="HA54" s="342" t="str">
        <f t="shared" ref="HA54:HA72" si="597">IF(ISNUMBER($AV54),$FO54*$GS54,"")</f>
        <v/>
      </c>
      <c r="HB54" s="5" t="str">
        <f t="shared" si="236"/>
        <v/>
      </c>
      <c r="HC54" s="343" t="str">
        <f t="shared" si="237"/>
        <v/>
      </c>
      <c r="HD54" s="363" t="str">
        <f t="shared" si="238"/>
        <v/>
      </c>
      <c r="HE54" s="344" t="str">
        <f t="shared" ref="HE54:HE72" si="598">IF(ISNUMBER($AV54),$FY54*$GV54,"")</f>
        <v/>
      </c>
      <c r="HF54" s="5" t="str">
        <f t="shared" ref="HF54:HF72" si="599">IF(ISNUMBER($AV54),IF(($HB54+90)&lt;0,(360+($HB54+90)),($HB54+90)),"")</f>
        <v/>
      </c>
      <c r="HG54" s="343" t="str">
        <f t="shared" si="239"/>
        <v/>
      </c>
      <c r="HH54" s="349" t="str">
        <f t="shared" si="240"/>
        <v/>
      </c>
      <c r="HI54" s="317" t="str">
        <f t="shared" si="467"/>
        <v/>
      </c>
      <c r="HK54" s="310" t="str">
        <f t="shared" si="520"/>
        <v/>
      </c>
      <c r="HL54" s="348" t="str">
        <f t="shared" si="468"/>
        <v/>
      </c>
      <c r="HM54" s="923" t="str">
        <f t="shared" si="469"/>
        <v/>
      </c>
      <c r="HN54" s="924" t="str">
        <f t="shared" si="470"/>
        <v/>
      </c>
      <c r="HO54" s="925"/>
      <c r="HP54" s="926"/>
      <c r="HQ54" s="924" t="str">
        <f t="shared" si="471"/>
        <v/>
      </c>
      <c r="HR54" s="927" t="str">
        <f t="shared" si="472"/>
        <v/>
      </c>
      <c r="HS54" s="879" t="str">
        <f t="shared" si="521"/>
        <v/>
      </c>
      <c r="HT54" s="889" t="str">
        <f t="shared" si="473"/>
        <v/>
      </c>
      <c r="HU54" s="890" t="str">
        <f t="shared" si="474"/>
        <v/>
      </c>
      <c r="HV54" s="886" t="str">
        <f t="shared" si="475"/>
        <v/>
      </c>
      <c r="HW54" s="880" t="str">
        <f t="shared" si="476"/>
        <v/>
      </c>
      <c r="HX54" s="881" t="str">
        <f t="shared" si="477"/>
        <v/>
      </c>
      <c r="HY54" s="880" t="str">
        <f t="shared" si="478"/>
        <v/>
      </c>
      <c r="HZ54" s="882" t="str">
        <f t="shared" si="479"/>
        <v/>
      </c>
      <c r="IA54" s="883" t="str">
        <f t="shared" si="480"/>
        <v/>
      </c>
      <c r="IB54" s="884" t="str">
        <f t="shared" si="481"/>
        <v/>
      </c>
      <c r="IC54" s="855" t="str">
        <f t="shared" si="482"/>
        <v/>
      </c>
      <c r="ID54" s="351" t="str">
        <f t="shared" si="483"/>
        <v/>
      </c>
      <c r="IE54" s="857" t="str">
        <f t="shared" si="484"/>
        <v/>
      </c>
      <c r="IF54" s="858"/>
      <c r="IG54" s="790" t="str">
        <f>IFERROR(IF($IW54="","",IF($IW54&lt;(((Settings!$C$19/2)*-1)*$IG$8),"Taper","Nose")),"")</f>
        <v/>
      </c>
      <c r="IH54" s="482" t="str">
        <f>IFERROR(IF((((($IY54*COS(RADIANS(180-$JA54)))*COS(RADIANS($JA54)))-(($IZ54*SIN(RADIANS(180-$JA54)))*SIN(RADIANS($JA54))))+$IW54)&lt;(((Settings!$C$19+$IH$8)/2)*-1),"Gage",""),"")</f>
        <v/>
      </c>
      <c r="II54" s="788">
        <f t="shared" si="241"/>
        <v>8.1389999999999993</v>
      </c>
      <c r="IJ54" s="674" t="str" cm="1">
        <f t="array" ref="IJ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K54" s="677" t="str" cm="1">
        <f t="array" ref="IK54">IFERROR(ROUND(VALUE(IF($IJ54&lt;1,$IJ54+LARGE((IF($M$9:$M$150="",0,$M$9:$M$150)-MOD(IF($M$9:$M$150="",0,$M$9:$M$150),1)),1),$IJ54)),4),"")</f>
        <v/>
      </c>
      <c r="IL54" s="482">
        <f t="shared" si="485"/>
        <v>1313</v>
      </c>
      <c r="IM54" s="482" t="str">
        <f t="shared" si="242"/>
        <v/>
      </c>
      <c r="IN54" s="670" t="str">
        <f t="shared" si="486"/>
        <v/>
      </c>
      <c r="IO54" s="702">
        <v>2.08644583718747E-2</v>
      </c>
      <c r="IP54" s="5" t="str">
        <f t="shared" si="487"/>
        <v/>
      </c>
      <c r="IQ54" s="714">
        <v>280</v>
      </c>
      <c r="IR54" s="9" t="str">
        <f t="shared" si="488"/>
        <v/>
      </c>
      <c r="IS54" s="5" t="str">
        <f t="shared" si="489"/>
        <v/>
      </c>
      <c r="IT54" s="5" t="str">
        <f t="shared" si="490"/>
        <v/>
      </c>
      <c r="IU54" s="5" t="str">
        <f t="shared" si="491"/>
        <v/>
      </c>
      <c r="IV54" s="670" t="str">
        <f t="shared" si="492"/>
        <v/>
      </c>
      <c r="IW54" s="9" t="str">
        <f t="shared" si="493"/>
        <v/>
      </c>
      <c r="IX54" s="5" t="str">
        <f t="shared" si="494"/>
        <v/>
      </c>
      <c r="IY54" s="5" t="str">
        <f t="shared" si="495"/>
        <v/>
      </c>
      <c r="IZ54" s="5" t="str">
        <f t="shared" si="496"/>
        <v/>
      </c>
      <c r="JA54" s="705" t="str">
        <f t="shared" si="497"/>
        <v/>
      </c>
      <c r="JM54" s="489">
        <f t="shared" si="133"/>
        <v>39</v>
      </c>
      <c r="JN54" s="960">
        <f>($JO54-SMALL($JO$9:$JO$88,1))/((Settings!$C$19/2)-((Settings!$C$19/2)-LARGE($JO$9:$JO$88,1))-SMALL($JO$9:$JO$88,1))</f>
        <v>0.99647934646008629</v>
      </c>
      <c r="JO54" s="162">
        <f t="shared" si="134"/>
        <v>3.711549625765362</v>
      </c>
      <c r="JP54" s="961">
        <f t="shared" si="135"/>
        <v>-71.69646687513675</v>
      </c>
      <c r="JQ54" s="961">
        <f t="shared" si="136"/>
        <v>29.7460363142104</v>
      </c>
      <c r="JS54" s="31">
        <v>46</v>
      </c>
      <c r="JU54" s="962"/>
      <c r="JV54" s="959"/>
      <c r="JW54" s="959"/>
    </row>
    <row r="55" spans="1:284" ht="15" customHeight="1" x14ac:dyDescent="0.25">
      <c r="A55" s="75" t="str">
        <f t="shared" si="322"/>
        <v/>
      </c>
      <c r="B55" s="578" t="str">
        <f t="shared" ref="B55:D55" si="600">IFERROR(O210+($A55*-E55),"")</f>
        <v/>
      </c>
      <c r="C55" s="572" t="str">
        <f t="shared" si="600"/>
        <v/>
      </c>
      <c r="D55" s="576" t="str">
        <f t="shared" si="600"/>
        <v/>
      </c>
      <c r="E55" s="580" t="str">
        <f t="shared" ref="E55:K55" si="601">R210</f>
        <v/>
      </c>
      <c r="F55" s="572" t="str">
        <f t="shared" si="601"/>
        <v/>
      </c>
      <c r="G55" s="579" t="str">
        <f t="shared" si="601"/>
        <v/>
      </c>
      <c r="H55" s="580" t="str">
        <f t="shared" si="601"/>
        <v/>
      </c>
      <c r="I55" s="572" t="str">
        <f t="shared" si="601"/>
        <v/>
      </c>
      <c r="J55" s="483" t="str">
        <f t="shared" si="94"/>
        <v/>
      </c>
      <c r="K55" s="806" t="str">
        <f t="shared" si="601"/>
        <v/>
      </c>
      <c r="L55" s="309"/>
      <c r="M55" s="164" t="str">
        <f t="shared" si="325"/>
        <v/>
      </c>
      <c r="N55" s="575" t="str">
        <f t="shared" si="326"/>
        <v/>
      </c>
      <c r="O55" s="572" t="str">
        <f t="shared" si="327"/>
        <v/>
      </c>
      <c r="P55" s="576" t="str">
        <f t="shared" si="328"/>
        <v/>
      </c>
      <c r="Q55" s="528" t="str">
        <f t="shared" si="144"/>
        <v/>
      </c>
      <c r="R55" s="572" t="str">
        <f t="shared" si="547"/>
        <v/>
      </c>
      <c r="S55" s="577" t="str">
        <f t="shared" si="548"/>
        <v/>
      </c>
      <c r="T55" s="578" t="str">
        <f t="shared" si="549"/>
        <v/>
      </c>
      <c r="U55" s="572" t="str">
        <f t="shared" si="550"/>
        <v/>
      </c>
      <c r="V55" s="579" t="str">
        <f t="shared" si="551"/>
        <v/>
      </c>
      <c r="W55" s="528" t="str">
        <f t="shared" si="268"/>
        <v/>
      </c>
      <c r="X55" s="572" t="str">
        <f t="shared" si="552"/>
        <v/>
      </c>
      <c r="Y55" s="573" t="str">
        <f t="shared" si="271"/>
        <v/>
      </c>
      <c r="Z55" s="575" t="str">
        <f t="shared" si="329"/>
        <v/>
      </c>
      <c r="AA55" s="572" t="str">
        <f t="shared" si="330"/>
        <v/>
      </c>
      <c r="AB55" s="572" t="str">
        <f t="shared" si="331"/>
        <v/>
      </c>
      <c r="AC55" s="579" t="str">
        <f t="shared" si="553"/>
        <v/>
      </c>
      <c r="AD55" s="580" t="str">
        <f t="shared" si="554"/>
        <v/>
      </c>
      <c r="AE55" s="572" t="str">
        <f t="shared" si="555"/>
        <v/>
      </c>
      <c r="AF55" s="576" t="str">
        <f t="shared" si="556"/>
        <v/>
      </c>
      <c r="AG55" s="545" t="str">
        <f t="shared" si="557"/>
        <v/>
      </c>
      <c r="AH55" s="546" t="str">
        <f t="shared" si="558"/>
        <v/>
      </c>
      <c r="AI55" s="528" t="str">
        <f t="shared" si="559"/>
        <v/>
      </c>
      <c r="AJ55" s="529" t="str">
        <f t="shared" si="560"/>
        <v/>
      </c>
      <c r="AK55" s="578" t="str">
        <f t="shared" si="561"/>
        <v/>
      </c>
      <c r="AL55" s="572" t="str">
        <f t="shared" si="562"/>
        <v/>
      </c>
      <c r="AM55" s="577" t="str">
        <f t="shared" si="563"/>
        <v/>
      </c>
      <c r="AN55" s="524" t="str">
        <f t="shared" si="564"/>
        <v/>
      </c>
      <c r="AO55" s="525" t="str">
        <f>IF(ROUND(IF(M55="",0,DEGREES(ACOS(AK55))),4)=90,0,IF(M55="","",DEGREES(ACOS(AK55))))</f>
        <v/>
      </c>
      <c r="AP55" s="528" t="str">
        <f t="shared" si="565"/>
        <v/>
      </c>
      <c r="AQ55" s="529" t="str">
        <f t="shared" si="332"/>
        <v/>
      </c>
      <c r="AR55" s="979"/>
      <c r="AS55" s="954" t="str">
        <f t="shared" si="524"/>
        <v/>
      </c>
      <c r="AT55" s="950" t="str">
        <f t="shared" si="333"/>
        <v/>
      </c>
      <c r="AU55" s="418"/>
      <c r="AV55" s="164" t="str">
        <f t="shared" si="334"/>
        <v/>
      </c>
      <c r="AW55" s="797" t="str">
        <f>IFERROR(INDEX(MassProp!C$9:C$150,MATCH($M55,MassProp!$B$9:$B$150,0)),"")</f>
        <v/>
      </c>
      <c r="AX55" s="744" t="str">
        <f>IFERROR(INDEX(MassProp!D$9:D$150,MATCH($M55,MassProp!$B$9:$B$150,0)),"")</f>
        <v/>
      </c>
      <c r="AY55" s="731" t="str">
        <f>IFERROR(INDEX(MassProp!E$9:E$150,MATCH($M55,MassProp!$B$9:$B$150,0)),"")</f>
        <v/>
      </c>
      <c r="AZ55" s="297" t="str">
        <f t="shared" si="148"/>
        <v/>
      </c>
      <c r="BA55" s="296" t="str">
        <f t="shared" si="336"/>
        <v/>
      </c>
      <c r="BB55" s="177" t="str">
        <f t="shared" si="149"/>
        <v/>
      </c>
      <c r="BC55" s="9"/>
      <c r="BD55" s="5" t="str">
        <f t="shared" si="150"/>
        <v/>
      </c>
      <c r="BE55" s="6" t="str">
        <f t="shared" si="338"/>
        <v/>
      </c>
      <c r="BF55" s="4" t="str">
        <f t="shared" si="339"/>
        <v/>
      </c>
      <c r="BG55" s="5" t="str">
        <f t="shared" si="340"/>
        <v/>
      </c>
      <c r="BH55" s="10" t="str">
        <f t="shared" si="341"/>
        <v/>
      </c>
      <c r="BI55" s="9" t="str">
        <f t="shared" si="151"/>
        <v/>
      </c>
      <c r="BJ55" s="5" t="str">
        <f t="shared" si="343"/>
        <v/>
      </c>
      <c r="BK55" s="8" t="str">
        <f t="shared" si="344"/>
        <v/>
      </c>
      <c r="BL55" s="173" t="str">
        <f t="shared" si="345"/>
        <v/>
      </c>
      <c r="BM55" s="5" t="str">
        <f t="shared" si="346"/>
        <v/>
      </c>
      <c r="BN55" s="6" t="str">
        <f t="shared" si="347"/>
        <v/>
      </c>
      <c r="BO55" s="4" t="str">
        <f t="shared" si="152"/>
        <v/>
      </c>
      <c r="BP55" s="5" t="str">
        <f t="shared" si="153"/>
        <v/>
      </c>
      <c r="BQ55" s="5" t="str">
        <f t="shared" si="154"/>
        <v/>
      </c>
      <c r="BR55" s="6" t="str">
        <f t="shared" si="155"/>
        <v/>
      </c>
      <c r="BS55" s="4" t="str">
        <f t="shared" si="568"/>
        <v/>
      </c>
      <c r="BT55" s="5" t="str">
        <f t="shared" si="568"/>
        <v/>
      </c>
      <c r="BU55" s="10" t="str">
        <f t="shared" si="113"/>
        <v/>
      </c>
      <c r="BV55" s="9" t="str">
        <f t="shared" si="114"/>
        <v/>
      </c>
      <c r="BW55" s="5" t="str">
        <f t="shared" si="115"/>
        <v/>
      </c>
      <c r="BX55" s="8" t="str">
        <f t="shared" si="116"/>
        <v/>
      </c>
      <c r="BY55" s="173" t="str">
        <f t="shared" si="117"/>
        <v/>
      </c>
      <c r="BZ55" s="5" t="str">
        <f t="shared" si="118"/>
        <v/>
      </c>
      <c r="CA55" s="6" t="str">
        <f t="shared" si="119"/>
        <v/>
      </c>
      <c r="CB55" s="4" t="str">
        <f t="shared" si="156"/>
        <v/>
      </c>
      <c r="CC55" s="5" t="str">
        <f t="shared" si="157"/>
        <v/>
      </c>
      <c r="CD55" s="5" t="str">
        <f t="shared" si="158"/>
        <v/>
      </c>
      <c r="CE55" s="6" t="str">
        <f t="shared" si="159"/>
        <v/>
      </c>
      <c r="CF55" s="4" t="str">
        <f t="shared" si="160"/>
        <v/>
      </c>
      <c r="CG55" s="5" t="str">
        <f t="shared" si="161"/>
        <v/>
      </c>
      <c r="CH55" s="5" t="str">
        <f t="shared" si="162"/>
        <v/>
      </c>
      <c r="CI55" s="4" t="str">
        <f t="shared" si="120"/>
        <v/>
      </c>
      <c r="CJ55" s="5" t="str">
        <f t="shared" si="121"/>
        <v/>
      </c>
      <c r="CK55" s="8" t="str">
        <f t="shared" si="122"/>
        <v/>
      </c>
      <c r="CL55" s="173" t="str">
        <f t="shared" si="123"/>
        <v/>
      </c>
      <c r="CM55" s="5" t="str">
        <f t="shared" si="124"/>
        <v/>
      </c>
      <c r="CN55" s="6" t="str">
        <f t="shared" si="125"/>
        <v/>
      </c>
      <c r="CO55" s="167" t="str">
        <f t="shared" si="364"/>
        <v/>
      </c>
      <c r="CP55" s="4" t="str">
        <f t="shared" si="248"/>
        <v/>
      </c>
      <c r="CQ55" s="5" t="str">
        <f t="shared" si="249"/>
        <v/>
      </c>
      <c r="CR55" s="5" t="str">
        <f t="shared" si="163"/>
        <v/>
      </c>
      <c r="CS55" s="8" t="str">
        <f t="shared" si="164"/>
        <v/>
      </c>
      <c r="CT55" s="9" t="str">
        <f t="shared" si="165"/>
        <v/>
      </c>
      <c r="CU55" s="6" t="str">
        <f t="shared" si="166"/>
        <v/>
      </c>
      <c r="CV55" s="4" t="str">
        <f t="shared" si="250"/>
        <v/>
      </c>
      <c r="CW55" s="5" t="str">
        <f t="shared" si="167"/>
        <v/>
      </c>
      <c r="CX55" s="8" t="str">
        <f t="shared" si="168"/>
        <v/>
      </c>
      <c r="CY55" s="9" t="str">
        <f t="shared" si="169"/>
        <v/>
      </c>
      <c r="CZ55" s="5" t="str">
        <f t="shared" si="170"/>
        <v/>
      </c>
      <c r="DA55" s="6" t="str">
        <f t="shared" si="171"/>
        <v/>
      </c>
      <c r="DB55" s="4" t="str">
        <f t="shared" si="569"/>
        <v/>
      </c>
      <c r="DC55" s="5" t="str">
        <f t="shared" si="569"/>
        <v/>
      </c>
      <c r="DD55" s="10" t="str">
        <f t="shared" si="173"/>
        <v/>
      </c>
      <c r="DE55" s="9" t="str">
        <f t="shared" si="570"/>
        <v/>
      </c>
      <c r="DF55" s="5" t="str">
        <f t="shared" si="570"/>
        <v/>
      </c>
      <c r="DG55" s="10" t="str">
        <f t="shared" si="175"/>
        <v/>
      </c>
      <c r="DH55" s="70" t="str">
        <f t="shared" si="176"/>
        <v/>
      </c>
      <c r="DI55" s="4" t="str">
        <f t="shared" si="177"/>
        <v/>
      </c>
      <c r="DJ55" s="5" t="str">
        <f t="shared" si="178"/>
        <v/>
      </c>
      <c r="DK55" s="10" t="str">
        <f t="shared" si="179"/>
        <v/>
      </c>
      <c r="DL55" s="9" t="str">
        <f t="shared" si="180"/>
        <v/>
      </c>
      <c r="DM55" s="173" t="str">
        <f t="shared" si="181"/>
        <v/>
      </c>
      <c r="DN55" s="178" t="str">
        <f t="shared" si="182"/>
        <v/>
      </c>
      <c r="DO55" s="9" t="str">
        <f t="shared" si="183"/>
        <v/>
      </c>
      <c r="DP55" s="173" t="str">
        <f t="shared" si="184"/>
        <v/>
      </c>
      <c r="DQ55" s="11" t="str">
        <f t="shared" si="185"/>
        <v/>
      </c>
      <c r="DR55" s="173" t="str">
        <f t="shared" si="186"/>
        <v/>
      </c>
      <c r="DS55" s="5" t="str">
        <f t="shared" si="187"/>
        <v/>
      </c>
      <c r="DT55" s="5" t="str">
        <f t="shared" si="188"/>
        <v/>
      </c>
      <c r="DU55" s="5" t="str">
        <f t="shared" si="189"/>
        <v/>
      </c>
      <c r="DV55" s="5" t="str">
        <f t="shared" si="190"/>
        <v/>
      </c>
      <c r="DW55" s="5" t="str">
        <f t="shared" si="191"/>
        <v/>
      </c>
      <c r="DX55" s="167" t="str">
        <f t="shared" si="192"/>
        <v/>
      </c>
      <c r="DY55" s="9" t="str">
        <f t="shared" si="193"/>
        <v/>
      </c>
      <c r="DZ55" s="5" t="str">
        <f t="shared" si="194"/>
        <v/>
      </c>
      <c r="EA55" s="10" t="str">
        <f t="shared" si="195"/>
        <v/>
      </c>
      <c r="EB55" s="6" t="str">
        <f t="shared" si="196"/>
        <v/>
      </c>
      <c r="EC55" s="173" t="str">
        <f t="shared" si="197"/>
        <v/>
      </c>
      <c r="ED55" s="5" t="str">
        <f t="shared" si="198"/>
        <v/>
      </c>
      <c r="EE55" s="4" t="str">
        <f t="shared" si="199"/>
        <v/>
      </c>
      <c r="EF55" s="5" t="str">
        <f t="shared" si="200"/>
        <v/>
      </c>
      <c r="EG55" s="10" t="str">
        <f t="shared" si="201"/>
        <v/>
      </c>
      <c r="EH55" s="9" t="str">
        <f t="shared" si="202"/>
        <v/>
      </c>
      <c r="EI55" s="5" t="str">
        <f t="shared" si="203"/>
        <v/>
      </c>
      <c r="EJ55" s="6" t="str">
        <f t="shared" si="204"/>
        <v/>
      </c>
      <c r="EK55" s="236" t="str">
        <f t="shared" si="205"/>
        <v/>
      </c>
      <c r="EL55" s="238" t="str">
        <f t="shared" si="206"/>
        <v/>
      </c>
      <c r="EM55" s="4" t="str">
        <f t="shared" si="207"/>
        <v/>
      </c>
      <c r="EN55" s="5" t="str">
        <f t="shared" si="208"/>
        <v/>
      </c>
      <c r="EO55" s="10" t="str">
        <f t="shared" si="209"/>
        <v/>
      </c>
      <c r="EP55" s="9" t="str">
        <f t="shared" si="210"/>
        <v/>
      </c>
      <c r="EQ55" s="5" t="str">
        <f t="shared" si="211"/>
        <v/>
      </c>
      <c r="ER55" s="7" t="str">
        <f t="shared" si="212"/>
        <v/>
      </c>
      <c r="ES55" s="21" t="str">
        <f t="shared" si="411"/>
        <v/>
      </c>
      <c r="ET55" s="5" t="str">
        <f t="shared" si="412"/>
        <v/>
      </c>
      <c r="EU55" s="10" t="str">
        <f t="shared" si="413"/>
        <v/>
      </c>
      <c r="EV55" s="174" t="str">
        <f t="shared" si="571"/>
        <v/>
      </c>
      <c r="EW55" s="9" t="str">
        <f t="shared" si="572"/>
        <v/>
      </c>
      <c r="EX55" s="5" t="str">
        <f t="shared" si="573"/>
        <v/>
      </c>
      <c r="EY55" s="6" t="str">
        <f t="shared" si="213"/>
        <v/>
      </c>
      <c r="EZ55" s="51" t="str">
        <f t="shared" si="214"/>
        <v/>
      </c>
      <c r="FA55" s="173" t="str">
        <f t="shared" si="574"/>
        <v/>
      </c>
      <c r="FB55" s="5" t="str">
        <f t="shared" si="575"/>
        <v/>
      </c>
      <c r="FC55" s="6" t="str">
        <f t="shared" si="576"/>
        <v/>
      </c>
      <c r="FD55" s="4" t="str">
        <f t="shared" si="577"/>
        <v/>
      </c>
      <c r="FE55" s="5" t="str">
        <f t="shared" si="578"/>
        <v/>
      </c>
      <c r="FF55" s="7" t="str">
        <f t="shared" si="215"/>
        <v/>
      </c>
      <c r="FG55" s="173" t="str">
        <f t="shared" si="579"/>
        <v/>
      </c>
      <c r="FH55" s="5" t="str">
        <f t="shared" si="580"/>
        <v/>
      </c>
      <c r="FI55" s="10" t="str">
        <f t="shared" si="581"/>
        <v/>
      </c>
      <c r="FJ55" s="279" t="str">
        <f t="shared" si="217"/>
        <v/>
      </c>
      <c r="FK55" s="4" t="str">
        <f t="shared" si="582"/>
        <v/>
      </c>
      <c r="FL55" s="5" t="str">
        <f t="shared" si="218"/>
        <v/>
      </c>
      <c r="FM55" s="8" t="str">
        <f t="shared" si="219"/>
        <v/>
      </c>
      <c r="FN55" s="9" t="str">
        <f t="shared" si="220"/>
        <v/>
      </c>
      <c r="FO55" s="10" t="str">
        <f t="shared" si="583"/>
        <v/>
      </c>
      <c r="FP55" s="277" t="str">
        <f t="shared" si="584"/>
        <v/>
      </c>
      <c r="FQ55" s="173" t="str">
        <f t="shared" si="251"/>
        <v/>
      </c>
      <c r="FR55" s="10" t="str">
        <f t="shared" si="221"/>
        <v/>
      </c>
      <c r="FS55" s="9" t="str">
        <f t="shared" si="222"/>
        <v/>
      </c>
      <c r="FT55" s="6" t="str">
        <f t="shared" si="223"/>
        <v/>
      </c>
      <c r="FU55" s="4" t="str">
        <f t="shared" si="224"/>
        <v/>
      </c>
      <c r="FV55" s="5" t="str">
        <f t="shared" si="225"/>
        <v/>
      </c>
      <c r="FW55" s="8" t="str">
        <f t="shared" si="252"/>
        <v/>
      </c>
      <c r="FX55" s="9" t="str">
        <f t="shared" si="253"/>
        <v/>
      </c>
      <c r="FY55" s="10" t="str">
        <f t="shared" si="585"/>
        <v/>
      </c>
      <c r="FZ55" s="277" t="str">
        <f t="shared" si="254"/>
        <v/>
      </c>
      <c r="GA55" s="177" t="str">
        <f t="shared" si="226"/>
        <v/>
      </c>
      <c r="GB55" s="4" t="str">
        <f t="shared" si="227"/>
        <v/>
      </c>
      <c r="GC55" s="5" t="str">
        <f t="shared" si="228"/>
        <v/>
      </c>
      <c r="GD55" s="10" t="str">
        <f t="shared" si="229"/>
        <v/>
      </c>
      <c r="GE55" s="311" t="str">
        <f t="shared" si="230"/>
        <v/>
      </c>
      <c r="GF55" s="341" t="str">
        <f t="shared" si="255"/>
        <v/>
      </c>
      <c r="GG55" s="285" t="str">
        <f t="shared" si="586"/>
        <v/>
      </c>
      <c r="GH55" s="286" t="str">
        <f t="shared" si="587"/>
        <v/>
      </c>
      <c r="GI55" s="281" t="str">
        <f t="shared" si="588"/>
        <v/>
      </c>
      <c r="GJ55" s="167" t="str">
        <f t="shared" si="231"/>
        <v/>
      </c>
      <c r="GK55" s="174" t="str">
        <f t="shared" si="589"/>
        <v/>
      </c>
      <c r="GL55" s="174" t="str">
        <f t="shared" si="232"/>
        <v/>
      </c>
      <c r="GM55" s="177" t="str">
        <f t="shared" si="256"/>
        <v/>
      </c>
      <c r="GN55" s="280" t="str">
        <f t="shared" si="233"/>
        <v/>
      </c>
      <c r="GO55" s="4" t="str">
        <f t="shared" si="234"/>
        <v/>
      </c>
      <c r="GP55" s="8" t="str">
        <f t="shared" si="257"/>
        <v/>
      </c>
      <c r="GQ55" s="177" t="str">
        <f t="shared" si="235"/>
        <v/>
      </c>
      <c r="GR55" s="371" t="str">
        <f t="shared" si="258"/>
        <v/>
      </c>
      <c r="GS55" s="342" t="str">
        <f t="shared" si="590"/>
        <v/>
      </c>
      <c r="GT55" s="343" t="str">
        <f t="shared" si="591"/>
        <v/>
      </c>
      <c r="GU55" s="344" t="str">
        <f t="shared" si="592"/>
        <v/>
      </c>
      <c r="GV55" s="343" t="str">
        <f t="shared" si="265"/>
        <v/>
      </c>
      <c r="GW55" s="345" t="str">
        <f t="shared" si="593"/>
        <v/>
      </c>
      <c r="GX55" s="346" t="str">
        <f t="shared" si="594"/>
        <v/>
      </c>
      <c r="GY55" s="344" t="str">
        <f t="shared" si="595"/>
        <v/>
      </c>
      <c r="GZ55" s="345" t="str">
        <f t="shared" si="596"/>
        <v/>
      </c>
      <c r="HA55" s="342" t="str">
        <f t="shared" si="597"/>
        <v/>
      </c>
      <c r="HB55" s="5" t="str">
        <f t="shared" si="236"/>
        <v/>
      </c>
      <c r="HC55" s="343" t="str">
        <f t="shared" si="237"/>
        <v/>
      </c>
      <c r="HD55" s="363" t="str">
        <f t="shared" si="238"/>
        <v/>
      </c>
      <c r="HE55" s="344" t="str">
        <f t="shared" si="598"/>
        <v/>
      </c>
      <c r="HF55" s="5" t="str">
        <f t="shared" si="599"/>
        <v/>
      </c>
      <c r="HG55" s="343" t="str">
        <f t="shared" si="239"/>
        <v/>
      </c>
      <c r="HH55" s="349" t="str">
        <f t="shared" si="240"/>
        <v/>
      </c>
      <c r="HI55" s="317" t="str">
        <f t="shared" si="467"/>
        <v/>
      </c>
      <c r="HK55" s="310" t="str">
        <f t="shared" si="520"/>
        <v/>
      </c>
      <c r="HL55" s="348" t="str">
        <f t="shared" si="468"/>
        <v/>
      </c>
      <c r="HM55" s="923" t="str">
        <f t="shared" si="469"/>
        <v/>
      </c>
      <c r="HN55" s="924" t="str">
        <f t="shared" si="470"/>
        <v/>
      </c>
      <c r="HO55" s="925"/>
      <c r="HP55" s="926"/>
      <c r="HQ55" s="924" t="str">
        <f t="shared" si="471"/>
        <v/>
      </c>
      <c r="HR55" s="927" t="str">
        <f t="shared" si="472"/>
        <v/>
      </c>
      <c r="HS55" s="879" t="str">
        <f t="shared" si="521"/>
        <v/>
      </c>
      <c r="HT55" s="889" t="str">
        <f t="shared" si="473"/>
        <v/>
      </c>
      <c r="HU55" s="890" t="str">
        <f t="shared" si="474"/>
        <v/>
      </c>
      <c r="HV55" s="886" t="str">
        <f t="shared" si="475"/>
        <v/>
      </c>
      <c r="HW55" s="880" t="str">
        <f t="shared" si="476"/>
        <v/>
      </c>
      <c r="HX55" s="881" t="str">
        <f t="shared" si="477"/>
        <v/>
      </c>
      <c r="HY55" s="880" t="str">
        <f t="shared" si="478"/>
        <v/>
      </c>
      <c r="HZ55" s="882" t="str">
        <f t="shared" si="479"/>
        <v/>
      </c>
      <c r="IA55" s="883" t="str">
        <f t="shared" si="480"/>
        <v/>
      </c>
      <c r="IB55" s="884" t="str">
        <f t="shared" si="481"/>
        <v/>
      </c>
      <c r="IC55" s="855" t="str">
        <f t="shared" si="482"/>
        <v/>
      </c>
      <c r="ID55" s="351" t="str">
        <f t="shared" si="483"/>
        <v/>
      </c>
      <c r="IE55" s="857" t="str">
        <f t="shared" si="484"/>
        <v/>
      </c>
      <c r="IF55" s="858"/>
      <c r="IG55" s="790" t="str">
        <f>IFERROR(IF($IW55="","",IF($IW55&lt;(((Settings!$C$19/2)*-1)*$IG$8),"Taper","Nose")),"")</f>
        <v/>
      </c>
      <c r="IH55" s="482" t="str">
        <f>IFERROR(IF((((($IY55*COS(RADIANS(180-$JA55)))*COS(RADIANS($JA55)))-(($IZ55*SIN(RADIANS(180-$JA55)))*SIN(RADIANS($JA55))))+$IW55)&lt;(((Settings!$C$19+$IH$8)/2)*-1),"Gage",""),"")</f>
        <v/>
      </c>
      <c r="II55" s="788" t="str">
        <f t="shared" si="241"/>
        <v/>
      </c>
      <c r="IJ55" s="674" t="str" cm="1">
        <f t="array" ref="IJ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K55" s="677" t="str" cm="1">
        <f t="array" ref="IK55">IFERROR(ROUND(VALUE(IF($IJ55&lt;1,$IJ55+LARGE((IF($M$9:$M$150="",0,$M$9:$M$150)-MOD(IF($M$9:$M$150="",0,$M$9:$M$150),1)),1),$IJ55)),4),"")</f>
        <v/>
      </c>
      <c r="IL55" s="482" t="str">
        <f t="shared" si="485"/>
        <v/>
      </c>
      <c r="IM55" s="482" t="str">
        <f t="shared" si="242"/>
        <v/>
      </c>
      <c r="IN55" s="670" t="str">
        <f t="shared" si="486"/>
        <v/>
      </c>
      <c r="IO55" s="702">
        <v>2.0596001756787601E-2</v>
      </c>
      <c r="IP55" s="5" t="str">
        <f t="shared" si="487"/>
        <v/>
      </c>
      <c r="IQ55" s="714">
        <v>310</v>
      </c>
      <c r="IR55" s="9" t="str">
        <f t="shared" si="488"/>
        <v/>
      </c>
      <c r="IS55" s="5" t="str">
        <f t="shared" si="489"/>
        <v/>
      </c>
      <c r="IT55" s="5" t="str">
        <f t="shared" si="490"/>
        <v/>
      </c>
      <c r="IU55" s="5" t="str">
        <f t="shared" si="491"/>
        <v/>
      </c>
      <c r="IV55" s="670" t="str">
        <f t="shared" si="492"/>
        <v/>
      </c>
      <c r="IW55" s="9" t="str">
        <f t="shared" si="493"/>
        <v/>
      </c>
      <c r="IX55" s="5" t="str">
        <f t="shared" si="494"/>
        <v/>
      </c>
      <c r="IY55" s="5" t="str">
        <f t="shared" si="495"/>
        <v/>
      </c>
      <c r="IZ55" s="5" t="str">
        <f t="shared" si="496"/>
        <v/>
      </c>
      <c r="JA55" s="705" t="str">
        <f t="shared" si="497"/>
        <v/>
      </c>
      <c r="JM55" s="489" t="e">
        <f t="shared" si="133"/>
        <v>#VALUE!</v>
      </c>
      <c r="JN55" s="960" t="e">
        <f>($JO55-SMALL($JO$9:$JO$88,1))/((Settings!$C$19/2)-((Settings!$C$19/2)-LARGE($JO$9:$JO$88,1))-SMALL($JO$9:$JO$88,1))</f>
        <v>#VALUE!</v>
      </c>
      <c r="JO55" s="162" t="str">
        <f t="shared" si="134"/>
        <v/>
      </c>
      <c r="JP55" s="961" t="str">
        <f t="shared" si="135"/>
        <v/>
      </c>
      <c r="JQ55" s="961" t="str">
        <f t="shared" si="136"/>
        <v/>
      </c>
      <c r="JS55" s="31" t="e">
        <v>#VALUE!</v>
      </c>
      <c r="JU55" s="962"/>
      <c r="JV55" s="959"/>
      <c r="JW55" s="959"/>
    </row>
    <row r="56" spans="1:284" ht="15" customHeight="1" x14ac:dyDescent="0.25">
      <c r="A56" s="75" t="str">
        <f t="shared" si="322"/>
        <v/>
      </c>
      <c r="B56" s="578" t="str">
        <f t="shared" ref="B56:D56" si="602">IFERROR(O211+($A56*-E56),"")</f>
        <v/>
      </c>
      <c r="C56" s="572" t="str">
        <f t="shared" si="602"/>
        <v/>
      </c>
      <c r="D56" s="576" t="str">
        <f t="shared" si="602"/>
        <v/>
      </c>
      <c r="E56" s="580" t="str">
        <f t="shared" ref="E56:K56" si="603">R211</f>
        <v/>
      </c>
      <c r="F56" s="572" t="str">
        <f t="shared" si="603"/>
        <v/>
      </c>
      <c r="G56" s="579" t="str">
        <f t="shared" si="603"/>
        <v/>
      </c>
      <c r="H56" s="580" t="str">
        <f t="shared" si="603"/>
        <v/>
      </c>
      <c r="I56" s="572" t="str">
        <f t="shared" si="603"/>
        <v/>
      </c>
      <c r="J56" s="483" t="str">
        <f t="shared" si="94"/>
        <v/>
      </c>
      <c r="K56" s="806" t="str">
        <f t="shared" si="603"/>
        <v/>
      </c>
      <c r="L56" s="309"/>
      <c r="M56" s="164" t="str">
        <f t="shared" si="325"/>
        <v/>
      </c>
      <c r="N56" s="575" t="str">
        <f t="shared" si="326"/>
        <v/>
      </c>
      <c r="O56" s="572" t="str">
        <f t="shared" si="327"/>
        <v/>
      </c>
      <c r="P56" s="576" t="str">
        <f t="shared" si="328"/>
        <v/>
      </c>
      <c r="Q56" s="528" t="str">
        <f t="shared" si="144"/>
        <v/>
      </c>
      <c r="R56" s="572" t="str">
        <f t="shared" si="547"/>
        <v/>
      </c>
      <c r="S56" s="577" t="str">
        <f t="shared" si="548"/>
        <v/>
      </c>
      <c r="T56" s="578" t="str">
        <f t="shared" si="549"/>
        <v/>
      </c>
      <c r="U56" s="572" t="str">
        <f t="shared" si="550"/>
        <v/>
      </c>
      <c r="V56" s="579" t="str">
        <f t="shared" si="551"/>
        <v/>
      </c>
      <c r="W56" s="528" t="str">
        <f t="shared" si="268"/>
        <v/>
      </c>
      <c r="X56" s="572" t="str">
        <f t="shared" si="552"/>
        <v/>
      </c>
      <c r="Y56" s="573" t="str">
        <f t="shared" si="271"/>
        <v/>
      </c>
      <c r="Z56" s="575" t="str">
        <f t="shared" si="329"/>
        <v/>
      </c>
      <c r="AA56" s="572" t="str">
        <f t="shared" si="330"/>
        <v/>
      </c>
      <c r="AB56" s="572" t="str">
        <f t="shared" si="331"/>
        <v/>
      </c>
      <c r="AC56" s="579" t="str">
        <f t="shared" si="553"/>
        <v/>
      </c>
      <c r="AD56" s="580" t="str">
        <f t="shared" si="554"/>
        <v/>
      </c>
      <c r="AE56" s="572" t="str">
        <f t="shared" si="555"/>
        <v/>
      </c>
      <c r="AF56" s="576" t="str">
        <f t="shared" si="556"/>
        <v/>
      </c>
      <c r="AG56" s="545" t="str">
        <f t="shared" si="557"/>
        <v/>
      </c>
      <c r="AH56" s="546" t="str">
        <f t="shared" si="558"/>
        <v/>
      </c>
      <c r="AI56" s="528" t="str">
        <f t="shared" si="559"/>
        <v/>
      </c>
      <c r="AJ56" s="529" t="str">
        <f t="shared" si="560"/>
        <v/>
      </c>
      <c r="AK56" s="578" t="str">
        <f t="shared" si="561"/>
        <v/>
      </c>
      <c r="AL56" s="572" t="str">
        <f t="shared" si="562"/>
        <v/>
      </c>
      <c r="AM56" s="577" t="str">
        <f t="shared" si="563"/>
        <v/>
      </c>
      <c r="AN56" s="524" t="str">
        <f t="shared" si="564"/>
        <v/>
      </c>
      <c r="AO56" s="525" t="str">
        <f t="shared" ref="AO56:AO119" si="604">IF(ROUND(IF(M56="",0,DEGREES(ACOS(AK56))),4)=90,0,IF(M56="","",DEGREES(ACOS(AK56))))</f>
        <v/>
      </c>
      <c r="AP56" s="528" t="str">
        <f t="shared" si="565"/>
        <v/>
      </c>
      <c r="AQ56" s="529" t="str">
        <f t="shared" si="332"/>
        <v/>
      </c>
      <c r="AR56" s="979"/>
      <c r="AS56" s="954" t="str">
        <f t="shared" si="524"/>
        <v/>
      </c>
      <c r="AT56" s="950" t="str">
        <f t="shared" si="333"/>
        <v/>
      </c>
      <c r="AU56" s="418"/>
      <c r="AV56" s="164" t="str">
        <f t="shared" si="334"/>
        <v/>
      </c>
      <c r="AW56" s="797" t="str">
        <f>IFERROR(INDEX(MassProp!C$9:C$150,MATCH($M56,MassProp!$B$9:$B$150,0)),"")</f>
        <v/>
      </c>
      <c r="AX56" s="744" t="str">
        <f>IFERROR(INDEX(MassProp!D$9:D$150,MATCH($M56,MassProp!$B$9:$B$150,0)),"")</f>
        <v/>
      </c>
      <c r="AY56" s="731" t="str">
        <f>IFERROR(INDEX(MassProp!E$9:E$150,MATCH($M56,MassProp!$B$9:$B$150,0)),"")</f>
        <v/>
      </c>
      <c r="AZ56" s="297" t="str">
        <f t="shared" si="148"/>
        <v/>
      </c>
      <c r="BA56" s="296" t="str">
        <f t="shared" si="336"/>
        <v/>
      </c>
      <c r="BB56" s="177" t="str">
        <f t="shared" si="149"/>
        <v/>
      </c>
      <c r="BC56" s="9"/>
      <c r="BD56" s="5" t="str">
        <f t="shared" si="150"/>
        <v/>
      </c>
      <c r="BE56" s="6" t="str">
        <f t="shared" si="338"/>
        <v/>
      </c>
      <c r="BF56" s="4" t="str">
        <f t="shared" si="339"/>
        <v/>
      </c>
      <c r="BG56" s="5" t="str">
        <f t="shared" si="340"/>
        <v/>
      </c>
      <c r="BH56" s="10" t="str">
        <f t="shared" si="341"/>
        <v/>
      </c>
      <c r="BI56" s="9" t="str">
        <f t="shared" si="151"/>
        <v/>
      </c>
      <c r="BJ56" s="5" t="str">
        <f t="shared" si="343"/>
        <v/>
      </c>
      <c r="BK56" s="8" t="str">
        <f t="shared" si="344"/>
        <v/>
      </c>
      <c r="BL56" s="173" t="str">
        <f t="shared" si="345"/>
        <v/>
      </c>
      <c r="BM56" s="5" t="str">
        <f t="shared" si="346"/>
        <v/>
      </c>
      <c r="BN56" s="6" t="str">
        <f t="shared" si="347"/>
        <v/>
      </c>
      <c r="BO56" s="4" t="str">
        <f t="shared" si="152"/>
        <v/>
      </c>
      <c r="BP56" s="5" t="str">
        <f t="shared" si="153"/>
        <v/>
      </c>
      <c r="BQ56" s="5" t="str">
        <f t="shared" si="154"/>
        <v/>
      </c>
      <c r="BR56" s="6" t="str">
        <f t="shared" si="155"/>
        <v/>
      </c>
      <c r="BS56" s="4" t="str">
        <f t="shared" si="568"/>
        <v/>
      </c>
      <c r="BT56" s="5" t="str">
        <f t="shared" si="568"/>
        <v/>
      </c>
      <c r="BU56" s="10" t="str">
        <f t="shared" si="113"/>
        <v/>
      </c>
      <c r="BV56" s="9" t="str">
        <f t="shared" si="114"/>
        <v/>
      </c>
      <c r="BW56" s="5" t="str">
        <f t="shared" si="115"/>
        <v/>
      </c>
      <c r="BX56" s="8" t="str">
        <f t="shared" si="116"/>
        <v/>
      </c>
      <c r="BY56" s="173" t="str">
        <f t="shared" si="117"/>
        <v/>
      </c>
      <c r="BZ56" s="5" t="str">
        <f t="shared" si="118"/>
        <v/>
      </c>
      <c r="CA56" s="6" t="str">
        <f t="shared" si="119"/>
        <v/>
      </c>
      <c r="CB56" s="4" t="str">
        <f t="shared" si="156"/>
        <v/>
      </c>
      <c r="CC56" s="5" t="str">
        <f t="shared" si="157"/>
        <v/>
      </c>
      <c r="CD56" s="5" t="str">
        <f t="shared" si="158"/>
        <v/>
      </c>
      <c r="CE56" s="6" t="str">
        <f t="shared" si="159"/>
        <v/>
      </c>
      <c r="CF56" s="4" t="str">
        <f t="shared" si="160"/>
        <v/>
      </c>
      <c r="CG56" s="5" t="str">
        <f t="shared" si="161"/>
        <v/>
      </c>
      <c r="CH56" s="5" t="str">
        <f t="shared" si="162"/>
        <v/>
      </c>
      <c r="CI56" s="4" t="str">
        <f t="shared" si="120"/>
        <v/>
      </c>
      <c r="CJ56" s="5" t="str">
        <f t="shared" si="121"/>
        <v/>
      </c>
      <c r="CK56" s="8" t="str">
        <f t="shared" si="122"/>
        <v/>
      </c>
      <c r="CL56" s="173" t="str">
        <f t="shared" si="123"/>
        <v/>
      </c>
      <c r="CM56" s="5" t="str">
        <f t="shared" si="124"/>
        <v/>
      </c>
      <c r="CN56" s="6" t="str">
        <f t="shared" si="125"/>
        <v/>
      </c>
      <c r="CO56" s="167" t="str">
        <f t="shared" si="364"/>
        <v/>
      </c>
      <c r="CP56" s="4" t="str">
        <f t="shared" si="248"/>
        <v/>
      </c>
      <c r="CQ56" s="5" t="str">
        <f t="shared" si="249"/>
        <v/>
      </c>
      <c r="CR56" s="5" t="str">
        <f t="shared" si="163"/>
        <v/>
      </c>
      <c r="CS56" s="8" t="str">
        <f t="shared" si="164"/>
        <v/>
      </c>
      <c r="CT56" s="9" t="str">
        <f t="shared" si="165"/>
        <v/>
      </c>
      <c r="CU56" s="6" t="str">
        <f t="shared" si="166"/>
        <v/>
      </c>
      <c r="CV56" s="4" t="str">
        <f t="shared" si="250"/>
        <v/>
      </c>
      <c r="CW56" s="5" t="str">
        <f t="shared" si="167"/>
        <v/>
      </c>
      <c r="CX56" s="8" t="str">
        <f t="shared" si="168"/>
        <v/>
      </c>
      <c r="CY56" s="9" t="str">
        <f t="shared" si="169"/>
        <v/>
      </c>
      <c r="CZ56" s="5" t="str">
        <f t="shared" si="170"/>
        <v/>
      </c>
      <c r="DA56" s="6" t="str">
        <f t="shared" si="171"/>
        <v/>
      </c>
      <c r="DB56" s="4" t="str">
        <f t="shared" si="569"/>
        <v/>
      </c>
      <c r="DC56" s="5" t="str">
        <f t="shared" si="569"/>
        <v/>
      </c>
      <c r="DD56" s="10" t="str">
        <f t="shared" si="173"/>
        <v/>
      </c>
      <c r="DE56" s="9" t="str">
        <f t="shared" si="570"/>
        <v/>
      </c>
      <c r="DF56" s="5" t="str">
        <f t="shared" si="570"/>
        <v/>
      </c>
      <c r="DG56" s="10" t="str">
        <f t="shared" si="175"/>
        <v/>
      </c>
      <c r="DH56" s="70" t="str">
        <f t="shared" si="176"/>
        <v/>
      </c>
      <c r="DI56" s="4" t="str">
        <f t="shared" si="177"/>
        <v/>
      </c>
      <c r="DJ56" s="5" t="str">
        <f t="shared" si="178"/>
        <v/>
      </c>
      <c r="DK56" s="10" t="str">
        <f t="shared" si="179"/>
        <v/>
      </c>
      <c r="DL56" s="9" t="str">
        <f t="shared" si="180"/>
        <v/>
      </c>
      <c r="DM56" s="173" t="str">
        <f t="shared" si="181"/>
        <v/>
      </c>
      <c r="DN56" s="178" t="str">
        <f t="shared" si="182"/>
        <v/>
      </c>
      <c r="DO56" s="9" t="str">
        <f t="shared" si="183"/>
        <v/>
      </c>
      <c r="DP56" s="173" t="str">
        <f t="shared" si="184"/>
        <v/>
      </c>
      <c r="DQ56" s="11" t="str">
        <f t="shared" si="185"/>
        <v/>
      </c>
      <c r="DR56" s="173" t="str">
        <f t="shared" si="186"/>
        <v/>
      </c>
      <c r="DS56" s="5" t="str">
        <f t="shared" si="187"/>
        <v/>
      </c>
      <c r="DT56" s="5" t="str">
        <f t="shared" si="188"/>
        <v/>
      </c>
      <c r="DU56" s="5" t="str">
        <f t="shared" si="189"/>
        <v/>
      </c>
      <c r="DV56" s="5" t="str">
        <f t="shared" si="190"/>
        <v/>
      </c>
      <c r="DW56" s="5" t="str">
        <f t="shared" si="191"/>
        <v/>
      </c>
      <c r="DX56" s="167" t="str">
        <f t="shared" si="192"/>
        <v/>
      </c>
      <c r="DY56" s="9" t="str">
        <f t="shared" si="193"/>
        <v/>
      </c>
      <c r="DZ56" s="5" t="str">
        <f t="shared" si="194"/>
        <v/>
      </c>
      <c r="EA56" s="10" t="str">
        <f t="shared" si="195"/>
        <v/>
      </c>
      <c r="EB56" s="6" t="str">
        <f t="shared" si="196"/>
        <v/>
      </c>
      <c r="EC56" s="173" t="str">
        <f t="shared" si="197"/>
        <v/>
      </c>
      <c r="ED56" s="5" t="str">
        <f t="shared" si="198"/>
        <v/>
      </c>
      <c r="EE56" s="4" t="str">
        <f t="shared" si="199"/>
        <v/>
      </c>
      <c r="EF56" s="5" t="str">
        <f t="shared" si="200"/>
        <v/>
      </c>
      <c r="EG56" s="10" t="str">
        <f t="shared" si="201"/>
        <v/>
      </c>
      <c r="EH56" s="9" t="str">
        <f t="shared" si="202"/>
        <v/>
      </c>
      <c r="EI56" s="5" t="str">
        <f t="shared" si="203"/>
        <v/>
      </c>
      <c r="EJ56" s="6" t="str">
        <f t="shared" si="204"/>
        <v/>
      </c>
      <c r="EK56" s="236" t="str">
        <f t="shared" si="205"/>
        <v/>
      </c>
      <c r="EL56" s="238" t="str">
        <f t="shared" si="206"/>
        <v/>
      </c>
      <c r="EM56" s="4" t="str">
        <f t="shared" si="207"/>
        <v/>
      </c>
      <c r="EN56" s="5" t="str">
        <f t="shared" si="208"/>
        <v/>
      </c>
      <c r="EO56" s="10" t="str">
        <f t="shared" si="209"/>
        <v/>
      </c>
      <c r="EP56" s="9" t="str">
        <f t="shared" si="210"/>
        <v/>
      </c>
      <c r="EQ56" s="5" t="str">
        <f t="shared" si="211"/>
        <v/>
      </c>
      <c r="ER56" s="7" t="str">
        <f t="shared" si="212"/>
        <v/>
      </c>
      <c r="ES56" s="21" t="str">
        <f t="shared" si="411"/>
        <v/>
      </c>
      <c r="ET56" s="5" t="str">
        <f t="shared" si="412"/>
        <v/>
      </c>
      <c r="EU56" s="10" t="str">
        <f t="shared" si="413"/>
        <v/>
      </c>
      <c r="EV56" s="174" t="str">
        <f t="shared" si="571"/>
        <v/>
      </c>
      <c r="EW56" s="9" t="str">
        <f t="shared" si="572"/>
        <v/>
      </c>
      <c r="EX56" s="5" t="str">
        <f t="shared" si="573"/>
        <v/>
      </c>
      <c r="EY56" s="6" t="str">
        <f t="shared" si="213"/>
        <v/>
      </c>
      <c r="EZ56" s="51" t="str">
        <f t="shared" si="214"/>
        <v/>
      </c>
      <c r="FA56" s="173" t="str">
        <f t="shared" si="574"/>
        <v/>
      </c>
      <c r="FB56" s="5" t="str">
        <f t="shared" si="575"/>
        <v/>
      </c>
      <c r="FC56" s="6" t="str">
        <f t="shared" si="576"/>
        <v/>
      </c>
      <c r="FD56" s="4" t="str">
        <f t="shared" si="577"/>
        <v/>
      </c>
      <c r="FE56" s="5" t="str">
        <f t="shared" si="578"/>
        <v/>
      </c>
      <c r="FF56" s="7" t="str">
        <f t="shared" si="215"/>
        <v/>
      </c>
      <c r="FG56" s="173" t="str">
        <f t="shared" si="579"/>
        <v/>
      </c>
      <c r="FH56" s="5" t="str">
        <f t="shared" si="580"/>
        <v/>
      </c>
      <c r="FI56" s="10" t="str">
        <f t="shared" si="581"/>
        <v/>
      </c>
      <c r="FJ56" s="279" t="str">
        <f t="shared" si="217"/>
        <v/>
      </c>
      <c r="FK56" s="4" t="str">
        <f t="shared" si="582"/>
        <v/>
      </c>
      <c r="FL56" s="5" t="str">
        <f t="shared" si="218"/>
        <v/>
      </c>
      <c r="FM56" s="8" t="str">
        <f t="shared" si="219"/>
        <v/>
      </c>
      <c r="FN56" s="9" t="str">
        <f t="shared" si="220"/>
        <v/>
      </c>
      <c r="FO56" s="10" t="str">
        <f t="shared" si="583"/>
        <v/>
      </c>
      <c r="FP56" s="277" t="str">
        <f t="shared" si="584"/>
        <v/>
      </c>
      <c r="FQ56" s="173" t="str">
        <f t="shared" si="251"/>
        <v/>
      </c>
      <c r="FR56" s="10" t="str">
        <f t="shared" si="221"/>
        <v/>
      </c>
      <c r="FS56" s="9" t="str">
        <f t="shared" si="222"/>
        <v/>
      </c>
      <c r="FT56" s="6" t="str">
        <f t="shared" si="223"/>
        <v/>
      </c>
      <c r="FU56" s="4" t="str">
        <f t="shared" si="224"/>
        <v/>
      </c>
      <c r="FV56" s="5" t="str">
        <f t="shared" si="225"/>
        <v/>
      </c>
      <c r="FW56" s="8" t="str">
        <f t="shared" si="252"/>
        <v/>
      </c>
      <c r="FX56" s="9" t="str">
        <f t="shared" si="253"/>
        <v/>
      </c>
      <c r="FY56" s="10" t="str">
        <f t="shared" si="585"/>
        <v/>
      </c>
      <c r="FZ56" s="277" t="str">
        <f t="shared" si="254"/>
        <v/>
      </c>
      <c r="GA56" s="177" t="str">
        <f t="shared" si="226"/>
        <v/>
      </c>
      <c r="GB56" s="4" t="str">
        <f t="shared" si="227"/>
        <v/>
      </c>
      <c r="GC56" s="5" t="str">
        <f t="shared" si="228"/>
        <v/>
      </c>
      <c r="GD56" s="10" t="str">
        <f t="shared" si="229"/>
        <v/>
      </c>
      <c r="GE56" s="311" t="str">
        <f t="shared" si="230"/>
        <v/>
      </c>
      <c r="GF56" s="341" t="str">
        <f t="shared" si="255"/>
        <v/>
      </c>
      <c r="GG56" s="285" t="str">
        <f t="shared" si="586"/>
        <v/>
      </c>
      <c r="GH56" s="286" t="str">
        <f t="shared" si="587"/>
        <v/>
      </c>
      <c r="GI56" s="281" t="str">
        <f t="shared" si="588"/>
        <v/>
      </c>
      <c r="GJ56" s="167" t="str">
        <f t="shared" si="231"/>
        <v/>
      </c>
      <c r="GK56" s="174" t="str">
        <f t="shared" si="589"/>
        <v/>
      </c>
      <c r="GL56" s="174" t="str">
        <f t="shared" si="232"/>
        <v/>
      </c>
      <c r="GM56" s="177" t="str">
        <f t="shared" si="256"/>
        <v/>
      </c>
      <c r="GN56" s="280" t="str">
        <f t="shared" si="233"/>
        <v/>
      </c>
      <c r="GO56" s="4" t="str">
        <f t="shared" si="234"/>
        <v/>
      </c>
      <c r="GP56" s="8" t="str">
        <f t="shared" si="257"/>
        <v/>
      </c>
      <c r="GQ56" s="177" t="str">
        <f t="shared" si="235"/>
        <v/>
      </c>
      <c r="GR56" s="371" t="str">
        <f t="shared" si="258"/>
        <v/>
      </c>
      <c r="GS56" s="342" t="str">
        <f t="shared" si="590"/>
        <v/>
      </c>
      <c r="GT56" s="343" t="str">
        <f t="shared" si="591"/>
        <v/>
      </c>
      <c r="GU56" s="344" t="str">
        <f t="shared" si="592"/>
        <v/>
      </c>
      <c r="GV56" s="343" t="str">
        <f t="shared" si="265"/>
        <v/>
      </c>
      <c r="GW56" s="345" t="str">
        <f t="shared" si="593"/>
        <v/>
      </c>
      <c r="GX56" s="346" t="str">
        <f t="shared" si="594"/>
        <v/>
      </c>
      <c r="GY56" s="344" t="str">
        <f t="shared" si="595"/>
        <v/>
      </c>
      <c r="GZ56" s="345" t="str">
        <f t="shared" si="596"/>
        <v/>
      </c>
      <c r="HA56" s="342" t="str">
        <f t="shared" si="597"/>
        <v/>
      </c>
      <c r="HB56" s="5" t="str">
        <f t="shared" si="236"/>
        <v/>
      </c>
      <c r="HC56" s="343" t="str">
        <f t="shared" si="237"/>
        <v/>
      </c>
      <c r="HD56" s="363" t="str">
        <f t="shared" si="238"/>
        <v/>
      </c>
      <c r="HE56" s="344" t="str">
        <f t="shared" si="598"/>
        <v/>
      </c>
      <c r="HF56" s="5" t="str">
        <f t="shared" si="599"/>
        <v/>
      </c>
      <c r="HG56" s="343" t="str">
        <f t="shared" si="239"/>
        <v/>
      </c>
      <c r="HH56" s="349" t="str">
        <f t="shared" si="240"/>
        <v/>
      </c>
      <c r="HI56" s="317" t="str">
        <f t="shared" si="467"/>
        <v/>
      </c>
      <c r="HK56" s="310" t="str">
        <f t="shared" si="520"/>
        <v/>
      </c>
      <c r="HL56" s="348" t="str">
        <f t="shared" si="468"/>
        <v/>
      </c>
      <c r="HM56" s="923" t="str">
        <f t="shared" si="469"/>
        <v/>
      </c>
      <c r="HN56" s="924" t="str">
        <f t="shared" si="470"/>
        <v/>
      </c>
      <c r="HO56" s="925"/>
      <c r="HP56" s="926"/>
      <c r="HQ56" s="924" t="str">
        <f t="shared" si="471"/>
        <v/>
      </c>
      <c r="HR56" s="927" t="str">
        <f t="shared" si="472"/>
        <v/>
      </c>
      <c r="HS56" s="879" t="str">
        <f t="shared" si="521"/>
        <v/>
      </c>
      <c r="HT56" s="889" t="str">
        <f t="shared" si="473"/>
        <v/>
      </c>
      <c r="HU56" s="890" t="str">
        <f t="shared" si="474"/>
        <v/>
      </c>
      <c r="HV56" s="886" t="str">
        <f t="shared" si="475"/>
        <v/>
      </c>
      <c r="HW56" s="880" t="str">
        <f t="shared" si="476"/>
        <v/>
      </c>
      <c r="HX56" s="881" t="str">
        <f t="shared" si="477"/>
        <v/>
      </c>
      <c r="HY56" s="880" t="str">
        <f t="shared" si="478"/>
        <v/>
      </c>
      <c r="HZ56" s="882" t="str">
        <f t="shared" si="479"/>
        <v/>
      </c>
      <c r="IA56" s="883" t="str">
        <f t="shared" si="480"/>
        <v/>
      </c>
      <c r="IB56" s="884" t="str">
        <f t="shared" si="481"/>
        <v/>
      </c>
      <c r="IC56" s="855" t="str">
        <f t="shared" si="482"/>
        <v/>
      </c>
      <c r="ID56" s="351" t="str">
        <f t="shared" si="483"/>
        <v/>
      </c>
      <c r="IE56" s="857" t="str">
        <f t="shared" si="484"/>
        <v/>
      </c>
      <c r="IF56" s="858"/>
      <c r="IG56" s="790" t="str">
        <f>IFERROR(IF($IW56="","",IF($IW56&lt;(((Settings!$C$19/2)*-1)*$IG$8),"Taper","Nose")),"")</f>
        <v/>
      </c>
      <c r="IH56" s="482" t="str">
        <f>IFERROR(IF((((($IY56*COS(RADIANS(180-$JA56)))*COS(RADIANS($JA56)))-(($IZ56*SIN(RADIANS(180-$JA56)))*SIN(RADIANS($JA56))))+$IW56)&lt;(((Settings!$C$19+$IH$8)/2)*-1),"Gage",""),"")</f>
        <v/>
      </c>
      <c r="II56" s="788" t="str">
        <f t="shared" si="241"/>
        <v/>
      </c>
      <c r="IJ56" s="674" t="str" cm="1">
        <f t="array" ref="IJ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K56" s="677" t="str" cm="1">
        <f t="array" ref="IK56">IFERROR(ROUND(VALUE(IF($IJ56&lt;1,$IJ56+LARGE((IF($M$9:$M$150="",0,$M$9:$M$150)-MOD(IF($M$9:$M$150="",0,$M$9:$M$150),1)),1),$IJ56)),4),"")</f>
        <v/>
      </c>
      <c r="IL56" s="482" t="str">
        <f t="shared" si="485"/>
        <v/>
      </c>
      <c r="IM56" s="482" t="str">
        <f t="shared" si="242"/>
        <v/>
      </c>
      <c r="IN56" s="670" t="str">
        <f t="shared" si="486"/>
        <v/>
      </c>
      <c r="IO56" s="702"/>
      <c r="IP56" s="5" t="str">
        <f t="shared" si="487"/>
        <v/>
      </c>
      <c r="IQ56" s="714"/>
      <c r="IR56" s="9" t="str">
        <f t="shared" si="488"/>
        <v/>
      </c>
      <c r="IS56" s="5" t="str">
        <f t="shared" si="489"/>
        <v/>
      </c>
      <c r="IT56" s="5" t="str">
        <f t="shared" si="490"/>
        <v/>
      </c>
      <c r="IU56" s="5" t="str">
        <f t="shared" si="491"/>
        <v/>
      </c>
      <c r="IV56" s="670" t="str">
        <f t="shared" si="492"/>
        <v/>
      </c>
      <c r="IW56" s="9" t="str">
        <f t="shared" si="493"/>
        <v/>
      </c>
      <c r="IX56" s="5" t="str">
        <f t="shared" si="494"/>
        <v/>
      </c>
      <c r="IY56" s="5" t="str">
        <f t="shared" si="495"/>
        <v/>
      </c>
      <c r="IZ56" s="5" t="str">
        <f t="shared" si="496"/>
        <v/>
      </c>
      <c r="JA56" s="705" t="str">
        <f t="shared" si="497"/>
        <v/>
      </c>
      <c r="JM56" s="489" t="e">
        <f t="shared" si="133"/>
        <v>#VALUE!</v>
      </c>
      <c r="JN56" s="960" t="e">
        <f>($JO56-SMALL($JO$9:$JO$88,1))/((Settings!$C$19/2)-((Settings!$C$19/2)-LARGE($JO$9:$JO$88,1))-SMALL($JO$9:$JO$88,1))</f>
        <v>#VALUE!</v>
      </c>
      <c r="JO56" s="162" t="str">
        <f t="shared" si="134"/>
        <v/>
      </c>
      <c r="JP56" s="961" t="str">
        <f t="shared" si="135"/>
        <v/>
      </c>
      <c r="JQ56" s="961" t="str">
        <f t="shared" si="136"/>
        <v/>
      </c>
      <c r="JU56" s="962"/>
      <c r="JV56" s="959"/>
      <c r="JW56" s="959"/>
    </row>
    <row r="57" spans="1:284" ht="15" customHeight="1" x14ac:dyDescent="0.25">
      <c r="A57" s="75" t="str">
        <f t="shared" si="322"/>
        <v/>
      </c>
      <c r="B57" s="578" t="str">
        <f t="shared" ref="B57:D57" si="605">IFERROR(O212+($A57*-E57),"")</f>
        <v/>
      </c>
      <c r="C57" s="572" t="str">
        <f t="shared" si="605"/>
        <v/>
      </c>
      <c r="D57" s="576" t="str">
        <f t="shared" si="605"/>
        <v/>
      </c>
      <c r="E57" s="580" t="str">
        <f t="shared" ref="E57:K57" si="606">R212</f>
        <v/>
      </c>
      <c r="F57" s="572" t="str">
        <f t="shared" si="606"/>
        <v/>
      </c>
      <c r="G57" s="579" t="str">
        <f t="shared" si="606"/>
        <v/>
      </c>
      <c r="H57" s="580" t="str">
        <f t="shared" si="606"/>
        <v/>
      </c>
      <c r="I57" s="572" t="str">
        <f t="shared" si="606"/>
        <v/>
      </c>
      <c r="J57" s="483" t="str">
        <f t="shared" si="94"/>
        <v/>
      </c>
      <c r="K57" s="806" t="str">
        <f t="shared" si="606"/>
        <v/>
      </c>
      <c r="L57" s="309"/>
      <c r="M57" s="164" t="str">
        <f t="shared" si="325"/>
        <v/>
      </c>
      <c r="N57" s="575" t="str">
        <f t="shared" si="326"/>
        <v/>
      </c>
      <c r="O57" s="572" t="str">
        <f t="shared" si="327"/>
        <v/>
      </c>
      <c r="P57" s="576" t="str">
        <f t="shared" si="328"/>
        <v/>
      </c>
      <c r="Q57" s="528" t="str">
        <f t="shared" si="144"/>
        <v/>
      </c>
      <c r="R57" s="572" t="str">
        <f t="shared" si="547"/>
        <v/>
      </c>
      <c r="S57" s="577" t="str">
        <f t="shared" si="548"/>
        <v/>
      </c>
      <c r="T57" s="578" t="str">
        <f t="shared" si="549"/>
        <v/>
      </c>
      <c r="U57" s="572" t="str">
        <f t="shared" si="550"/>
        <v/>
      </c>
      <c r="V57" s="579" t="str">
        <f t="shared" si="551"/>
        <v/>
      </c>
      <c r="W57" s="528" t="str">
        <f t="shared" si="268"/>
        <v/>
      </c>
      <c r="X57" s="572" t="str">
        <f t="shared" si="552"/>
        <v/>
      </c>
      <c r="Y57" s="573" t="str">
        <f t="shared" si="271"/>
        <v/>
      </c>
      <c r="Z57" s="575" t="str">
        <f t="shared" si="329"/>
        <v/>
      </c>
      <c r="AA57" s="572" t="str">
        <f t="shared" si="330"/>
        <v/>
      </c>
      <c r="AB57" s="572" t="str">
        <f t="shared" si="331"/>
        <v/>
      </c>
      <c r="AC57" s="579" t="str">
        <f t="shared" si="553"/>
        <v/>
      </c>
      <c r="AD57" s="580" t="str">
        <f t="shared" si="554"/>
        <v/>
      </c>
      <c r="AE57" s="572" t="str">
        <f t="shared" si="555"/>
        <v/>
      </c>
      <c r="AF57" s="576" t="str">
        <f t="shared" si="556"/>
        <v/>
      </c>
      <c r="AG57" s="545" t="str">
        <f t="shared" si="557"/>
        <v/>
      </c>
      <c r="AH57" s="546" t="str">
        <f t="shared" si="558"/>
        <v/>
      </c>
      <c r="AI57" s="528" t="str">
        <f t="shared" si="559"/>
        <v/>
      </c>
      <c r="AJ57" s="529" t="str">
        <f t="shared" si="560"/>
        <v/>
      </c>
      <c r="AK57" s="578" t="str">
        <f t="shared" si="561"/>
        <v/>
      </c>
      <c r="AL57" s="572" t="str">
        <f t="shared" si="562"/>
        <v/>
      </c>
      <c r="AM57" s="577" t="str">
        <f t="shared" si="563"/>
        <v/>
      </c>
      <c r="AN57" s="524" t="str">
        <f t="shared" si="564"/>
        <v/>
      </c>
      <c r="AO57" s="525" t="str">
        <f t="shared" si="604"/>
        <v/>
      </c>
      <c r="AP57" s="528" t="str">
        <f t="shared" si="565"/>
        <v/>
      </c>
      <c r="AQ57" s="529" t="str">
        <f t="shared" si="332"/>
        <v/>
      </c>
      <c r="AR57" s="979"/>
      <c r="AS57" s="954" t="str">
        <f t="shared" si="524"/>
        <v/>
      </c>
      <c r="AT57" s="950" t="str">
        <f t="shared" si="333"/>
        <v/>
      </c>
      <c r="AU57" s="418"/>
      <c r="AV57" s="164" t="str">
        <f t="shared" si="334"/>
        <v/>
      </c>
      <c r="AW57" s="797" t="str">
        <f>IFERROR(INDEX(MassProp!C$9:C$150,MATCH($M57,MassProp!$B$9:$B$150,0)),"")</f>
        <v/>
      </c>
      <c r="AX57" s="744" t="str">
        <f>IFERROR(INDEX(MassProp!D$9:D$150,MATCH($M57,MassProp!$B$9:$B$150,0)),"")</f>
        <v/>
      </c>
      <c r="AY57" s="731" t="str">
        <f>IFERROR(INDEX(MassProp!E$9:E$150,MATCH($M57,MassProp!$B$9:$B$150,0)),"")</f>
        <v/>
      </c>
      <c r="AZ57" s="297" t="str">
        <f t="shared" si="148"/>
        <v/>
      </c>
      <c r="BA57" s="296" t="str">
        <f t="shared" si="336"/>
        <v/>
      </c>
      <c r="BB57" s="177" t="str">
        <f t="shared" si="149"/>
        <v/>
      </c>
      <c r="BC57" s="9"/>
      <c r="BD57" s="5" t="str">
        <f t="shared" si="150"/>
        <v/>
      </c>
      <c r="BE57" s="6" t="str">
        <f t="shared" si="338"/>
        <v/>
      </c>
      <c r="BF57" s="4" t="str">
        <f t="shared" si="339"/>
        <v/>
      </c>
      <c r="BG57" s="5" t="str">
        <f t="shared" si="340"/>
        <v/>
      </c>
      <c r="BH57" s="10" t="str">
        <f t="shared" si="341"/>
        <v/>
      </c>
      <c r="BI57" s="9" t="str">
        <f t="shared" si="151"/>
        <v/>
      </c>
      <c r="BJ57" s="5" t="str">
        <f t="shared" si="343"/>
        <v/>
      </c>
      <c r="BK57" s="8" t="str">
        <f t="shared" si="344"/>
        <v/>
      </c>
      <c r="BL57" s="173" t="str">
        <f t="shared" si="345"/>
        <v/>
      </c>
      <c r="BM57" s="5" t="str">
        <f t="shared" si="346"/>
        <v/>
      </c>
      <c r="BN57" s="6" t="str">
        <f t="shared" si="347"/>
        <v/>
      </c>
      <c r="BO57" s="4" t="str">
        <f t="shared" si="152"/>
        <v/>
      </c>
      <c r="BP57" s="5" t="str">
        <f t="shared" si="153"/>
        <v/>
      </c>
      <c r="BQ57" s="5" t="str">
        <f t="shared" si="154"/>
        <v/>
      </c>
      <c r="BR57" s="6" t="str">
        <f t="shared" si="155"/>
        <v/>
      </c>
      <c r="BS57" s="4" t="str">
        <f t="shared" si="568"/>
        <v/>
      </c>
      <c r="BT57" s="5" t="str">
        <f t="shared" si="568"/>
        <v/>
      </c>
      <c r="BU57" s="10" t="str">
        <f t="shared" si="113"/>
        <v/>
      </c>
      <c r="BV57" s="9" t="str">
        <f t="shared" si="114"/>
        <v/>
      </c>
      <c r="BW57" s="5" t="str">
        <f t="shared" si="115"/>
        <v/>
      </c>
      <c r="BX57" s="8" t="str">
        <f t="shared" si="116"/>
        <v/>
      </c>
      <c r="BY57" s="173" t="str">
        <f t="shared" si="117"/>
        <v/>
      </c>
      <c r="BZ57" s="5" t="str">
        <f t="shared" si="118"/>
        <v/>
      </c>
      <c r="CA57" s="6" t="str">
        <f t="shared" si="119"/>
        <v/>
      </c>
      <c r="CB57" s="4" t="str">
        <f t="shared" si="156"/>
        <v/>
      </c>
      <c r="CC57" s="5" t="str">
        <f t="shared" si="157"/>
        <v/>
      </c>
      <c r="CD57" s="5" t="str">
        <f t="shared" si="158"/>
        <v/>
      </c>
      <c r="CE57" s="6" t="str">
        <f t="shared" si="159"/>
        <v/>
      </c>
      <c r="CF57" s="4" t="str">
        <f t="shared" si="160"/>
        <v/>
      </c>
      <c r="CG57" s="5" t="str">
        <f t="shared" si="161"/>
        <v/>
      </c>
      <c r="CH57" s="5" t="str">
        <f t="shared" si="162"/>
        <v/>
      </c>
      <c r="CI57" s="4" t="str">
        <f t="shared" si="120"/>
        <v/>
      </c>
      <c r="CJ57" s="5" t="str">
        <f t="shared" si="121"/>
        <v/>
      </c>
      <c r="CK57" s="8" t="str">
        <f t="shared" si="122"/>
        <v/>
      </c>
      <c r="CL57" s="173" t="str">
        <f t="shared" si="123"/>
        <v/>
      </c>
      <c r="CM57" s="5" t="str">
        <f t="shared" si="124"/>
        <v/>
      </c>
      <c r="CN57" s="6" t="str">
        <f t="shared" si="125"/>
        <v/>
      </c>
      <c r="CO57" s="167" t="str">
        <f t="shared" si="364"/>
        <v/>
      </c>
      <c r="CP57" s="4" t="str">
        <f t="shared" si="248"/>
        <v/>
      </c>
      <c r="CQ57" s="5" t="str">
        <f t="shared" si="249"/>
        <v/>
      </c>
      <c r="CR57" s="5" t="str">
        <f t="shared" si="163"/>
        <v/>
      </c>
      <c r="CS57" s="8" t="str">
        <f t="shared" si="164"/>
        <v/>
      </c>
      <c r="CT57" s="9" t="str">
        <f t="shared" si="165"/>
        <v/>
      </c>
      <c r="CU57" s="6" t="str">
        <f t="shared" si="166"/>
        <v/>
      </c>
      <c r="CV57" s="4" t="str">
        <f t="shared" si="250"/>
        <v/>
      </c>
      <c r="CW57" s="5" t="str">
        <f t="shared" si="167"/>
        <v/>
      </c>
      <c r="CX57" s="8" t="str">
        <f t="shared" si="168"/>
        <v/>
      </c>
      <c r="CY57" s="9" t="str">
        <f t="shared" si="169"/>
        <v/>
      </c>
      <c r="CZ57" s="5" t="str">
        <f t="shared" si="170"/>
        <v/>
      </c>
      <c r="DA57" s="6" t="str">
        <f t="shared" si="171"/>
        <v/>
      </c>
      <c r="DB57" s="4" t="str">
        <f t="shared" si="569"/>
        <v/>
      </c>
      <c r="DC57" s="5" t="str">
        <f t="shared" si="569"/>
        <v/>
      </c>
      <c r="DD57" s="10" t="str">
        <f t="shared" si="173"/>
        <v/>
      </c>
      <c r="DE57" s="9" t="str">
        <f t="shared" si="570"/>
        <v/>
      </c>
      <c r="DF57" s="5" t="str">
        <f t="shared" si="570"/>
        <v/>
      </c>
      <c r="DG57" s="10" t="str">
        <f t="shared" si="175"/>
        <v/>
      </c>
      <c r="DH57" s="70" t="str">
        <f t="shared" si="176"/>
        <v/>
      </c>
      <c r="DI57" s="4" t="str">
        <f t="shared" si="177"/>
        <v/>
      </c>
      <c r="DJ57" s="5" t="str">
        <f t="shared" si="178"/>
        <v/>
      </c>
      <c r="DK57" s="10" t="str">
        <f t="shared" si="179"/>
        <v/>
      </c>
      <c r="DL57" s="9" t="str">
        <f t="shared" si="180"/>
        <v/>
      </c>
      <c r="DM57" s="173" t="str">
        <f t="shared" si="181"/>
        <v/>
      </c>
      <c r="DN57" s="178" t="str">
        <f t="shared" si="182"/>
        <v/>
      </c>
      <c r="DO57" s="9" t="str">
        <f t="shared" si="183"/>
        <v/>
      </c>
      <c r="DP57" s="173" t="str">
        <f t="shared" si="184"/>
        <v/>
      </c>
      <c r="DQ57" s="11" t="str">
        <f t="shared" si="185"/>
        <v/>
      </c>
      <c r="DR57" s="173" t="str">
        <f t="shared" si="186"/>
        <v/>
      </c>
      <c r="DS57" s="5" t="str">
        <f t="shared" si="187"/>
        <v/>
      </c>
      <c r="DT57" s="5" t="str">
        <f t="shared" si="188"/>
        <v/>
      </c>
      <c r="DU57" s="5" t="str">
        <f t="shared" si="189"/>
        <v/>
      </c>
      <c r="DV57" s="5" t="str">
        <f t="shared" si="190"/>
        <v/>
      </c>
      <c r="DW57" s="5" t="str">
        <f t="shared" si="191"/>
        <v/>
      </c>
      <c r="DX57" s="167" t="str">
        <f t="shared" si="192"/>
        <v/>
      </c>
      <c r="DY57" s="9" t="str">
        <f t="shared" si="193"/>
        <v/>
      </c>
      <c r="DZ57" s="5" t="str">
        <f t="shared" si="194"/>
        <v/>
      </c>
      <c r="EA57" s="10" t="str">
        <f t="shared" si="195"/>
        <v/>
      </c>
      <c r="EB57" s="6" t="str">
        <f t="shared" si="196"/>
        <v/>
      </c>
      <c r="EC57" s="173" t="str">
        <f t="shared" si="197"/>
        <v/>
      </c>
      <c r="ED57" s="5" t="str">
        <f t="shared" si="198"/>
        <v/>
      </c>
      <c r="EE57" s="4" t="str">
        <f t="shared" si="199"/>
        <v/>
      </c>
      <c r="EF57" s="5" t="str">
        <f t="shared" si="200"/>
        <v/>
      </c>
      <c r="EG57" s="10" t="str">
        <f t="shared" si="201"/>
        <v/>
      </c>
      <c r="EH57" s="9" t="str">
        <f t="shared" si="202"/>
        <v/>
      </c>
      <c r="EI57" s="5" t="str">
        <f t="shared" si="203"/>
        <v/>
      </c>
      <c r="EJ57" s="6" t="str">
        <f t="shared" si="204"/>
        <v/>
      </c>
      <c r="EK57" s="236" t="str">
        <f t="shared" si="205"/>
        <v/>
      </c>
      <c r="EL57" s="238" t="str">
        <f t="shared" si="206"/>
        <v/>
      </c>
      <c r="EM57" s="4" t="str">
        <f t="shared" si="207"/>
        <v/>
      </c>
      <c r="EN57" s="5" t="str">
        <f t="shared" si="208"/>
        <v/>
      </c>
      <c r="EO57" s="10" t="str">
        <f t="shared" si="209"/>
        <v/>
      </c>
      <c r="EP57" s="9" t="str">
        <f t="shared" si="210"/>
        <v/>
      </c>
      <c r="EQ57" s="5" t="str">
        <f t="shared" si="211"/>
        <v/>
      </c>
      <c r="ER57" s="7" t="str">
        <f t="shared" si="212"/>
        <v/>
      </c>
      <c r="ES57" s="21" t="str">
        <f t="shared" si="411"/>
        <v/>
      </c>
      <c r="ET57" s="5" t="str">
        <f t="shared" si="412"/>
        <v/>
      </c>
      <c r="EU57" s="10" t="str">
        <f t="shared" si="413"/>
        <v/>
      </c>
      <c r="EV57" s="174" t="str">
        <f t="shared" si="571"/>
        <v/>
      </c>
      <c r="EW57" s="9" t="str">
        <f t="shared" si="572"/>
        <v/>
      </c>
      <c r="EX57" s="5" t="str">
        <f t="shared" si="573"/>
        <v/>
      </c>
      <c r="EY57" s="6" t="str">
        <f t="shared" si="213"/>
        <v/>
      </c>
      <c r="EZ57" s="51" t="str">
        <f t="shared" si="214"/>
        <v/>
      </c>
      <c r="FA57" s="173" t="str">
        <f t="shared" si="574"/>
        <v/>
      </c>
      <c r="FB57" s="5" t="str">
        <f t="shared" si="575"/>
        <v/>
      </c>
      <c r="FC57" s="6" t="str">
        <f t="shared" si="576"/>
        <v/>
      </c>
      <c r="FD57" s="4" t="str">
        <f t="shared" si="577"/>
        <v/>
      </c>
      <c r="FE57" s="5" t="str">
        <f t="shared" si="578"/>
        <v/>
      </c>
      <c r="FF57" s="7" t="str">
        <f t="shared" si="215"/>
        <v/>
      </c>
      <c r="FG57" s="173" t="str">
        <f t="shared" si="579"/>
        <v/>
      </c>
      <c r="FH57" s="5" t="str">
        <f t="shared" si="580"/>
        <v/>
      </c>
      <c r="FI57" s="10" t="str">
        <f t="shared" si="581"/>
        <v/>
      </c>
      <c r="FJ57" s="279" t="str">
        <f t="shared" si="217"/>
        <v/>
      </c>
      <c r="FK57" s="4" t="str">
        <f t="shared" si="582"/>
        <v/>
      </c>
      <c r="FL57" s="5" t="str">
        <f t="shared" si="218"/>
        <v/>
      </c>
      <c r="FM57" s="8" t="str">
        <f t="shared" si="219"/>
        <v/>
      </c>
      <c r="FN57" s="9" t="str">
        <f t="shared" si="220"/>
        <v/>
      </c>
      <c r="FO57" s="10" t="str">
        <f t="shared" si="583"/>
        <v/>
      </c>
      <c r="FP57" s="277" t="str">
        <f t="shared" si="584"/>
        <v/>
      </c>
      <c r="FQ57" s="173" t="str">
        <f t="shared" si="251"/>
        <v/>
      </c>
      <c r="FR57" s="10" t="str">
        <f t="shared" si="221"/>
        <v/>
      </c>
      <c r="FS57" s="9" t="str">
        <f t="shared" si="222"/>
        <v/>
      </c>
      <c r="FT57" s="6" t="str">
        <f t="shared" si="223"/>
        <v/>
      </c>
      <c r="FU57" s="4" t="str">
        <f t="shared" si="224"/>
        <v/>
      </c>
      <c r="FV57" s="5" t="str">
        <f t="shared" si="225"/>
        <v/>
      </c>
      <c r="FW57" s="8" t="str">
        <f t="shared" si="252"/>
        <v/>
      </c>
      <c r="FX57" s="9" t="str">
        <f t="shared" si="253"/>
        <v/>
      </c>
      <c r="FY57" s="10" t="str">
        <f t="shared" si="585"/>
        <v/>
      </c>
      <c r="FZ57" s="277" t="str">
        <f t="shared" si="254"/>
        <v/>
      </c>
      <c r="GA57" s="177" t="str">
        <f t="shared" si="226"/>
        <v/>
      </c>
      <c r="GB57" s="4" t="str">
        <f t="shared" si="227"/>
        <v/>
      </c>
      <c r="GC57" s="5" t="str">
        <f t="shared" si="228"/>
        <v/>
      </c>
      <c r="GD57" s="10" t="str">
        <f t="shared" si="229"/>
        <v/>
      </c>
      <c r="GE57" s="311" t="str">
        <f t="shared" si="230"/>
        <v/>
      </c>
      <c r="GF57" s="341" t="str">
        <f t="shared" si="255"/>
        <v/>
      </c>
      <c r="GG57" s="285" t="str">
        <f t="shared" si="586"/>
        <v/>
      </c>
      <c r="GH57" s="286" t="str">
        <f t="shared" si="587"/>
        <v/>
      </c>
      <c r="GI57" s="281" t="str">
        <f t="shared" si="588"/>
        <v/>
      </c>
      <c r="GJ57" s="167" t="str">
        <f t="shared" si="231"/>
        <v/>
      </c>
      <c r="GK57" s="174" t="str">
        <f t="shared" si="589"/>
        <v/>
      </c>
      <c r="GL57" s="174" t="str">
        <f t="shared" si="232"/>
        <v/>
      </c>
      <c r="GM57" s="177" t="str">
        <f t="shared" si="256"/>
        <v/>
      </c>
      <c r="GN57" s="280" t="str">
        <f t="shared" si="233"/>
        <v/>
      </c>
      <c r="GO57" s="4" t="str">
        <f t="shared" si="234"/>
        <v/>
      </c>
      <c r="GP57" s="8" t="str">
        <f t="shared" si="257"/>
        <v/>
      </c>
      <c r="GQ57" s="177" t="str">
        <f t="shared" si="235"/>
        <v/>
      </c>
      <c r="GR57" s="371" t="str">
        <f t="shared" si="258"/>
        <v/>
      </c>
      <c r="GS57" s="342" t="str">
        <f t="shared" si="590"/>
        <v/>
      </c>
      <c r="GT57" s="343" t="str">
        <f t="shared" si="591"/>
        <v/>
      </c>
      <c r="GU57" s="344" t="str">
        <f t="shared" si="592"/>
        <v/>
      </c>
      <c r="GV57" s="343" t="str">
        <f t="shared" si="265"/>
        <v/>
      </c>
      <c r="GW57" s="345" t="str">
        <f t="shared" si="593"/>
        <v/>
      </c>
      <c r="GX57" s="346" t="str">
        <f t="shared" si="594"/>
        <v/>
      </c>
      <c r="GY57" s="344" t="str">
        <f t="shared" si="595"/>
        <v/>
      </c>
      <c r="GZ57" s="345" t="str">
        <f t="shared" si="596"/>
        <v/>
      </c>
      <c r="HA57" s="342" t="str">
        <f t="shared" si="597"/>
        <v/>
      </c>
      <c r="HB57" s="5" t="str">
        <f t="shared" si="236"/>
        <v/>
      </c>
      <c r="HC57" s="343" t="str">
        <f t="shared" si="237"/>
        <v/>
      </c>
      <c r="HD57" s="363" t="str">
        <f t="shared" si="238"/>
        <v/>
      </c>
      <c r="HE57" s="344" t="str">
        <f t="shared" si="598"/>
        <v/>
      </c>
      <c r="HF57" s="5" t="str">
        <f t="shared" si="599"/>
        <v/>
      </c>
      <c r="HG57" s="343" t="str">
        <f t="shared" si="239"/>
        <v/>
      </c>
      <c r="HH57" s="349" t="str">
        <f t="shared" si="240"/>
        <v/>
      </c>
      <c r="HI57" s="317" t="str">
        <f t="shared" si="467"/>
        <v/>
      </c>
      <c r="HK57" s="310" t="str">
        <f t="shared" si="520"/>
        <v/>
      </c>
      <c r="HL57" s="348" t="str">
        <f t="shared" si="468"/>
        <v/>
      </c>
      <c r="HM57" s="923" t="str">
        <f t="shared" si="469"/>
        <v/>
      </c>
      <c r="HN57" s="924" t="str">
        <f t="shared" si="470"/>
        <v/>
      </c>
      <c r="HO57" s="925"/>
      <c r="HP57" s="926"/>
      <c r="HQ57" s="924" t="str">
        <f t="shared" si="471"/>
        <v/>
      </c>
      <c r="HR57" s="927" t="str">
        <f t="shared" si="472"/>
        <v/>
      </c>
      <c r="HS57" s="879" t="str">
        <f t="shared" si="521"/>
        <v/>
      </c>
      <c r="HT57" s="889" t="str">
        <f t="shared" si="473"/>
        <v/>
      </c>
      <c r="HU57" s="890" t="str">
        <f t="shared" si="474"/>
        <v/>
      </c>
      <c r="HV57" s="886" t="str">
        <f t="shared" si="475"/>
        <v/>
      </c>
      <c r="HW57" s="880" t="str">
        <f t="shared" si="476"/>
        <v/>
      </c>
      <c r="HX57" s="881" t="str">
        <f t="shared" si="477"/>
        <v/>
      </c>
      <c r="HY57" s="880" t="str">
        <f t="shared" si="478"/>
        <v/>
      </c>
      <c r="HZ57" s="882" t="str">
        <f t="shared" si="479"/>
        <v/>
      </c>
      <c r="IA57" s="883" t="str">
        <f t="shared" si="480"/>
        <v/>
      </c>
      <c r="IB57" s="884" t="str">
        <f t="shared" si="481"/>
        <v/>
      </c>
      <c r="IC57" s="855" t="str">
        <f t="shared" si="482"/>
        <v/>
      </c>
      <c r="ID57" s="351" t="str">
        <f t="shared" si="483"/>
        <v/>
      </c>
      <c r="IE57" s="857" t="str">
        <f t="shared" si="484"/>
        <v/>
      </c>
      <c r="IF57" s="858"/>
      <c r="IG57" s="790" t="str">
        <f>IFERROR(IF($IW57="","",IF($IW57&lt;(((Settings!$C$19/2)*-1)*$IG$8),"Taper","Nose")),"")</f>
        <v/>
      </c>
      <c r="IH57" s="482" t="str">
        <f>IFERROR(IF((((($IY57*COS(RADIANS(180-$JA57)))*COS(RADIANS($JA57)))-(($IZ57*SIN(RADIANS(180-$JA57)))*SIN(RADIANS($JA57))))+$IW57)&lt;(((Settings!$C$19+$IH$8)/2)*-1),"Gage",""),"")</f>
        <v/>
      </c>
      <c r="II57" s="788" t="str">
        <f t="shared" si="241"/>
        <v/>
      </c>
      <c r="IJ57" s="674" t="str" cm="1">
        <f t="array" ref="IJ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K57" s="677" t="str" cm="1">
        <f t="array" ref="IK57">IFERROR(ROUND(VALUE(IF($IJ57&lt;1,$IJ57+LARGE((IF($M$9:$M$150="",0,$M$9:$M$150)-MOD(IF($M$9:$M$150="",0,$M$9:$M$150),1)),1),$IJ57)),4),"")</f>
        <v/>
      </c>
      <c r="IL57" s="482" t="str">
        <f t="shared" si="485"/>
        <v/>
      </c>
      <c r="IM57" s="482" t="str">
        <f t="shared" si="242"/>
        <v/>
      </c>
      <c r="IN57" s="670" t="str">
        <f t="shared" si="486"/>
        <v/>
      </c>
      <c r="IO57" s="702"/>
      <c r="IP57" s="5" t="str">
        <f t="shared" si="487"/>
        <v/>
      </c>
      <c r="IQ57" s="714"/>
      <c r="IR57" s="9" t="str">
        <f t="shared" si="488"/>
        <v/>
      </c>
      <c r="IS57" s="5" t="str">
        <f t="shared" si="489"/>
        <v/>
      </c>
      <c r="IT57" s="5" t="str">
        <f t="shared" si="490"/>
        <v/>
      </c>
      <c r="IU57" s="5" t="str">
        <f t="shared" si="491"/>
        <v/>
      </c>
      <c r="IV57" s="670" t="str">
        <f t="shared" si="492"/>
        <v/>
      </c>
      <c r="IW57" s="9" t="str">
        <f t="shared" si="493"/>
        <v/>
      </c>
      <c r="IX57" s="5" t="str">
        <f t="shared" si="494"/>
        <v/>
      </c>
      <c r="IY57" s="5" t="str">
        <f t="shared" si="495"/>
        <v/>
      </c>
      <c r="IZ57" s="5" t="str">
        <f t="shared" si="496"/>
        <v/>
      </c>
      <c r="JA57" s="705" t="str">
        <f t="shared" si="497"/>
        <v/>
      </c>
      <c r="JM57" s="489" t="e">
        <f t="shared" si="133"/>
        <v>#VALUE!</v>
      </c>
      <c r="JN57" s="960" t="e">
        <f>($JO57-SMALL($JO$9:$JO$88,1))/((Settings!$C$19/2)-((Settings!$C$19/2)-LARGE($JO$9:$JO$88,1))-SMALL($JO$9:$JO$88,1))</f>
        <v>#VALUE!</v>
      </c>
      <c r="JO57" s="162" t="str">
        <f t="shared" si="134"/>
        <v/>
      </c>
      <c r="JP57" s="961" t="str">
        <f t="shared" si="135"/>
        <v/>
      </c>
      <c r="JQ57" s="961" t="str">
        <f t="shared" si="136"/>
        <v/>
      </c>
      <c r="JU57" s="962"/>
      <c r="JV57" s="959"/>
      <c r="JW57" s="959"/>
    </row>
    <row r="58" spans="1:284" ht="15" customHeight="1" x14ac:dyDescent="0.25">
      <c r="A58" s="75" t="str">
        <f t="shared" si="322"/>
        <v/>
      </c>
      <c r="B58" s="578" t="str">
        <f t="shared" ref="B58:D58" si="607">IFERROR(O213+($A58*-E58),"")</f>
        <v/>
      </c>
      <c r="C58" s="572" t="str">
        <f t="shared" si="607"/>
        <v/>
      </c>
      <c r="D58" s="576" t="str">
        <f t="shared" si="607"/>
        <v/>
      </c>
      <c r="E58" s="580" t="str">
        <f t="shared" ref="E58:K58" si="608">R213</f>
        <v/>
      </c>
      <c r="F58" s="572" t="str">
        <f t="shared" si="608"/>
        <v/>
      </c>
      <c r="G58" s="579" t="str">
        <f t="shared" si="608"/>
        <v/>
      </c>
      <c r="H58" s="580" t="str">
        <f t="shared" si="608"/>
        <v/>
      </c>
      <c r="I58" s="572" t="str">
        <f t="shared" si="608"/>
        <v/>
      </c>
      <c r="J58" s="483" t="str">
        <f t="shared" si="94"/>
        <v/>
      </c>
      <c r="K58" s="806" t="str">
        <f t="shared" si="608"/>
        <v/>
      </c>
      <c r="L58" s="309"/>
      <c r="M58" s="164" t="str">
        <f t="shared" si="325"/>
        <v/>
      </c>
      <c r="N58" s="575" t="str">
        <f t="shared" si="326"/>
        <v/>
      </c>
      <c r="O58" s="572" t="str">
        <f t="shared" si="327"/>
        <v/>
      </c>
      <c r="P58" s="576" t="str">
        <f t="shared" si="328"/>
        <v/>
      </c>
      <c r="Q58" s="528" t="str">
        <f t="shared" si="144"/>
        <v/>
      </c>
      <c r="R58" s="572" t="str">
        <f t="shared" si="547"/>
        <v/>
      </c>
      <c r="S58" s="577" t="str">
        <f t="shared" si="548"/>
        <v/>
      </c>
      <c r="T58" s="578" t="str">
        <f t="shared" si="549"/>
        <v/>
      </c>
      <c r="U58" s="572" t="str">
        <f t="shared" si="550"/>
        <v/>
      </c>
      <c r="V58" s="579" t="str">
        <f t="shared" si="551"/>
        <v/>
      </c>
      <c r="W58" s="528" t="str">
        <f t="shared" si="268"/>
        <v/>
      </c>
      <c r="X58" s="572" t="str">
        <f t="shared" si="552"/>
        <v/>
      </c>
      <c r="Y58" s="573" t="str">
        <f t="shared" si="271"/>
        <v/>
      </c>
      <c r="Z58" s="575" t="str">
        <f t="shared" si="329"/>
        <v/>
      </c>
      <c r="AA58" s="572" t="str">
        <f t="shared" si="330"/>
        <v/>
      </c>
      <c r="AB58" s="572" t="str">
        <f t="shared" si="331"/>
        <v/>
      </c>
      <c r="AC58" s="579" t="str">
        <f t="shared" si="553"/>
        <v/>
      </c>
      <c r="AD58" s="580" t="str">
        <f t="shared" si="554"/>
        <v/>
      </c>
      <c r="AE58" s="572" t="str">
        <f t="shared" si="555"/>
        <v/>
      </c>
      <c r="AF58" s="576" t="str">
        <f t="shared" si="556"/>
        <v/>
      </c>
      <c r="AG58" s="545" t="str">
        <f t="shared" si="557"/>
        <v/>
      </c>
      <c r="AH58" s="546" t="str">
        <f t="shared" si="558"/>
        <v/>
      </c>
      <c r="AI58" s="528" t="str">
        <f t="shared" si="559"/>
        <v/>
      </c>
      <c r="AJ58" s="529" t="str">
        <f t="shared" si="560"/>
        <v/>
      </c>
      <c r="AK58" s="578" t="str">
        <f t="shared" si="561"/>
        <v/>
      </c>
      <c r="AL58" s="572" t="str">
        <f t="shared" si="562"/>
        <v/>
      </c>
      <c r="AM58" s="577" t="str">
        <f t="shared" si="563"/>
        <v/>
      </c>
      <c r="AN58" s="524" t="str">
        <f t="shared" si="564"/>
        <v/>
      </c>
      <c r="AO58" s="525" t="str">
        <f t="shared" si="604"/>
        <v/>
      </c>
      <c r="AP58" s="528" t="str">
        <f t="shared" si="565"/>
        <v/>
      </c>
      <c r="AQ58" s="529" t="str">
        <f t="shared" si="332"/>
        <v/>
      </c>
      <c r="AR58" s="979"/>
      <c r="AS58" s="954" t="str">
        <f t="shared" si="524"/>
        <v/>
      </c>
      <c r="AT58" s="950" t="str">
        <f t="shared" si="333"/>
        <v/>
      </c>
      <c r="AU58" s="418"/>
      <c r="AV58" s="164" t="str">
        <f t="shared" si="334"/>
        <v/>
      </c>
      <c r="AW58" s="797" t="str">
        <f>IFERROR(INDEX(MassProp!C$9:C$150,MATCH($M58,MassProp!$B$9:$B$150,0)),"")</f>
        <v/>
      </c>
      <c r="AX58" s="744" t="str">
        <f>IFERROR(INDEX(MassProp!D$9:D$150,MATCH($M58,MassProp!$B$9:$B$150,0)),"")</f>
        <v/>
      </c>
      <c r="AY58" s="731" t="str">
        <f>IFERROR(INDEX(MassProp!E$9:E$150,MATCH($M58,MassProp!$B$9:$B$150,0)),"")</f>
        <v/>
      </c>
      <c r="AZ58" s="297" t="str">
        <f t="shared" si="148"/>
        <v/>
      </c>
      <c r="BA58" s="296" t="str">
        <f t="shared" si="336"/>
        <v/>
      </c>
      <c r="BB58" s="177" t="str">
        <f t="shared" si="149"/>
        <v/>
      </c>
      <c r="BC58" s="9"/>
      <c r="BD58" s="5" t="str">
        <f t="shared" si="150"/>
        <v/>
      </c>
      <c r="BE58" s="6" t="str">
        <f t="shared" si="338"/>
        <v/>
      </c>
      <c r="BF58" s="4" t="str">
        <f t="shared" si="339"/>
        <v/>
      </c>
      <c r="BG58" s="5" t="str">
        <f t="shared" si="340"/>
        <v/>
      </c>
      <c r="BH58" s="10" t="str">
        <f t="shared" si="341"/>
        <v/>
      </c>
      <c r="BI58" s="9" t="str">
        <f t="shared" si="151"/>
        <v/>
      </c>
      <c r="BJ58" s="5" t="str">
        <f t="shared" si="343"/>
        <v/>
      </c>
      <c r="BK58" s="8" t="str">
        <f t="shared" si="344"/>
        <v/>
      </c>
      <c r="BL58" s="173" t="str">
        <f t="shared" si="345"/>
        <v/>
      </c>
      <c r="BM58" s="5" t="str">
        <f t="shared" si="346"/>
        <v/>
      </c>
      <c r="BN58" s="6" t="str">
        <f t="shared" si="347"/>
        <v/>
      </c>
      <c r="BO58" s="4" t="str">
        <f t="shared" si="152"/>
        <v/>
      </c>
      <c r="BP58" s="5" t="str">
        <f t="shared" si="153"/>
        <v/>
      </c>
      <c r="BQ58" s="5" t="str">
        <f t="shared" si="154"/>
        <v/>
      </c>
      <c r="BR58" s="6" t="str">
        <f t="shared" si="155"/>
        <v/>
      </c>
      <c r="BS58" s="4" t="str">
        <f t="shared" si="568"/>
        <v/>
      </c>
      <c r="BT58" s="5" t="str">
        <f t="shared" si="568"/>
        <v/>
      </c>
      <c r="BU58" s="10" t="str">
        <f t="shared" si="113"/>
        <v/>
      </c>
      <c r="BV58" s="9" t="str">
        <f t="shared" si="114"/>
        <v/>
      </c>
      <c r="BW58" s="5" t="str">
        <f t="shared" si="115"/>
        <v/>
      </c>
      <c r="BX58" s="8" t="str">
        <f t="shared" si="116"/>
        <v/>
      </c>
      <c r="BY58" s="173" t="str">
        <f t="shared" si="117"/>
        <v/>
      </c>
      <c r="BZ58" s="5" t="str">
        <f t="shared" si="118"/>
        <v/>
      </c>
      <c r="CA58" s="6" t="str">
        <f t="shared" si="119"/>
        <v/>
      </c>
      <c r="CB58" s="4" t="str">
        <f t="shared" si="156"/>
        <v/>
      </c>
      <c r="CC58" s="5" t="str">
        <f t="shared" si="157"/>
        <v/>
      </c>
      <c r="CD58" s="5" t="str">
        <f t="shared" si="158"/>
        <v/>
      </c>
      <c r="CE58" s="6" t="str">
        <f t="shared" si="159"/>
        <v/>
      </c>
      <c r="CF58" s="4" t="str">
        <f t="shared" si="160"/>
        <v/>
      </c>
      <c r="CG58" s="5" t="str">
        <f t="shared" si="161"/>
        <v/>
      </c>
      <c r="CH58" s="5" t="str">
        <f t="shared" si="162"/>
        <v/>
      </c>
      <c r="CI58" s="4" t="str">
        <f t="shared" si="120"/>
        <v/>
      </c>
      <c r="CJ58" s="5" t="str">
        <f t="shared" si="121"/>
        <v/>
      </c>
      <c r="CK58" s="8" t="str">
        <f t="shared" si="122"/>
        <v/>
      </c>
      <c r="CL58" s="173" t="str">
        <f t="shared" si="123"/>
        <v/>
      </c>
      <c r="CM58" s="5" t="str">
        <f t="shared" si="124"/>
        <v/>
      </c>
      <c r="CN58" s="6" t="str">
        <f t="shared" si="125"/>
        <v/>
      </c>
      <c r="CO58" s="167" t="str">
        <f t="shared" si="364"/>
        <v/>
      </c>
      <c r="CP58" s="4" t="str">
        <f t="shared" si="248"/>
        <v/>
      </c>
      <c r="CQ58" s="5" t="str">
        <f t="shared" si="249"/>
        <v/>
      </c>
      <c r="CR58" s="5" t="str">
        <f t="shared" si="163"/>
        <v/>
      </c>
      <c r="CS58" s="8" t="str">
        <f t="shared" si="164"/>
        <v/>
      </c>
      <c r="CT58" s="9" t="str">
        <f t="shared" si="165"/>
        <v/>
      </c>
      <c r="CU58" s="6" t="str">
        <f t="shared" si="166"/>
        <v/>
      </c>
      <c r="CV58" s="4" t="str">
        <f t="shared" si="250"/>
        <v/>
      </c>
      <c r="CW58" s="5" t="str">
        <f t="shared" si="167"/>
        <v/>
      </c>
      <c r="CX58" s="8" t="str">
        <f t="shared" si="168"/>
        <v/>
      </c>
      <c r="CY58" s="9" t="str">
        <f t="shared" si="169"/>
        <v/>
      </c>
      <c r="CZ58" s="5" t="str">
        <f t="shared" si="170"/>
        <v/>
      </c>
      <c r="DA58" s="6" t="str">
        <f t="shared" si="171"/>
        <v/>
      </c>
      <c r="DB58" s="4" t="str">
        <f t="shared" si="569"/>
        <v/>
      </c>
      <c r="DC58" s="5" t="str">
        <f t="shared" si="569"/>
        <v/>
      </c>
      <c r="DD58" s="10" t="str">
        <f t="shared" si="173"/>
        <v/>
      </c>
      <c r="DE58" s="9" t="str">
        <f t="shared" si="570"/>
        <v/>
      </c>
      <c r="DF58" s="5" t="str">
        <f t="shared" si="570"/>
        <v/>
      </c>
      <c r="DG58" s="10" t="str">
        <f t="shared" si="175"/>
        <v/>
      </c>
      <c r="DH58" s="70" t="str">
        <f t="shared" si="176"/>
        <v/>
      </c>
      <c r="DI58" s="4" t="str">
        <f t="shared" si="177"/>
        <v/>
      </c>
      <c r="DJ58" s="5" t="str">
        <f t="shared" si="178"/>
        <v/>
      </c>
      <c r="DK58" s="10" t="str">
        <f t="shared" si="179"/>
        <v/>
      </c>
      <c r="DL58" s="9" t="str">
        <f t="shared" si="180"/>
        <v/>
      </c>
      <c r="DM58" s="173" t="str">
        <f t="shared" si="181"/>
        <v/>
      </c>
      <c r="DN58" s="178" t="str">
        <f t="shared" si="182"/>
        <v/>
      </c>
      <c r="DO58" s="9" t="str">
        <f t="shared" si="183"/>
        <v/>
      </c>
      <c r="DP58" s="173" t="str">
        <f t="shared" si="184"/>
        <v/>
      </c>
      <c r="DQ58" s="11" t="str">
        <f t="shared" si="185"/>
        <v/>
      </c>
      <c r="DR58" s="173" t="str">
        <f t="shared" si="186"/>
        <v/>
      </c>
      <c r="DS58" s="5" t="str">
        <f t="shared" si="187"/>
        <v/>
      </c>
      <c r="DT58" s="5" t="str">
        <f t="shared" si="188"/>
        <v/>
      </c>
      <c r="DU58" s="5" t="str">
        <f t="shared" si="189"/>
        <v/>
      </c>
      <c r="DV58" s="5" t="str">
        <f t="shared" si="190"/>
        <v/>
      </c>
      <c r="DW58" s="5" t="str">
        <f t="shared" si="191"/>
        <v/>
      </c>
      <c r="DX58" s="167" t="str">
        <f t="shared" si="192"/>
        <v/>
      </c>
      <c r="DY58" s="9" t="str">
        <f t="shared" si="193"/>
        <v/>
      </c>
      <c r="DZ58" s="5" t="str">
        <f t="shared" si="194"/>
        <v/>
      </c>
      <c r="EA58" s="10" t="str">
        <f t="shared" si="195"/>
        <v/>
      </c>
      <c r="EB58" s="6" t="str">
        <f t="shared" si="196"/>
        <v/>
      </c>
      <c r="EC58" s="173" t="str">
        <f t="shared" si="197"/>
        <v/>
      </c>
      <c r="ED58" s="5" t="str">
        <f t="shared" si="198"/>
        <v/>
      </c>
      <c r="EE58" s="4" t="str">
        <f t="shared" si="199"/>
        <v/>
      </c>
      <c r="EF58" s="5" t="str">
        <f t="shared" si="200"/>
        <v/>
      </c>
      <c r="EG58" s="10" t="str">
        <f t="shared" si="201"/>
        <v/>
      </c>
      <c r="EH58" s="9" t="str">
        <f t="shared" si="202"/>
        <v/>
      </c>
      <c r="EI58" s="5" t="str">
        <f t="shared" si="203"/>
        <v/>
      </c>
      <c r="EJ58" s="6" t="str">
        <f t="shared" si="204"/>
        <v/>
      </c>
      <c r="EK58" s="236" t="str">
        <f t="shared" si="205"/>
        <v/>
      </c>
      <c r="EL58" s="238" t="str">
        <f t="shared" si="206"/>
        <v/>
      </c>
      <c r="EM58" s="4" t="str">
        <f t="shared" si="207"/>
        <v/>
      </c>
      <c r="EN58" s="5" t="str">
        <f t="shared" si="208"/>
        <v/>
      </c>
      <c r="EO58" s="10" t="str">
        <f t="shared" si="209"/>
        <v/>
      </c>
      <c r="EP58" s="9" t="str">
        <f t="shared" si="210"/>
        <v/>
      </c>
      <c r="EQ58" s="5" t="str">
        <f t="shared" si="211"/>
        <v/>
      </c>
      <c r="ER58" s="7" t="str">
        <f t="shared" si="212"/>
        <v/>
      </c>
      <c r="ES58" s="21" t="str">
        <f t="shared" si="411"/>
        <v/>
      </c>
      <c r="ET58" s="5" t="str">
        <f t="shared" si="412"/>
        <v/>
      </c>
      <c r="EU58" s="10" t="str">
        <f t="shared" si="413"/>
        <v/>
      </c>
      <c r="EV58" s="174" t="str">
        <f t="shared" si="571"/>
        <v/>
      </c>
      <c r="EW58" s="9" t="str">
        <f t="shared" si="572"/>
        <v/>
      </c>
      <c r="EX58" s="5" t="str">
        <f t="shared" si="573"/>
        <v/>
      </c>
      <c r="EY58" s="6" t="str">
        <f t="shared" si="213"/>
        <v/>
      </c>
      <c r="EZ58" s="51" t="str">
        <f t="shared" si="214"/>
        <v/>
      </c>
      <c r="FA58" s="173" t="str">
        <f t="shared" si="574"/>
        <v/>
      </c>
      <c r="FB58" s="5" t="str">
        <f t="shared" si="575"/>
        <v/>
      </c>
      <c r="FC58" s="6" t="str">
        <f t="shared" si="576"/>
        <v/>
      </c>
      <c r="FD58" s="4" t="str">
        <f t="shared" si="577"/>
        <v/>
      </c>
      <c r="FE58" s="5" t="str">
        <f t="shared" si="578"/>
        <v/>
      </c>
      <c r="FF58" s="7" t="str">
        <f t="shared" si="215"/>
        <v/>
      </c>
      <c r="FG58" s="173" t="str">
        <f t="shared" si="579"/>
        <v/>
      </c>
      <c r="FH58" s="5" t="str">
        <f t="shared" si="580"/>
        <v/>
      </c>
      <c r="FI58" s="10" t="str">
        <f t="shared" si="581"/>
        <v/>
      </c>
      <c r="FJ58" s="279" t="str">
        <f t="shared" si="217"/>
        <v/>
      </c>
      <c r="FK58" s="4" t="str">
        <f t="shared" si="582"/>
        <v/>
      </c>
      <c r="FL58" s="5" t="str">
        <f t="shared" si="218"/>
        <v/>
      </c>
      <c r="FM58" s="8" t="str">
        <f t="shared" si="219"/>
        <v/>
      </c>
      <c r="FN58" s="9" t="str">
        <f t="shared" si="220"/>
        <v/>
      </c>
      <c r="FO58" s="10" t="str">
        <f t="shared" si="583"/>
        <v/>
      </c>
      <c r="FP58" s="277" t="str">
        <f t="shared" si="584"/>
        <v/>
      </c>
      <c r="FQ58" s="173" t="str">
        <f t="shared" si="251"/>
        <v/>
      </c>
      <c r="FR58" s="10" t="str">
        <f t="shared" si="221"/>
        <v/>
      </c>
      <c r="FS58" s="9" t="str">
        <f t="shared" si="222"/>
        <v/>
      </c>
      <c r="FT58" s="6" t="str">
        <f t="shared" si="223"/>
        <v/>
      </c>
      <c r="FU58" s="4" t="str">
        <f t="shared" si="224"/>
        <v/>
      </c>
      <c r="FV58" s="5" t="str">
        <f t="shared" si="225"/>
        <v/>
      </c>
      <c r="FW58" s="8" t="str">
        <f t="shared" si="252"/>
        <v/>
      </c>
      <c r="FX58" s="9" t="str">
        <f t="shared" si="253"/>
        <v/>
      </c>
      <c r="FY58" s="10" t="str">
        <f t="shared" si="585"/>
        <v/>
      </c>
      <c r="FZ58" s="277" t="str">
        <f t="shared" si="254"/>
        <v/>
      </c>
      <c r="GA58" s="177" t="str">
        <f t="shared" si="226"/>
        <v/>
      </c>
      <c r="GB58" s="4" t="str">
        <f t="shared" si="227"/>
        <v/>
      </c>
      <c r="GC58" s="5" t="str">
        <f t="shared" si="228"/>
        <v/>
      </c>
      <c r="GD58" s="10" t="str">
        <f t="shared" si="229"/>
        <v/>
      </c>
      <c r="GE58" s="311" t="str">
        <f t="shared" si="230"/>
        <v/>
      </c>
      <c r="GF58" s="341" t="str">
        <f t="shared" si="255"/>
        <v/>
      </c>
      <c r="GG58" s="285" t="str">
        <f t="shared" si="586"/>
        <v/>
      </c>
      <c r="GH58" s="286" t="str">
        <f t="shared" si="587"/>
        <v/>
      </c>
      <c r="GI58" s="281" t="str">
        <f t="shared" si="588"/>
        <v/>
      </c>
      <c r="GJ58" s="167" t="str">
        <f t="shared" si="231"/>
        <v/>
      </c>
      <c r="GK58" s="174" t="str">
        <f t="shared" si="589"/>
        <v/>
      </c>
      <c r="GL58" s="174" t="str">
        <f t="shared" si="232"/>
        <v/>
      </c>
      <c r="GM58" s="177" t="str">
        <f t="shared" si="256"/>
        <v/>
      </c>
      <c r="GN58" s="280" t="str">
        <f t="shared" si="233"/>
        <v/>
      </c>
      <c r="GO58" s="4" t="str">
        <f t="shared" si="234"/>
        <v/>
      </c>
      <c r="GP58" s="8" t="str">
        <f t="shared" si="257"/>
        <v/>
      </c>
      <c r="GQ58" s="177" t="str">
        <f t="shared" si="235"/>
        <v/>
      </c>
      <c r="GR58" s="371" t="str">
        <f t="shared" si="258"/>
        <v/>
      </c>
      <c r="GS58" s="342" t="str">
        <f t="shared" si="590"/>
        <v/>
      </c>
      <c r="GT58" s="343" t="str">
        <f t="shared" si="591"/>
        <v/>
      </c>
      <c r="GU58" s="344" t="str">
        <f t="shared" si="592"/>
        <v/>
      </c>
      <c r="GV58" s="343" t="str">
        <f t="shared" si="265"/>
        <v/>
      </c>
      <c r="GW58" s="345" t="str">
        <f t="shared" si="593"/>
        <v/>
      </c>
      <c r="GX58" s="346" t="str">
        <f t="shared" si="594"/>
        <v/>
      </c>
      <c r="GY58" s="344" t="str">
        <f t="shared" si="595"/>
        <v/>
      </c>
      <c r="GZ58" s="345" t="str">
        <f t="shared" si="596"/>
        <v/>
      </c>
      <c r="HA58" s="342" t="str">
        <f t="shared" si="597"/>
        <v/>
      </c>
      <c r="HB58" s="5" t="str">
        <f t="shared" si="236"/>
        <v/>
      </c>
      <c r="HC58" s="343" t="str">
        <f t="shared" si="237"/>
        <v/>
      </c>
      <c r="HD58" s="363" t="str">
        <f t="shared" si="238"/>
        <v/>
      </c>
      <c r="HE58" s="344" t="str">
        <f t="shared" si="598"/>
        <v/>
      </c>
      <c r="HF58" s="5" t="str">
        <f t="shared" si="599"/>
        <v/>
      </c>
      <c r="HG58" s="343" t="str">
        <f t="shared" si="239"/>
        <v/>
      </c>
      <c r="HH58" s="349" t="str">
        <f t="shared" si="240"/>
        <v/>
      </c>
      <c r="HI58" s="317" t="str">
        <f t="shared" si="467"/>
        <v/>
      </c>
      <c r="HK58" s="310" t="str">
        <f t="shared" si="520"/>
        <v/>
      </c>
      <c r="HL58" s="348" t="str">
        <f t="shared" si="468"/>
        <v/>
      </c>
      <c r="HM58" s="923" t="str">
        <f t="shared" si="469"/>
        <v/>
      </c>
      <c r="HN58" s="924" t="str">
        <f t="shared" si="470"/>
        <v/>
      </c>
      <c r="HO58" s="925"/>
      <c r="HP58" s="926"/>
      <c r="HQ58" s="924" t="str">
        <f t="shared" si="471"/>
        <v/>
      </c>
      <c r="HR58" s="927" t="str">
        <f t="shared" si="472"/>
        <v/>
      </c>
      <c r="HS58" s="879" t="str">
        <f t="shared" si="521"/>
        <v/>
      </c>
      <c r="HT58" s="889" t="str">
        <f t="shared" si="473"/>
        <v/>
      </c>
      <c r="HU58" s="890" t="str">
        <f t="shared" si="474"/>
        <v/>
      </c>
      <c r="HV58" s="886" t="str">
        <f t="shared" si="475"/>
        <v/>
      </c>
      <c r="HW58" s="880" t="str">
        <f t="shared" si="476"/>
        <v/>
      </c>
      <c r="HX58" s="881" t="str">
        <f t="shared" si="477"/>
        <v/>
      </c>
      <c r="HY58" s="880" t="str">
        <f t="shared" si="478"/>
        <v/>
      </c>
      <c r="HZ58" s="882" t="str">
        <f t="shared" si="479"/>
        <v/>
      </c>
      <c r="IA58" s="883" t="str">
        <f t="shared" si="480"/>
        <v/>
      </c>
      <c r="IB58" s="884" t="str">
        <f t="shared" si="481"/>
        <v/>
      </c>
      <c r="IC58" s="855" t="str">
        <f t="shared" si="482"/>
        <v/>
      </c>
      <c r="ID58" s="351" t="str">
        <f t="shared" si="483"/>
        <v/>
      </c>
      <c r="IE58" s="857" t="str">
        <f t="shared" si="484"/>
        <v/>
      </c>
      <c r="IF58" s="858"/>
      <c r="IG58" s="790" t="str">
        <f>IFERROR(IF($IW58="","",IF($IW58&lt;(((Settings!$C$19/2)*-1)*$IG$8),"Taper","Nose")),"")</f>
        <v/>
      </c>
      <c r="IH58" s="482" t="str">
        <f>IFERROR(IF((((($IY58*COS(RADIANS(180-$JA58)))*COS(RADIANS($JA58)))-(($IZ58*SIN(RADIANS(180-$JA58)))*SIN(RADIANS($JA58))))+$IW58)&lt;(((Settings!$C$19+$IH$8)/2)*-1),"Gage",""),"")</f>
        <v/>
      </c>
      <c r="II58" s="788" t="str">
        <f t="shared" si="241"/>
        <v/>
      </c>
      <c r="IJ58" s="674" t="str" cm="1">
        <f t="array" ref="IJ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K58" s="677" t="str" cm="1">
        <f t="array" ref="IK58">IFERROR(ROUND(VALUE(IF($IJ58&lt;1,$IJ58+LARGE((IF($M$9:$M$150="",0,$M$9:$M$150)-MOD(IF($M$9:$M$150="",0,$M$9:$M$150),1)),1),$IJ58)),4),"")</f>
        <v/>
      </c>
      <c r="IL58" s="482" t="str">
        <f t="shared" si="485"/>
        <v/>
      </c>
      <c r="IM58" s="482" t="str">
        <f t="shared" si="242"/>
        <v/>
      </c>
      <c r="IN58" s="670" t="str">
        <f t="shared" si="486"/>
        <v/>
      </c>
      <c r="IO58" s="702"/>
      <c r="IP58" s="5" t="str">
        <f t="shared" si="487"/>
        <v/>
      </c>
      <c r="IQ58" s="714"/>
      <c r="IR58" s="9" t="str">
        <f t="shared" si="488"/>
        <v/>
      </c>
      <c r="IS58" s="5" t="str">
        <f t="shared" si="489"/>
        <v/>
      </c>
      <c r="IT58" s="5" t="str">
        <f t="shared" si="490"/>
        <v/>
      </c>
      <c r="IU58" s="5" t="str">
        <f t="shared" si="491"/>
        <v/>
      </c>
      <c r="IV58" s="670" t="str">
        <f t="shared" si="492"/>
        <v/>
      </c>
      <c r="IW58" s="9" t="str">
        <f t="shared" si="493"/>
        <v/>
      </c>
      <c r="IX58" s="5" t="str">
        <f t="shared" si="494"/>
        <v/>
      </c>
      <c r="IY58" s="5" t="str">
        <f t="shared" si="495"/>
        <v/>
      </c>
      <c r="IZ58" s="5" t="str">
        <f t="shared" si="496"/>
        <v/>
      </c>
      <c r="JA58" s="705" t="str">
        <f t="shared" si="497"/>
        <v/>
      </c>
      <c r="JM58" s="489" t="e">
        <f t="shared" si="133"/>
        <v>#VALUE!</v>
      </c>
      <c r="JN58" s="960" t="e">
        <f>($JO58-SMALL($JO$9:$JO$88,1))/((Settings!$C$19/2)-((Settings!$C$19/2)-LARGE($JO$9:$JO$88,1))-SMALL($JO$9:$JO$88,1))</f>
        <v>#VALUE!</v>
      </c>
      <c r="JO58" s="162" t="str">
        <f t="shared" si="134"/>
        <v/>
      </c>
      <c r="JP58" s="961" t="str">
        <f t="shared" si="135"/>
        <v/>
      </c>
      <c r="JQ58" s="961" t="str">
        <f t="shared" si="136"/>
        <v/>
      </c>
      <c r="JU58" s="962"/>
      <c r="JV58" s="959"/>
      <c r="JW58" s="959"/>
    </row>
    <row r="59" spans="1:284" ht="15" customHeight="1" x14ac:dyDescent="0.25">
      <c r="A59" s="75" t="str">
        <f t="shared" si="322"/>
        <v/>
      </c>
      <c r="B59" s="578" t="str">
        <f t="shared" ref="B59:D59" si="609">IFERROR(O214+($A59*-E59),"")</f>
        <v/>
      </c>
      <c r="C59" s="572" t="str">
        <f t="shared" si="609"/>
        <v/>
      </c>
      <c r="D59" s="576" t="str">
        <f t="shared" si="609"/>
        <v/>
      </c>
      <c r="E59" s="580" t="str">
        <f t="shared" ref="E59:K59" si="610">R214</f>
        <v/>
      </c>
      <c r="F59" s="572" t="str">
        <f t="shared" si="610"/>
        <v/>
      </c>
      <c r="G59" s="579" t="str">
        <f t="shared" si="610"/>
        <v/>
      </c>
      <c r="H59" s="580" t="str">
        <f t="shared" si="610"/>
        <v/>
      </c>
      <c r="I59" s="572" t="str">
        <f t="shared" si="610"/>
        <v/>
      </c>
      <c r="J59" s="483" t="str">
        <f t="shared" si="94"/>
        <v/>
      </c>
      <c r="K59" s="806" t="str">
        <f t="shared" si="610"/>
        <v/>
      </c>
      <c r="L59" s="309"/>
      <c r="M59" s="164" t="str">
        <f t="shared" si="325"/>
        <v/>
      </c>
      <c r="N59" s="575" t="str">
        <f t="shared" si="326"/>
        <v/>
      </c>
      <c r="O59" s="572" t="str">
        <f t="shared" si="327"/>
        <v/>
      </c>
      <c r="P59" s="576" t="str">
        <f t="shared" si="328"/>
        <v/>
      </c>
      <c r="Q59" s="528" t="str">
        <f t="shared" si="144"/>
        <v/>
      </c>
      <c r="R59" s="572" t="str">
        <f t="shared" si="95"/>
        <v/>
      </c>
      <c r="S59" s="577" t="str">
        <f t="shared" si="96"/>
        <v/>
      </c>
      <c r="T59" s="578" t="str">
        <f t="shared" si="97"/>
        <v/>
      </c>
      <c r="U59" s="572" t="str">
        <f t="shared" si="98"/>
        <v/>
      </c>
      <c r="V59" s="579" t="str">
        <f t="shared" si="145"/>
        <v/>
      </c>
      <c r="W59" s="528" t="str">
        <f t="shared" si="268"/>
        <v/>
      </c>
      <c r="X59" s="572" t="str">
        <f t="shared" si="99"/>
        <v/>
      </c>
      <c r="Y59" s="573" t="str">
        <f t="shared" si="271"/>
        <v/>
      </c>
      <c r="Z59" s="575" t="str">
        <f t="shared" si="329"/>
        <v/>
      </c>
      <c r="AA59" s="572" t="str">
        <f t="shared" si="330"/>
        <v/>
      </c>
      <c r="AB59" s="572" t="str">
        <f t="shared" si="331"/>
        <v/>
      </c>
      <c r="AC59" s="579" t="str">
        <f t="shared" si="100"/>
        <v/>
      </c>
      <c r="AD59" s="580" t="str">
        <f t="shared" si="146"/>
        <v/>
      </c>
      <c r="AE59" s="572" t="str">
        <f t="shared" si="101"/>
        <v/>
      </c>
      <c r="AF59" s="576" t="str">
        <f t="shared" si="102"/>
        <v/>
      </c>
      <c r="AG59" s="545" t="str">
        <f t="shared" si="103"/>
        <v/>
      </c>
      <c r="AH59" s="546" t="str">
        <f t="shared" si="104"/>
        <v/>
      </c>
      <c r="AI59" s="528" t="str">
        <f t="shared" si="105"/>
        <v/>
      </c>
      <c r="AJ59" s="529" t="str">
        <f t="shared" si="106"/>
        <v/>
      </c>
      <c r="AK59" s="578" t="str">
        <f t="shared" si="247"/>
        <v/>
      </c>
      <c r="AL59" s="572" t="str">
        <f t="shared" si="107"/>
        <v/>
      </c>
      <c r="AM59" s="577" t="str">
        <f t="shared" si="108"/>
        <v/>
      </c>
      <c r="AN59" s="524" t="str">
        <f t="shared" si="109"/>
        <v/>
      </c>
      <c r="AO59" s="525" t="str">
        <f t="shared" si="604"/>
        <v/>
      </c>
      <c r="AP59" s="528" t="str">
        <f t="shared" si="111"/>
        <v/>
      </c>
      <c r="AQ59" s="529" t="str">
        <f t="shared" si="332"/>
        <v/>
      </c>
      <c r="AR59" s="979"/>
      <c r="AS59" s="954" t="str">
        <f t="shared" si="524"/>
        <v/>
      </c>
      <c r="AT59" s="950" t="str">
        <f t="shared" si="333"/>
        <v/>
      </c>
      <c r="AU59" s="418"/>
      <c r="AV59" s="164" t="str">
        <f t="shared" si="334"/>
        <v/>
      </c>
      <c r="AW59" s="797" t="str">
        <f>IFERROR(INDEX(MassProp!C$9:C$150,MATCH($M59,MassProp!$B$9:$B$150,0)),"")</f>
        <v/>
      </c>
      <c r="AX59" s="744" t="str">
        <f>IFERROR(INDEX(MassProp!D$9:D$150,MATCH($M59,MassProp!$B$9:$B$150,0)),"")</f>
        <v/>
      </c>
      <c r="AY59" s="731" t="str">
        <f>IFERROR(INDEX(MassProp!E$9:E$150,MATCH($M59,MassProp!$B$9:$B$150,0)),"")</f>
        <v/>
      </c>
      <c r="AZ59" s="297" t="str">
        <f t="shared" si="148"/>
        <v/>
      </c>
      <c r="BA59" s="296" t="str">
        <f t="shared" si="336"/>
        <v/>
      </c>
      <c r="BB59" s="177" t="str">
        <f t="shared" si="149"/>
        <v/>
      </c>
      <c r="BC59" s="9"/>
      <c r="BD59" s="5" t="str">
        <f t="shared" si="150"/>
        <v/>
      </c>
      <c r="BE59" s="6" t="str">
        <f t="shared" si="338"/>
        <v/>
      </c>
      <c r="BF59" s="4" t="str">
        <f t="shared" si="339"/>
        <v/>
      </c>
      <c r="BG59" s="5" t="str">
        <f t="shared" si="340"/>
        <v/>
      </c>
      <c r="BH59" s="10" t="str">
        <f t="shared" si="341"/>
        <v/>
      </c>
      <c r="BI59" s="9" t="str">
        <f t="shared" si="151"/>
        <v/>
      </c>
      <c r="BJ59" s="5" t="str">
        <f t="shared" si="343"/>
        <v/>
      </c>
      <c r="BK59" s="8" t="str">
        <f t="shared" si="344"/>
        <v/>
      </c>
      <c r="BL59" s="173" t="str">
        <f t="shared" si="345"/>
        <v/>
      </c>
      <c r="BM59" s="5" t="str">
        <f t="shared" si="346"/>
        <v/>
      </c>
      <c r="BN59" s="6" t="str">
        <f t="shared" si="347"/>
        <v/>
      </c>
      <c r="BO59" s="4" t="str">
        <f t="shared" si="152"/>
        <v/>
      </c>
      <c r="BP59" s="5" t="str">
        <f t="shared" si="153"/>
        <v/>
      </c>
      <c r="BQ59" s="5" t="str">
        <f t="shared" si="154"/>
        <v/>
      </c>
      <c r="BR59" s="6" t="str">
        <f t="shared" si="155"/>
        <v/>
      </c>
      <c r="BS59" s="4" t="str">
        <f t="shared" si="568"/>
        <v/>
      </c>
      <c r="BT59" s="5" t="str">
        <f t="shared" si="568"/>
        <v/>
      </c>
      <c r="BU59" s="10" t="str">
        <f t="shared" si="113"/>
        <v/>
      </c>
      <c r="BV59" s="9" t="str">
        <f t="shared" si="114"/>
        <v/>
      </c>
      <c r="BW59" s="5" t="str">
        <f t="shared" si="115"/>
        <v/>
      </c>
      <c r="BX59" s="8" t="str">
        <f t="shared" si="116"/>
        <v/>
      </c>
      <c r="BY59" s="173" t="str">
        <f t="shared" si="117"/>
        <v/>
      </c>
      <c r="BZ59" s="5" t="str">
        <f t="shared" si="118"/>
        <v/>
      </c>
      <c r="CA59" s="6" t="str">
        <f t="shared" si="119"/>
        <v/>
      </c>
      <c r="CB59" s="4" t="str">
        <f t="shared" si="156"/>
        <v/>
      </c>
      <c r="CC59" s="5" t="str">
        <f t="shared" si="157"/>
        <v/>
      </c>
      <c r="CD59" s="5" t="str">
        <f t="shared" si="158"/>
        <v/>
      </c>
      <c r="CE59" s="6" t="str">
        <f t="shared" si="159"/>
        <v/>
      </c>
      <c r="CF59" s="4" t="str">
        <f t="shared" si="160"/>
        <v/>
      </c>
      <c r="CG59" s="5" t="str">
        <f t="shared" si="161"/>
        <v/>
      </c>
      <c r="CH59" s="5" t="str">
        <f t="shared" si="162"/>
        <v/>
      </c>
      <c r="CI59" s="4" t="str">
        <f t="shared" si="120"/>
        <v/>
      </c>
      <c r="CJ59" s="5" t="str">
        <f t="shared" si="121"/>
        <v/>
      </c>
      <c r="CK59" s="8" t="str">
        <f t="shared" si="122"/>
        <v/>
      </c>
      <c r="CL59" s="173" t="str">
        <f t="shared" si="123"/>
        <v/>
      </c>
      <c r="CM59" s="5" t="str">
        <f t="shared" si="124"/>
        <v/>
      </c>
      <c r="CN59" s="6" t="str">
        <f t="shared" si="125"/>
        <v/>
      </c>
      <c r="CO59" s="167" t="str">
        <f t="shared" si="364"/>
        <v/>
      </c>
      <c r="CP59" s="4" t="str">
        <f t="shared" si="248"/>
        <v/>
      </c>
      <c r="CQ59" s="5" t="str">
        <f t="shared" si="249"/>
        <v/>
      </c>
      <c r="CR59" s="5" t="str">
        <f t="shared" si="163"/>
        <v/>
      </c>
      <c r="CS59" s="8" t="str">
        <f t="shared" si="164"/>
        <v/>
      </c>
      <c r="CT59" s="9" t="str">
        <f t="shared" si="165"/>
        <v/>
      </c>
      <c r="CU59" s="6" t="str">
        <f t="shared" si="166"/>
        <v/>
      </c>
      <c r="CV59" s="4" t="str">
        <f t="shared" si="250"/>
        <v/>
      </c>
      <c r="CW59" s="5" t="str">
        <f t="shared" si="167"/>
        <v/>
      </c>
      <c r="CX59" s="8" t="str">
        <f t="shared" si="168"/>
        <v/>
      </c>
      <c r="CY59" s="9" t="str">
        <f t="shared" si="169"/>
        <v/>
      </c>
      <c r="CZ59" s="5" t="str">
        <f t="shared" si="170"/>
        <v/>
      </c>
      <c r="DA59" s="6" t="str">
        <f t="shared" si="171"/>
        <v/>
      </c>
      <c r="DB59" s="4" t="str">
        <f t="shared" si="569"/>
        <v/>
      </c>
      <c r="DC59" s="5" t="str">
        <f t="shared" si="569"/>
        <v/>
      </c>
      <c r="DD59" s="10" t="str">
        <f t="shared" si="173"/>
        <v/>
      </c>
      <c r="DE59" s="9" t="str">
        <f t="shared" si="570"/>
        <v/>
      </c>
      <c r="DF59" s="5" t="str">
        <f t="shared" si="570"/>
        <v/>
      </c>
      <c r="DG59" s="10" t="str">
        <f t="shared" si="175"/>
        <v/>
      </c>
      <c r="DH59" s="70" t="str">
        <f t="shared" si="176"/>
        <v/>
      </c>
      <c r="DI59" s="4" t="str">
        <f t="shared" si="177"/>
        <v/>
      </c>
      <c r="DJ59" s="5" t="str">
        <f t="shared" si="178"/>
        <v/>
      </c>
      <c r="DK59" s="10" t="str">
        <f t="shared" si="179"/>
        <v/>
      </c>
      <c r="DL59" s="9" t="str">
        <f t="shared" si="180"/>
        <v/>
      </c>
      <c r="DM59" s="173" t="str">
        <f t="shared" si="181"/>
        <v/>
      </c>
      <c r="DN59" s="178" t="str">
        <f t="shared" si="182"/>
        <v/>
      </c>
      <c r="DO59" s="9" t="str">
        <f t="shared" si="183"/>
        <v/>
      </c>
      <c r="DP59" s="173" t="str">
        <f t="shared" si="184"/>
        <v/>
      </c>
      <c r="DQ59" s="11" t="str">
        <f t="shared" si="185"/>
        <v/>
      </c>
      <c r="DR59" s="173" t="str">
        <f t="shared" si="186"/>
        <v/>
      </c>
      <c r="DS59" s="5" t="str">
        <f t="shared" si="187"/>
        <v/>
      </c>
      <c r="DT59" s="5" t="str">
        <f t="shared" si="188"/>
        <v/>
      </c>
      <c r="DU59" s="5" t="str">
        <f t="shared" si="189"/>
        <v/>
      </c>
      <c r="DV59" s="5" t="str">
        <f t="shared" si="190"/>
        <v/>
      </c>
      <c r="DW59" s="5" t="str">
        <f t="shared" si="191"/>
        <v/>
      </c>
      <c r="DX59" s="167" t="str">
        <f t="shared" si="192"/>
        <v/>
      </c>
      <c r="DY59" s="9" t="str">
        <f t="shared" si="193"/>
        <v/>
      </c>
      <c r="DZ59" s="5" t="str">
        <f t="shared" si="194"/>
        <v/>
      </c>
      <c r="EA59" s="10" t="str">
        <f t="shared" si="195"/>
        <v/>
      </c>
      <c r="EB59" s="6" t="str">
        <f t="shared" si="196"/>
        <v/>
      </c>
      <c r="EC59" s="173" t="str">
        <f t="shared" si="197"/>
        <v/>
      </c>
      <c r="ED59" s="5" t="str">
        <f t="shared" si="198"/>
        <v/>
      </c>
      <c r="EE59" s="4" t="str">
        <f t="shared" si="199"/>
        <v/>
      </c>
      <c r="EF59" s="5" t="str">
        <f t="shared" si="200"/>
        <v/>
      </c>
      <c r="EG59" s="10" t="str">
        <f t="shared" si="201"/>
        <v/>
      </c>
      <c r="EH59" s="9" t="str">
        <f t="shared" si="202"/>
        <v/>
      </c>
      <c r="EI59" s="5" t="str">
        <f t="shared" si="203"/>
        <v/>
      </c>
      <c r="EJ59" s="6" t="str">
        <f t="shared" si="204"/>
        <v/>
      </c>
      <c r="EK59" s="236" t="str">
        <f t="shared" si="205"/>
        <v/>
      </c>
      <c r="EL59" s="238" t="str">
        <f t="shared" si="206"/>
        <v/>
      </c>
      <c r="EM59" s="4" t="str">
        <f t="shared" si="207"/>
        <v/>
      </c>
      <c r="EN59" s="5" t="str">
        <f t="shared" si="208"/>
        <v/>
      </c>
      <c r="EO59" s="10" t="str">
        <f t="shared" si="209"/>
        <v/>
      </c>
      <c r="EP59" s="9" t="str">
        <f t="shared" si="210"/>
        <v/>
      </c>
      <c r="EQ59" s="5" t="str">
        <f t="shared" si="211"/>
        <v/>
      </c>
      <c r="ER59" s="7" t="str">
        <f t="shared" si="212"/>
        <v/>
      </c>
      <c r="ES59" s="21" t="str">
        <f t="shared" si="411"/>
        <v/>
      </c>
      <c r="ET59" s="5" t="str">
        <f t="shared" si="412"/>
        <v/>
      </c>
      <c r="EU59" s="10" t="str">
        <f t="shared" si="413"/>
        <v/>
      </c>
      <c r="EV59" s="174" t="str">
        <f t="shared" si="571"/>
        <v/>
      </c>
      <c r="EW59" s="9" t="str">
        <f t="shared" si="572"/>
        <v/>
      </c>
      <c r="EX59" s="5" t="str">
        <f t="shared" si="573"/>
        <v/>
      </c>
      <c r="EY59" s="6" t="str">
        <f t="shared" si="213"/>
        <v/>
      </c>
      <c r="EZ59" s="51" t="str">
        <f t="shared" si="214"/>
        <v/>
      </c>
      <c r="FA59" s="173" t="str">
        <f t="shared" si="574"/>
        <v/>
      </c>
      <c r="FB59" s="5" t="str">
        <f t="shared" si="575"/>
        <v/>
      </c>
      <c r="FC59" s="6" t="str">
        <f t="shared" si="576"/>
        <v/>
      </c>
      <c r="FD59" s="4" t="str">
        <f t="shared" si="577"/>
        <v/>
      </c>
      <c r="FE59" s="5" t="str">
        <f t="shared" si="578"/>
        <v/>
      </c>
      <c r="FF59" s="7" t="str">
        <f t="shared" si="215"/>
        <v/>
      </c>
      <c r="FG59" s="173" t="str">
        <f t="shared" si="579"/>
        <v/>
      </c>
      <c r="FH59" s="5" t="str">
        <f t="shared" si="580"/>
        <v/>
      </c>
      <c r="FI59" s="10" t="str">
        <f t="shared" si="581"/>
        <v/>
      </c>
      <c r="FJ59" s="279" t="str">
        <f t="shared" si="217"/>
        <v/>
      </c>
      <c r="FK59" s="4" t="str">
        <f t="shared" si="582"/>
        <v/>
      </c>
      <c r="FL59" s="5" t="str">
        <f t="shared" si="218"/>
        <v/>
      </c>
      <c r="FM59" s="8" t="str">
        <f t="shared" si="219"/>
        <v/>
      </c>
      <c r="FN59" s="9" t="str">
        <f t="shared" si="220"/>
        <v/>
      </c>
      <c r="FO59" s="10" t="str">
        <f t="shared" si="583"/>
        <v/>
      </c>
      <c r="FP59" s="277" t="str">
        <f t="shared" si="584"/>
        <v/>
      </c>
      <c r="FQ59" s="173" t="str">
        <f t="shared" si="251"/>
        <v/>
      </c>
      <c r="FR59" s="10" t="str">
        <f t="shared" si="221"/>
        <v/>
      </c>
      <c r="FS59" s="9" t="str">
        <f t="shared" si="222"/>
        <v/>
      </c>
      <c r="FT59" s="6" t="str">
        <f t="shared" si="223"/>
        <v/>
      </c>
      <c r="FU59" s="4" t="str">
        <f t="shared" si="224"/>
        <v/>
      </c>
      <c r="FV59" s="5" t="str">
        <f t="shared" si="225"/>
        <v/>
      </c>
      <c r="FW59" s="8" t="str">
        <f t="shared" si="252"/>
        <v/>
      </c>
      <c r="FX59" s="9" t="str">
        <f t="shared" si="253"/>
        <v/>
      </c>
      <c r="FY59" s="10" t="str">
        <f t="shared" si="585"/>
        <v/>
      </c>
      <c r="FZ59" s="277" t="str">
        <f t="shared" si="254"/>
        <v/>
      </c>
      <c r="GA59" s="177" t="str">
        <f t="shared" si="226"/>
        <v/>
      </c>
      <c r="GB59" s="4" t="str">
        <f t="shared" si="227"/>
        <v/>
      </c>
      <c r="GC59" s="5" t="str">
        <f t="shared" si="228"/>
        <v/>
      </c>
      <c r="GD59" s="10" t="str">
        <f t="shared" si="229"/>
        <v/>
      </c>
      <c r="GE59" s="311" t="str">
        <f t="shared" si="230"/>
        <v/>
      </c>
      <c r="GF59" s="341" t="str">
        <f t="shared" si="255"/>
        <v/>
      </c>
      <c r="GG59" s="285" t="str">
        <f t="shared" si="586"/>
        <v/>
      </c>
      <c r="GH59" s="286" t="str">
        <f t="shared" si="587"/>
        <v/>
      </c>
      <c r="GI59" s="281" t="str">
        <f t="shared" si="588"/>
        <v/>
      </c>
      <c r="GJ59" s="167" t="str">
        <f t="shared" si="231"/>
        <v/>
      </c>
      <c r="GK59" s="174" t="str">
        <f t="shared" si="589"/>
        <v/>
      </c>
      <c r="GL59" s="174" t="str">
        <f t="shared" si="232"/>
        <v/>
      </c>
      <c r="GM59" s="177" t="str">
        <f t="shared" si="256"/>
        <v/>
      </c>
      <c r="GN59" s="280" t="str">
        <f t="shared" si="233"/>
        <v/>
      </c>
      <c r="GO59" s="4" t="str">
        <f t="shared" si="234"/>
        <v/>
      </c>
      <c r="GP59" s="8" t="str">
        <f t="shared" si="257"/>
        <v/>
      </c>
      <c r="GQ59" s="177" t="str">
        <f t="shared" si="235"/>
        <v/>
      </c>
      <c r="GR59" s="371" t="str">
        <f t="shared" si="258"/>
        <v/>
      </c>
      <c r="GS59" s="342" t="str">
        <f t="shared" si="590"/>
        <v/>
      </c>
      <c r="GT59" s="343" t="str">
        <f t="shared" si="591"/>
        <v/>
      </c>
      <c r="GU59" s="344" t="str">
        <f t="shared" si="592"/>
        <v/>
      </c>
      <c r="GV59" s="343" t="str">
        <f t="shared" si="265"/>
        <v/>
      </c>
      <c r="GW59" s="345" t="str">
        <f t="shared" si="593"/>
        <v/>
      </c>
      <c r="GX59" s="346" t="str">
        <f t="shared" si="594"/>
        <v/>
      </c>
      <c r="GY59" s="344" t="str">
        <f t="shared" si="595"/>
        <v/>
      </c>
      <c r="GZ59" s="345" t="str">
        <f t="shared" si="596"/>
        <v/>
      </c>
      <c r="HA59" s="342" t="str">
        <f t="shared" si="597"/>
        <v/>
      </c>
      <c r="HB59" s="5" t="str">
        <f t="shared" si="236"/>
        <v/>
      </c>
      <c r="HC59" s="343" t="str">
        <f t="shared" si="237"/>
        <v/>
      </c>
      <c r="HD59" s="363" t="str">
        <f t="shared" si="238"/>
        <v/>
      </c>
      <c r="HE59" s="344" t="str">
        <f t="shared" si="598"/>
        <v/>
      </c>
      <c r="HF59" s="5" t="str">
        <f t="shared" si="599"/>
        <v/>
      </c>
      <c r="HG59" s="343" t="str">
        <f t="shared" si="239"/>
        <v/>
      </c>
      <c r="HH59" s="349" t="str">
        <f t="shared" si="240"/>
        <v/>
      </c>
      <c r="HI59" s="317" t="str">
        <f t="shared" si="467"/>
        <v/>
      </c>
      <c r="HK59" s="310" t="str">
        <f t="shared" si="520"/>
        <v/>
      </c>
      <c r="HL59" s="348" t="str">
        <f t="shared" si="468"/>
        <v/>
      </c>
      <c r="HM59" s="923" t="str">
        <f t="shared" si="469"/>
        <v/>
      </c>
      <c r="HN59" s="924" t="str">
        <f t="shared" si="470"/>
        <v/>
      </c>
      <c r="HO59" s="925"/>
      <c r="HP59" s="926"/>
      <c r="HQ59" s="924" t="str">
        <f t="shared" si="471"/>
        <v/>
      </c>
      <c r="HR59" s="927" t="str">
        <f t="shared" si="472"/>
        <v/>
      </c>
      <c r="HS59" s="879" t="str">
        <f t="shared" si="521"/>
        <v/>
      </c>
      <c r="HT59" s="889" t="str">
        <f t="shared" si="473"/>
        <v/>
      </c>
      <c r="HU59" s="890" t="str">
        <f t="shared" si="474"/>
        <v/>
      </c>
      <c r="HV59" s="886" t="str">
        <f t="shared" si="475"/>
        <v/>
      </c>
      <c r="HW59" s="880" t="str">
        <f t="shared" si="476"/>
        <v/>
      </c>
      <c r="HX59" s="881" t="str">
        <f t="shared" si="477"/>
        <v/>
      </c>
      <c r="HY59" s="880" t="str">
        <f t="shared" si="478"/>
        <v/>
      </c>
      <c r="HZ59" s="882" t="str">
        <f t="shared" si="479"/>
        <v/>
      </c>
      <c r="IA59" s="883" t="str">
        <f t="shared" si="480"/>
        <v/>
      </c>
      <c r="IB59" s="884" t="str">
        <f t="shared" si="481"/>
        <v/>
      </c>
      <c r="IC59" s="855" t="str">
        <f t="shared" si="482"/>
        <v/>
      </c>
      <c r="ID59" s="351" t="str">
        <f t="shared" si="483"/>
        <v/>
      </c>
      <c r="IE59" s="857" t="str">
        <f t="shared" si="484"/>
        <v/>
      </c>
      <c r="IF59" s="858"/>
      <c r="IG59" s="790" t="str">
        <f>IFERROR(IF($IW59="","",IF($IW59&lt;(((Settings!$C$19/2)*-1)*$IG$8),"Taper","Nose")),"")</f>
        <v/>
      </c>
      <c r="IH59" s="482" t="str">
        <f>IFERROR(IF((((($IY59*COS(RADIANS(180-$JA59)))*COS(RADIANS($JA59)))-(($IZ59*SIN(RADIANS(180-$JA59)))*SIN(RADIANS($JA59))))+$IW59)&lt;(((Settings!$C$19+$IH$8)/2)*-1),"Gage",""),"")</f>
        <v/>
      </c>
      <c r="II59" s="788" t="str">
        <f t="shared" si="241"/>
        <v/>
      </c>
      <c r="IJ59" s="674" t="str" cm="1">
        <f t="array" ref="IJ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K59" s="677" t="str" cm="1">
        <f t="array" ref="IK59">IFERROR(ROUND(VALUE(IF($IJ59&lt;1,$IJ59+LARGE((IF($M$9:$M$150="",0,$M$9:$M$150)-MOD(IF($M$9:$M$150="",0,$M$9:$M$150),1)),1),$IJ59)),4),"")</f>
        <v/>
      </c>
      <c r="IL59" s="482" t="str">
        <f t="shared" si="485"/>
        <v/>
      </c>
      <c r="IM59" s="482" t="str">
        <f t="shared" si="242"/>
        <v/>
      </c>
      <c r="IN59" s="670" t="str">
        <f t="shared" si="486"/>
        <v/>
      </c>
      <c r="IO59" s="702"/>
      <c r="IP59" s="5" t="str">
        <f t="shared" si="487"/>
        <v/>
      </c>
      <c r="IQ59" s="714"/>
      <c r="IR59" s="9" t="str">
        <f t="shared" si="488"/>
        <v/>
      </c>
      <c r="IS59" s="5" t="str">
        <f t="shared" si="489"/>
        <v/>
      </c>
      <c r="IT59" s="5" t="str">
        <f t="shared" si="490"/>
        <v/>
      </c>
      <c r="IU59" s="5" t="str">
        <f t="shared" si="491"/>
        <v/>
      </c>
      <c r="IV59" s="670" t="str">
        <f t="shared" si="492"/>
        <v/>
      </c>
      <c r="IW59" s="9" t="str">
        <f t="shared" si="493"/>
        <v/>
      </c>
      <c r="IX59" s="5" t="str">
        <f t="shared" si="494"/>
        <v/>
      </c>
      <c r="IY59" s="5" t="str">
        <f t="shared" si="495"/>
        <v/>
      </c>
      <c r="IZ59" s="5" t="str">
        <f t="shared" si="496"/>
        <v/>
      </c>
      <c r="JA59" s="705" t="str">
        <f t="shared" si="497"/>
        <v/>
      </c>
      <c r="JM59" s="489" t="e">
        <f t="shared" si="133"/>
        <v>#VALUE!</v>
      </c>
      <c r="JN59" s="960" t="e">
        <f>($JO59-SMALL($JO$9:$JO$88,1))/((Settings!$C$19/2)-((Settings!$C$19/2)-LARGE($JO$9:$JO$88,1))-SMALL($JO$9:$JO$88,1))</f>
        <v>#VALUE!</v>
      </c>
      <c r="JO59" s="162" t="str">
        <f t="shared" si="134"/>
        <v/>
      </c>
      <c r="JP59" s="961" t="str">
        <f t="shared" si="135"/>
        <v/>
      </c>
      <c r="JQ59" s="961" t="str">
        <f t="shared" si="136"/>
        <v/>
      </c>
      <c r="JU59" s="962"/>
      <c r="JV59" s="959"/>
      <c r="JW59" s="959"/>
    </row>
    <row r="60" spans="1:284" ht="15" customHeight="1" x14ac:dyDescent="0.25">
      <c r="A60" s="75" t="str">
        <f t="shared" si="322"/>
        <v/>
      </c>
      <c r="B60" s="578" t="str">
        <f t="shared" ref="B60:D60" si="611">IFERROR(O215+($A60*-E60),"")</f>
        <v/>
      </c>
      <c r="C60" s="572" t="str">
        <f t="shared" si="611"/>
        <v/>
      </c>
      <c r="D60" s="576" t="str">
        <f t="shared" si="611"/>
        <v/>
      </c>
      <c r="E60" s="580" t="str">
        <f t="shared" ref="E60:K60" si="612">R215</f>
        <v/>
      </c>
      <c r="F60" s="572" t="str">
        <f t="shared" si="612"/>
        <v/>
      </c>
      <c r="G60" s="579" t="str">
        <f t="shared" si="612"/>
        <v/>
      </c>
      <c r="H60" s="580" t="str">
        <f t="shared" si="612"/>
        <v/>
      </c>
      <c r="I60" s="572" t="str">
        <f t="shared" si="612"/>
        <v/>
      </c>
      <c r="J60" s="483" t="str">
        <f t="shared" si="94"/>
        <v/>
      </c>
      <c r="K60" s="806" t="str">
        <f t="shared" si="612"/>
        <v/>
      </c>
      <c r="L60" s="309"/>
      <c r="M60" s="164" t="str">
        <f t="shared" si="325"/>
        <v/>
      </c>
      <c r="N60" s="575" t="str">
        <f t="shared" si="326"/>
        <v/>
      </c>
      <c r="O60" s="572" t="str">
        <f t="shared" si="327"/>
        <v/>
      </c>
      <c r="P60" s="576" t="str">
        <f t="shared" si="328"/>
        <v/>
      </c>
      <c r="Q60" s="528" t="str">
        <f t="shared" si="144"/>
        <v/>
      </c>
      <c r="R60" s="572" t="str">
        <f t="shared" si="95"/>
        <v/>
      </c>
      <c r="S60" s="577" t="str">
        <f t="shared" si="96"/>
        <v/>
      </c>
      <c r="T60" s="578" t="str">
        <f t="shared" si="97"/>
        <v/>
      </c>
      <c r="U60" s="572" t="str">
        <f t="shared" si="98"/>
        <v/>
      </c>
      <c r="V60" s="579" t="str">
        <f t="shared" si="145"/>
        <v/>
      </c>
      <c r="W60" s="528" t="str">
        <f t="shared" si="268"/>
        <v/>
      </c>
      <c r="X60" s="572" t="str">
        <f t="shared" si="99"/>
        <v/>
      </c>
      <c r="Y60" s="573" t="str">
        <f t="shared" si="271"/>
        <v/>
      </c>
      <c r="Z60" s="575" t="str">
        <f t="shared" si="329"/>
        <v/>
      </c>
      <c r="AA60" s="572" t="str">
        <f t="shared" si="330"/>
        <v/>
      </c>
      <c r="AB60" s="572" t="str">
        <f t="shared" si="331"/>
        <v/>
      </c>
      <c r="AC60" s="579" t="str">
        <f t="shared" si="100"/>
        <v/>
      </c>
      <c r="AD60" s="580" t="str">
        <f t="shared" si="146"/>
        <v/>
      </c>
      <c r="AE60" s="572" t="str">
        <f t="shared" si="101"/>
        <v/>
      </c>
      <c r="AF60" s="576" t="str">
        <f t="shared" si="102"/>
        <v/>
      </c>
      <c r="AG60" s="545" t="str">
        <f t="shared" si="103"/>
        <v/>
      </c>
      <c r="AH60" s="546" t="str">
        <f t="shared" si="104"/>
        <v/>
      </c>
      <c r="AI60" s="528" t="str">
        <f t="shared" si="105"/>
        <v/>
      </c>
      <c r="AJ60" s="529" t="str">
        <f t="shared" si="106"/>
        <v/>
      </c>
      <c r="AK60" s="578" t="str">
        <f t="shared" si="247"/>
        <v/>
      </c>
      <c r="AL60" s="572" t="str">
        <f t="shared" si="107"/>
        <v/>
      </c>
      <c r="AM60" s="577" t="str">
        <f t="shared" si="108"/>
        <v/>
      </c>
      <c r="AN60" s="524" t="str">
        <f t="shared" si="109"/>
        <v/>
      </c>
      <c r="AO60" s="525" t="str">
        <f t="shared" si="604"/>
        <v/>
      </c>
      <c r="AP60" s="528" t="str">
        <f t="shared" si="111"/>
        <v/>
      </c>
      <c r="AQ60" s="529" t="str">
        <f t="shared" si="332"/>
        <v/>
      </c>
      <c r="AR60" s="979"/>
      <c r="AS60" s="954" t="str">
        <f t="shared" si="524"/>
        <v/>
      </c>
      <c r="AT60" s="950" t="str">
        <f t="shared" si="333"/>
        <v/>
      </c>
      <c r="AU60" s="418"/>
      <c r="AV60" s="164" t="str">
        <f t="shared" si="334"/>
        <v/>
      </c>
      <c r="AW60" s="797" t="str">
        <f>IFERROR(INDEX(MassProp!C$9:C$150,MATCH($M60,MassProp!$B$9:$B$150,0)),"")</f>
        <v/>
      </c>
      <c r="AX60" s="744" t="str">
        <f>IFERROR(INDEX(MassProp!D$9:D$150,MATCH($M60,MassProp!$B$9:$B$150,0)),"")</f>
        <v/>
      </c>
      <c r="AY60" s="731" t="str">
        <f>IFERROR(INDEX(MassProp!E$9:E$150,MATCH($M60,MassProp!$B$9:$B$150,0)),"")</f>
        <v/>
      </c>
      <c r="AZ60" s="297" t="str">
        <f t="shared" si="148"/>
        <v/>
      </c>
      <c r="BA60" s="296" t="str">
        <f t="shared" si="336"/>
        <v/>
      </c>
      <c r="BB60" s="177" t="str">
        <f t="shared" si="149"/>
        <v/>
      </c>
      <c r="BC60" s="9"/>
      <c r="BD60" s="5" t="str">
        <f t="shared" si="150"/>
        <v/>
      </c>
      <c r="BE60" s="6" t="str">
        <f t="shared" si="338"/>
        <v/>
      </c>
      <c r="BF60" s="4" t="str">
        <f t="shared" si="339"/>
        <v/>
      </c>
      <c r="BG60" s="5" t="str">
        <f t="shared" si="340"/>
        <v/>
      </c>
      <c r="BH60" s="10" t="str">
        <f t="shared" si="341"/>
        <v/>
      </c>
      <c r="BI60" s="9" t="str">
        <f t="shared" si="151"/>
        <v/>
      </c>
      <c r="BJ60" s="5" t="str">
        <f t="shared" si="343"/>
        <v/>
      </c>
      <c r="BK60" s="8" t="str">
        <f t="shared" si="344"/>
        <v/>
      </c>
      <c r="BL60" s="173" t="str">
        <f t="shared" si="345"/>
        <v/>
      </c>
      <c r="BM60" s="5" t="str">
        <f t="shared" si="346"/>
        <v/>
      </c>
      <c r="BN60" s="6" t="str">
        <f t="shared" si="347"/>
        <v/>
      </c>
      <c r="BO60" s="4" t="str">
        <f t="shared" si="152"/>
        <v/>
      </c>
      <c r="BP60" s="5" t="str">
        <f t="shared" si="153"/>
        <v/>
      </c>
      <c r="BQ60" s="5" t="str">
        <f t="shared" si="154"/>
        <v/>
      </c>
      <c r="BR60" s="6" t="str">
        <f t="shared" si="155"/>
        <v/>
      </c>
      <c r="BS60" s="4" t="str">
        <f t="shared" si="568"/>
        <v/>
      </c>
      <c r="BT60" s="5" t="str">
        <f t="shared" si="568"/>
        <v/>
      </c>
      <c r="BU60" s="10" t="str">
        <f t="shared" si="113"/>
        <v/>
      </c>
      <c r="BV60" s="9" t="str">
        <f t="shared" si="114"/>
        <v/>
      </c>
      <c r="BW60" s="5" t="str">
        <f t="shared" si="115"/>
        <v/>
      </c>
      <c r="BX60" s="8" t="str">
        <f t="shared" si="116"/>
        <v/>
      </c>
      <c r="BY60" s="173" t="str">
        <f t="shared" si="117"/>
        <v/>
      </c>
      <c r="BZ60" s="5" t="str">
        <f t="shared" si="118"/>
        <v/>
      </c>
      <c r="CA60" s="6" t="str">
        <f t="shared" si="119"/>
        <v/>
      </c>
      <c r="CB60" s="4" t="str">
        <f t="shared" si="156"/>
        <v/>
      </c>
      <c r="CC60" s="5" t="str">
        <f t="shared" si="157"/>
        <v/>
      </c>
      <c r="CD60" s="5" t="str">
        <f t="shared" si="158"/>
        <v/>
      </c>
      <c r="CE60" s="6" t="str">
        <f t="shared" si="159"/>
        <v/>
      </c>
      <c r="CF60" s="4" t="str">
        <f t="shared" si="160"/>
        <v/>
      </c>
      <c r="CG60" s="5" t="str">
        <f t="shared" si="161"/>
        <v/>
      </c>
      <c r="CH60" s="5" t="str">
        <f t="shared" si="162"/>
        <v/>
      </c>
      <c r="CI60" s="4" t="str">
        <f t="shared" si="120"/>
        <v/>
      </c>
      <c r="CJ60" s="5" t="str">
        <f t="shared" si="121"/>
        <v/>
      </c>
      <c r="CK60" s="8" t="str">
        <f t="shared" si="122"/>
        <v/>
      </c>
      <c r="CL60" s="173" t="str">
        <f t="shared" si="123"/>
        <v/>
      </c>
      <c r="CM60" s="5" t="str">
        <f t="shared" si="124"/>
        <v/>
      </c>
      <c r="CN60" s="6" t="str">
        <f t="shared" si="125"/>
        <v/>
      </c>
      <c r="CO60" s="167" t="str">
        <f t="shared" si="364"/>
        <v/>
      </c>
      <c r="CP60" s="4" t="str">
        <f t="shared" si="248"/>
        <v/>
      </c>
      <c r="CQ60" s="5" t="str">
        <f t="shared" si="249"/>
        <v/>
      </c>
      <c r="CR60" s="5" t="str">
        <f t="shared" si="163"/>
        <v/>
      </c>
      <c r="CS60" s="8" t="str">
        <f t="shared" si="164"/>
        <v/>
      </c>
      <c r="CT60" s="9" t="str">
        <f t="shared" si="165"/>
        <v/>
      </c>
      <c r="CU60" s="6" t="str">
        <f t="shared" si="166"/>
        <v/>
      </c>
      <c r="CV60" s="4" t="str">
        <f t="shared" si="250"/>
        <v/>
      </c>
      <c r="CW60" s="5" t="str">
        <f t="shared" si="167"/>
        <v/>
      </c>
      <c r="CX60" s="8" t="str">
        <f t="shared" si="168"/>
        <v/>
      </c>
      <c r="CY60" s="9" t="str">
        <f t="shared" si="169"/>
        <v/>
      </c>
      <c r="CZ60" s="5" t="str">
        <f t="shared" si="170"/>
        <v/>
      </c>
      <c r="DA60" s="6" t="str">
        <f t="shared" si="171"/>
        <v/>
      </c>
      <c r="DB60" s="4" t="str">
        <f t="shared" si="569"/>
        <v/>
      </c>
      <c r="DC60" s="5" t="str">
        <f t="shared" si="569"/>
        <v/>
      </c>
      <c r="DD60" s="10" t="str">
        <f t="shared" si="173"/>
        <v/>
      </c>
      <c r="DE60" s="9" t="str">
        <f t="shared" si="570"/>
        <v/>
      </c>
      <c r="DF60" s="5" t="str">
        <f t="shared" si="570"/>
        <v/>
      </c>
      <c r="DG60" s="10" t="str">
        <f t="shared" si="175"/>
        <v/>
      </c>
      <c r="DH60" s="70" t="str">
        <f t="shared" si="176"/>
        <v/>
      </c>
      <c r="DI60" s="4" t="str">
        <f t="shared" si="177"/>
        <v/>
      </c>
      <c r="DJ60" s="5" t="str">
        <f t="shared" si="178"/>
        <v/>
      </c>
      <c r="DK60" s="10" t="str">
        <f t="shared" si="179"/>
        <v/>
      </c>
      <c r="DL60" s="9" t="str">
        <f t="shared" si="180"/>
        <v/>
      </c>
      <c r="DM60" s="173" t="str">
        <f t="shared" si="181"/>
        <v/>
      </c>
      <c r="DN60" s="178" t="str">
        <f t="shared" si="182"/>
        <v/>
      </c>
      <c r="DO60" s="9" t="str">
        <f t="shared" si="183"/>
        <v/>
      </c>
      <c r="DP60" s="173" t="str">
        <f t="shared" si="184"/>
        <v/>
      </c>
      <c r="DQ60" s="11" t="str">
        <f t="shared" si="185"/>
        <v/>
      </c>
      <c r="DR60" s="173" t="str">
        <f t="shared" si="186"/>
        <v/>
      </c>
      <c r="DS60" s="5" t="str">
        <f t="shared" si="187"/>
        <v/>
      </c>
      <c r="DT60" s="5" t="str">
        <f t="shared" si="188"/>
        <v/>
      </c>
      <c r="DU60" s="5" t="str">
        <f t="shared" si="189"/>
        <v/>
      </c>
      <c r="DV60" s="5" t="str">
        <f t="shared" si="190"/>
        <v/>
      </c>
      <c r="DW60" s="5" t="str">
        <f t="shared" si="191"/>
        <v/>
      </c>
      <c r="DX60" s="167" t="str">
        <f t="shared" si="192"/>
        <v/>
      </c>
      <c r="DY60" s="9" t="str">
        <f t="shared" si="193"/>
        <v/>
      </c>
      <c r="DZ60" s="5" t="str">
        <f t="shared" si="194"/>
        <v/>
      </c>
      <c r="EA60" s="10" t="str">
        <f t="shared" si="195"/>
        <v/>
      </c>
      <c r="EB60" s="6" t="str">
        <f t="shared" si="196"/>
        <v/>
      </c>
      <c r="EC60" s="173" t="str">
        <f t="shared" si="197"/>
        <v/>
      </c>
      <c r="ED60" s="5" t="str">
        <f t="shared" si="198"/>
        <v/>
      </c>
      <c r="EE60" s="4" t="str">
        <f t="shared" si="199"/>
        <v/>
      </c>
      <c r="EF60" s="5" t="str">
        <f t="shared" si="200"/>
        <v/>
      </c>
      <c r="EG60" s="10" t="str">
        <f t="shared" si="201"/>
        <v/>
      </c>
      <c r="EH60" s="9" t="str">
        <f t="shared" si="202"/>
        <v/>
      </c>
      <c r="EI60" s="5" t="str">
        <f t="shared" si="203"/>
        <v/>
      </c>
      <c r="EJ60" s="6" t="str">
        <f t="shared" si="204"/>
        <v/>
      </c>
      <c r="EK60" s="236" t="str">
        <f t="shared" si="205"/>
        <v/>
      </c>
      <c r="EL60" s="238" t="str">
        <f t="shared" si="206"/>
        <v/>
      </c>
      <c r="EM60" s="4" t="str">
        <f t="shared" si="207"/>
        <v/>
      </c>
      <c r="EN60" s="5" t="str">
        <f t="shared" si="208"/>
        <v/>
      </c>
      <c r="EO60" s="10" t="str">
        <f t="shared" si="209"/>
        <v/>
      </c>
      <c r="EP60" s="9" t="str">
        <f t="shared" si="210"/>
        <v/>
      </c>
      <c r="EQ60" s="5" t="str">
        <f t="shared" si="211"/>
        <v/>
      </c>
      <c r="ER60" s="7" t="str">
        <f t="shared" si="212"/>
        <v/>
      </c>
      <c r="ES60" s="21" t="str">
        <f t="shared" si="411"/>
        <v/>
      </c>
      <c r="ET60" s="5" t="str">
        <f t="shared" si="412"/>
        <v/>
      </c>
      <c r="EU60" s="10" t="str">
        <f t="shared" si="413"/>
        <v/>
      </c>
      <c r="EV60" s="174" t="str">
        <f t="shared" si="571"/>
        <v/>
      </c>
      <c r="EW60" s="9" t="str">
        <f t="shared" si="572"/>
        <v/>
      </c>
      <c r="EX60" s="5" t="str">
        <f t="shared" si="573"/>
        <v/>
      </c>
      <c r="EY60" s="6" t="str">
        <f t="shared" si="213"/>
        <v/>
      </c>
      <c r="EZ60" s="51" t="str">
        <f t="shared" si="214"/>
        <v/>
      </c>
      <c r="FA60" s="173" t="str">
        <f t="shared" si="574"/>
        <v/>
      </c>
      <c r="FB60" s="5" t="str">
        <f t="shared" si="575"/>
        <v/>
      </c>
      <c r="FC60" s="6" t="str">
        <f t="shared" si="576"/>
        <v/>
      </c>
      <c r="FD60" s="4" t="str">
        <f t="shared" si="577"/>
        <v/>
      </c>
      <c r="FE60" s="5" t="str">
        <f t="shared" si="578"/>
        <v/>
      </c>
      <c r="FF60" s="7" t="str">
        <f t="shared" si="215"/>
        <v/>
      </c>
      <c r="FG60" s="173" t="str">
        <f t="shared" si="579"/>
        <v/>
      </c>
      <c r="FH60" s="5" t="str">
        <f t="shared" si="580"/>
        <v/>
      </c>
      <c r="FI60" s="10" t="str">
        <f t="shared" si="581"/>
        <v/>
      </c>
      <c r="FJ60" s="279" t="str">
        <f t="shared" si="217"/>
        <v/>
      </c>
      <c r="FK60" s="4" t="str">
        <f t="shared" si="582"/>
        <v/>
      </c>
      <c r="FL60" s="5" t="str">
        <f t="shared" si="218"/>
        <v/>
      </c>
      <c r="FM60" s="8" t="str">
        <f t="shared" si="219"/>
        <v/>
      </c>
      <c r="FN60" s="9" t="str">
        <f t="shared" si="220"/>
        <v/>
      </c>
      <c r="FO60" s="10" t="str">
        <f t="shared" si="583"/>
        <v/>
      </c>
      <c r="FP60" s="277" t="str">
        <f t="shared" si="584"/>
        <v/>
      </c>
      <c r="FQ60" s="173" t="str">
        <f t="shared" si="251"/>
        <v/>
      </c>
      <c r="FR60" s="10" t="str">
        <f t="shared" si="221"/>
        <v/>
      </c>
      <c r="FS60" s="9" t="str">
        <f t="shared" si="222"/>
        <v/>
      </c>
      <c r="FT60" s="6" t="str">
        <f t="shared" si="223"/>
        <v/>
      </c>
      <c r="FU60" s="4" t="str">
        <f t="shared" si="224"/>
        <v/>
      </c>
      <c r="FV60" s="5" t="str">
        <f t="shared" si="225"/>
        <v/>
      </c>
      <c r="FW60" s="8" t="str">
        <f t="shared" si="252"/>
        <v/>
      </c>
      <c r="FX60" s="9" t="str">
        <f t="shared" si="253"/>
        <v/>
      </c>
      <c r="FY60" s="10" t="str">
        <f t="shared" si="585"/>
        <v/>
      </c>
      <c r="FZ60" s="277" t="str">
        <f t="shared" si="254"/>
        <v/>
      </c>
      <c r="GA60" s="177" t="str">
        <f t="shared" si="226"/>
        <v/>
      </c>
      <c r="GB60" s="4" t="str">
        <f t="shared" si="227"/>
        <v/>
      </c>
      <c r="GC60" s="5" t="str">
        <f t="shared" si="228"/>
        <v/>
      </c>
      <c r="GD60" s="10" t="str">
        <f t="shared" si="229"/>
        <v/>
      </c>
      <c r="GE60" s="311" t="str">
        <f t="shared" si="230"/>
        <v/>
      </c>
      <c r="GF60" s="341" t="str">
        <f t="shared" si="255"/>
        <v/>
      </c>
      <c r="GG60" s="285" t="str">
        <f t="shared" si="586"/>
        <v/>
      </c>
      <c r="GH60" s="286" t="str">
        <f t="shared" si="587"/>
        <v/>
      </c>
      <c r="GI60" s="281" t="str">
        <f t="shared" si="588"/>
        <v/>
      </c>
      <c r="GJ60" s="167" t="str">
        <f t="shared" si="231"/>
        <v/>
      </c>
      <c r="GK60" s="174" t="str">
        <f t="shared" si="589"/>
        <v/>
      </c>
      <c r="GL60" s="174" t="str">
        <f t="shared" si="232"/>
        <v/>
      </c>
      <c r="GM60" s="177" t="str">
        <f t="shared" si="256"/>
        <v/>
      </c>
      <c r="GN60" s="280" t="str">
        <f t="shared" si="233"/>
        <v/>
      </c>
      <c r="GO60" s="4" t="str">
        <f t="shared" si="234"/>
        <v/>
      </c>
      <c r="GP60" s="8" t="str">
        <f t="shared" si="257"/>
        <v/>
      </c>
      <c r="GQ60" s="177" t="str">
        <f t="shared" si="235"/>
        <v/>
      </c>
      <c r="GR60" s="371" t="str">
        <f t="shared" si="258"/>
        <v/>
      </c>
      <c r="GS60" s="342" t="str">
        <f t="shared" si="590"/>
        <v/>
      </c>
      <c r="GT60" s="343" t="str">
        <f t="shared" si="591"/>
        <v/>
      </c>
      <c r="GU60" s="344" t="str">
        <f t="shared" si="592"/>
        <v/>
      </c>
      <c r="GV60" s="343" t="str">
        <f t="shared" si="265"/>
        <v/>
      </c>
      <c r="GW60" s="345" t="str">
        <f t="shared" si="593"/>
        <v/>
      </c>
      <c r="GX60" s="346" t="str">
        <f t="shared" si="594"/>
        <v/>
      </c>
      <c r="GY60" s="344" t="str">
        <f t="shared" si="595"/>
        <v/>
      </c>
      <c r="GZ60" s="345" t="str">
        <f t="shared" si="596"/>
        <v/>
      </c>
      <c r="HA60" s="342" t="str">
        <f t="shared" si="597"/>
        <v/>
      </c>
      <c r="HB60" s="5" t="str">
        <f t="shared" si="236"/>
        <v/>
      </c>
      <c r="HC60" s="343" t="str">
        <f t="shared" si="237"/>
        <v/>
      </c>
      <c r="HD60" s="363" t="str">
        <f t="shared" si="238"/>
        <v/>
      </c>
      <c r="HE60" s="344" t="str">
        <f t="shared" si="598"/>
        <v/>
      </c>
      <c r="HF60" s="5" t="str">
        <f t="shared" si="599"/>
        <v/>
      </c>
      <c r="HG60" s="343" t="str">
        <f t="shared" si="239"/>
        <v/>
      </c>
      <c r="HH60" s="349" t="str">
        <f t="shared" si="240"/>
        <v/>
      </c>
      <c r="HI60" s="317" t="str">
        <f t="shared" si="467"/>
        <v/>
      </c>
      <c r="HK60" s="310" t="str">
        <f t="shared" si="520"/>
        <v/>
      </c>
      <c r="HL60" s="348" t="str">
        <f t="shared" si="468"/>
        <v/>
      </c>
      <c r="HM60" s="923" t="str">
        <f t="shared" si="469"/>
        <v/>
      </c>
      <c r="HN60" s="924" t="str">
        <f t="shared" si="470"/>
        <v/>
      </c>
      <c r="HO60" s="925"/>
      <c r="HP60" s="926"/>
      <c r="HQ60" s="924" t="str">
        <f t="shared" si="471"/>
        <v/>
      </c>
      <c r="HR60" s="927" t="str">
        <f t="shared" si="472"/>
        <v/>
      </c>
      <c r="HS60" s="879" t="str">
        <f t="shared" si="521"/>
        <v/>
      </c>
      <c r="HT60" s="889" t="str">
        <f t="shared" si="473"/>
        <v/>
      </c>
      <c r="HU60" s="890" t="str">
        <f t="shared" si="474"/>
        <v/>
      </c>
      <c r="HV60" s="886" t="str">
        <f t="shared" si="475"/>
        <v/>
      </c>
      <c r="HW60" s="880" t="str">
        <f t="shared" si="476"/>
        <v/>
      </c>
      <c r="HX60" s="881" t="str">
        <f t="shared" si="477"/>
        <v/>
      </c>
      <c r="HY60" s="880" t="str">
        <f t="shared" si="478"/>
        <v/>
      </c>
      <c r="HZ60" s="882" t="str">
        <f t="shared" si="479"/>
        <v/>
      </c>
      <c r="IA60" s="883" t="str">
        <f t="shared" si="480"/>
        <v/>
      </c>
      <c r="IB60" s="884" t="str">
        <f t="shared" si="481"/>
        <v/>
      </c>
      <c r="IC60" s="855" t="str">
        <f t="shared" si="482"/>
        <v/>
      </c>
      <c r="ID60" s="351" t="str">
        <f t="shared" si="483"/>
        <v/>
      </c>
      <c r="IE60" s="857" t="str">
        <f t="shared" si="484"/>
        <v/>
      </c>
      <c r="IF60" s="858"/>
      <c r="IG60" s="790" t="str">
        <f>IFERROR(IF($IW60="","",IF($IW60&lt;(((Settings!$C$19/2)*-1)*$IG$8),"Taper","Nose")),"")</f>
        <v/>
      </c>
      <c r="IH60" s="482" t="str">
        <f>IFERROR(IF((((($IY60*COS(RADIANS(180-$JA60)))*COS(RADIANS($JA60)))-(($IZ60*SIN(RADIANS(180-$JA60)))*SIN(RADIANS($JA60))))+$IW60)&lt;(((Settings!$C$19+$IH$8)/2)*-1),"Gage",""),"")</f>
        <v/>
      </c>
      <c r="II60" s="788" t="str">
        <f t="shared" si="241"/>
        <v/>
      </c>
      <c r="IJ60" s="674" t="str" cm="1">
        <f t="array" ref="IJ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K60" s="677" t="str" cm="1">
        <f t="array" ref="IK60">IFERROR(ROUND(VALUE(IF($IJ60&lt;1,$IJ60+LARGE((IF($M$9:$M$150="",0,$M$9:$M$150)-MOD(IF($M$9:$M$150="",0,$M$9:$M$150),1)),1),$IJ60)),4),"")</f>
        <v/>
      </c>
      <c r="IL60" s="482" t="str">
        <f t="shared" si="485"/>
        <v/>
      </c>
      <c r="IM60" s="482" t="str">
        <f t="shared" si="242"/>
        <v/>
      </c>
      <c r="IN60" s="670" t="str">
        <f t="shared" si="486"/>
        <v/>
      </c>
      <c r="IO60" s="702"/>
      <c r="IP60" s="5" t="str">
        <f t="shared" si="487"/>
        <v/>
      </c>
      <c r="IQ60" s="714"/>
      <c r="IR60" s="9" t="str">
        <f t="shared" si="488"/>
        <v/>
      </c>
      <c r="IS60" s="5" t="str">
        <f t="shared" si="489"/>
        <v/>
      </c>
      <c r="IT60" s="5" t="str">
        <f t="shared" si="490"/>
        <v/>
      </c>
      <c r="IU60" s="5" t="str">
        <f t="shared" si="491"/>
        <v/>
      </c>
      <c r="IV60" s="670" t="str">
        <f t="shared" si="492"/>
        <v/>
      </c>
      <c r="IW60" s="9" t="str">
        <f t="shared" si="493"/>
        <v/>
      </c>
      <c r="IX60" s="5" t="str">
        <f t="shared" si="494"/>
        <v/>
      </c>
      <c r="IY60" s="5" t="str">
        <f t="shared" si="495"/>
        <v/>
      </c>
      <c r="IZ60" s="5" t="str">
        <f t="shared" si="496"/>
        <v/>
      </c>
      <c r="JA60" s="705" t="str">
        <f t="shared" si="497"/>
        <v/>
      </c>
      <c r="JM60" s="489" t="e">
        <f t="shared" si="133"/>
        <v>#VALUE!</v>
      </c>
      <c r="JN60" s="960" t="e">
        <f>($JO60-SMALL($JO$9:$JO$88,1))/((Settings!$C$19/2)-((Settings!$C$19/2)-LARGE($JO$9:$JO$88,1))-SMALL($JO$9:$JO$88,1))</f>
        <v>#VALUE!</v>
      </c>
      <c r="JO60" s="162" t="str">
        <f t="shared" si="134"/>
        <v/>
      </c>
      <c r="JP60" s="961" t="str">
        <f t="shared" si="135"/>
        <v/>
      </c>
      <c r="JQ60" s="961" t="str">
        <f t="shared" si="136"/>
        <v/>
      </c>
      <c r="JU60" s="962"/>
      <c r="JV60" s="959"/>
      <c r="JW60" s="959"/>
    </row>
    <row r="61" spans="1:284" ht="15" customHeight="1" x14ac:dyDescent="0.25">
      <c r="A61" s="75" t="str">
        <f t="shared" si="322"/>
        <v/>
      </c>
      <c r="B61" s="578" t="str">
        <f t="shared" ref="B61:D61" si="613">IFERROR(O216+($A61*-E61),"")</f>
        <v/>
      </c>
      <c r="C61" s="572" t="str">
        <f t="shared" si="613"/>
        <v/>
      </c>
      <c r="D61" s="576" t="str">
        <f t="shared" si="613"/>
        <v/>
      </c>
      <c r="E61" s="580" t="str">
        <f t="shared" ref="E61:K61" si="614">R216</f>
        <v/>
      </c>
      <c r="F61" s="572" t="str">
        <f t="shared" si="614"/>
        <v/>
      </c>
      <c r="G61" s="579" t="str">
        <f t="shared" si="614"/>
        <v/>
      </c>
      <c r="H61" s="580" t="str">
        <f t="shared" si="614"/>
        <v/>
      </c>
      <c r="I61" s="572" t="str">
        <f t="shared" si="614"/>
        <v/>
      </c>
      <c r="J61" s="483" t="str">
        <f t="shared" si="94"/>
        <v/>
      </c>
      <c r="K61" s="806" t="str">
        <f t="shared" si="614"/>
        <v/>
      </c>
      <c r="L61" s="309"/>
      <c r="M61" s="164" t="str">
        <f t="shared" si="325"/>
        <v/>
      </c>
      <c r="N61" s="575" t="str">
        <f t="shared" si="326"/>
        <v/>
      </c>
      <c r="O61" s="572" t="str">
        <f t="shared" si="327"/>
        <v/>
      </c>
      <c r="P61" s="576" t="str">
        <f t="shared" si="328"/>
        <v/>
      </c>
      <c r="Q61" s="528" t="str">
        <f t="shared" si="144"/>
        <v/>
      </c>
      <c r="R61" s="572" t="str">
        <f t="shared" si="95"/>
        <v/>
      </c>
      <c r="S61" s="577" t="str">
        <f t="shared" si="96"/>
        <v/>
      </c>
      <c r="T61" s="578" t="str">
        <f t="shared" si="97"/>
        <v/>
      </c>
      <c r="U61" s="572" t="str">
        <f t="shared" si="98"/>
        <v/>
      </c>
      <c r="V61" s="579" t="str">
        <f t="shared" si="145"/>
        <v/>
      </c>
      <c r="W61" s="528" t="str">
        <f t="shared" si="268"/>
        <v/>
      </c>
      <c r="X61" s="572" t="str">
        <f t="shared" si="99"/>
        <v/>
      </c>
      <c r="Y61" s="573" t="str">
        <f t="shared" si="271"/>
        <v/>
      </c>
      <c r="Z61" s="575" t="str">
        <f t="shared" si="329"/>
        <v/>
      </c>
      <c r="AA61" s="572" t="str">
        <f t="shared" si="330"/>
        <v/>
      </c>
      <c r="AB61" s="572" t="str">
        <f t="shared" si="331"/>
        <v/>
      </c>
      <c r="AC61" s="579" t="str">
        <f t="shared" si="100"/>
        <v/>
      </c>
      <c r="AD61" s="580" t="str">
        <f t="shared" si="146"/>
        <v/>
      </c>
      <c r="AE61" s="572" t="str">
        <f t="shared" si="101"/>
        <v/>
      </c>
      <c r="AF61" s="576" t="str">
        <f t="shared" si="102"/>
        <v/>
      </c>
      <c r="AG61" s="545" t="str">
        <f t="shared" si="103"/>
        <v/>
      </c>
      <c r="AH61" s="546" t="str">
        <f t="shared" si="104"/>
        <v/>
      </c>
      <c r="AI61" s="528" t="str">
        <f t="shared" si="105"/>
        <v/>
      </c>
      <c r="AJ61" s="529" t="str">
        <f t="shared" si="106"/>
        <v/>
      </c>
      <c r="AK61" s="578" t="str">
        <f t="shared" si="247"/>
        <v/>
      </c>
      <c r="AL61" s="572" t="str">
        <f t="shared" si="107"/>
        <v/>
      </c>
      <c r="AM61" s="577" t="str">
        <f t="shared" si="108"/>
        <v/>
      </c>
      <c r="AN61" s="524" t="str">
        <f t="shared" si="109"/>
        <v/>
      </c>
      <c r="AO61" s="525" t="str">
        <f t="shared" si="604"/>
        <v/>
      </c>
      <c r="AP61" s="528" t="str">
        <f t="shared" si="111"/>
        <v/>
      </c>
      <c r="AQ61" s="529" t="str">
        <f t="shared" si="332"/>
        <v/>
      </c>
      <c r="AR61" s="979"/>
      <c r="AS61" s="954" t="str">
        <f t="shared" si="524"/>
        <v/>
      </c>
      <c r="AT61" s="950" t="str">
        <f t="shared" si="333"/>
        <v/>
      </c>
      <c r="AU61" s="418"/>
      <c r="AV61" s="164" t="str">
        <f t="shared" si="334"/>
        <v/>
      </c>
      <c r="AW61" s="797" t="str">
        <f>IFERROR(INDEX(MassProp!C$9:C$150,MATCH($M61,MassProp!$B$9:$B$150,0)),"")</f>
        <v/>
      </c>
      <c r="AX61" s="744" t="str">
        <f>IFERROR(INDEX(MassProp!D$9:D$150,MATCH($M61,MassProp!$B$9:$B$150,0)),"")</f>
        <v/>
      </c>
      <c r="AY61" s="731" t="str">
        <f>IFERROR(INDEX(MassProp!E$9:E$150,MATCH($M61,MassProp!$B$9:$B$150,0)),"")</f>
        <v/>
      </c>
      <c r="AZ61" s="297" t="str">
        <f t="shared" si="148"/>
        <v/>
      </c>
      <c r="BA61" s="296" t="str">
        <f t="shared" si="336"/>
        <v/>
      </c>
      <c r="BB61" s="177" t="str">
        <f t="shared" si="149"/>
        <v/>
      </c>
      <c r="BC61" s="9"/>
      <c r="BD61" s="5" t="str">
        <f t="shared" si="150"/>
        <v/>
      </c>
      <c r="BE61" s="6" t="str">
        <f t="shared" si="338"/>
        <v/>
      </c>
      <c r="BF61" s="4" t="str">
        <f t="shared" si="339"/>
        <v/>
      </c>
      <c r="BG61" s="5" t="str">
        <f t="shared" si="340"/>
        <v/>
      </c>
      <c r="BH61" s="10" t="str">
        <f t="shared" si="341"/>
        <v/>
      </c>
      <c r="BI61" s="9" t="str">
        <f t="shared" si="151"/>
        <v/>
      </c>
      <c r="BJ61" s="5" t="str">
        <f t="shared" si="343"/>
        <v/>
      </c>
      <c r="BK61" s="8" t="str">
        <f t="shared" si="344"/>
        <v/>
      </c>
      <c r="BL61" s="173" t="str">
        <f t="shared" si="345"/>
        <v/>
      </c>
      <c r="BM61" s="5" t="str">
        <f t="shared" si="346"/>
        <v/>
      </c>
      <c r="BN61" s="6" t="str">
        <f t="shared" si="347"/>
        <v/>
      </c>
      <c r="BO61" s="4" t="str">
        <f t="shared" si="152"/>
        <v/>
      </c>
      <c r="BP61" s="5" t="str">
        <f t="shared" si="153"/>
        <v/>
      </c>
      <c r="BQ61" s="5" t="str">
        <f t="shared" si="154"/>
        <v/>
      </c>
      <c r="BR61" s="6" t="str">
        <f t="shared" si="155"/>
        <v/>
      </c>
      <c r="BS61" s="4" t="str">
        <f t="shared" si="568"/>
        <v/>
      </c>
      <c r="BT61" s="5" t="str">
        <f t="shared" si="568"/>
        <v/>
      </c>
      <c r="BU61" s="10" t="str">
        <f t="shared" si="113"/>
        <v/>
      </c>
      <c r="BV61" s="9" t="str">
        <f t="shared" si="114"/>
        <v/>
      </c>
      <c r="BW61" s="5" t="str">
        <f t="shared" si="115"/>
        <v/>
      </c>
      <c r="BX61" s="8" t="str">
        <f t="shared" si="116"/>
        <v/>
      </c>
      <c r="BY61" s="173" t="str">
        <f t="shared" si="117"/>
        <v/>
      </c>
      <c r="BZ61" s="5" t="str">
        <f t="shared" si="118"/>
        <v/>
      </c>
      <c r="CA61" s="6" t="str">
        <f t="shared" si="119"/>
        <v/>
      </c>
      <c r="CB61" s="4" t="str">
        <f t="shared" si="156"/>
        <v/>
      </c>
      <c r="CC61" s="5" t="str">
        <f t="shared" si="157"/>
        <v/>
      </c>
      <c r="CD61" s="5" t="str">
        <f t="shared" si="158"/>
        <v/>
      </c>
      <c r="CE61" s="6" t="str">
        <f t="shared" si="159"/>
        <v/>
      </c>
      <c r="CF61" s="4" t="str">
        <f t="shared" si="160"/>
        <v/>
      </c>
      <c r="CG61" s="5" t="str">
        <f t="shared" si="161"/>
        <v/>
      </c>
      <c r="CH61" s="5" t="str">
        <f t="shared" si="162"/>
        <v/>
      </c>
      <c r="CI61" s="4" t="str">
        <f t="shared" si="120"/>
        <v/>
      </c>
      <c r="CJ61" s="5" t="str">
        <f t="shared" si="121"/>
        <v/>
      </c>
      <c r="CK61" s="8" t="str">
        <f t="shared" si="122"/>
        <v/>
      </c>
      <c r="CL61" s="173" t="str">
        <f t="shared" si="123"/>
        <v/>
      </c>
      <c r="CM61" s="5" t="str">
        <f t="shared" si="124"/>
        <v/>
      </c>
      <c r="CN61" s="6" t="str">
        <f t="shared" si="125"/>
        <v/>
      </c>
      <c r="CO61" s="167" t="str">
        <f t="shared" si="364"/>
        <v/>
      </c>
      <c r="CP61" s="4" t="str">
        <f t="shared" si="248"/>
        <v/>
      </c>
      <c r="CQ61" s="5" t="str">
        <f t="shared" si="249"/>
        <v/>
      </c>
      <c r="CR61" s="5" t="str">
        <f t="shared" si="163"/>
        <v/>
      </c>
      <c r="CS61" s="8" t="str">
        <f t="shared" si="164"/>
        <v/>
      </c>
      <c r="CT61" s="9" t="str">
        <f t="shared" si="165"/>
        <v/>
      </c>
      <c r="CU61" s="6" t="str">
        <f t="shared" si="166"/>
        <v/>
      </c>
      <c r="CV61" s="4" t="str">
        <f t="shared" si="250"/>
        <v/>
      </c>
      <c r="CW61" s="5" t="str">
        <f t="shared" si="167"/>
        <v/>
      </c>
      <c r="CX61" s="8" t="str">
        <f t="shared" si="168"/>
        <v/>
      </c>
      <c r="CY61" s="9" t="str">
        <f t="shared" si="169"/>
        <v/>
      </c>
      <c r="CZ61" s="5" t="str">
        <f t="shared" si="170"/>
        <v/>
      </c>
      <c r="DA61" s="6" t="str">
        <f t="shared" si="171"/>
        <v/>
      </c>
      <c r="DB61" s="4" t="str">
        <f t="shared" si="569"/>
        <v/>
      </c>
      <c r="DC61" s="5" t="str">
        <f t="shared" si="569"/>
        <v/>
      </c>
      <c r="DD61" s="10" t="str">
        <f t="shared" si="173"/>
        <v/>
      </c>
      <c r="DE61" s="9" t="str">
        <f t="shared" si="570"/>
        <v/>
      </c>
      <c r="DF61" s="5" t="str">
        <f t="shared" si="570"/>
        <v/>
      </c>
      <c r="DG61" s="10" t="str">
        <f t="shared" si="175"/>
        <v/>
      </c>
      <c r="DH61" s="70" t="str">
        <f t="shared" si="176"/>
        <v/>
      </c>
      <c r="DI61" s="4" t="str">
        <f t="shared" si="177"/>
        <v/>
      </c>
      <c r="DJ61" s="5" t="str">
        <f t="shared" si="178"/>
        <v/>
      </c>
      <c r="DK61" s="10" t="str">
        <f t="shared" si="179"/>
        <v/>
      </c>
      <c r="DL61" s="9" t="str">
        <f t="shared" si="180"/>
        <v/>
      </c>
      <c r="DM61" s="173" t="str">
        <f t="shared" si="181"/>
        <v/>
      </c>
      <c r="DN61" s="178" t="str">
        <f t="shared" si="182"/>
        <v/>
      </c>
      <c r="DO61" s="9" t="str">
        <f t="shared" si="183"/>
        <v/>
      </c>
      <c r="DP61" s="173" t="str">
        <f t="shared" si="184"/>
        <v/>
      </c>
      <c r="DQ61" s="11" t="str">
        <f t="shared" si="185"/>
        <v/>
      </c>
      <c r="DR61" s="173" t="str">
        <f t="shared" si="186"/>
        <v/>
      </c>
      <c r="DS61" s="5" t="str">
        <f t="shared" si="187"/>
        <v/>
      </c>
      <c r="DT61" s="5" t="str">
        <f t="shared" si="188"/>
        <v/>
      </c>
      <c r="DU61" s="5" t="str">
        <f t="shared" si="189"/>
        <v/>
      </c>
      <c r="DV61" s="5" t="str">
        <f t="shared" si="190"/>
        <v/>
      </c>
      <c r="DW61" s="5" t="str">
        <f t="shared" si="191"/>
        <v/>
      </c>
      <c r="DX61" s="167" t="str">
        <f t="shared" si="192"/>
        <v/>
      </c>
      <c r="DY61" s="9" t="str">
        <f t="shared" si="193"/>
        <v/>
      </c>
      <c r="DZ61" s="5" t="str">
        <f t="shared" si="194"/>
        <v/>
      </c>
      <c r="EA61" s="10" t="str">
        <f t="shared" si="195"/>
        <v/>
      </c>
      <c r="EB61" s="6" t="str">
        <f t="shared" si="196"/>
        <v/>
      </c>
      <c r="EC61" s="173" t="str">
        <f t="shared" si="197"/>
        <v/>
      </c>
      <c r="ED61" s="5" t="str">
        <f t="shared" si="198"/>
        <v/>
      </c>
      <c r="EE61" s="4" t="str">
        <f t="shared" si="199"/>
        <v/>
      </c>
      <c r="EF61" s="5" t="str">
        <f t="shared" si="200"/>
        <v/>
      </c>
      <c r="EG61" s="10" t="str">
        <f t="shared" si="201"/>
        <v/>
      </c>
      <c r="EH61" s="9" t="str">
        <f t="shared" si="202"/>
        <v/>
      </c>
      <c r="EI61" s="5" t="str">
        <f t="shared" si="203"/>
        <v/>
      </c>
      <c r="EJ61" s="6" t="str">
        <f t="shared" si="204"/>
        <v/>
      </c>
      <c r="EK61" s="236" t="str">
        <f t="shared" si="205"/>
        <v/>
      </c>
      <c r="EL61" s="238" t="str">
        <f t="shared" si="206"/>
        <v/>
      </c>
      <c r="EM61" s="4" t="str">
        <f t="shared" si="207"/>
        <v/>
      </c>
      <c r="EN61" s="5" t="str">
        <f t="shared" si="208"/>
        <v/>
      </c>
      <c r="EO61" s="10" t="str">
        <f t="shared" si="209"/>
        <v/>
      </c>
      <c r="EP61" s="9" t="str">
        <f t="shared" si="210"/>
        <v/>
      </c>
      <c r="EQ61" s="5" t="str">
        <f t="shared" si="211"/>
        <v/>
      </c>
      <c r="ER61" s="7" t="str">
        <f t="shared" si="212"/>
        <v/>
      </c>
      <c r="ES61" s="21" t="str">
        <f t="shared" si="411"/>
        <v/>
      </c>
      <c r="ET61" s="5" t="str">
        <f t="shared" si="412"/>
        <v/>
      </c>
      <c r="EU61" s="10" t="str">
        <f t="shared" si="413"/>
        <v/>
      </c>
      <c r="EV61" s="174" t="str">
        <f t="shared" si="571"/>
        <v/>
      </c>
      <c r="EW61" s="9" t="str">
        <f t="shared" si="572"/>
        <v/>
      </c>
      <c r="EX61" s="5" t="str">
        <f t="shared" si="573"/>
        <v/>
      </c>
      <c r="EY61" s="6" t="str">
        <f t="shared" si="213"/>
        <v/>
      </c>
      <c r="EZ61" s="51" t="str">
        <f t="shared" si="214"/>
        <v/>
      </c>
      <c r="FA61" s="173" t="str">
        <f t="shared" si="574"/>
        <v/>
      </c>
      <c r="FB61" s="5" t="str">
        <f t="shared" si="575"/>
        <v/>
      </c>
      <c r="FC61" s="6" t="str">
        <f t="shared" si="576"/>
        <v/>
      </c>
      <c r="FD61" s="4" t="str">
        <f t="shared" si="577"/>
        <v/>
      </c>
      <c r="FE61" s="5" t="str">
        <f t="shared" si="578"/>
        <v/>
      </c>
      <c r="FF61" s="7" t="str">
        <f t="shared" si="215"/>
        <v/>
      </c>
      <c r="FG61" s="173" t="str">
        <f t="shared" si="579"/>
        <v/>
      </c>
      <c r="FH61" s="5" t="str">
        <f t="shared" si="580"/>
        <v/>
      </c>
      <c r="FI61" s="10" t="str">
        <f t="shared" si="581"/>
        <v/>
      </c>
      <c r="FJ61" s="279" t="str">
        <f t="shared" si="217"/>
        <v/>
      </c>
      <c r="FK61" s="4" t="str">
        <f t="shared" si="582"/>
        <v/>
      </c>
      <c r="FL61" s="5" t="str">
        <f t="shared" si="218"/>
        <v/>
      </c>
      <c r="FM61" s="8" t="str">
        <f t="shared" si="219"/>
        <v/>
      </c>
      <c r="FN61" s="9" t="str">
        <f t="shared" si="220"/>
        <v/>
      </c>
      <c r="FO61" s="10" t="str">
        <f t="shared" si="583"/>
        <v/>
      </c>
      <c r="FP61" s="277" t="str">
        <f t="shared" si="584"/>
        <v/>
      </c>
      <c r="FQ61" s="173" t="str">
        <f t="shared" si="251"/>
        <v/>
      </c>
      <c r="FR61" s="10" t="str">
        <f t="shared" si="221"/>
        <v/>
      </c>
      <c r="FS61" s="9" t="str">
        <f t="shared" si="222"/>
        <v/>
      </c>
      <c r="FT61" s="6" t="str">
        <f t="shared" si="223"/>
        <v/>
      </c>
      <c r="FU61" s="4" t="str">
        <f t="shared" si="224"/>
        <v/>
      </c>
      <c r="FV61" s="5" t="str">
        <f t="shared" si="225"/>
        <v/>
      </c>
      <c r="FW61" s="8" t="str">
        <f t="shared" si="252"/>
        <v/>
      </c>
      <c r="FX61" s="9" t="str">
        <f t="shared" si="253"/>
        <v/>
      </c>
      <c r="FY61" s="10" t="str">
        <f t="shared" si="585"/>
        <v/>
      </c>
      <c r="FZ61" s="277" t="str">
        <f t="shared" si="254"/>
        <v/>
      </c>
      <c r="GA61" s="177" t="str">
        <f t="shared" si="226"/>
        <v/>
      </c>
      <c r="GB61" s="4" t="str">
        <f t="shared" si="227"/>
        <v/>
      </c>
      <c r="GC61" s="5" t="str">
        <f t="shared" si="228"/>
        <v/>
      </c>
      <c r="GD61" s="10" t="str">
        <f t="shared" si="229"/>
        <v/>
      </c>
      <c r="GE61" s="311" t="str">
        <f t="shared" si="230"/>
        <v/>
      </c>
      <c r="GF61" s="341" t="str">
        <f t="shared" si="255"/>
        <v/>
      </c>
      <c r="GG61" s="285" t="str">
        <f t="shared" si="586"/>
        <v/>
      </c>
      <c r="GH61" s="286" t="str">
        <f t="shared" si="587"/>
        <v/>
      </c>
      <c r="GI61" s="281" t="str">
        <f t="shared" si="588"/>
        <v/>
      </c>
      <c r="GJ61" s="167" t="str">
        <f t="shared" si="231"/>
        <v/>
      </c>
      <c r="GK61" s="174" t="str">
        <f t="shared" si="589"/>
        <v/>
      </c>
      <c r="GL61" s="174" t="str">
        <f t="shared" si="232"/>
        <v/>
      </c>
      <c r="GM61" s="177" t="str">
        <f t="shared" si="256"/>
        <v/>
      </c>
      <c r="GN61" s="280" t="str">
        <f t="shared" si="233"/>
        <v/>
      </c>
      <c r="GO61" s="4" t="str">
        <f t="shared" si="234"/>
        <v/>
      </c>
      <c r="GP61" s="8" t="str">
        <f t="shared" si="257"/>
        <v/>
      </c>
      <c r="GQ61" s="177" t="str">
        <f t="shared" si="235"/>
        <v/>
      </c>
      <c r="GR61" s="371" t="str">
        <f t="shared" si="258"/>
        <v/>
      </c>
      <c r="GS61" s="342" t="str">
        <f t="shared" si="590"/>
        <v/>
      </c>
      <c r="GT61" s="343" t="str">
        <f t="shared" si="591"/>
        <v/>
      </c>
      <c r="GU61" s="344" t="str">
        <f t="shared" si="592"/>
        <v/>
      </c>
      <c r="GV61" s="343" t="str">
        <f t="shared" si="265"/>
        <v/>
      </c>
      <c r="GW61" s="345" t="str">
        <f t="shared" si="593"/>
        <v/>
      </c>
      <c r="GX61" s="346" t="str">
        <f t="shared" si="594"/>
        <v/>
      </c>
      <c r="GY61" s="344" t="str">
        <f t="shared" si="595"/>
        <v/>
      </c>
      <c r="GZ61" s="345" t="str">
        <f t="shared" si="596"/>
        <v/>
      </c>
      <c r="HA61" s="342" t="str">
        <f t="shared" si="597"/>
        <v/>
      </c>
      <c r="HB61" s="5" t="str">
        <f t="shared" si="236"/>
        <v/>
      </c>
      <c r="HC61" s="343" t="str">
        <f t="shared" si="237"/>
        <v/>
      </c>
      <c r="HD61" s="363" t="str">
        <f t="shared" si="238"/>
        <v/>
      </c>
      <c r="HE61" s="344" t="str">
        <f t="shared" si="598"/>
        <v/>
      </c>
      <c r="HF61" s="5" t="str">
        <f t="shared" si="599"/>
        <v/>
      </c>
      <c r="HG61" s="343" t="str">
        <f t="shared" si="239"/>
        <v/>
      </c>
      <c r="HH61" s="349" t="str">
        <f t="shared" si="240"/>
        <v/>
      </c>
      <c r="HI61" s="317" t="str">
        <f t="shared" si="467"/>
        <v/>
      </c>
      <c r="HK61" s="310" t="str">
        <f t="shared" si="520"/>
        <v/>
      </c>
      <c r="HL61" s="348" t="str">
        <f t="shared" si="468"/>
        <v/>
      </c>
      <c r="HM61" s="923" t="str">
        <f t="shared" si="469"/>
        <v/>
      </c>
      <c r="HN61" s="924" t="str">
        <f t="shared" si="470"/>
        <v/>
      </c>
      <c r="HO61" s="925"/>
      <c r="HP61" s="926"/>
      <c r="HQ61" s="924" t="str">
        <f t="shared" si="471"/>
        <v/>
      </c>
      <c r="HR61" s="927" t="str">
        <f t="shared" si="472"/>
        <v/>
      </c>
      <c r="HS61" s="879" t="str">
        <f t="shared" si="521"/>
        <v/>
      </c>
      <c r="HT61" s="889" t="str">
        <f t="shared" si="473"/>
        <v/>
      </c>
      <c r="HU61" s="890" t="str">
        <f t="shared" si="474"/>
        <v/>
      </c>
      <c r="HV61" s="886" t="str">
        <f t="shared" si="475"/>
        <v/>
      </c>
      <c r="HW61" s="880" t="str">
        <f t="shared" si="476"/>
        <v/>
      </c>
      <c r="HX61" s="881" t="str">
        <f t="shared" si="477"/>
        <v/>
      </c>
      <c r="HY61" s="880" t="str">
        <f t="shared" si="478"/>
        <v/>
      </c>
      <c r="HZ61" s="882" t="str">
        <f t="shared" si="479"/>
        <v/>
      </c>
      <c r="IA61" s="883" t="str">
        <f t="shared" si="480"/>
        <v/>
      </c>
      <c r="IB61" s="884" t="str">
        <f t="shared" si="481"/>
        <v/>
      </c>
      <c r="IC61" s="855" t="str">
        <f t="shared" si="482"/>
        <v/>
      </c>
      <c r="ID61" s="351" t="str">
        <f t="shared" si="483"/>
        <v/>
      </c>
      <c r="IE61" s="857" t="str">
        <f t="shared" si="484"/>
        <v/>
      </c>
      <c r="IF61" s="858"/>
      <c r="IG61" s="790" t="str">
        <f>IFERROR(IF($IW61="","",IF($IW61&lt;(((Settings!$C$19/2)*-1)*$IG$8),"Taper","Nose")),"")</f>
        <v/>
      </c>
      <c r="IH61" s="482" t="str">
        <f>IFERROR(IF((((($IY61*COS(RADIANS(180-$JA61)))*COS(RADIANS($JA61)))-(($IZ61*SIN(RADIANS(180-$JA61)))*SIN(RADIANS($JA61))))+$IW61)&lt;(((Settings!$C$19+$IH$8)/2)*-1),"Gage",""),"")</f>
        <v/>
      </c>
      <c r="II61" s="788" t="str">
        <f t="shared" si="241"/>
        <v/>
      </c>
      <c r="IJ61" s="674" t="str" cm="1">
        <f t="array" ref="IJ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K61" s="677" t="str" cm="1">
        <f t="array" ref="IK61">IFERROR(ROUND(VALUE(IF($IJ61&lt;1,$IJ61+LARGE((IF($M$9:$M$150="",0,$M$9:$M$150)-MOD(IF($M$9:$M$150="",0,$M$9:$M$150),1)),1),$IJ61)),4),"")</f>
        <v/>
      </c>
      <c r="IL61" s="482" t="str">
        <f t="shared" si="485"/>
        <v/>
      </c>
      <c r="IM61" s="482" t="str">
        <f t="shared" si="242"/>
        <v/>
      </c>
      <c r="IN61" s="670" t="str">
        <f t="shared" si="486"/>
        <v/>
      </c>
      <c r="IO61" s="702"/>
      <c r="IP61" s="5" t="str">
        <f t="shared" si="487"/>
        <v/>
      </c>
      <c r="IQ61" s="714"/>
      <c r="IR61" s="9" t="str">
        <f t="shared" si="488"/>
        <v/>
      </c>
      <c r="IS61" s="5" t="str">
        <f t="shared" si="489"/>
        <v/>
      </c>
      <c r="IT61" s="5" t="str">
        <f t="shared" si="490"/>
        <v/>
      </c>
      <c r="IU61" s="5" t="str">
        <f t="shared" si="491"/>
        <v/>
      </c>
      <c r="IV61" s="670" t="str">
        <f t="shared" si="492"/>
        <v/>
      </c>
      <c r="IW61" s="9" t="str">
        <f t="shared" si="493"/>
        <v/>
      </c>
      <c r="IX61" s="5" t="str">
        <f t="shared" si="494"/>
        <v/>
      </c>
      <c r="IY61" s="5" t="str">
        <f t="shared" si="495"/>
        <v/>
      </c>
      <c r="IZ61" s="5" t="str">
        <f t="shared" si="496"/>
        <v/>
      </c>
      <c r="JA61" s="705" t="str">
        <f t="shared" si="497"/>
        <v/>
      </c>
      <c r="JM61" s="489" t="e">
        <f t="shared" si="133"/>
        <v>#VALUE!</v>
      </c>
      <c r="JN61" s="960" t="e">
        <f>($JO61-SMALL($JO$9:$JO$88,1))/((Settings!$C$19/2)-((Settings!$C$19/2)-LARGE($JO$9:$JO$88,1))-SMALL($JO$9:$JO$88,1))</f>
        <v>#VALUE!</v>
      </c>
      <c r="JO61" s="162" t="str">
        <f t="shared" si="134"/>
        <v/>
      </c>
      <c r="JP61" s="961" t="str">
        <f t="shared" si="135"/>
        <v/>
      </c>
      <c r="JQ61" s="961" t="str">
        <f t="shared" si="136"/>
        <v/>
      </c>
      <c r="JU61" s="962"/>
      <c r="JV61" s="959"/>
      <c r="JW61" s="959"/>
    </row>
    <row r="62" spans="1:284" ht="15" customHeight="1" x14ac:dyDescent="0.25">
      <c r="A62" s="75" t="str">
        <f t="shared" si="322"/>
        <v/>
      </c>
      <c r="B62" s="578" t="str">
        <f t="shared" ref="B62:D62" si="615">IFERROR(O217+($A62*-E62),"")</f>
        <v/>
      </c>
      <c r="C62" s="572" t="str">
        <f t="shared" si="615"/>
        <v/>
      </c>
      <c r="D62" s="576" t="str">
        <f t="shared" si="615"/>
        <v/>
      </c>
      <c r="E62" s="580" t="str">
        <f t="shared" ref="E62:K62" si="616">R217</f>
        <v/>
      </c>
      <c r="F62" s="572" t="str">
        <f t="shared" si="616"/>
        <v/>
      </c>
      <c r="G62" s="579" t="str">
        <f t="shared" si="616"/>
        <v/>
      </c>
      <c r="H62" s="580" t="str">
        <f t="shared" si="616"/>
        <v/>
      </c>
      <c r="I62" s="572" t="str">
        <f t="shared" si="616"/>
        <v/>
      </c>
      <c r="J62" s="483" t="str">
        <f t="shared" si="94"/>
        <v/>
      </c>
      <c r="K62" s="806" t="str">
        <f t="shared" si="616"/>
        <v/>
      </c>
      <c r="L62" s="309"/>
      <c r="M62" s="164" t="str">
        <f t="shared" si="325"/>
        <v/>
      </c>
      <c r="N62" s="575" t="str">
        <f t="shared" si="326"/>
        <v/>
      </c>
      <c r="O62" s="572" t="str">
        <f t="shared" si="327"/>
        <v/>
      </c>
      <c r="P62" s="576" t="str">
        <f t="shared" si="328"/>
        <v/>
      </c>
      <c r="Q62" s="528" t="str">
        <f t="shared" si="144"/>
        <v/>
      </c>
      <c r="R62" s="572" t="str">
        <f t="shared" si="95"/>
        <v/>
      </c>
      <c r="S62" s="577" t="str">
        <f t="shared" si="96"/>
        <v/>
      </c>
      <c r="T62" s="578" t="str">
        <f t="shared" si="97"/>
        <v/>
      </c>
      <c r="U62" s="572" t="str">
        <f t="shared" si="98"/>
        <v/>
      </c>
      <c r="V62" s="579" t="str">
        <f t="shared" si="145"/>
        <v/>
      </c>
      <c r="W62" s="528" t="str">
        <f t="shared" si="268"/>
        <v/>
      </c>
      <c r="X62" s="572" t="str">
        <f t="shared" si="99"/>
        <v/>
      </c>
      <c r="Y62" s="573" t="str">
        <f t="shared" si="271"/>
        <v/>
      </c>
      <c r="Z62" s="575" t="str">
        <f t="shared" si="329"/>
        <v/>
      </c>
      <c r="AA62" s="572" t="str">
        <f t="shared" si="330"/>
        <v/>
      </c>
      <c r="AB62" s="572" t="str">
        <f t="shared" si="331"/>
        <v/>
      </c>
      <c r="AC62" s="579" t="str">
        <f t="shared" si="100"/>
        <v/>
      </c>
      <c r="AD62" s="580" t="str">
        <f t="shared" si="146"/>
        <v/>
      </c>
      <c r="AE62" s="572" t="str">
        <f t="shared" si="101"/>
        <v/>
      </c>
      <c r="AF62" s="576" t="str">
        <f t="shared" si="102"/>
        <v/>
      </c>
      <c r="AG62" s="545" t="str">
        <f t="shared" si="103"/>
        <v/>
      </c>
      <c r="AH62" s="546" t="str">
        <f t="shared" si="104"/>
        <v/>
      </c>
      <c r="AI62" s="528" t="str">
        <f t="shared" si="105"/>
        <v/>
      </c>
      <c r="AJ62" s="529" t="str">
        <f t="shared" si="106"/>
        <v/>
      </c>
      <c r="AK62" s="578" t="str">
        <f t="shared" si="247"/>
        <v/>
      </c>
      <c r="AL62" s="572" t="str">
        <f t="shared" si="107"/>
        <v/>
      </c>
      <c r="AM62" s="577" t="str">
        <f t="shared" si="108"/>
        <v/>
      </c>
      <c r="AN62" s="524" t="str">
        <f t="shared" si="109"/>
        <v/>
      </c>
      <c r="AO62" s="525" t="str">
        <f t="shared" si="604"/>
        <v/>
      </c>
      <c r="AP62" s="528" t="str">
        <f t="shared" si="111"/>
        <v/>
      </c>
      <c r="AQ62" s="529" t="str">
        <f t="shared" si="332"/>
        <v/>
      </c>
      <c r="AR62" s="979"/>
      <c r="AS62" s="954" t="str">
        <f t="shared" si="524"/>
        <v/>
      </c>
      <c r="AT62" s="950" t="str">
        <f t="shared" si="333"/>
        <v/>
      </c>
      <c r="AU62" s="418"/>
      <c r="AV62" s="164" t="str">
        <f t="shared" si="334"/>
        <v/>
      </c>
      <c r="AW62" s="797" t="str">
        <f>IFERROR(INDEX(MassProp!C$9:C$150,MATCH($M62,MassProp!$B$9:$B$150,0)),"")</f>
        <v/>
      </c>
      <c r="AX62" s="744" t="str">
        <f>IFERROR(INDEX(MassProp!D$9:D$150,MATCH($M62,MassProp!$B$9:$B$150,0)),"")</f>
        <v/>
      </c>
      <c r="AY62" s="731" t="str">
        <f>IFERROR(INDEX(MassProp!E$9:E$150,MATCH($M62,MassProp!$B$9:$B$150,0)),"")</f>
        <v/>
      </c>
      <c r="AZ62" s="297" t="str">
        <f t="shared" si="148"/>
        <v/>
      </c>
      <c r="BA62" s="296" t="str">
        <f t="shared" si="336"/>
        <v/>
      </c>
      <c r="BB62" s="177" t="str">
        <f t="shared" si="149"/>
        <v/>
      </c>
      <c r="BC62" s="9"/>
      <c r="BD62" s="5" t="str">
        <f t="shared" si="150"/>
        <v/>
      </c>
      <c r="BE62" s="6" t="str">
        <f t="shared" si="338"/>
        <v/>
      </c>
      <c r="BF62" s="4" t="str">
        <f t="shared" si="339"/>
        <v/>
      </c>
      <c r="BG62" s="5" t="str">
        <f t="shared" si="340"/>
        <v/>
      </c>
      <c r="BH62" s="10" t="str">
        <f t="shared" si="341"/>
        <v/>
      </c>
      <c r="BI62" s="9" t="str">
        <f t="shared" si="151"/>
        <v/>
      </c>
      <c r="BJ62" s="5" t="str">
        <f t="shared" si="343"/>
        <v/>
      </c>
      <c r="BK62" s="8" t="str">
        <f t="shared" si="344"/>
        <v/>
      </c>
      <c r="BL62" s="173" t="str">
        <f t="shared" si="345"/>
        <v/>
      </c>
      <c r="BM62" s="5" t="str">
        <f t="shared" si="346"/>
        <v/>
      </c>
      <c r="BN62" s="6" t="str">
        <f t="shared" si="347"/>
        <v/>
      </c>
      <c r="BO62" s="4" t="str">
        <f t="shared" si="152"/>
        <v/>
      </c>
      <c r="BP62" s="5" t="str">
        <f t="shared" si="153"/>
        <v/>
      </c>
      <c r="BQ62" s="5" t="str">
        <f t="shared" si="154"/>
        <v/>
      </c>
      <c r="BR62" s="6" t="str">
        <f t="shared" si="155"/>
        <v/>
      </c>
      <c r="BS62" s="4" t="str">
        <f t="shared" si="568"/>
        <v/>
      </c>
      <c r="BT62" s="5" t="str">
        <f t="shared" si="568"/>
        <v/>
      </c>
      <c r="BU62" s="10" t="str">
        <f t="shared" si="113"/>
        <v/>
      </c>
      <c r="BV62" s="9" t="str">
        <f t="shared" si="114"/>
        <v/>
      </c>
      <c r="BW62" s="5" t="str">
        <f t="shared" si="115"/>
        <v/>
      </c>
      <c r="BX62" s="8" t="str">
        <f t="shared" si="116"/>
        <v/>
      </c>
      <c r="BY62" s="173" t="str">
        <f t="shared" si="117"/>
        <v/>
      </c>
      <c r="BZ62" s="5" t="str">
        <f t="shared" si="118"/>
        <v/>
      </c>
      <c r="CA62" s="6" t="str">
        <f t="shared" si="119"/>
        <v/>
      </c>
      <c r="CB62" s="4" t="str">
        <f t="shared" si="156"/>
        <v/>
      </c>
      <c r="CC62" s="5" t="str">
        <f t="shared" si="157"/>
        <v/>
      </c>
      <c r="CD62" s="5" t="str">
        <f t="shared" si="158"/>
        <v/>
      </c>
      <c r="CE62" s="6" t="str">
        <f t="shared" si="159"/>
        <v/>
      </c>
      <c r="CF62" s="4" t="str">
        <f t="shared" si="160"/>
        <v/>
      </c>
      <c r="CG62" s="5" t="str">
        <f t="shared" si="161"/>
        <v/>
      </c>
      <c r="CH62" s="5" t="str">
        <f t="shared" si="162"/>
        <v/>
      </c>
      <c r="CI62" s="4" t="str">
        <f t="shared" si="120"/>
        <v/>
      </c>
      <c r="CJ62" s="5" t="str">
        <f t="shared" si="121"/>
        <v/>
      </c>
      <c r="CK62" s="8" t="str">
        <f t="shared" si="122"/>
        <v/>
      </c>
      <c r="CL62" s="173" t="str">
        <f t="shared" si="123"/>
        <v/>
      </c>
      <c r="CM62" s="5" t="str">
        <f t="shared" si="124"/>
        <v/>
      </c>
      <c r="CN62" s="6" t="str">
        <f t="shared" si="125"/>
        <v/>
      </c>
      <c r="CO62" s="167" t="str">
        <f t="shared" si="364"/>
        <v/>
      </c>
      <c r="CP62" s="4" t="str">
        <f t="shared" si="248"/>
        <v/>
      </c>
      <c r="CQ62" s="5" t="str">
        <f t="shared" si="249"/>
        <v/>
      </c>
      <c r="CR62" s="5" t="str">
        <f t="shared" si="163"/>
        <v/>
      </c>
      <c r="CS62" s="8" t="str">
        <f t="shared" si="164"/>
        <v/>
      </c>
      <c r="CT62" s="9" t="str">
        <f t="shared" si="165"/>
        <v/>
      </c>
      <c r="CU62" s="6" t="str">
        <f t="shared" si="166"/>
        <v/>
      </c>
      <c r="CV62" s="4" t="str">
        <f t="shared" si="250"/>
        <v/>
      </c>
      <c r="CW62" s="5" t="str">
        <f t="shared" si="167"/>
        <v/>
      </c>
      <c r="CX62" s="8" t="str">
        <f t="shared" si="168"/>
        <v/>
      </c>
      <c r="CY62" s="9" t="str">
        <f t="shared" si="169"/>
        <v/>
      </c>
      <c r="CZ62" s="5" t="str">
        <f t="shared" si="170"/>
        <v/>
      </c>
      <c r="DA62" s="6" t="str">
        <f t="shared" si="171"/>
        <v/>
      </c>
      <c r="DB62" s="4" t="str">
        <f t="shared" si="569"/>
        <v/>
      </c>
      <c r="DC62" s="5" t="str">
        <f t="shared" si="569"/>
        <v/>
      </c>
      <c r="DD62" s="10" t="str">
        <f t="shared" si="173"/>
        <v/>
      </c>
      <c r="DE62" s="9" t="str">
        <f t="shared" si="570"/>
        <v/>
      </c>
      <c r="DF62" s="5" t="str">
        <f t="shared" si="570"/>
        <v/>
      </c>
      <c r="DG62" s="10" t="str">
        <f t="shared" si="175"/>
        <v/>
      </c>
      <c r="DH62" s="70" t="str">
        <f t="shared" si="176"/>
        <v/>
      </c>
      <c r="DI62" s="4" t="str">
        <f t="shared" si="177"/>
        <v/>
      </c>
      <c r="DJ62" s="5" t="str">
        <f t="shared" si="178"/>
        <v/>
      </c>
      <c r="DK62" s="10" t="str">
        <f t="shared" si="179"/>
        <v/>
      </c>
      <c r="DL62" s="9" t="str">
        <f t="shared" si="180"/>
        <v/>
      </c>
      <c r="DM62" s="173" t="str">
        <f t="shared" si="181"/>
        <v/>
      </c>
      <c r="DN62" s="178" t="str">
        <f t="shared" si="182"/>
        <v/>
      </c>
      <c r="DO62" s="9" t="str">
        <f t="shared" si="183"/>
        <v/>
      </c>
      <c r="DP62" s="173" t="str">
        <f t="shared" si="184"/>
        <v/>
      </c>
      <c r="DQ62" s="11" t="str">
        <f t="shared" si="185"/>
        <v/>
      </c>
      <c r="DR62" s="173" t="str">
        <f t="shared" si="186"/>
        <v/>
      </c>
      <c r="DS62" s="5" t="str">
        <f t="shared" si="187"/>
        <v/>
      </c>
      <c r="DT62" s="5" t="str">
        <f t="shared" si="188"/>
        <v/>
      </c>
      <c r="DU62" s="5" t="str">
        <f t="shared" si="189"/>
        <v/>
      </c>
      <c r="DV62" s="5" t="str">
        <f t="shared" si="190"/>
        <v/>
      </c>
      <c r="DW62" s="5" t="str">
        <f t="shared" si="191"/>
        <v/>
      </c>
      <c r="DX62" s="167" t="str">
        <f t="shared" si="192"/>
        <v/>
      </c>
      <c r="DY62" s="9" t="str">
        <f t="shared" si="193"/>
        <v/>
      </c>
      <c r="DZ62" s="5" t="str">
        <f t="shared" si="194"/>
        <v/>
      </c>
      <c r="EA62" s="10" t="str">
        <f t="shared" si="195"/>
        <v/>
      </c>
      <c r="EB62" s="6" t="str">
        <f t="shared" si="196"/>
        <v/>
      </c>
      <c r="EC62" s="173" t="str">
        <f t="shared" si="197"/>
        <v/>
      </c>
      <c r="ED62" s="5" t="str">
        <f t="shared" si="198"/>
        <v/>
      </c>
      <c r="EE62" s="4" t="str">
        <f t="shared" si="199"/>
        <v/>
      </c>
      <c r="EF62" s="5" t="str">
        <f t="shared" si="200"/>
        <v/>
      </c>
      <c r="EG62" s="10" t="str">
        <f t="shared" si="201"/>
        <v/>
      </c>
      <c r="EH62" s="9" t="str">
        <f t="shared" si="202"/>
        <v/>
      </c>
      <c r="EI62" s="5" t="str">
        <f t="shared" si="203"/>
        <v/>
      </c>
      <c r="EJ62" s="6" t="str">
        <f t="shared" si="204"/>
        <v/>
      </c>
      <c r="EK62" s="236" t="str">
        <f t="shared" si="205"/>
        <v/>
      </c>
      <c r="EL62" s="238" t="str">
        <f t="shared" si="206"/>
        <v/>
      </c>
      <c r="EM62" s="4" t="str">
        <f t="shared" si="207"/>
        <v/>
      </c>
      <c r="EN62" s="5" t="str">
        <f t="shared" si="208"/>
        <v/>
      </c>
      <c r="EO62" s="10" t="str">
        <f t="shared" si="209"/>
        <v/>
      </c>
      <c r="EP62" s="9" t="str">
        <f t="shared" si="210"/>
        <v/>
      </c>
      <c r="EQ62" s="5" t="str">
        <f t="shared" si="211"/>
        <v/>
      </c>
      <c r="ER62" s="7" t="str">
        <f t="shared" si="212"/>
        <v/>
      </c>
      <c r="ES62" s="21" t="str">
        <f t="shared" si="411"/>
        <v/>
      </c>
      <c r="ET62" s="5" t="str">
        <f t="shared" si="412"/>
        <v/>
      </c>
      <c r="EU62" s="10" t="str">
        <f t="shared" si="413"/>
        <v/>
      </c>
      <c r="EV62" s="174" t="str">
        <f t="shared" si="571"/>
        <v/>
      </c>
      <c r="EW62" s="9" t="str">
        <f t="shared" si="572"/>
        <v/>
      </c>
      <c r="EX62" s="5" t="str">
        <f t="shared" si="573"/>
        <v/>
      </c>
      <c r="EY62" s="6" t="str">
        <f t="shared" si="213"/>
        <v/>
      </c>
      <c r="EZ62" s="51" t="str">
        <f t="shared" si="214"/>
        <v/>
      </c>
      <c r="FA62" s="173" t="str">
        <f t="shared" si="574"/>
        <v/>
      </c>
      <c r="FB62" s="5" t="str">
        <f t="shared" si="575"/>
        <v/>
      </c>
      <c r="FC62" s="6" t="str">
        <f t="shared" si="576"/>
        <v/>
      </c>
      <c r="FD62" s="4" t="str">
        <f t="shared" si="577"/>
        <v/>
      </c>
      <c r="FE62" s="5" t="str">
        <f t="shared" si="578"/>
        <v/>
      </c>
      <c r="FF62" s="7" t="str">
        <f t="shared" si="215"/>
        <v/>
      </c>
      <c r="FG62" s="173" t="str">
        <f t="shared" si="579"/>
        <v/>
      </c>
      <c r="FH62" s="5" t="str">
        <f t="shared" si="580"/>
        <v/>
      </c>
      <c r="FI62" s="10" t="str">
        <f t="shared" si="581"/>
        <v/>
      </c>
      <c r="FJ62" s="279" t="str">
        <f t="shared" si="217"/>
        <v/>
      </c>
      <c r="FK62" s="4" t="str">
        <f t="shared" si="582"/>
        <v/>
      </c>
      <c r="FL62" s="5" t="str">
        <f t="shared" si="218"/>
        <v/>
      </c>
      <c r="FM62" s="8" t="str">
        <f t="shared" si="219"/>
        <v/>
      </c>
      <c r="FN62" s="9" t="str">
        <f t="shared" si="220"/>
        <v/>
      </c>
      <c r="FO62" s="10" t="str">
        <f t="shared" si="583"/>
        <v/>
      </c>
      <c r="FP62" s="277" t="str">
        <f t="shared" si="584"/>
        <v/>
      </c>
      <c r="FQ62" s="173" t="str">
        <f t="shared" si="251"/>
        <v/>
      </c>
      <c r="FR62" s="10" t="str">
        <f t="shared" si="221"/>
        <v/>
      </c>
      <c r="FS62" s="9" t="str">
        <f t="shared" si="222"/>
        <v/>
      </c>
      <c r="FT62" s="6" t="str">
        <f t="shared" si="223"/>
        <v/>
      </c>
      <c r="FU62" s="4" t="str">
        <f t="shared" si="224"/>
        <v/>
      </c>
      <c r="FV62" s="5" t="str">
        <f t="shared" si="225"/>
        <v/>
      </c>
      <c r="FW62" s="8" t="str">
        <f t="shared" si="252"/>
        <v/>
      </c>
      <c r="FX62" s="9" t="str">
        <f t="shared" si="253"/>
        <v/>
      </c>
      <c r="FY62" s="10" t="str">
        <f t="shared" si="585"/>
        <v/>
      </c>
      <c r="FZ62" s="277" t="str">
        <f t="shared" si="254"/>
        <v/>
      </c>
      <c r="GA62" s="177" t="str">
        <f t="shared" si="226"/>
        <v/>
      </c>
      <c r="GB62" s="4" t="str">
        <f t="shared" si="227"/>
        <v/>
      </c>
      <c r="GC62" s="5" t="str">
        <f t="shared" si="228"/>
        <v/>
      </c>
      <c r="GD62" s="10" t="str">
        <f t="shared" si="229"/>
        <v/>
      </c>
      <c r="GE62" s="311" t="str">
        <f t="shared" si="230"/>
        <v/>
      </c>
      <c r="GF62" s="341" t="str">
        <f t="shared" si="255"/>
        <v/>
      </c>
      <c r="GG62" s="285" t="str">
        <f t="shared" si="586"/>
        <v/>
      </c>
      <c r="GH62" s="286" t="str">
        <f t="shared" si="587"/>
        <v/>
      </c>
      <c r="GI62" s="281" t="str">
        <f t="shared" si="588"/>
        <v/>
      </c>
      <c r="GJ62" s="167" t="str">
        <f t="shared" si="231"/>
        <v/>
      </c>
      <c r="GK62" s="174" t="str">
        <f t="shared" si="589"/>
        <v/>
      </c>
      <c r="GL62" s="174" t="str">
        <f t="shared" si="232"/>
        <v/>
      </c>
      <c r="GM62" s="177" t="str">
        <f t="shared" si="256"/>
        <v/>
      </c>
      <c r="GN62" s="280" t="str">
        <f t="shared" si="233"/>
        <v/>
      </c>
      <c r="GO62" s="4" t="str">
        <f t="shared" si="234"/>
        <v/>
      </c>
      <c r="GP62" s="8" t="str">
        <f t="shared" si="257"/>
        <v/>
      </c>
      <c r="GQ62" s="177" t="str">
        <f t="shared" si="235"/>
        <v/>
      </c>
      <c r="GR62" s="371" t="str">
        <f t="shared" si="258"/>
        <v/>
      </c>
      <c r="GS62" s="342" t="str">
        <f t="shared" si="590"/>
        <v/>
      </c>
      <c r="GT62" s="343" t="str">
        <f t="shared" si="591"/>
        <v/>
      </c>
      <c r="GU62" s="344" t="str">
        <f t="shared" si="592"/>
        <v/>
      </c>
      <c r="GV62" s="343" t="str">
        <f t="shared" si="265"/>
        <v/>
      </c>
      <c r="GW62" s="345" t="str">
        <f t="shared" si="593"/>
        <v/>
      </c>
      <c r="GX62" s="346" t="str">
        <f t="shared" si="594"/>
        <v/>
      </c>
      <c r="GY62" s="344" t="str">
        <f t="shared" si="595"/>
        <v/>
      </c>
      <c r="GZ62" s="345" t="str">
        <f t="shared" si="596"/>
        <v/>
      </c>
      <c r="HA62" s="342" t="str">
        <f t="shared" si="597"/>
        <v/>
      </c>
      <c r="HB62" s="5" t="str">
        <f t="shared" si="236"/>
        <v/>
      </c>
      <c r="HC62" s="343" t="str">
        <f t="shared" si="237"/>
        <v/>
      </c>
      <c r="HD62" s="363" t="str">
        <f t="shared" si="238"/>
        <v/>
      </c>
      <c r="HE62" s="344" t="str">
        <f t="shared" si="598"/>
        <v/>
      </c>
      <c r="HF62" s="5" t="str">
        <f t="shared" si="599"/>
        <v/>
      </c>
      <c r="HG62" s="343" t="str">
        <f t="shared" si="239"/>
        <v/>
      </c>
      <c r="HH62" s="349" t="str">
        <f t="shared" si="240"/>
        <v/>
      </c>
      <c r="HI62" s="317" t="str">
        <f t="shared" si="467"/>
        <v/>
      </c>
      <c r="HK62" s="310" t="str">
        <f t="shared" si="520"/>
        <v/>
      </c>
      <c r="HL62" s="348" t="str">
        <f t="shared" si="468"/>
        <v/>
      </c>
      <c r="HM62" s="923" t="str">
        <f t="shared" si="469"/>
        <v/>
      </c>
      <c r="HN62" s="924" t="str">
        <f t="shared" si="470"/>
        <v/>
      </c>
      <c r="HO62" s="925"/>
      <c r="HP62" s="926"/>
      <c r="HQ62" s="924" t="str">
        <f t="shared" si="471"/>
        <v/>
      </c>
      <c r="HR62" s="927" t="str">
        <f t="shared" si="472"/>
        <v/>
      </c>
      <c r="HS62" s="879" t="str">
        <f t="shared" si="521"/>
        <v/>
      </c>
      <c r="HT62" s="889" t="str">
        <f t="shared" si="473"/>
        <v/>
      </c>
      <c r="HU62" s="890" t="str">
        <f t="shared" si="474"/>
        <v/>
      </c>
      <c r="HV62" s="886" t="str">
        <f t="shared" si="475"/>
        <v/>
      </c>
      <c r="HW62" s="880" t="str">
        <f t="shared" si="476"/>
        <v/>
      </c>
      <c r="HX62" s="881" t="str">
        <f t="shared" si="477"/>
        <v/>
      </c>
      <c r="HY62" s="880" t="str">
        <f t="shared" si="478"/>
        <v/>
      </c>
      <c r="HZ62" s="882" t="str">
        <f t="shared" si="479"/>
        <v/>
      </c>
      <c r="IA62" s="883" t="str">
        <f t="shared" si="480"/>
        <v/>
      </c>
      <c r="IB62" s="884" t="str">
        <f t="shared" si="481"/>
        <v/>
      </c>
      <c r="IC62" s="855" t="str">
        <f t="shared" si="482"/>
        <v/>
      </c>
      <c r="ID62" s="351" t="str">
        <f t="shared" si="483"/>
        <v/>
      </c>
      <c r="IE62" s="857" t="str">
        <f t="shared" si="484"/>
        <v/>
      </c>
      <c r="IF62" s="858"/>
      <c r="IG62" s="790" t="str">
        <f>IFERROR(IF($IW62="","",IF($IW62&lt;(((Settings!$C$19/2)*-1)*$IG$8),"Taper","Nose")),"")</f>
        <v/>
      </c>
      <c r="IH62" s="482" t="str">
        <f>IFERROR(IF((((($IY62*COS(RADIANS(180-$JA62)))*COS(RADIANS($JA62)))-(($IZ62*SIN(RADIANS(180-$JA62)))*SIN(RADIANS($JA62))))+$IW62)&lt;(((Settings!$C$19+$IH$8)/2)*-1),"Gage",""),"")</f>
        <v/>
      </c>
      <c r="II62" s="788" t="str">
        <f t="shared" si="241"/>
        <v/>
      </c>
      <c r="IJ62" s="674" t="str" cm="1">
        <f t="array" ref="IJ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K62" s="677" t="str" cm="1">
        <f t="array" ref="IK62">IFERROR(ROUND(VALUE(IF($IJ62&lt;1,$IJ62+LARGE((IF($M$9:$M$150="",0,$M$9:$M$150)-MOD(IF($M$9:$M$150="",0,$M$9:$M$150),1)),1),$IJ62)),4),"")</f>
        <v/>
      </c>
      <c r="IL62" s="482" t="str">
        <f t="shared" si="485"/>
        <v/>
      </c>
      <c r="IM62" s="482" t="str">
        <f t="shared" si="242"/>
        <v/>
      </c>
      <c r="IN62" s="670" t="str">
        <f t="shared" si="486"/>
        <v/>
      </c>
      <c r="IO62" s="702"/>
      <c r="IP62" s="5" t="str">
        <f t="shared" si="487"/>
        <v/>
      </c>
      <c r="IQ62" s="714"/>
      <c r="IR62" s="9" t="str">
        <f t="shared" si="488"/>
        <v/>
      </c>
      <c r="IS62" s="5" t="str">
        <f t="shared" si="489"/>
        <v/>
      </c>
      <c r="IT62" s="5" t="str">
        <f t="shared" si="490"/>
        <v/>
      </c>
      <c r="IU62" s="5" t="str">
        <f t="shared" si="491"/>
        <v/>
      </c>
      <c r="IV62" s="670" t="str">
        <f t="shared" si="492"/>
        <v/>
      </c>
      <c r="IW62" s="9" t="str">
        <f t="shared" si="493"/>
        <v/>
      </c>
      <c r="IX62" s="5" t="str">
        <f t="shared" si="494"/>
        <v/>
      </c>
      <c r="IY62" s="5" t="str">
        <f t="shared" si="495"/>
        <v/>
      </c>
      <c r="IZ62" s="5" t="str">
        <f t="shared" si="496"/>
        <v/>
      </c>
      <c r="JA62" s="705" t="str">
        <f t="shared" si="497"/>
        <v/>
      </c>
      <c r="JM62" s="489" t="e">
        <f t="shared" si="133"/>
        <v>#VALUE!</v>
      </c>
      <c r="JN62" s="960" t="e">
        <f>($JO62-SMALL($JO$9:$JO$88,1))/((Settings!$C$19/2)-((Settings!$C$19/2)-LARGE($JO$9:$JO$88,1))-SMALL($JO$9:$JO$88,1))</f>
        <v>#VALUE!</v>
      </c>
      <c r="JO62" s="162" t="str">
        <f t="shared" si="134"/>
        <v/>
      </c>
      <c r="JP62" s="961" t="str">
        <f t="shared" si="135"/>
        <v/>
      </c>
      <c r="JQ62" s="961" t="str">
        <f t="shared" si="136"/>
        <v/>
      </c>
      <c r="JU62" s="962"/>
      <c r="JV62" s="959"/>
      <c r="JW62" s="959"/>
    </row>
    <row r="63" spans="1:284" ht="15" customHeight="1" x14ac:dyDescent="0.25">
      <c r="A63" s="75" t="str">
        <f t="shared" si="322"/>
        <v/>
      </c>
      <c r="B63" s="578" t="str">
        <f t="shared" ref="B63:D63" si="617">IFERROR(O218+($A63*-E63),"")</f>
        <v/>
      </c>
      <c r="C63" s="572" t="str">
        <f t="shared" si="617"/>
        <v/>
      </c>
      <c r="D63" s="576" t="str">
        <f t="shared" si="617"/>
        <v/>
      </c>
      <c r="E63" s="580" t="str">
        <f t="shared" ref="E63:K63" si="618">R218</f>
        <v/>
      </c>
      <c r="F63" s="572" t="str">
        <f t="shared" si="618"/>
        <v/>
      </c>
      <c r="G63" s="579" t="str">
        <f t="shared" si="618"/>
        <v/>
      </c>
      <c r="H63" s="580" t="str">
        <f t="shared" si="618"/>
        <v/>
      </c>
      <c r="I63" s="572" t="str">
        <f t="shared" si="618"/>
        <v/>
      </c>
      <c r="J63" s="483" t="str">
        <f t="shared" si="94"/>
        <v/>
      </c>
      <c r="K63" s="806" t="str">
        <f t="shared" si="618"/>
        <v/>
      </c>
      <c r="L63" s="309"/>
      <c r="M63" s="164" t="str">
        <f t="shared" si="325"/>
        <v/>
      </c>
      <c r="N63" s="575" t="str">
        <f t="shared" si="326"/>
        <v/>
      </c>
      <c r="O63" s="572" t="str">
        <f t="shared" si="327"/>
        <v/>
      </c>
      <c r="P63" s="576" t="str">
        <f t="shared" si="328"/>
        <v/>
      </c>
      <c r="Q63" s="528" t="str">
        <f t="shared" si="144"/>
        <v/>
      </c>
      <c r="R63" s="572" t="str">
        <f t="shared" si="95"/>
        <v/>
      </c>
      <c r="S63" s="577" t="str">
        <f t="shared" si="96"/>
        <v/>
      </c>
      <c r="T63" s="578" t="str">
        <f t="shared" si="97"/>
        <v/>
      </c>
      <c r="U63" s="572" t="str">
        <f t="shared" si="98"/>
        <v/>
      </c>
      <c r="V63" s="579" t="str">
        <f t="shared" si="145"/>
        <v/>
      </c>
      <c r="W63" s="528" t="str">
        <f t="shared" si="268"/>
        <v/>
      </c>
      <c r="X63" s="572" t="str">
        <f t="shared" si="99"/>
        <v/>
      </c>
      <c r="Y63" s="573" t="str">
        <f t="shared" si="271"/>
        <v/>
      </c>
      <c r="Z63" s="575" t="str">
        <f t="shared" si="329"/>
        <v/>
      </c>
      <c r="AA63" s="572" t="str">
        <f t="shared" si="330"/>
        <v/>
      </c>
      <c r="AB63" s="572" t="str">
        <f t="shared" si="331"/>
        <v/>
      </c>
      <c r="AC63" s="579" t="str">
        <f t="shared" si="100"/>
        <v/>
      </c>
      <c r="AD63" s="580" t="str">
        <f t="shared" si="146"/>
        <v/>
      </c>
      <c r="AE63" s="572" t="str">
        <f t="shared" si="101"/>
        <v/>
      </c>
      <c r="AF63" s="576" t="str">
        <f t="shared" si="102"/>
        <v/>
      </c>
      <c r="AG63" s="545" t="str">
        <f t="shared" si="103"/>
        <v/>
      </c>
      <c r="AH63" s="546" t="str">
        <f t="shared" si="104"/>
        <v/>
      </c>
      <c r="AI63" s="528" t="str">
        <f t="shared" si="105"/>
        <v/>
      </c>
      <c r="AJ63" s="529" t="str">
        <f t="shared" si="106"/>
        <v/>
      </c>
      <c r="AK63" s="578" t="str">
        <f t="shared" si="247"/>
        <v/>
      </c>
      <c r="AL63" s="572" t="str">
        <f t="shared" si="107"/>
        <v/>
      </c>
      <c r="AM63" s="577" t="str">
        <f t="shared" si="108"/>
        <v/>
      </c>
      <c r="AN63" s="524" t="str">
        <f t="shared" si="109"/>
        <v/>
      </c>
      <c r="AO63" s="525" t="str">
        <f t="shared" si="604"/>
        <v/>
      </c>
      <c r="AP63" s="528" t="str">
        <f t="shared" si="111"/>
        <v/>
      </c>
      <c r="AQ63" s="529" t="str">
        <f t="shared" si="332"/>
        <v/>
      </c>
      <c r="AR63" s="979"/>
      <c r="AS63" s="954" t="str">
        <f t="shared" si="524"/>
        <v/>
      </c>
      <c r="AT63" s="950" t="str">
        <f t="shared" si="333"/>
        <v/>
      </c>
      <c r="AU63" s="418"/>
      <c r="AV63" s="164" t="str">
        <f t="shared" si="334"/>
        <v/>
      </c>
      <c r="AW63" s="797" t="str">
        <f>IFERROR(INDEX(MassProp!C$9:C$150,MATCH($M63,MassProp!$B$9:$B$150,0)),"")</f>
        <v/>
      </c>
      <c r="AX63" s="744" t="str">
        <f>IFERROR(INDEX(MassProp!D$9:D$150,MATCH($M63,MassProp!$B$9:$B$150,0)),"")</f>
        <v/>
      </c>
      <c r="AY63" s="731" t="str">
        <f>IFERROR(INDEX(MassProp!E$9:E$150,MATCH($M63,MassProp!$B$9:$B$150,0)),"")</f>
        <v/>
      </c>
      <c r="AZ63" s="297" t="str">
        <f t="shared" si="148"/>
        <v/>
      </c>
      <c r="BA63" s="296" t="str">
        <f t="shared" si="336"/>
        <v/>
      </c>
      <c r="BB63" s="177" t="str">
        <f t="shared" si="149"/>
        <v/>
      </c>
      <c r="BC63" s="9"/>
      <c r="BD63" s="5" t="str">
        <f t="shared" si="150"/>
        <v/>
      </c>
      <c r="BE63" s="6" t="str">
        <f t="shared" si="338"/>
        <v/>
      </c>
      <c r="BF63" s="4" t="str">
        <f t="shared" si="339"/>
        <v/>
      </c>
      <c r="BG63" s="5" t="str">
        <f t="shared" si="340"/>
        <v/>
      </c>
      <c r="BH63" s="10" t="str">
        <f t="shared" si="341"/>
        <v/>
      </c>
      <c r="BI63" s="9" t="str">
        <f t="shared" si="151"/>
        <v/>
      </c>
      <c r="BJ63" s="5" t="str">
        <f t="shared" si="343"/>
        <v/>
      </c>
      <c r="BK63" s="8" t="str">
        <f t="shared" si="344"/>
        <v/>
      </c>
      <c r="BL63" s="173" t="str">
        <f t="shared" si="345"/>
        <v/>
      </c>
      <c r="BM63" s="5" t="str">
        <f t="shared" si="346"/>
        <v/>
      </c>
      <c r="BN63" s="6" t="str">
        <f t="shared" si="347"/>
        <v/>
      </c>
      <c r="BO63" s="4" t="str">
        <f t="shared" si="152"/>
        <v/>
      </c>
      <c r="BP63" s="5" t="str">
        <f t="shared" si="153"/>
        <v/>
      </c>
      <c r="BQ63" s="5" t="str">
        <f t="shared" si="154"/>
        <v/>
      </c>
      <c r="BR63" s="6" t="str">
        <f t="shared" si="155"/>
        <v/>
      </c>
      <c r="BS63" s="4" t="str">
        <f t="shared" si="568"/>
        <v/>
      </c>
      <c r="BT63" s="5" t="str">
        <f t="shared" si="568"/>
        <v/>
      </c>
      <c r="BU63" s="10" t="str">
        <f t="shared" si="113"/>
        <v/>
      </c>
      <c r="BV63" s="9" t="str">
        <f t="shared" si="114"/>
        <v/>
      </c>
      <c r="BW63" s="5" t="str">
        <f t="shared" si="115"/>
        <v/>
      </c>
      <c r="BX63" s="8" t="str">
        <f t="shared" si="116"/>
        <v/>
      </c>
      <c r="BY63" s="173" t="str">
        <f t="shared" si="117"/>
        <v/>
      </c>
      <c r="BZ63" s="5" t="str">
        <f t="shared" si="118"/>
        <v/>
      </c>
      <c r="CA63" s="6" t="str">
        <f t="shared" si="119"/>
        <v/>
      </c>
      <c r="CB63" s="4" t="str">
        <f t="shared" si="156"/>
        <v/>
      </c>
      <c r="CC63" s="5" t="str">
        <f t="shared" si="157"/>
        <v/>
      </c>
      <c r="CD63" s="5" t="str">
        <f t="shared" si="158"/>
        <v/>
      </c>
      <c r="CE63" s="6" t="str">
        <f t="shared" si="159"/>
        <v/>
      </c>
      <c r="CF63" s="4" t="str">
        <f t="shared" si="160"/>
        <v/>
      </c>
      <c r="CG63" s="5" t="str">
        <f t="shared" si="161"/>
        <v/>
      </c>
      <c r="CH63" s="5" t="str">
        <f t="shared" si="162"/>
        <v/>
      </c>
      <c r="CI63" s="4" t="str">
        <f t="shared" si="120"/>
        <v/>
      </c>
      <c r="CJ63" s="5" t="str">
        <f t="shared" si="121"/>
        <v/>
      </c>
      <c r="CK63" s="8" t="str">
        <f t="shared" si="122"/>
        <v/>
      </c>
      <c r="CL63" s="173" t="str">
        <f t="shared" si="123"/>
        <v/>
      </c>
      <c r="CM63" s="5" t="str">
        <f t="shared" si="124"/>
        <v/>
      </c>
      <c r="CN63" s="6" t="str">
        <f t="shared" si="125"/>
        <v/>
      </c>
      <c r="CO63" s="167" t="str">
        <f t="shared" si="364"/>
        <v/>
      </c>
      <c r="CP63" s="4" t="str">
        <f t="shared" si="248"/>
        <v/>
      </c>
      <c r="CQ63" s="5" t="str">
        <f t="shared" si="249"/>
        <v/>
      </c>
      <c r="CR63" s="5" t="str">
        <f t="shared" si="163"/>
        <v/>
      </c>
      <c r="CS63" s="8" t="str">
        <f t="shared" si="164"/>
        <v/>
      </c>
      <c r="CT63" s="9" t="str">
        <f t="shared" si="165"/>
        <v/>
      </c>
      <c r="CU63" s="6" t="str">
        <f t="shared" si="166"/>
        <v/>
      </c>
      <c r="CV63" s="4" t="str">
        <f t="shared" si="250"/>
        <v/>
      </c>
      <c r="CW63" s="5" t="str">
        <f t="shared" si="167"/>
        <v/>
      </c>
      <c r="CX63" s="8" t="str">
        <f t="shared" si="168"/>
        <v/>
      </c>
      <c r="CY63" s="9" t="str">
        <f t="shared" si="169"/>
        <v/>
      </c>
      <c r="CZ63" s="5" t="str">
        <f t="shared" si="170"/>
        <v/>
      </c>
      <c r="DA63" s="6" t="str">
        <f t="shared" si="171"/>
        <v/>
      </c>
      <c r="DB63" s="4" t="str">
        <f t="shared" si="569"/>
        <v/>
      </c>
      <c r="DC63" s="5" t="str">
        <f t="shared" si="569"/>
        <v/>
      </c>
      <c r="DD63" s="10" t="str">
        <f t="shared" si="173"/>
        <v/>
      </c>
      <c r="DE63" s="9" t="str">
        <f t="shared" si="570"/>
        <v/>
      </c>
      <c r="DF63" s="5" t="str">
        <f t="shared" si="570"/>
        <v/>
      </c>
      <c r="DG63" s="10" t="str">
        <f t="shared" si="175"/>
        <v/>
      </c>
      <c r="DH63" s="70" t="str">
        <f t="shared" si="176"/>
        <v/>
      </c>
      <c r="DI63" s="4" t="str">
        <f t="shared" si="177"/>
        <v/>
      </c>
      <c r="DJ63" s="5" t="str">
        <f t="shared" si="178"/>
        <v/>
      </c>
      <c r="DK63" s="10" t="str">
        <f t="shared" si="179"/>
        <v/>
      </c>
      <c r="DL63" s="9" t="str">
        <f t="shared" si="180"/>
        <v/>
      </c>
      <c r="DM63" s="173" t="str">
        <f t="shared" si="181"/>
        <v/>
      </c>
      <c r="DN63" s="178" t="str">
        <f t="shared" si="182"/>
        <v/>
      </c>
      <c r="DO63" s="9" t="str">
        <f t="shared" si="183"/>
        <v/>
      </c>
      <c r="DP63" s="173" t="str">
        <f t="shared" si="184"/>
        <v/>
      </c>
      <c r="DQ63" s="11" t="str">
        <f t="shared" si="185"/>
        <v/>
      </c>
      <c r="DR63" s="173" t="str">
        <f t="shared" si="186"/>
        <v/>
      </c>
      <c r="DS63" s="5" t="str">
        <f t="shared" si="187"/>
        <v/>
      </c>
      <c r="DT63" s="5" t="str">
        <f t="shared" si="188"/>
        <v/>
      </c>
      <c r="DU63" s="5" t="str">
        <f t="shared" si="189"/>
        <v/>
      </c>
      <c r="DV63" s="5" t="str">
        <f t="shared" si="190"/>
        <v/>
      </c>
      <c r="DW63" s="5" t="str">
        <f t="shared" si="191"/>
        <v/>
      </c>
      <c r="DX63" s="167" t="str">
        <f t="shared" si="192"/>
        <v/>
      </c>
      <c r="DY63" s="9" t="str">
        <f t="shared" si="193"/>
        <v/>
      </c>
      <c r="DZ63" s="5" t="str">
        <f t="shared" si="194"/>
        <v/>
      </c>
      <c r="EA63" s="10" t="str">
        <f t="shared" si="195"/>
        <v/>
      </c>
      <c r="EB63" s="6" t="str">
        <f t="shared" si="196"/>
        <v/>
      </c>
      <c r="EC63" s="173" t="str">
        <f t="shared" si="197"/>
        <v/>
      </c>
      <c r="ED63" s="5" t="str">
        <f t="shared" si="198"/>
        <v/>
      </c>
      <c r="EE63" s="4" t="str">
        <f t="shared" si="199"/>
        <v/>
      </c>
      <c r="EF63" s="5" t="str">
        <f t="shared" si="200"/>
        <v/>
      </c>
      <c r="EG63" s="10" t="str">
        <f t="shared" si="201"/>
        <v/>
      </c>
      <c r="EH63" s="9" t="str">
        <f t="shared" si="202"/>
        <v/>
      </c>
      <c r="EI63" s="5" t="str">
        <f t="shared" si="203"/>
        <v/>
      </c>
      <c r="EJ63" s="6" t="str">
        <f t="shared" si="204"/>
        <v/>
      </c>
      <c r="EK63" s="236" t="str">
        <f t="shared" si="205"/>
        <v/>
      </c>
      <c r="EL63" s="238" t="str">
        <f t="shared" si="206"/>
        <v/>
      </c>
      <c r="EM63" s="4" t="str">
        <f t="shared" si="207"/>
        <v/>
      </c>
      <c r="EN63" s="5" t="str">
        <f t="shared" si="208"/>
        <v/>
      </c>
      <c r="EO63" s="10" t="str">
        <f t="shared" si="209"/>
        <v/>
      </c>
      <c r="EP63" s="9" t="str">
        <f t="shared" si="210"/>
        <v/>
      </c>
      <c r="EQ63" s="5" t="str">
        <f t="shared" si="211"/>
        <v/>
      </c>
      <c r="ER63" s="7" t="str">
        <f t="shared" si="212"/>
        <v/>
      </c>
      <c r="ES63" s="21" t="str">
        <f t="shared" si="411"/>
        <v/>
      </c>
      <c r="ET63" s="5" t="str">
        <f t="shared" si="412"/>
        <v/>
      </c>
      <c r="EU63" s="10" t="str">
        <f t="shared" si="413"/>
        <v/>
      </c>
      <c r="EV63" s="174" t="str">
        <f t="shared" si="571"/>
        <v/>
      </c>
      <c r="EW63" s="9" t="str">
        <f t="shared" si="572"/>
        <v/>
      </c>
      <c r="EX63" s="5" t="str">
        <f t="shared" si="573"/>
        <v/>
      </c>
      <c r="EY63" s="6" t="str">
        <f t="shared" si="213"/>
        <v/>
      </c>
      <c r="EZ63" s="51" t="str">
        <f t="shared" si="214"/>
        <v/>
      </c>
      <c r="FA63" s="173" t="str">
        <f t="shared" si="574"/>
        <v/>
      </c>
      <c r="FB63" s="5" t="str">
        <f t="shared" si="575"/>
        <v/>
      </c>
      <c r="FC63" s="6" t="str">
        <f t="shared" si="576"/>
        <v/>
      </c>
      <c r="FD63" s="4" t="str">
        <f t="shared" si="577"/>
        <v/>
      </c>
      <c r="FE63" s="5" t="str">
        <f t="shared" si="578"/>
        <v/>
      </c>
      <c r="FF63" s="7" t="str">
        <f t="shared" si="215"/>
        <v/>
      </c>
      <c r="FG63" s="173" t="str">
        <f t="shared" si="579"/>
        <v/>
      </c>
      <c r="FH63" s="5" t="str">
        <f t="shared" si="580"/>
        <v/>
      </c>
      <c r="FI63" s="10" t="str">
        <f t="shared" si="581"/>
        <v/>
      </c>
      <c r="FJ63" s="279" t="str">
        <f t="shared" si="217"/>
        <v/>
      </c>
      <c r="FK63" s="4" t="str">
        <f t="shared" si="582"/>
        <v/>
      </c>
      <c r="FL63" s="5" t="str">
        <f t="shared" si="218"/>
        <v/>
      </c>
      <c r="FM63" s="8" t="str">
        <f t="shared" si="219"/>
        <v/>
      </c>
      <c r="FN63" s="9" t="str">
        <f t="shared" si="220"/>
        <v/>
      </c>
      <c r="FO63" s="10" t="str">
        <f t="shared" si="583"/>
        <v/>
      </c>
      <c r="FP63" s="277" t="str">
        <f t="shared" si="584"/>
        <v/>
      </c>
      <c r="FQ63" s="173" t="str">
        <f t="shared" si="251"/>
        <v/>
      </c>
      <c r="FR63" s="10" t="str">
        <f t="shared" si="221"/>
        <v/>
      </c>
      <c r="FS63" s="9" t="str">
        <f t="shared" si="222"/>
        <v/>
      </c>
      <c r="FT63" s="6" t="str">
        <f t="shared" si="223"/>
        <v/>
      </c>
      <c r="FU63" s="4" t="str">
        <f t="shared" si="224"/>
        <v/>
      </c>
      <c r="FV63" s="5" t="str">
        <f t="shared" si="225"/>
        <v/>
      </c>
      <c r="FW63" s="8" t="str">
        <f t="shared" si="252"/>
        <v/>
      </c>
      <c r="FX63" s="9" t="str">
        <f t="shared" si="253"/>
        <v/>
      </c>
      <c r="FY63" s="10" t="str">
        <f t="shared" si="585"/>
        <v/>
      </c>
      <c r="FZ63" s="277" t="str">
        <f t="shared" si="254"/>
        <v/>
      </c>
      <c r="GA63" s="177" t="str">
        <f t="shared" si="226"/>
        <v/>
      </c>
      <c r="GB63" s="4" t="str">
        <f t="shared" si="227"/>
        <v/>
      </c>
      <c r="GC63" s="5" t="str">
        <f t="shared" si="228"/>
        <v/>
      </c>
      <c r="GD63" s="10" t="str">
        <f t="shared" si="229"/>
        <v/>
      </c>
      <c r="GE63" s="311" t="str">
        <f t="shared" si="230"/>
        <v/>
      </c>
      <c r="GF63" s="341" t="str">
        <f t="shared" si="255"/>
        <v/>
      </c>
      <c r="GG63" s="285" t="str">
        <f t="shared" si="586"/>
        <v/>
      </c>
      <c r="GH63" s="286" t="str">
        <f t="shared" si="587"/>
        <v/>
      </c>
      <c r="GI63" s="281" t="str">
        <f t="shared" si="588"/>
        <v/>
      </c>
      <c r="GJ63" s="167" t="str">
        <f t="shared" si="231"/>
        <v/>
      </c>
      <c r="GK63" s="174" t="str">
        <f t="shared" si="589"/>
        <v/>
      </c>
      <c r="GL63" s="174" t="str">
        <f t="shared" si="232"/>
        <v/>
      </c>
      <c r="GM63" s="177" t="str">
        <f t="shared" si="256"/>
        <v/>
      </c>
      <c r="GN63" s="280" t="str">
        <f t="shared" si="233"/>
        <v/>
      </c>
      <c r="GO63" s="4" t="str">
        <f t="shared" si="234"/>
        <v/>
      </c>
      <c r="GP63" s="8" t="str">
        <f t="shared" si="257"/>
        <v/>
      </c>
      <c r="GQ63" s="177" t="str">
        <f t="shared" si="235"/>
        <v/>
      </c>
      <c r="GR63" s="371" t="str">
        <f t="shared" si="258"/>
        <v/>
      </c>
      <c r="GS63" s="342" t="str">
        <f t="shared" si="590"/>
        <v/>
      </c>
      <c r="GT63" s="343" t="str">
        <f t="shared" si="591"/>
        <v/>
      </c>
      <c r="GU63" s="344" t="str">
        <f t="shared" si="592"/>
        <v/>
      </c>
      <c r="GV63" s="343" t="str">
        <f t="shared" si="265"/>
        <v/>
      </c>
      <c r="GW63" s="345" t="str">
        <f t="shared" si="593"/>
        <v/>
      </c>
      <c r="GX63" s="346" t="str">
        <f t="shared" si="594"/>
        <v/>
      </c>
      <c r="GY63" s="344" t="str">
        <f t="shared" si="595"/>
        <v/>
      </c>
      <c r="GZ63" s="345" t="str">
        <f t="shared" si="596"/>
        <v/>
      </c>
      <c r="HA63" s="342" t="str">
        <f t="shared" si="597"/>
        <v/>
      </c>
      <c r="HB63" s="5" t="str">
        <f t="shared" si="236"/>
        <v/>
      </c>
      <c r="HC63" s="343" t="str">
        <f t="shared" si="237"/>
        <v/>
      </c>
      <c r="HD63" s="363" t="str">
        <f t="shared" si="238"/>
        <v/>
      </c>
      <c r="HE63" s="344" t="str">
        <f t="shared" si="598"/>
        <v/>
      </c>
      <c r="HF63" s="5" t="str">
        <f t="shared" si="599"/>
        <v/>
      </c>
      <c r="HG63" s="343" t="str">
        <f t="shared" si="239"/>
        <v/>
      </c>
      <c r="HH63" s="349" t="str">
        <f t="shared" si="240"/>
        <v/>
      </c>
      <c r="HI63" s="317" t="str">
        <f t="shared" si="467"/>
        <v/>
      </c>
      <c r="HK63" s="310" t="str">
        <f t="shared" si="520"/>
        <v/>
      </c>
      <c r="HL63" s="348" t="str">
        <f t="shared" si="468"/>
        <v/>
      </c>
      <c r="HM63" s="923" t="str">
        <f t="shared" si="469"/>
        <v/>
      </c>
      <c r="HN63" s="924" t="str">
        <f t="shared" si="470"/>
        <v/>
      </c>
      <c r="HO63" s="925"/>
      <c r="HP63" s="926"/>
      <c r="HQ63" s="924" t="str">
        <f t="shared" si="471"/>
        <v/>
      </c>
      <c r="HR63" s="927" t="str">
        <f t="shared" si="472"/>
        <v/>
      </c>
      <c r="HS63" s="879" t="str">
        <f t="shared" si="521"/>
        <v/>
      </c>
      <c r="HT63" s="889" t="str">
        <f t="shared" si="473"/>
        <v/>
      </c>
      <c r="HU63" s="890" t="str">
        <f t="shared" si="474"/>
        <v/>
      </c>
      <c r="HV63" s="886" t="str">
        <f t="shared" si="475"/>
        <v/>
      </c>
      <c r="HW63" s="880" t="str">
        <f t="shared" si="476"/>
        <v/>
      </c>
      <c r="HX63" s="881" t="str">
        <f t="shared" si="477"/>
        <v/>
      </c>
      <c r="HY63" s="880" t="str">
        <f t="shared" si="478"/>
        <v/>
      </c>
      <c r="HZ63" s="882" t="str">
        <f t="shared" si="479"/>
        <v/>
      </c>
      <c r="IA63" s="883" t="str">
        <f t="shared" si="480"/>
        <v/>
      </c>
      <c r="IB63" s="884" t="str">
        <f t="shared" si="481"/>
        <v/>
      </c>
      <c r="IC63" s="855" t="str">
        <f t="shared" si="482"/>
        <v/>
      </c>
      <c r="ID63" s="351" t="str">
        <f t="shared" si="483"/>
        <v/>
      </c>
      <c r="IE63" s="857" t="str">
        <f t="shared" si="484"/>
        <v/>
      </c>
      <c r="IF63" s="858"/>
      <c r="IG63" s="790" t="str">
        <f>IFERROR(IF($IW63="","",IF($IW63&lt;(((Settings!$C$19/2)*-1)*$IG$8),"Taper","Nose")),"")</f>
        <v/>
      </c>
      <c r="IH63" s="482" t="str">
        <f>IFERROR(IF((((($IY63*COS(RADIANS(180-$JA63)))*COS(RADIANS($JA63)))-(($IZ63*SIN(RADIANS(180-$JA63)))*SIN(RADIANS($JA63))))+$IW63)&lt;(((Settings!$C$19+$IH$8)/2)*-1),"Gage",""),"")</f>
        <v/>
      </c>
      <c r="II63" s="788" t="str">
        <f t="shared" si="241"/>
        <v/>
      </c>
      <c r="IJ63" s="674" t="str" cm="1">
        <f t="array" ref="IJ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K63" s="677" t="str" cm="1">
        <f t="array" ref="IK63">IFERROR(ROUND(VALUE(IF($IJ63&lt;1,$IJ63+LARGE((IF($M$9:$M$150="",0,$M$9:$M$150)-MOD(IF($M$9:$M$150="",0,$M$9:$M$150),1)),1),$IJ63)),4),"")</f>
        <v/>
      </c>
      <c r="IL63" s="482" t="str">
        <f t="shared" si="485"/>
        <v/>
      </c>
      <c r="IM63" s="482" t="str">
        <f t="shared" si="242"/>
        <v/>
      </c>
      <c r="IN63" s="670" t="str">
        <f t="shared" si="486"/>
        <v/>
      </c>
      <c r="IO63" s="702"/>
      <c r="IP63" s="5" t="str">
        <f t="shared" si="487"/>
        <v/>
      </c>
      <c r="IQ63" s="714"/>
      <c r="IR63" s="9" t="str">
        <f t="shared" si="488"/>
        <v/>
      </c>
      <c r="IS63" s="5" t="str">
        <f t="shared" si="489"/>
        <v/>
      </c>
      <c r="IT63" s="5" t="str">
        <f t="shared" si="490"/>
        <v/>
      </c>
      <c r="IU63" s="5" t="str">
        <f t="shared" si="491"/>
        <v/>
      </c>
      <c r="IV63" s="670" t="str">
        <f t="shared" si="492"/>
        <v/>
      </c>
      <c r="IW63" s="9" t="str">
        <f t="shared" si="493"/>
        <v/>
      </c>
      <c r="IX63" s="5" t="str">
        <f t="shared" si="494"/>
        <v/>
      </c>
      <c r="IY63" s="5" t="str">
        <f t="shared" si="495"/>
        <v/>
      </c>
      <c r="IZ63" s="5" t="str">
        <f t="shared" si="496"/>
        <v/>
      </c>
      <c r="JA63" s="705" t="str">
        <f t="shared" si="497"/>
        <v/>
      </c>
      <c r="JM63" s="489" t="e">
        <f t="shared" si="133"/>
        <v>#VALUE!</v>
      </c>
      <c r="JN63" s="960" t="e">
        <f>($JO63-SMALL($JO$9:$JO$88,1))/((Settings!$C$19/2)-((Settings!$C$19/2)-LARGE($JO$9:$JO$88,1))-SMALL($JO$9:$JO$88,1))</f>
        <v>#VALUE!</v>
      </c>
      <c r="JO63" s="162" t="str">
        <f t="shared" si="134"/>
        <v/>
      </c>
      <c r="JP63" s="961" t="str">
        <f t="shared" si="135"/>
        <v/>
      </c>
      <c r="JQ63" s="961" t="str">
        <f t="shared" si="136"/>
        <v/>
      </c>
      <c r="JU63" s="962"/>
      <c r="JV63" s="959"/>
      <c r="JW63" s="959"/>
    </row>
    <row r="64" spans="1:284" ht="15" customHeight="1" x14ac:dyDescent="0.25">
      <c r="A64" s="75" t="str">
        <f t="shared" si="322"/>
        <v/>
      </c>
      <c r="B64" s="578" t="str">
        <f t="shared" ref="B64:D64" si="619">IFERROR(O219+($A64*-E64),"")</f>
        <v/>
      </c>
      <c r="C64" s="572" t="str">
        <f t="shared" si="619"/>
        <v/>
      </c>
      <c r="D64" s="576" t="str">
        <f t="shared" si="619"/>
        <v/>
      </c>
      <c r="E64" s="580" t="str">
        <f t="shared" ref="E64:K64" si="620">R219</f>
        <v/>
      </c>
      <c r="F64" s="572" t="str">
        <f t="shared" si="620"/>
        <v/>
      </c>
      <c r="G64" s="579" t="str">
        <f t="shared" si="620"/>
        <v/>
      </c>
      <c r="H64" s="580" t="str">
        <f t="shared" si="620"/>
        <v/>
      </c>
      <c r="I64" s="572" t="str">
        <f t="shared" si="620"/>
        <v/>
      </c>
      <c r="J64" s="483" t="str">
        <f t="shared" si="94"/>
        <v/>
      </c>
      <c r="K64" s="806" t="str">
        <f t="shared" si="620"/>
        <v/>
      </c>
      <c r="L64" s="309"/>
      <c r="M64" s="164" t="str">
        <f t="shared" si="325"/>
        <v/>
      </c>
      <c r="N64" s="575" t="str">
        <f t="shared" si="326"/>
        <v/>
      </c>
      <c r="O64" s="572" t="str">
        <f t="shared" si="327"/>
        <v/>
      </c>
      <c r="P64" s="576" t="str">
        <f t="shared" si="328"/>
        <v/>
      </c>
      <c r="Q64" s="528" t="str">
        <f t="shared" si="144"/>
        <v/>
      </c>
      <c r="R64" s="572" t="str">
        <f t="shared" si="95"/>
        <v/>
      </c>
      <c r="S64" s="577" t="str">
        <f t="shared" si="96"/>
        <v/>
      </c>
      <c r="T64" s="578" t="str">
        <f t="shared" si="97"/>
        <v/>
      </c>
      <c r="U64" s="572" t="str">
        <f t="shared" si="98"/>
        <v/>
      </c>
      <c r="V64" s="579" t="str">
        <f t="shared" si="145"/>
        <v/>
      </c>
      <c r="W64" s="528" t="str">
        <f t="shared" si="268"/>
        <v/>
      </c>
      <c r="X64" s="572" t="str">
        <f t="shared" si="99"/>
        <v/>
      </c>
      <c r="Y64" s="573" t="str">
        <f t="shared" si="271"/>
        <v/>
      </c>
      <c r="Z64" s="575" t="str">
        <f t="shared" si="329"/>
        <v/>
      </c>
      <c r="AA64" s="572" t="str">
        <f t="shared" si="330"/>
        <v/>
      </c>
      <c r="AB64" s="572" t="str">
        <f t="shared" si="331"/>
        <v/>
      </c>
      <c r="AC64" s="579" t="str">
        <f t="shared" si="100"/>
        <v/>
      </c>
      <c r="AD64" s="580" t="str">
        <f t="shared" si="146"/>
        <v/>
      </c>
      <c r="AE64" s="572" t="str">
        <f t="shared" si="101"/>
        <v/>
      </c>
      <c r="AF64" s="576" t="str">
        <f t="shared" si="102"/>
        <v/>
      </c>
      <c r="AG64" s="545" t="str">
        <f t="shared" si="103"/>
        <v/>
      </c>
      <c r="AH64" s="546" t="str">
        <f t="shared" si="104"/>
        <v/>
      </c>
      <c r="AI64" s="528" t="str">
        <f t="shared" si="105"/>
        <v/>
      </c>
      <c r="AJ64" s="529" t="str">
        <f t="shared" si="106"/>
        <v/>
      </c>
      <c r="AK64" s="578" t="str">
        <f t="shared" si="247"/>
        <v/>
      </c>
      <c r="AL64" s="572" t="str">
        <f t="shared" si="107"/>
        <v/>
      </c>
      <c r="AM64" s="577" t="str">
        <f t="shared" si="108"/>
        <v/>
      </c>
      <c r="AN64" s="524" t="str">
        <f t="shared" si="109"/>
        <v/>
      </c>
      <c r="AO64" s="525" t="str">
        <f t="shared" si="604"/>
        <v/>
      </c>
      <c r="AP64" s="528" t="str">
        <f t="shared" si="111"/>
        <v/>
      </c>
      <c r="AQ64" s="529" t="str">
        <f t="shared" si="332"/>
        <v/>
      </c>
      <c r="AR64" s="979"/>
      <c r="AS64" s="954" t="str">
        <f t="shared" si="524"/>
        <v/>
      </c>
      <c r="AT64" s="950" t="str">
        <f t="shared" si="333"/>
        <v/>
      </c>
      <c r="AU64" s="418"/>
      <c r="AV64" s="164" t="str">
        <f t="shared" si="334"/>
        <v/>
      </c>
      <c r="AW64" s="797" t="str">
        <f>IFERROR(INDEX(MassProp!C$9:C$150,MATCH($M64,MassProp!$B$9:$B$150,0)),"")</f>
        <v/>
      </c>
      <c r="AX64" s="744" t="str">
        <f>IFERROR(INDEX(MassProp!D$9:D$150,MATCH($M64,MassProp!$B$9:$B$150,0)),"")</f>
        <v/>
      </c>
      <c r="AY64" s="731" t="str">
        <f>IFERROR(INDEX(MassProp!E$9:E$150,MATCH($M64,MassProp!$B$9:$B$150,0)),"")</f>
        <v/>
      </c>
      <c r="AZ64" s="297" t="str">
        <f t="shared" si="148"/>
        <v/>
      </c>
      <c r="BA64" s="296" t="str">
        <f t="shared" si="336"/>
        <v/>
      </c>
      <c r="BB64" s="177" t="str">
        <f t="shared" si="149"/>
        <v/>
      </c>
      <c r="BC64" s="9"/>
      <c r="BD64" s="5" t="str">
        <f t="shared" si="150"/>
        <v/>
      </c>
      <c r="BE64" s="6" t="str">
        <f t="shared" si="338"/>
        <v/>
      </c>
      <c r="BF64" s="4" t="str">
        <f t="shared" si="339"/>
        <v/>
      </c>
      <c r="BG64" s="5" t="str">
        <f t="shared" si="340"/>
        <v/>
      </c>
      <c r="BH64" s="10" t="str">
        <f t="shared" si="341"/>
        <v/>
      </c>
      <c r="BI64" s="9" t="str">
        <f t="shared" si="151"/>
        <v/>
      </c>
      <c r="BJ64" s="5" t="str">
        <f t="shared" si="343"/>
        <v/>
      </c>
      <c r="BK64" s="8" t="str">
        <f t="shared" si="344"/>
        <v/>
      </c>
      <c r="BL64" s="173" t="str">
        <f t="shared" si="345"/>
        <v/>
      </c>
      <c r="BM64" s="5" t="str">
        <f t="shared" si="346"/>
        <v/>
      </c>
      <c r="BN64" s="6" t="str">
        <f t="shared" si="347"/>
        <v/>
      </c>
      <c r="BO64" s="4" t="str">
        <f t="shared" si="152"/>
        <v/>
      </c>
      <c r="BP64" s="5" t="str">
        <f t="shared" si="153"/>
        <v/>
      </c>
      <c r="BQ64" s="5" t="str">
        <f t="shared" si="154"/>
        <v/>
      </c>
      <c r="BR64" s="6" t="str">
        <f t="shared" si="155"/>
        <v/>
      </c>
      <c r="BS64" s="4" t="str">
        <f t="shared" si="568"/>
        <v/>
      </c>
      <c r="BT64" s="5" t="str">
        <f t="shared" si="568"/>
        <v/>
      </c>
      <c r="BU64" s="10" t="str">
        <f t="shared" si="113"/>
        <v/>
      </c>
      <c r="BV64" s="9" t="str">
        <f t="shared" si="114"/>
        <v/>
      </c>
      <c r="BW64" s="5" t="str">
        <f t="shared" si="115"/>
        <v/>
      </c>
      <c r="BX64" s="8" t="str">
        <f t="shared" si="116"/>
        <v/>
      </c>
      <c r="BY64" s="173" t="str">
        <f t="shared" si="117"/>
        <v/>
      </c>
      <c r="BZ64" s="5" t="str">
        <f t="shared" si="118"/>
        <v/>
      </c>
      <c r="CA64" s="6" t="str">
        <f t="shared" si="119"/>
        <v/>
      </c>
      <c r="CB64" s="4" t="str">
        <f t="shared" si="156"/>
        <v/>
      </c>
      <c r="CC64" s="5" t="str">
        <f t="shared" si="157"/>
        <v/>
      </c>
      <c r="CD64" s="5" t="str">
        <f t="shared" si="158"/>
        <v/>
      </c>
      <c r="CE64" s="6" t="str">
        <f t="shared" si="159"/>
        <v/>
      </c>
      <c r="CF64" s="4" t="str">
        <f t="shared" si="160"/>
        <v/>
      </c>
      <c r="CG64" s="5" t="str">
        <f t="shared" si="161"/>
        <v/>
      </c>
      <c r="CH64" s="5" t="str">
        <f t="shared" si="162"/>
        <v/>
      </c>
      <c r="CI64" s="4" t="str">
        <f t="shared" si="120"/>
        <v/>
      </c>
      <c r="CJ64" s="5" t="str">
        <f t="shared" si="121"/>
        <v/>
      </c>
      <c r="CK64" s="8" t="str">
        <f t="shared" si="122"/>
        <v/>
      </c>
      <c r="CL64" s="173" t="str">
        <f t="shared" si="123"/>
        <v/>
      </c>
      <c r="CM64" s="5" t="str">
        <f t="shared" si="124"/>
        <v/>
      </c>
      <c r="CN64" s="6" t="str">
        <f t="shared" si="125"/>
        <v/>
      </c>
      <c r="CO64" s="167" t="str">
        <f t="shared" si="364"/>
        <v/>
      </c>
      <c r="CP64" s="4" t="str">
        <f t="shared" si="248"/>
        <v/>
      </c>
      <c r="CQ64" s="5" t="str">
        <f t="shared" si="249"/>
        <v/>
      </c>
      <c r="CR64" s="5" t="str">
        <f t="shared" si="163"/>
        <v/>
      </c>
      <c r="CS64" s="8" t="str">
        <f t="shared" si="164"/>
        <v/>
      </c>
      <c r="CT64" s="9" t="str">
        <f t="shared" si="165"/>
        <v/>
      </c>
      <c r="CU64" s="6" t="str">
        <f t="shared" si="166"/>
        <v/>
      </c>
      <c r="CV64" s="4" t="str">
        <f t="shared" si="250"/>
        <v/>
      </c>
      <c r="CW64" s="5" t="str">
        <f t="shared" si="167"/>
        <v/>
      </c>
      <c r="CX64" s="8" t="str">
        <f t="shared" si="168"/>
        <v/>
      </c>
      <c r="CY64" s="9" t="str">
        <f t="shared" si="169"/>
        <v/>
      </c>
      <c r="CZ64" s="5" t="str">
        <f t="shared" si="170"/>
        <v/>
      </c>
      <c r="DA64" s="6" t="str">
        <f t="shared" si="171"/>
        <v/>
      </c>
      <c r="DB64" s="4" t="str">
        <f t="shared" si="569"/>
        <v/>
      </c>
      <c r="DC64" s="5" t="str">
        <f t="shared" si="569"/>
        <v/>
      </c>
      <c r="DD64" s="10" t="str">
        <f t="shared" si="173"/>
        <v/>
      </c>
      <c r="DE64" s="9" t="str">
        <f t="shared" si="570"/>
        <v/>
      </c>
      <c r="DF64" s="5" t="str">
        <f t="shared" si="570"/>
        <v/>
      </c>
      <c r="DG64" s="10" t="str">
        <f t="shared" si="175"/>
        <v/>
      </c>
      <c r="DH64" s="70" t="str">
        <f t="shared" si="176"/>
        <v/>
      </c>
      <c r="DI64" s="4" t="str">
        <f t="shared" si="177"/>
        <v/>
      </c>
      <c r="DJ64" s="5" t="str">
        <f t="shared" si="178"/>
        <v/>
      </c>
      <c r="DK64" s="10" t="str">
        <f t="shared" si="179"/>
        <v/>
      </c>
      <c r="DL64" s="9" t="str">
        <f t="shared" si="180"/>
        <v/>
      </c>
      <c r="DM64" s="173" t="str">
        <f t="shared" si="181"/>
        <v/>
      </c>
      <c r="DN64" s="178" t="str">
        <f t="shared" si="182"/>
        <v/>
      </c>
      <c r="DO64" s="9" t="str">
        <f t="shared" si="183"/>
        <v/>
      </c>
      <c r="DP64" s="173" t="str">
        <f t="shared" si="184"/>
        <v/>
      </c>
      <c r="DQ64" s="11" t="str">
        <f t="shared" si="185"/>
        <v/>
      </c>
      <c r="DR64" s="173" t="str">
        <f t="shared" si="186"/>
        <v/>
      </c>
      <c r="DS64" s="5" t="str">
        <f t="shared" si="187"/>
        <v/>
      </c>
      <c r="DT64" s="5" t="str">
        <f t="shared" si="188"/>
        <v/>
      </c>
      <c r="DU64" s="5" t="str">
        <f t="shared" si="189"/>
        <v/>
      </c>
      <c r="DV64" s="5" t="str">
        <f t="shared" si="190"/>
        <v/>
      </c>
      <c r="DW64" s="5" t="str">
        <f t="shared" si="191"/>
        <v/>
      </c>
      <c r="DX64" s="167" t="str">
        <f t="shared" si="192"/>
        <v/>
      </c>
      <c r="DY64" s="9" t="str">
        <f t="shared" si="193"/>
        <v/>
      </c>
      <c r="DZ64" s="5" t="str">
        <f t="shared" si="194"/>
        <v/>
      </c>
      <c r="EA64" s="10" t="str">
        <f t="shared" si="195"/>
        <v/>
      </c>
      <c r="EB64" s="6" t="str">
        <f t="shared" si="196"/>
        <v/>
      </c>
      <c r="EC64" s="173" t="str">
        <f t="shared" si="197"/>
        <v/>
      </c>
      <c r="ED64" s="5" t="str">
        <f t="shared" si="198"/>
        <v/>
      </c>
      <c r="EE64" s="4" t="str">
        <f t="shared" si="199"/>
        <v/>
      </c>
      <c r="EF64" s="5" t="str">
        <f t="shared" si="200"/>
        <v/>
      </c>
      <c r="EG64" s="10" t="str">
        <f t="shared" si="201"/>
        <v/>
      </c>
      <c r="EH64" s="9" t="str">
        <f t="shared" si="202"/>
        <v/>
      </c>
      <c r="EI64" s="5" t="str">
        <f t="shared" si="203"/>
        <v/>
      </c>
      <c r="EJ64" s="6" t="str">
        <f t="shared" si="204"/>
        <v/>
      </c>
      <c r="EK64" s="236" t="str">
        <f t="shared" si="205"/>
        <v/>
      </c>
      <c r="EL64" s="238" t="str">
        <f t="shared" si="206"/>
        <v/>
      </c>
      <c r="EM64" s="4" t="str">
        <f t="shared" si="207"/>
        <v/>
      </c>
      <c r="EN64" s="5" t="str">
        <f t="shared" si="208"/>
        <v/>
      </c>
      <c r="EO64" s="10" t="str">
        <f t="shared" si="209"/>
        <v/>
      </c>
      <c r="EP64" s="9" t="str">
        <f t="shared" si="210"/>
        <v/>
      </c>
      <c r="EQ64" s="5" t="str">
        <f t="shared" si="211"/>
        <v/>
      </c>
      <c r="ER64" s="7" t="str">
        <f t="shared" si="212"/>
        <v/>
      </c>
      <c r="ES64" s="21" t="str">
        <f t="shared" si="411"/>
        <v/>
      </c>
      <c r="ET64" s="5" t="str">
        <f t="shared" si="412"/>
        <v/>
      </c>
      <c r="EU64" s="10" t="str">
        <f t="shared" si="413"/>
        <v/>
      </c>
      <c r="EV64" s="174" t="str">
        <f t="shared" si="571"/>
        <v/>
      </c>
      <c r="EW64" s="9" t="str">
        <f t="shared" si="572"/>
        <v/>
      </c>
      <c r="EX64" s="5" t="str">
        <f t="shared" si="573"/>
        <v/>
      </c>
      <c r="EY64" s="6" t="str">
        <f t="shared" si="213"/>
        <v/>
      </c>
      <c r="EZ64" s="51" t="str">
        <f t="shared" si="214"/>
        <v/>
      </c>
      <c r="FA64" s="173" t="str">
        <f t="shared" si="574"/>
        <v/>
      </c>
      <c r="FB64" s="5" t="str">
        <f t="shared" si="575"/>
        <v/>
      </c>
      <c r="FC64" s="6" t="str">
        <f t="shared" si="576"/>
        <v/>
      </c>
      <c r="FD64" s="4" t="str">
        <f t="shared" si="577"/>
        <v/>
      </c>
      <c r="FE64" s="5" t="str">
        <f t="shared" si="578"/>
        <v/>
      </c>
      <c r="FF64" s="7" t="str">
        <f t="shared" si="215"/>
        <v/>
      </c>
      <c r="FG64" s="173" t="str">
        <f t="shared" si="579"/>
        <v/>
      </c>
      <c r="FH64" s="5" t="str">
        <f t="shared" si="580"/>
        <v/>
      </c>
      <c r="FI64" s="10" t="str">
        <f t="shared" si="581"/>
        <v/>
      </c>
      <c r="FJ64" s="279" t="str">
        <f t="shared" si="217"/>
        <v/>
      </c>
      <c r="FK64" s="4" t="str">
        <f t="shared" si="582"/>
        <v/>
      </c>
      <c r="FL64" s="5" t="str">
        <f t="shared" si="218"/>
        <v/>
      </c>
      <c r="FM64" s="8" t="str">
        <f t="shared" si="219"/>
        <v/>
      </c>
      <c r="FN64" s="9" t="str">
        <f t="shared" si="220"/>
        <v/>
      </c>
      <c r="FO64" s="10" t="str">
        <f t="shared" si="583"/>
        <v/>
      </c>
      <c r="FP64" s="277" t="str">
        <f t="shared" si="584"/>
        <v/>
      </c>
      <c r="FQ64" s="173" t="str">
        <f t="shared" si="251"/>
        <v/>
      </c>
      <c r="FR64" s="10" t="str">
        <f t="shared" si="221"/>
        <v/>
      </c>
      <c r="FS64" s="9" t="str">
        <f t="shared" si="222"/>
        <v/>
      </c>
      <c r="FT64" s="6" t="str">
        <f t="shared" si="223"/>
        <v/>
      </c>
      <c r="FU64" s="4" t="str">
        <f t="shared" si="224"/>
        <v/>
      </c>
      <c r="FV64" s="5" t="str">
        <f t="shared" si="225"/>
        <v/>
      </c>
      <c r="FW64" s="8" t="str">
        <f t="shared" si="252"/>
        <v/>
      </c>
      <c r="FX64" s="9" t="str">
        <f t="shared" si="253"/>
        <v/>
      </c>
      <c r="FY64" s="10" t="str">
        <f t="shared" si="585"/>
        <v/>
      </c>
      <c r="FZ64" s="277" t="str">
        <f t="shared" si="254"/>
        <v/>
      </c>
      <c r="GA64" s="177" t="str">
        <f t="shared" si="226"/>
        <v/>
      </c>
      <c r="GB64" s="4" t="str">
        <f t="shared" si="227"/>
        <v/>
      </c>
      <c r="GC64" s="5" t="str">
        <f t="shared" si="228"/>
        <v/>
      </c>
      <c r="GD64" s="10" t="str">
        <f t="shared" si="229"/>
        <v/>
      </c>
      <c r="GE64" s="311" t="str">
        <f t="shared" si="230"/>
        <v/>
      </c>
      <c r="GF64" s="341" t="str">
        <f t="shared" si="255"/>
        <v/>
      </c>
      <c r="GG64" s="285" t="str">
        <f t="shared" si="586"/>
        <v/>
      </c>
      <c r="GH64" s="286" t="str">
        <f t="shared" si="587"/>
        <v/>
      </c>
      <c r="GI64" s="281" t="str">
        <f t="shared" si="588"/>
        <v/>
      </c>
      <c r="GJ64" s="167" t="str">
        <f t="shared" si="231"/>
        <v/>
      </c>
      <c r="GK64" s="174" t="str">
        <f t="shared" si="589"/>
        <v/>
      </c>
      <c r="GL64" s="174" t="str">
        <f t="shared" si="232"/>
        <v/>
      </c>
      <c r="GM64" s="177" t="str">
        <f t="shared" si="256"/>
        <v/>
      </c>
      <c r="GN64" s="280" t="str">
        <f t="shared" si="233"/>
        <v/>
      </c>
      <c r="GO64" s="4" t="str">
        <f t="shared" si="234"/>
        <v/>
      </c>
      <c r="GP64" s="8" t="str">
        <f t="shared" si="257"/>
        <v/>
      </c>
      <c r="GQ64" s="177" t="str">
        <f t="shared" si="235"/>
        <v/>
      </c>
      <c r="GR64" s="371" t="str">
        <f t="shared" si="258"/>
        <v/>
      </c>
      <c r="GS64" s="342" t="str">
        <f t="shared" si="590"/>
        <v/>
      </c>
      <c r="GT64" s="343" t="str">
        <f t="shared" si="591"/>
        <v/>
      </c>
      <c r="GU64" s="344" t="str">
        <f t="shared" si="592"/>
        <v/>
      </c>
      <c r="GV64" s="343" t="str">
        <f t="shared" si="265"/>
        <v/>
      </c>
      <c r="GW64" s="345" t="str">
        <f t="shared" si="593"/>
        <v/>
      </c>
      <c r="GX64" s="346" t="str">
        <f t="shared" si="594"/>
        <v/>
      </c>
      <c r="GY64" s="344" t="str">
        <f t="shared" si="595"/>
        <v/>
      </c>
      <c r="GZ64" s="345" t="str">
        <f t="shared" si="596"/>
        <v/>
      </c>
      <c r="HA64" s="342" t="str">
        <f t="shared" si="597"/>
        <v/>
      </c>
      <c r="HB64" s="5" t="str">
        <f t="shared" si="236"/>
        <v/>
      </c>
      <c r="HC64" s="343" t="str">
        <f t="shared" si="237"/>
        <v/>
      </c>
      <c r="HD64" s="363" t="str">
        <f t="shared" si="238"/>
        <v/>
      </c>
      <c r="HE64" s="344" t="str">
        <f t="shared" si="598"/>
        <v/>
      </c>
      <c r="HF64" s="5" t="str">
        <f t="shared" si="599"/>
        <v/>
      </c>
      <c r="HG64" s="343" t="str">
        <f t="shared" si="239"/>
        <v/>
      </c>
      <c r="HH64" s="349" t="str">
        <f t="shared" si="240"/>
        <v/>
      </c>
      <c r="HI64" s="317" t="str">
        <f t="shared" si="467"/>
        <v/>
      </c>
      <c r="HK64" s="310" t="str">
        <f t="shared" si="520"/>
        <v/>
      </c>
      <c r="HL64" s="348" t="str">
        <f t="shared" si="468"/>
        <v/>
      </c>
      <c r="HM64" s="923" t="str">
        <f t="shared" si="469"/>
        <v/>
      </c>
      <c r="HN64" s="924" t="str">
        <f t="shared" si="470"/>
        <v/>
      </c>
      <c r="HO64" s="925"/>
      <c r="HP64" s="926"/>
      <c r="HQ64" s="924" t="str">
        <f t="shared" si="471"/>
        <v/>
      </c>
      <c r="HR64" s="927" t="str">
        <f t="shared" si="472"/>
        <v/>
      </c>
      <c r="HS64" s="879" t="str">
        <f t="shared" si="521"/>
        <v/>
      </c>
      <c r="HT64" s="889" t="str">
        <f t="shared" si="473"/>
        <v/>
      </c>
      <c r="HU64" s="890" t="str">
        <f t="shared" si="474"/>
        <v/>
      </c>
      <c r="HV64" s="886" t="str">
        <f t="shared" si="475"/>
        <v/>
      </c>
      <c r="HW64" s="880" t="str">
        <f t="shared" si="476"/>
        <v/>
      </c>
      <c r="HX64" s="881" t="str">
        <f t="shared" si="477"/>
        <v/>
      </c>
      <c r="HY64" s="880" t="str">
        <f t="shared" si="478"/>
        <v/>
      </c>
      <c r="HZ64" s="882" t="str">
        <f t="shared" si="479"/>
        <v/>
      </c>
      <c r="IA64" s="883" t="str">
        <f t="shared" si="480"/>
        <v/>
      </c>
      <c r="IB64" s="884" t="str">
        <f t="shared" si="481"/>
        <v/>
      </c>
      <c r="IC64" s="855" t="str">
        <f t="shared" si="482"/>
        <v/>
      </c>
      <c r="ID64" s="351" t="str">
        <f t="shared" si="483"/>
        <v/>
      </c>
      <c r="IE64" s="857" t="str">
        <f t="shared" si="484"/>
        <v/>
      </c>
      <c r="IF64" s="858"/>
      <c r="IG64" s="790" t="str">
        <f>IFERROR(IF($IW64="","",IF($IW64&lt;(((Settings!$C$19/2)*-1)*$IG$8),"Taper","Nose")),"")</f>
        <v/>
      </c>
      <c r="IH64" s="482" t="str">
        <f>IFERROR(IF((((($IY64*COS(RADIANS(180-$JA64)))*COS(RADIANS($JA64)))-(($IZ64*SIN(RADIANS(180-$JA64)))*SIN(RADIANS($JA64))))+$IW64)&lt;(((Settings!$C$19+$IH$8)/2)*-1),"Gage",""),"")</f>
        <v/>
      </c>
      <c r="II64" s="788" t="str">
        <f t="shared" si="241"/>
        <v/>
      </c>
      <c r="IJ64" s="674" t="str" cm="1">
        <f t="array" ref="IJ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K64" s="677" t="str" cm="1">
        <f t="array" ref="IK64">IFERROR(ROUND(VALUE(IF($IJ64&lt;1,$IJ64+LARGE((IF($M$9:$M$150="",0,$M$9:$M$150)-MOD(IF($M$9:$M$150="",0,$M$9:$M$150),1)),1),$IJ64)),4),"")</f>
        <v/>
      </c>
      <c r="IL64" s="482" t="str">
        <f t="shared" si="485"/>
        <v/>
      </c>
      <c r="IM64" s="482" t="str">
        <f t="shared" si="242"/>
        <v/>
      </c>
      <c r="IN64" s="670" t="str">
        <f t="shared" si="486"/>
        <v/>
      </c>
      <c r="IO64" s="702">
        <v>5.2204048490041503E-2</v>
      </c>
      <c r="IP64" s="5" t="str">
        <f t="shared" si="487"/>
        <v/>
      </c>
      <c r="IQ64" s="714">
        <v>80</v>
      </c>
      <c r="IR64" s="9" t="str">
        <f t="shared" si="488"/>
        <v/>
      </c>
      <c r="IS64" s="5" t="str">
        <f t="shared" si="489"/>
        <v/>
      </c>
      <c r="IT64" s="5" t="str">
        <f t="shared" si="490"/>
        <v/>
      </c>
      <c r="IU64" s="5" t="str">
        <f t="shared" si="491"/>
        <v/>
      </c>
      <c r="IV64" s="670" t="str">
        <f t="shared" si="492"/>
        <v/>
      </c>
      <c r="IW64" s="9" t="str">
        <f t="shared" si="493"/>
        <v/>
      </c>
      <c r="IX64" s="5" t="str">
        <f t="shared" si="494"/>
        <v/>
      </c>
      <c r="IY64" s="5" t="str">
        <f t="shared" si="495"/>
        <v/>
      </c>
      <c r="IZ64" s="5" t="str">
        <f t="shared" si="496"/>
        <v/>
      </c>
      <c r="JA64" s="705" t="str">
        <f t="shared" si="497"/>
        <v/>
      </c>
      <c r="JM64" s="489" t="e">
        <f t="shared" si="133"/>
        <v>#VALUE!</v>
      </c>
      <c r="JN64" s="960" t="e">
        <f>($JO64-SMALL($JO$9:$JO$88,1))/((Settings!$C$19/2)-((Settings!$C$19/2)-LARGE($JO$9:$JO$88,1))-SMALL($JO$9:$JO$88,1))</f>
        <v>#VALUE!</v>
      </c>
      <c r="JO64" s="162" t="str">
        <f t="shared" si="134"/>
        <v/>
      </c>
      <c r="JP64" s="961" t="str">
        <f t="shared" si="135"/>
        <v/>
      </c>
      <c r="JQ64" s="961" t="str">
        <f t="shared" si="136"/>
        <v/>
      </c>
      <c r="JU64" s="962"/>
      <c r="JV64" s="959"/>
      <c r="JW64" s="959"/>
    </row>
    <row r="65" spans="1:283" ht="15" customHeight="1" x14ac:dyDescent="0.25">
      <c r="A65" s="75" t="str">
        <f t="shared" si="322"/>
        <v/>
      </c>
      <c r="B65" s="578" t="str">
        <f t="shared" ref="B65:D65" si="621">IFERROR(O220+($A65*-E65),"")</f>
        <v/>
      </c>
      <c r="C65" s="572" t="str">
        <f t="shared" si="621"/>
        <v/>
      </c>
      <c r="D65" s="576" t="str">
        <f t="shared" si="621"/>
        <v/>
      </c>
      <c r="E65" s="580" t="str">
        <f t="shared" ref="E65:K65" si="622">R220</f>
        <v/>
      </c>
      <c r="F65" s="572" t="str">
        <f t="shared" si="622"/>
        <v/>
      </c>
      <c r="G65" s="579" t="str">
        <f t="shared" si="622"/>
        <v/>
      </c>
      <c r="H65" s="580" t="str">
        <f t="shared" si="622"/>
        <v/>
      </c>
      <c r="I65" s="572" t="str">
        <f t="shared" si="622"/>
        <v/>
      </c>
      <c r="J65" s="483" t="str">
        <f t="shared" si="94"/>
        <v/>
      </c>
      <c r="K65" s="806" t="str">
        <f t="shared" si="622"/>
        <v/>
      </c>
      <c r="L65" s="309"/>
      <c r="M65" s="164" t="str">
        <f t="shared" si="325"/>
        <v/>
      </c>
      <c r="N65" s="575" t="str">
        <f t="shared" si="326"/>
        <v/>
      </c>
      <c r="O65" s="572" t="str">
        <f t="shared" si="327"/>
        <v/>
      </c>
      <c r="P65" s="576" t="str">
        <f t="shared" si="328"/>
        <v/>
      </c>
      <c r="Q65" s="528" t="str">
        <f t="shared" si="144"/>
        <v/>
      </c>
      <c r="R65" s="572" t="str">
        <f t="shared" si="95"/>
        <v/>
      </c>
      <c r="S65" s="577" t="str">
        <f t="shared" si="96"/>
        <v/>
      </c>
      <c r="T65" s="578" t="str">
        <f t="shared" si="97"/>
        <v/>
      </c>
      <c r="U65" s="572" t="str">
        <f t="shared" si="98"/>
        <v/>
      </c>
      <c r="V65" s="579" t="str">
        <f t="shared" si="145"/>
        <v/>
      </c>
      <c r="W65" s="528" t="str">
        <f t="shared" si="268"/>
        <v/>
      </c>
      <c r="X65" s="572" t="str">
        <f t="shared" si="99"/>
        <v/>
      </c>
      <c r="Y65" s="573" t="str">
        <f t="shared" si="271"/>
        <v/>
      </c>
      <c r="Z65" s="575" t="str">
        <f t="shared" si="329"/>
        <v/>
      </c>
      <c r="AA65" s="572" t="str">
        <f t="shared" si="330"/>
        <v/>
      </c>
      <c r="AB65" s="572" t="str">
        <f t="shared" si="331"/>
        <v/>
      </c>
      <c r="AC65" s="579" t="str">
        <f t="shared" si="100"/>
        <v/>
      </c>
      <c r="AD65" s="580" t="str">
        <f t="shared" si="146"/>
        <v/>
      </c>
      <c r="AE65" s="572" t="str">
        <f t="shared" si="101"/>
        <v/>
      </c>
      <c r="AF65" s="576" t="str">
        <f t="shared" si="102"/>
        <v/>
      </c>
      <c r="AG65" s="545" t="str">
        <f t="shared" si="103"/>
        <v/>
      </c>
      <c r="AH65" s="546" t="str">
        <f t="shared" si="104"/>
        <v/>
      </c>
      <c r="AI65" s="528" t="str">
        <f t="shared" si="105"/>
        <v/>
      </c>
      <c r="AJ65" s="529" t="str">
        <f t="shared" si="106"/>
        <v/>
      </c>
      <c r="AK65" s="578" t="str">
        <f t="shared" si="247"/>
        <v/>
      </c>
      <c r="AL65" s="572" t="str">
        <f t="shared" si="107"/>
        <v/>
      </c>
      <c r="AM65" s="577" t="str">
        <f t="shared" si="108"/>
        <v/>
      </c>
      <c r="AN65" s="524" t="str">
        <f t="shared" si="109"/>
        <v/>
      </c>
      <c r="AO65" s="525" t="str">
        <f t="shared" si="604"/>
        <v/>
      </c>
      <c r="AP65" s="528" t="str">
        <f t="shared" si="111"/>
        <v/>
      </c>
      <c r="AQ65" s="529" t="str">
        <f t="shared" si="332"/>
        <v/>
      </c>
      <c r="AR65" s="979"/>
      <c r="AS65" s="954" t="str">
        <f t="shared" si="524"/>
        <v/>
      </c>
      <c r="AT65" s="950" t="str">
        <f t="shared" si="333"/>
        <v/>
      </c>
      <c r="AU65" s="418"/>
      <c r="AV65" s="164" t="str">
        <f t="shared" si="334"/>
        <v/>
      </c>
      <c r="AW65" s="797" t="str">
        <f>IFERROR(INDEX(MassProp!C$9:C$150,MATCH($M65,MassProp!$B$9:$B$150,0)),"")</f>
        <v/>
      </c>
      <c r="AX65" s="744" t="str">
        <f>IFERROR(INDEX(MassProp!D$9:D$150,MATCH($M65,MassProp!$B$9:$B$150,0)),"")</f>
        <v/>
      </c>
      <c r="AY65" s="731" t="str">
        <f>IFERROR(INDEX(MassProp!E$9:E$150,MATCH($M65,MassProp!$B$9:$B$150,0)),"")</f>
        <v/>
      </c>
      <c r="AZ65" s="297" t="str">
        <f t="shared" si="148"/>
        <v/>
      </c>
      <c r="BA65" s="296" t="str">
        <f t="shared" si="336"/>
        <v/>
      </c>
      <c r="BB65" s="177" t="str">
        <f t="shared" si="149"/>
        <v/>
      </c>
      <c r="BC65" s="9"/>
      <c r="BD65" s="5" t="str">
        <f t="shared" si="150"/>
        <v/>
      </c>
      <c r="BE65" s="6" t="str">
        <f t="shared" si="338"/>
        <v/>
      </c>
      <c r="BF65" s="4" t="str">
        <f t="shared" si="339"/>
        <v/>
      </c>
      <c r="BG65" s="5" t="str">
        <f t="shared" si="340"/>
        <v/>
      </c>
      <c r="BH65" s="10" t="str">
        <f t="shared" si="341"/>
        <v/>
      </c>
      <c r="BI65" s="9" t="str">
        <f t="shared" si="151"/>
        <v/>
      </c>
      <c r="BJ65" s="5" t="str">
        <f t="shared" si="343"/>
        <v/>
      </c>
      <c r="BK65" s="8" t="str">
        <f t="shared" si="344"/>
        <v/>
      </c>
      <c r="BL65" s="173" t="str">
        <f t="shared" si="345"/>
        <v/>
      </c>
      <c r="BM65" s="5" t="str">
        <f t="shared" si="346"/>
        <v/>
      </c>
      <c r="BN65" s="6" t="str">
        <f t="shared" si="347"/>
        <v/>
      </c>
      <c r="BO65" s="4" t="str">
        <f t="shared" si="152"/>
        <v/>
      </c>
      <c r="BP65" s="5" t="str">
        <f t="shared" si="153"/>
        <v/>
      </c>
      <c r="BQ65" s="5" t="str">
        <f t="shared" si="154"/>
        <v/>
      </c>
      <c r="BR65" s="6" t="str">
        <f t="shared" si="155"/>
        <v/>
      </c>
      <c r="BS65" s="4" t="str">
        <f t="shared" si="568"/>
        <v/>
      </c>
      <c r="BT65" s="5" t="str">
        <f t="shared" si="568"/>
        <v/>
      </c>
      <c r="BU65" s="10" t="str">
        <f t="shared" si="113"/>
        <v/>
      </c>
      <c r="BV65" s="9" t="str">
        <f t="shared" si="114"/>
        <v/>
      </c>
      <c r="BW65" s="5" t="str">
        <f t="shared" si="115"/>
        <v/>
      </c>
      <c r="BX65" s="8" t="str">
        <f t="shared" si="116"/>
        <v/>
      </c>
      <c r="BY65" s="173" t="str">
        <f t="shared" si="117"/>
        <v/>
      </c>
      <c r="BZ65" s="5" t="str">
        <f t="shared" si="118"/>
        <v/>
      </c>
      <c r="CA65" s="6" t="str">
        <f t="shared" si="119"/>
        <v/>
      </c>
      <c r="CB65" s="4" t="str">
        <f t="shared" si="156"/>
        <v/>
      </c>
      <c r="CC65" s="5" t="str">
        <f t="shared" si="157"/>
        <v/>
      </c>
      <c r="CD65" s="5" t="str">
        <f t="shared" si="158"/>
        <v/>
      </c>
      <c r="CE65" s="6" t="str">
        <f t="shared" si="159"/>
        <v/>
      </c>
      <c r="CF65" s="4" t="str">
        <f t="shared" si="160"/>
        <v/>
      </c>
      <c r="CG65" s="5" t="str">
        <f t="shared" si="161"/>
        <v/>
      </c>
      <c r="CH65" s="5" t="str">
        <f t="shared" si="162"/>
        <v/>
      </c>
      <c r="CI65" s="4" t="str">
        <f t="shared" si="120"/>
        <v/>
      </c>
      <c r="CJ65" s="5" t="str">
        <f t="shared" si="121"/>
        <v/>
      </c>
      <c r="CK65" s="8" t="str">
        <f t="shared" si="122"/>
        <v/>
      </c>
      <c r="CL65" s="173" t="str">
        <f t="shared" si="123"/>
        <v/>
      </c>
      <c r="CM65" s="5" t="str">
        <f t="shared" si="124"/>
        <v/>
      </c>
      <c r="CN65" s="6" t="str">
        <f t="shared" si="125"/>
        <v/>
      </c>
      <c r="CO65" s="167" t="str">
        <f t="shared" si="364"/>
        <v/>
      </c>
      <c r="CP65" s="4" t="str">
        <f t="shared" si="248"/>
        <v/>
      </c>
      <c r="CQ65" s="5" t="str">
        <f t="shared" si="249"/>
        <v/>
      </c>
      <c r="CR65" s="5" t="str">
        <f t="shared" si="163"/>
        <v/>
      </c>
      <c r="CS65" s="8" t="str">
        <f t="shared" si="164"/>
        <v/>
      </c>
      <c r="CT65" s="9" t="str">
        <f t="shared" si="165"/>
        <v/>
      </c>
      <c r="CU65" s="6" t="str">
        <f t="shared" si="166"/>
        <v/>
      </c>
      <c r="CV65" s="4" t="str">
        <f t="shared" si="250"/>
        <v/>
      </c>
      <c r="CW65" s="5" t="str">
        <f t="shared" si="167"/>
        <v/>
      </c>
      <c r="CX65" s="8" t="str">
        <f t="shared" si="168"/>
        <v/>
      </c>
      <c r="CY65" s="9" t="str">
        <f t="shared" si="169"/>
        <v/>
      </c>
      <c r="CZ65" s="5" t="str">
        <f t="shared" si="170"/>
        <v/>
      </c>
      <c r="DA65" s="6" t="str">
        <f t="shared" si="171"/>
        <v/>
      </c>
      <c r="DB65" s="4" t="str">
        <f t="shared" si="569"/>
        <v/>
      </c>
      <c r="DC65" s="5" t="str">
        <f t="shared" si="569"/>
        <v/>
      </c>
      <c r="DD65" s="10" t="str">
        <f t="shared" si="173"/>
        <v/>
      </c>
      <c r="DE65" s="9" t="str">
        <f t="shared" si="570"/>
        <v/>
      </c>
      <c r="DF65" s="5" t="str">
        <f t="shared" si="570"/>
        <v/>
      </c>
      <c r="DG65" s="10" t="str">
        <f t="shared" si="175"/>
        <v/>
      </c>
      <c r="DH65" s="70" t="str">
        <f t="shared" si="176"/>
        <v/>
      </c>
      <c r="DI65" s="4" t="str">
        <f t="shared" si="177"/>
        <v/>
      </c>
      <c r="DJ65" s="5" t="str">
        <f t="shared" si="178"/>
        <v/>
      </c>
      <c r="DK65" s="10" t="str">
        <f t="shared" si="179"/>
        <v/>
      </c>
      <c r="DL65" s="9" t="str">
        <f t="shared" si="180"/>
        <v/>
      </c>
      <c r="DM65" s="173" t="str">
        <f t="shared" si="181"/>
        <v/>
      </c>
      <c r="DN65" s="178" t="str">
        <f t="shared" si="182"/>
        <v/>
      </c>
      <c r="DO65" s="9" t="str">
        <f t="shared" si="183"/>
        <v/>
      </c>
      <c r="DP65" s="173" t="str">
        <f t="shared" si="184"/>
        <v/>
      </c>
      <c r="DQ65" s="11" t="str">
        <f t="shared" si="185"/>
        <v/>
      </c>
      <c r="DR65" s="173" t="str">
        <f t="shared" si="186"/>
        <v/>
      </c>
      <c r="DS65" s="5" t="str">
        <f t="shared" si="187"/>
        <v/>
      </c>
      <c r="DT65" s="5" t="str">
        <f t="shared" si="188"/>
        <v/>
      </c>
      <c r="DU65" s="5" t="str">
        <f t="shared" si="189"/>
        <v/>
      </c>
      <c r="DV65" s="5" t="str">
        <f t="shared" si="190"/>
        <v/>
      </c>
      <c r="DW65" s="5" t="str">
        <f t="shared" si="191"/>
        <v/>
      </c>
      <c r="DX65" s="167" t="str">
        <f t="shared" si="192"/>
        <v/>
      </c>
      <c r="DY65" s="9" t="str">
        <f t="shared" si="193"/>
        <v/>
      </c>
      <c r="DZ65" s="5" t="str">
        <f t="shared" si="194"/>
        <v/>
      </c>
      <c r="EA65" s="10" t="str">
        <f t="shared" si="195"/>
        <v/>
      </c>
      <c r="EB65" s="6" t="str">
        <f t="shared" si="196"/>
        <v/>
      </c>
      <c r="EC65" s="173" t="str">
        <f t="shared" si="197"/>
        <v/>
      </c>
      <c r="ED65" s="5" t="str">
        <f t="shared" si="198"/>
        <v/>
      </c>
      <c r="EE65" s="4" t="str">
        <f t="shared" si="199"/>
        <v/>
      </c>
      <c r="EF65" s="5" t="str">
        <f t="shared" si="200"/>
        <v/>
      </c>
      <c r="EG65" s="10" t="str">
        <f t="shared" si="201"/>
        <v/>
      </c>
      <c r="EH65" s="9" t="str">
        <f t="shared" si="202"/>
        <v/>
      </c>
      <c r="EI65" s="5" t="str">
        <f t="shared" si="203"/>
        <v/>
      </c>
      <c r="EJ65" s="6" t="str">
        <f t="shared" si="204"/>
        <v/>
      </c>
      <c r="EK65" s="236" t="str">
        <f t="shared" si="205"/>
        <v/>
      </c>
      <c r="EL65" s="238" t="str">
        <f t="shared" si="206"/>
        <v/>
      </c>
      <c r="EM65" s="4" t="str">
        <f t="shared" si="207"/>
        <v/>
      </c>
      <c r="EN65" s="5" t="str">
        <f t="shared" si="208"/>
        <v/>
      </c>
      <c r="EO65" s="10" t="str">
        <f t="shared" si="209"/>
        <v/>
      </c>
      <c r="EP65" s="9" t="str">
        <f t="shared" si="210"/>
        <v/>
      </c>
      <c r="EQ65" s="5" t="str">
        <f t="shared" si="211"/>
        <v/>
      </c>
      <c r="ER65" s="7" t="str">
        <f t="shared" si="212"/>
        <v/>
      </c>
      <c r="ES65" s="21" t="str">
        <f t="shared" si="411"/>
        <v/>
      </c>
      <c r="ET65" s="5" t="str">
        <f t="shared" si="412"/>
        <v/>
      </c>
      <c r="EU65" s="10" t="str">
        <f t="shared" si="413"/>
        <v/>
      </c>
      <c r="EV65" s="174" t="str">
        <f t="shared" si="571"/>
        <v/>
      </c>
      <c r="EW65" s="9" t="str">
        <f t="shared" si="572"/>
        <v/>
      </c>
      <c r="EX65" s="5" t="str">
        <f t="shared" si="573"/>
        <v/>
      </c>
      <c r="EY65" s="6" t="str">
        <f t="shared" si="213"/>
        <v/>
      </c>
      <c r="EZ65" s="51" t="str">
        <f t="shared" si="214"/>
        <v/>
      </c>
      <c r="FA65" s="173" t="str">
        <f t="shared" si="574"/>
        <v/>
      </c>
      <c r="FB65" s="5" t="str">
        <f t="shared" si="575"/>
        <v/>
      </c>
      <c r="FC65" s="6" t="str">
        <f t="shared" si="576"/>
        <v/>
      </c>
      <c r="FD65" s="4" t="str">
        <f t="shared" si="577"/>
        <v/>
      </c>
      <c r="FE65" s="5" t="str">
        <f t="shared" si="578"/>
        <v/>
      </c>
      <c r="FF65" s="7" t="str">
        <f t="shared" si="215"/>
        <v/>
      </c>
      <c r="FG65" s="173" t="str">
        <f t="shared" si="579"/>
        <v/>
      </c>
      <c r="FH65" s="5" t="str">
        <f t="shared" si="580"/>
        <v/>
      </c>
      <c r="FI65" s="10" t="str">
        <f t="shared" si="581"/>
        <v/>
      </c>
      <c r="FJ65" s="279" t="str">
        <f t="shared" si="217"/>
        <v/>
      </c>
      <c r="FK65" s="4" t="str">
        <f t="shared" si="582"/>
        <v/>
      </c>
      <c r="FL65" s="5" t="str">
        <f t="shared" si="218"/>
        <v/>
      </c>
      <c r="FM65" s="8" t="str">
        <f t="shared" si="219"/>
        <v/>
      </c>
      <c r="FN65" s="9" t="str">
        <f t="shared" si="220"/>
        <v/>
      </c>
      <c r="FO65" s="10" t="str">
        <f t="shared" si="583"/>
        <v/>
      </c>
      <c r="FP65" s="277" t="str">
        <f t="shared" si="584"/>
        <v/>
      </c>
      <c r="FQ65" s="173" t="str">
        <f t="shared" si="251"/>
        <v/>
      </c>
      <c r="FR65" s="10" t="str">
        <f t="shared" si="221"/>
        <v/>
      </c>
      <c r="FS65" s="9" t="str">
        <f t="shared" si="222"/>
        <v/>
      </c>
      <c r="FT65" s="6" t="str">
        <f t="shared" si="223"/>
        <v/>
      </c>
      <c r="FU65" s="4" t="str">
        <f t="shared" si="224"/>
        <v/>
      </c>
      <c r="FV65" s="5" t="str">
        <f t="shared" si="225"/>
        <v/>
      </c>
      <c r="FW65" s="8" t="str">
        <f t="shared" si="252"/>
        <v/>
      </c>
      <c r="FX65" s="9" t="str">
        <f t="shared" si="253"/>
        <v/>
      </c>
      <c r="FY65" s="10" t="str">
        <f t="shared" si="585"/>
        <v/>
      </c>
      <c r="FZ65" s="277" t="str">
        <f t="shared" si="254"/>
        <v/>
      </c>
      <c r="GA65" s="177" t="str">
        <f t="shared" si="226"/>
        <v/>
      </c>
      <c r="GB65" s="4" t="str">
        <f t="shared" si="227"/>
        <v/>
      </c>
      <c r="GC65" s="5" t="str">
        <f t="shared" si="228"/>
        <v/>
      </c>
      <c r="GD65" s="10" t="str">
        <f t="shared" si="229"/>
        <v/>
      </c>
      <c r="GE65" s="311" t="str">
        <f t="shared" si="230"/>
        <v/>
      </c>
      <c r="GF65" s="341" t="str">
        <f t="shared" si="255"/>
        <v/>
      </c>
      <c r="GG65" s="285" t="str">
        <f t="shared" si="586"/>
        <v/>
      </c>
      <c r="GH65" s="286" t="str">
        <f t="shared" si="587"/>
        <v/>
      </c>
      <c r="GI65" s="281" t="str">
        <f t="shared" si="588"/>
        <v/>
      </c>
      <c r="GJ65" s="167" t="str">
        <f t="shared" si="231"/>
        <v/>
      </c>
      <c r="GK65" s="174" t="str">
        <f t="shared" si="589"/>
        <v/>
      </c>
      <c r="GL65" s="174" t="str">
        <f t="shared" si="232"/>
        <v/>
      </c>
      <c r="GM65" s="177" t="str">
        <f t="shared" si="256"/>
        <v/>
      </c>
      <c r="GN65" s="280" t="str">
        <f t="shared" si="233"/>
        <v/>
      </c>
      <c r="GO65" s="4" t="str">
        <f t="shared" si="234"/>
        <v/>
      </c>
      <c r="GP65" s="8" t="str">
        <f t="shared" si="257"/>
        <v/>
      </c>
      <c r="GQ65" s="177" t="str">
        <f t="shared" si="235"/>
        <v/>
      </c>
      <c r="GR65" s="371" t="str">
        <f t="shared" si="258"/>
        <v/>
      </c>
      <c r="GS65" s="342" t="str">
        <f t="shared" si="590"/>
        <v/>
      </c>
      <c r="GT65" s="343" t="str">
        <f t="shared" si="591"/>
        <v/>
      </c>
      <c r="GU65" s="344" t="str">
        <f t="shared" si="592"/>
        <v/>
      </c>
      <c r="GV65" s="343" t="str">
        <f t="shared" si="265"/>
        <v/>
      </c>
      <c r="GW65" s="345" t="str">
        <f t="shared" si="593"/>
        <v/>
      </c>
      <c r="GX65" s="346" t="str">
        <f t="shared" si="594"/>
        <v/>
      </c>
      <c r="GY65" s="344" t="str">
        <f t="shared" si="595"/>
        <v/>
      </c>
      <c r="GZ65" s="345" t="str">
        <f t="shared" si="596"/>
        <v/>
      </c>
      <c r="HA65" s="342" t="str">
        <f t="shared" si="597"/>
        <v/>
      </c>
      <c r="HB65" s="5" t="str">
        <f t="shared" si="236"/>
        <v/>
      </c>
      <c r="HC65" s="343" t="str">
        <f t="shared" si="237"/>
        <v/>
      </c>
      <c r="HD65" s="363" t="str">
        <f t="shared" si="238"/>
        <v/>
      </c>
      <c r="HE65" s="344" t="str">
        <f t="shared" si="598"/>
        <v/>
      </c>
      <c r="HF65" s="5" t="str">
        <f t="shared" si="599"/>
        <v/>
      </c>
      <c r="HG65" s="343" t="str">
        <f t="shared" si="239"/>
        <v/>
      </c>
      <c r="HH65" s="349" t="str">
        <f t="shared" si="240"/>
        <v/>
      </c>
      <c r="HI65" s="317" t="str">
        <f t="shared" si="467"/>
        <v/>
      </c>
      <c r="HK65" s="310" t="str">
        <f t="shared" si="520"/>
        <v/>
      </c>
      <c r="HL65" s="348" t="str">
        <f t="shared" si="468"/>
        <v/>
      </c>
      <c r="HM65" s="923" t="str">
        <f t="shared" si="469"/>
        <v/>
      </c>
      <c r="HN65" s="924" t="str">
        <f t="shared" si="470"/>
        <v/>
      </c>
      <c r="HO65" s="925"/>
      <c r="HP65" s="926"/>
      <c r="HQ65" s="924" t="str">
        <f t="shared" si="471"/>
        <v/>
      </c>
      <c r="HR65" s="927" t="str">
        <f t="shared" si="472"/>
        <v/>
      </c>
      <c r="HS65" s="879" t="str">
        <f t="shared" si="521"/>
        <v/>
      </c>
      <c r="HT65" s="889" t="str">
        <f t="shared" si="473"/>
        <v/>
      </c>
      <c r="HU65" s="890" t="str">
        <f t="shared" si="474"/>
        <v/>
      </c>
      <c r="HV65" s="886" t="str">
        <f t="shared" si="475"/>
        <v/>
      </c>
      <c r="HW65" s="880" t="str">
        <f t="shared" si="476"/>
        <v/>
      </c>
      <c r="HX65" s="881" t="str">
        <f t="shared" si="477"/>
        <v/>
      </c>
      <c r="HY65" s="880" t="str">
        <f t="shared" si="478"/>
        <v/>
      </c>
      <c r="HZ65" s="882" t="str">
        <f t="shared" si="479"/>
        <v/>
      </c>
      <c r="IA65" s="883" t="str">
        <f t="shared" si="480"/>
        <v/>
      </c>
      <c r="IB65" s="884" t="str">
        <f t="shared" si="481"/>
        <v/>
      </c>
      <c r="IC65" s="855" t="str">
        <f t="shared" si="482"/>
        <v/>
      </c>
      <c r="ID65" s="351" t="str">
        <f t="shared" si="483"/>
        <v/>
      </c>
      <c r="IE65" s="857" t="str">
        <f t="shared" si="484"/>
        <v/>
      </c>
      <c r="IF65" s="858"/>
      <c r="IG65" s="790" t="str">
        <f>IFERROR(IF($IW65="","",IF($IW65&lt;(((Settings!$C$19/2)*-1)*$IG$8),"Taper","Nose")),"")</f>
        <v/>
      </c>
      <c r="IH65" s="482" t="str">
        <f>IFERROR(IF((((($IY65*COS(RADIANS(180-$JA65)))*COS(RADIANS($JA65)))-(($IZ65*SIN(RADIANS(180-$JA65)))*SIN(RADIANS($JA65))))+$IW65)&lt;(((Settings!$C$19+$IH$8)/2)*-1),"Gage",""),"")</f>
        <v/>
      </c>
      <c r="II65" s="788" t="str">
        <f t="shared" si="241"/>
        <v/>
      </c>
      <c r="IJ65" s="674" t="str" cm="1">
        <f t="array" ref="IJ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K65" s="677" t="str" cm="1">
        <f t="array" ref="IK65">IFERROR(ROUND(VALUE(IF($IJ65&lt;1,$IJ65+LARGE((IF($M$9:$M$150="",0,$M$9:$M$150)-MOD(IF($M$9:$M$150="",0,$M$9:$M$150),1)),1),$IJ65)),4),"")</f>
        <v/>
      </c>
      <c r="IL65" s="482" t="str">
        <f t="shared" si="485"/>
        <v/>
      </c>
      <c r="IM65" s="482" t="str">
        <f t="shared" si="242"/>
        <v/>
      </c>
      <c r="IN65" s="670" t="str">
        <f t="shared" si="486"/>
        <v/>
      </c>
      <c r="IO65" s="702">
        <v>4.0160650002847499E-2</v>
      </c>
      <c r="IP65" s="5" t="str">
        <f t="shared" si="487"/>
        <v/>
      </c>
      <c r="IQ65" s="714">
        <v>80</v>
      </c>
      <c r="IR65" s="9" t="str">
        <f t="shared" si="488"/>
        <v/>
      </c>
      <c r="IS65" s="5" t="str">
        <f t="shared" si="489"/>
        <v/>
      </c>
      <c r="IT65" s="5" t="str">
        <f t="shared" si="490"/>
        <v/>
      </c>
      <c r="IU65" s="5" t="str">
        <f t="shared" si="491"/>
        <v/>
      </c>
      <c r="IV65" s="670" t="str">
        <f t="shared" si="492"/>
        <v/>
      </c>
      <c r="IW65" s="9" t="str">
        <f t="shared" si="493"/>
        <v/>
      </c>
      <c r="IX65" s="5" t="str">
        <f t="shared" si="494"/>
        <v/>
      </c>
      <c r="IY65" s="5" t="str">
        <f t="shared" si="495"/>
        <v/>
      </c>
      <c r="IZ65" s="5" t="str">
        <f t="shared" si="496"/>
        <v/>
      </c>
      <c r="JA65" s="705" t="str">
        <f t="shared" si="497"/>
        <v/>
      </c>
      <c r="JM65" s="489" t="e">
        <f t="shared" si="133"/>
        <v>#VALUE!</v>
      </c>
      <c r="JN65" s="960" t="e">
        <f>($JO65-SMALL($JO$9:$JO$88,1))/((Settings!$C$19/2)-((Settings!$C$19/2)-LARGE($JO$9:$JO$88,1))-SMALL($JO$9:$JO$88,1))</f>
        <v>#VALUE!</v>
      </c>
      <c r="JO65" s="162" t="str">
        <f t="shared" si="134"/>
        <v/>
      </c>
      <c r="JP65" s="961" t="str">
        <f t="shared" si="135"/>
        <v/>
      </c>
      <c r="JQ65" s="961" t="str">
        <f t="shared" si="136"/>
        <v/>
      </c>
      <c r="JU65" s="962"/>
      <c r="JV65" s="959"/>
      <c r="JW65" s="959"/>
    </row>
    <row r="66" spans="1:283" ht="15" customHeight="1" x14ac:dyDescent="0.25">
      <c r="A66" s="75" t="str">
        <f t="shared" si="322"/>
        <v/>
      </c>
      <c r="B66" s="578" t="str">
        <f t="shared" ref="B66:D66" si="623">IFERROR(O221+($A66*-E66),"")</f>
        <v/>
      </c>
      <c r="C66" s="572" t="str">
        <f t="shared" si="623"/>
        <v/>
      </c>
      <c r="D66" s="576" t="str">
        <f t="shared" si="623"/>
        <v/>
      </c>
      <c r="E66" s="580" t="str">
        <f t="shared" ref="E66:K66" si="624">R221</f>
        <v/>
      </c>
      <c r="F66" s="572" t="str">
        <f t="shared" si="624"/>
        <v/>
      </c>
      <c r="G66" s="579" t="str">
        <f t="shared" si="624"/>
        <v/>
      </c>
      <c r="H66" s="580" t="str">
        <f t="shared" si="624"/>
        <v/>
      </c>
      <c r="I66" s="572" t="str">
        <f t="shared" si="624"/>
        <v/>
      </c>
      <c r="J66" s="483" t="str">
        <f t="shared" si="94"/>
        <v/>
      </c>
      <c r="K66" s="806" t="str">
        <f t="shared" si="624"/>
        <v/>
      </c>
      <c r="L66" s="309"/>
      <c r="M66" s="164" t="str">
        <f t="shared" si="325"/>
        <v/>
      </c>
      <c r="N66" s="575" t="str">
        <f t="shared" si="326"/>
        <v/>
      </c>
      <c r="O66" s="572" t="str">
        <f t="shared" si="327"/>
        <v/>
      </c>
      <c r="P66" s="576" t="str">
        <f t="shared" si="328"/>
        <v/>
      </c>
      <c r="Q66" s="528" t="str">
        <f t="shared" si="144"/>
        <v/>
      </c>
      <c r="R66" s="572" t="str">
        <f t="shared" si="95"/>
        <v/>
      </c>
      <c r="S66" s="577" t="str">
        <f t="shared" si="96"/>
        <v/>
      </c>
      <c r="T66" s="578" t="str">
        <f t="shared" si="97"/>
        <v/>
      </c>
      <c r="U66" s="572" t="str">
        <f t="shared" si="98"/>
        <v/>
      </c>
      <c r="V66" s="579" t="str">
        <f t="shared" si="145"/>
        <v/>
      </c>
      <c r="W66" s="528" t="str">
        <f t="shared" si="268"/>
        <v/>
      </c>
      <c r="X66" s="572" t="str">
        <f t="shared" si="99"/>
        <v/>
      </c>
      <c r="Y66" s="573" t="str">
        <f t="shared" si="271"/>
        <v/>
      </c>
      <c r="Z66" s="575" t="str">
        <f t="shared" si="329"/>
        <v/>
      </c>
      <c r="AA66" s="572" t="str">
        <f t="shared" si="330"/>
        <v/>
      </c>
      <c r="AB66" s="572" t="str">
        <f t="shared" si="331"/>
        <v/>
      </c>
      <c r="AC66" s="579" t="str">
        <f t="shared" si="100"/>
        <v/>
      </c>
      <c r="AD66" s="580" t="str">
        <f t="shared" si="146"/>
        <v/>
      </c>
      <c r="AE66" s="572" t="str">
        <f t="shared" si="101"/>
        <v/>
      </c>
      <c r="AF66" s="576" t="str">
        <f t="shared" si="102"/>
        <v/>
      </c>
      <c r="AG66" s="545" t="str">
        <f t="shared" si="103"/>
        <v/>
      </c>
      <c r="AH66" s="546" t="str">
        <f t="shared" si="104"/>
        <v/>
      </c>
      <c r="AI66" s="528" t="str">
        <f t="shared" si="105"/>
        <v/>
      </c>
      <c r="AJ66" s="529" t="str">
        <f t="shared" si="106"/>
        <v/>
      </c>
      <c r="AK66" s="578" t="str">
        <f t="shared" si="247"/>
        <v/>
      </c>
      <c r="AL66" s="572" t="str">
        <f t="shared" si="107"/>
        <v/>
      </c>
      <c r="AM66" s="577" t="str">
        <f t="shared" si="108"/>
        <v/>
      </c>
      <c r="AN66" s="524" t="str">
        <f t="shared" si="109"/>
        <v/>
      </c>
      <c r="AO66" s="525" t="str">
        <f t="shared" si="604"/>
        <v/>
      </c>
      <c r="AP66" s="528" t="str">
        <f t="shared" si="111"/>
        <v/>
      </c>
      <c r="AQ66" s="529" t="str">
        <f t="shared" si="332"/>
        <v/>
      </c>
      <c r="AR66" s="979"/>
      <c r="AS66" s="954" t="str">
        <f t="shared" si="524"/>
        <v/>
      </c>
      <c r="AT66" s="950" t="str">
        <f t="shared" si="333"/>
        <v/>
      </c>
      <c r="AU66" s="418"/>
      <c r="AV66" s="164" t="str">
        <f t="shared" si="334"/>
        <v/>
      </c>
      <c r="AW66" s="797" t="str">
        <f>IFERROR(INDEX(MassProp!C$9:C$150,MATCH($M66,MassProp!$B$9:$B$150,0)),"")</f>
        <v/>
      </c>
      <c r="AX66" s="744" t="str">
        <f>IFERROR(INDEX(MassProp!D$9:D$150,MATCH($M66,MassProp!$B$9:$B$150,0)),"")</f>
        <v/>
      </c>
      <c r="AY66" s="731" t="str">
        <f>IFERROR(INDEX(MassProp!E$9:E$150,MATCH($M66,MassProp!$B$9:$B$150,0)),"")</f>
        <v/>
      </c>
      <c r="AZ66" s="297" t="str">
        <f t="shared" si="148"/>
        <v/>
      </c>
      <c r="BA66" s="296" t="str">
        <f t="shared" si="336"/>
        <v/>
      </c>
      <c r="BB66" s="177" t="str">
        <f t="shared" si="149"/>
        <v/>
      </c>
      <c r="BC66" s="9"/>
      <c r="BD66" s="5" t="str">
        <f t="shared" si="150"/>
        <v/>
      </c>
      <c r="BE66" s="6" t="str">
        <f t="shared" si="338"/>
        <v/>
      </c>
      <c r="BF66" s="4" t="str">
        <f t="shared" si="339"/>
        <v/>
      </c>
      <c r="BG66" s="5" t="str">
        <f t="shared" si="340"/>
        <v/>
      </c>
      <c r="BH66" s="10" t="str">
        <f t="shared" si="341"/>
        <v/>
      </c>
      <c r="BI66" s="9" t="str">
        <f t="shared" si="151"/>
        <v/>
      </c>
      <c r="BJ66" s="5" t="str">
        <f t="shared" si="343"/>
        <v/>
      </c>
      <c r="BK66" s="8" t="str">
        <f t="shared" si="344"/>
        <v/>
      </c>
      <c r="BL66" s="173" t="str">
        <f t="shared" si="345"/>
        <v/>
      </c>
      <c r="BM66" s="5" t="str">
        <f t="shared" si="346"/>
        <v/>
      </c>
      <c r="BN66" s="6" t="str">
        <f t="shared" si="347"/>
        <v/>
      </c>
      <c r="BO66" s="4" t="str">
        <f t="shared" si="152"/>
        <v/>
      </c>
      <c r="BP66" s="5" t="str">
        <f t="shared" si="153"/>
        <v/>
      </c>
      <c r="BQ66" s="5" t="str">
        <f t="shared" si="154"/>
        <v/>
      </c>
      <c r="BR66" s="6" t="str">
        <f t="shared" si="155"/>
        <v/>
      </c>
      <c r="BS66" s="4" t="str">
        <f t="shared" si="568"/>
        <v/>
      </c>
      <c r="BT66" s="5" t="str">
        <f t="shared" si="568"/>
        <v/>
      </c>
      <c r="BU66" s="10" t="str">
        <f t="shared" si="113"/>
        <v/>
      </c>
      <c r="BV66" s="9" t="str">
        <f t="shared" si="114"/>
        <v/>
      </c>
      <c r="BW66" s="5" t="str">
        <f t="shared" si="115"/>
        <v/>
      </c>
      <c r="BX66" s="8" t="str">
        <f t="shared" si="116"/>
        <v/>
      </c>
      <c r="BY66" s="173" t="str">
        <f t="shared" si="117"/>
        <v/>
      </c>
      <c r="BZ66" s="5" t="str">
        <f t="shared" si="118"/>
        <v/>
      </c>
      <c r="CA66" s="6" t="str">
        <f t="shared" si="119"/>
        <v/>
      </c>
      <c r="CB66" s="4" t="str">
        <f t="shared" si="156"/>
        <v/>
      </c>
      <c r="CC66" s="5" t="str">
        <f t="shared" si="157"/>
        <v/>
      </c>
      <c r="CD66" s="5" t="str">
        <f t="shared" si="158"/>
        <v/>
      </c>
      <c r="CE66" s="6" t="str">
        <f t="shared" si="159"/>
        <v/>
      </c>
      <c r="CF66" s="4" t="str">
        <f t="shared" si="160"/>
        <v/>
      </c>
      <c r="CG66" s="5" t="str">
        <f t="shared" si="161"/>
        <v/>
      </c>
      <c r="CH66" s="5" t="str">
        <f t="shared" si="162"/>
        <v/>
      </c>
      <c r="CI66" s="4" t="str">
        <f t="shared" si="120"/>
        <v/>
      </c>
      <c r="CJ66" s="5" t="str">
        <f t="shared" si="121"/>
        <v/>
      </c>
      <c r="CK66" s="8" t="str">
        <f t="shared" si="122"/>
        <v/>
      </c>
      <c r="CL66" s="173" t="str">
        <f t="shared" si="123"/>
        <v/>
      </c>
      <c r="CM66" s="5" t="str">
        <f t="shared" si="124"/>
        <v/>
      </c>
      <c r="CN66" s="6" t="str">
        <f t="shared" si="125"/>
        <v/>
      </c>
      <c r="CO66" s="167" t="str">
        <f t="shared" si="364"/>
        <v/>
      </c>
      <c r="CP66" s="4" t="str">
        <f t="shared" si="248"/>
        <v/>
      </c>
      <c r="CQ66" s="5" t="str">
        <f t="shared" si="249"/>
        <v/>
      </c>
      <c r="CR66" s="5" t="str">
        <f t="shared" si="163"/>
        <v/>
      </c>
      <c r="CS66" s="8" t="str">
        <f t="shared" si="164"/>
        <v/>
      </c>
      <c r="CT66" s="9" t="str">
        <f t="shared" si="165"/>
        <v/>
      </c>
      <c r="CU66" s="6" t="str">
        <f t="shared" si="166"/>
        <v/>
      </c>
      <c r="CV66" s="4" t="str">
        <f t="shared" si="250"/>
        <v/>
      </c>
      <c r="CW66" s="5" t="str">
        <f t="shared" si="167"/>
        <v/>
      </c>
      <c r="CX66" s="8" t="str">
        <f t="shared" si="168"/>
        <v/>
      </c>
      <c r="CY66" s="9" t="str">
        <f t="shared" si="169"/>
        <v/>
      </c>
      <c r="CZ66" s="5" t="str">
        <f t="shared" si="170"/>
        <v/>
      </c>
      <c r="DA66" s="6" t="str">
        <f t="shared" si="171"/>
        <v/>
      </c>
      <c r="DB66" s="4" t="str">
        <f t="shared" si="569"/>
        <v/>
      </c>
      <c r="DC66" s="5" t="str">
        <f t="shared" si="569"/>
        <v/>
      </c>
      <c r="DD66" s="10" t="str">
        <f t="shared" si="173"/>
        <v/>
      </c>
      <c r="DE66" s="9" t="str">
        <f t="shared" si="570"/>
        <v/>
      </c>
      <c r="DF66" s="5" t="str">
        <f t="shared" si="570"/>
        <v/>
      </c>
      <c r="DG66" s="10" t="str">
        <f t="shared" si="175"/>
        <v/>
      </c>
      <c r="DH66" s="70" t="str">
        <f t="shared" si="176"/>
        <v/>
      </c>
      <c r="DI66" s="4" t="str">
        <f t="shared" si="177"/>
        <v/>
      </c>
      <c r="DJ66" s="5" t="str">
        <f t="shared" si="178"/>
        <v/>
      </c>
      <c r="DK66" s="10" t="str">
        <f t="shared" si="179"/>
        <v/>
      </c>
      <c r="DL66" s="9" t="str">
        <f t="shared" si="180"/>
        <v/>
      </c>
      <c r="DM66" s="173" t="str">
        <f t="shared" si="181"/>
        <v/>
      </c>
      <c r="DN66" s="178" t="str">
        <f t="shared" si="182"/>
        <v/>
      </c>
      <c r="DO66" s="9" t="str">
        <f t="shared" si="183"/>
        <v/>
      </c>
      <c r="DP66" s="173" t="str">
        <f t="shared" si="184"/>
        <v/>
      </c>
      <c r="DQ66" s="11" t="str">
        <f t="shared" si="185"/>
        <v/>
      </c>
      <c r="DR66" s="173" t="str">
        <f t="shared" si="186"/>
        <v/>
      </c>
      <c r="DS66" s="5" t="str">
        <f t="shared" si="187"/>
        <v/>
      </c>
      <c r="DT66" s="5" t="str">
        <f t="shared" si="188"/>
        <v/>
      </c>
      <c r="DU66" s="5" t="str">
        <f t="shared" si="189"/>
        <v/>
      </c>
      <c r="DV66" s="5" t="str">
        <f t="shared" si="190"/>
        <v/>
      </c>
      <c r="DW66" s="5" t="str">
        <f t="shared" si="191"/>
        <v/>
      </c>
      <c r="DX66" s="167" t="str">
        <f t="shared" si="192"/>
        <v/>
      </c>
      <c r="DY66" s="9" t="str">
        <f t="shared" si="193"/>
        <v/>
      </c>
      <c r="DZ66" s="5" t="str">
        <f t="shared" si="194"/>
        <v/>
      </c>
      <c r="EA66" s="10" t="str">
        <f t="shared" si="195"/>
        <v/>
      </c>
      <c r="EB66" s="6" t="str">
        <f t="shared" si="196"/>
        <v/>
      </c>
      <c r="EC66" s="173" t="str">
        <f t="shared" si="197"/>
        <v/>
      </c>
      <c r="ED66" s="5" t="str">
        <f t="shared" si="198"/>
        <v/>
      </c>
      <c r="EE66" s="4" t="str">
        <f t="shared" si="199"/>
        <v/>
      </c>
      <c r="EF66" s="5" t="str">
        <f t="shared" si="200"/>
        <v/>
      </c>
      <c r="EG66" s="10" t="str">
        <f t="shared" si="201"/>
        <v/>
      </c>
      <c r="EH66" s="9" t="str">
        <f t="shared" si="202"/>
        <v/>
      </c>
      <c r="EI66" s="5" t="str">
        <f t="shared" si="203"/>
        <v/>
      </c>
      <c r="EJ66" s="6" t="str">
        <f t="shared" si="204"/>
        <v/>
      </c>
      <c r="EK66" s="236" t="str">
        <f t="shared" si="205"/>
        <v/>
      </c>
      <c r="EL66" s="238" t="str">
        <f t="shared" si="206"/>
        <v/>
      </c>
      <c r="EM66" s="4" t="str">
        <f t="shared" si="207"/>
        <v/>
      </c>
      <c r="EN66" s="5" t="str">
        <f t="shared" si="208"/>
        <v/>
      </c>
      <c r="EO66" s="10" t="str">
        <f t="shared" si="209"/>
        <v/>
      </c>
      <c r="EP66" s="9" t="str">
        <f t="shared" si="210"/>
        <v/>
      </c>
      <c r="EQ66" s="5" t="str">
        <f t="shared" si="211"/>
        <v/>
      </c>
      <c r="ER66" s="7" t="str">
        <f t="shared" si="212"/>
        <v/>
      </c>
      <c r="ES66" s="21" t="str">
        <f t="shared" si="411"/>
        <v/>
      </c>
      <c r="ET66" s="5" t="str">
        <f t="shared" si="412"/>
        <v/>
      </c>
      <c r="EU66" s="10" t="str">
        <f t="shared" si="413"/>
        <v/>
      </c>
      <c r="EV66" s="174" t="str">
        <f t="shared" si="571"/>
        <v/>
      </c>
      <c r="EW66" s="9" t="str">
        <f t="shared" si="572"/>
        <v/>
      </c>
      <c r="EX66" s="5" t="str">
        <f t="shared" si="573"/>
        <v/>
      </c>
      <c r="EY66" s="6" t="str">
        <f t="shared" si="213"/>
        <v/>
      </c>
      <c r="EZ66" s="51" t="str">
        <f t="shared" si="214"/>
        <v/>
      </c>
      <c r="FA66" s="173" t="str">
        <f t="shared" si="574"/>
        <v/>
      </c>
      <c r="FB66" s="5" t="str">
        <f t="shared" si="575"/>
        <v/>
      </c>
      <c r="FC66" s="6" t="str">
        <f t="shared" si="576"/>
        <v/>
      </c>
      <c r="FD66" s="4" t="str">
        <f t="shared" si="577"/>
        <v/>
      </c>
      <c r="FE66" s="5" t="str">
        <f t="shared" si="578"/>
        <v/>
      </c>
      <c r="FF66" s="7" t="str">
        <f t="shared" si="215"/>
        <v/>
      </c>
      <c r="FG66" s="173" t="str">
        <f t="shared" si="579"/>
        <v/>
      </c>
      <c r="FH66" s="5" t="str">
        <f t="shared" si="580"/>
        <v/>
      </c>
      <c r="FI66" s="10" t="str">
        <f t="shared" si="581"/>
        <v/>
      </c>
      <c r="FJ66" s="279" t="str">
        <f t="shared" si="217"/>
        <v/>
      </c>
      <c r="FK66" s="4" t="str">
        <f t="shared" si="582"/>
        <v/>
      </c>
      <c r="FL66" s="5" t="str">
        <f t="shared" si="218"/>
        <v/>
      </c>
      <c r="FM66" s="8" t="str">
        <f t="shared" si="219"/>
        <v/>
      </c>
      <c r="FN66" s="9" t="str">
        <f t="shared" si="220"/>
        <v/>
      </c>
      <c r="FO66" s="10" t="str">
        <f t="shared" si="583"/>
        <v/>
      </c>
      <c r="FP66" s="277" t="str">
        <f t="shared" si="584"/>
        <v/>
      </c>
      <c r="FQ66" s="173" t="str">
        <f t="shared" si="251"/>
        <v/>
      </c>
      <c r="FR66" s="10" t="str">
        <f t="shared" si="221"/>
        <v/>
      </c>
      <c r="FS66" s="9" t="str">
        <f t="shared" si="222"/>
        <v/>
      </c>
      <c r="FT66" s="6" t="str">
        <f t="shared" si="223"/>
        <v/>
      </c>
      <c r="FU66" s="4" t="str">
        <f t="shared" si="224"/>
        <v/>
      </c>
      <c r="FV66" s="5" t="str">
        <f t="shared" si="225"/>
        <v/>
      </c>
      <c r="FW66" s="8" t="str">
        <f t="shared" si="252"/>
        <v/>
      </c>
      <c r="FX66" s="9" t="str">
        <f t="shared" si="253"/>
        <v/>
      </c>
      <c r="FY66" s="10" t="str">
        <f t="shared" si="585"/>
        <v/>
      </c>
      <c r="FZ66" s="277" t="str">
        <f t="shared" si="254"/>
        <v/>
      </c>
      <c r="GA66" s="177" t="str">
        <f t="shared" si="226"/>
        <v/>
      </c>
      <c r="GB66" s="4" t="str">
        <f t="shared" si="227"/>
        <v/>
      </c>
      <c r="GC66" s="5" t="str">
        <f t="shared" si="228"/>
        <v/>
      </c>
      <c r="GD66" s="10" t="str">
        <f t="shared" si="229"/>
        <v/>
      </c>
      <c r="GE66" s="311" t="str">
        <f t="shared" si="230"/>
        <v/>
      </c>
      <c r="GF66" s="341" t="str">
        <f t="shared" si="255"/>
        <v/>
      </c>
      <c r="GG66" s="285" t="str">
        <f t="shared" si="586"/>
        <v/>
      </c>
      <c r="GH66" s="286" t="str">
        <f t="shared" si="587"/>
        <v/>
      </c>
      <c r="GI66" s="281" t="str">
        <f t="shared" si="588"/>
        <v/>
      </c>
      <c r="GJ66" s="167" t="str">
        <f t="shared" si="231"/>
        <v/>
      </c>
      <c r="GK66" s="174" t="str">
        <f t="shared" si="589"/>
        <v/>
      </c>
      <c r="GL66" s="174" t="str">
        <f t="shared" si="232"/>
        <v/>
      </c>
      <c r="GM66" s="177" t="str">
        <f t="shared" si="256"/>
        <v/>
      </c>
      <c r="GN66" s="280" t="str">
        <f t="shared" si="233"/>
        <v/>
      </c>
      <c r="GO66" s="4" t="str">
        <f t="shared" si="234"/>
        <v/>
      </c>
      <c r="GP66" s="8" t="str">
        <f t="shared" si="257"/>
        <v/>
      </c>
      <c r="GQ66" s="177" t="str">
        <f t="shared" si="235"/>
        <v/>
      </c>
      <c r="GR66" s="371" t="str">
        <f t="shared" si="258"/>
        <v/>
      </c>
      <c r="GS66" s="342" t="str">
        <f t="shared" si="590"/>
        <v/>
      </c>
      <c r="GT66" s="343" t="str">
        <f t="shared" si="591"/>
        <v/>
      </c>
      <c r="GU66" s="344" t="str">
        <f t="shared" si="592"/>
        <v/>
      </c>
      <c r="GV66" s="343" t="str">
        <f t="shared" si="265"/>
        <v/>
      </c>
      <c r="GW66" s="345" t="str">
        <f t="shared" si="593"/>
        <v/>
      </c>
      <c r="GX66" s="346" t="str">
        <f t="shared" si="594"/>
        <v/>
      </c>
      <c r="GY66" s="344" t="str">
        <f t="shared" si="595"/>
        <v/>
      </c>
      <c r="GZ66" s="345" t="str">
        <f t="shared" si="596"/>
        <v/>
      </c>
      <c r="HA66" s="342" t="str">
        <f t="shared" si="597"/>
        <v/>
      </c>
      <c r="HB66" s="5" t="str">
        <f t="shared" si="236"/>
        <v/>
      </c>
      <c r="HC66" s="343" t="str">
        <f t="shared" si="237"/>
        <v/>
      </c>
      <c r="HD66" s="363" t="str">
        <f t="shared" si="238"/>
        <v/>
      </c>
      <c r="HE66" s="344" t="str">
        <f t="shared" si="598"/>
        <v/>
      </c>
      <c r="HF66" s="5" t="str">
        <f t="shared" si="599"/>
        <v/>
      </c>
      <c r="HG66" s="343" t="str">
        <f t="shared" si="239"/>
        <v/>
      </c>
      <c r="HH66" s="349" t="str">
        <f t="shared" si="240"/>
        <v/>
      </c>
      <c r="HI66" s="317" t="str">
        <f t="shared" si="467"/>
        <v/>
      </c>
      <c r="HK66" s="310" t="str">
        <f t="shared" si="520"/>
        <v/>
      </c>
      <c r="HL66" s="348" t="str">
        <f t="shared" si="468"/>
        <v/>
      </c>
      <c r="HM66" s="923" t="str">
        <f t="shared" si="469"/>
        <v/>
      </c>
      <c r="HN66" s="924" t="str">
        <f t="shared" si="470"/>
        <v/>
      </c>
      <c r="HO66" s="925"/>
      <c r="HP66" s="926"/>
      <c r="HQ66" s="924" t="str">
        <f t="shared" si="471"/>
        <v/>
      </c>
      <c r="HR66" s="927" t="str">
        <f t="shared" si="472"/>
        <v/>
      </c>
      <c r="HS66" s="879" t="str">
        <f t="shared" si="521"/>
        <v/>
      </c>
      <c r="HT66" s="889" t="str">
        <f t="shared" si="473"/>
        <v/>
      </c>
      <c r="HU66" s="890" t="str">
        <f t="shared" si="474"/>
        <v/>
      </c>
      <c r="HV66" s="886" t="str">
        <f t="shared" si="475"/>
        <v/>
      </c>
      <c r="HW66" s="880" t="str">
        <f t="shared" si="476"/>
        <v/>
      </c>
      <c r="HX66" s="881" t="str">
        <f t="shared" si="477"/>
        <v/>
      </c>
      <c r="HY66" s="880" t="str">
        <f t="shared" si="478"/>
        <v/>
      </c>
      <c r="HZ66" s="882" t="str">
        <f t="shared" si="479"/>
        <v/>
      </c>
      <c r="IA66" s="883" t="str">
        <f t="shared" si="480"/>
        <v/>
      </c>
      <c r="IB66" s="884" t="str">
        <f t="shared" si="481"/>
        <v/>
      </c>
      <c r="IC66" s="855" t="str">
        <f t="shared" si="482"/>
        <v/>
      </c>
      <c r="ID66" s="351" t="str">
        <f t="shared" si="483"/>
        <v/>
      </c>
      <c r="IE66" s="857" t="str">
        <f t="shared" si="484"/>
        <v/>
      </c>
      <c r="IF66" s="858"/>
      <c r="IG66" s="790" t="str">
        <f>IFERROR(IF($IW66="","",IF($IW66&lt;(((Settings!$C$19/2)*-1)*$IG$8),"Taper","Nose")),"")</f>
        <v/>
      </c>
      <c r="IH66" s="482" t="str">
        <f>IFERROR(IF((((($IY66*COS(RADIANS(180-$JA66)))*COS(RADIANS($JA66)))-(($IZ66*SIN(RADIANS(180-$JA66)))*SIN(RADIANS($JA66))))+$IW66)&lt;(((Settings!$C$19+$IH$8)/2)*-1),"Gage",""),"")</f>
        <v/>
      </c>
      <c r="II66" s="788" t="str">
        <f t="shared" si="241"/>
        <v/>
      </c>
      <c r="IJ66" s="674" t="str" cm="1">
        <f t="array" ref="IJ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K66" s="677" t="str" cm="1">
        <f t="array" ref="IK66">IFERROR(ROUND(VALUE(IF($IJ66&lt;1,$IJ66+LARGE((IF($M$9:$M$150="",0,$M$9:$M$150)-MOD(IF($M$9:$M$150="",0,$M$9:$M$150),1)),1),$IJ66)),4),"")</f>
        <v/>
      </c>
      <c r="IL66" s="482" t="str">
        <f t="shared" si="485"/>
        <v/>
      </c>
      <c r="IM66" s="482" t="str">
        <f t="shared" si="242"/>
        <v/>
      </c>
      <c r="IN66" s="670" t="str">
        <f t="shared" si="486"/>
        <v/>
      </c>
      <c r="IO66" s="702">
        <v>9.7570712488985693E-3</v>
      </c>
      <c r="IP66" s="5" t="str">
        <f t="shared" si="487"/>
        <v/>
      </c>
      <c r="IQ66" s="714">
        <v>150</v>
      </c>
      <c r="IR66" s="9" t="str">
        <f t="shared" si="488"/>
        <v/>
      </c>
      <c r="IS66" s="5" t="str">
        <f t="shared" si="489"/>
        <v/>
      </c>
      <c r="IT66" s="5" t="str">
        <f t="shared" si="490"/>
        <v/>
      </c>
      <c r="IU66" s="5" t="str">
        <f t="shared" si="491"/>
        <v/>
      </c>
      <c r="IV66" s="670" t="str">
        <f t="shared" si="492"/>
        <v/>
      </c>
      <c r="IW66" s="9" t="str">
        <f t="shared" si="493"/>
        <v/>
      </c>
      <c r="IX66" s="5" t="str">
        <f t="shared" si="494"/>
        <v/>
      </c>
      <c r="IY66" s="5" t="str">
        <f t="shared" si="495"/>
        <v/>
      </c>
      <c r="IZ66" s="5" t="str">
        <f t="shared" si="496"/>
        <v/>
      </c>
      <c r="JA66" s="705" t="str">
        <f t="shared" si="497"/>
        <v/>
      </c>
      <c r="JM66" s="489" t="e">
        <f t="shared" si="133"/>
        <v>#VALUE!</v>
      </c>
      <c r="JN66" s="960" t="e">
        <f>($JO66-SMALL($JO$9:$JO$88,1))/((Settings!$C$19/2)-((Settings!$C$19/2)-LARGE($JO$9:$JO$88,1))-SMALL($JO$9:$JO$88,1))</f>
        <v>#VALUE!</v>
      </c>
      <c r="JO66" s="162" t="str">
        <f t="shared" si="134"/>
        <v/>
      </c>
      <c r="JP66" s="961" t="str">
        <f t="shared" si="135"/>
        <v/>
      </c>
      <c r="JQ66" s="961" t="str">
        <f t="shared" si="136"/>
        <v/>
      </c>
      <c r="JU66" s="962"/>
      <c r="JV66" s="959"/>
      <c r="JW66" s="959"/>
    </row>
    <row r="67" spans="1:283" ht="15" customHeight="1" x14ac:dyDescent="0.25">
      <c r="A67" s="75" t="str">
        <f t="shared" si="322"/>
        <v/>
      </c>
      <c r="B67" s="578" t="str">
        <f t="shared" ref="B67:D67" si="625">IFERROR(O222+($A67*-E67),"")</f>
        <v/>
      </c>
      <c r="C67" s="572" t="str">
        <f t="shared" si="625"/>
        <v/>
      </c>
      <c r="D67" s="576" t="str">
        <f t="shared" si="625"/>
        <v/>
      </c>
      <c r="E67" s="580" t="str">
        <f t="shared" ref="E67:K67" si="626">R222</f>
        <v/>
      </c>
      <c r="F67" s="572" t="str">
        <f t="shared" si="626"/>
        <v/>
      </c>
      <c r="G67" s="579" t="str">
        <f t="shared" si="626"/>
        <v/>
      </c>
      <c r="H67" s="580" t="str">
        <f t="shared" si="626"/>
        <v/>
      </c>
      <c r="I67" s="572" t="str">
        <f t="shared" si="626"/>
        <v/>
      </c>
      <c r="J67" s="483" t="str">
        <f t="shared" si="94"/>
        <v/>
      </c>
      <c r="K67" s="806" t="str">
        <f t="shared" si="626"/>
        <v/>
      </c>
      <c r="L67" s="309"/>
      <c r="M67" s="164" t="str">
        <f t="shared" si="325"/>
        <v/>
      </c>
      <c r="N67" s="575" t="str">
        <f t="shared" si="326"/>
        <v/>
      </c>
      <c r="O67" s="572" t="str">
        <f t="shared" si="327"/>
        <v/>
      </c>
      <c r="P67" s="576" t="str">
        <f t="shared" si="328"/>
        <v/>
      </c>
      <c r="Q67" s="528" t="str">
        <f t="shared" si="144"/>
        <v/>
      </c>
      <c r="R67" s="572" t="str">
        <f>IF(M67="","",SQRT(N67^2+O67^2))</f>
        <v/>
      </c>
      <c r="S67" s="577" t="str">
        <f>IF(M67="","",P67)</f>
        <v/>
      </c>
      <c r="T67" s="578" t="str">
        <f>IF(M67="","",X67*COS(RADIANS(W67)))</f>
        <v/>
      </c>
      <c r="U67" s="572" t="str">
        <f>IF(M67="","",X67*SIN(RADIANS(W67)))</f>
        <v/>
      </c>
      <c r="V67" s="579" t="str">
        <f>IF(M67="","",Y67)</f>
        <v/>
      </c>
      <c r="W67" s="528" t="str">
        <f t="shared" si="268"/>
        <v/>
      </c>
      <c r="X67" s="572" t="str">
        <f>IF(M67="","",R67)</f>
        <v/>
      </c>
      <c r="Y67" s="573" t="str">
        <f t="shared" si="271"/>
        <v/>
      </c>
      <c r="Z67" s="575" t="str">
        <f t="shared" si="329"/>
        <v/>
      </c>
      <c r="AA67" s="572" t="str">
        <f t="shared" si="330"/>
        <v/>
      </c>
      <c r="AB67" s="572" t="str">
        <f t="shared" si="331"/>
        <v/>
      </c>
      <c r="AC67" s="579" t="str">
        <f>IF(M67="","",SQRT(Z67^2+AA67^2+AB67^2))</f>
        <v/>
      </c>
      <c r="AD67" s="580" t="str">
        <f>IF(M67="","",Z67*(1/SQRT(Z67^2+AA67^2+AB67^2)))</f>
        <v/>
      </c>
      <c r="AE67" s="572" t="str">
        <f>IF(M67="","",AA67*(1/SQRT(Z67^2+AA67^2+AB67^2)))</f>
        <v/>
      </c>
      <c r="AF67" s="576" t="str">
        <f>IF(M67="","",AB67*(1/SQRT(Z67^2+AA67^2+AB67^2)))</f>
        <v/>
      </c>
      <c r="AG67" s="545" t="str">
        <f>IF(M67="","",DEGREES(ATAN2(-AF67,AE67)))</f>
        <v/>
      </c>
      <c r="AH67" s="546" t="str">
        <f>IF(M67="","",DEGREES(ACOS(AD67)))</f>
        <v/>
      </c>
      <c r="AI67" s="528" t="str">
        <f>IF(M67="","",DEGREES(-ACOS(-AF67)))</f>
        <v/>
      </c>
      <c r="AJ67" s="529" t="str">
        <f>IF(M67="","",DEGREES(ATAN2(-AE67,AD67)))</f>
        <v/>
      </c>
      <c r="AK67" s="578" t="str">
        <f>IF(M67="","",(COS(RADIANS((90-$Q$8)-W67))*AD67)+(-SIN(RADIANS((90-$Q$8)-W67))*AE67))</f>
        <v/>
      </c>
      <c r="AL67" s="572" t="str">
        <f>IF(M67="","",(SIN(RADIANS((90-$Q$8)-W67))*AD67)+(COS(RADIANS((90-$Q$8)-W67))*AE67))</f>
        <v/>
      </c>
      <c r="AM67" s="577" t="str">
        <f>IF(M67="","",AF67)</f>
        <v/>
      </c>
      <c r="AN67" s="524" t="str">
        <f>IF(M67="","",DEGREES(ATAN2(-AM67,AL67)))</f>
        <v/>
      </c>
      <c r="AO67" s="525" t="str">
        <f t="shared" si="604"/>
        <v/>
      </c>
      <c r="AP67" s="528" t="str">
        <f>IF(M67="","",DEGREES(ATAN2(AK67,AL67)))</f>
        <v/>
      </c>
      <c r="AQ67" s="529" t="str">
        <f t="shared" si="332"/>
        <v/>
      </c>
      <c r="AR67" s="979"/>
      <c r="AS67" s="954" t="str">
        <f t="shared" si="524"/>
        <v/>
      </c>
      <c r="AT67" s="950" t="str">
        <f t="shared" si="333"/>
        <v/>
      </c>
      <c r="AU67" s="418"/>
      <c r="AV67" s="164" t="str">
        <f t="shared" si="334"/>
        <v/>
      </c>
      <c r="AW67" s="797" t="str">
        <f>IFERROR(INDEX(MassProp!C$9:C$150,MATCH($M67,MassProp!$B$9:$B$150,0)),"")</f>
        <v/>
      </c>
      <c r="AX67" s="744" t="str">
        <f>IFERROR(INDEX(MassProp!D$9:D$150,MATCH($M67,MassProp!$B$9:$B$150,0)),"")</f>
        <v/>
      </c>
      <c r="AY67" s="731" t="str">
        <f>IFERROR(INDEX(MassProp!E$9:E$150,MATCH($M67,MassProp!$B$9:$B$150,0)),"")</f>
        <v/>
      </c>
      <c r="AZ67" s="297" t="str">
        <f t="shared" si="148"/>
        <v/>
      </c>
      <c r="BA67" s="296" t="str">
        <f t="shared" si="336"/>
        <v/>
      </c>
      <c r="BB67" s="177" t="str">
        <f t="shared" si="149"/>
        <v/>
      </c>
      <c r="BC67" s="9"/>
      <c r="BD67" s="5" t="str">
        <f t="shared" si="150"/>
        <v/>
      </c>
      <c r="BE67" s="6" t="str">
        <f t="shared" si="338"/>
        <v/>
      </c>
      <c r="BF67" s="4" t="str">
        <f t="shared" si="339"/>
        <v/>
      </c>
      <c r="BG67" s="5" t="str">
        <f t="shared" si="340"/>
        <v/>
      </c>
      <c r="BH67" s="10" t="str">
        <f t="shared" si="341"/>
        <v/>
      </c>
      <c r="BI67" s="9" t="str">
        <f t="shared" si="151"/>
        <v/>
      </c>
      <c r="BJ67" s="5" t="str">
        <f t="shared" si="343"/>
        <v/>
      </c>
      <c r="BK67" s="8" t="str">
        <f t="shared" si="344"/>
        <v/>
      </c>
      <c r="BL67" s="173" t="str">
        <f t="shared" si="345"/>
        <v/>
      </c>
      <c r="BM67" s="5" t="str">
        <f t="shared" si="346"/>
        <v/>
      </c>
      <c r="BN67" s="6" t="str">
        <f t="shared" si="347"/>
        <v/>
      </c>
      <c r="BO67" s="4" t="str">
        <f t="shared" si="152"/>
        <v/>
      </c>
      <c r="BP67" s="5" t="str">
        <f t="shared" si="153"/>
        <v/>
      </c>
      <c r="BQ67" s="5" t="str">
        <f t="shared" si="154"/>
        <v/>
      </c>
      <c r="BR67" s="6" t="str">
        <f t="shared" si="155"/>
        <v/>
      </c>
      <c r="BS67" s="4" t="str">
        <f t="shared" si="568"/>
        <v/>
      </c>
      <c r="BT67" s="5" t="str">
        <f t="shared" si="568"/>
        <v/>
      </c>
      <c r="BU67" s="10" t="str">
        <f t="shared" si="113"/>
        <v/>
      </c>
      <c r="BV67" s="9" t="str">
        <f t="shared" si="114"/>
        <v/>
      </c>
      <c r="BW67" s="5" t="str">
        <f t="shared" si="115"/>
        <v/>
      </c>
      <c r="BX67" s="8" t="str">
        <f t="shared" si="116"/>
        <v/>
      </c>
      <c r="BY67" s="173" t="str">
        <f t="shared" si="117"/>
        <v/>
      </c>
      <c r="BZ67" s="5" t="str">
        <f t="shared" si="118"/>
        <v/>
      </c>
      <c r="CA67" s="6" t="str">
        <f t="shared" si="119"/>
        <v/>
      </c>
      <c r="CB67" s="4" t="str">
        <f t="shared" si="156"/>
        <v/>
      </c>
      <c r="CC67" s="5" t="str">
        <f t="shared" si="157"/>
        <v/>
      </c>
      <c r="CD67" s="5" t="str">
        <f t="shared" si="158"/>
        <v/>
      </c>
      <c r="CE67" s="6" t="str">
        <f t="shared" si="159"/>
        <v/>
      </c>
      <c r="CF67" s="4" t="str">
        <f t="shared" si="160"/>
        <v/>
      </c>
      <c r="CG67" s="5" t="str">
        <f t="shared" si="161"/>
        <v/>
      </c>
      <c r="CH67" s="5" t="str">
        <f t="shared" si="162"/>
        <v/>
      </c>
      <c r="CI67" s="4" t="str">
        <f t="shared" si="120"/>
        <v/>
      </c>
      <c r="CJ67" s="5" t="str">
        <f t="shared" si="121"/>
        <v/>
      </c>
      <c r="CK67" s="8" t="str">
        <f t="shared" si="122"/>
        <v/>
      </c>
      <c r="CL67" s="173" t="str">
        <f t="shared" si="123"/>
        <v/>
      </c>
      <c r="CM67" s="5" t="str">
        <f t="shared" si="124"/>
        <v/>
      </c>
      <c r="CN67" s="6" t="str">
        <f t="shared" si="125"/>
        <v/>
      </c>
      <c r="CO67" s="167" t="str">
        <f t="shared" si="364"/>
        <v/>
      </c>
      <c r="CP67" s="4" t="str">
        <f t="shared" si="248"/>
        <v/>
      </c>
      <c r="CQ67" s="5" t="str">
        <f t="shared" si="249"/>
        <v/>
      </c>
      <c r="CR67" s="5" t="str">
        <f t="shared" si="163"/>
        <v/>
      </c>
      <c r="CS67" s="8" t="str">
        <f t="shared" si="164"/>
        <v/>
      </c>
      <c r="CT67" s="9" t="str">
        <f t="shared" si="165"/>
        <v/>
      </c>
      <c r="CU67" s="6" t="str">
        <f t="shared" si="166"/>
        <v/>
      </c>
      <c r="CV67" s="4" t="str">
        <f t="shared" si="250"/>
        <v/>
      </c>
      <c r="CW67" s="5" t="str">
        <f t="shared" si="167"/>
        <v/>
      </c>
      <c r="CX67" s="8" t="str">
        <f t="shared" si="168"/>
        <v/>
      </c>
      <c r="CY67" s="9" t="str">
        <f t="shared" si="169"/>
        <v/>
      </c>
      <c r="CZ67" s="5" t="str">
        <f t="shared" si="170"/>
        <v/>
      </c>
      <c r="DA67" s="6" t="str">
        <f t="shared" si="171"/>
        <v/>
      </c>
      <c r="DB67" s="4" t="str">
        <f t="shared" si="569"/>
        <v/>
      </c>
      <c r="DC67" s="5" t="str">
        <f t="shared" si="569"/>
        <v/>
      </c>
      <c r="DD67" s="10" t="str">
        <f t="shared" si="173"/>
        <v/>
      </c>
      <c r="DE67" s="9" t="str">
        <f t="shared" si="570"/>
        <v/>
      </c>
      <c r="DF67" s="5" t="str">
        <f t="shared" si="570"/>
        <v/>
      </c>
      <c r="DG67" s="10" t="str">
        <f t="shared" si="175"/>
        <v/>
      </c>
      <c r="DH67" s="70" t="str">
        <f t="shared" si="176"/>
        <v/>
      </c>
      <c r="DI67" s="4" t="str">
        <f t="shared" si="177"/>
        <v/>
      </c>
      <c r="DJ67" s="5" t="str">
        <f t="shared" si="178"/>
        <v/>
      </c>
      <c r="DK67" s="10" t="str">
        <f t="shared" si="179"/>
        <v/>
      </c>
      <c r="DL67" s="9" t="str">
        <f t="shared" si="180"/>
        <v/>
      </c>
      <c r="DM67" s="173" t="str">
        <f t="shared" si="181"/>
        <v/>
      </c>
      <c r="DN67" s="178" t="str">
        <f t="shared" si="182"/>
        <v/>
      </c>
      <c r="DO67" s="9" t="str">
        <f t="shared" si="183"/>
        <v/>
      </c>
      <c r="DP67" s="173" t="str">
        <f t="shared" si="184"/>
        <v/>
      </c>
      <c r="DQ67" s="11" t="str">
        <f t="shared" si="185"/>
        <v/>
      </c>
      <c r="DR67" s="173" t="str">
        <f t="shared" si="186"/>
        <v/>
      </c>
      <c r="DS67" s="5" t="str">
        <f t="shared" si="187"/>
        <v/>
      </c>
      <c r="DT67" s="5" t="str">
        <f t="shared" si="188"/>
        <v/>
      </c>
      <c r="DU67" s="5" t="str">
        <f t="shared" si="189"/>
        <v/>
      </c>
      <c r="DV67" s="5" t="str">
        <f t="shared" si="190"/>
        <v/>
      </c>
      <c r="DW67" s="5" t="str">
        <f t="shared" si="191"/>
        <v/>
      </c>
      <c r="DX67" s="167" t="str">
        <f t="shared" si="192"/>
        <v/>
      </c>
      <c r="DY67" s="9" t="str">
        <f t="shared" si="193"/>
        <v/>
      </c>
      <c r="DZ67" s="5" t="str">
        <f t="shared" si="194"/>
        <v/>
      </c>
      <c r="EA67" s="10" t="str">
        <f t="shared" si="195"/>
        <v/>
      </c>
      <c r="EB67" s="6" t="str">
        <f t="shared" si="196"/>
        <v/>
      </c>
      <c r="EC67" s="173" t="str">
        <f t="shared" si="197"/>
        <v/>
      </c>
      <c r="ED67" s="5" t="str">
        <f t="shared" si="198"/>
        <v/>
      </c>
      <c r="EE67" s="4" t="str">
        <f t="shared" si="199"/>
        <v/>
      </c>
      <c r="EF67" s="5" t="str">
        <f t="shared" si="200"/>
        <v/>
      </c>
      <c r="EG67" s="10" t="str">
        <f t="shared" si="201"/>
        <v/>
      </c>
      <c r="EH67" s="9" t="str">
        <f t="shared" si="202"/>
        <v/>
      </c>
      <c r="EI67" s="5" t="str">
        <f t="shared" si="203"/>
        <v/>
      </c>
      <c r="EJ67" s="6" t="str">
        <f t="shared" si="204"/>
        <v/>
      </c>
      <c r="EK67" s="236" t="str">
        <f t="shared" si="205"/>
        <v/>
      </c>
      <c r="EL67" s="238" t="str">
        <f t="shared" si="206"/>
        <v/>
      </c>
      <c r="EM67" s="4" t="str">
        <f t="shared" si="207"/>
        <v/>
      </c>
      <c r="EN67" s="5" t="str">
        <f t="shared" si="208"/>
        <v/>
      </c>
      <c r="EO67" s="10" t="str">
        <f t="shared" si="209"/>
        <v/>
      </c>
      <c r="EP67" s="9" t="str">
        <f t="shared" si="210"/>
        <v/>
      </c>
      <c r="EQ67" s="5" t="str">
        <f t="shared" si="211"/>
        <v/>
      </c>
      <c r="ER67" s="7" t="str">
        <f t="shared" si="212"/>
        <v/>
      </c>
      <c r="ES67" s="21" t="str">
        <f t="shared" si="411"/>
        <v/>
      </c>
      <c r="ET67" s="5" t="str">
        <f t="shared" si="412"/>
        <v/>
      </c>
      <c r="EU67" s="10" t="str">
        <f t="shared" si="413"/>
        <v/>
      </c>
      <c r="EV67" s="174" t="str">
        <f t="shared" si="571"/>
        <v/>
      </c>
      <c r="EW67" s="9" t="str">
        <f t="shared" si="572"/>
        <v/>
      </c>
      <c r="EX67" s="5" t="str">
        <f t="shared" si="573"/>
        <v/>
      </c>
      <c r="EY67" s="6" t="str">
        <f t="shared" si="213"/>
        <v/>
      </c>
      <c r="EZ67" s="51" t="str">
        <f t="shared" si="214"/>
        <v/>
      </c>
      <c r="FA67" s="173" t="str">
        <f t="shared" si="574"/>
        <v/>
      </c>
      <c r="FB67" s="5" t="str">
        <f t="shared" si="575"/>
        <v/>
      </c>
      <c r="FC67" s="6" t="str">
        <f t="shared" si="576"/>
        <v/>
      </c>
      <c r="FD67" s="4" t="str">
        <f t="shared" si="577"/>
        <v/>
      </c>
      <c r="FE67" s="5" t="str">
        <f t="shared" si="578"/>
        <v/>
      </c>
      <c r="FF67" s="7" t="str">
        <f t="shared" si="215"/>
        <v/>
      </c>
      <c r="FG67" s="173" t="str">
        <f t="shared" si="579"/>
        <v/>
      </c>
      <c r="FH67" s="5" t="str">
        <f t="shared" si="580"/>
        <v/>
      </c>
      <c r="FI67" s="10" t="str">
        <f t="shared" si="581"/>
        <v/>
      </c>
      <c r="FJ67" s="279" t="str">
        <f t="shared" si="217"/>
        <v/>
      </c>
      <c r="FK67" s="4" t="str">
        <f t="shared" si="582"/>
        <v/>
      </c>
      <c r="FL67" s="5" t="str">
        <f t="shared" si="218"/>
        <v/>
      </c>
      <c r="FM67" s="8" t="str">
        <f t="shared" si="219"/>
        <v/>
      </c>
      <c r="FN67" s="9" t="str">
        <f t="shared" si="220"/>
        <v/>
      </c>
      <c r="FO67" s="10" t="str">
        <f t="shared" si="583"/>
        <v/>
      </c>
      <c r="FP67" s="277" t="str">
        <f t="shared" si="584"/>
        <v/>
      </c>
      <c r="FQ67" s="173" t="str">
        <f t="shared" si="251"/>
        <v/>
      </c>
      <c r="FR67" s="10" t="str">
        <f t="shared" si="221"/>
        <v/>
      </c>
      <c r="FS67" s="9" t="str">
        <f t="shared" si="222"/>
        <v/>
      </c>
      <c r="FT67" s="6" t="str">
        <f t="shared" si="223"/>
        <v/>
      </c>
      <c r="FU67" s="4" t="str">
        <f t="shared" si="224"/>
        <v/>
      </c>
      <c r="FV67" s="5" t="str">
        <f t="shared" si="225"/>
        <v/>
      </c>
      <c r="FW67" s="8" t="str">
        <f t="shared" si="252"/>
        <v/>
      </c>
      <c r="FX67" s="9" t="str">
        <f t="shared" si="253"/>
        <v/>
      </c>
      <c r="FY67" s="10" t="str">
        <f t="shared" si="585"/>
        <v/>
      </c>
      <c r="FZ67" s="277" t="str">
        <f t="shared" si="254"/>
        <v/>
      </c>
      <c r="GA67" s="177" t="str">
        <f t="shared" si="226"/>
        <v/>
      </c>
      <c r="GB67" s="4" t="str">
        <f t="shared" si="227"/>
        <v/>
      </c>
      <c r="GC67" s="5" t="str">
        <f t="shared" si="228"/>
        <v/>
      </c>
      <c r="GD67" s="10" t="str">
        <f t="shared" si="229"/>
        <v/>
      </c>
      <c r="GE67" s="311" t="str">
        <f t="shared" si="230"/>
        <v/>
      </c>
      <c r="GF67" s="341" t="str">
        <f t="shared" si="255"/>
        <v/>
      </c>
      <c r="GG67" s="285" t="str">
        <f t="shared" si="586"/>
        <v/>
      </c>
      <c r="GH67" s="286" t="str">
        <f t="shared" si="587"/>
        <v/>
      </c>
      <c r="GI67" s="281" t="str">
        <f t="shared" si="588"/>
        <v/>
      </c>
      <c r="GJ67" s="167" t="str">
        <f t="shared" si="231"/>
        <v/>
      </c>
      <c r="GK67" s="174" t="str">
        <f t="shared" si="589"/>
        <v/>
      </c>
      <c r="GL67" s="174" t="str">
        <f t="shared" si="232"/>
        <v/>
      </c>
      <c r="GM67" s="177" t="str">
        <f t="shared" si="256"/>
        <v/>
      </c>
      <c r="GN67" s="280" t="str">
        <f t="shared" si="233"/>
        <v/>
      </c>
      <c r="GO67" s="4" t="str">
        <f t="shared" si="234"/>
        <v/>
      </c>
      <c r="GP67" s="8" t="str">
        <f t="shared" si="257"/>
        <v/>
      </c>
      <c r="GQ67" s="177" t="str">
        <f t="shared" si="235"/>
        <v/>
      </c>
      <c r="GR67" s="371" t="str">
        <f t="shared" si="258"/>
        <v/>
      </c>
      <c r="GS67" s="342" t="str">
        <f t="shared" si="590"/>
        <v/>
      </c>
      <c r="GT67" s="343" t="str">
        <f t="shared" si="591"/>
        <v/>
      </c>
      <c r="GU67" s="344" t="str">
        <f t="shared" si="592"/>
        <v/>
      </c>
      <c r="GV67" s="343" t="str">
        <f t="shared" si="265"/>
        <v/>
      </c>
      <c r="GW67" s="345" t="str">
        <f t="shared" si="593"/>
        <v/>
      </c>
      <c r="GX67" s="346" t="str">
        <f t="shared" si="594"/>
        <v/>
      </c>
      <c r="GY67" s="344" t="str">
        <f t="shared" si="595"/>
        <v/>
      </c>
      <c r="GZ67" s="345" t="str">
        <f t="shared" si="596"/>
        <v/>
      </c>
      <c r="HA67" s="342" t="str">
        <f t="shared" si="597"/>
        <v/>
      </c>
      <c r="HB67" s="5" t="str">
        <f t="shared" si="236"/>
        <v/>
      </c>
      <c r="HC67" s="343" t="str">
        <f t="shared" si="237"/>
        <v/>
      </c>
      <c r="HD67" s="363" t="str">
        <f t="shared" si="238"/>
        <v/>
      </c>
      <c r="HE67" s="344" t="str">
        <f t="shared" si="598"/>
        <v/>
      </c>
      <c r="HF67" s="5" t="str">
        <f t="shared" si="599"/>
        <v/>
      </c>
      <c r="HG67" s="343" t="str">
        <f t="shared" si="239"/>
        <v/>
      </c>
      <c r="HH67" s="349" t="str">
        <f t="shared" si="240"/>
        <v/>
      </c>
      <c r="HI67" s="317" t="str">
        <f t="shared" si="467"/>
        <v/>
      </c>
      <c r="HK67" s="310" t="str">
        <f t="shared" si="520"/>
        <v/>
      </c>
      <c r="HL67" s="348" t="str">
        <f t="shared" si="468"/>
        <v/>
      </c>
      <c r="HM67" s="923" t="str">
        <f t="shared" si="469"/>
        <v/>
      </c>
      <c r="HN67" s="924" t="str">
        <f t="shared" si="470"/>
        <v/>
      </c>
      <c r="HO67" s="925"/>
      <c r="HP67" s="926"/>
      <c r="HQ67" s="924" t="str">
        <f t="shared" si="471"/>
        <v/>
      </c>
      <c r="HR67" s="927" t="str">
        <f t="shared" si="472"/>
        <v/>
      </c>
      <c r="HS67" s="879" t="str">
        <f t="shared" si="521"/>
        <v/>
      </c>
      <c r="HT67" s="889" t="str">
        <f t="shared" si="473"/>
        <v/>
      </c>
      <c r="HU67" s="890" t="str">
        <f t="shared" si="474"/>
        <v/>
      </c>
      <c r="HV67" s="886" t="str">
        <f t="shared" si="475"/>
        <v/>
      </c>
      <c r="HW67" s="880" t="str">
        <f t="shared" si="476"/>
        <v/>
      </c>
      <c r="HX67" s="881" t="str">
        <f t="shared" si="477"/>
        <v/>
      </c>
      <c r="HY67" s="880" t="str">
        <f t="shared" si="478"/>
        <v/>
      </c>
      <c r="HZ67" s="882" t="str">
        <f t="shared" si="479"/>
        <v/>
      </c>
      <c r="IA67" s="883" t="str">
        <f t="shared" si="480"/>
        <v/>
      </c>
      <c r="IB67" s="884" t="str">
        <f t="shared" si="481"/>
        <v/>
      </c>
      <c r="IC67" s="855" t="str">
        <f t="shared" si="482"/>
        <v/>
      </c>
      <c r="ID67" s="351" t="str">
        <f t="shared" si="483"/>
        <v/>
      </c>
      <c r="IE67" s="857" t="str">
        <f t="shared" si="484"/>
        <v/>
      </c>
      <c r="IF67" s="858"/>
      <c r="IG67" s="790" t="str">
        <f>IFERROR(IF($IW67="","",IF($IW67&lt;(((Settings!$C$19/2)*-1)*$IG$8),"Taper","Nose")),"")</f>
        <v/>
      </c>
      <c r="IH67" s="482" t="str">
        <f>IFERROR(IF((((($IY67*COS(RADIANS(180-$JA67)))*COS(RADIANS($JA67)))-(($IZ67*SIN(RADIANS(180-$JA67)))*SIN(RADIANS($JA67))))+$IW67)&lt;(((Settings!$C$19+$IH$8)/2)*-1),"Gage",""),"")</f>
        <v/>
      </c>
      <c r="II67" s="788" t="str">
        <f t="shared" si="241"/>
        <v/>
      </c>
      <c r="IJ67" s="674" t="str" cm="1">
        <f t="array" ref="IJ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K67" s="677" t="str" cm="1">
        <f t="array" ref="IK67">IFERROR(ROUND(VALUE(IF($IJ67&lt;1,$IJ67+LARGE((IF($M$9:$M$150="",0,$M$9:$M$150)-MOD(IF($M$9:$M$150="",0,$M$9:$M$150),1)),1),$IJ67)),4),"")</f>
        <v/>
      </c>
      <c r="IL67" s="482" t="str">
        <f t="shared" si="485"/>
        <v/>
      </c>
      <c r="IM67" s="482" t="str">
        <f t="shared" si="242"/>
        <v/>
      </c>
      <c r="IN67" s="670" t="str">
        <f t="shared" si="486"/>
        <v/>
      </c>
      <c r="IO67" s="702">
        <v>8.1094052254771492E-3</v>
      </c>
      <c r="IP67" s="5" t="str">
        <f t="shared" si="487"/>
        <v/>
      </c>
      <c r="IQ67" s="714">
        <v>140</v>
      </c>
      <c r="IR67" s="9" t="str">
        <f t="shared" si="488"/>
        <v/>
      </c>
      <c r="IS67" s="5" t="str">
        <f t="shared" si="489"/>
        <v/>
      </c>
      <c r="IT67" s="5" t="str">
        <f t="shared" si="490"/>
        <v/>
      </c>
      <c r="IU67" s="5" t="str">
        <f t="shared" si="491"/>
        <v/>
      </c>
      <c r="IV67" s="670" t="str">
        <f t="shared" si="492"/>
        <v/>
      </c>
      <c r="IW67" s="9" t="str">
        <f t="shared" si="493"/>
        <v/>
      </c>
      <c r="IX67" s="5" t="str">
        <f t="shared" si="494"/>
        <v/>
      </c>
      <c r="IY67" s="5" t="str">
        <f t="shared" si="495"/>
        <v/>
      </c>
      <c r="IZ67" s="5" t="str">
        <f t="shared" si="496"/>
        <v/>
      </c>
      <c r="JA67" s="705" t="str">
        <f t="shared" si="497"/>
        <v/>
      </c>
      <c r="JM67" s="489" t="e">
        <f t="shared" si="133"/>
        <v>#VALUE!</v>
      </c>
      <c r="JN67" s="960" t="e">
        <f>($JO67-SMALL($JO$9:$JO$88,1))/((Settings!$C$19/2)-((Settings!$C$19/2)-LARGE($JO$9:$JO$88,1))-SMALL($JO$9:$JO$88,1))</f>
        <v>#VALUE!</v>
      </c>
      <c r="JO67" s="162" t="str">
        <f t="shared" si="134"/>
        <v/>
      </c>
      <c r="JP67" s="961" t="str">
        <f t="shared" si="135"/>
        <v/>
      </c>
      <c r="JQ67" s="961" t="str">
        <f t="shared" si="136"/>
        <v/>
      </c>
      <c r="JU67" s="962"/>
      <c r="JV67" s="959"/>
      <c r="JW67" s="959"/>
    </row>
    <row r="68" spans="1:283" ht="15" customHeight="1" x14ac:dyDescent="0.25">
      <c r="A68" s="75" t="str">
        <f t="shared" si="322"/>
        <v/>
      </c>
      <c r="B68" s="578" t="str">
        <f t="shared" ref="B68:D68" si="627">IFERROR(O223+($A68*-E68),"")</f>
        <v/>
      </c>
      <c r="C68" s="572" t="str">
        <f t="shared" si="627"/>
        <v/>
      </c>
      <c r="D68" s="576" t="str">
        <f t="shared" si="627"/>
        <v/>
      </c>
      <c r="E68" s="580" t="str">
        <f t="shared" ref="E68:K68" si="628">R223</f>
        <v/>
      </c>
      <c r="F68" s="572" t="str">
        <f t="shared" si="628"/>
        <v/>
      </c>
      <c r="G68" s="579" t="str">
        <f t="shared" si="628"/>
        <v/>
      </c>
      <c r="H68" s="580" t="str">
        <f t="shared" si="628"/>
        <v/>
      </c>
      <c r="I68" s="572" t="str">
        <f t="shared" si="628"/>
        <v/>
      </c>
      <c r="J68" s="483" t="str">
        <f t="shared" si="94"/>
        <v/>
      </c>
      <c r="K68" s="806" t="str">
        <f t="shared" si="628"/>
        <v/>
      </c>
      <c r="L68" s="309"/>
      <c r="M68" s="164" t="str">
        <f t="shared" si="325"/>
        <v/>
      </c>
      <c r="N68" s="575" t="str">
        <f t="shared" si="326"/>
        <v/>
      </c>
      <c r="O68" s="572" t="str">
        <f t="shared" si="327"/>
        <v/>
      </c>
      <c r="P68" s="576" t="str">
        <f t="shared" si="328"/>
        <v/>
      </c>
      <c r="Q68" s="528" t="str">
        <f t="shared" si="144"/>
        <v/>
      </c>
      <c r="R68" s="572" t="str">
        <f>IF(M68="","",SQRT(N68^2+O68^2))</f>
        <v/>
      </c>
      <c r="S68" s="577" t="str">
        <f>IF(M68="","",P68)</f>
        <v/>
      </c>
      <c r="T68" s="578" t="str">
        <f>IF(M68="","",X68*COS(RADIANS(W68)))</f>
        <v/>
      </c>
      <c r="U68" s="572" t="str">
        <f>IF(M68="","",X68*SIN(RADIANS(W68)))</f>
        <v/>
      </c>
      <c r="V68" s="579" t="str">
        <f>IF(M68="","",Y68)</f>
        <v/>
      </c>
      <c r="W68" s="528" t="str">
        <f t="shared" si="268"/>
        <v/>
      </c>
      <c r="X68" s="572" t="str">
        <f>IF(M68="","",R68)</f>
        <v/>
      </c>
      <c r="Y68" s="573" t="str">
        <f t="shared" si="271"/>
        <v/>
      </c>
      <c r="Z68" s="575" t="str">
        <f t="shared" si="329"/>
        <v/>
      </c>
      <c r="AA68" s="572" t="str">
        <f t="shared" si="330"/>
        <v/>
      </c>
      <c r="AB68" s="572" t="str">
        <f t="shared" si="331"/>
        <v/>
      </c>
      <c r="AC68" s="579" t="str">
        <f>IF(M68="","",SQRT(Z68^2+AA68^2+AB68^2))</f>
        <v/>
      </c>
      <c r="AD68" s="580" t="str">
        <f>IF(M68="","",Z68*(1/SQRT(Z68^2+AA68^2+AB68^2)))</f>
        <v/>
      </c>
      <c r="AE68" s="572" t="str">
        <f>IF(M68="","",AA68*(1/SQRT(Z68^2+AA68^2+AB68^2)))</f>
        <v/>
      </c>
      <c r="AF68" s="576" t="str">
        <f>IF(M68="","",AB68*(1/SQRT(Z68^2+AA68^2+AB68^2)))</f>
        <v/>
      </c>
      <c r="AG68" s="545" t="str">
        <f>IF(M68="","",DEGREES(ATAN2(-AF68,AE68)))</f>
        <v/>
      </c>
      <c r="AH68" s="546" t="str">
        <f>IF(M68="","",DEGREES(ACOS(AD68)))</f>
        <v/>
      </c>
      <c r="AI68" s="528" t="str">
        <f>IF(M68="","",DEGREES(-ACOS(-AF68)))</f>
        <v/>
      </c>
      <c r="AJ68" s="529" t="str">
        <f>IF(M68="","",DEGREES(ATAN2(-AE68,AD68)))</f>
        <v/>
      </c>
      <c r="AK68" s="578" t="str">
        <f>IF(M68="","",(COS(RADIANS((90-$Q$8)-W68))*AD68)+(-SIN(RADIANS((90-$Q$8)-W68))*AE68))</f>
        <v/>
      </c>
      <c r="AL68" s="572" t="str">
        <f>IF(M68="","",(SIN(RADIANS((90-$Q$8)-W68))*AD68)+(COS(RADIANS((90-$Q$8)-W68))*AE68))</f>
        <v/>
      </c>
      <c r="AM68" s="577" t="str">
        <f>IF(M68="","",AF68)</f>
        <v/>
      </c>
      <c r="AN68" s="524" t="str">
        <f>IF(M68="","",DEGREES(ATAN2(-AM68,AL68)))</f>
        <v/>
      </c>
      <c r="AO68" s="525" t="str">
        <f t="shared" si="604"/>
        <v/>
      </c>
      <c r="AP68" s="528" t="str">
        <f>IF(M68="","",DEGREES(ATAN2(AK68,AL68)))</f>
        <v/>
      </c>
      <c r="AQ68" s="529" t="str">
        <f t="shared" si="332"/>
        <v/>
      </c>
      <c r="AR68" s="979"/>
      <c r="AS68" s="954" t="str">
        <f t="shared" si="524"/>
        <v/>
      </c>
      <c r="AT68" s="950" t="str">
        <f t="shared" si="333"/>
        <v/>
      </c>
      <c r="AU68" s="418"/>
      <c r="AV68" s="164" t="str">
        <f t="shared" si="334"/>
        <v/>
      </c>
      <c r="AW68" s="797" t="str">
        <f>IFERROR(INDEX(MassProp!C$9:C$150,MATCH($M68,MassProp!$B$9:$B$150,0)),"")</f>
        <v/>
      </c>
      <c r="AX68" s="744" t="str">
        <f>IFERROR(INDEX(MassProp!D$9:D$150,MATCH($M68,MassProp!$B$9:$B$150,0)),"")</f>
        <v/>
      </c>
      <c r="AY68" s="731" t="str">
        <f>IFERROR(INDEX(MassProp!E$9:E$150,MATCH($M68,MassProp!$B$9:$B$150,0)),"")</f>
        <v/>
      </c>
      <c r="AZ68" s="297" t="str">
        <f t="shared" si="148"/>
        <v/>
      </c>
      <c r="BA68" s="296" t="str">
        <f t="shared" si="336"/>
        <v/>
      </c>
      <c r="BB68" s="177" t="str">
        <f t="shared" si="149"/>
        <v/>
      </c>
      <c r="BC68" s="9"/>
      <c r="BD68" s="5" t="str">
        <f t="shared" si="150"/>
        <v/>
      </c>
      <c r="BE68" s="6" t="str">
        <f t="shared" si="338"/>
        <v/>
      </c>
      <c r="BF68" s="4" t="str">
        <f t="shared" si="339"/>
        <v/>
      </c>
      <c r="BG68" s="5" t="str">
        <f t="shared" si="340"/>
        <v/>
      </c>
      <c r="BH68" s="10" t="str">
        <f t="shared" si="341"/>
        <v/>
      </c>
      <c r="BI68" s="9" t="str">
        <f t="shared" si="151"/>
        <v/>
      </c>
      <c r="BJ68" s="5" t="str">
        <f t="shared" si="343"/>
        <v/>
      </c>
      <c r="BK68" s="8" t="str">
        <f t="shared" si="344"/>
        <v/>
      </c>
      <c r="BL68" s="173" t="str">
        <f t="shared" si="345"/>
        <v/>
      </c>
      <c r="BM68" s="5" t="str">
        <f t="shared" si="346"/>
        <v/>
      </c>
      <c r="BN68" s="6" t="str">
        <f t="shared" si="347"/>
        <v/>
      </c>
      <c r="BO68" s="4" t="str">
        <f t="shared" si="152"/>
        <v/>
      </c>
      <c r="BP68" s="5" t="str">
        <f t="shared" si="153"/>
        <v/>
      </c>
      <c r="BQ68" s="5" t="str">
        <f t="shared" si="154"/>
        <v/>
      </c>
      <c r="BR68" s="6" t="str">
        <f t="shared" si="155"/>
        <v/>
      </c>
      <c r="BS68" s="4" t="str">
        <f t="shared" si="568"/>
        <v/>
      </c>
      <c r="BT68" s="5" t="str">
        <f t="shared" si="568"/>
        <v/>
      </c>
      <c r="BU68" s="10" t="str">
        <f t="shared" si="113"/>
        <v/>
      </c>
      <c r="BV68" s="9" t="str">
        <f t="shared" si="114"/>
        <v/>
      </c>
      <c r="BW68" s="5" t="str">
        <f t="shared" si="115"/>
        <v/>
      </c>
      <c r="BX68" s="8" t="str">
        <f t="shared" si="116"/>
        <v/>
      </c>
      <c r="BY68" s="173" t="str">
        <f t="shared" si="117"/>
        <v/>
      </c>
      <c r="BZ68" s="5" t="str">
        <f t="shared" si="118"/>
        <v/>
      </c>
      <c r="CA68" s="6" t="str">
        <f t="shared" si="119"/>
        <v/>
      </c>
      <c r="CB68" s="4" t="str">
        <f t="shared" si="156"/>
        <v/>
      </c>
      <c r="CC68" s="5" t="str">
        <f t="shared" si="157"/>
        <v/>
      </c>
      <c r="CD68" s="5" t="str">
        <f t="shared" si="158"/>
        <v/>
      </c>
      <c r="CE68" s="6" t="str">
        <f t="shared" si="159"/>
        <v/>
      </c>
      <c r="CF68" s="4" t="str">
        <f t="shared" si="160"/>
        <v/>
      </c>
      <c r="CG68" s="5" t="str">
        <f t="shared" si="161"/>
        <v/>
      </c>
      <c r="CH68" s="5" t="str">
        <f t="shared" si="162"/>
        <v/>
      </c>
      <c r="CI68" s="4" t="str">
        <f t="shared" si="120"/>
        <v/>
      </c>
      <c r="CJ68" s="5" t="str">
        <f t="shared" si="121"/>
        <v/>
      </c>
      <c r="CK68" s="8" t="str">
        <f t="shared" si="122"/>
        <v/>
      </c>
      <c r="CL68" s="173" t="str">
        <f t="shared" si="123"/>
        <v/>
      </c>
      <c r="CM68" s="5" t="str">
        <f t="shared" si="124"/>
        <v/>
      </c>
      <c r="CN68" s="6" t="str">
        <f t="shared" si="125"/>
        <v/>
      </c>
      <c r="CO68" s="167" t="str">
        <f t="shared" si="364"/>
        <v/>
      </c>
      <c r="CP68" s="4" t="str">
        <f t="shared" si="248"/>
        <v/>
      </c>
      <c r="CQ68" s="5" t="str">
        <f t="shared" si="249"/>
        <v/>
      </c>
      <c r="CR68" s="5" t="str">
        <f t="shared" si="163"/>
        <v/>
      </c>
      <c r="CS68" s="8" t="str">
        <f t="shared" si="164"/>
        <v/>
      </c>
      <c r="CT68" s="9" t="str">
        <f t="shared" si="165"/>
        <v/>
      </c>
      <c r="CU68" s="6" t="str">
        <f t="shared" si="166"/>
        <v/>
      </c>
      <c r="CV68" s="4" t="str">
        <f t="shared" si="250"/>
        <v/>
      </c>
      <c r="CW68" s="5" t="str">
        <f t="shared" si="167"/>
        <v/>
      </c>
      <c r="CX68" s="8" t="str">
        <f t="shared" si="168"/>
        <v/>
      </c>
      <c r="CY68" s="9" t="str">
        <f t="shared" si="169"/>
        <v/>
      </c>
      <c r="CZ68" s="5" t="str">
        <f t="shared" si="170"/>
        <v/>
      </c>
      <c r="DA68" s="6" t="str">
        <f t="shared" si="171"/>
        <v/>
      </c>
      <c r="DB68" s="4" t="str">
        <f t="shared" si="569"/>
        <v/>
      </c>
      <c r="DC68" s="5" t="str">
        <f t="shared" si="569"/>
        <v/>
      </c>
      <c r="DD68" s="10" t="str">
        <f t="shared" si="173"/>
        <v/>
      </c>
      <c r="DE68" s="9" t="str">
        <f t="shared" si="570"/>
        <v/>
      </c>
      <c r="DF68" s="5" t="str">
        <f t="shared" si="570"/>
        <v/>
      </c>
      <c r="DG68" s="10" t="str">
        <f t="shared" si="175"/>
        <v/>
      </c>
      <c r="DH68" s="70" t="str">
        <f t="shared" si="176"/>
        <v/>
      </c>
      <c r="DI68" s="4" t="str">
        <f t="shared" si="177"/>
        <v/>
      </c>
      <c r="DJ68" s="5" t="str">
        <f t="shared" si="178"/>
        <v/>
      </c>
      <c r="DK68" s="10" t="str">
        <f t="shared" si="179"/>
        <v/>
      </c>
      <c r="DL68" s="9" t="str">
        <f t="shared" si="180"/>
        <v/>
      </c>
      <c r="DM68" s="173" t="str">
        <f t="shared" si="181"/>
        <v/>
      </c>
      <c r="DN68" s="178" t="str">
        <f t="shared" si="182"/>
        <v/>
      </c>
      <c r="DO68" s="9" t="str">
        <f t="shared" si="183"/>
        <v/>
      </c>
      <c r="DP68" s="173" t="str">
        <f t="shared" si="184"/>
        <v/>
      </c>
      <c r="DQ68" s="11" t="str">
        <f t="shared" si="185"/>
        <v/>
      </c>
      <c r="DR68" s="173" t="str">
        <f t="shared" si="186"/>
        <v/>
      </c>
      <c r="DS68" s="5" t="str">
        <f t="shared" si="187"/>
        <v/>
      </c>
      <c r="DT68" s="5" t="str">
        <f t="shared" si="188"/>
        <v/>
      </c>
      <c r="DU68" s="5" t="str">
        <f t="shared" si="189"/>
        <v/>
      </c>
      <c r="DV68" s="5" t="str">
        <f t="shared" si="190"/>
        <v/>
      </c>
      <c r="DW68" s="5" t="str">
        <f t="shared" si="191"/>
        <v/>
      </c>
      <c r="DX68" s="167" t="str">
        <f t="shared" si="192"/>
        <v/>
      </c>
      <c r="DY68" s="9" t="str">
        <f t="shared" si="193"/>
        <v/>
      </c>
      <c r="DZ68" s="5" t="str">
        <f t="shared" si="194"/>
        <v/>
      </c>
      <c r="EA68" s="10" t="str">
        <f t="shared" si="195"/>
        <v/>
      </c>
      <c r="EB68" s="6" t="str">
        <f t="shared" si="196"/>
        <v/>
      </c>
      <c r="EC68" s="173" t="str">
        <f t="shared" si="197"/>
        <v/>
      </c>
      <c r="ED68" s="5" t="str">
        <f t="shared" si="198"/>
        <v/>
      </c>
      <c r="EE68" s="4" t="str">
        <f t="shared" si="199"/>
        <v/>
      </c>
      <c r="EF68" s="5" t="str">
        <f t="shared" si="200"/>
        <v/>
      </c>
      <c r="EG68" s="10" t="str">
        <f t="shared" si="201"/>
        <v/>
      </c>
      <c r="EH68" s="9" t="str">
        <f t="shared" si="202"/>
        <v/>
      </c>
      <c r="EI68" s="5" t="str">
        <f t="shared" si="203"/>
        <v/>
      </c>
      <c r="EJ68" s="6" t="str">
        <f t="shared" si="204"/>
        <v/>
      </c>
      <c r="EK68" s="236" t="str">
        <f t="shared" si="205"/>
        <v/>
      </c>
      <c r="EL68" s="238" t="str">
        <f t="shared" si="206"/>
        <v/>
      </c>
      <c r="EM68" s="4" t="str">
        <f t="shared" si="207"/>
        <v/>
      </c>
      <c r="EN68" s="5" t="str">
        <f t="shared" si="208"/>
        <v/>
      </c>
      <c r="EO68" s="10" t="str">
        <f t="shared" si="209"/>
        <v/>
      </c>
      <c r="EP68" s="9" t="str">
        <f t="shared" si="210"/>
        <v/>
      </c>
      <c r="EQ68" s="5" t="str">
        <f t="shared" si="211"/>
        <v/>
      </c>
      <c r="ER68" s="7" t="str">
        <f t="shared" si="212"/>
        <v/>
      </c>
      <c r="ES68" s="21" t="str">
        <f t="shared" si="411"/>
        <v/>
      </c>
      <c r="ET68" s="5" t="str">
        <f t="shared" si="412"/>
        <v/>
      </c>
      <c r="EU68" s="10" t="str">
        <f t="shared" si="413"/>
        <v/>
      </c>
      <c r="EV68" s="174" t="str">
        <f t="shared" si="571"/>
        <v/>
      </c>
      <c r="EW68" s="9" t="str">
        <f t="shared" si="572"/>
        <v/>
      </c>
      <c r="EX68" s="5" t="str">
        <f t="shared" si="573"/>
        <v/>
      </c>
      <c r="EY68" s="6" t="str">
        <f t="shared" si="213"/>
        <v/>
      </c>
      <c r="EZ68" s="51" t="str">
        <f t="shared" si="214"/>
        <v/>
      </c>
      <c r="FA68" s="173" t="str">
        <f t="shared" si="574"/>
        <v/>
      </c>
      <c r="FB68" s="5" t="str">
        <f t="shared" si="575"/>
        <v/>
      </c>
      <c r="FC68" s="6" t="str">
        <f t="shared" si="576"/>
        <v/>
      </c>
      <c r="FD68" s="4" t="str">
        <f t="shared" si="577"/>
        <v/>
      </c>
      <c r="FE68" s="5" t="str">
        <f t="shared" si="578"/>
        <v/>
      </c>
      <c r="FF68" s="7" t="str">
        <f t="shared" si="215"/>
        <v/>
      </c>
      <c r="FG68" s="173" t="str">
        <f t="shared" si="579"/>
        <v/>
      </c>
      <c r="FH68" s="5" t="str">
        <f t="shared" si="580"/>
        <v/>
      </c>
      <c r="FI68" s="10" t="str">
        <f t="shared" si="581"/>
        <v/>
      </c>
      <c r="FJ68" s="279" t="str">
        <f t="shared" si="217"/>
        <v/>
      </c>
      <c r="FK68" s="4" t="str">
        <f t="shared" si="582"/>
        <v/>
      </c>
      <c r="FL68" s="5" t="str">
        <f t="shared" si="218"/>
        <v/>
      </c>
      <c r="FM68" s="8" t="str">
        <f t="shared" si="219"/>
        <v/>
      </c>
      <c r="FN68" s="9" t="str">
        <f t="shared" si="220"/>
        <v/>
      </c>
      <c r="FO68" s="10" t="str">
        <f t="shared" si="583"/>
        <v/>
      </c>
      <c r="FP68" s="277" t="str">
        <f t="shared" si="584"/>
        <v/>
      </c>
      <c r="FQ68" s="173" t="str">
        <f t="shared" si="251"/>
        <v/>
      </c>
      <c r="FR68" s="10" t="str">
        <f t="shared" si="221"/>
        <v/>
      </c>
      <c r="FS68" s="9" t="str">
        <f t="shared" si="222"/>
        <v/>
      </c>
      <c r="FT68" s="6" t="str">
        <f t="shared" si="223"/>
        <v/>
      </c>
      <c r="FU68" s="4" t="str">
        <f t="shared" si="224"/>
        <v/>
      </c>
      <c r="FV68" s="5" t="str">
        <f t="shared" si="225"/>
        <v/>
      </c>
      <c r="FW68" s="8" t="str">
        <f t="shared" si="252"/>
        <v/>
      </c>
      <c r="FX68" s="9" t="str">
        <f t="shared" si="253"/>
        <v/>
      </c>
      <c r="FY68" s="10" t="str">
        <f t="shared" si="585"/>
        <v/>
      </c>
      <c r="FZ68" s="277" t="str">
        <f t="shared" si="254"/>
        <v/>
      </c>
      <c r="GA68" s="177" t="str">
        <f t="shared" si="226"/>
        <v/>
      </c>
      <c r="GB68" s="4" t="str">
        <f t="shared" si="227"/>
        <v/>
      </c>
      <c r="GC68" s="5" t="str">
        <f t="shared" si="228"/>
        <v/>
      </c>
      <c r="GD68" s="10" t="str">
        <f t="shared" si="229"/>
        <v/>
      </c>
      <c r="GE68" s="311" t="str">
        <f t="shared" si="230"/>
        <v/>
      </c>
      <c r="GF68" s="341" t="str">
        <f t="shared" si="255"/>
        <v/>
      </c>
      <c r="GG68" s="285" t="str">
        <f t="shared" si="586"/>
        <v/>
      </c>
      <c r="GH68" s="286" t="str">
        <f t="shared" si="587"/>
        <v/>
      </c>
      <c r="GI68" s="281" t="str">
        <f t="shared" si="588"/>
        <v/>
      </c>
      <c r="GJ68" s="167" t="str">
        <f t="shared" si="231"/>
        <v/>
      </c>
      <c r="GK68" s="174" t="str">
        <f t="shared" si="589"/>
        <v/>
      </c>
      <c r="GL68" s="174" t="str">
        <f t="shared" si="232"/>
        <v/>
      </c>
      <c r="GM68" s="177" t="str">
        <f t="shared" si="256"/>
        <v/>
      </c>
      <c r="GN68" s="280" t="str">
        <f t="shared" si="233"/>
        <v/>
      </c>
      <c r="GO68" s="4" t="str">
        <f t="shared" si="234"/>
        <v/>
      </c>
      <c r="GP68" s="8" t="str">
        <f t="shared" si="257"/>
        <v/>
      </c>
      <c r="GQ68" s="177" t="str">
        <f t="shared" si="235"/>
        <v/>
      </c>
      <c r="GR68" s="371" t="str">
        <f t="shared" si="258"/>
        <v/>
      </c>
      <c r="GS68" s="342" t="str">
        <f t="shared" si="590"/>
        <v/>
      </c>
      <c r="GT68" s="343" t="str">
        <f t="shared" si="591"/>
        <v/>
      </c>
      <c r="GU68" s="344" t="str">
        <f t="shared" si="592"/>
        <v/>
      </c>
      <c r="GV68" s="343" t="str">
        <f t="shared" si="265"/>
        <v/>
      </c>
      <c r="GW68" s="345" t="str">
        <f t="shared" si="593"/>
        <v/>
      </c>
      <c r="GX68" s="346" t="str">
        <f t="shared" si="594"/>
        <v/>
      </c>
      <c r="GY68" s="344" t="str">
        <f t="shared" si="595"/>
        <v/>
      </c>
      <c r="GZ68" s="345" t="str">
        <f t="shared" si="596"/>
        <v/>
      </c>
      <c r="HA68" s="342" t="str">
        <f t="shared" si="597"/>
        <v/>
      </c>
      <c r="HB68" s="5" t="str">
        <f t="shared" si="236"/>
        <v/>
      </c>
      <c r="HC68" s="343" t="str">
        <f t="shared" si="237"/>
        <v/>
      </c>
      <c r="HD68" s="363" t="str">
        <f t="shared" si="238"/>
        <v/>
      </c>
      <c r="HE68" s="344" t="str">
        <f t="shared" si="598"/>
        <v/>
      </c>
      <c r="HF68" s="5" t="str">
        <f t="shared" si="599"/>
        <v/>
      </c>
      <c r="HG68" s="343" t="str">
        <f t="shared" si="239"/>
        <v/>
      </c>
      <c r="HH68" s="349" t="str">
        <f t="shared" si="240"/>
        <v/>
      </c>
      <c r="HI68" s="317" t="str">
        <f t="shared" si="467"/>
        <v/>
      </c>
      <c r="HK68" s="310" t="str">
        <f t="shared" si="520"/>
        <v/>
      </c>
      <c r="HL68" s="348" t="str">
        <f t="shared" si="468"/>
        <v/>
      </c>
      <c r="HM68" s="923" t="str">
        <f t="shared" si="469"/>
        <v/>
      </c>
      <c r="HN68" s="924" t="str">
        <f t="shared" si="470"/>
        <v/>
      </c>
      <c r="HO68" s="925"/>
      <c r="HP68" s="926"/>
      <c r="HQ68" s="924" t="str">
        <f t="shared" si="471"/>
        <v/>
      </c>
      <c r="HR68" s="927" t="str">
        <f t="shared" si="472"/>
        <v/>
      </c>
      <c r="HS68" s="879" t="str">
        <f t="shared" si="521"/>
        <v/>
      </c>
      <c r="HT68" s="889" t="str">
        <f t="shared" si="473"/>
        <v/>
      </c>
      <c r="HU68" s="890" t="str">
        <f t="shared" si="474"/>
        <v/>
      </c>
      <c r="HV68" s="886" t="str">
        <f t="shared" si="475"/>
        <v/>
      </c>
      <c r="HW68" s="880" t="str">
        <f t="shared" si="476"/>
        <v/>
      </c>
      <c r="HX68" s="881" t="str">
        <f t="shared" si="477"/>
        <v/>
      </c>
      <c r="HY68" s="880" t="str">
        <f t="shared" si="478"/>
        <v/>
      </c>
      <c r="HZ68" s="882" t="str">
        <f t="shared" si="479"/>
        <v/>
      </c>
      <c r="IA68" s="883" t="str">
        <f t="shared" si="480"/>
        <v/>
      </c>
      <c r="IB68" s="884" t="str">
        <f t="shared" si="481"/>
        <v/>
      </c>
      <c r="IC68" s="855" t="str">
        <f t="shared" si="482"/>
        <v/>
      </c>
      <c r="ID68" s="351" t="str">
        <f t="shared" si="483"/>
        <v/>
      </c>
      <c r="IE68" s="857" t="str">
        <f t="shared" si="484"/>
        <v/>
      </c>
      <c r="IF68" s="858"/>
      <c r="IG68" s="790" t="str">
        <f>IFERROR(IF($IW68="","",IF($IW68&lt;(((Settings!$C$19/2)*-1)*$IG$8),"Taper","Nose")),"")</f>
        <v/>
      </c>
      <c r="IH68" s="482" t="str">
        <f>IFERROR(IF((((($IY68*COS(RADIANS(180-$JA68)))*COS(RADIANS($JA68)))-(($IZ68*SIN(RADIANS(180-$JA68)))*SIN(RADIANS($JA68))))+$IW68)&lt;(((Settings!$C$19+$IH$8)/2)*-1),"Gage",""),"")</f>
        <v/>
      </c>
      <c r="II68" s="788" t="str">
        <f t="shared" si="241"/>
        <v/>
      </c>
      <c r="IJ68" s="674" t="str" cm="1">
        <f t="array" ref="IJ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K68" s="677" t="str" cm="1">
        <f t="array" ref="IK68">IFERROR(ROUND(VALUE(IF($IJ68&lt;1,$IJ68+LARGE((IF($M$9:$M$150="",0,$M$9:$M$150)-MOD(IF($M$9:$M$150="",0,$M$9:$M$150),1)),1),$IJ68)),4),"")</f>
        <v/>
      </c>
      <c r="IL68" s="482" t="str">
        <f t="shared" si="485"/>
        <v/>
      </c>
      <c r="IM68" s="482" t="str">
        <f t="shared" si="242"/>
        <v/>
      </c>
      <c r="IN68" s="670" t="str">
        <f t="shared" si="486"/>
        <v/>
      </c>
      <c r="IO68" s="702">
        <v>2.0782101437166699E-2</v>
      </c>
      <c r="IP68" s="5" t="str">
        <f t="shared" si="487"/>
        <v/>
      </c>
      <c r="IQ68" s="714">
        <v>270</v>
      </c>
      <c r="IR68" s="9" t="str">
        <f t="shared" si="488"/>
        <v/>
      </c>
      <c r="IS68" s="5" t="str">
        <f t="shared" si="489"/>
        <v/>
      </c>
      <c r="IT68" s="5" t="str">
        <f t="shared" si="490"/>
        <v/>
      </c>
      <c r="IU68" s="5" t="str">
        <f t="shared" si="491"/>
        <v/>
      </c>
      <c r="IV68" s="670" t="str">
        <f t="shared" si="492"/>
        <v/>
      </c>
      <c r="IW68" s="9" t="str">
        <f t="shared" si="493"/>
        <v/>
      </c>
      <c r="IX68" s="5" t="str">
        <f t="shared" si="494"/>
        <v/>
      </c>
      <c r="IY68" s="5" t="str">
        <f t="shared" si="495"/>
        <v/>
      </c>
      <c r="IZ68" s="5" t="str">
        <f t="shared" si="496"/>
        <v/>
      </c>
      <c r="JA68" s="705" t="str">
        <f t="shared" si="497"/>
        <v/>
      </c>
      <c r="JM68" s="489" t="e">
        <f t="shared" si="133"/>
        <v>#VALUE!</v>
      </c>
      <c r="JN68" s="960" t="e">
        <f>($JO68-SMALL($JO$9:$JO$88,1))/((Settings!$C$19/2)-((Settings!$C$19/2)-LARGE($JO$9:$JO$88,1))-SMALL($JO$9:$JO$88,1))</f>
        <v>#VALUE!</v>
      </c>
      <c r="JO68" s="162" t="str">
        <f t="shared" si="134"/>
        <v/>
      </c>
      <c r="JP68" s="961" t="str">
        <f t="shared" si="135"/>
        <v/>
      </c>
      <c r="JQ68" s="961" t="str">
        <f t="shared" si="136"/>
        <v/>
      </c>
      <c r="JU68" s="962"/>
      <c r="JV68" s="959"/>
      <c r="JW68" s="959"/>
    </row>
    <row r="69" spans="1:283" ht="15" customHeight="1" x14ac:dyDescent="0.25">
      <c r="A69" s="75" t="str">
        <f t="shared" si="322"/>
        <v/>
      </c>
      <c r="B69" s="578" t="str">
        <f t="shared" ref="B69:D69" si="629">IFERROR(O224+($A69*-E69),"")</f>
        <v/>
      </c>
      <c r="C69" s="572" t="str">
        <f t="shared" si="629"/>
        <v/>
      </c>
      <c r="D69" s="576" t="str">
        <f t="shared" si="629"/>
        <v/>
      </c>
      <c r="E69" s="580" t="str">
        <f t="shared" ref="E69:K69" si="630">R224</f>
        <v/>
      </c>
      <c r="F69" s="572" t="str">
        <f t="shared" si="630"/>
        <v/>
      </c>
      <c r="G69" s="579" t="str">
        <f t="shared" si="630"/>
        <v/>
      </c>
      <c r="H69" s="580" t="str">
        <f t="shared" si="630"/>
        <v/>
      </c>
      <c r="I69" s="572" t="str">
        <f t="shared" si="630"/>
        <v/>
      </c>
      <c r="J69" s="483" t="str">
        <f t="shared" si="94"/>
        <v/>
      </c>
      <c r="K69" s="806" t="str">
        <f t="shared" si="630"/>
        <v/>
      </c>
      <c r="L69" s="309"/>
      <c r="M69" s="164" t="str">
        <f t="shared" si="325"/>
        <v/>
      </c>
      <c r="N69" s="575" t="str">
        <f t="shared" si="326"/>
        <v/>
      </c>
      <c r="O69" s="572" t="str">
        <f t="shared" si="327"/>
        <v/>
      </c>
      <c r="P69" s="576" t="str">
        <f t="shared" si="328"/>
        <v/>
      </c>
      <c r="Q69" s="528" t="str">
        <f t="shared" si="144"/>
        <v/>
      </c>
      <c r="R69" s="572" t="str">
        <f t="shared" si="95"/>
        <v/>
      </c>
      <c r="S69" s="577" t="str">
        <f t="shared" si="96"/>
        <v/>
      </c>
      <c r="T69" s="578" t="str">
        <f t="shared" si="97"/>
        <v/>
      </c>
      <c r="U69" s="572" t="str">
        <f t="shared" si="98"/>
        <v/>
      </c>
      <c r="V69" s="579" t="str">
        <f t="shared" si="145"/>
        <v/>
      </c>
      <c r="W69" s="528" t="str">
        <f t="shared" si="268"/>
        <v/>
      </c>
      <c r="X69" s="572" t="str">
        <f t="shared" si="99"/>
        <v/>
      </c>
      <c r="Y69" s="573" t="str">
        <f t="shared" si="271"/>
        <v/>
      </c>
      <c r="Z69" s="575" t="str">
        <f t="shared" si="329"/>
        <v/>
      </c>
      <c r="AA69" s="572" t="str">
        <f t="shared" si="330"/>
        <v/>
      </c>
      <c r="AB69" s="572" t="str">
        <f t="shared" si="331"/>
        <v/>
      </c>
      <c r="AC69" s="579" t="str">
        <f t="shared" si="100"/>
        <v/>
      </c>
      <c r="AD69" s="580" t="str">
        <f t="shared" si="146"/>
        <v/>
      </c>
      <c r="AE69" s="572" t="str">
        <f t="shared" si="101"/>
        <v/>
      </c>
      <c r="AF69" s="576" t="str">
        <f t="shared" si="102"/>
        <v/>
      </c>
      <c r="AG69" s="545" t="str">
        <f t="shared" si="103"/>
        <v/>
      </c>
      <c r="AH69" s="546" t="str">
        <f t="shared" si="104"/>
        <v/>
      </c>
      <c r="AI69" s="528" t="str">
        <f t="shared" si="105"/>
        <v/>
      </c>
      <c r="AJ69" s="529" t="str">
        <f t="shared" si="106"/>
        <v/>
      </c>
      <c r="AK69" s="578" t="str">
        <f t="shared" si="247"/>
        <v/>
      </c>
      <c r="AL69" s="572" t="str">
        <f t="shared" si="107"/>
        <v/>
      </c>
      <c r="AM69" s="577" t="str">
        <f t="shared" si="108"/>
        <v/>
      </c>
      <c r="AN69" s="524" t="str">
        <f t="shared" si="109"/>
        <v/>
      </c>
      <c r="AO69" s="525" t="str">
        <f t="shared" si="604"/>
        <v/>
      </c>
      <c r="AP69" s="528" t="str">
        <f t="shared" si="111"/>
        <v/>
      </c>
      <c r="AQ69" s="529" t="str">
        <f t="shared" si="332"/>
        <v/>
      </c>
      <c r="AR69" s="979"/>
      <c r="AS69" s="954" t="str">
        <f t="shared" si="524"/>
        <v/>
      </c>
      <c r="AT69" s="950" t="str">
        <f t="shared" si="333"/>
        <v/>
      </c>
      <c r="AU69" s="418"/>
      <c r="AV69" s="164" t="str">
        <f t="shared" si="334"/>
        <v/>
      </c>
      <c r="AW69" s="797" t="str">
        <f>IFERROR(INDEX(MassProp!C$9:C$150,MATCH($M69,MassProp!$B$9:$B$150,0)),"")</f>
        <v/>
      </c>
      <c r="AX69" s="744" t="str">
        <f>IFERROR(INDEX(MassProp!D$9:D$150,MATCH($M69,MassProp!$B$9:$B$150,0)),"")</f>
        <v/>
      </c>
      <c r="AY69" s="731" t="str">
        <f>IFERROR(INDEX(MassProp!E$9:E$150,MATCH($M69,MassProp!$B$9:$B$150,0)),"")</f>
        <v/>
      </c>
      <c r="AZ69" s="297" t="str">
        <f t="shared" si="148"/>
        <v/>
      </c>
      <c r="BA69" s="296" t="str">
        <f t="shared" si="336"/>
        <v/>
      </c>
      <c r="BB69" s="177" t="str">
        <f t="shared" si="149"/>
        <v/>
      </c>
      <c r="BC69" s="9"/>
      <c r="BD69" s="5" t="str">
        <f t="shared" si="150"/>
        <v/>
      </c>
      <c r="BE69" s="6" t="str">
        <f t="shared" si="338"/>
        <v/>
      </c>
      <c r="BF69" s="4" t="str">
        <f t="shared" si="339"/>
        <v/>
      </c>
      <c r="BG69" s="5" t="str">
        <f t="shared" si="340"/>
        <v/>
      </c>
      <c r="BH69" s="10" t="str">
        <f t="shared" si="341"/>
        <v/>
      </c>
      <c r="BI69" s="9" t="str">
        <f t="shared" si="151"/>
        <v/>
      </c>
      <c r="BJ69" s="5" t="str">
        <f t="shared" si="343"/>
        <v/>
      </c>
      <c r="BK69" s="8" t="str">
        <f t="shared" si="344"/>
        <v/>
      </c>
      <c r="BL69" s="173" t="str">
        <f t="shared" si="345"/>
        <v/>
      </c>
      <c r="BM69" s="5" t="str">
        <f t="shared" si="346"/>
        <v/>
      </c>
      <c r="BN69" s="6" t="str">
        <f t="shared" si="347"/>
        <v/>
      </c>
      <c r="BO69" s="4" t="str">
        <f t="shared" si="152"/>
        <v/>
      </c>
      <c r="BP69" s="5" t="str">
        <f t="shared" si="153"/>
        <v/>
      </c>
      <c r="BQ69" s="5" t="str">
        <f t="shared" si="154"/>
        <v/>
      </c>
      <c r="BR69" s="6" t="str">
        <f t="shared" si="155"/>
        <v/>
      </c>
      <c r="BS69" s="4" t="str">
        <f t="shared" si="568"/>
        <v/>
      </c>
      <c r="BT69" s="5" t="str">
        <f t="shared" si="568"/>
        <v/>
      </c>
      <c r="BU69" s="10" t="str">
        <f t="shared" si="113"/>
        <v/>
      </c>
      <c r="BV69" s="9" t="str">
        <f t="shared" si="114"/>
        <v/>
      </c>
      <c r="BW69" s="5" t="str">
        <f t="shared" si="115"/>
        <v/>
      </c>
      <c r="BX69" s="8" t="str">
        <f t="shared" si="116"/>
        <v/>
      </c>
      <c r="BY69" s="173" t="str">
        <f t="shared" si="117"/>
        <v/>
      </c>
      <c r="BZ69" s="5" t="str">
        <f t="shared" si="118"/>
        <v/>
      </c>
      <c r="CA69" s="6" t="str">
        <f t="shared" si="119"/>
        <v/>
      </c>
      <c r="CB69" s="4" t="str">
        <f t="shared" si="156"/>
        <v/>
      </c>
      <c r="CC69" s="5" t="str">
        <f t="shared" si="157"/>
        <v/>
      </c>
      <c r="CD69" s="5" t="str">
        <f t="shared" si="158"/>
        <v/>
      </c>
      <c r="CE69" s="6" t="str">
        <f t="shared" si="159"/>
        <v/>
      </c>
      <c r="CF69" s="4" t="str">
        <f t="shared" si="160"/>
        <v/>
      </c>
      <c r="CG69" s="5" t="str">
        <f t="shared" si="161"/>
        <v/>
      </c>
      <c r="CH69" s="5" t="str">
        <f t="shared" si="162"/>
        <v/>
      </c>
      <c r="CI69" s="4" t="str">
        <f t="shared" si="120"/>
        <v/>
      </c>
      <c r="CJ69" s="5" t="str">
        <f t="shared" si="121"/>
        <v/>
      </c>
      <c r="CK69" s="8" t="str">
        <f t="shared" si="122"/>
        <v/>
      </c>
      <c r="CL69" s="173" t="str">
        <f t="shared" si="123"/>
        <v/>
      </c>
      <c r="CM69" s="5" t="str">
        <f t="shared" si="124"/>
        <v/>
      </c>
      <c r="CN69" s="6" t="str">
        <f t="shared" si="125"/>
        <v/>
      </c>
      <c r="CO69" s="167" t="str">
        <f t="shared" si="364"/>
        <v/>
      </c>
      <c r="CP69" s="4" t="str">
        <f t="shared" si="248"/>
        <v/>
      </c>
      <c r="CQ69" s="5" t="str">
        <f t="shared" si="249"/>
        <v/>
      </c>
      <c r="CR69" s="5" t="str">
        <f t="shared" si="163"/>
        <v/>
      </c>
      <c r="CS69" s="8" t="str">
        <f t="shared" si="164"/>
        <v/>
      </c>
      <c r="CT69" s="9" t="str">
        <f t="shared" si="165"/>
        <v/>
      </c>
      <c r="CU69" s="6" t="str">
        <f t="shared" si="166"/>
        <v/>
      </c>
      <c r="CV69" s="4" t="str">
        <f t="shared" si="250"/>
        <v/>
      </c>
      <c r="CW69" s="5" t="str">
        <f t="shared" si="167"/>
        <v/>
      </c>
      <c r="CX69" s="8" t="str">
        <f t="shared" si="168"/>
        <v/>
      </c>
      <c r="CY69" s="9" t="str">
        <f t="shared" si="169"/>
        <v/>
      </c>
      <c r="CZ69" s="5" t="str">
        <f t="shared" si="170"/>
        <v/>
      </c>
      <c r="DA69" s="6" t="str">
        <f t="shared" si="171"/>
        <v/>
      </c>
      <c r="DB69" s="4" t="str">
        <f t="shared" si="569"/>
        <v/>
      </c>
      <c r="DC69" s="5" t="str">
        <f t="shared" si="569"/>
        <v/>
      </c>
      <c r="DD69" s="10" t="str">
        <f t="shared" si="173"/>
        <v/>
      </c>
      <c r="DE69" s="9" t="str">
        <f t="shared" si="570"/>
        <v/>
      </c>
      <c r="DF69" s="5" t="str">
        <f t="shared" si="570"/>
        <v/>
      </c>
      <c r="DG69" s="10" t="str">
        <f t="shared" si="175"/>
        <v/>
      </c>
      <c r="DH69" s="70" t="str">
        <f t="shared" si="176"/>
        <v/>
      </c>
      <c r="DI69" s="4" t="str">
        <f t="shared" si="177"/>
        <v/>
      </c>
      <c r="DJ69" s="5" t="str">
        <f t="shared" si="178"/>
        <v/>
      </c>
      <c r="DK69" s="10" t="str">
        <f t="shared" si="179"/>
        <v/>
      </c>
      <c r="DL69" s="9" t="str">
        <f t="shared" si="180"/>
        <v/>
      </c>
      <c r="DM69" s="173" t="str">
        <f t="shared" si="181"/>
        <v/>
      </c>
      <c r="DN69" s="178" t="str">
        <f t="shared" si="182"/>
        <v/>
      </c>
      <c r="DO69" s="9" t="str">
        <f t="shared" si="183"/>
        <v/>
      </c>
      <c r="DP69" s="173" t="str">
        <f t="shared" si="184"/>
        <v/>
      </c>
      <c r="DQ69" s="11" t="str">
        <f t="shared" si="185"/>
        <v/>
      </c>
      <c r="DR69" s="173" t="str">
        <f t="shared" si="186"/>
        <v/>
      </c>
      <c r="DS69" s="5" t="str">
        <f t="shared" si="187"/>
        <v/>
      </c>
      <c r="DT69" s="5" t="str">
        <f t="shared" si="188"/>
        <v/>
      </c>
      <c r="DU69" s="5" t="str">
        <f t="shared" si="189"/>
        <v/>
      </c>
      <c r="DV69" s="5" t="str">
        <f t="shared" si="190"/>
        <v/>
      </c>
      <c r="DW69" s="5" t="str">
        <f t="shared" si="191"/>
        <v/>
      </c>
      <c r="DX69" s="167" t="str">
        <f t="shared" si="192"/>
        <v/>
      </c>
      <c r="DY69" s="9" t="str">
        <f t="shared" si="193"/>
        <v/>
      </c>
      <c r="DZ69" s="5" t="str">
        <f t="shared" si="194"/>
        <v/>
      </c>
      <c r="EA69" s="10" t="str">
        <f t="shared" si="195"/>
        <v/>
      </c>
      <c r="EB69" s="6" t="str">
        <f t="shared" si="196"/>
        <v/>
      </c>
      <c r="EC69" s="173" t="str">
        <f t="shared" si="197"/>
        <v/>
      </c>
      <c r="ED69" s="5" t="str">
        <f t="shared" si="198"/>
        <v/>
      </c>
      <c r="EE69" s="4" t="str">
        <f t="shared" si="199"/>
        <v/>
      </c>
      <c r="EF69" s="5" t="str">
        <f t="shared" si="200"/>
        <v/>
      </c>
      <c r="EG69" s="10" t="str">
        <f t="shared" si="201"/>
        <v/>
      </c>
      <c r="EH69" s="9" t="str">
        <f t="shared" si="202"/>
        <v/>
      </c>
      <c r="EI69" s="5" t="str">
        <f t="shared" si="203"/>
        <v/>
      </c>
      <c r="EJ69" s="6" t="str">
        <f t="shared" si="204"/>
        <v/>
      </c>
      <c r="EK69" s="236" t="str">
        <f t="shared" si="205"/>
        <v/>
      </c>
      <c r="EL69" s="238" t="str">
        <f t="shared" si="206"/>
        <v/>
      </c>
      <c r="EM69" s="4" t="str">
        <f t="shared" si="207"/>
        <v/>
      </c>
      <c r="EN69" s="5" t="str">
        <f t="shared" si="208"/>
        <v/>
      </c>
      <c r="EO69" s="10" t="str">
        <f t="shared" si="209"/>
        <v/>
      </c>
      <c r="EP69" s="9" t="str">
        <f t="shared" si="210"/>
        <v/>
      </c>
      <c r="EQ69" s="5" t="str">
        <f t="shared" si="211"/>
        <v/>
      </c>
      <c r="ER69" s="7" t="str">
        <f t="shared" si="212"/>
        <v/>
      </c>
      <c r="ES69" s="21" t="str">
        <f t="shared" si="411"/>
        <v/>
      </c>
      <c r="ET69" s="5" t="str">
        <f t="shared" si="412"/>
        <v/>
      </c>
      <c r="EU69" s="10" t="str">
        <f t="shared" si="413"/>
        <v/>
      </c>
      <c r="EV69" s="174" t="str">
        <f t="shared" si="571"/>
        <v/>
      </c>
      <c r="EW69" s="9" t="str">
        <f t="shared" si="572"/>
        <v/>
      </c>
      <c r="EX69" s="5" t="str">
        <f t="shared" si="573"/>
        <v/>
      </c>
      <c r="EY69" s="6" t="str">
        <f t="shared" si="213"/>
        <v/>
      </c>
      <c r="EZ69" s="51" t="str">
        <f t="shared" si="214"/>
        <v/>
      </c>
      <c r="FA69" s="173" t="str">
        <f t="shared" si="574"/>
        <v/>
      </c>
      <c r="FB69" s="5" t="str">
        <f t="shared" si="575"/>
        <v/>
      </c>
      <c r="FC69" s="6" t="str">
        <f t="shared" si="576"/>
        <v/>
      </c>
      <c r="FD69" s="4" t="str">
        <f t="shared" si="577"/>
        <v/>
      </c>
      <c r="FE69" s="5" t="str">
        <f t="shared" si="578"/>
        <v/>
      </c>
      <c r="FF69" s="7" t="str">
        <f t="shared" si="215"/>
        <v/>
      </c>
      <c r="FG69" s="173" t="str">
        <f t="shared" si="579"/>
        <v/>
      </c>
      <c r="FH69" s="5" t="str">
        <f t="shared" si="580"/>
        <v/>
      </c>
      <c r="FI69" s="10" t="str">
        <f t="shared" si="581"/>
        <v/>
      </c>
      <c r="FJ69" s="279" t="str">
        <f t="shared" si="217"/>
        <v/>
      </c>
      <c r="FK69" s="4" t="str">
        <f t="shared" si="582"/>
        <v/>
      </c>
      <c r="FL69" s="5" t="str">
        <f t="shared" si="218"/>
        <v/>
      </c>
      <c r="FM69" s="8" t="str">
        <f t="shared" si="219"/>
        <v/>
      </c>
      <c r="FN69" s="9" t="str">
        <f t="shared" si="220"/>
        <v/>
      </c>
      <c r="FO69" s="10" t="str">
        <f t="shared" si="583"/>
        <v/>
      </c>
      <c r="FP69" s="277" t="str">
        <f t="shared" si="584"/>
        <v/>
      </c>
      <c r="FQ69" s="173" t="str">
        <f t="shared" si="251"/>
        <v/>
      </c>
      <c r="FR69" s="10" t="str">
        <f t="shared" si="221"/>
        <v/>
      </c>
      <c r="FS69" s="9" t="str">
        <f t="shared" si="222"/>
        <v/>
      </c>
      <c r="FT69" s="6" t="str">
        <f t="shared" si="223"/>
        <v/>
      </c>
      <c r="FU69" s="4" t="str">
        <f t="shared" si="224"/>
        <v/>
      </c>
      <c r="FV69" s="5" t="str">
        <f t="shared" si="225"/>
        <v/>
      </c>
      <c r="FW69" s="8" t="str">
        <f t="shared" si="252"/>
        <v/>
      </c>
      <c r="FX69" s="9" t="str">
        <f t="shared" si="253"/>
        <v/>
      </c>
      <c r="FY69" s="10" t="str">
        <f t="shared" si="585"/>
        <v/>
      </c>
      <c r="FZ69" s="277" t="str">
        <f t="shared" si="254"/>
        <v/>
      </c>
      <c r="GA69" s="177" t="str">
        <f t="shared" si="226"/>
        <v/>
      </c>
      <c r="GB69" s="4" t="str">
        <f t="shared" si="227"/>
        <v/>
      </c>
      <c r="GC69" s="5" t="str">
        <f t="shared" si="228"/>
        <v/>
      </c>
      <c r="GD69" s="10" t="str">
        <f t="shared" si="229"/>
        <v/>
      </c>
      <c r="GE69" s="311" t="str">
        <f t="shared" si="230"/>
        <v/>
      </c>
      <c r="GF69" s="341" t="str">
        <f t="shared" si="255"/>
        <v/>
      </c>
      <c r="GG69" s="285" t="str">
        <f t="shared" si="586"/>
        <v/>
      </c>
      <c r="GH69" s="286" t="str">
        <f t="shared" si="587"/>
        <v/>
      </c>
      <c r="GI69" s="281" t="str">
        <f t="shared" si="588"/>
        <v/>
      </c>
      <c r="GJ69" s="167" t="str">
        <f t="shared" si="231"/>
        <v/>
      </c>
      <c r="GK69" s="174" t="str">
        <f t="shared" si="589"/>
        <v/>
      </c>
      <c r="GL69" s="174" t="str">
        <f t="shared" si="232"/>
        <v/>
      </c>
      <c r="GM69" s="177" t="str">
        <f t="shared" si="256"/>
        <v/>
      </c>
      <c r="GN69" s="280" t="str">
        <f t="shared" si="233"/>
        <v/>
      </c>
      <c r="GO69" s="4" t="str">
        <f t="shared" si="234"/>
        <v/>
      </c>
      <c r="GP69" s="8" t="str">
        <f t="shared" si="257"/>
        <v/>
      </c>
      <c r="GQ69" s="177" t="str">
        <f t="shared" si="235"/>
        <v/>
      </c>
      <c r="GR69" s="371" t="str">
        <f t="shared" si="258"/>
        <v/>
      </c>
      <c r="GS69" s="342" t="str">
        <f t="shared" si="590"/>
        <v/>
      </c>
      <c r="GT69" s="343" t="str">
        <f t="shared" si="591"/>
        <v/>
      </c>
      <c r="GU69" s="344" t="str">
        <f t="shared" si="592"/>
        <v/>
      </c>
      <c r="GV69" s="343" t="str">
        <f t="shared" si="265"/>
        <v/>
      </c>
      <c r="GW69" s="345" t="str">
        <f t="shared" si="593"/>
        <v/>
      </c>
      <c r="GX69" s="346" t="str">
        <f t="shared" si="594"/>
        <v/>
      </c>
      <c r="GY69" s="344" t="str">
        <f t="shared" si="595"/>
        <v/>
      </c>
      <c r="GZ69" s="345" t="str">
        <f t="shared" si="596"/>
        <v/>
      </c>
      <c r="HA69" s="342" t="str">
        <f t="shared" si="597"/>
        <v/>
      </c>
      <c r="HB69" s="5" t="str">
        <f t="shared" si="236"/>
        <v/>
      </c>
      <c r="HC69" s="343" t="str">
        <f t="shared" si="237"/>
        <v/>
      </c>
      <c r="HD69" s="363" t="str">
        <f t="shared" si="238"/>
        <v/>
      </c>
      <c r="HE69" s="344" t="str">
        <f t="shared" si="598"/>
        <v/>
      </c>
      <c r="HF69" s="5" t="str">
        <f t="shared" si="599"/>
        <v/>
      </c>
      <c r="HG69" s="343" t="str">
        <f t="shared" si="239"/>
        <v/>
      </c>
      <c r="HH69" s="349" t="str">
        <f t="shared" si="240"/>
        <v/>
      </c>
      <c r="HI69" s="317" t="str">
        <f t="shared" si="467"/>
        <v/>
      </c>
      <c r="HK69" s="310" t="str">
        <f t="shared" si="520"/>
        <v/>
      </c>
      <c r="HL69" s="348" t="str">
        <f t="shared" si="468"/>
        <v/>
      </c>
      <c r="HM69" s="923" t="str">
        <f t="shared" si="469"/>
        <v/>
      </c>
      <c r="HN69" s="924" t="str">
        <f t="shared" si="470"/>
        <v/>
      </c>
      <c r="HO69" s="925"/>
      <c r="HP69" s="926"/>
      <c r="HQ69" s="924" t="str">
        <f t="shared" si="471"/>
        <v/>
      </c>
      <c r="HR69" s="927" t="str">
        <f t="shared" si="472"/>
        <v/>
      </c>
      <c r="HS69" s="879" t="str">
        <f t="shared" si="521"/>
        <v/>
      </c>
      <c r="HT69" s="889" t="str">
        <f t="shared" si="473"/>
        <v/>
      </c>
      <c r="HU69" s="890" t="str">
        <f t="shared" si="474"/>
        <v/>
      </c>
      <c r="HV69" s="886" t="str">
        <f t="shared" si="475"/>
        <v/>
      </c>
      <c r="HW69" s="880" t="str">
        <f t="shared" si="476"/>
        <v/>
      </c>
      <c r="HX69" s="881" t="str">
        <f t="shared" si="477"/>
        <v/>
      </c>
      <c r="HY69" s="880" t="str">
        <f t="shared" si="478"/>
        <v/>
      </c>
      <c r="HZ69" s="882" t="str">
        <f t="shared" si="479"/>
        <v/>
      </c>
      <c r="IA69" s="883" t="str">
        <f t="shared" si="480"/>
        <v/>
      </c>
      <c r="IB69" s="884" t="str">
        <f t="shared" si="481"/>
        <v/>
      </c>
      <c r="IC69" s="855" t="str">
        <f t="shared" si="482"/>
        <v/>
      </c>
      <c r="ID69" s="351" t="str">
        <f t="shared" si="483"/>
        <v/>
      </c>
      <c r="IE69" s="857" t="str">
        <f t="shared" si="484"/>
        <v/>
      </c>
      <c r="IF69" s="858"/>
      <c r="IG69" s="790" t="str">
        <f>IFERROR(IF($IW69="","",IF($IW69&lt;(((Settings!$C$19/2)*-1)*$IG$8),"Taper","Nose")),"")</f>
        <v/>
      </c>
      <c r="IH69" s="482" t="str">
        <f>IFERROR(IF((((($IY69*COS(RADIANS(180-$JA69)))*COS(RADIANS($JA69)))-(($IZ69*SIN(RADIANS(180-$JA69)))*SIN(RADIANS($JA69))))+$IW69)&lt;(((Settings!$C$19+$IH$8)/2)*-1),"Gage",""),"")</f>
        <v/>
      </c>
      <c r="II69" s="788" t="str">
        <f t="shared" si="241"/>
        <v/>
      </c>
      <c r="IJ69" s="674" t="str" cm="1">
        <f t="array" ref="IJ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K69" s="677" t="str" cm="1">
        <f t="array" ref="IK69">IFERROR(ROUND(VALUE(IF($IJ69&lt;1,$IJ69+LARGE((IF($M$9:$M$150="",0,$M$9:$M$150)-MOD(IF($M$9:$M$150="",0,$M$9:$M$150),1)),1),$IJ69)),4),"")</f>
        <v/>
      </c>
      <c r="IL69" s="482" t="str">
        <f t="shared" si="485"/>
        <v/>
      </c>
      <c r="IM69" s="482" t="str">
        <f t="shared" si="242"/>
        <v/>
      </c>
      <c r="IN69" s="670" t="str">
        <f t="shared" si="486"/>
        <v/>
      </c>
      <c r="IO69" s="702">
        <v>2.0596001756787601E-2</v>
      </c>
      <c r="IP69" s="5" t="str">
        <f t="shared" si="487"/>
        <v/>
      </c>
      <c r="IQ69" s="714">
        <v>310</v>
      </c>
      <c r="IR69" s="9" t="str">
        <f t="shared" si="488"/>
        <v/>
      </c>
      <c r="IS69" s="5" t="str">
        <f t="shared" si="489"/>
        <v/>
      </c>
      <c r="IT69" s="5" t="str">
        <f t="shared" si="490"/>
        <v/>
      </c>
      <c r="IU69" s="5" t="str">
        <f t="shared" si="491"/>
        <v/>
      </c>
      <c r="IV69" s="670" t="str">
        <f t="shared" si="492"/>
        <v/>
      </c>
      <c r="IW69" s="9" t="str">
        <f t="shared" si="493"/>
        <v/>
      </c>
      <c r="IX69" s="5" t="str">
        <f t="shared" si="494"/>
        <v/>
      </c>
      <c r="IY69" s="5" t="str">
        <f t="shared" si="495"/>
        <v/>
      </c>
      <c r="IZ69" s="5" t="str">
        <f t="shared" si="496"/>
        <v/>
      </c>
      <c r="JA69" s="705" t="str">
        <f t="shared" si="497"/>
        <v/>
      </c>
      <c r="JM69" s="489" t="e">
        <f t="shared" si="133"/>
        <v>#VALUE!</v>
      </c>
      <c r="JN69" s="960" t="e">
        <f>($JO69-SMALL($JO$9:$JO$88,1))/((Settings!$C$19/2)-((Settings!$C$19/2)-LARGE($JO$9:$JO$88,1))-SMALL($JO$9:$JO$88,1))</f>
        <v>#VALUE!</v>
      </c>
      <c r="JO69" s="162" t="str">
        <f t="shared" si="134"/>
        <v/>
      </c>
      <c r="JP69" s="961" t="str">
        <f t="shared" si="135"/>
        <v/>
      </c>
      <c r="JQ69" s="961" t="str">
        <f t="shared" si="136"/>
        <v/>
      </c>
      <c r="JU69" s="962"/>
      <c r="JV69" s="959"/>
      <c r="JW69" s="959"/>
    </row>
    <row r="70" spans="1:283" ht="15" customHeight="1" x14ac:dyDescent="0.25">
      <c r="A70" s="75" t="str">
        <f t="shared" si="322"/>
        <v/>
      </c>
      <c r="B70" s="578" t="str">
        <f t="shared" ref="B70:D70" si="631">IFERROR(O225+($A70*-E70),"")</f>
        <v/>
      </c>
      <c r="C70" s="572" t="str">
        <f t="shared" si="631"/>
        <v/>
      </c>
      <c r="D70" s="576" t="str">
        <f t="shared" si="631"/>
        <v/>
      </c>
      <c r="E70" s="580" t="str">
        <f t="shared" ref="E70:K70" si="632">R225</f>
        <v/>
      </c>
      <c r="F70" s="572" t="str">
        <f t="shared" si="632"/>
        <v/>
      </c>
      <c r="G70" s="579" t="str">
        <f t="shared" si="632"/>
        <v/>
      </c>
      <c r="H70" s="580" t="str">
        <f t="shared" si="632"/>
        <v/>
      </c>
      <c r="I70" s="572" t="str">
        <f t="shared" si="632"/>
        <v/>
      </c>
      <c r="J70" s="483" t="str">
        <f t="shared" si="94"/>
        <v/>
      </c>
      <c r="K70" s="806" t="str">
        <f t="shared" si="632"/>
        <v/>
      </c>
      <c r="L70" s="309"/>
      <c r="M70" s="164" t="str">
        <f t="shared" si="325"/>
        <v/>
      </c>
      <c r="N70" s="575" t="str">
        <f t="shared" si="326"/>
        <v/>
      </c>
      <c r="O70" s="572" t="str">
        <f t="shared" si="327"/>
        <v/>
      </c>
      <c r="P70" s="576" t="str">
        <f t="shared" si="328"/>
        <v/>
      </c>
      <c r="Q70" s="528" t="str">
        <f t="shared" si="144"/>
        <v/>
      </c>
      <c r="R70" s="572" t="str">
        <f t="shared" si="95"/>
        <v/>
      </c>
      <c r="S70" s="577" t="str">
        <f t="shared" si="96"/>
        <v/>
      </c>
      <c r="T70" s="578" t="str">
        <f t="shared" si="97"/>
        <v/>
      </c>
      <c r="U70" s="572" t="str">
        <f t="shared" si="98"/>
        <v/>
      </c>
      <c r="V70" s="579" t="str">
        <f t="shared" si="145"/>
        <v/>
      </c>
      <c r="W70" s="528" t="str">
        <f t="shared" si="268"/>
        <v/>
      </c>
      <c r="X70" s="572" t="str">
        <f t="shared" si="99"/>
        <v/>
      </c>
      <c r="Y70" s="573" t="str">
        <f t="shared" si="271"/>
        <v/>
      </c>
      <c r="Z70" s="575" t="str">
        <f t="shared" si="329"/>
        <v/>
      </c>
      <c r="AA70" s="572" t="str">
        <f t="shared" si="330"/>
        <v/>
      </c>
      <c r="AB70" s="572" t="str">
        <f t="shared" si="331"/>
        <v/>
      </c>
      <c r="AC70" s="579" t="str">
        <f t="shared" si="100"/>
        <v/>
      </c>
      <c r="AD70" s="580" t="str">
        <f t="shared" si="146"/>
        <v/>
      </c>
      <c r="AE70" s="572" t="str">
        <f t="shared" si="101"/>
        <v/>
      </c>
      <c r="AF70" s="576" t="str">
        <f t="shared" si="102"/>
        <v/>
      </c>
      <c r="AG70" s="545" t="str">
        <f t="shared" si="103"/>
        <v/>
      </c>
      <c r="AH70" s="546" t="str">
        <f t="shared" si="104"/>
        <v/>
      </c>
      <c r="AI70" s="528" t="str">
        <f t="shared" si="105"/>
        <v/>
      </c>
      <c r="AJ70" s="529" t="str">
        <f t="shared" si="106"/>
        <v/>
      </c>
      <c r="AK70" s="578" t="str">
        <f t="shared" si="247"/>
        <v/>
      </c>
      <c r="AL70" s="572" t="str">
        <f t="shared" si="107"/>
        <v/>
      </c>
      <c r="AM70" s="577" t="str">
        <f t="shared" si="108"/>
        <v/>
      </c>
      <c r="AN70" s="524" t="str">
        <f t="shared" si="109"/>
        <v/>
      </c>
      <c r="AO70" s="525" t="str">
        <f t="shared" si="604"/>
        <v/>
      </c>
      <c r="AP70" s="528" t="str">
        <f t="shared" si="111"/>
        <v/>
      </c>
      <c r="AQ70" s="529" t="str">
        <f t="shared" si="332"/>
        <v/>
      </c>
      <c r="AR70" s="979"/>
      <c r="AS70" s="954" t="str">
        <f t="shared" si="524"/>
        <v/>
      </c>
      <c r="AT70" s="950" t="str">
        <f t="shared" si="333"/>
        <v/>
      </c>
      <c r="AU70" s="418"/>
      <c r="AV70" s="164" t="str">
        <f t="shared" si="334"/>
        <v/>
      </c>
      <c r="AW70" s="797" t="str">
        <f>IFERROR(INDEX(MassProp!C$9:C$150,MATCH($M70,MassProp!$B$9:$B$150,0)),"")</f>
        <v/>
      </c>
      <c r="AX70" s="744" t="str">
        <f>IFERROR(INDEX(MassProp!D$9:D$150,MATCH($M70,MassProp!$B$9:$B$150,0)),"")</f>
        <v/>
      </c>
      <c r="AY70" s="731" t="str">
        <f>IFERROR(INDEX(MassProp!E$9:E$150,MATCH($M70,MassProp!$B$9:$B$150,0)),"")</f>
        <v/>
      </c>
      <c r="AZ70" s="297" t="str">
        <f t="shared" si="148"/>
        <v/>
      </c>
      <c r="BA70" s="296" t="str">
        <f t="shared" si="336"/>
        <v/>
      </c>
      <c r="BB70" s="177" t="str">
        <f t="shared" si="149"/>
        <v/>
      </c>
      <c r="BC70" s="9"/>
      <c r="BD70" s="5" t="str">
        <f t="shared" si="150"/>
        <v/>
      </c>
      <c r="BE70" s="6" t="str">
        <f t="shared" si="338"/>
        <v/>
      </c>
      <c r="BF70" s="4" t="str">
        <f t="shared" si="339"/>
        <v/>
      </c>
      <c r="BG70" s="5" t="str">
        <f t="shared" si="340"/>
        <v/>
      </c>
      <c r="BH70" s="10" t="str">
        <f t="shared" si="341"/>
        <v/>
      </c>
      <c r="BI70" s="9" t="str">
        <f t="shared" si="151"/>
        <v/>
      </c>
      <c r="BJ70" s="5" t="str">
        <f t="shared" si="343"/>
        <v/>
      </c>
      <c r="BK70" s="8" t="str">
        <f t="shared" si="344"/>
        <v/>
      </c>
      <c r="BL70" s="173" t="str">
        <f t="shared" si="345"/>
        <v/>
      </c>
      <c r="BM70" s="5" t="str">
        <f t="shared" si="346"/>
        <v/>
      </c>
      <c r="BN70" s="6" t="str">
        <f t="shared" si="347"/>
        <v/>
      </c>
      <c r="BO70" s="4" t="str">
        <f t="shared" si="152"/>
        <v/>
      </c>
      <c r="BP70" s="5" t="str">
        <f t="shared" si="153"/>
        <v/>
      </c>
      <c r="BQ70" s="5" t="str">
        <f t="shared" si="154"/>
        <v/>
      </c>
      <c r="BR70" s="6" t="str">
        <f t="shared" si="155"/>
        <v/>
      </c>
      <c r="BS70" s="4" t="str">
        <f t="shared" si="568"/>
        <v/>
      </c>
      <c r="BT70" s="5" t="str">
        <f t="shared" si="568"/>
        <v/>
      </c>
      <c r="BU70" s="10" t="str">
        <f t="shared" si="113"/>
        <v/>
      </c>
      <c r="BV70" s="9" t="str">
        <f t="shared" si="114"/>
        <v/>
      </c>
      <c r="BW70" s="5" t="str">
        <f t="shared" si="115"/>
        <v/>
      </c>
      <c r="BX70" s="8" t="str">
        <f t="shared" si="116"/>
        <v/>
      </c>
      <c r="BY70" s="173" t="str">
        <f t="shared" si="117"/>
        <v/>
      </c>
      <c r="BZ70" s="5" t="str">
        <f t="shared" si="118"/>
        <v/>
      </c>
      <c r="CA70" s="6" t="str">
        <f t="shared" si="119"/>
        <v/>
      </c>
      <c r="CB70" s="4" t="str">
        <f t="shared" si="156"/>
        <v/>
      </c>
      <c r="CC70" s="5" t="str">
        <f t="shared" si="157"/>
        <v/>
      </c>
      <c r="CD70" s="5" t="str">
        <f t="shared" si="158"/>
        <v/>
      </c>
      <c r="CE70" s="6" t="str">
        <f t="shared" si="159"/>
        <v/>
      </c>
      <c r="CF70" s="4" t="str">
        <f t="shared" si="160"/>
        <v/>
      </c>
      <c r="CG70" s="5" t="str">
        <f t="shared" si="161"/>
        <v/>
      </c>
      <c r="CH70" s="5" t="str">
        <f t="shared" si="162"/>
        <v/>
      </c>
      <c r="CI70" s="4" t="str">
        <f t="shared" si="120"/>
        <v/>
      </c>
      <c r="CJ70" s="5" t="str">
        <f t="shared" si="121"/>
        <v/>
      </c>
      <c r="CK70" s="8" t="str">
        <f t="shared" si="122"/>
        <v/>
      </c>
      <c r="CL70" s="173" t="str">
        <f t="shared" si="123"/>
        <v/>
      </c>
      <c r="CM70" s="5" t="str">
        <f t="shared" si="124"/>
        <v/>
      </c>
      <c r="CN70" s="6" t="str">
        <f t="shared" si="125"/>
        <v/>
      </c>
      <c r="CO70" s="167" t="str">
        <f t="shared" si="364"/>
        <v/>
      </c>
      <c r="CP70" s="4" t="str">
        <f t="shared" si="248"/>
        <v/>
      </c>
      <c r="CQ70" s="5" t="str">
        <f t="shared" si="249"/>
        <v/>
      </c>
      <c r="CR70" s="5" t="str">
        <f t="shared" si="163"/>
        <v/>
      </c>
      <c r="CS70" s="8" t="str">
        <f t="shared" si="164"/>
        <v/>
      </c>
      <c r="CT70" s="9" t="str">
        <f t="shared" si="165"/>
        <v/>
      </c>
      <c r="CU70" s="6" t="str">
        <f t="shared" si="166"/>
        <v/>
      </c>
      <c r="CV70" s="4" t="str">
        <f t="shared" si="250"/>
        <v/>
      </c>
      <c r="CW70" s="5" t="str">
        <f t="shared" si="167"/>
        <v/>
      </c>
      <c r="CX70" s="8" t="str">
        <f t="shared" si="168"/>
        <v/>
      </c>
      <c r="CY70" s="9" t="str">
        <f t="shared" si="169"/>
        <v/>
      </c>
      <c r="CZ70" s="5" t="str">
        <f t="shared" si="170"/>
        <v/>
      </c>
      <c r="DA70" s="6" t="str">
        <f t="shared" si="171"/>
        <v/>
      </c>
      <c r="DB70" s="4" t="str">
        <f t="shared" si="569"/>
        <v/>
      </c>
      <c r="DC70" s="5" t="str">
        <f t="shared" si="569"/>
        <v/>
      </c>
      <c r="DD70" s="10" t="str">
        <f t="shared" si="173"/>
        <v/>
      </c>
      <c r="DE70" s="9" t="str">
        <f t="shared" si="570"/>
        <v/>
      </c>
      <c r="DF70" s="5" t="str">
        <f t="shared" si="570"/>
        <v/>
      </c>
      <c r="DG70" s="10" t="str">
        <f t="shared" si="175"/>
        <v/>
      </c>
      <c r="DH70" s="70" t="str">
        <f t="shared" si="176"/>
        <v/>
      </c>
      <c r="DI70" s="4" t="str">
        <f t="shared" si="177"/>
        <v/>
      </c>
      <c r="DJ70" s="5" t="str">
        <f t="shared" si="178"/>
        <v/>
      </c>
      <c r="DK70" s="10" t="str">
        <f t="shared" si="179"/>
        <v/>
      </c>
      <c r="DL70" s="9" t="str">
        <f t="shared" si="180"/>
        <v/>
      </c>
      <c r="DM70" s="173" t="str">
        <f t="shared" si="181"/>
        <v/>
      </c>
      <c r="DN70" s="178" t="str">
        <f t="shared" si="182"/>
        <v/>
      </c>
      <c r="DO70" s="9" t="str">
        <f t="shared" si="183"/>
        <v/>
      </c>
      <c r="DP70" s="173" t="str">
        <f t="shared" si="184"/>
        <v/>
      </c>
      <c r="DQ70" s="11" t="str">
        <f t="shared" si="185"/>
        <v/>
      </c>
      <c r="DR70" s="173" t="str">
        <f t="shared" si="186"/>
        <v/>
      </c>
      <c r="DS70" s="5" t="str">
        <f t="shared" si="187"/>
        <v/>
      </c>
      <c r="DT70" s="5" t="str">
        <f t="shared" si="188"/>
        <v/>
      </c>
      <c r="DU70" s="5" t="str">
        <f t="shared" si="189"/>
        <v/>
      </c>
      <c r="DV70" s="5" t="str">
        <f t="shared" si="190"/>
        <v/>
      </c>
      <c r="DW70" s="5" t="str">
        <f t="shared" si="191"/>
        <v/>
      </c>
      <c r="DX70" s="167" t="str">
        <f t="shared" si="192"/>
        <v/>
      </c>
      <c r="DY70" s="9" t="str">
        <f t="shared" si="193"/>
        <v/>
      </c>
      <c r="DZ70" s="5" t="str">
        <f t="shared" si="194"/>
        <v/>
      </c>
      <c r="EA70" s="10" t="str">
        <f t="shared" si="195"/>
        <v/>
      </c>
      <c r="EB70" s="6" t="str">
        <f t="shared" si="196"/>
        <v/>
      </c>
      <c r="EC70" s="173" t="str">
        <f t="shared" si="197"/>
        <v/>
      </c>
      <c r="ED70" s="5" t="str">
        <f t="shared" si="198"/>
        <v/>
      </c>
      <c r="EE70" s="4" t="str">
        <f t="shared" si="199"/>
        <v/>
      </c>
      <c r="EF70" s="5" t="str">
        <f t="shared" si="200"/>
        <v/>
      </c>
      <c r="EG70" s="10" t="str">
        <f t="shared" si="201"/>
        <v/>
      </c>
      <c r="EH70" s="9" t="str">
        <f t="shared" si="202"/>
        <v/>
      </c>
      <c r="EI70" s="5" t="str">
        <f t="shared" si="203"/>
        <v/>
      </c>
      <c r="EJ70" s="6" t="str">
        <f t="shared" si="204"/>
        <v/>
      </c>
      <c r="EK70" s="236" t="str">
        <f t="shared" si="205"/>
        <v/>
      </c>
      <c r="EL70" s="238" t="str">
        <f t="shared" si="206"/>
        <v/>
      </c>
      <c r="EM70" s="4" t="str">
        <f t="shared" si="207"/>
        <v/>
      </c>
      <c r="EN70" s="5" t="str">
        <f t="shared" si="208"/>
        <v/>
      </c>
      <c r="EO70" s="10" t="str">
        <f t="shared" si="209"/>
        <v/>
      </c>
      <c r="EP70" s="9" t="str">
        <f t="shared" si="210"/>
        <v/>
      </c>
      <c r="EQ70" s="5" t="str">
        <f t="shared" si="211"/>
        <v/>
      </c>
      <c r="ER70" s="7" t="str">
        <f t="shared" si="212"/>
        <v/>
      </c>
      <c r="ES70" s="21" t="str">
        <f t="shared" si="411"/>
        <v/>
      </c>
      <c r="ET70" s="5" t="str">
        <f t="shared" si="412"/>
        <v/>
      </c>
      <c r="EU70" s="10" t="str">
        <f t="shared" si="413"/>
        <v/>
      </c>
      <c r="EV70" s="174" t="str">
        <f t="shared" si="571"/>
        <v/>
      </c>
      <c r="EW70" s="9" t="str">
        <f t="shared" si="572"/>
        <v/>
      </c>
      <c r="EX70" s="5" t="str">
        <f t="shared" si="573"/>
        <v/>
      </c>
      <c r="EY70" s="6" t="str">
        <f t="shared" si="213"/>
        <v/>
      </c>
      <c r="EZ70" s="51" t="str">
        <f t="shared" si="214"/>
        <v/>
      </c>
      <c r="FA70" s="173" t="str">
        <f t="shared" si="574"/>
        <v/>
      </c>
      <c r="FB70" s="5" t="str">
        <f t="shared" si="575"/>
        <v/>
      </c>
      <c r="FC70" s="6" t="str">
        <f t="shared" si="576"/>
        <v/>
      </c>
      <c r="FD70" s="4" t="str">
        <f t="shared" si="577"/>
        <v/>
      </c>
      <c r="FE70" s="5" t="str">
        <f t="shared" si="578"/>
        <v/>
      </c>
      <c r="FF70" s="7" t="str">
        <f t="shared" si="215"/>
        <v/>
      </c>
      <c r="FG70" s="173" t="str">
        <f t="shared" si="579"/>
        <v/>
      </c>
      <c r="FH70" s="5" t="str">
        <f t="shared" si="580"/>
        <v/>
      </c>
      <c r="FI70" s="10" t="str">
        <f t="shared" si="581"/>
        <v/>
      </c>
      <c r="FJ70" s="279" t="str">
        <f t="shared" si="217"/>
        <v/>
      </c>
      <c r="FK70" s="4" t="str">
        <f t="shared" si="582"/>
        <v/>
      </c>
      <c r="FL70" s="5" t="str">
        <f t="shared" si="218"/>
        <v/>
      </c>
      <c r="FM70" s="8" t="str">
        <f t="shared" si="219"/>
        <v/>
      </c>
      <c r="FN70" s="9" t="str">
        <f t="shared" si="220"/>
        <v/>
      </c>
      <c r="FO70" s="10" t="str">
        <f t="shared" si="583"/>
        <v/>
      </c>
      <c r="FP70" s="277" t="str">
        <f t="shared" si="584"/>
        <v/>
      </c>
      <c r="FQ70" s="173" t="str">
        <f t="shared" si="251"/>
        <v/>
      </c>
      <c r="FR70" s="10" t="str">
        <f t="shared" si="221"/>
        <v/>
      </c>
      <c r="FS70" s="9" t="str">
        <f t="shared" si="222"/>
        <v/>
      </c>
      <c r="FT70" s="6" t="str">
        <f t="shared" si="223"/>
        <v/>
      </c>
      <c r="FU70" s="4" t="str">
        <f t="shared" si="224"/>
        <v/>
      </c>
      <c r="FV70" s="5" t="str">
        <f t="shared" si="225"/>
        <v/>
      </c>
      <c r="FW70" s="8" t="str">
        <f t="shared" si="252"/>
        <v/>
      </c>
      <c r="FX70" s="9" t="str">
        <f t="shared" si="253"/>
        <v/>
      </c>
      <c r="FY70" s="10" t="str">
        <f t="shared" si="585"/>
        <v/>
      </c>
      <c r="FZ70" s="277" t="str">
        <f t="shared" si="254"/>
        <v/>
      </c>
      <c r="GA70" s="177" t="str">
        <f t="shared" si="226"/>
        <v/>
      </c>
      <c r="GB70" s="4" t="str">
        <f t="shared" si="227"/>
        <v/>
      </c>
      <c r="GC70" s="5" t="str">
        <f t="shared" si="228"/>
        <v/>
      </c>
      <c r="GD70" s="10" t="str">
        <f t="shared" si="229"/>
        <v/>
      </c>
      <c r="GE70" s="311" t="str">
        <f t="shared" si="230"/>
        <v/>
      </c>
      <c r="GF70" s="341" t="str">
        <f t="shared" si="255"/>
        <v/>
      </c>
      <c r="GG70" s="285" t="str">
        <f t="shared" si="586"/>
        <v/>
      </c>
      <c r="GH70" s="286" t="str">
        <f t="shared" si="587"/>
        <v/>
      </c>
      <c r="GI70" s="281" t="str">
        <f t="shared" si="588"/>
        <v/>
      </c>
      <c r="GJ70" s="167" t="str">
        <f t="shared" si="231"/>
        <v/>
      </c>
      <c r="GK70" s="174" t="str">
        <f t="shared" si="589"/>
        <v/>
      </c>
      <c r="GL70" s="174" t="str">
        <f t="shared" si="232"/>
        <v/>
      </c>
      <c r="GM70" s="177" t="str">
        <f t="shared" si="256"/>
        <v/>
      </c>
      <c r="GN70" s="280" t="str">
        <f t="shared" si="233"/>
        <v/>
      </c>
      <c r="GO70" s="4" t="str">
        <f t="shared" si="234"/>
        <v/>
      </c>
      <c r="GP70" s="8" t="str">
        <f t="shared" si="257"/>
        <v/>
      </c>
      <c r="GQ70" s="177" t="str">
        <f t="shared" si="235"/>
        <v/>
      </c>
      <c r="GR70" s="371" t="str">
        <f t="shared" si="258"/>
        <v/>
      </c>
      <c r="GS70" s="342" t="str">
        <f t="shared" si="590"/>
        <v/>
      </c>
      <c r="GT70" s="343" t="str">
        <f t="shared" si="591"/>
        <v/>
      </c>
      <c r="GU70" s="344" t="str">
        <f t="shared" si="592"/>
        <v/>
      </c>
      <c r="GV70" s="343" t="str">
        <f t="shared" si="265"/>
        <v/>
      </c>
      <c r="GW70" s="345" t="str">
        <f t="shared" si="593"/>
        <v/>
      </c>
      <c r="GX70" s="346" t="str">
        <f t="shared" si="594"/>
        <v/>
      </c>
      <c r="GY70" s="344" t="str">
        <f t="shared" si="595"/>
        <v/>
      </c>
      <c r="GZ70" s="345" t="str">
        <f t="shared" si="596"/>
        <v/>
      </c>
      <c r="HA70" s="342" t="str">
        <f t="shared" si="597"/>
        <v/>
      </c>
      <c r="HB70" s="5" t="str">
        <f t="shared" si="236"/>
        <v/>
      </c>
      <c r="HC70" s="343" t="str">
        <f t="shared" si="237"/>
        <v/>
      </c>
      <c r="HD70" s="363" t="str">
        <f t="shared" si="238"/>
        <v/>
      </c>
      <c r="HE70" s="344" t="str">
        <f t="shared" si="598"/>
        <v/>
      </c>
      <c r="HF70" s="5" t="str">
        <f t="shared" si="599"/>
        <v/>
      </c>
      <c r="HG70" s="343" t="str">
        <f t="shared" si="239"/>
        <v/>
      </c>
      <c r="HH70" s="349" t="str">
        <f t="shared" si="240"/>
        <v/>
      </c>
      <c r="HI70" s="317" t="str">
        <f t="shared" si="467"/>
        <v/>
      </c>
      <c r="HK70" s="310" t="str">
        <f t="shared" si="520"/>
        <v/>
      </c>
      <c r="HL70" s="348" t="str">
        <f t="shared" si="468"/>
        <v/>
      </c>
      <c r="HM70" s="923" t="str">
        <f t="shared" si="469"/>
        <v/>
      </c>
      <c r="HN70" s="924" t="str">
        <f t="shared" si="470"/>
        <v/>
      </c>
      <c r="HO70" s="925"/>
      <c r="HP70" s="926"/>
      <c r="HQ70" s="924" t="str">
        <f t="shared" si="471"/>
        <v/>
      </c>
      <c r="HR70" s="927" t="str">
        <f t="shared" si="472"/>
        <v/>
      </c>
      <c r="HS70" s="879" t="str">
        <f t="shared" si="521"/>
        <v/>
      </c>
      <c r="HT70" s="889" t="str">
        <f t="shared" si="473"/>
        <v/>
      </c>
      <c r="HU70" s="890" t="str">
        <f t="shared" si="474"/>
        <v/>
      </c>
      <c r="HV70" s="886" t="str">
        <f t="shared" si="475"/>
        <v/>
      </c>
      <c r="HW70" s="880" t="str">
        <f t="shared" si="476"/>
        <v/>
      </c>
      <c r="HX70" s="881" t="str">
        <f t="shared" si="477"/>
        <v/>
      </c>
      <c r="HY70" s="880" t="str">
        <f t="shared" si="478"/>
        <v/>
      </c>
      <c r="HZ70" s="882" t="str">
        <f t="shared" si="479"/>
        <v/>
      </c>
      <c r="IA70" s="883" t="str">
        <f t="shared" si="480"/>
        <v/>
      </c>
      <c r="IB70" s="884" t="str">
        <f t="shared" si="481"/>
        <v/>
      </c>
      <c r="IC70" s="855" t="str">
        <f t="shared" si="482"/>
        <v/>
      </c>
      <c r="ID70" s="351" t="str">
        <f t="shared" si="483"/>
        <v/>
      </c>
      <c r="IE70" s="857" t="str">
        <f t="shared" si="484"/>
        <v/>
      </c>
      <c r="IF70" s="858"/>
      <c r="IG70" s="790" t="str">
        <f>IFERROR(IF($IW70="","",IF($IW70&lt;(((Settings!$C$19/2)*-1)*$IG$8),"Taper","Nose")),"")</f>
        <v/>
      </c>
      <c r="IH70" s="482" t="str">
        <f>IFERROR(IF((((($IY70*COS(RADIANS(180-$JA70)))*COS(RADIANS($JA70)))-(($IZ70*SIN(RADIANS(180-$JA70)))*SIN(RADIANS($JA70))))+$IW70)&lt;(((Settings!$C$19+$IH$8)/2)*-1),"Gage",""),"")</f>
        <v/>
      </c>
      <c r="II70" s="788" t="str">
        <f t="shared" si="241"/>
        <v/>
      </c>
      <c r="IJ70" s="674" t="str" cm="1">
        <f t="array" ref="IJ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K70" s="677" t="str" cm="1">
        <f t="array" ref="IK70">IFERROR(ROUND(VALUE(IF($IJ70&lt;1,$IJ70+LARGE((IF($M$9:$M$150="",0,$M$9:$M$150)-MOD(IF($M$9:$M$150="",0,$M$9:$M$150),1)),1),$IJ70)),4),"")</f>
        <v/>
      </c>
      <c r="IL70" s="482" t="str">
        <f t="shared" si="485"/>
        <v/>
      </c>
      <c r="IM70" s="482" t="str">
        <f t="shared" si="242"/>
        <v/>
      </c>
      <c r="IN70" s="670" t="str">
        <f t="shared" si="486"/>
        <v/>
      </c>
      <c r="IO70" s="702"/>
      <c r="IP70" s="5" t="str">
        <f t="shared" si="487"/>
        <v/>
      </c>
      <c r="IQ70" s="714"/>
      <c r="IR70" s="9" t="str">
        <f t="shared" si="488"/>
        <v/>
      </c>
      <c r="IS70" s="5" t="str">
        <f t="shared" si="489"/>
        <v/>
      </c>
      <c r="IT70" s="5" t="str">
        <f t="shared" si="490"/>
        <v/>
      </c>
      <c r="IU70" s="5" t="str">
        <f t="shared" si="491"/>
        <v/>
      </c>
      <c r="IV70" s="670" t="str">
        <f t="shared" si="492"/>
        <v/>
      </c>
      <c r="IW70" s="9" t="str">
        <f t="shared" si="493"/>
        <v/>
      </c>
      <c r="IX70" s="5" t="str">
        <f t="shared" si="494"/>
        <v/>
      </c>
      <c r="IY70" s="5" t="str">
        <f t="shared" si="495"/>
        <v/>
      </c>
      <c r="IZ70" s="5" t="str">
        <f t="shared" si="496"/>
        <v/>
      </c>
      <c r="JA70" s="705" t="str">
        <f t="shared" si="497"/>
        <v/>
      </c>
      <c r="JM70" s="489" t="e">
        <f t="shared" si="133"/>
        <v>#VALUE!</v>
      </c>
      <c r="JN70" s="960" t="e">
        <f>($JO70-SMALL($JO$9:$JO$88,1))/((Settings!$C$19/2)-((Settings!$C$19/2)-LARGE($JO$9:$JO$88,1))-SMALL($JO$9:$JO$88,1))</f>
        <v>#VALUE!</v>
      </c>
      <c r="JO70" s="162" t="str">
        <f t="shared" si="134"/>
        <v/>
      </c>
      <c r="JP70" s="961" t="str">
        <f t="shared" si="135"/>
        <v/>
      </c>
      <c r="JQ70" s="961" t="str">
        <f t="shared" si="136"/>
        <v/>
      </c>
      <c r="JU70" s="962"/>
      <c r="JV70" s="959"/>
      <c r="JW70" s="959"/>
    </row>
    <row r="71" spans="1:283" ht="15" customHeight="1" x14ac:dyDescent="0.25">
      <c r="A71" s="75" t="str">
        <f t="shared" si="322"/>
        <v/>
      </c>
      <c r="B71" s="578" t="str">
        <f t="shared" ref="B71:D71" si="633">IFERROR(O226+($A71*-E71),"")</f>
        <v/>
      </c>
      <c r="C71" s="572" t="str">
        <f t="shared" si="633"/>
        <v/>
      </c>
      <c r="D71" s="576" t="str">
        <f t="shared" si="633"/>
        <v/>
      </c>
      <c r="E71" s="580" t="str">
        <f t="shared" ref="E71:K71" si="634">R226</f>
        <v/>
      </c>
      <c r="F71" s="572" t="str">
        <f t="shared" si="634"/>
        <v/>
      </c>
      <c r="G71" s="579" t="str">
        <f t="shared" si="634"/>
        <v/>
      </c>
      <c r="H71" s="580" t="str">
        <f t="shared" si="634"/>
        <v/>
      </c>
      <c r="I71" s="572" t="str">
        <f t="shared" si="634"/>
        <v/>
      </c>
      <c r="J71" s="483" t="str">
        <f t="shared" si="94"/>
        <v/>
      </c>
      <c r="K71" s="806" t="str">
        <f t="shared" si="634"/>
        <v/>
      </c>
      <c r="L71" s="309"/>
      <c r="M71" s="164" t="str">
        <f t="shared" si="325"/>
        <v/>
      </c>
      <c r="N71" s="575" t="str">
        <f t="shared" si="326"/>
        <v/>
      </c>
      <c r="O71" s="572" t="str">
        <f t="shared" si="327"/>
        <v/>
      </c>
      <c r="P71" s="576" t="str">
        <f t="shared" si="328"/>
        <v/>
      </c>
      <c r="Q71" s="528" t="str">
        <f t="shared" si="144"/>
        <v/>
      </c>
      <c r="R71" s="572" t="str">
        <f t="shared" si="95"/>
        <v/>
      </c>
      <c r="S71" s="577" t="str">
        <f t="shared" si="96"/>
        <v/>
      </c>
      <c r="T71" s="578" t="str">
        <f t="shared" si="97"/>
        <v/>
      </c>
      <c r="U71" s="572" t="str">
        <f t="shared" si="98"/>
        <v/>
      </c>
      <c r="V71" s="579" t="str">
        <f t="shared" si="145"/>
        <v/>
      </c>
      <c r="W71" s="528" t="str">
        <f t="shared" si="268"/>
        <v/>
      </c>
      <c r="X71" s="572" t="str">
        <f t="shared" si="99"/>
        <v/>
      </c>
      <c r="Y71" s="573" t="str">
        <f t="shared" si="271"/>
        <v/>
      </c>
      <c r="Z71" s="575" t="str">
        <f t="shared" si="329"/>
        <v/>
      </c>
      <c r="AA71" s="572" t="str">
        <f t="shared" si="330"/>
        <v/>
      </c>
      <c r="AB71" s="572" t="str">
        <f t="shared" si="331"/>
        <v/>
      </c>
      <c r="AC71" s="579" t="str">
        <f t="shared" si="100"/>
        <v/>
      </c>
      <c r="AD71" s="580" t="str">
        <f t="shared" si="146"/>
        <v/>
      </c>
      <c r="AE71" s="572" t="str">
        <f t="shared" si="101"/>
        <v/>
      </c>
      <c r="AF71" s="576" t="str">
        <f t="shared" si="102"/>
        <v/>
      </c>
      <c r="AG71" s="545" t="str">
        <f t="shared" si="103"/>
        <v/>
      </c>
      <c r="AH71" s="546" t="str">
        <f t="shared" si="104"/>
        <v/>
      </c>
      <c r="AI71" s="528" t="str">
        <f t="shared" si="105"/>
        <v/>
      </c>
      <c r="AJ71" s="529" t="str">
        <f t="shared" si="106"/>
        <v/>
      </c>
      <c r="AK71" s="578" t="str">
        <f t="shared" si="247"/>
        <v/>
      </c>
      <c r="AL71" s="572" t="str">
        <f t="shared" si="107"/>
        <v/>
      </c>
      <c r="AM71" s="577" t="str">
        <f t="shared" si="108"/>
        <v/>
      </c>
      <c r="AN71" s="524" t="str">
        <f t="shared" si="109"/>
        <v/>
      </c>
      <c r="AO71" s="525" t="str">
        <f t="shared" si="604"/>
        <v/>
      </c>
      <c r="AP71" s="528" t="str">
        <f t="shared" si="111"/>
        <v/>
      </c>
      <c r="AQ71" s="529" t="str">
        <f t="shared" si="332"/>
        <v/>
      </c>
      <c r="AR71" s="979"/>
      <c r="AS71" s="954" t="str">
        <f t="shared" si="524"/>
        <v/>
      </c>
      <c r="AT71" s="950" t="str">
        <f t="shared" si="333"/>
        <v/>
      </c>
      <c r="AU71" s="418"/>
      <c r="AV71" s="164" t="str">
        <f t="shared" si="334"/>
        <v/>
      </c>
      <c r="AW71" s="797" t="str">
        <f>IFERROR(INDEX(MassProp!C$9:C$150,MATCH($M71,MassProp!$B$9:$B$150,0)),"")</f>
        <v/>
      </c>
      <c r="AX71" s="744" t="str">
        <f>IFERROR(INDEX(MassProp!D$9:D$150,MATCH($M71,MassProp!$B$9:$B$150,0)),"")</f>
        <v/>
      </c>
      <c r="AY71" s="731" t="str">
        <f>IFERROR(INDEX(MassProp!E$9:E$150,MATCH($M71,MassProp!$B$9:$B$150,0)),"")</f>
        <v/>
      </c>
      <c r="AZ71" s="297" t="str">
        <f t="shared" si="148"/>
        <v/>
      </c>
      <c r="BA71" s="296" t="str">
        <f t="shared" si="336"/>
        <v/>
      </c>
      <c r="BB71" s="177" t="str">
        <f t="shared" si="149"/>
        <v/>
      </c>
      <c r="BC71" s="9"/>
      <c r="BD71" s="5" t="str">
        <f t="shared" si="150"/>
        <v/>
      </c>
      <c r="BE71" s="6" t="str">
        <f t="shared" si="338"/>
        <v/>
      </c>
      <c r="BF71" s="4" t="str">
        <f t="shared" si="339"/>
        <v/>
      </c>
      <c r="BG71" s="5" t="str">
        <f t="shared" si="340"/>
        <v/>
      </c>
      <c r="BH71" s="10" t="str">
        <f t="shared" si="341"/>
        <v/>
      </c>
      <c r="BI71" s="9" t="str">
        <f t="shared" si="151"/>
        <v/>
      </c>
      <c r="BJ71" s="5" t="str">
        <f t="shared" si="343"/>
        <v/>
      </c>
      <c r="BK71" s="8" t="str">
        <f t="shared" si="344"/>
        <v/>
      </c>
      <c r="BL71" s="173" t="str">
        <f t="shared" si="345"/>
        <v/>
      </c>
      <c r="BM71" s="5" t="str">
        <f t="shared" si="346"/>
        <v/>
      </c>
      <c r="BN71" s="6" t="str">
        <f t="shared" si="347"/>
        <v/>
      </c>
      <c r="BO71" s="4" t="str">
        <f t="shared" si="152"/>
        <v/>
      </c>
      <c r="BP71" s="5" t="str">
        <f t="shared" si="153"/>
        <v/>
      </c>
      <c r="BQ71" s="5" t="str">
        <f t="shared" si="154"/>
        <v/>
      </c>
      <c r="BR71" s="6" t="str">
        <f t="shared" si="155"/>
        <v/>
      </c>
      <c r="BS71" s="4" t="str">
        <f t="shared" si="568"/>
        <v/>
      </c>
      <c r="BT71" s="5" t="str">
        <f t="shared" si="568"/>
        <v/>
      </c>
      <c r="BU71" s="10" t="str">
        <f t="shared" si="113"/>
        <v/>
      </c>
      <c r="BV71" s="9" t="str">
        <f t="shared" si="114"/>
        <v/>
      </c>
      <c r="BW71" s="5" t="str">
        <f t="shared" si="115"/>
        <v/>
      </c>
      <c r="BX71" s="8" t="str">
        <f t="shared" si="116"/>
        <v/>
      </c>
      <c r="BY71" s="173" t="str">
        <f t="shared" si="117"/>
        <v/>
      </c>
      <c r="BZ71" s="5" t="str">
        <f t="shared" si="118"/>
        <v/>
      </c>
      <c r="CA71" s="6" t="str">
        <f t="shared" si="119"/>
        <v/>
      </c>
      <c r="CB71" s="4" t="str">
        <f t="shared" si="156"/>
        <v/>
      </c>
      <c r="CC71" s="5" t="str">
        <f t="shared" si="157"/>
        <v/>
      </c>
      <c r="CD71" s="5" t="str">
        <f t="shared" si="158"/>
        <v/>
      </c>
      <c r="CE71" s="6" t="str">
        <f t="shared" si="159"/>
        <v/>
      </c>
      <c r="CF71" s="4" t="str">
        <f t="shared" si="160"/>
        <v/>
      </c>
      <c r="CG71" s="5" t="str">
        <f t="shared" si="161"/>
        <v/>
      </c>
      <c r="CH71" s="5" t="str">
        <f t="shared" si="162"/>
        <v/>
      </c>
      <c r="CI71" s="4" t="str">
        <f t="shared" si="120"/>
        <v/>
      </c>
      <c r="CJ71" s="5" t="str">
        <f t="shared" si="121"/>
        <v/>
      </c>
      <c r="CK71" s="8" t="str">
        <f t="shared" si="122"/>
        <v/>
      </c>
      <c r="CL71" s="173" t="str">
        <f t="shared" si="123"/>
        <v/>
      </c>
      <c r="CM71" s="5" t="str">
        <f t="shared" si="124"/>
        <v/>
      </c>
      <c r="CN71" s="6" t="str">
        <f t="shared" si="125"/>
        <v/>
      </c>
      <c r="CO71" s="167" t="str">
        <f t="shared" si="364"/>
        <v/>
      </c>
      <c r="CP71" s="4" t="str">
        <f t="shared" si="248"/>
        <v/>
      </c>
      <c r="CQ71" s="5" t="str">
        <f t="shared" si="249"/>
        <v/>
      </c>
      <c r="CR71" s="5" t="str">
        <f t="shared" si="163"/>
        <v/>
      </c>
      <c r="CS71" s="8" t="str">
        <f t="shared" si="164"/>
        <v/>
      </c>
      <c r="CT71" s="9" t="str">
        <f t="shared" si="165"/>
        <v/>
      </c>
      <c r="CU71" s="6" t="str">
        <f t="shared" si="166"/>
        <v/>
      </c>
      <c r="CV71" s="4" t="str">
        <f t="shared" si="250"/>
        <v/>
      </c>
      <c r="CW71" s="5" t="str">
        <f t="shared" si="167"/>
        <v/>
      </c>
      <c r="CX71" s="8" t="str">
        <f t="shared" si="168"/>
        <v/>
      </c>
      <c r="CY71" s="9" t="str">
        <f t="shared" si="169"/>
        <v/>
      </c>
      <c r="CZ71" s="5" t="str">
        <f t="shared" si="170"/>
        <v/>
      </c>
      <c r="DA71" s="6" t="str">
        <f t="shared" si="171"/>
        <v/>
      </c>
      <c r="DB71" s="4" t="str">
        <f t="shared" si="569"/>
        <v/>
      </c>
      <c r="DC71" s="5" t="str">
        <f t="shared" si="569"/>
        <v/>
      </c>
      <c r="DD71" s="10" t="str">
        <f t="shared" si="173"/>
        <v/>
      </c>
      <c r="DE71" s="9" t="str">
        <f t="shared" si="570"/>
        <v/>
      </c>
      <c r="DF71" s="5" t="str">
        <f t="shared" si="570"/>
        <v/>
      </c>
      <c r="DG71" s="10" t="str">
        <f t="shared" si="175"/>
        <v/>
      </c>
      <c r="DH71" s="70" t="str">
        <f t="shared" si="176"/>
        <v/>
      </c>
      <c r="DI71" s="4" t="str">
        <f t="shared" si="177"/>
        <v/>
      </c>
      <c r="DJ71" s="5" t="str">
        <f t="shared" si="178"/>
        <v/>
      </c>
      <c r="DK71" s="10" t="str">
        <f t="shared" si="179"/>
        <v/>
      </c>
      <c r="DL71" s="9" t="str">
        <f t="shared" si="180"/>
        <v/>
      </c>
      <c r="DM71" s="173" t="str">
        <f t="shared" si="181"/>
        <v/>
      </c>
      <c r="DN71" s="178" t="str">
        <f t="shared" si="182"/>
        <v/>
      </c>
      <c r="DO71" s="9" t="str">
        <f t="shared" si="183"/>
        <v/>
      </c>
      <c r="DP71" s="173" t="str">
        <f t="shared" si="184"/>
        <v/>
      </c>
      <c r="DQ71" s="11" t="str">
        <f t="shared" si="185"/>
        <v/>
      </c>
      <c r="DR71" s="173" t="str">
        <f t="shared" si="186"/>
        <v/>
      </c>
      <c r="DS71" s="5" t="str">
        <f t="shared" si="187"/>
        <v/>
      </c>
      <c r="DT71" s="5" t="str">
        <f t="shared" si="188"/>
        <v/>
      </c>
      <c r="DU71" s="5" t="str">
        <f t="shared" si="189"/>
        <v/>
      </c>
      <c r="DV71" s="5" t="str">
        <f t="shared" si="190"/>
        <v/>
      </c>
      <c r="DW71" s="5" t="str">
        <f t="shared" si="191"/>
        <v/>
      </c>
      <c r="DX71" s="167" t="str">
        <f t="shared" si="192"/>
        <v/>
      </c>
      <c r="DY71" s="9" t="str">
        <f t="shared" si="193"/>
        <v/>
      </c>
      <c r="DZ71" s="5" t="str">
        <f t="shared" si="194"/>
        <v/>
      </c>
      <c r="EA71" s="10" t="str">
        <f t="shared" si="195"/>
        <v/>
      </c>
      <c r="EB71" s="6" t="str">
        <f t="shared" si="196"/>
        <v/>
      </c>
      <c r="EC71" s="173" t="str">
        <f t="shared" si="197"/>
        <v/>
      </c>
      <c r="ED71" s="5" t="str">
        <f t="shared" si="198"/>
        <v/>
      </c>
      <c r="EE71" s="4" t="str">
        <f t="shared" si="199"/>
        <v/>
      </c>
      <c r="EF71" s="5" t="str">
        <f t="shared" si="200"/>
        <v/>
      </c>
      <c r="EG71" s="10" t="str">
        <f t="shared" si="201"/>
        <v/>
      </c>
      <c r="EH71" s="9" t="str">
        <f t="shared" si="202"/>
        <v/>
      </c>
      <c r="EI71" s="5" t="str">
        <f t="shared" si="203"/>
        <v/>
      </c>
      <c r="EJ71" s="6" t="str">
        <f t="shared" si="204"/>
        <v/>
      </c>
      <c r="EK71" s="236" t="str">
        <f t="shared" si="205"/>
        <v/>
      </c>
      <c r="EL71" s="238" t="str">
        <f t="shared" si="206"/>
        <v/>
      </c>
      <c r="EM71" s="4" t="str">
        <f t="shared" si="207"/>
        <v/>
      </c>
      <c r="EN71" s="5" t="str">
        <f t="shared" si="208"/>
        <v/>
      </c>
      <c r="EO71" s="10" t="str">
        <f t="shared" si="209"/>
        <v/>
      </c>
      <c r="EP71" s="9" t="str">
        <f t="shared" si="210"/>
        <v/>
      </c>
      <c r="EQ71" s="5" t="str">
        <f t="shared" si="211"/>
        <v/>
      </c>
      <c r="ER71" s="7" t="str">
        <f t="shared" si="212"/>
        <v/>
      </c>
      <c r="ES71" s="21" t="str">
        <f t="shared" si="411"/>
        <v/>
      </c>
      <c r="ET71" s="5" t="str">
        <f t="shared" si="412"/>
        <v/>
      </c>
      <c r="EU71" s="10" t="str">
        <f t="shared" si="413"/>
        <v/>
      </c>
      <c r="EV71" s="174" t="str">
        <f t="shared" si="571"/>
        <v/>
      </c>
      <c r="EW71" s="9" t="str">
        <f t="shared" si="572"/>
        <v/>
      </c>
      <c r="EX71" s="5" t="str">
        <f t="shared" si="573"/>
        <v/>
      </c>
      <c r="EY71" s="6" t="str">
        <f t="shared" si="213"/>
        <v/>
      </c>
      <c r="EZ71" s="51" t="str">
        <f t="shared" si="214"/>
        <v/>
      </c>
      <c r="FA71" s="173" t="str">
        <f t="shared" si="574"/>
        <v/>
      </c>
      <c r="FB71" s="5" t="str">
        <f t="shared" si="575"/>
        <v/>
      </c>
      <c r="FC71" s="6" t="str">
        <f t="shared" si="576"/>
        <v/>
      </c>
      <c r="FD71" s="4" t="str">
        <f t="shared" si="577"/>
        <v/>
      </c>
      <c r="FE71" s="5" t="str">
        <f t="shared" si="578"/>
        <v/>
      </c>
      <c r="FF71" s="7" t="str">
        <f t="shared" si="215"/>
        <v/>
      </c>
      <c r="FG71" s="173" t="str">
        <f t="shared" si="579"/>
        <v/>
      </c>
      <c r="FH71" s="5" t="str">
        <f t="shared" si="580"/>
        <v/>
      </c>
      <c r="FI71" s="10" t="str">
        <f t="shared" si="581"/>
        <v/>
      </c>
      <c r="FJ71" s="279" t="str">
        <f t="shared" si="217"/>
        <v/>
      </c>
      <c r="FK71" s="4" t="str">
        <f t="shared" si="582"/>
        <v/>
      </c>
      <c r="FL71" s="5" t="str">
        <f t="shared" si="218"/>
        <v/>
      </c>
      <c r="FM71" s="8" t="str">
        <f t="shared" si="219"/>
        <v/>
      </c>
      <c r="FN71" s="9" t="str">
        <f t="shared" si="220"/>
        <v/>
      </c>
      <c r="FO71" s="10" t="str">
        <f t="shared" si="583"/>
        <v/>
      </c>
      <c r="FP71" s="277" t="str">
        <f t="shared" si="584"/>
        <v/>
      </c>
      <c r="FQ71" s="173" t="str">
        <f t="shared" si="251"/>
        <v/>
      </c>
      <c r="FR71" s="10" t="str">
        <f t="shared" si="221"/>
        <v/>
      </c>
      <c r="FS71" s="9" t="str">
        <f t="shared" si="222"/>
        <v/>
      </c>
      <c r="FT71" s="6" t="str">
        <f t="shared" si="223"/>
        <v/>
      </c>
      <c r="FU71" s="4" t="str">
        <f t="shared" si="224"/>
        <v/>
      </c>
      <c r="FV71" s="5" t="str">
        <f t="shared" si="225"/>
        <v/>
      </c>
      <c r="FW71" s="8" t="str">
        <f t="shared" si="252"/>
        <v/>
      </c>
      <c r="FX71" s="9" t="str">
        <f t="shared" si="253"/>
        <v/>
      </c>
      <c r="FY71" s="10" t="str">
        <f t="shared" si="585"/>
        <v/>
      </c>
      <c r="FZ71" s="277" t="str">
        <f t="shared" si="254"/>
        <v/>
      </c>
      <c r="GA71" s="177" t="str">
        <f t="shared" si="226"/>
        <v/>
      </c>
      <c r="GB71" s="4" t="str">
        <f t="shared" si="227"/>
        <v/>
      </c>
      <c r="GC71" s="5" t="str">
        <f t="shared" si="228"/>
        <v/>
      </c>
      <c r="GD71" s="10" t="str">
        <f t="shared" si="229"/>
        <v/>
      </c>
      <c r="GE71" s="311" t="str">
        <f t="shared" si="230"/>
        <v/>
      </c>
      <c r="GF71" s="341" t="str">
        <f t="shared" si="255"/>
        <v/>
      </c>
      <c r="GG71" s="285" t="str">
        <f t="shared" si="586"/>
        <v/>
      </c>
      <c r="GH71" s="286" t="str">
        <f t="shared" si="587"/>
        <v/>
      </c>
      <c r="GI71" s="281" t="str">
        <f t="shared" si="588"/>
        <v/>
      </c>
      <c r="GJ71" s="167" t="str">
        <f t="shared" si="231"/>
        <v/>
      </c>
      <c r="GK71" s="174" t="str">
        <f t="shared" si="589"/>
        <v/>
      </c>
      <c r="GL71" s="174" t="str">
        <f t="shared" si="232"/>
        <v/>
      </c>
      <c r="GM71" s="177" t="str">
        <f t="shared" si="256"/>
        <v/>
      </c>
      <c r="GN71" s="280" t="str">
        <f t="shared" si="233"/>
        <v/>
      </c>
      <c r="GO71" s="4" t="str">
        <f t="shared" si="234"/>
        <v/>
      </c>
      <c r="GP71" s="8" t="str">
        <f t="shared" si="257"/>
        <v/>
      </c>
      <c r="GQ71" s="177" t="str">
        <f t="shared" si="235"/>
        <v/>
      </c>
      <c r="GR71" s="371" t="str">
        <f t="shared" si="258"/>
        <v/>
      </c>
      <c r="GS71" s="342" t="str">
        <f t="shared" si="590"/>
        <v/>
      </c>
      <c r="GT71" s="343" t="str">
        <f t="shared" si="591"/>
        <v/>
      </c>
      <c r="GU71" s="344" t="str">
        <f t="shared" si="592"/>
        <v/>
      </c>
      <c r="GV71" s="343" t="str">
        <f t="shared" si="265"/>
        <v/>
      </c>
      <c r="GW71" s="345" t="str">
        <f t="shared" si="593"/>
        <v/>
      </c>
      <c r="GX71" s="346" t="str">
        <f t="shared" si="594"/>
        <v/>
      </c>
      <c r="GY71" s="344" t="str">
        <f t="shared" si="595"/>
        <v/>
      </c>
      <c r="GZ71" s="345" t="str">
        <f t="shared" si="596"/>
        <v/>
      </c>
      <c r="HA71" s="342" t="str">
        <f t="shared" si="597"/>
        <v/>
      </c>
      <c r="HB71" s="5" t="str">
        <f t="shared" si="236"/>
        <v/>
      </c>
      <c r="HC71" s="343" t="str">
        <f t="shared" si="237"/>
        <v/>
      </c>
      <c r="HD71" s="363" t="str">
        <f t="shared" si="238"/>
        <v/>
      </c>
      <c r="HE71" s="344" t="str">
        <f t="shared" si="598"/>
        <v/>
      </c>
      <c r="HF71" s="5" t="str">
        <f t="shared" si="599"/>
        <v/>
      </c>
      <c r="HG71" s="343" t="str">
        <f t="shared" si="239"/>
        <v/>
      </c>
      <c r="HH71" s="349" t="str">
        <f t="shared" si="240"/>
        <v/>
      </c>
      <c r="HI71" s="317" t="str">
        <f t="shared" si="467"/>
        <v/>
      </c>
      <c r="HK71" s="310" t="str">
        <f t="shared" si="520"/>
        <v/>
      </c>
      <c r="HL71" s="348" t="str">
        <f t="shared" si="468"/>
        <v/>
      </c>
      <c r="HM71" s="923" t="str">
        <f t="shared" si="469"/>
        <v/>
      </c>
      <c r="HN71" s="924" t="str">
        <f t="shared" si="470"/>
        <v/>
      </c>
      <c r="HO71" s="925"/>
      <c r="HP71" s="926"/>
      <c r="HQ71" s="924" t="str">
        <f t="shared" si="471"/>
        <v/>
      </c>
      <c r="HR71" s="927" t="str">
        <f t="shared" si="472"/>
        <v/>
      </c>
      <c r="HS71" s="879" t="str">
        <f t="shared" si="521"/>
        <v/>
      </c>
      <c r="HT71" s="889" t="str">
        <f t="shared" si="473"/>
        <v/>
      </c>
      <c r="HU71" s="890" t="str">
        <f t="shared" si="474"/>
        <v/>
      </c>
      <c r="HV71" s="886" t="str">
        <f t="shared" si="475"/>
        <v/>
      </c>
      <c r="HW71" s="880" t="str">
        <f t="shared" si="476"/>
        <v/>
      </c>
      <c r="HX71" s="881" t="str">
        <f t="shared" si="477"/>
        <v/>
      </c>
      <c r="HY71" s="880" t="str">
        <f t="shared" si="478"/>
        <v/>
      </c>
      <c r="HZ71" s="882" t="str">
        <f t="shared" si="479"/>
        <v/>
      </c>
      <c r="IA71" s="883" t="str">
        <f t="shared" si="480"/>
        <v/>
      </c>
      <c r="IB71" s="884" t="str">
        <f t="shared" si="481"/>
        <v/>
      </c>
      <c r="IC71" s="855" t="str">
        <f t="shared" si="482"/>
        <v/>
      </c>
      <c r="ID71" s="351" t="str">
        <f t="shared" si="483"/>
        <v/>
      </c>
      <c r="IE71" s="857" t="str">
        <f t="shared" si="484"/>
        <v/>
      </c>
      <c r="IF71" s="858"/>
      <c r="IG71" s="790" t="str">
        <f>IFERROR(IF($IW71="","",IF($IW71&lt;(((Settings!$C$19/2)*-1)*$IG$8),"Taper","Nose")),"")</f>
        <v/>
      </c>
      <c r="IH71" s="482" t="str">
        <f>IFERROR(IF((((($IY71*COS(RADIANS(180-$JA71)))*COS(RADIANS($JA71)))-(($IZ71*SIN(RADIANS(180-$JA71)))*SIN(RADIANS($JA71))))+$IW71)&lt;(((Settings!$C$19+$IH$8)/2)*-1),"Gage",""),"")</f>
        <v/>
      </c>
      <c r="II71" s="788" t="str">
        <f t="shared" si="241"/>
        <v/>
      </c>
      <c r="IJ71" s="674" t="str" cm="1">
        <f t="array" ref="IJ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K71" s="677" t="str" cm="1">
        <f t="array" ref="IK71">IFERROR(ROUND(VALUE(IF($IJ71&lt;1,$IJ71+LARGE((IF($M$9:$M$150="",0,$M$9:$M$150)-MOD(IF($M$9:$M$150="",0,$M$9:$M$150),1)),1),$IJ71)),4),"")</f>
        <v/>
      </c>
      <c r="IL71" s="482" t="str">
        <f t="shared" si="485"/>
        <v/>
      </c>
      <c r="IM71" s="482" t="str">
        <f t="shared" si="242"/>
        <v/>
      </c>
      <c r="IN71" s="670" t="str">
        <f t="shared" si="486"/>
        <v/>
      </c>
      <c r="IO71" s="702"/>
      <c r="IP71" s="5" t="str">
        <f t="shared" si="487"/>
        <v/>
      </c>
      <c r="IQ71" s="714"/>
      <c r="IR71" s="9" t="str">
        <f t="shared" si="488"/>
        <v/>
      </c>
      <c r="IS71" s="5" t="str">
        <f t="shared" si="489"/>
        <v/>
      </c>
      <c r="IT71" s="5" t="str">
        <f t="shared" si="490"/>
        <v/>
      </c>
      <c r="IU71" s="5" t="str">
        <f t="shared" si="491"/>
        <v/>
      </c>
      <c r="IV71" s="670" t="str">
        <f t="shared" si="492"/>
        <v/>
      </c>
      <c r="IW71" s="9" t="str">
        <f t="shared" si="493"/>
        <v/>
      </c>
      <c r="IX71" s="5" t="str">
        <f t="shared" si="494"/>
        <v/>
      </c>
      <c r="IY71" s="5" t="str">
        <f t="shared" si="495"/>
        <v/>
      </c>
      <c r="IZ71" s="5" t="str">
        <f t="shared" si="496"/>
        <v/>
      </c>
      <c r="JA71" s="705" t="str">
        <f t="shared" si="497"/>
        <v/>
      </c>
      <c r="JM71" s="489" t="e">
        <f t="shared" si="133"/>
        <v>#VALUE!</v>
      </c>
      <c r="JN71" s="960" t="e">
        <f>($JO71-SMALL($JO$9:$JO$88,1))/((Settings!$C$19/2)-((Settings!$C$19/2)-LARGE($JO$9:$JO$88,1))-SMALL($JO$9:$JO$88,1))</f>
        <v>#VALUE!</v>
      </c>
      <c r="JO71" s="162" t="str">
        <f t="shared" ref="JO71:JO88" si="635">X71</f>
        <v/>
      </c>
      <c r="JP71" s="961" t="str">
        <f t="shared" ref="JP71:JP88" si="636">AN71</f>
        <v/>
      </c>
      <c r="JQ71" s="961" t="str">
        <f t="shared" ref="JQ71:JQ88" si="637">AO71</f>
        <v/>
      </c>
      <c r="JU71" s="962"/>
      <c r="JV71" s="959"/>
      <c r="JW71" s="959"/>
    </row>
    <row r="72" spans="1:283" ht="15" customHeight="1" x14ac:dyDescent="0.25">
      <c r="A72" s="75" t="str">
        <f t="shared" si="322"/>
        <v/>
      </c>
      <c r="B72" s="578" t="str">
        <f t="shared" ref="B72:D72" si="638">IFERROR(O227+($A72*-E72),"")</f>
        <v/>
      </c>
      <c r="C72" s="572" t="str">
        <f t="shared" si="638"/>
        <v/>
      </c>
      <c r="D72" s="576" t="str">
        <f t="shared" si="638"/>
        <v/>
      </c>
      <c r="E72" s="580" t="str">
        <f t="shared" ref="E72:K72" si="639">R227</f>
        <v/>
      </c>
      <c r="F72" s="572" t="str">
        <f t="shared" si="639"/>
        <v/>
      </c>
      <c r="G72" s="579" t="str">
        <f t="shared" si="639"/>
        <v/>
      </c>
      <c r="H72" s="580" t="str">
        <f t="shared" si="639"/>
        <v/>
      </c>
      <c r="I72" s="572" t="str">
        <f t="shared" si="639"/>
        <v/>
      </c>
      <c r="J72" s="483" t="str">
        <f t="shared" si="94"/>
        <v/>
      </c>
      <c r="K72" s="806" t="str">
        <f t="shared" si="639"/>
        <v/>
      </c>
      <c r="L72" s="309"/>
      <c r="M72" s="164" t="str">
        <f t="shared" si="325"/>
        <v/>
      </c>
      <c r="N72" s="575" t="str">
        <f t="shared" si="326"/>
        <v/>
      </c>
      <c r="O72" s="572" t="str">
        <f t="shared" si="327"/>
        <v/>
      </c>
      <c r="P72" s="576" t="str">
        <f t="shared" si="328"/>
        <v/>
      </c>
      <c r="Q72" s="528" t="str">
        <f t="shared" si="144"/>
        <v/>
      </c>
      <c r="R72" s="572" t="str">
        <f t="shared" si="95"/>
        <v/>
      </c>
      <c r="S72" s="577" t="str">
        <f t="shared" si="96"/>
        <v/>
      </c>
      <c r="T72" s="578" t="str">
        <f t="shared" si="97"/>
        <v/>
      </c>
      <c r="U72" s="572" t="str">
        <f t="shared" si="98"/>
        <v/>
      </c>
      <c r="V72" s="579" t="str">
        <f t="shared" si="145"/>
        <v/>
      </c>
      <c r="W72" s="528" t="str">
        <f t="shared" si="268"/>
        <v/>
      </c>
      <c r="X72" s="572" t="str">
        <f t="shared" si="99"/>
        <v/>
      </c>
      <c r="Y72" s="573" t="str">
        <f t="shared" si="271"/>
        <v/>
      </c>
      <c r="Z72" s="575" t="str">
        <f t="shared" si="329"/>
        <v/>
      </c>
      <c r="AA72" s="572" t="str">
        <f t="shared" si="330"/>
        <v/>
      </c>
      <c r="AB72" s="572" t="str">
        <f t="shared" si="331"/>
        <v/>
      </c>
      <c r="AC72" s="579" t="str">
        <f t="shared" si="100"/>
        <v/>
      </c>
      <c r="AD72" s="580" t="str">
        <f t="shared" si="146"/>
        <v/>
      </c>
      <c r="AE72" s="572" t="str">
        <f t="shared" si="101"/>
        <v/>
      </c>
      <c r="AF72" s="576" t="str">
        <f t="shared" si="102"/>
        <v/>
      </c>
      <c r="AG72" s="545" t="str">
        <f t="shared" si="103"/>
        <v/>
      </c>
      <c r="AH72" s="546" t="str">
        <f t="shared" si="104"/>
        <v/>
      </c>
      <c r="AI72" s="528" t="str">
        <f t="shared" si="105"/>
        <v/>
      </c>
      <c r="AJ72" s="529" t="str">
        <f t="shared" si="106"/>
        <v/>
      </c>
      <c r="AK72" s="578" t="str">
        <f t="shared" si="247"/>
        <v/>
      </c>
      <c r="AL72" s="572" t="str">
        <f t="shared" si="107"/>
        <v/>
      </c>
      <c r="AM72" s="577" t="str">
        <f t="shared" si="108"/>
        <v/>
      </c>
      <c r="AN72" s="524" t="str">
        <f t="shared" si="109"/>
        <v/>
      </c>
      <c r="AO72" s="525" t="str">
        <f t="shared" si="604"/>
        <v/>
      </c>
      <c r="AP72" s="528" t="str">
        <f t="shared" si="111"/>
        <v/>
      </c>
      <c r="AQ72" s="529" t="str">
        <f t="shared" si="332"/>
        <v/>
      </c>
      <c r="AR72" s="979"/>
      <c r="AS72" s="954" t="str">
        <f t="shared" si="524"/>
        <v/>
      </c>
      <c r="AT72" s="950" t="str">
        <f t="shared" si="333"/>
        <v/>
      </c>
      <c r="AU72" s="418"/>
      <c r="AV72" s="164" t="str">
        <f t="shared" si="334"/>
        <v/>
      </c>
      <c r="AW72" s="797" t="str">
        <f>IFERROR(INDEX(MassProp!C$9:C$150,MATCH($M72,MassProp!$B$9:$B$150,0)),"")</f>
        <v/>
      </c>
      <c r="AX72" s="744" t="str">
        <f>IFERROR(INDEX(MassProp!D$9:D$150,MATCH($M72,MassProp!$B$9:$B$150,0)),"")</f>
        <v/>
      </c>
      <c r="AY72" s="731" t="str">
        <f>IFERROR(INDEX(MassProp!E$9:E$150,MATCH($M72,MassProp!$B$9:$B$150,0)),"")</f>
        <v/>
      </c>
      <c r="AZ72" s="297" t="str">
        <f t="shared" si="148"/>
        <v/>
      </c>
      <c r="BA72" s="296" t="str">
        <f t="shared" si="336"/>
        <v/>
      </c>
      <c r="BB72" s="177" t="str">
        <f t="shared" si="149"/>
        <v/>
      </c>
      <c r="BC72" s="9"/>
      <c r="BD72" s="5" t="str">
        <f t="shared" si="150"/>
        <v/>
      </c>
      <c r="BE72" s="6" t="str">
        <f t="shared" si="338"/>
        <v/>
      </c>
      <c r="BF72" s="4" t="str">
        <f t="shared" si="339"/>
        <v/>
      </c>
      <c r="BG72" s="5" t="str">
        <f t="shared" si="340"/>
        <v/>
      </c>
      <c r="BH72" s="10" t="str">
        <f t="shared" si="341"/>
        <v/>
      </c>
      <c r="BI72" s="9" t="str">
        <f t="shared" si="151"/>
        <v/>
      </c>
      <c r="BJ72" s="5" t="str">
        <f t="shared" si="343"/>
        <v/>
      </c>
      <c r="BK72" s="8" t="str">
        <f t="shared" si="344"/>
        <v/>
      </c>
      <c r="BL72" s="173" t="str">
        <f t="shared" si="345"/>
        <v/>
      </c>
      <c r="BM72" s="5" t="str">
        <f t="shared" si="346"/>
        <v/>
      </c>
      <c r="BN72" s="6" t="str">
        <f t="shared" si="347"/>
        <v/>
      </c>
      <c r="BO72" s="4" t="str">
        <f t="shared" si="152"/>
        <v/>
      </c>
      <c r="BP72" s="5" t="str">
        <f t="shared" si="153"/>
        <v/>
      </c>
      <c r="BQ72" s="5" t="str">
        <f t="shared" si="154"/>
        <v/>
      </c>
      <c r="BR72" s="6" t="str">
        <f t="shared" si="155"/>
        <v/>
      </c>
      <c r="BS72" s="4" t="str">
        <f t="shared" si="568"/>
        <v/>
      </c>
      <c r="BT72" s="5" t="str">
        <f t="shared" si="568"/>
        <v/>
      </c>
      <c r="BU72" s="10" t="str">
        <f t="shared" si="113"/>
        <v/>
      </c>
      <c r="BV72" s="9" t="str">
        <f t="shared" si="114"/>
        <v/>
      </c>
      <c r="BW72" s="5" t="str">
        <f t="shared" si="115"/>
        <v/>
      </c>
      <c r="BX72" s="8" t="str">
        <f t="shared" si="116"/>
        <v/>
      </c>
      <c r="BY72" s="173" t="str">
        <f t="shared" si="117"/>
        <v/>
      </c>
      <c r="BZ72" s="5" t="str">
        <f t="shared" si="118"/>
        <v/>
      </c>
      <c r="CA72" s="6" t="str">
        <f t="shared" si="119"/>
        <v/>
      </c>
      <c r="CB72" s="4" t="str">
        <f t="shared" si="156"/>
        <v/>
      </c>
      <c r="CC72" s="5" t="str">
        <f t="shared" si="157"/>
        <v/>
      </c>
      <c r="CD72" s="5" t="str">
        <f t="shared" si="158"/>
        <v/>
      </c>
      <c r="CE72" s="6" t="str">
        <f t="shared" si="159"/>
        <v/>
      </c>
      <c r="CF72" s="4" t="str">
        <f t="shared" si="160"/>
        <v/>
      </c>
      <c r="CG72" s="5" t="str">
        <f t="shared" si="161"/>
        <v/>
      </c>
      <c r="CH72" s="5" t="str">
        <f t="shared" si="162"/>
        <v/>
      </c>
      <c r="CI72" s="4" t="str">
        <f t="shared" si="120"/>
        <v/>
      </c>
      <c r="CJ72" s="5" t="str">
        <f t="shared" si="121"/>
        <v/>
      </c>
      <c r="CK72" s="8" t="str">
        <f t="shared" si="122"/>
        <v/>
      </c>
      <c r="CL72" s="173" t="str">
        <f t="shared" si="123"/>
        <v/>
      </c>
      <c r="CM72" s="5" t="str">
        <f t="shared" si="124"/>
        <v/>
      </c>
      <c r="CN72" s="6" t="str">
        <f t="shared" si="125"/>
        <v/>
      </c>
      <c r="CO72" s="167" t="str">
        <f t="shared" si="364"/>
        <v/>
      </c>
      <c r="CP72" s="4" t="str">
        <f t="shared" si="248"/>
        <v/>
      </c>
      <c r="CQ72" s="5" t="str">
        <f t="shared" si="249"/>
        <v/>
      </c>
      <c r="CR72" s="5" t="str">
        <f t="shared" si="163"/>
        <v/>
      </c>
      <c r="CS72" s="8" t="str">
        <f t="shared" si="164"/>
        <v/>
      </c>
      <c r="CT72" s="9" t="str">
        <f t="shared" si="165"/>
        <v/>
      </c>
      <c r="CU72" s="6" t="str">
        <f t="shared" si="166"/>
        <v/>
      </c>
      <c r="CV72" s="4" t="str">
        <f t="shared" si="250"/>
        <v/>
      </c>
      <c r="CW72" s="5" t="str">
        <f t="shared" si="167"/>
        <v/>
      </c>
      <c r="CX72" s="8" t="str">
        <f t="shared" si="168"/>
        <v/>
      </c>
      <c r="CY72" s="9" t="str">
        <f t="shared" si="169"/>
        <v/>
      </c>
      <c r="CZ72" s="5" t="str">
        <f t="shared" si="170"/>
        <v/>
      </c>
      <c r="DA72" s="6" t="str">
        <f t="shared" si="171"/>
        <v/>
      </c>
      <c r="DB72" s="4" t="str">
        <f t="shared" si="569"/>
        <v/>
      </c>
      <c r="DC72" s="5" t="str">
        <f t="shared" si="569"/>
        <v/>
      </c>
      <c r="DD72" s="10" t="str">
        <f t="shared" si="173"/>
        <v/>
      </c>
      <c r="DE72" s="9" t="str">
        <f t="shared" si="570"/>
        <v/>
      </c>
      <c r="DF72" s="5" t="str">
        <f t="shared" si="570"/>
        <v/>
      </c>
      <c r="DG72" s="10" t="str">
        <f t="shared" si="175"/>
        <v/>
      </c>
      <c r="DH72" s="70" t="str">
        <f t="shared" si="176"/>
        <v/>
      </c>
      <c r="DI72" s="4" t="str">
        <f t="shared" si="177"/>
        <v/>
      </c>
      <c r="DJ72" s="5" t="str">
        <f t="shared" si="178"/>
        <v/>
      </c>
      <c r="DK72" s="10" t="str">
        <f t="shared" si="179"/>
        <v/>
      </c>
      <c r="DL72" s="9" t="str">
        <f t="shared" si="180"/>
        <v/>
      </c>
      <c r="DM72" s="173" t="str">
        <f t="shared" si="181"/>
        <v/>
      </c>
      <c r="DN72" s="178" t="str">
        <f t="shared" si="182"/>
        <v/>
      </c>
      <c r="DO72" s="9" t="str">
        <f t="shared" si="183"/>
        <v/>
      </c>
      <c r="DP72" s="173" t="str">
        <f t="shared" si="184"/>
        <v/>
      </c>
      <c r="DQ72" s="11" t="str">
        <f t="shared" si="185"/>
        <v/>
      </c>
      <c r="DR72" s="173" t="str">
        <f t="shared" si="186"/>
        <v/>
      </c>
      <c r="DS72" s="5" t="str">
        <f t="shared" si="187"/>
        <v/>
      </c>
      <c r="DT72" s="5" t="str">
        <f t="shared" si="188"/>
        <v/>
      </c>
      <c r="DU72" s="5" t="str">
        <f t="shared" si="189"/>
        <v/>
      </c>
      <c r="DV72" s="5" t="str">
        <f t="shared" si="190"/>
        <v/>
      </c>
      <c r="DW72" s="5" t="str">
        <f t="shared" si="191"/>
        <v/>
      </c>
      <c r="DX72" s="167" t="str">
        <f t="shared" si="192"/>
        <v/>
      </c>
      <c r="DY72" s="9" t="str">
        <f t="shared" si="193"/>
        <v/>
      </c>
      <c r="DZ72" s="5" t="str">
        <f t="shared" si="194"/>
        <v/>
      </c>
      <c r="EA72" s="10" t="str">
        <f t="shared" si="195"/>
        <v/>
      </c>
      <c r="EB72" s="6" t="str">
        <f t="shared" si="196"/>
        <v/>
      </c>
      <c r="EC72" s="173" t="str">
        <f t="shared" si="197"/>
        <v/>
      </c>
      <c r="ED72" s="5" t="str">
        <f t="shared" si="198"/>
        <v/>
      </c>
      <c r="EE72" s="4" t="str">
        <f t="shared" si="199"/>
        <v/>
      </c>
      <c r="EF72" s="5" t="str">
        <f t="shared" si="200"/>
        <v/>
      </c>
      <c r="EG72" s="10" t="str">
        <f t="shared" si="201"/>
        <v/>
      </c>
      <c r="EH72" s="9" t="str">
        <f t="shared" si="202"/>
        <v/>
      </c>
      <c r="EI72" s="5" t="str">
        <f t="shared" si="203"/>
        <v/>
      </c>
      <c r="EJ72" s="6" t="str">
        <f t="shared" si="204"/>
        <v/>
      </c>
      <c r="EK72" s="236" t="str">
        <f t="shared" si="205"/>
        <v/>
      </c>
      <c r="EL72" s="238" t="str">
        <f t="shared" si="206"/>
        <v/>
      </c>
      <c r="EM72" s="4" t="str">
        <f t="shared" si="207"/>
        <v/>
      </c>
      <c r="EN72" s="5" t="str">
        <f t="shared" si="208"/>
        <v/>
      </c>
      <c r="EO72" s="10" t="str">
        <f t="shared" si="209"/>
        <v/>
      </c>
      <c r="EP72" s="9" t="str">
        <f t="shared" si="210"/>
        <v/>
      </c>
      <c r="EQ72" s="5" t="str">
        <f t="shared" si="211"/>
        <v/>
      </c>
      <c r="ER72" s="7" t="str">
        <f t="shared" si="212"/>
        <v/>
      </c>
      <c r="ES72" s="21" t="str">
        <f t="shared" si="411"/>
        <v/>
      </c>
      <c r="ET72" s="5" t="str">
        <f t="shared" si="412"/>
        <v/>
      </c>
      <c r="EU72" s="10" t="str">
        <f t="shared" si="413"/>
        <v/>
      </c>
      <c r="EV72" s="174" t="str">
        <f t="shared" si="571"/>
        <v/>
      </c>
      <c r="EW72" s="9" t="str">
        <f t="shared" si="572"/>
        <v/>
      </c>
      <c r="EX72" s="5" t="str">
        <f t="shared" si="573"/>
        <v/>
      </c>
      <c r="EY72" s="6" t="str">
        <f t="shared" si="213"/>
        <v/>
      </c>
      <c r="EZ72" s="51" t="str">
        <f t="shared" si="214"/>
        <v/>
      </c>
      <c r="FA72" s="173" t="str">
        <f t="shared" si="574"/>
        <v/>
      </c>
      <c r="FB72" s="5" t="str">
        <f t="shared" si="575"/>
        <v/>
      </c>
      <c r="FC72" s="6" t="str">
        <f t="shared" si="576"/>
        <v/>
      </c>
      <c r="FD72" s="4" t="str">
        <f t="shared" si="577"/>
        <v/>
      </c>
      <c r="FE72" s="5" t="str">
        <f t="shared" si="578"/>
        <v/>
      </c>
      <c r="FF72" s="7" t="str">
        <f t="shared" si="215"/>
        <v/>
      </c>
      <c r="FG72" s="173" t="str">
        <f t="shared" si="579"/>
        <v/>
      </c>
      <c r="FH72" s="5" t="str">
        <f t="shared" si="580"/>
        <v/>
      </c>
      <c r="FI72" s="10" t="str">
        <f t="shared" si="581"/>
        <v/>
      </c>
      <c r="FJ72" s="279" t="str">
        <f t="shared" si="217"/>
        <v/>
      </c>
      <c r="FK72" s="4" t="str">
        <f t="shared" si="582"/>
        <v/>
      </c>
      <c r="FL72" s="5" t="str">
        <f t="shared" si="218"/>
        <v/>
      </c>
      <c r="FM72" s="8" t="str">
        <f t="shared" si="219"/>
        <v/>
      </c>
      <c r="FN72" s="9" t="str">
        <f t="shared" si="220"/>
        <v/>
      </c>
      <c r="FO72" s="10" t="str">
        <f t="shared" si="583"/>
        <v/>
      </c>
      <c r="FP72" s="277" t="str">
        <f t="shared" si="584"/>
        <v/>
      </c>
      <c r="FQ72" s="173" t="str">
        <f t="shared" si="251"/>
        <v/>
      </c>
      <c r="FR72" s="10" t="str">
        <f t="shared" si="221"/>
        <v/>
      </c>
      <c r="FS72" s="9" t="str">
        <f t="shared" si="222"/>
        <v/>
      </c>
      <c r="FT72" s="6" t="str">
        <f t="shared" si="223"/>
        <v/>
      </c>
      <c r="FU72" s="4" t="str">
        <f t="shared" si="224"/>
        <v/>
      </c>
      <c r="FV72" s="5" t="str">
        <f t="shared" si="225"/>
        <v/>
      </c>
      <c r="FW72" s="8" t="str">
        <f t="shared" si="252"/>
        <v/>
      </c>
      <c r="FX72" s="9" t="str">
        <f t="shared" si="253"/>
        <v/>
      </c>
      <c r="FY72" s="10" t="str">
        <f t="shared" si="585"/>
        <v/>
      </c>
      <c r="FZ72" s="277" t="str">
        <f t="shared" si="254"/>
        <v/>
      </c>
      <c r="GA72" s="177" t="str">
        <f t="shared" si="226"/>
        <v/>
      </c>
      <c r="GB72" s="4" t="str">
        <f t="shared" si="227"/>
        <v/>
      </c>
      <c r="GC72" s="5" t="str">
        <f t="shared" si="228"/>
        <v/>
      </c>
      <c r="GD72" s="10" t="str">
        <f t="shared" si="229"/>
        <v/>
      </c>
      <c r="GE72" s="311" t="str">
        <f t="shared" si="230"/>
        <v/>
      </c>
      <c r="GF72" s="341" t="str">
        <f t="shared" si="255"/>
        <v/>
      </c>
      <c r="GG72" s="285" t="str">
        <f t="shared" si="586"/>
        <v/>
      </c>
      <c r="GH72" s="286" t="str">
        <f t="shared" si="587"/>
        <v/>
      </c>
      <c r="GI72" s="281" t="str">
        <f t="shared" si="588"/>
        <v/>
      </c>
      <c r="GJ72" s="167" t="str">
        <f t="shared" si="231"/>
        <v/>
      </c>
      <c r="GK72" s="174" t="str">
        <f t="shared" si="589"/>
        <v/>
      </c>
      <c r="GL72" s="174" t="str">
        <f t="shared" si="232"/>
        <v/>
      </c>
      <c r="GM72" s="177" t="str">
        <f t="shared" si="256"/>
        <v/>
      </c>
      <c r="GN72" s="280" t="str">
        <f t="shared" si="233"/>
        <v/>
      </c>
      <c r="GO72" s="4" t="str">
        <f t="shared" si="234"/>
        <v/>
      </c>
      <c r="GP72" s="8" t="str">
        <f t="shared" si="257"/>
        <v/>
      </c>
      <c r="GQ72" s="177" t="str">
        <f t="shared" si="235"/>
        <v/>
      </c>
      <c r="GR72" s="371" t="str">
        <f t="shared" si="258"/>
        <v/>
      </c>
      <c r="GS72" s="342" t="str">
        <f t="shared" si="590"/>
        <v/>
      </c>
      <c r="GT72" s="343" t="str">
        <f t="shared" si="591"/>
        <v/>
      </c>
      <c r="GU72" s="344" t="str">
        <f t="shared" si="592"/>
        <v/>
      </c>
      <c r="GV72" s="343" t="str">
        <f t="shared" si="265"/>
        <v/>
      </c>
      <c r="GW72" s="345" t="str">
        <f t="shared" si="593"/>
        <v/>
      </c>
      <c r="GX72" s="346" t="str">
        <f t="shared" si="594"/>
        <v/>
      </c>
      <c r="GY72" s="344" t="str">
        <f t="shared" si="595"/>
        <v/>
      </c>
      <c r="GZ72" s="345" t="str">
        <f t="shared" si="596"/>
        <v/>
      </c>
      <c r="HA72" s="342" t="str">
        <f t="shared" si="597"/>
        <v/>
      </c>
      <c r="HB72" s="5" t="str">
        <f t="shared" si="236"/>
        <v/>
      </c>
      <c r="HC72" s="343" t="str">
        <f t="shared" si="237"/>
        <v/>
      </c>
      <c r="HD72" s="363" t="str">
        <f t="shared" si="238"/>
        <v/>
      </c>
      <c r="HE72" s="344" t="str">
        <f t="shared" si="598"/>
        <v/>
      </c>
      <c r="HF72" s="5" t="str">
        <f t="shared" si="599"/>
        <v/>
      </c>
      <c r="HG72" s="343" t="str">
        <f t="shared" si="239"/>
        <v/>
      </c>
      <c r="HH72" s="349" t="str">
        <f t="shared" si="240"/>
        <v/>
      </c>
      <c r="HI72" s="317" t="str">
        <f t="shared" si="467"/>
        <v/>
      </c>
      <c r="HK72" s="310" t="str">
        <f t="shared" si="520"/>
        <v/>
      </c>
      <c r="HL72" s="348" t="str">
        <f t="shared" si="468"/>
        <v/>
      </c>
      <c r="HM72" s="923" t="str">
        <f t="shared" si="469"/>
        <v/>
      </c>
      <c r="HN72" s="924" t="str">
        <f t="shared" si="470"/>
        <v/>
      </c>
      <c r="HO72" s="925"/>
      <c r="HP72" s="926"/>
      <c r="HQ72" s="924" t="str">
        <f t="shared" si="471"/>
        <v/>
      </c>
      <c r="HR72" s="927" t="str">
        <f t="shared" si="472"/>
        <v/>
      </c>
      <c r="HS72" s="879" t="str">
        <f t="shared" si="521"/>
        <v/>
      </c>
      <c r="HT72" s="889" t="str">
        <f t="shared" si="473"/>
        <v/>
      </c>
      <c r="HU72" s="890" t="str">
        <f t="shared" si="474"/>
        <v/>
      </c>
      <c r="HV72" s="886" t="str">
        <f t="shared" si="475"/>
        <v/>
      </c>
      <c r="HW72" s="880" t="str">
        <f t="shared" si="476"/>
        <v/>
      </c>
      <c r="HX72" s="881" t="str">
        <f t="shared" si="477"/>
        <v/>
      </c>
      <c r="HY72" s="880" t="str">
        <f t="shared" si="478"/>
        <v/>
      </c>
      <c r="HZ72" s="882" t="str">
        <f t="shared" si="479"/>
        <v/>
      </c>
      <c r="IA72" s="883" t="str">
        <f t="shared" si="480"/>
        <v/>
      </c>
      <c r="IB72" s="884" t="str">
        <f t="shared" si="481"/>
        <v/>
      </c>
      <c r="IC72" s="855" t="str">
        <f t="shared" si="482"/>
        <v/>
      </c>
      <c r="ID72" s="351" t="str">
        <f t="shared" si="483"/>
        <v/>
      </c>
      <c r="IE72" s="857" t="str">
        <f t="shared" si="484"/>
        <v/>
      </c>
      <c r="IF72" s="858"/>
      <c r="IG72" s="790" t="str">
        <f>IFERROR(IF($IW72="","",IF($IW72&lt;(((Settings!$C$19/2)*-1)*$IG$8),"Taper","Nose")),"")</f>
        <v/>
      </c>
      <c r="IH72" s="482" t="str">
        <f>IFERROR(IF((((($IY72*COS(RADIANS(180-$JA72)))*COS(RADIANS($JA72)))-(($IZ72*SIN(RADIANS(180-$JA72)))*SIN(RADIANS($JA72))))+$IW72)&lt;(((Settings!$C$19+$IH$8)/2)*-1),"Gage",""),"")</f>
        <v/>
      </c>
      <c r="II72" s="788" t="str">
        <f t="shared" si="241"/>
        <v/>
      </c>
      <c r="IJ72" s="674" t="str" cm="1">
        <f t="array" ref="IJ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K72" s="677" t="str" cm="1">
        <f t="array" ref="IK72">IFERROR(ROUND(VALUE(IF($IJ72&lt;1,$IJ72+LARGE((IF($M$9:$M$150="",0,$M$9:$M$150)-MOD(IF($M$9:$M$150="",0,$M$9:$M$150),1)),1),$IJ72)),4),"")</f>
        <v/>
      </c>
      <c r="IL72" s="482" t="str">
        <f t="shared" si="485"/>
        <v/>
      </c>
      <c r="IM72" s="482" t="str">
        <f t="shared" si="242"/>
        <v/>
      </c>
      <c r="IN72" s="670" t="str">
        <f t="shared" si="486"/>
        <v/>
      </c>
      <c r="IO72" s="702"/>
      <c r="IP72" s="5" t="str">
        <f t="shared" si="487"/>
        <v/>
      </c>
      <c r="IQ72" s="714"/>
      <c r="IR72" s="9" t="str">
        <f t="shared" si="488"/>
        <v/>
      </c>
      <c r="IS72" s="5" t="str">
        <f t="shared" si="489"/>
        <v/>
      </c>
      <c r="IT72" s="5" t="str">
        <f t="shared" si="490"/>
        <v/>
      </c>
      <c r="IU72" s="5" t="str">
        <f t="shared" si="491"/>
        <v/>
      </c>
      <c r="IV72" s="670" t="str">
        <f t="shared" si="492"/>
        <v/>
      </c>
      <c r="IW72" s="9" t="str">
        <f t="shared" si="493"/>
        <v/>
      </c>
      <c r="IX72" s="5" t="str">
        <f t="shared" si="494"/>
        <v/>
      </c>
      <c r="IY72" s="5" t="str">
        <f t="shared" si="495"/>
        <v/>
      </c>
      <c r="IZ72" s="5" t="str">
        <f t="shared" si="496"/>
        <v/>
      </c>
      <c r="JA72" s="705" t="str">
        <f t="shared" si="497"/>
        <v/>
      </c>
      <c r="JM72" s="489" t="e">
        <f t="shared" si="133"/>
        <v>#VALUE!</v>
      </c>
      <c r="JN72" s="960" t="e">
        <f>($JO72-SMALL($JO$9:$JO$88,1))/((Settings!$C$19/2)-((Settings!$C$19/2)-LARGE($JO$9:$JO$88,1))-SMALL($JO$9:$JO$88,1))</f>
        <v>#VALUE!</v>
      </c>
      <c r="JO72" s="162" t="str">
        <f t="shared" si="635"/>
        <v/>
      </c>
      <c r="JP72" s="961" t="str">
        <f t="shared" si="636"/>
        <v/>
      </c>
      <c r="JQ72" s="961" t="str">
        <f t="shared" si="637"/>
        <v/>
      </c>
      <c r="JU72" s="962"/>
      <c r="JV72" s="959"/>
      <c r="JW72" s="959"/>
    </row>
    <row r="73" spans="1:283" ht="15" customHeight="1" x14ac:dyDescent="0.25">
      <c r="A73" s="75" t="str">
        <f t="shared" ref="A73:A104" si="640">IF($K73="","",IF(AND($A$8="Y",ISNUMBER($K73)),$A$5,0))</f>
        <v/>
      </c>
      <c r="B73" s="578" t="str">
        <f t="shared" ref="B73:D73" si="641">IFERROR(O228+($A73*-E73),"")</f>
        <v/>
      </c>
      <c r="C73" s="572" t="str">
        <f t="shared" si="641"/>
        <v/>
      </c>
      <c r="D73" s="576" t="str">
        <f t="shared" si="641"/>
        <v/>
      </c>
      <c r="E73" s="580" t="str">
        <f t="shared" ref="E73:K73" si="642">R228</f>
        <v/>
      </c>
      <c r="F73" s="572" t="str">
        <f t="shared" si="642"/>
        <v/>
      </c>
      <c r="G73" s="579" t="str">
        <f t="shared" si="642"/>
        <v/>
      </c>
      <c r="H73" s="580" t="str">
        <f t="shared" si="642"/>
        <v/>
      </c>
      <c r="I73" s="572" t="str">
        <f t="shared" si="642"/>
        <v/>
      </c>
      <c r="J73" s="483" t="str">
        <f t="shared" si="94"/>
        <v/>
      </c>
      <c r="K73" s="806" t="str">
        <f t="shared" si="642"/>
        <v/>
      </c>
      <c r="L73" s="309"/>
      <c r="M73" s="164" t="str">
        <f t="shared" ref="M73:M104" si="643">IF(J73="","",VALUE(J73))</f>
        <v/>
      </c>
      <c r="N73" s="575" t="str">
        <f t="shared" ref="N73:N104" si="644">IF(M73="","",B73)</f>
        <v/>
      </c>
      <c r="O73" s="572" t="str">
        <f t="shared" ref="O73:O104" si="645">IF(M73="","",C73)</f>
        <v/>
      </c>
      <c r="P73" s="576" t="str">
        <f t="shared" ref="P73:P104" si="646">IF(M73="","",D73)</f>
        <v/>
      </c>
      <c r="Q73" s="528" t="str">
        <f t="shared" si="144"/>
        <v/>
      </c>
      <c r="R73" s="572" t="str">
        <f>IF(M73="","",SQRT(N73^2+O73^2))</f>
        <v/>
      </c>
      <c r="S73" s="577" t="str">
        <f>IF(M73="","",P73)</f>
        <v/>
      </c>
      <c r="T73" s="578" t="str">
        <f>IF(M73="","",X73*COS(RADIANS(W73)))</f>
        <v/>
      </c>
      <c r="U73" s="572" t="str">
        <f>IF(M73="","",X73*SIN(RADIANS(W73)))</f>
        <v/>
      </c>
      <c r="V73" s="579" t="str">
        <f>IF(M73="","",Y73)</f>
        <v/>
      </c>
      <c r="W73" s="528" t="str">
        <f t="shared" si="268"/>
        <v/>
      </c>
      <c r="X73" s="572" t="str">
        <f>IF(M73="","",R73)</f>
        <v/>
      </c>
      <c r="Y73" s="573" t="str">
        <f t="shared" si="271"/>
        <v/>
      </c>
      <c r="Z73" s="575" t="str">
        <f t="shared" ref="Z73:Z104" si="647">IF(M73="","",-E73)</f>
        <v/>
      </c>
      <c r="AA73" s="572" t="str">
        <f t="shared" ref="AA73:AA104" si="648">IF(M73="","",-F73)</f>
        <v/>
      </c>
      <c r="AB73" s="572" t="str">
        <f t="shared" ref="AB73:AB104" si="649">IF(M73="","",-G73)</f>
        <v/>
      </c>
      <c r="AC73" s="579" t="str">
        <f>IF(M73="","",SQRT(Z73^2+AA73^2+AB73^2))</f>
        <v/>
      </c>
      <c r="AD73" s="580" t="str">
        <f>IF(M73="","",Z73*(1/SQRT(Z73^2+AA73^2+AB73^2)))</f>
        <v/>
      </c>
      <c r="AE73" s="572" t="str">
        <f>IF(M73="","",AA73*(1/SQRT(Z73^2+AA73^2+AB73^2)))</f>
        <v/>
      </c>
      <c r="AF73" s="576" t="str">
        <f>IF(M73="","",AB73*(1/SQRT(Z73^2+AA73^2+AB73^2)))</f>
        <v/>
      </c>
      <c r="AG73" s="545" t="str">
        <f>IF(M73="","",DEGREES(ATAN2(-AF73,AE73)))</f>
        <v/>
      </c>
      <c r="AH73" s="546" t="str">
        <f>IF(M73="","",DEGREES(ACOS(AD73)))</f>
        <v/>
      </c>
      <c r="AI73" s="528" t="str">
        <f>IF(M73="","",DEGREES(-ACOS(-AF73)))</f>
        <v/>
      </c>
      <c r="AJ73" s="529" t="str">
        <f>IF(M73="","",DEGREES(ATAN2(-AE73,AD73)))</f>
        <v/>
      </c>
      <c r="AK73" s="578" t="str">
        <f>IF(M73="","",(COS(RADIANS((90-$Q$8)-W73))*AD73)+(-SIN(RADIANS((90-$Q$8)-W73))*AE73))</f>
        <v/>
      </c>
      <c r="AL73" s="572" t="str">
        <f>IF(M73="","",(SIN(RADIANS((90-$Q$8)-W73))*AD73)+(COS(RADIANS((90-$Q$8)-W73))*AE73))</f>
        <v/>
      </c>
      <c r="AM73" s="577" t="str">
        <f>IF(M73="","",AF73)</f>
        <v/>
      </c>
      <c r="AN73" s="524" t="str">
        <f>IF(M73="","",DEGREES(ATAN2(-AM73,AL73)))</f>
        <v/>
      </c>
      <c r="AO73" s="525" t="str">
        <f t="shared" si="604"/>
        <v/>
      </c>
      <c r="AP73" s="528" t="str">
        <f>IF(M73="","",DEGREES(ATAN2(AK73,AL73)))</f>
        <v/>
      </c>
      <c r="AQ73" s="529" t="str">
        <f t="shared" ref="AQ73:AQ104" si="650">IF(M73="","",DEGREES(ATAN(($AS$5*SIN(RADIANS(90)))/(($X73*2*PI())-($AS$5*COS(RADIANS(90)))))))</f>
        <v/>
      </c>
      <c r="AR73" s="979"/>
      <c r="AS73" s="954" t="str">
        <f t="shared" si="524"/>
        <v/>
      </c>
      <c r="AT73" s="950" t="str">
        <f t="shared" ref="AT73:AT104" si="651">IF(M73="","",Y73+(((AS73-$AS$9)*$AS$6)*-1))</f>
        <v/>
      </c>
      <c r="AU73" s="418"/>
      <c r="AV73" s="164" t="str">
        <f t="shared" ref="AV73:AV104" si="652">IF(AND(ISNUMBER(VALUE(K73)),ISNUMBER(AW73),ISNUMBER(AX73),ISNUMBER(AY73),AY73&gt;=0.0001),$M73,"")</f>
        <v/>
      </c>
      <c r="AW73" s="797" t="str">
        <f>IFERROR(INDEX(MassProp!C$9:C$150,MATCH($M73,MassProp!$B$9:$B$150,0)),"")</f>
        <v/>
      </c>
      <c r="AX73" s="744" t="str">
        <f>IFERROR(INDEX(MassProp!D$9:D$150,MATCH($M73,MassProp!$B$9:$B$150,0)),"")</f>
        <v/>
      </c>
      <c r="AY73" s="731" t="str">
        <f>IFERROR(INDEX(MassProp!E$9:E$150,MATCH($M73,MassProp!$B$9:$B$150,0)),"")</f>
        <v/>
      </c>
      <c r="AZ73" s="297" t="str">
        <f t="shared" si="148"/>
        <v/>
      </c>
      <c r="BA73" s="296" t="str">
        <f t="shared" ref="BA73:BA104" si="653">IF(ISNUMBER(AV73),AZ73/$AZ$151,"")</f>
        <v/>
      </c>
      <c r="BB73" s="177" t="str">
        <f t="shared" si="149"/>
        <v/>
      </c>
      <c r="BC73" s="9"/>
      <c r="BD73" s="5" t="str">
        <f t="shared" si="150"/>
        <v/>
      </c>
      <c r="BE73" s="6" t="str">
        <f t="shared" ref="BE73:BE104" si="654">IF(ISNUMBER(AV73),Y73+BB73,"")</f>
        <v/>
      </c>
      <c r="BF73" s="4" t="str">
        <f t="shared" ref="BF73:BF104" si="655">IF(ISNUMBER($AV73),N73,"")</f>
        <v/>
      </c>
      <c r="BG73" s="5" t="str">
        <f t="shared" ref="BG73:BG104" si="656">IF(ISNUMBER($AV73),O73,"")</f>
        <v/>
      </c>
      <c r="BH73" s="10" t="str">
        <f t="shared" ref="BH73:BH104" si="657">IF(ISNUMBER($AV73),P73,"")</f>
        <v/>
      </c>
      <c r="BI73" s="9" t="str">
        <f t="shared" si="151"/>
        <v/>
      </c>
      <c r="BJ73" s="5" t="str">
        <f t="shared" ref="BJ73:BJ104" si="658">IF(ISNUMBER($AV73),BG73+COS(RADIANS($AG73)),"")</f>
        <v/>
      </c>
      <c r="BK73" s="8" t="str">
        <f t="shared" ref="BK73:BK104" si="659">IF(ISNUMBER($AV73),BH73+SIN(RADIANS($AG73)),"")</f>
        <v/>
      </c>
      <c r="BL73" s="173" t="str">
        <f t="shared" ref="BL73:BL104" si="660">IF(ISNUMBER($AV73),BF73+SIN(RADIANS($AH73)),"")</f>
        <v/>
      </c>
      <c r="BM73" s="5" t="str">
        <f t="shared" ref="BM73:BM104" si="661">IF(ISNUMBER($AV73),BG73-SIN(RADIANS($AG73))*COS(RADIANS($AH73)),"")</f>
        <v/>
      </c>
      <c r="BN73" s="6" t="str">
        <f t="shared" ref="BN73:BN104" si="662">IF(ISNUMBER($AV73),BH73+COS(RADIANS($AG73))*COS(RADIANS($AH73)),"")</f>
        <v/>
      </c>
      <c r="BO73" s="4" t="str">
        <f t="shared" si="152"/>
        <v/>
      </c>
      <c r="BP73" s="5" t="str">
        <f t="shared" si="153"/>
        <v/>
      </c>
      <c r="BQ73" s="5" t="str">
        <f t="shared" si="154"/>
        <v/>
      </c>
      <c r="BR73" s="6" t="str">
        <f t="shared" si="155"/>
        <v/>
      </c>
      <c r="BS73" s="4" t="str">
        <f t="shared" si="568"/>
        <v/>
      </c>
      <c r="BT73" s="5" t="str">
        <f t="shared" si="568"/>
        <v/>
      </c>
      <c r="BU73" s="10" t="str">
        <f t="shared" si="113"/>
        <v/>
      </c>
      <c r="BV73" s="9" t="str">
        <f t="shared" si="114"/>
        <v/>
      </c>
      <c r="BW73" s="5" t="str">
        <f t="shared" si="115"/>
        <v/>
      </c>
      <c r="BX73" s="8" t="str">
        <f t="shared" si="116"/>
        <v/>
      </c>
      <c r="BY73" s="173" t="str">
        <f t="shared" si="117"/>
        <v/>
      </c>
      <c r="BZ73" s="5" t="str">
        <f t="shared" si="118"/>
        <v/>
      </c>
      <c r="CA73" s="6" t="str">
        <f t="shared" si="119"/>
        <v/>
      </c>
      <c r="CB73" s="4" t="str">
        <f t="shared" si="156"/>
        <v/>
      </c>
      <c r="CC73" s="5" t="str">
        <f t="shared" si="157"/>
        <v/>
      </c>
      <c r="CD73" s="5" t="str">
        <f t="shared" si="158"/>
        <v/>
      </c>
      <c r="CE73" s="6" t="str">
        <f t="shared" si="159"/>
        <v/>
      </c>
      <c r="CF73" s="4" t="str">
        <f t="shared" si="160"/>
        <v/>
      </c>
      <c r="CG73" s="5" t="str">
        <f t="shared" si="161"/>
        <v/>
      </c>
      <c r="CH73" s="5" t="str">
        <f t="shared" si="162"/>
        <v/>
      </c>
      <c r="CI73" s="4" t="str">
        <f t="shared" si="120"/>
        <v/>
      </c>
      <c r="CJ73" s="5" t="str">
        <f t="shared" si="121"/>
        <v/>
      </c>
      <c r="CK73" s="8" t="str">
        <f t="shared" si="122"/>
        <v/>
      </c>
      <c r="CL73" s="173" t="str">
        <f t="shared" si="123"/>
        <v/>
      </c>
      <c r="CM73" s="5" t="str">
        <f t="shared" si="124"/>
        <v/>
      </c>
      <c r="CN73" s="6" t="str">
        <f t="shared" si="125"/>
        <v/>
      </c>
      <c r="CO73" s="167" t="str">
        <f t="shared" ref="CO73:CO104" si="663">IF(ISNUMBER($AV73),IF(AND(($H73*2)&gt;=$AB$161,($H73*2)&lt;=$AC$161),($AA$161/2),IF(AND(($H73*2)&gt;=$AB$163,($H73*2)&lt;=$AC$163),($AA$163/2),IF(AND(($H73*2)&gt;=$AB$165,($H73*2)&lt;=$AC$165),($AA$165/2),IF(AND(($H73*2)&gt;=$AB$168,($H73*2)&lt;=$AC$168),($AA$168/2),"Radius")))),"")</f>
        <v/>
      </c>
      <c r="CP73" s="4" t="str">
        <f t="shared" si="248"/>
        <v/>
      </c>
      <c r="CQ73" s="5" t="str">
        <f t="shared" si="249"/>
        <v/>
      </c>
      <c r="CR73" s="5" t="str">
        <f t="shared" si="163"/>
        <v/>
      </c>
      <c r="CS73" s="8" t="str">
        <f t="shared" si="164"/>
        <v/>
      </c>
      <c r="CT73" s="9" t="str">
        <f t="shared" si="165"/>
        <v/>
      </c>
      <c r="CU73" s="6" t="str">
        <f t="shared" si="166"/>
        <v/>
      </c>
      <c r="CV73" s="4" t="str">
        <f t="shared" si="250"/>
        <v/>
      </c>
      <c r="CW73" s="5" t="str">
        <f t="shared" si="167"/>
        <v/>
      </c>
      <c r="CX73" s="8" t="str">
        <f t="shared" si="168"/>
        <v/>
      </c>
      <c r="CY73" s="9" t="str">
        <f t="shared" si="169"/>
        <v/>
      </c>
      <c r="CZ73" s="5" t="str">
        <f t="shared" si="170"/>
        <v/>
      </c>
      <c r="DA73" s="6" t="str">
        <f t="shared" si="171"/>
        <v/>
      </c>
      <c r="DB73" s="4" t="str">
        <f t="shared" si="569"/>
        <v/>
      </c>
      <c r="DC73" s="5" t="str">
        <f t="shared" si="569"/>
        <v/>
      </c>
      <c r="DD73" s="10" t="str">
        <f t="shared" si="173"/>
        <v/>
      </c>
      <c r="DE73" s="9" t="str">
        <f t="shared" si="570"/>
        <v/>
      </c>
      <c r="DF73" s="5" t="str">
        <f t="shared" si="570"/>
        <v/>
      </c>
      <c r="DG73" s="10" t="str">
        <f t="shared" si="175"/>
        <v/>
      </c>
      <c r="DH73" s="70" t="str">
        <f t="shared" si="176"/>
        <v/>
      </c>
      <c r="DI73" s="4" t="str">
        <f t="shared" si="177"/>
        <v/>
      </c>
      <c r="DJ73" s="5" t="str">
        <f t="shared" si="178"/>
        <v/>
      </c>
      <c r="DK73" s="10" t="str">
        <f t="shared" si="179"/>
        <v/>
      </c>
      <c r="DL73" s="9" t="str">
        <f t="shared" si="180"/>
        <v/>
      </c>
      <c r="DM73" s="173" t="str">
        <f t="shared" si="181"/>
        <v/>
      </c>
      <c r="DN73" s="178" t="str">
        <f t="shared" si="182"/>
        <v/>
      </c>
      <c r="DO73" s="9" t="str">
        <f t="shared" si="183"/>
        <v/>
      </c>
      <c r="DP73" s="173" t="str">
        <f t="shared" si="184"/>
        <v/>
      </c>
      <c r="DQ73" s="11" t="str">
        <f t="shared" si="185"/>
        <v/>
      </c>
      <c r="DR73" s="173" t="str">
        <f t="shared" si="186"/>
        <v/>
      </c>
      <c r="DS73" s="5" t="str">
        <f t="shared" si="187"/>
        <v/>
      </c>
      <c r="DT73" s="5" t="str">
        <f t="shared" si="188"/>
        <v/>
      </c>
      <c r="DU73" s="5" t="str">
        <f t="shared" si="189"/>
        <v/>
      </c>
      <c r="DV73" s="5" t="str">
        <f t="shared" si="190"/>
        <v/>
      </c>
      <c r="DW73" s="5" t="str">
        <f t="shared" si="191"/>
        <v/>
      </c>
      <c r="DX73" s="167" t="str">
        <f t="shared" si="192"/>
        <v/>
      </c>
      <c r="DY73" s="9" t="str">
        <f t="shared" si="193"/>
        <v/>
      </c>
      <c r="DZ73" s="5" t="str">
        <f t="shared" si="194"/>
        <v/>
      </c>
      <c r="EA73" s="10" t="str">
        <f t="shared" si="195"/>
        <v/>
      </c>
      <c r="EB73" s="6" t="str">
        <f t="shared" si="196"/>
        <v/>
      </c>
      <c r="EC73" s="173" t="str">
        <f t="shared" si="197"/>
        <v/>
      </c>
      <c r="ED73" s="5" t="str">
        <f t="shared" si="198"/>
        <v/>
      </c>
      <c r="EE73" s="4" t="str">
        <f t="shared" si="199"/>
        <v/>
      </c>
      <c r="EF73" s="5" t="str">
        <f t="shared" si="200"/>
        <v/>
      </c>
      <c r="EG73" s="10" t="str">
        <f t="shared" si="201"/>
        <v/>
      </c>
      <c r="EH73" s="9" t="str">
        <f t="shared" si="202"/>
        <v/>
      </c>
      <c r="EI73" s="5" t="str">
        <f t="shared" si="203"/>
        <v/>
      </c>
      <c r="EJ73" s="6" t="str">
        <f t="shared" si="204"/>
        <v/>
      </c>
      <c r="EK73" s="236" t="str">
        <f t="shared" si="205"/>
        <v/>
      </c>
      <c r="EL73" s="238" t="str">
        <f t="shared" si="206"/>
        <v/>
      </c>
      <c r="EM73" s="4" t="str">
        <f t="shared" si="207"/>
        <v/>
      </c>
      <c r="EN73" s="5" t="str">
        <f t="shared" si="208"/>
        <v/>
      </c>
      <c r="EO73" s="10" t="str">
        <f t="shared" si="209"/>
        <v/>
      </c>
      <c r="EP73" s="9" t="str">
        <f t="shared" si="210"/>
        <v/>
      </c>
      <c r="EQ73" s="5" t="str">
        <f t="shared" si="211"/>
        <v/>
      </c>
      <c r="ER73" s="7" t="str">
        <f t="shared" si="212"/>
        <v/>
      </c>
      <c r="ES73" s="21" t="str">
        <f t="shared" ref="ES73:ES104" si="664">IF(ISNUMBER($AV73),AD73,"")</f>
        <v/>
      </c>
      <c r="ET73" s="5" t="str">
        <f t="shared" ref="ET73:ET104" si="665">IF(ISNUMBER($AV73),AE73,"")</f>
        <v/>
      </c>
      <c r="EU73" s="10" t="str">
        <f t="shared" ref="EU73:EU104" si="666">IF(ISNUMBER($AV73),AF73,"")</f>
        <v/>
      </c>
      <c r="EV73" s="174" t="str">
        <f t="shared" ref="EV73:EV104" si="667">IF(ISNUMBER($AV73),IF(($EV$1-EP73)&lt;0,(360+($EV$1-EP73)),($EV$1-EP73)),"")</f>
        <v/>
      </c>
      <c r="EW73" s="9" t="str">
        <f t="shared" ref="EW73:EW104" si="668">IF(ISNUMBER($AV73),(COS(RADIANS($EV73))*ES73)+(-SIN(RADIANS($EV73))*ET73),"")</f>
        <v/>
      </c>
      <c r="EX73" s="5" t="str">
        <f t="shared" ref="EX73:EX104" si="669">IF(ISNUMBER($AV73),(SIN(RADIANS($EV73))*ES73)+(COS(RADIANS($EV73))*ET73),"")</f>
        <v/>
      </c>
      <c r="EY73" s="6" t="str">
        <f t="shared" si="213"/>
        <v/>
      </c>
      <c r="EZ73" s="51" t="str">
        <f t="shared" si="214"/>
        <v/>
      </c>
      <c r="FA73" s="173" t="str">
        <f t="shared" ref="FA73:FA104" si="670">IF(ISNUMBER($AV73),SIN(RADIANS($EP73))*COS(RADIANS($EZ73)),"")</f>
        <v/>
      </c>
      <c r="FB73" s="5" t="str">
        <f t="shared" ref="FB73:FB104" si="671">IF(ISNUMBER($AV73),-1*COS(RADIANS($EP73))*COS(RADIANS($EZ73)),"")</f>
        <v/>
      </c>
      <c r="FC73" s="6" t="str">
        <f t="shared" ref="FC73:FC104" si="672">IF(ISNUMBER($AV73),-1*SIN(RADIANS($EZ73)),"")</f>
        <v/>
      </c>
      <c r="FD73" s="4" t="str">
        <f t="shared" ref="FD73:FD104" si="673">IF(ISNUMBER($AV73),(COS(RADIANS($EV73))*FA73)+(-SIN(RADIANS($EV73))*FB73),"")</f>
        <v/>
      </c>
      <c r="FE73" s="5" t="str">
        <f t="shared" ref="FE73:FE104" si="674">IF(ISNUMBER($AV73),(SIN(RADIANS($EV73))*FA73)+(COS(RADIANS($EV73))*FB73),"")</f>
        <v/>
      </c>
      <c r="FF73" s="7" t="str">
        <f t="shared" si="215"/>
        <v/>
      </c>
      <c r="FG73" s="173" t="str">
        <f t="shared" ref="FG73:FG104" si="675">IF(ISNUMBER($AV73),EW73-FD73,"")</f>
        <v/>
      </c>
      <c r="FH73" s="5" t="str">
        <f t="shared" ref="FH73:FH104" si="676">IF(ISNUMBER($AV73),EX73-FE73,"")</f>
        <v/>
      </c>
      <c r="FI73" s="10" t="str">
        <f t="shared" ref="FI73:FI104" si="677">IF(ISNUMBER($AV73),EY73-FF73,"")</f>
        <v/>
      </c>
      <c r="FJ73" s="279" t="str">
        <f t="shared" si="217"/>
        <v/>
      </c>
      <c r="FK73" s="4" t="str">
        <f t="shared" ref="FK73:FK104" si="678">IF(ISNUMBER($AV73),SQRT(ES73^2+ET73^2),"")</f>
        <v/>
      </c>
      <c r="FL73" s="5" t="str">
        <f t="shared" si="218"/>
        <v/>
      </c>
      <c r="FM73" s="8" t="str">
        <f t="shared" si="219"/>
        <v/>
      </c>
      <c r="FN73" s="9" t="str">
        <f t="shared" si="220"/>
        <v/>
      </c>
      <c r="FO73" s="10" t="str">
        <f t="shared" ref="FO73:FO104" si="679">IF(ISNUMBER($AV73),IF(SQRT((EM73+(ES73/SQRT(ES73^2+(ET73/SQRT(ES73^2+ET73^2))^2)))^2+(EN73+ET73)^2)&gt;SQRT((EM73+(FA73/SQRT(FA73^2+FB73^2)))^2+(EN73+(FB73/SQRT(FA73^2+FB73^2)))^2),-1,1),"")</f>
        <v/>
      </c>
      <c r="FP73" s="277" t="str">
        <f>IF(ISNUMBER($AV73),FN73*FO73,"")</f>
        <v/>
      </c>
      <c r="FQ73" s="173" t="str">
        <f t="shared" si="251"/>
        <v/>
      </c>
      <c r="FR73" s="10" t="str">
        <f t="shared" si="221"/>
        <v/>
      </c>
      <c r="FS73" s="9" t="str">
        <f t="shared" si="222"/>
        <v/>
      </c>
      <c r="FT73" s="6" t="str">
        <f t="shared" si="223"/>
        <v/>
      </c>
      <c r="FU73" s="4" t="str">
        <f t="shared" si="224"/>
        <v/>
      </c>
      <c r="FV73" s="5" t="str">
        <f t="shared" si="225"/>
        <v/>
      </c>
      <c r="FW73" s="8" t="str">
        <f t="shared" si="252"/>
        <v/>
      </c>
      <c r="FX73" s="9" t="str">
        <f t="shared" si="253"/>
        <v/>
      </c>
      <c r="FY73" s="10" t="str">
        <f t="shared" ref="FY73:FY104" si="680">IF(ISNUMBER($AV73),IF(EU73&lt;FC73,1,-1),"")</f>
        <v/>
      </c>
      <c r="FZ73" s="277" t="str">
        <f t="shared" si="254"/>
        <v/>
      </c>
      <c r="GA73" s="177" t="str">
        <f t="shared" si="226"/>
        <v/>
      </c>
      <c r="GB73" s="4" t="str">
        <f t="shared" si="227"/>
        <v/>
      </c>
      <c r="GC73" s="5" t="str">
        <f t="shared" si="228"/>
        <v/>
      </c>
      <c r="GD73" s="10" t="str">
        <f t="shared" si="229"/>
        <v/>
      </c>
      <c r="GE73" s="311" t="str">
        <f t="shared" si="230"/>
        <v/>
      </c>
      <c r="GF73" s="341" t="str">
        <f t="shared" si="255"/>
        <v/>
      </c>
      <c r="GG73" s="285" t="str">
        <f t="shared" ref="GG73:GG104" si="681">IF(ISNUMBER($AV73),ABS(GB73)/(ABS($GB73)+ABS($GC73)+ABS($GD73)),"")</f>
        <v/>
      </c>
      <c r="GH73" s="286" t="str">
        <f t="shared" ref="GH73:GH104" si="682">IF(ISNUMBER($AV73),ABS(GC73)/(ABS($GB73)+ABS($GC73)+ABS($GD73)),"")</f>
        <v/>
      </c>
      <c r="GI73" s="281" t="str">
        <f t="shared" ref="GI73:GI104" si="683">IF(ISNUMBER($AV73),ABS(GD73)/(ABS($GB73)+ABS($GC73)+ABS($GD73)),"")</f>
        <v/>
      </c>
      <c r="GJ73" s="167" t="str">
        <f t="shared" si="231"/>
        <v/>
      </c>
      <c r="GK73" s="174" t="str">
        <f t="shared" ref="GK73:GK104" si="684">IF(ISNUMBER($AV73),SQRT((2*PI()*$GJ73)^2+$AS$5^2)/12,"")</f>
        <v/>
      </c>
      <c r="GL73" s="174" t="str">
        <f t="shared" si="232"/>
        <v/>
      </c>
      <c r="GM73" s="177" t="str">
        <f t="shared" si="256"/>
        <v/>
      </c>
      <c r="GN73" s="280" t="str">
        <f t="shared" si="233"/>
        <v/>
      </c>
      <c r="GO73" s="4" t="str">
        <f t="shared" si="234"/>
        <v/>
      </c>
      <c r="GP73" s="8" t="str">
        <f t="shared" si="257"/>
        <v/>
      </c>
      <c r="GQ73" s="177" t="str">
        <f t="shared" si="235"/>
        <v/>
      </c>
      <c r="GR73" s="371" t="str">
        <f t="shared" si="258"/>
        <v/>
      </c>
      <c r="GS73" s="342" t="str">
        <f t="shared" ref="GS73:GS104" si="685">IF(ISNUMBER($AV73),GU73/GH73*GG73,"")</f>
        <v/>
      </c>
      <c r="GT73" s="343" t="str">
        <f t="shared" ref="GT73:GT104" si="686">IF(ISNUMBER($AV73),GS73/$GK73,"")</f>
        <v/>
      </c>
      <c r="GU73" s="344" t="str">
        <f t="shared" ref="GU73:GU104" si="687">IF(ISNUMBER($AV73),$GV73*$GK73,"")</f>
        <v/>
      </c>
      <c r="GV73" s="343" t="str">
        <f t="shared" si="265"/>
        <v/>
      </c>
      <c r="GW73" s="345" t="str">
        <f t="shared" ref="GW73:GW104" si="688">IF(ISNUMBER($AV73),$GW$2,"")</f>
        <v/>
      </c>
      <c r="GX73" s="346" t="str">
        <f t="shared" ref="GX73:GX104" si="689">IF(ISNUMBER($AV73),($GJ73/12)*$GV73,"")</f>
        <v/>
      </c>
      <c r="GY73" s="344" t="str">
        <f t="shared" ref="GY73:GY104" si="690">IF(ISNUMBER($AV73),GU73/GH73*GI73,"")</f>
        <v/>
      </c>
      <c r="GZ73" s="345" t="str">
        <f t="shared" ref="GZ73:GZ104" si="691">IF(ISNUMBER($AV73),GY73/$GK73,"")</f>
        <v/>
      </c>
      <c r="HA73" s="342" t="str">
        <f t="shared" ref="HA73:HA104" si="692">IF(ISNUMBER($AV73),$FO73*$GS73,"")</f>
        <v/>
      </c>
      <c r="HB73" s="5" t="str">
        <f t="shared" si="236"/>
        <v/>
      </c>
      <c r="HC73" s="343" t="str">
        <f t="shared" si="237"/>
        <v/>
      </c>
      <c r="HD73" s="363" t="str">
        <f t="shared" si="238"/>
        <v/>
      </c>
      <c r="HE73" s="344" t="str">
        <f t="shared" ref="HE73:HE104" si="693">IF(ISNUMBER($AV73),$FY73*$GV73,"")</f>
        <v/>
      </c>
      <c r="HF73" s="5" t="str">
        <f t="shared" ref="HF73:HF104" si="694">IF(ISNUMBER($AV73),IF(($HB73+90)&lt;0,(360+($HB73+90)),($HB73+90)),"")</f>
        <v/>
      </c>
      <c r="HG73" s="343" t="str">
        <f t="shared" si="239"/>
        <v/>
      </c>
      <c r="HH73" s="349" t="str">
        <f t="shared" si="240"/>
        <v/>
      </c>
      <c r="HI73" s="317" t="str">
        <f t="shared" ref="HI73:HI104" si="695">IF(ISNUMBER($AV73),$M73,"")</f>
        <v/>
      </c>
      <c r="HK73" s="310" t="str">
        <f t="shared" si="520"/>
        <v/>
      </c>
      <c r="HL73" s="348" t="str">
        <f t="shared" ref="HL73:HL104" si="696">IF(ISNUMBER($HS73),INDEX(HI$9:HI$150,MATCH($HS73,$GJ$9:$GJ$150,0)),"")</f>
        <v/>
      </c>
      <c r="HM73" s="923" t="str">
        <f t="shared" ref="HM73:HM104" si="697">IF(ISNUMBER($HL73),INDEX(GO$9:GO$150,MATCH($HL73,$AV$9:$AV$150,0)),"")</f>
        <v/>
      </c>
      <c r="HN73" s="924" t="str">
        <f t="shared" ref="HN73:HN104" si="698">IF(ISNUMBER($HL73),INDEX(AO$9:AO$150,MATCH($HL73,$AV$9:$AV$150,0)),"")</f>
        <v/>
      </c>
      <c r="HO73" s="925"/>
      <c r="HP73" s="926"/>
      <c r="HQ73" s="924" t="str">
        <f t="shared" ref="HQ73:HQ104" si="699">IF(ISNUMBER($HL73),INDEX(GQ$9:GQ$150,MATCH($HL73,$AV$9:$AV$150,0)),"")</f>
        <v/>
      </c>
      <c r="HR73" s="927" t="str">
        <f t="shared" ref="HR73:HR104" si="700">IF(ISNUMBER($HL73),INDEX(GP$9:GP$150,MATCH($HL73,$AV$9:$AV$150,0)),"")</f>
        <v/>
      </c>
      <c r="HS73" s="879" t="str">
        <f t="shared" si="521"/>
        <v/>
      </c>
      <c r="HT73" s="889" t="str">
        <f t="shared" ref="HT73:HT104" si="701">IF(ISNUMBER($HL73),INDEX(GL$9:GL$150,MATCH($HL73,$AV$9:$AV$150,0)),"")</f>
        <v/>
      </c>
      <c r="HU73" s="890" t="str">
        <f t="shared" ref="HU73:HU104" si="702">IF(ISNUMBER($HL73),INDEX(GM$9:GM$150,MATCH($HL73,$AV$9:$AV$150,0)),"")</f>
        <v/>
      </c>
      <c r="HV73" s="886" t="str">
        <f t="shared" ref="HV73:HV104" si="703">IF(ISNUMBER($HL73),INDEX(GN$9:GN$150,MATCH($HL73,$AV$9:$AV$150,0)),"")</f>
        <v/>
      </c>
      <c r="HW73" s="880" t="str">
        <f t="shared" ref="HW73:HW104" si="704">IF(ISNUMBER($HL73),INDEX(GW$9:GW$150,MATCH($HL73,$AV$9:$AV$150,0)),"")</f>
        <v/>
      </c>
      <c r="HX73" s="881" t="str">
        <f t="shared" ref="HX73:HX104" si="705">IF(ISNUMBER($HL73),INDEX(GX$9:GX$150,MATCH($HL73,$AV$9:$AV$150,0)),"")</f>
        <v/>
      </c>
      <c r="HY73" s="880" t="str">
        <f t="shared" ref="HY73:HY104" si="706">IF(ISNUMBER($HL73),INDEX(GS$9:GS$150,MATCH($HL73,$AV$9:$AV$150,0)),"")</f>
        <v/>
      </c>
      <c r="HZ73" s="882" t="str">
        <f t="shared" ref="HZ73:HZ104" si="707">IF(ISNUMBER($HL73),INDEX(GU$9:GU$150,MATCH($HL73,$AV$9:$AV$150,0)),"")</f>
        <v/>
      </c>
      <c r="IA73" s="883" t="str">
        <f t="shared" ref="IA73:IA104" si="708">IF(ISNUMBER($HL73),INDEX(GY$9:GY$150,MATCH($HL73,$AV$9:$AV$150,0)),"")</f>
        <v/>
      </c>
      <c r="IB73" s="884" t="str">
        <f t="shared" ref="IB73:IB104" si="709">IF(ISNUMBER($HL73),INDEX(GR$9:GR$150,MATCH($HL73,$AV$9:$AV$150,0)),"")</f>
        <v/>
      </c>
      <c r="IC73" s="855" t="str">
        <f t="shared" ref="IC73:IC104" si="710">IF(ISNUMBER($HL73),INDEX(GT$9:GT$150,MATCH($HL73,$AV$9:$AV$150,0)),"")</f>
        <v/>
      </c>
      <c r="ID73" s="351" t="str">
        <f t="shared" ref="ID73:ID104" si="711">IF(ISNUMBER($HL73),INDEX(GV$9:GV$150,MATCH($HL73,$AV$9:$AV$150,0)),"")</f>
        <v/>
      </c>
      <c r="IE73" s="857" t="str">
        <f t="shared" ref="IE73:IE104" si="712">IF(ISNUMBER($HL73),INDEX(GZ$9:GZ$150,MATCH($HL73,$AV$9:$AV$150,0)),"")</f>
        <v/>
      </c>
      <c r="IF73" s="858"/>
      <c r="IG73" s="790" t="str">
        <f>IFERROR(IF($IW73="","",IF($IW73&lt;(((Settings!$C$19/2)*-1)*$IG$8),"Taper","Nose")),"")</f>
        <v/>
      </c>
      <c r="IH73" s="482" t="str">
        <f>IFERROR(IF((((($IY73*COS(RADIANS(180-$JA73)))*COS(RADIANS($JA73)))-(($IZ73*SIN(RADIANS(180-$JA73)))*SIN(RADIANS($JA73))))+$IW73)&lt;(((Settings!$C$19+$IH$8)/2)*-1),"Gage",""),"")</f>
        <v/>
      </c>
      <c r="II73" s="788" t="str">
        <f t="shared" si="241"/>
        <v/>
      </c>
      <c r="IJ73" s="674" t="str" cm="1">
        <f t="array" ref="IJ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K73" s="677" t="str" cm="1">
        <f t="array" ref="IK73">IFERROR(ROUND(VALUE(IF($IJ73&lt;1,$IJ73+LARGE((IF($M$9:$M$150="",0,$M$9:$M$150)-MOD(IF($M$9:$M$150="",0,$M$9:$M$150),1)),1),$IJ73)),4),"")</f>
        <v/>
      </c>
      <c r="IL73" s="482" t="str">
        <f t="shared" ref="IL73:IL104" si="713">IF(ISNUMBER($IK73),INDEX($K$9:$K$150,MATCH($IK73,$M$9:$M$150,0)),$K73)</f>
        <v/>
      </c>
      <c r="IM73" s="482" t="str">
        <f t="shared" si="242"/>
        <v/>
      </c>
      <c r="IN73" s="670" t="str">
        <f t="shared" ref="IN73:IN104" si="714">IF(ISNUMBER($IK73),IFERROR(IF(INDEX($W$9:$W$150,MATCH($IK73,$M$9:$M$150,0))&lt;$W73,((INDEX($W$9:$W$150,MATCH($IK73,$M$9:$M$150,0))+360)-$W73),INDEX($W$9:$W$150,MATCH($IK73,$M$9:$M$150,0))-$W73),""),"")</f>
        <v/>
      </c>
      <c r="IO73" s="702"/>
      <c r="IP73" s="5" t="str">
        <f t="shared" ref="IP73:IP104" si="715">IF(ISNUMBER($IK73),(($IQ73*12)/60)/$AS$3,"")</f>
        <v/>
      </c>
      <c r="IQ73" s="714"/>
      <c r="IR73" s="9" t="str">
        <f t="shared" ref="IR73:IR104" si="716">IF(ISNUMBER($IK73),(INDEX($X$9:$X$150,MATCH($IK73,$M$9:$M$150,0))*-1),"")</f>
        <v/>
      </c>
      <c r="IS73" s="5" t="str">
        <f t="shared" ref="IS73:IS104" si="717">IF(ISNUMBER($IK73),INDEX($Y$9:$Y$150,MATCH($IK73,$M$9:$M$150,0)),"")</f>
        <v/>
      </c>
      <c r="IT73" s="5" t="str">
        <f t="shared" ref="IT73:IT104" si="718">IF(ISNUMBER($IK73),INDEX($H$9:$H$150,MATCH($IK73,$M$9:$M$150,0)),"")</f>
        <v/>
      </c>
      <c r="IU73" s="5" t="str">
        <f t="shared" ref="IU73:IU104" si="719">IF(ISNUMBER($IK73),$IT73*COS(RADIANS(INDEX($AO$9:$AO$150,MATCH($IK73,$M$9:$M$150,0)))),"")</f>
        <v/>
      </c>
      <c r="IV73" s="670" t="str">
        <f t="shared" ref="IV73:IV104" si="720">IF(ISNUMBER($IK73),(-1*INDEX($AN$9:$AN$150,MATCH($IK73,$M$9:$M$150,0))),"")</f>
        <v/>
      </c>
      <c r="IW73" s="9" t="str">
        <f t="shared" ref="IW73:IW104" si="721">IF(ISNUMBER($IK73),-$X73,"")</f>
        <v/>
      </c>
      <c r="IX73" s="5" t="str">
        <f t="shared" ref="IX73:IX104" si="722">IF(ISNUMBER($IK73),$Y73,"")</f>
        <v/>
      </c>
      <c r="IY73" s="5" t="str">
        <f t="shared" ref="IY73:IY104" si="723">IF(ISNUMBER($IK73),$H73,"")</f>
        <v/>
      </c>
      <c r="IZ73" s="5" t="str">
        <f t="shared" ref="IZ73:IZ104" si="724">IF(ISNUMBER($IK73),$IY73*COS(RADIANS($AO73)),"")</f>
        <v/>
      </c>
      <c r="JA73" s="705" t="str">
        <f t="shared" ref="JA73:JA104" si="725">IF(ISNUMBER($IK73),(-1*$AN73),"")</f>
        <v/>
      </c>
      <c r="JM73" s="489" t="e">
        <f t="shared" si="133"/>
        <v>#VALUE!</v>
      </c>
      <c r="JN73" s="960" t="e">
        <f>($JO73-SMALL($JO$9:$JO$88,1))/((Settings!$C$19/2)-((Settings!$C$19/2)-LARGE($JO$9:$JO$88,1))-SMALL($JO$9:$JO$88,1))</f>
        <v>#VALUE!</v>
      </c>
      <c r="JO73" s="162" t="str">
        <f t="shared" si="635"/>
        <v/>
      </c>
      <c r="JP73" s="961" t="str">
        <f t="shared" si="636"/>
        <v/>
      </c>
      <c r="JQ73" s="961" t="str">
        <f t="shared" si="637"/>
        <v/>
      </c>
      <c r="JU73" s="962"/>
      <c r="JV73" s="959"/>
      <c r="JW73" s="959"/>
    </row>
    <row r="74" spans="1:283" ht="15" customHeight="1" x14ac:dyDescent="0.25">
      <c r="A74" s="75" t="str">
        <f t="shared" si="640"/>
        <v/>
      </c>
      <c r="B74" s="578" t="str">
        <f t="shared" ref="B74:D74" si="726">IFERROR(O229+($A74*-E74),"")</f>
        <v/>
      </c>
      <c r="C74" s="572" t="str">
        <f t="shared" si="726"/>
        <v/>
      </c>
      <c r="D74" s="576" t="str">
        <f t="shared" si="726"/>
        <v/>
      </c>
      <c r="E74" s="580" t="str">
        <f t="shared" ref="E74:K74" si="727">R229</f>
        <v/>
      </c>
      <c r="F74" s="572" t="str">
        <f t="shared" si="727"/>
        <v/>
      </c>
      <c r="G74" s="579" t="str">
        <f t="shared" si="727"/>
        <v/>
      </c>
      <c r="H74" s="580" t="str">
        <f t="shared" si="727"/>
        <v/>
      </c>
      <c r="I74" s="572" t="str">
        <f t="shared" si="727"/>
        <v/>
      </c>
      <c r="J74" s="483" t="str">
        <f t="shared" ref="J74:J137" si="728">IF(W229=0,"",W229)</f>
        <v/>
      </c>
      <c r="K74" s="806" t="str">
        <f t="shared" si="727"/>
        <v/>
      </c>
      <c r="L74" s="309"/>
      <c r="M74" s="164" t="str">
        <f t="shared" si="643"/>
        <v/>
      </c>
      <c r="N74" s="575" t="str">
        <f t="shared" si="644"/>
        <v/>
      </c>
      <c r="O74" s="572" t="str">
        <f t="shared" si="645"/>
        <v/>
      </c>
      <c r="P74" s="576" t="str">
        <f t="shared" si="646"/>
        <v/>
      </c>
      <c r="Q74" s="528" t="str">
        <f t="shared" ref="Q74:Q129" si="729">IF(M74="","",IF(DEGREES(ATAN2(N74,O74))&lt;0,DEGREES(ATAN2(N74,O74))+360,IF(DEGREES(ATAN2(N74,O74))&gt;360,DEGREES(ATAN2(N74,O74))-360,DEGREES(ATAN2(N74,O74)))))</f>
        <v/>
      </c>
      <c r="R74" s="572" t="str">
        <f>IF(M74="","",SQRT(N74^2+O74^2))</f>
        <v/>
      </c>
      <c r="S74" s="577" t="str">
        <f>IF(M74="","",P74)</f>
        <v/>
      </c>
      <c r="T74" s="578" t="str">
        <f>IF(M74="","",X74*COS(RADIANS(W74)))</f>
        <v/>
      </c>
      <c r="U74" s="572" t="str">
        <f>IF(M74="","",X74*SIN(RADIANS(W74)))</f>
        <v/>
      </c>
      <c r="V74" s="579" t="str">
        <f>IF(M74="","",Y74)</f>
        <v/>
      </c>
      <c r="W74" s="528" t="str">
        <f t="shared" si="268"/>
        <v/>
      </c>
      <c r="X74" s="572" t="str">
        <f>IF(M74="","",R74)</f>
        <v/>
      </c>
      <c r="Y74" s="573" t="str">
        <f t="shared" si="271"/>
        <v/>
      </c>
      <c r="Z74" s="575" t="str">
        <f t="shared" si="647"/>
        <v/>
      </c>
      <c r="AA74" s="572" t="str">
        <f t="shared" si="648"/>
        <v/>
      </c>
      <c r="AB74" s="572" t="str">
        <f t="shared" si="649"/>
        <v/>
      </c>
      <c r="AC74" s="579" t="str">
        <f>IF(M74="","",SQRT(Z74^2+AA74^2+AB74^2))</f>
        <v/>
      </c>
      <c r="AD74" s="580" t="str">
        <f>IF(M74="","",Z74*(1/SQRT(Z74^2+AA74^2+AB74^2)))</f>
        <v/>
      </c>
      <c r="AE74" s="572" t="str">
        <f>IF(M74="","",AA74*(1/SQRT(Z74^2+AA74^2+AB74^2)))</f>
        <v/>
      </c>
      <c r="AF74" s="576" t="str">
        <f>IF(M74="","",AB74*(1/SQRT(Z74^2+AA74^2+AB74^2)))</f>
        <v/>
      </c>
      <c r="AG74" s="545" t="str">
        <f>IF(M74="","",DEGREES(ATAN2(-AF74,AE74)))</f>
        <v/>
      </c>
      <c r="AH74" s="546" t="str">
        <f>IF(M74="","",DEGREES(ACOS(AD74)))</f>
        <v/>
      </c>
      <c r="AI74" s="528" t="str">
        <f>IF(M74="","",DEGREES(-ACOS(-AF74)))</f>
        <v/>
      </c>
      <c r="AJ74" s="529" t="str">
        <f>IF(M74="","",DEGREES(ATAN2(-AE74,AD74)))</f>
        <v/>
      </c>
      <c r="AK74" s="578" t="str">
        <f>IF(M74="","",(COS(RADIANS((90-$Q$8)-W74))*AD74)+(-SIN(RADIANS((90-$Q$8)-W74))*AE74))</f>
        <v/>
      </c>
      <c r="AL74" s="572" t="str">
        <f>IF(M74="","",(SIN(RADIANS((90-$Q$8)-W74))*AD74)+(COS(RADIANS((90-$Q$8)-W74))*AE74))</f>
        <v/>
      </c>
      <c r="AM74" s="577" t="str">
        <f>IF(M74="","",AF74)</f>
        <v/>
      </c>
      <c r="AN74" s="524" t="str">
        <f>IF(M74="","",DEGREES(ATAN2(-AM74,AL74)))</f>
        <v/>
      </c>
      <c r="AO74" s="525" t="str">
        <f t="shared" si="604"/>
        <v/>
      </c>
      <c r="AP74" s="528" t="str">
        <f>IF(M74="","",DEGREES(ATAN2(AK74,AL74)))</f>
        <v/>
      </c>
      <c r="AQ74" s="529" t="str">
        <f t="shared" si="650"/>
        <v/>
      </c>
      <c r="AR74" s="979"/>
      <c r="AS74" s="954" t="str">
        <f t="shared" si="524"/>
        <v/>
      </c>
      <c r="AT74" s="950" t="str">
        <f t="shared" si="651"/>
        <v/>
      </c>
      <c r="AU74" s="418"/>
      <c r="AV74" s="164" t="str">
        <f t="shared" si="652"/>
        <v/>
      </c>
      <c r="AW74" s="797" t="str">
        <f>IFERROR(INDEX(MassProp!C$9:C$150,MATCH($M74,MassProp!$B$9:$B$150,0)),"")</f>
        <v/>
      </c>
      <c r="AX74" s="744" t="str">
        <f>IFERROR(INDEX(MassProp!D$9:D$150,MATCH($M74,MassProp!$B$9:$B$150,0)),"")</f>
        <v/>
      </c>
      <c r="AY74" s="731" t="str">
        <f>IFERROR(INDEX(MassProp!E$9:E$150,MATCH($M74,MassProp!$B$9:$B$150,0)),"")</f>
        <v/>
      </c>
      <c r="AZ74" s="297" t="str">
        <f t="shared" si="148"/>
        <v/>
      </c>
      <c r="BA74" s="296" t="str">
        <f t="shared" si="653"/>
        <v/>
      </c>
      <c r="BB74" s="177" t="str">
        <f t="shared" ref="BB74:BB150" si="730">IF(ISNUMBER($AV74),$AX74-($AT74+$AS$5),"")</f>
        <v/>
      </c>
      <c r="BC74" s="9"/>
      <c r="BD74" s="5" t="str">
        <f t="shared" ref="BD74:BD129" si="731">IF(ISNUMBER(AV74),AW74,"")</f>
        <v/>
      </c>
      <c r="BE74" s="6" t="str">
        <f t="shared" si="654"/>
        <v/>
      </c>
      <c r="BF74" s="4" t="str">
        <f t="shared" si="655"/>
        <v/>
      </c>
      <c r="BG74" s="5" t="str">
        <f t="shared" si="656"/>
        <v/>
      </c>
      <c r="BH74" s="10" t="str">
        <f t="shared" si="657"/>
        <v/>
      </c>
      <c r="BI74" s="9" t="str">
        <f t="shared" si="151"/>
        <v/>
      </c>
      <c r="BJ74" s="5" t="str">
        <f t="shared" si="658"/>
        <v/>
      </c>
      <c r="BK74" s="8" t="str">
        <f t="shared" si="659"/>
        <v/>
      </c>
      <c r="BL74" s="173" t="str">
        <f t="shared" si="660"/>
        <v/>
      </c>
      <c r="BM74" s="5" t="str">
        <f t="shared" si="661"/>
        <v/>
      </c>
      <c r="BN74" s="6" t="str">
        <f t="shared" si="662"/>
        <v/>
      </c>
      <c r="BO74" s="4" t="str">
        <f t="shared" si="152"/>
        <v/>
      </c>
      <c r="BP74" s="5" t="str">
        <f t="shared" si="153"/>
        <v/>
      </c>
      <c r="BQ74" s="5" t="str">
        <f t="shared" si="154"/>
        <v/>
      </c>
      <c r="BR74" s="6" t="str">
        <f t="shared" si="155"/>
        <v/>
      </c>
      <c r="BS74" s="4" t="str">
        <f t="shared" ref="BS74:BT105" si="732">IF(ISNUMBER($AV74),0,"")</f>
        <v/>
      </c>
      <c r="BT74" s="5" t="str">
        <f t="shared" si="732"/>
        <v/>
      </c>
      <c r="BU74" s="10" t="str">
        <f t="shared" ref="BU74:BU150" si="733">IF(ISNUMBER($AV74),$BE74,"")</f>
        <v/>
      </c>
      <c r="BV74" s="9" t="str">
        <f t="shared" ref="BV74:BV150" si="734">IF(ISNUMBER($AV74),0,"")</f>
        <v/>
      </c>
      <c r="BW74" s="5" t="str">
        <f t="shared" ref="BW74:BW150" si="735">IF(ISNUMBER($AV74),1,"")</f>
        <v/>
      </c>
      <c r="BX74" s="8" t="str">
        <f t="shared" ref="BX74:BX150" si="736">IF(ISNUMBER($AV74),$BE74,"")</f>
        <v/>
      </c>
      <c r="BY74" s="173" t="str">
        <f t="shared" ref="BY74:BY150" si="737">IF(ISNUMBER($AV74),1,"")</f>
        <v/>
      </c>
      <c r="BZ74" s="5" t="str">
        <f t="shared" ref="BZ74:BZ150" si="738">IF(ISNUMBER($AV74),0,"")</f>
        <v/>
      </c>
      <c r="CA74" s="6" t="str">
        <f t="shared" ref="CA74:CA150" si="739">IF(ISNUMBER($AV74),$BE74,"")</f>
        <v/>
      </c>
      <c r="CB74" s="4" t="str">
        <f t="shared" si="156"/>
        <v/>
      </c>
      <c r="CC74" s="5" t="str">
        <f t="shared" si="157"/>
        <v/>
      </c>
      <c r="CD74" s="5" t="str">
        <f t="shared" si="158"/>
        <v/>
      </c>
      <c r="CE74" s="6" t="str">
        <f t="shared" si="159"/>
        <v/>
      </c>
      <c r="CF74" s="4" t="str">
        <f t="shared" si="160"/>
        <v/>
      </c>
      <c r="CG74" s="5" t="str">
        <f t="shared" si="161"/>
        <v/>
      </c>
      <c r="CH74" s="5" t="str">
        <f t="shared" si="162"/>
        <v/>
      </c>
      <c r="CI74" s="4" t="str">
        <f t="shared" ref="CI74:CI150" si="740">IF(ISNUMBER($AV74),0,"")</f>
        <v/>
      </c>
      <c r="CJ74" s="5" t="str">
        <f t="shared" ref="CJ74:CJ129" si="741">IF(ISNUMBER($AV74),(CD74*BR74-BQ74*CE74)/(BQ74*CC74-CD74*BP74),"")</f>
        <v/>
      </c>
      <c r="CK74" s="8" t="str">
        <f t="shared" ref="CK74:CK129" si="742">IF(ISNUMBER($AV74),(CC74*BR74-BP74*CE74)/(-CC74*BQ74+BP74*CD74),"")</f>
        <v/>
      </c>
      <c r="CL74" s="173" t="str">
        <f t="shared" ref="CL74:CL129" si="743">IF(ISNUMBER($AV74),CI74+CF74,"")</f>
        <v/>
      </c>
      <c r="CM74" s="5" t="str">
        <f t="shared" ref="CM74:CM129" si="744">IF(ISNUMBER($AV74),CJ74+CG74,"")</f>
        <v/>
      </c>
      <c r="CN74" s="6" t="str">
        <f t="shared" ref="CN74:CN129" si="745">IF(ISNUMBER($AV74),CK74+CH74,"")</f>
        <v/>
      </c>
      <c r="CO74" s="167" t="str">
        <f t="shared" si="663"/>
        <v/>
      </c>
      <c r="CP74" s="4" t="str">
        <f t="shared" si="248"/>
        <v/>
      </c>
      <c r="CQ74" s="5" t="str">
        <f t="shared" si="249"/>
        <v/>
      </c>
      <c r="CR74" s="5" t="str">
        <f t="shared" si="163"/>
        <v/>
      </c>
      <c r="CS74" s="8" t="str">
        <f t="shared" si="164"/>
        <v/>
      </c>
      <c r="CT74" s="9" t="str">
        <f t="shared" si="165"/>
        <v/>
      </c>
      <c r="CU74" s="6" t="str">
        <f t="shared" si="166"/>
        <v/>
      </c>
      <c r="CV74" s="4" t="str">
        <f t="shared" si="250"/>
        <v/>
      </c>
      <c r="CW74" s="5" t="str">
        <f t="shared" si="167"/>
        <v/>
      </c>
      <c r="CX74" s="8" t="str">
        <f t="shared" si="168"/>
        <v/>
      </c>
      <c r="CY74" s="9" t="str">
        <f t="shared" si="169"/>
        <v/>
      </c>
      <c r="CZ74" s="5" t="str">
        <f t="shared" si="170"/>
        <v/>
      </c>
      <c r="DA74" s="6" t="str">
        <f t="shared" si="171"/>
        <v/>
      </c>
      <c r="DB74" s="4" t="str">
        <f t="shared" si="569"/>
        <v/>
      </c>
      <c r="DC74" s="5" t="str">
        <f t="shared" si="569"/>
        <v/>
      </c>
      <c r="DD74" s="10" t="str">
        <f t="shared" si="173"/>
        <v/>
      </c>
      <c r="DE74" s="9" t="str">
        <f t="shared" si="570"/>
        <v/>
      </c>
      <c r="DF74" s="5" t="str">
        <f t="shared" si="570"/>
        <v/>
      </c>
      <c r="DG74" s="10" t="str">
        <f t="shared" si="175"/>
        <v/>
      </c>
      <c r="DH74" s="70" t="str">
        <f t="shared" si="176"/>
        <v/>
      </c>
      <c r="DI74" s="4" t="str">
        <f t="shared" si="177"/>
        <v/>
      </c>
      <c r="DJ74" s="5" t="str">
        <f t="shared" si="178"/>
        <v/>
      </c>
      <c r="DK74" s="10" t="str">
        <f t="shared" si="179"/>
        <v/>
      </c>
      <c r="DL74" s="9" t="str">
        <f t="shared" si="180"/>
        <v/>
      </c>
      <c r="DM74" s="173" t="str">
        <f t="shared" si="181"/>
        <v/>
      </c>
      <c r="DN74" s="178" t="str">
        <f t="shared" si="182"/>
        <v/>
      </c>
      <c r="DO74" s="9" t="str">
        <f t="shared" si="183"/>
        <v/>
      </c>
      <c r="DP74" s="173" t="str">
        <f t="shared" si="184"/>
        <v/>
      </c>
      <c r="DQ74" s="11" t="str">
        <f t="shared" si="185"/>
        <v/>
      </c>
      <c r="DR74" s="173" t="str">
        <f t="shared" si="186"/>
        <v/>
      </c>
      <c r="DS74" s="5" t="str">
        <f t="shared" si="187"/>
        <v/>
      </c>
      <c r="DT74" s="5" t="str">
        <f t="shared" si="188"/>
        <v/>
      </c>
      <c r="DU74" s="5" t="str">
        <f t="shared" si="189"/>
        <v/>
      </c>
      <c r="DV74" s="5" t="str">
        <f t="shared" si="190"/>
        <v/>
      </c>
      <c r="DW74" s="5" t="str">
        <f t="shared" si="191"/>
        <v/>
      </c>
      <c r="DX74" s="167" t="str">
        <f t="shared" si="192"/>
        <v/>
      </c>
      <c r="DY74" s="9" t="str">
        <f t="shared" si="193"/>
        <v/>
      </c>
      <c r="DZ74" s="5" t="str">
        <f t="shared" si="194"/>
        <v/>
      </c>
      <c r="EA74" s="10" t="str">
        <f t="shared" si="195"/>
        <v/>
      </c>
      <c r="EB74" s="6" t="str">
        <f t="shared" si="196"/>
        <v/>
      </c>
      <c r="EC74" s="173" t="str">
        <f t="shared" si="197"/>
        <v/>
      </c>
      <c r="ED74" s="5" t="str">
        <f t="shared" si="198"/>
        <v/>
      </c>
      <c r="EE74" s="4" t="str">
        <f t="shared" si="199"/>
        <v/>
      </c>
      <c r="EF74" s="5" t="str">
        <f t="shared" si="200"/>
        <v/>
      </c>
      <c r="EG74" s="10" t="str">
        <f t="shared" si="201"/>
        <v/>
      </c>
      <c r="EH74" s="9" t="str">
        <f t="shared" si="202"/>
        <v/>
      </c>
      <c r="EI74" s="5" t="str">
        <f t="shared" si="203"/>
        <v/>
      </c>
      <c r="EJ74" s="6" t="str">
        <f t="shared" si="204"/>
        <v/>
      </c>
      <c r="EK74" s="236" t="str">
        <f t="shared" si="205"/>
        <v/>
      </c>
      <c r="EL74" s="238" t="str">
        <f t="shared" si="206"/>
        <v/>
      </c>
      <c r="EM74" s="4" t="str">
        <f t="shared" si="207"/>
        <v/>
      </c>
      <c r="EN74" s="5" t="str">
        <f t="shared" si="208"/>
        <v/>
      </c>
      <c r="EO74" s="10" t="str">
        <f t="shared" si="209"/>
        <v/>
      </c>
      <c r="EP74" s="9" t="str">
        <f t="shared" si="210"/>
        <v/>
      </c>
      <c r="EQ74" s="5" t="str">
        <f t="shared" si="211"/>
        <v/>
      </c>
      <c r="ER74" s="7" t="str">
        <f t="shared" si="212"/>
        <v/>
      </c>
      <c r="ES74" s="21" t="str">
        <f t="shared" si="664"/>
        <v/>
      </c>
      <c r="ET74" s="5" t="str">
        <f t="shared" si="665"/>
        <v/>
      </c>
      <c r="EU74" s="10" t="str">
        <f t="shared" si="666"/>
        <v/>
      </c>
      <c r="EV74" s="174" t="str">
        <f t="shared" si="667"/>
        <v/>
      </c>
      <c r="EW74" s="9" t="str">
        <f t="shared" si="668"/>
        <v/>
      </c>
      <c r="EX74" s="5" t="str">
        <f t="shared" si="669"/>
        <v/>
      </c>
      <c r="EY74" s="6" t="str">
        <f t="shared" si="213"/>
        <v/>
      </c>
      <c r="EZ74" s="51" t="str">
        <f t="shared" si="214"/>
        <v/>
      </c>
      <c r="FA74" s="173" t="str">
        <f t="shared" si="670"/>
        <v/>
      </c>
      <c r="FB74" s="5" t="str">
        <f t="shared" si="671"/>
        <v/>
      </c>
      <c r="FC74" s="6" t="str">
        <f t="shared" si="672"/>
        <v/>
      </c>
      <c r="FD74" s="4" t="str">
        <f t="shared" si="673"/>
        <v/>
      </c>
      <c r="FE74" s="5" t="str">
        <f t="shared" si="674"/>
        <v/>
      </c>
      <c r="FF74" s="7" t="str">
        <f t="shared" si="215"/>
        <v/>
      </c>
      <c r="FG74" s="173" t="str">
        <f t="shared" si="675"/>
        <v/>
      </c>
      <c r="FH74" s="5" t="str">
        <f t="shared" si="676"/>
        <v/>
      </c>
      <c r="FI74" s="10" t="str">
        <f t="shared" si="677"/>
        <v/>
      </c>
      <c r="FJ74" s="279" t="str">
        <f t="shared" si="217"/>
        <v/>
      </c>
      <c r="FK74" s="4" t="str">
        <f t="shared" si="678"/>
        <v/>
      </c>
      <c r="FL74" s="5" t="str">
        <f t="shared" ref="FL74:FL129" si="746">IF(ISNUMBER($AV74),SQRT(FA74^2+FB74^2),"")</f>
        <v/>
      </c>
      <c r="FM74" s="8" t="str">
        <f t="shared" ref="FM74:FM129" si="747">IF(ISNUMBER($AV74),SQRT(FG74^2+FH74^2),"")</f>
        <v/>
      </c>
      <c r="FN74" s="9" t="str">
        <f t="shared" ref="FN74:FN129" si="748">IF(ISNUMBER($AV74),DEGREES(ACOS((FK74^2+FL74^2-FM74^2)/(2*FK74*FL74))),"")</f>
        <v/>
      </c>
      <c r="FO74" s="10" t="str">
        <f t="shared" si="679"/>
        <v/>
      </c>
      <c r="FP74" s="277" t="str">
        <f t="shared" ref="FP74:FP129" si="749">IF(ISNUMBER($AV74),FN74*FO74,"")</f>
        <v/>
      </c>
      <c r="FQ74" s="173" t="str">
        <f t="shared" si="251"/>
        <v/>
      </c>
      <c r="FR74" s="10" t="str">
        <f t="shared" si="221"/>
        <v/>
      </c>
      <c r="FS74" s="9" t="str">
        <f t="shared" si="222"/>
        <v/>
      </c>
      <c r="FT74" s="6" t="str">
        <f t="shared" si="223"/>
        <v/>
      </c>
      <c r="FU74" s="4" t="str">
        <f t="shared" si="224"/>
        <v/>
      </c>
      <c r="FV74" s="5" t="str">
        <f t="shared" si="225"/>
        <v/>
      </c>
      <c r="FW74" s="8" t="str">
        <f t="shared" si="252"/>
        <v/>
      </c>
      <c r="FX74" s="9" t="str">
        <f t="shared" si="253"/>
        <v/>
      </c>
      <c r="FY74" s="10" t="str">
        <f t="shared" si="680"/>
        <v/>
      </c>
      <c r="FZ74" s="277" t="str">
        <f t="shared" si="254"/>
        <v/>
      </c>
      <c r="GA74" s="177" t="str">
        <f t="shared" si="226"/>
        <v/>
      </c>
      <c r="GB74" s="4" t="str">
        <f t="shared" si="227"/>
        <v/>
      </c>
      <c r="GC74" s="5" t="str">
        <f t="shared" si="228"/>
        <v/>
      </c>
      <c r="GD74" s="10" t="str">
        <f t="shared" si="229"/>
        <v/>
      </c>
      <c r="GE74" s="311" t="str">
        <f t="shared" si="230"/>
        <v/>
      </c>
      <c r="GF74" s="341" t="str">
        <f t="shared" si="255"/>
        <v/>
      </c>
      <c r="GG74" s="285" t="str">
        <f t="shared" si="681"/>
        <v/>
      </c>
      <c r="GH74" s="286" t="str">
        <f t="shared" si="682"/>
        <v/>
      </c>
      <c r="GI74" s="281" t="str">
        <f t="shared" si="683"/>
        <v/>
      </c>
      <c r="GJ74" s="167" t="str">
        <f t="shared" si="231"/>
        <v/>
      </c>
      <c r="GK74" s="174" t="str">
        <f t="shared" si="684"/>
        <v/>
      </c>
      <c r="GL74" s="174" t="str">
        <f t="shared" si="232"/>
        <v/>
      </c>
      <c r="GM74" s="177" t="str">
        <f t="shared" si="256"/>
        <v/>
      </c>
      <c r="GN74" s="280" t="str">
        <f t="shared" si="233"/>
        <v/>
      </c>
      <c r="GO74" s="4" t="str">
        <f t="shared" si="234"/>
        <v/>
      </c>
      <c r="GP74" s="8" t="str">
        <f t="shared" si="257"/>
        <v/>
      </c>
      <c r="GQ74" s="177" t="str">
        <f t="shared" si="235"/>
        <v/>
      </c>
      <c r="GR74" s="371" t="str">
        <f t="shared" si="258"/>
        <v/>
      </c>
      <c r="GS74" s="342" t="str">
        <f t="shared" si="685"/>
        <v/>
      </c>
      <c r="GT74" s="343" t="str">
        <f t="shared" si="686"/>
        <v/>
      </c>
      <c r="GU74" s="344" t="str">
        <f t="shared" si="687"/>
        <v/>
      </c>
      <c r="GV74" s="343" t="str">
        <f t="shared" si="265"/>
        <v/>
      </c>
      <c r="GW74" s="345" t="str">
        <f t="shared" si="688"/>
        <v/>
      </c>
      <c r="GX74" s="346" t="str">
        <f t="shared" si="689"/>
        <v/>
      </c>
      <c r="GY74" s="344" t="str">
        <f t="shared" si="690"/>
        <v/>
      </c>
      <c r="GZ74" s="345" t="str">
        <f t="shared" si="691"/>
        <v/>
      </c>
      <c r="HA74" s="342" t="str">
        <f t="shared" si="692"/>
        <v/>
      </c>
      <c r="HB74" s="5" t="str">
        <f t="shared" si="236"/>
        <v/>
      </c>
      <c r="HC74" s="343" t="str">
        <f t="shared" si="237"/>
        <v/>
      </c>
      <c r="HD74" s="363" t="str">
        <f t="shared" si="238"/>
        <v/>
      </c>
      <c r="HE74" s="344" t="str">
        <f t="shared" si="693"/>
        <v/>
      </c>
      <c r="HF74" s="5" t="str">
        <f t="shared" si="694"/>
        <v/>
      </c>
      <c r="HG74" s="343" t="str">
        <f t="shared" si="239"/>
        <v/>
      </c>
      <c r="HH74" s="349" t="str">
        <f t="shared" si="240"/>
        <v/>
      </c>
      <c r="HI74" s="317" t="str">
        <f t="shared" si="695"/>
        <v/>
      </c>
      <c r="HK74" s="310" t="str">
        <f t="shared" ref="HK74:HK105" si="750">IF(ISNUMBER(HS74),HK73+1,"")</f>
        <v/>
      </c>
      <c r="HL74" s="348" t="str">
        <f t="shared" si="696"/>
        <v/>
      </c>
      <c r="HM74" s="923" t="str">
        <f t="shared" si="697"/>
        <v/>
      </c>
      <c r="HN74" s="924" t="str">
        <f t="shared" si="698"/>
        <v/>
      </c>
      <c r="HO74" s="925"/>
      <c r="HP74" s="926"/>
      <c r="HQ74" s="924" t="str">
        <f t="shared" si="699"/>
        <v/>
      </c>
      <c r="HR74" s="927" t="str">
        <f t="shared" si="700"/>
        <v/>
      </c>
      <c r="HS74" s="879" t="str">
        <f t="shared" ref="HS74:HS105" si="751">IFERROR(SMALL($GJ$9:$GJ$150,($HK73+1)),"")</f>
        <v/>
      </c>
      <c r="HT74" s="889" t="str">
        <f t="shared" si="701"/>
        <v/>
      </c>
      <c r="HU74" s="890" t="str">
        <f t="shared" si="702"/>
        <v/>
      </c>
      <c r="HV74" s="886" t="str">
        <f t="shared" si="703"/>
        <v/>
      </c>
      <c r="HW74" s="880" t="str">
        <f t="shared" si="704"/>
        <v/>
      </c>
      <c r="HX74" s="881" t="str">
        <f t="shared" si="705"/>
        <v/>
      </c>
      <c r="HY74" s="880" t="str">
        <f t="shared" si="706"/>
        <v/>
      </c>
      <c r="HZ74" s="882" t="str">
        <f t="shared" si="707"/>
        <v/>
      </c>
      <c r="IA74" s="883" t="str">
        <f t="shared" si="708"/>
        <v/>
      </c>
      <c r="IB74" s="884" t="str">
        <f t="shared" si="709"/>
        <v/>
      </c>
      <c r="IC74" s="855" t="str">
        <f t="shared" si="710"/>
        <v/>
      </c>
      <c r="ID74" s="351" t="str">
        <f t="shared" si="711"/>
        <v/>
      </c>
      <c r="IE74" s="857" t="str">
        <f t="shared" si="712"/>
        <v/>
      </c>
      <c r="IF74" s="858"/>
      <c r="IG74" s="790" t="str">
        <f>IFERROR(IF($IW74="","",IF($IW74&lt;(((Settings!$C$19/2)*-1)*$IG$8),"Taper","Nose")),"")</f>
        <v/>
      </c>
      <c r="IH74" s="482" t="str">
        <f>IFERROR(IF((((($IY74*COS(RADIANS(180-$JA74)))*COS(RADIANS($JA74)))-(($IZ74*SIN(RADIANS(180-$JA74)))*SIN(RADIANS($JA74))))+$IW74)&lt;(((Settings!$C$19+$IH$8)/2)*-1),"Gage",""),"")</f>
        <v/>
      </c>
      <c r="II74" s="788" t="str">
        <f t="shared" si="241"/>
        <v/>
      </c>
      <c r="IJ74" s="674" t="str" cm="1">
        <f t="array" ref="IJ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K74" s="677" t="str" cm="1">
        <f t="array" ref="IK74">IFERROR(ROUND(VALUE(IF($IJ74&lt;1,$IJ74+LARGE((IF($M$9:$M$150="",0,$M$9:$M$150)-MOD(IF($M$9:$M$150="",0,$M$9:$M$150),1)),1),$IJ74)),4),"")</f>
        <v/>
      </c>
      <c r="IL74" s="482" t="str">
        <f t="shared" si="713"/>
        <v/>
      </c>
      <c r="IM74" s="482" t="str">
        <f t="shared" si="242"/>
        <v/>
      </c>
      <c r="IN74" s="670" t="str">
        <f t="shared" si="714"/>
        <v/>
      </c>
      <c r="IO74" s="702"/>
      <c r="IP74" s="5" t="str">
        <f t="shared" si="715"/>
        <v/>
      </c>
      <c r="IQ74" s="714"/>
      <c r="IR74" s="9" t="str">
        <f t="shared" si="716"/>
        <v/>
      </c>
      <c r="IS74" s="5" t="str">
        <f t="shared" si="717"/>
        <v/>
      </c>
      <c r="IT74" s="5" t="str">
        <f t="shared" si="718"/>
        <v/>
      </c>
      <c r="IU74" s="5" t="str">
        <f t="shared" si="719"/>
        <v/>
      </c>
      <c r="IV74" s="670" t="str">
        <f t="shared" si="720"/>
        <v/>
      </c>
      <c r="IW74" s="9" t="str">
        <f t="shared" si="721"/>
        <v/>
      </c>
      <c r="IX74" s="5" t="str">
        <f t="shared" si="722"/>
        <v/>
      </c>
      <c r="IY74" s="5" t="str">
        <f t="shared" si="723"/>
        <v/>
      </c>
      <c r="IZ74" s="5" t="str">
        <f t="shared" si="724"/>
        <v/>
      </c>
      <c r="JA74" s="705" t="str">
        <f t="shared" si="725"/>
        <v/>
      </c>
      <c r="JM74" s="489" t="e">
        <f t="shared" ref="JM74:JM88" si="752">VALUE(RIGHT((M74*1000),2))</f>
        <v>#VALUE!</v>
      </c>
      <c r="JN74" s="960" t="e">
        <f>($JO74-SMALL($JO$9:$JO$88,1))/((Settings!$C$19/2)-((Settings!$C$19/2)-LARGE($JO$9:$JO$88,1))-SMALL($JO$9:$JO$88,1))</f>
        <v>#VALUE!</v>
      </c>
      <c r="JO74" s="162" t="str">
        <f t="shared" si="635"/>
        <v/>
      </c>
      <c r="JP74" s="961" t="str">
        <f t="shared" si="636"/>
        <v/>
      </c>
      <c r="JQ74" s="961" t="str">
        <f t="shared" si="637"/>
        <v/>
      </c>
      <c r="JU74" s="962"/>
      <c r="JV74" s="959"/>
      <c r="JW74" s="959"/>
    </row>
    <row r="75" spans="1:283" ht="15" customHeight="1" x14ac:dyDescent="0.25">
      <c r="A75" s="75" t="str">
        <f t="shared" si="640"/>
        <v/>
      </c>
      <c r="B75" s="578" t="str">
        <f t="shared" ref="B75:D75" si="753">IFERROR(O230+($A75*-E75),"")</f>
        <v/>
      </c>
      <c r="C75" s="572" t="str">
        <f t="shared" si="753"/>
        <v/>
      </c>
      <c r="D75" s="576" t="str">
        <f t="shared" si="753"/>
        <v/>
      </c>
      <c r="E75" s="580" t="str">
        <f t="shared" ref="E75:K75" si="754">R230</f>
        <v/>
      </c>
      <c r="F75" s="572" t="str">
        <f t="shared" si="754"/>
        <v/>
      </c>
      <c r="G75" s="579" t="str">
        <f t="shared" si="754"/>
        <v/>
      </c>
      <c r="H75" s="580" t="str">
        <f t="shared" si="754"/>
        <v/>
      </c>
      <c r="I75" s="572" t="str">
        <f t="shared" si="754"/>
        <v/>
      </c>
      <c r="J75" s="483" t="str">
        <f t="shared" si="728"/>
        <v/>
      </c>
      <c r="K75" s="806" t="str">
        <f t="shared" si="754"/>
        <v/>
      </c>
      <c r="L75" s="309"/>
      <c r="M75" s="164" t="str">
        <f t="shared" si="643"/>
        <v/>
      </c>
      <c r="N75" s="575" t="str">
        <f t="shared" si="644"/>
        <v/>
      </c>
      <c r="O75" s="572" t="str">
        <f t="shared" si="645"/>
        <v/>
      </c>
      <c r="P75" s="576" t="str">
        <f t="shared" si="646"/>
        <v/>
      </c>
      <c r="Q75" s="528" t="str">
        <f t="shared" si="729"/>
        <v/>
      </c>
      <c r="R75" s="572" t="str">
        <f>IF(M75="","",SQRT(N75^2+O75^2))</f>
        <v/>
      </c>
      <c r="S75" s="577" t="str">
        <f>IF(M75="","",P75)</f>
        <v/>
      </c>
      <c r="T75" s="578" t="str">
        <f>IF(M75="","",X75*COS(RADIANS(W75)))</f>
        <v/>
      </c>
      <c r="U75" s="572" t="str">
        <f>IF(M75="","",X75*SIN(RADIANS(W75)))</f>
        <v/>
      </c>
      <c r="V75" s="579" t="str">
        <f>IF(M75="","",Y75)</f>
        <v/>
      </c>
      <c r="W75" s="528" t="str">
        <f t="shared" si="268"/>
        <v/>
      </c>
      <c r="X75" s="572" t="str">
        <f>IF(M75="","",R75)</f>
        <v/>
      </c>
      <c r="Y75" s="573" t="str">
        <f t="shared" si="271"/>
        <v/>
      </c>
      <c r="Z75" s="575" t="str">
        <f t="shared" si="647"/>
        <v/>
      </c>
      <c r="AA75" s="572" t="str">
        <f t="shared" si="648"/>
        <v/>
      </c>
      <c r="AB75" s="572" t="str">
        <f t="shared" si="649"/>
        <v/>
      </c>
      <c r="AC75" s="579" t="str">
        <f>IF(M75="","",SQRT(Z75^2+AA75^2+AB75^2))</f>
        <v/>
      </c>
      <c r="AD75" s="580" t="str">
        <f>IF(M75="","",Z75*(1/SQRT(Z75^2+AA75^2+AB75^2)))</f>
        <v/>
      </c>
      <c r="AE75" s="572" t="str">
        <f>IF(M75="","",AA75*(1/SQRT(Z75^2+AA75^2+AB75^2)))</f>
        <v/>
      </c>
      <c r="AF75" s="576" t="str">
        <f>IF(M75="","",AB75*(1/SQRT(Z75^2+AA75^2+AB75^2)))</f>
        <v/>
      </c>
      <c r="AG75" s="545" t="str">
        <f>IF(M75="","",DEGREES(ATAN2(-AF75,AE75)))</f>
        <v/>
      </c>
      <c r="AH75" s="546" t="str">
        <f>IF(M75="","",DEGREES(ACOS(AD75)))</f>
        <v/>
      </c>
      <c r="AI75" s="528" t="str">
        <f>IF(M75="","",DEGREES(-ACOS(-AF75)))</f>
        <v/>
      </c>
      <c r="AJ75" s="529" t="str">
        <f>IF(M75="","",DEGREES(ATAN2(-AE75,AD75)))</f>
        <v/>
      </c>
      <c r="AK75" s="578" t="str">
        <f>IF(M75="","",(COS(RADIANS((90-$Q$8)-W75))*AD75)+(-SIN(RADIANS((90-$Q$8)-W75))*AE75))</f>
        <v/>
      </c>
      <c r="AL75" s="572" t="str">
        <f>IF(M75="","",(SIN(RADIANS((90-$Q$8)-W75))*AD75)+(COS(RADIANS((90-$Q$8)-W75))*AE75))</f>
        <v/>
      </c>
      <c r="AM75" s="577" t="str">
        <f>IF(M75="","",AF75)</f>
        <v/>
      </c>
      <c r="AN75" s="524" t="str">
        <f>IF(M75="","",DEGREES(ATAN2(-AM75,AL75)))</f>
        <v/>
      </c>
      <c r="AO75" s="525" t="str">
        <f t="shared" si="604"/>
        <v/>
      </c>
      <c r="AP75" s="528" t="str">
        <f>IF(M75="","",DEGREES(ATAN2(AK75,AL75)))</f>
        <v/>
      </c>
      <c r="AQ75" s="529" t="str">
        <f t="shared" si="650"/>
        <v/>
      </c>
      <c r="AR75" s="979"/>
      <c r="AS75" s="954" t="str">
        <f t="shared" ref="AS75:AS106" si="755">IF(G75="","",IF(AND(W75&lt;(AS74+180),W75&gt;(AS74-180)),W75,IF(W75&gt;(AS74+180),W75-360,IF(W75&lt;(AS74-180),W75+360,"Error"))))</f>
        <v/>
      </c>
      <c r="AT75" s="950" t="str">
        <f t="shared" si="651"/>
        <v/>
      </c>
      <c r="AU75" s="418"/>
      <c r="AV75" s="164" t="str">
        <f t="shared" si="652"/>
        <v/>
      </c>
      <c r="AW75" s="797" t="str">
        <f>IFERROR(INDEX(MassProp!C$9:C$150,MATCH($M75,MassProp!$B$9:$B$150,0)),"")</f>
        <v/>
      </c>
      <c r="AX75" s="744" t="str">
        <f>IFERROR(INDEX(MassProp!D$9:D$150,MATCH($M75,MassProp!$B$9:$B$150,0)),"")</f>
        <v/>
      </c>
      <c r="AY75" s="731" t="str">
        <f>IFERROR(INDEX(MassProp!E$9:E$150,MATCH($M75,MassProp!$B$9:$B$150,0)),"")</f>
        <v/>
      </c>
      <c r="AZ75" s="297" t="str">
        <f t="shared" ref="AZ75:AZ129" si="756">IF(ISNUMBER(AV75),$AY75*SQRT((2*PI()*$AW75)^2+$AS$5^2),"")</f>
        <v/>
      </c>
      <c r="BA75" s="296" t="str">
        <f t="shared" si="653"/>
        <v/>
      </c>
      <c r="BB75" s="177" t="str">
        <f t="shared" si="730"/>
        <v/>
      </c>
      <c r="BC75" s="9"/>
      <c r="BD75" s="5" t="str">
        <f t="shared" si="731"/>
        <v/>
      </c>
      <c r="BE75" s="6" t="str">
        <f t="shared" si="654"/>
        <v/>
      </c>
      <c r="BF75" s="4" t="str">
        <f t="shared" si="655"/>
        <v/>
      </c>
      <c r="BG75" s="5" t="str">
        <f t="shared" si="656"/>
        <v/>
      </c>
      <c r="BH75" s="10" t="str">
        <f t="shared" si="657"/>
        <v/>
      </c>
      <c r="BI75" s="9" t="str">
        <f t="shared" ref="BI75:BI129" si="757">IF(ISNUMBER($AV75),BF75+0,"")</f>
        <v/>
      </c>
      <c r="BJ75" s="5" t="str">
        <f t="shared" si="658"/>
        <v/>
      </c>
      <c r="BK75" s="8" t="str">
        <f t="shared" si="659"/>
        <v/>
      </c>
      <c r="BL75" s="173" t="str">
        <f t="shared" si="660"/>
        <v/>
      </c>
      <c r="BM75" s="5" t="str">
        <f t="shared" si="661"/>
        <v/>
      </c>
      <c r="BN75" s="6" t="str">
        <f t="shared" si="662"/>
        <v/>
      </c>
      <c r="BO75" s="4" t="str">
        <f t="shared" ref="BO75:BO129" si="758">IF(ISNUMBER($AV75),BJ75*BN75-BM75*BK75-BG75*(BN75-BK75)+BH75*(BM75-BJ75),"")</f>
        <v/>
      </c>
      <c r="BP75" s="5" t="str">
        <f t="shared" ref="BP75:BP129" si="759">IF(ISNUMBER($AV75),BF75*(BN75-BK75)-(BI75*BN75-BL75*BK75)+BH75*(BI75-BL75),"")</f>
        <v/>
      </c>
      <c r="BQ75" s="5" t="str">
        <f t="shared" ref="BQ75:BQ129" si="760">IF(ISNUMBER($AV75),BF75*(BJ75-BM75)-BG75*(BI75-BL75)+(BI75*BM75-BL75*BJ75),"")</f>
        <v/>
      </c>
      <c r="BR75" s="6" t="str">
        <f t="shared" ref="BR75:BR129" si="761">IF(ISNUMBER($AV75),-(BF75*(BJ75*BN75-BM75*BK75)-BG75*(BI75*BN75-BL75*BK75)+BH75*(BI75*BM75-BL75*BJ75)),"")</f>
        <v/>
      </c>
      <c r="BS75" s="4" t="str">
        <f t="shared" si="732"/>
        <v/>
      </c>
      <c r="BT75" s="5" t="str">
        <f t="shared" si="732"/>
        <v/>
      </c>
      <c r="BU75" s="10" t="str">
        <f t="shared" si="733"/>
        <v/>
      </c>
      <c r="BV75" s="9" t="str">
        <f t="shared" si="734"/>
        <v/>
      </c>
      <c r="BW75" s="5" t="str">
        <f t="shared" si="735"/>
        <v/>
      </c>
      <c r="BX75" s="8" t="str">
        <f t="shared" si="736"/>
        <v/>
      </c>
      <c r="BY75" s="173" t="str">
        <f t="shared" si="737"/>
        <v/>
      </c>
      <c r="BZ75" s="5" t="str">
        <f t="shared" si="738"/>
        <v/>
      </c>
      <c r="CA75" s="6" t="str">
        <f t="shared" si="739"/>
        <v/>
      </c>
      <c r="CB75" s="4" t="str">
        <f t="shared" ref="CB75:CB129" si="762">IF(ISNUMBER($AV75),BW75*CA75-BZ75*BX75-BT75*(CA75-BX75)+BU75*(BZ75-BW75),"")</f>
        <v/>
      </c>
      <c r="CC75" s="5" t="str">
        <f t="shared" ref="CC75:CC129" si="763">IF(ISNUMBER($AV75),BS75*(CA75-BX75)-(BV75*CA75-BY75*BX75)+BU75*(BV75-BY75),"")</f>
        <v/>
      </c>
      <c r="CD75" s="5" t="str">
        <f t="shared" ref="CD75:CD129" si="764">IF(ISNUMBER($AV75),BS75*(BW75-BZ75)-BT75*(BV75-BY75)+(BV75*BZ75-BY75*BW75),"")</f>
        <v/>
      </c>
      <c r="CE75" s="6" t="str">
        <f t="shared" ref="CE75:CE129" si="765">IF(ISNUMBER($AV75),-(BS75*(BW75*CA75-BZ75*BX75)-BT75*(BV75*CA75-BY75*BX75)+BU75*(BV75*BZ75-BY75*BW75)),"")</f>
        <v/>
      </c>
      <c r="CF75" s="4" t="str">
        <f t="shared" ref="CF75:CF129" si="766">IF(ISNUMBER($AV75),(BP75*CD75)-(BQ75*CC75),"")</f>
        <v/>
      </c>
      <c r="CG75" s="5" t="str">
        <f t="shared" ref="CG75:CG129" si="767">IF(ISNUMBER($AV75),(BQ75*CB75)-(BO75*CD75),"")</f>
        <v/>
      </c>
      <c r="CH75" s="5" t="str">
        <f t="shared" ref="CH75:CH129" si="768">IF(ISNUMBER($AV75),(BO75*CC75)-(BP75*CB75),"")</f>
        <v/>
      </c>
      <c r="CI75" s="4" t="str">
        <f t="shared" si="740"/>
        <v/>
      </c>
      <c r="CJ75" s="5" t="str">
        <f t="shared" si="741"/>
        <v/>
      </c>
      <c r="CK75" s="8" t="str">
        <f t="shared" si="742"/>
        <v/>
      </c>
      <c r="CL75" s="173" t="str">
        <f t="shared" si="743"/>
        <v/>
      </c>
      <c r="CM75" s="5" t="str">
        <f t="shared" si="744"/>
        <v/>
      </c>
      <c r="CN75" s="6" t="str">
        <f t="shared" si="745"/>
        <v/>
      </c>
      <c r="CO75" s="167" t="str">
        <f t="shared" si="663"/>
        <v/>
      </c>
      <c r="CP75" s="4" t="str">
        <f t="shared" ref="CP75:CP129" si="769">IF(ISNUMBER($AV75),(CL75-CI75)^2+(CM75-CJ75)^2+(CN75-CK75)^2,"")</f>
        <v/>
      </c>
      <c r="CQ75" s="5" t="str">
        <f t="shared" ref="CQ75:CQ129" si="770">IF(ISNUMBER($AV75),2*((CL75-CI75)*(CI75-BF75)+(CM75-CJ75)*(CJ75-BG75)+(CN75-CK75)*(CK75-BH75)),"")</f>
        <v/>
      </c>
      <c r="CR75" s="5" t="str">
        <f t="shared" ref="CR75:CR129" si="771">IF(ISNUMBER($AV75),BF75^2+BG75^2+BH75^2+CI75^2+CJ75^2+CK75^2-2*(BF75*CI75+BG75*CJ75+BH75*CK75)-CO75^2,"")</f>
        <v/>
      </c>
      <c r="CS75" s="8" t="str">
        <f t="shared" ref="CS75:CS129" si="772">IF(ISNUMBER($AV75),CQ75^2-(4*CP75*CR75),"")</f>
        <v/>
      </c>
      <c r="CT75" s="9" t="str">
        <f t="shared" ref="CT75:CT129" si="773">IF(ISNUMBER($AV75),(-CQ75+SQRT(CS75))/(CP75*2),"")</f>
        <v/>
      </c>
      <c r="CU75" s="6" t="str">
        <f t="shared" ref="CU75:CU129" si="774">IF(ISNUMBER($AV75),(-CQ75-SQRT(CS75))/(CP75*2),"")</f>
        <v/>
      </c>
      <c r="CV75" s="4" t="str">
        <f t="shared" ref="CV75:CV129" si="775">IF(ISNUMBER($AV75),CI75+($CT75*(CL75-CI75)),"")</f>
        <v/>
      </c>
      <c r="CW75" s="5" t="str">
        <f t="shared" ref="CW75:CW129" si="776">IF(ISNUMBER($AV75),CJ75+($CT75*(CM75-CJ75)),"")</f>
        <v/>
      </c>
      <c r="CX75" s="8" t="str">
        <f t="shared" ref="CX75:CX129" si="777">IF(ISNUMBER($AV75),CK75+($CT75*(CN75-CK75)),"")</f>
        <v/>
      </c>
      <c r="CY75" s="9" t="str">
        <f t="shared" ref="CY75:CY129" si="778">IF(ISNUMBER($AV75),CI75+($CU75*(CL75-CI75)),"")</f>
        <v/>
      </c>
      <c r="CZ75" s="5" t="str">
        <f t="shared" ref="CZ75:CZ129" si="779">IF(ISNUMBER($AV75),CJ75+($CU75*(CM75-CJ75)),"")</f>
        <v/>
      </c>
      <c r="DA75" s="6" t="str">
        <f t="shared" ref="DA75:DA129" si="780">IF(ISNUMBER($AV75),CK75+($CU75*(CN75-CK75)),"")</f>
        <v/>
      </c>
      <c r="DB75" s="4" t="str">
        <f t="shared" ref="DB75:DC106" si="781">IF(ISNUMBER($AV75),0,"")</f>
        <v/>
      </c>
      <c r="DC75" s="5" t="str">
        <f t="shared" si="781"/>
        <v/>
      </c>
      <c r="DD75" s="10" t="str">
        <f t="shared" ref="DD75:DD150" si="782">IF(ISNUMBER($AV75),-10,"")</f>
        <v/>
      </c>
      <c r="DE75" s="9" t="str">
        <f t="shared" ref="DE75:DF106" si="783">IF(ISNUMBER($AV75),0,"")</f>
        <v/>
      </c>
      <c r="DF75" s="5" t="str">
        <f t="shared" si="783"/>
        <v/>
      </c>
      <c r="DG75" s="10" t="str">
        <f t="shared" ref="DG75:DG150" si="784">IF(ISNUMBER($AV75),10,"")</f>
        <v/>
      </c>
      <c r="DH75" s="70" t="str">
        <f t="shared" ref="DH75:DH129" si="785">IF(ISNUMBER($AV75),BD75,"")</f>
        <v/>
      </c>
      <c r="DI75" s="4" t="str">
        <f t="shared" ref="DI75:DI129" si="786">IF(ISNUMBER($AV75),DE75-DB75,"")</f>
        <v/>
      </c>
      <c r="DJ75" s="5" t="str">
        <f t="shared" ref="DJ75:DJ129" si="787">IF(ISNUMBER($AV75),DF75-DC75,"")</f>
        <v/>
      </c>
      <c r="DK75" s="10" t="str">
        <f t="shared" ref="DK75:DK129" si="788">IF(ISNUMBER($AV75),DG75-DD75,"")</f>
        <v/>
      </c>
      <c r="DL75" s="9" t="str">
        <f t="shared" ref="DL75:DL129" si="789">IF(ISNUMBER($AV75),CV75-DB75,"")</f>
        <v/>
      </c>
      <c r="DM75" s="173" t="str">
        <f t="shared" ref="DM75:DM129" si="790">IF(ISNUMBER($AV75),CW75-DC75,"")</f>
        <v/>
      </c>
      <c r="DN75" s="178" t="str">
        <f t="shared" ref="DN75:DN129" si="791">IF(ISNUMBER($AV75),CX75-DD75,"")</f>
        <v/>
      </c>
      <c r="DO75" s="9" t="str">
        <f t="shared" ref="DO75:DO129" si="792">IF(ISNUMBER($AV75),CY75-CV75,"")</f>
        <v/>
      </c>
      <c r="DP75" s="173" t="str">
        <f t="shared" ref="DP75:DP129" si="793">IF(ISNUMBER($AV75),CZ75-CW75,"")</f>
        <v/>
      </c>
      <c r="DQ75" s="11" t="str">
        <f t="shared" ref="DQ75:DQ129" si="794">IF(ISNUMBER($AV75),DA75-CX75,"")</f>
        <v/>
      </c>
      <c r="DR75" s="173" t="str">
        <f t="shared" ref="DR75:DR129" si="795">IF(ISNUMBER($AV75),SUMPRODUCT(DI75:DK75,DL75:DN75),"")</f>
        <v/>
      </c>
      <c r="DS75" s="5" t="str">
        <f t="shared" ref="DS75:DS129" si="796">IF(ISNUMBER($AV75),SUMPRODUCT(DO75:DQ75,DI75:DK75),"")</f>
        <v/>
      </c>
      <c r="DT75" s="5" t="str">
        <f t="shared" ref="DT75:DT129" si="797">IF(ISNUMBER($AV75),SUMPRODUCT(DI75:DK75,DI75:DK75),"")</f>
        <v/>
      </c>
      <c r="DU75" s="5" t="str">
        <f t="shared" ref="DU75:DU129" si="798">IF(ISNUMBER($AV75),SUMPRODUCT(DO75:DQ75,DO75:DQ75),"")</f>
        <v/>
      </c>
      <c r="DV75" s="5" t="str">
        <f t="shared" ref="DV75:DV129" si="799">IF(ISNUMBER($AV75),SUMPRODUCT(DL75:DN75,DO75:DQ75),"")</f>
        <v/>
      </c>
      <c r="DW75" s="5" t="str">
        <f t="shared" ref="DW75:DW129" si="800">IF(ISNUMBER($AV75),SUMPRODUCT(DL75:DN75,DL75:DN75),"")</f>
        <v/>
      </c>
      <c r="DX75" s="167" t="str">
        <f t="shared" ref="DX75:DX129" si="801">IF(ISNUMBER($AV75),DW75-DH75*DH75,"")</f>
        <v/>
      </c>
      <c r="DY75" s="9" t="str">
        <f t="shared" ref="DY75:DY129" si="802">IF(ISNUMBER($AV75),DT75*DU75-DS75*DS75,"")</f>
        <v/>
      </c>
      <c r="DZ75" s="5" t="str">
        <f t="shared" ref="DZ75:DZ129" si="803">IF(ISNUMBER($AV75),DT75*DV75-DS75*DR75,"")</f>
        <v/>
      </c>
      <c r="EA75" s="10" t="str">
        <f t="shared" ref="EA75:EA129" si="804">IF(ISNUMBER($AV75),DT75*DX75-DR75*DR75,"")</f>
        <v/>
      </c>
      <c r="EB75" s="6" t="str">
        <f t="shared" ref="EB75:EB129" si="805">IF(ISNUMBER($AV75),DZ75*DZ75-DY75*EA75,"")</f>
        <v/>
      </c>
      <c r="EC75" s="173" t="str">
        <f t="shared" ref="EC75:EC129" si="806">IF(ISNUMBER($AV75),(-DZ75+SQRT(DZ75^2-DY75*EA75))/DY75,"")</f>
        <v/>
      </c>
      <c r="ED75" s="5" t="str">
        <f t="shared" ref="ED75:ED129" si="807">IF(ISNUMBER($AV75),(-DZ75-SQRT(DZ75^2-DY75*EA75))/DY75,"")</f>
        <v/>
      </c>
      <c r="EE75" s="4" t="str">
        <f t="shared" ref="EE75:EE129" si="808">IF(ISNUMBER($AV75),CV75+DO75*$EC75,"")</f>
        <v/>
      </c>
      <c r="EF75" s="5" t="str">
        <f t="shared" ref="EF75:EF129" si="809">IF(ISNUMBER($AV75),CW75+DP75*$EC75,"")</f>
        <v/>
      </c>
      <c r="EG75" s="10" t="str">
        <f t="shared" ref="EG75:EG129" si="810">IF(ISNUMBER($AV75),CX75+DQ75*$EC75,"")</f>
        <v/>
      </c>
      <c r="EH75" s="9" t="str">
        <f t="shared" ref="EH75:EH129" si="811">IF(ISNUMBER($AV75),CV75+DO75*$ED75,"")</f>
        <v/>
      </c>
      <c r="EI75" s="5" t="str">
        <f t="shared" ref="EI75:EI129" si="812">IF(ISNUMBER($AV75),CW75+DP75*$ED75,"")</f>
        <v/>
      </c>
      <c r="EJ75" s="6" t="str">
        <f t="shared" ref="EJ75:EJ129" si="813">IF(ISNUMBER($AV75),CX75+DQ75*$ED75,"")</f>
        <v/>
      </c>
      <c r="EK75" s="236" t="str">
        <f t="shared" ref="EK75:EK150" si="814">IF(ISNUMBER($AV75),IF(OR($EC75&lt;0,$EC75&gt;1),FALSE,TRUE),"")</f>
        <v/>
      </c>
      <c r="EL75" s="238" t="str">
        <f t="shared" ref="EL75:EL150" si="815">IF(ISNUMBER($AV75),IF(OR($ED75&lt;0,$ED75&gt;1),FALSE,TRUE),"")</f>
        <v/>
      </c>
      <c r="EM75" s="4" t="str">
        <f t="shared" ref="EM75:EM129" si="816">IF(ISNUMBER($AV75),IF($EK75=TRUE,EE75,IF($EL75=TRUE,EH75,"")),"")</f>
        <v/>
      </c>
      <c r="EN75" s="5" t="str">
        <f t="shared" ref="EN75:EN129" si="817">IF(ISNUMBER($AV75),IF($EK75=TRUE,EF75,IF($EL75=TRUE,EI75,"")),"")</f>
        <v/>
      </c>
      <c r="EO75" s="10" t="str">
        <f t="shared" ref="EO75:EO129" si="818">IF(ISNUMBER($AV75),IF($EK75=TRUE,EG75,IF($EL75=TRUE,EJ75,"")),"")</f>
        <v/>
      </c>
      <c r="EP75" s="9" t="str">
        <f t="shared" ref="EP75:EP129" si="819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820">IF(ISNUMBER($AV75),SQRT(EM75^2+EN75^2),"")</f>
        <v/>
      </c>
      <c r="ER75" s="7" t="str">
        <f t="shared" ref="ER75:ER129" si="821">IF(ISNUMBER($AV75),EO75,"")</f>
        <v/>
      </c>
      <c r="ES75" s="21" t="str">
        <f t="shared" si="664"/>
        <v/>
      </c>
      <c r="ET75" s="5" t="str">
        <f t="shared" si="665"/>
        <v/>
      </c>
      <c r="EU75" s="10" t="str">
        <f t="shared" si="666"/>
        <v/>
      </c>
      <c r="EV75" s="174" t="str">
        <f t="shared" si="667"/>
        <v/>
      </c>
      <c r="EW75" s="9" t="str">
        <f t="shared" si="668"/>
        <v/>
      </c>
      <c r="EX75" s="5" t="str">
        <f t="shared" si="669"/>
        <v/>
      </c>
      <c r="EY75" s="6" t="str">
        <f t="shared" ref="EY75:EY129" si="822">IF(ISNUMBER($AV75),EU75,"")</f>
        <v/>
      </c>
      <c r="EZ75" s="51" t="str">
        <f t="shared" ref="EZ75:EZ150" si="823">IF(ISNUMBER($AV75),DEGREES(ATAN($AS$5/($EQ75*2*PI()))),"")</f>
        <v/>
      </c>
      <c r="FA75" s="173" t="str">
        <f t="shared" si="670"/>
        <v/>
      </c>
      <c r="FB75" s="5" t="str">
        <f t="shared" si="671"/>
        <v/>
      </c>
      <c r="FC75" s="6" t="str">
        <f t="shared" si="672"/>
        <v/>
      </c>
      <c r="FD75" s="4" t="str">
        <f t="shared" si="673"/>
        <v/>
      </c>
      <c r="FE75" s="5" t="str">
        <f t="shared" si="674"/>
        <v/>
      </c>
      <c r="FF75" s="7" t="str">
        <f t="shared" ref="FF75:FF129" si="824">IF(ISNUMBER($AV75),FC75,"")</f>
        <v/>
      </c>
      <c r="FG75" s="173" t="str">
        <f t="shared" si="675"/>
        <v/>
      </c>
      <c r="FH75" s="5" t="str">
        <f t="shared" si="676"/>
        <v/>
      </c>
      <c r="FI75" s="10" t="str">
        <f t="shared" si="677"/>
        <v/>
      </c>
      <c r="FJ75" s="279" t="str">
        <f t="shared" ref="FJ75:FJ129" si="825">IF(ISNUMBER($AV75),DEGREES(ACOS((2-SQRT((FG75)^2+(FH75)^2+(FI75)^2)^2)/2)),"")</f>
        <v/>
      </c>
      <c r="FK75" s="4" t="str">
        <f t="shared" si="678"/>
        <v/>
      </c>
      <c r="FL75" s="5" t="str">
        <f t="shared" si="746"/>
        <v/>
      </c>
      <c r="FM75" s="8" t="str">
        <f t="shared" si="747"/>
        <v/>
      </c>
      <c r="FN75" s="9" t="str">
        <f t="shared" si="748"/>
        <v/>
      </c>
      <c r="FO75" s="10" t="str">
        <f t="shared" si="679"/>
        <v/>
      </c>
      <c r="FP75" s="277" t="str">
        <f t="shared" si="749"/>
        <v/>
      </c>
      <c r="FQ75" s="173" t="str">
        <f t="shared" ref="FQ75:FQ129" si="826">IF(ISNUMBER($AV75),SIN(RADIANS(FN75)),"")</f>
        <v/>
      </c>
      <c r="FR75" s="10" t="str">
        <f t="shared" ref="FR75:FR129" si="827">IF(ISNUMBER($AV75),COS(RADIANS(FN75)),"")</f>
        <v/>
      </c>
      <c r="FS75" s="9" t="str">
        <f t="shared" ref="FS75:FS129" si="828">IF(ISNUMBER($AV75),FQ75/(FQ75+FR75),"")</f>
        <v/>
      </c>
      <c r="FT75" s="6" t="str">
        <f t="shared" ref="FT75:FT129" si="829">IF(ISNUMBER($AV75),FR75/(FQ75+FR75),"")</f>
        <v/>
      </c>
      <c r="FU75" s="4" t="str">
        <f t="shared" ref="FU75:FU129" si="830">IF(ISNUMBER($AV75),SQRT(EW75^2+EY75^2),"")</f>
        <v/>
      </c>
      <c r="FV75" s="5" t="str">
        <f t="shared" ref="FV75:FV129" si="831">IF(ISNUMBER($AV75),SQRT(FD75^2+FF75^2),"")</f>
        <v/>
      </c>
      <c r="FW75" s="8" t="str">
        <f t="shared" ref="FW75:FW129" si="832">IF(ISNUMBER($AV75),SQRT(FG75^2+FI75^2),"")</f>
        <v/>
      </c>
      <c r="FX75" s="9" t="str">
        <f t="shared" ref="FX75:FX129" si="833">IF(ISNUMBER($AV75),DEGREES(ACOS((FU75^2+FV75^2-FW75^2)/(2*FU75*FV75))),"")</f>
        <v/>
      </c>
      <c r="FY75" s="10" t="str">
        <f t="shared" si="680"/>
        <v/>
      </c>
      <c r="FZ75" s="277" t="str">
        <f t="shared" ref="FZ75:FZ129" si="834">IF(ISNUMBER($AV75),FX75*FY75,"")</f>
        <v/>
      </c>
      <c r="GA75" s="177" t="str">
        <f t="shared" ref="GA75:GA129" si="835">IF(ISNUMBER($AV75),DEGREES(FZ75*SIN(RADIANS(FU75))),"")</f>
        <v/>
      </c>
      <c r="GB75" s="4" t="str">
        <f t="shared" ref="GB75:GB129" si="836">IF(ISNUMBER($AV75),COS(RADIANS(FP75+90))*COS(RADIANS(FZ75)),"")</f>
        <v/>
      </c>
      <c r="GC75" s="5" t="str">
        <f t="shared" ref="GC75:GC129" si="837">IF(ISNUMBER($AV75),SIN(RADIANS(FP75+90))*COS(RADIANS(FZ75)),"")</f>
        <v/>
      </c>
      <c r="GD75" s="10" t="str">
        <f t="shared" ref="GD75:GD129" si="838">IF(ISNUMBER($AV75),-SIN(RADIANS(FZ75)),"")</f>
        <v/>
      </c>
      <c r="GE75" s="311" t="str">
        <f t="shared" ref="GE75:GE129" si="839">IF(ISNUMBER($AV75),SUM(ABS(GB75),ABS(GC75),ABS(GD75)),"")</f>
        <v/>
      </c>
      <c r="GF75" s="341" t="str">
        <f t="shared" ref="GF75:GF129" si="840">IF(ISNUMBER($AV75),1/GE75,"")</f>
        <v/>
      </c>
      <c r="GG75" s="285" t="str">
        <f t="shared" si="681"/>
        <v/>
      </c>
      <c r="GH75" s="286" t="str">
        <f t="shared" si="682"/>
        <v/>
      </c>
      <c r="GI75" s="281" t="str">
        <f t="shared" si="683"/>
        <v/>
      </c>
      <c r="GJ75" s="167" t="str">
        <f t="shared" ref="GJ75:GJ129" si="841">IF(ISNUMBER($AV75),AW75,"")</f>
        <v/>
      </c>
      <c r="GK75" s="174" t="str">
        <f t="shared" si="684"/>
        <v/>
      </c>
      <c r="GL75" s="174" t="str">
        <f t="shared" ref="GL75:GL129" si="842">IF(ISNUMBER($AV75),AY75,"")</f>
        <v/>
      </c>
      <c r="GM75" s="177" t="str">
        <f t="shared" ref="GM75:GM129" si="843">IF(ISNUMBER($AV75),AZ75,"")</f>
        <v/>
      </c>
      <c r="GN75" s="280" t="str">
        <f t="shared" ref="GN75:GN129" si="844">IF(ISNUMBER($AV75),BA75,"")</f>
        <v/>
      </c>
      <c r="GO75" s="4" t="str">
        <f t="shared" ref="GO75:GO129" si="845">IF(ISNUMBER($AV75),FP75,"")</f>
        <v/>
      </c>
      <c r="GP75" s="8" t="str">
        <f t="shared" ref="GP75:GP129" si="846">IF(ISNUMBER($AV75),FZ75,"")</f>
        <v/>
      </c>
      <c r="GQ75" s="177" t="str">
        <f t="shared" ref="GQ75:GQ129" si="847">IF(ISNUMBER($AV75),FJ75,"")</f>
        <v/>
      </c>
      <c r="GR75" s="371" t="str">
        <f t="shared" ref="GR75:GR129" si="848">IF(ISNUMBER($AV75),GS75+GU75+GY75,"")</f>
        <v/>
      </c>
      <c r="GS75" s="342" t="str">
        <f t="shared" si="685"/>
        <v/>
      </c>
      <c r="GT75" s="343" t="str">
        <f t="shared" si="686"/>
        <v/>
      </c>
      <c r="GU75" s="344" t="str">
        <f t="shared" si="687"/>
        <v/>
      </c>
      <c r="GV75" s="343" t="str">
        <f t="shared" ref="GV75:GV129" si="849">IF(ISNUMBER($AV75),GW75*$GL75,"")</f>
        <v/>
      </c>
      <c r="GW75" s="345" t="str">
        <f t="shared" si="688"/>
        <v/>
      </c>
      <c r="GX75" s="346" t="str">
        <f t="shared" si="689"/>
        <v/>
      </c>
      <c r="GY75" s="344" t="str">
        <f t="shared" si="690"/>
        <v/>
      </c>
      <c r="GZ75" s="345" t="str">
        <f t="shared" si="691"/>
        <v/>
      </c>
      <c r="HA75" s="342" t="str">
        <f t="shared" si="692"/>
        <v/>
      </c>
      <c r="HB75" s="5" t="str">
        <f t="shared" ref="HB75:HB150" si="850">IF(ISNUMBER($AV75),$EV75,"")</f>
        <v/>
      </c>
      <c r="HC75" s="343" t="str">
        <f t="shared" ref="HC75:HC129" si="851">IF(ISNUMBER($AV75),HA75*COS(RADIANS(HB75)),"")</f>
        <v/>
      </c>
      <c r="HD75" s="363" t="str">
        <f t="shared" ref="HD75:HD129" si="852">IF(ISNUMBER($AV75),HA75*SIN(RADIANS(HB75)),"")</f>
        <v/>
      </c>
      <c r="HE75" s="344" t="str">
        <f t="shared" si="693"/>
        <v/>
      </c>
      <c r="HF75" s="5" t="str">
        <f t="shared" si="694"/>
        <v/>
      </c>
      <c r="HG75" s="343" t="str">
        <f t="shared" ref="HG75:HG129" si="853">IF(ISNUMBER($AV75),HE75*COS(RADIANS(HF75)),"")</f>
        <v/>
      </c>
      <c r="HH75" s="349" t="str">
        <f t="shared" ref="HH75:HH129" si="854">IF(ISNUMBER($AV75),HE75*SIN(RADIANS(HF75)),"")</f>
        <v/>
      </c>
      <c r="HI75" s="317" t="str">
        <f t="shared" si="695"/>
        <v/>
      </c>
      <c r="HK75" s="310" t="str">
        <f t="shared" si="750"/>
        <v/>
      </c>
      <c r="HL75" s="348" t="str">
        <f t="shared" si="696"/>
        <v/>
      </c>
      <c r="HM75" s="923" t="str">
        <f t="shared" si="697"/>
        <v/>
      </c>
      <c r="HN75" s="924" t="str">
        <f t="shared" si="698"/>
        <v/>
      </c>
      <c r="HO75" s="925"/>
      <c r="HP75" s="926"/>
      <c r="HQ75" s="924" t="str">
        <f t="shared" si="699"/>
        <v/>
      </c>
      <c r="HR75" s="927" t="str">
        <f t="shared" si="700"/>
        <v/>
      </c>
      <c r="HS75" s="879" t="str">
        <f t="shared" si="751"/>
        <v/>
      </c>
      <c r="HT75" s="889" t="str">
        <f t="shared" si="701"/>
        <v/>
      </c>
      <c r="HU75" s="890" t="str">
        <f t="shared" si="702"/>
        <v/>
      </c>
      <c r="HV75" s="886" t="str">
        <f t="shared" si="703"/>
        <v/>
      </c>
      <c r="HW75" s="880" t="str">
        <f t="shared" si="704"/>
        <v/>
      </c>
      <c r="HX75" s="881" t="str">
        <f t="shared" si="705"/>
        <v/>
      </c>
      <c r="HY75" s="880" t="str">
        <f t="shared" si="706"/>
        <v/>
      </c>
      <c r="HZ75" s="882" t="str">
        <f t="shared" si="707"/>
        <v/>
      </c>
      <c r="IA75" s="883" t="str">
        <f t="shared" si="708"/>
        <v/>
      </c>
      <c r="IB75" s="884" t="str">
        <f t="shared" si="709"/>
        <v/>
      </c>
      <c r="IC75" s="855" t="str">
        <f t="shared" si="710"/>
        <v/>
      </c>
      <c r="ID75" s="351" t="str">
        <f t="shared" si="711"/>
        <v/>
      </c>
      <c r="IE75" s="857" t="str">
        <f t="shared" si="712"/>
        <v/>
      </c>
      <c r="IF75" s="858"/>
      <c r="IG75" s="790" t="str">
        <f>IFERROR(IF($IW75="","",IF($IW75&lt;(((Settings!$C$19/2)*-1)*$IG$8),"Taper","Nose")),"")</f>
        <v/>
      </c>
      <c r="IH75" s="482" t="str">
        <f>IFERROR(IF((((($IY75*COS(RADIANS(180-$JA75)))*COS(RADIANS($JA75)))-(($IZ75*SIN(RADIANS(180-$JA75)))*SIN(RADIANS($JA75))))+$IW75)&lt;(((Settings!$C$19+$IH$8)/2)*-1),"Gage",""),"")</f>
        <v/>
      </c>
      <c r="II75" s="788" t="str">
        <f t="shared" ref="II75:II138" si="855">$M75</f>
        <v/>
      </c>
      <c r="IJ75" s="674" t="str" cm="1">
        <f t="array" ref="IJ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K75" s="677" t="str" cm="1">
        <f t="array" ref="IK75">IFERROR(ROUND(VALUE(IF($IJ75&lt;1,$IJ75+LARGE((IF($M$9:$M$150="",0,$M$9:$M$150)-MOD(IF($M$9:$M$150="",0,$M$9:$M$150),1)),1),$IJ75)),4),"")</f>
        <v/>
      </c>
      <c r="IL75" s="482" t="str">
        <f t="shared" si="713"/>
        <v/>
      </c>
      <c r="IM75" s="482" t="str">
        <f t="shared" ref="IM75:IM138" si="856">IF(ISNUMBER($IK75),INDEX($K$9:$K$150,MATCH($II75,$M$9:$M$150,0)),"")</f>
        <v/>
      </c>
      <c r="IN75" s="670" t="str">
        <f t="shared" si="714"/>
        <v/>
      </c>
      <c r="IO75" s="702">
        <v>1.0094339558409901E-2</v>
      </c>
      <c r="IP75" s="5" t="str">
        <f t="shared" si="715"/>
        <v/>
      </c>
      <c r="IQ75" s="714">
        <v>150</v>
      </c>
      <c r="IR75" s="9" t="str">
        <f t="shared" si="716"/>
        <v/>
      </c>
      <c r="IS75" s="5" t="str">
        <f t="shared" si="717"/>
        <v/>
      </c>
      <c r="IT75" s="5" t="str">
        <f t="shared" si="718"/>
        <v/>
      </c>
      <c r="IU75" s="5" t="str">
        <f t="shared" si="719"/>
        <v/>
      </c>
      <c r="IV75" s="670" t="str">
        <f t="shared" si="720"/>
        <v/>
      </c>
      <c r="IW75" s="9" t="str">
        <f t="shared" si="721"/>
        <v/>
      </c>
      <c r="IX75" s="5" t="str">
        <f t="shared" si="722"/>
        <v/>
      </c>
      <c r="IY75" s="5" t="str">
        <f t="shared" si="723"/>
        <v/>
      </c>
      <c r="IZ75" s="5" t="str">
        <f t="shared" si="724"/>
        <v/>
      </c>
      <c r="JA75" s="705" t="str">
        <f t="shared" si="725"/>
        <v/>
      </c>
      <c r="JM75" s="489" t="e">
        <f t="shared" si="752"/>
        <v>#VALUE!</v>
      </c>
      <c r="JN75" s="960" t="e">
        <f>($JO75-SMALL($JO$9:$JO$88,1))/((Settings!$C$19/2)-((Settings!$C$19/2)-LARGE($JO$9:$JO$88,1))-SMALL($JO$9:$JO$88,1))</f>
        <v>#VALUE!</v>
      </c>
      <c r="JO75" s="162" t="str">
        <f t="shared" si="635"/>
        <v/>
      </c>
      <c r="JP75" s="961" t="str">
        <f t="shared" si="636"/>
        <v/>
      </c>
      <c r="JQ75" s="961" t="str">
        <f t="shared" si="637"/>
        <v/>
      </c>
      <c r="JU75" s="962"/>
      <c r="JV75" s="959"/>
      <c r="JW75" s="959"/>
    </row>
    <row r="76" spans="1:283" ht="15" customHeight="1" x14ac:dyDescent="0.25">
      <c r="A76" s="75" t="str">
        <f t="shared" si="640"/>
        <v/>
      </c>
      <c r="B76" s="578" t="str">
        <f t="shared" ref="B76:D76" si="857">IFERROR(O231+($A76*-E76),"")</f>
        <v/>
      </c>
      <c r="C76" s="572" t="str">
        <f t="shared" si="857"/>
        <v/>
      </c>
      <c r="D76" s="576" t="str">
        <f t="shared" si="857"/>
        <v/>
      </c>
      <c r="E76" s="580" t="str">
        <f t="shared" ref="E76:K76" si="858">R231</f>
        <v/>
      </c>
      <c r="F76" s="572" t="str">
        <f t="shared" si="858"/>
        <v/>
      </c>
      <c r="G76" s="579" t="str">
        <f t="shared" si="858"/>
        <v/>
      </c>
      <c r="H76" s="580" t="str">
        <f t="shared" si="858"/>
        <v/>
      </c>
      <c r="I76" s="572" t="str">
        <f t="shared" si="858"/>
        <v/>
      </c>
      <c r="J76" s="483" t="str">
        <f t="shared" si="728"/>
        <v/>
      </c>
      <c r="K76" s="806" t="str">
        <f t="shared" si="858"/>
        <v/>
      </c>
      <c r="L76" s="309"/>
      <c r="M76" s="164" t="str">
        <f t="shared" si="643"/>
        <v/>
      </c>
      <c r="N76" s="575" t="str">
        <f t="shared" si="644"/>
        <v/>
      </c>
      <c r="O76" s="572" t="str">
        <f t="shared" si="645"/>
        <v/>
      </c>
      <c r="P76" s="576" t="str">
        <f t="shared" si="646"/>
        <v/>
      </c>
      <c r="Q76" s="528" t="str">
        <f t="shared" si="729"/>
        <v/>
      </c>
      <c r="R76" s="572" t="str">
        <f t="shared" si="95"/>
        <v/>
      </c>
      <c r="S76" s="577" t="str">
        <f t="shared" si="96"/>
        <v/>
      </c>
      <c r="T76" s="578" t="str">
        <f t="shared" si="97"/>
        <v/>
      </c>
      <c r="U76" s="572" t="str">
        <f t="shared" si="98"/>
        <v/>
      </c>
      <c r="V76" s="579" t="str">
        <f t="shared" si="145"/>
        <v/>
      </c>
      <c r="W76" s="528" t="str">
        <f t="shared" si="268"/>
        <v/>
      </c>
      <c r="X76" s="572" t="str">
        <f t="shared" si="99"/>
        <v/>
      </c>
      <c r="Y76" s="573" t="str">
        <f t="shared" ref="Y76:Y129" si="859">IF(M76="","",S76)</f>
        <v/>
      </c>
      <c r="Z76" s="575" t="str">
        <f t="shared" si="647"/>
        <v/>
      </c>
      <c r="AA76" s="572" t="str">
        <f t="shared" si="648"/>
        <v/>
      </c>
      <c r="AB76" s="572" t="str">
        <f t="shared" si="649"/>
        <v/>
      </c>
      <c r="AC76" s="579" t="str">
        <f t="shared" si="100"/>
        <v/>
      </c>
      <c r="AD76" s="580" t="str">
        <f t="shared" si="146"/>
        <v/>
      </c>
      <c r="AE76" s="572" t="str">
        <f t="shared" si="101"/>
        <v/>
      </c>
      <c r="AF76" s="576" t="str">
        <f t="shared" si="102"/>
        <v/>
      </c>
      <c r="AG76" s="545" t="str">
        <f t="shared" si="103"/>
        <v/>
      </c>
      <c r="AH76" s="546" t="str">
        <f t="shared" si="104"/>
        <v/>
      </c>
      <c r="AI76" s="528" t="str">
        <f t="shared" si="105"/>
        <v/>
      </c>
      <c r="AJ76" s="529" t="str">
        <f t="shared" si="106"/>
        <v/>
      </c>
      <c r="AK76" s="578" t="str">
        <f t="shared" si="247"/>
        <v/>
      </c>
      <c r="AL76" s="572" t="str">
        <f t="shared" si="107"/>
        <v/>
      </c>
      <c r="AM76" s="577" t="str">
        <f t="shared" si="108"/>
        <v/>
      </c>
      <c r="AN76" s="524" t="str">
        <f t="shared" si="109"/>
        <v/>
      </c>
      <c r="AO76" s="525" t="str">
        <f t="shared" si="604"/>
        <v/>
      </c>
      <c r="AP76" s="528" t="str">
        <f t="shared" si="111"/>
        <v/>
      </c>
      <c r="AQ76" s="529" t="str">
        <f t="shared" si="650"/>
        <v/>
      </c>
      <c r="AR76" s="979"/>
      <c r="AS76" s="954" t="str">
        <f t="shared" si="755"/>
        <v/>
      </c>
      <c r="AT76" s="950" t="str">
        <f t="shared" si="651"/>
        <v/>
      </c>
      <c r="AU76" s="418"/>
      <c r="AV76" s="164" t="str">
        <f t="shared" si="652"/>
        <v/>
      </c>
      <c r="AW76" s="797" t="str">
        <f>IFERROR(INDEX(MassProp!C$9:C$150,MATCH($M76,MassProp!$B$9:$B$150,0)),"")</f>
        <v/>
      </c>
      <c r="AX76" s="744" t="str">
        <f>IFERROR(INDEX(MassProp!D$9:D$150,MATCH($M76,MassProp!$B$9:$B$150,0)),"")</f>
        <v/>
      </c>
      <c r="AY76" s="731" t="str">
        <f>IFERROR(INDEX(MassProp!E$9:E$150,MATCH($M76,MassProp!$B$9:$B$150,0)),"")</f>
        <v/>
      </c>
      <c r="AZ76" s="297" t="str">
        <f t="shared" si="756"/>
        <v/>
      </c>
      <c r="BA76" s="296" t="str">
        <f t="shared" si="653"/>
        <v/>
      </c>
      <c r="BB76" s="177" t="str">
        <f t="shared" si="730"/>
        <v/>
      </c>
      <c r="BC76" s="9"/>
      <c r="BD76" s="5" t="str">
        <f t="shared" si="731"/>
        <v/>
      </c>
      <c r="BE76" s="6" t="str">
        <f t="shared" si="654"/>
        <v/>
      </c>
      <c r="BF76" s="4" t="str">
        <f t="shared" si="655"/>
        <v/>
      </c>
      <c r="BG76" s="5" t="str">
        <f t="shared" si="656"/>
        <v/>
      </c>
      <c r="BH76" s="10" t="str">
        <f t="shared" si="657"/>
        <v/>
      </c>
      <c r="BI76" s="9" t="str">
        <f t="shared" si="757"/>
        <v/>
      </c>
      <c r="BJ76" s="5" t="str">
        <f t="shared" si="658"/>
        <v/>
      </c>
      <c r="BK76" s="8" t="str">
        <f t="shared" si="659"/>
        <v/>
      </c>
      <c r="BL76" s="173" t="str">
        <f t="shared" si="660"/>
        <v/>
      </c>
      <c r="BM76" s="5" t="str">
        <f t="shared" si="661"/>
        <v/>
      </c>
      <c r="BN76" s="6" t="str">
        <f t="shared" si="662"/>
        <v/>
      </c>
      <c r="BO76" s="4" t="str">
        <f t="shared" si="758"/>
        <v/>
      </c>
      <c r="BP76" s="5" t="str">
        <f t="shared" si="759"/>
        <v/>
      </c>
      <c r="BQ76" s="5" t="str">
        <f t="shared" si="760"/>
        <v/>
      </c>
      <c r="BR76" s="6" t="str">
        <f t="shared" si="761"/>
        <v/>
      </c>
      <c r="BS76" s="4" t="str">
        <f t="shared" si="732"/>
        <v/>
      </c>
      <c r="BT76" s="5" t="str">
        <f t="shared" si="732"/>
        <v/>
      </c>
      <c r="BU76" s="10" t="str">
        <f t="shared" si="733"/>
        <v/>
      </c>
      <c r="BV76" s="9" t="str">
        <f t="shared" si="734"/>
        <v/>
      </c>
      <c r="BW76" s="5" t="str">
        <f t="shared" si="735"/>
        <v/>
      </c>
      <c r="BX76" s="8" t="str">
        <f t="shared" si="736"/>
        <v/>
      </c>
      <c r="BY76" s="173" t="str">
        <f t="shared" si="737"/>
        <v/>
      </c>
      <c r="BZ76" s="5" t="str">
        <f t="shared" si="738"/>
        <v/>
      </c>
      <c r="CA76" s="6" t="str">
        <f t="shared" si="739"/>
        <v/>
      </c>
      <c r="CB76" s="4" t="str">
        <f t="shared" si="762"/>
        <v/>
      </c>
      <c r="CC76" s="5" t="str">
        <f t="shared" si="763"/>
        <v/>
      </c>
      <c r="CD76" s="5" t="str">
        <f t="shared" si="764"/>
        <v/>
      </c>
      <c r="CE76" s="6" t="str">
        <f t="shared" si="765"/>
        <v/>
      </c>
      <c r="CF76" s="4" t="str">
        <f t="shared" si="766"/>
        <v/>
      </c>
      <c r="CG76" s="5" t="str">
        <f t="shared" si="767"/>
        <v/>
      </c>
      <c r="CH76" s="5" t="str">
        <f t="shared" si="768"/>
        <v/>
      </c>
      <c r="CI76" s="4" t="str">
        <f t="shared" si="740"/>
        <v/>
      </c>
      <c r="CJ76" s="5" t="str">
        <f t="shared" si="741"/>
        <v/>
      </c>
      <c r="CK76" s="8" t="str">
        <f t="shared" si="742"/>
        <v/>
      </c>
      <c r="CL76" s="173" t="str">
        <f t="shared" si="743"/>
        <v/>
      </c>
      <c r="CM76" s="5" t="str">
        <f t="shared" si="744"/>
        <v/>
      </c>
      <c r="CN76" s="6" t="str">
        <f t="shared" si="745"/>
        <v/>
      </c>
      <c r="CO76" s="167" t="str">
        <f t="shared" si="663"/>
        <v/>
      </c>
      <c r="CP76" s="4" t="str">
        <f t="shared" si="769"/>
        <v/>
      </c>
      <c r="CQ76" s="5" t="str">
        <f t="shared" si="770"/>
        <v/>
      </c>
      <c r="CR76" s="5" t="str">
        <f t="shared" si="771"/>
        <v/>
      </c>
      <c r="CS76" s="8" t="str">
        <f t="shared" si="772"/>
        <v/>
      </c>
      <c r="CT76" s="9" t="str">
        <f t="shared" si="773"/>
        <v/>
      </c>
      <c r="CU76" s="6" t="str">
        <f t="shared" si="774"/>
        <v/>
      </c>
      <c r="CV76" s="4" t="str">
        <f t="shared" si="775"/>
        <v/>
      </c>
      <c r="CW76" s="5" t="str">
        <f t="shared" si="776"/>
        <v/>
      </c>
      <c r="CX76" s="8" t="str">
        <f t="shared" si="777"/>
        <v/>
      </c>
      <c r="CY76" s="9" t="str">
        <f t="shared" si="778"/>
        <v/>
      </c>
      <c r="CZ76" s="5" t="str">
        <f t="shared" si="779"/>
        <v/>
      </c>
      <c r="DA76" s="6" t="str">
        <f t="shared" si="780"/>
        <v/>
      </c>
      <c r="DB76" s="4" t="str">
        <f t="shared" si="781"/>
        <v/>
      </c>
      <c r="DC76" s="5" t="str">
        <f t="shared" si="781"/>
        <v/>
      </c>
      <c r="DD76" s="10" t="str">
        <f t="shared" si="782"/>
        <v/>
      </c>
      <c r="DE76" s="9" t="str">
        <f t="shared" si="783"/>
        <v/>
      </c>
      <c r="DF76" s="5" t="str">
        <f t="shared" si="783"/>
        <v/>
      </c>
      <c r="DG76" s="10" t="str">
        <f t="shared" si="784"/>
        <v/>
      </c>
      <c r="DH76" s="70" t="str">
        <f t="shared" si="785"/>
        <v/>
      </c>
      <c r="DI76" s="4" t="str">
        <f t="shared" si="786"/>
        <v/>
      </c>
      <c r="DJ76" s="5" t="str">
        <f t="shared" si="787"/>
        <v/>
      </c>
      <c r="DK76" s="10" t="str">
        <f t="shared" si="788"/>
        <v/>
      </c>
      <c r="DL76" s="9" t="str">
        <f t="shared" si="789"/>
        <v/>
      </c>
      <c r="DM76" s="173" t="str">
        <f t="shared" si="790"/>
        <v/>
      </c>
      <c r="DN76" s="178" t="str">
        <f t="shared" si="791"/>
        <v/>
      </c>
      <c r="DO76" s="9" t="str">
        <f t="shared" si="792"/>
        <v/>
      </c>
      <c r="DP76" s="173" t="str">
        <f t="shared" si="793"/>
        <v/>
      </c>
      <c r="DQ76" s="11" t="str">
        <f t="shared" si="794"/>
        <v/>
      </c>
      <c r="DR76" s="173" t="str">
        <f t="shared" si="795"/>
        <v/>
      </c>
      <c r="DS76" s="5" t="str">
        <f t="shared" si="796"/>
        <v/>
      </c>
      <c r="DT76" s="5" t="str">
        <f t="shared" si="797"/>
        <v/>
      </c>
      <c r="DU76" s="5" t="str">
        <f t="shared" si="798"/>
        <v/>
      </c>
      <c r="DV76" s="5" t="str">
        <f t="shared" si="799"/>
        <v/>
      </c>
      <c r="DW76" s="5" t="str">
        <f t="shared" si="800"/>
        <v/>
      </c>
      <c r="DX76" s="167" t="str">
        <f t="shared" si="801"/>
        <v/>
      </c>
      <c r="DY76" s="9" t="str">
        <f t="shared" si="802"/>
        <v/>
      </c>
      <c r="DZ76" s="5" t="str">
        <f t="shared" si="803"/>
        <v/>
      </c>
      <c r="EA76" s="10" t="str">
        <f t="shared" si="804"/>
        <v/>
      </c>
      <c r="EB76" s="6" t="str">
        <f t="shared" si="805"/>
        <v/>
      </c>
      <c r="EC76" s="173" t="str">
        <f t="shared" si="806"/>
        <v/>
      </c>
      <c r="ED76" s="5" t="str">
        <f t="shared" si="807"/>
        <v/>
      </c>
      <c r="EE76" s="4" t="str">
        <f t="shared" si="808"/>
        <v/>
      </c>
      <c r="EF76" s="5" t="str">
        <f t="shared" si="809"/>
        <v/>
      </c>
      <c r="EG76" s="10" t="str">
        <f t="shared" si="810"/>
        <v/>
      </c>
      <c r="EH76" s="9" t="str">
        <f t="shared" si="811"/>
        <v/>
      </c>
      <c r="EI76" s="5" t="str">
        <f t="shared" si="812"/>
        <v/>
      </c>
      <c r="EJ76" s="6" t="str">
        <f t="shared" si="813"/>
        <v/>
      </c>
      <c r="EK76" s="236" t="str">
        <f t="shared" si="814"/>
        <v/>
      </c>
      <c r="EL76" s="238" t="str">
        <f t="shared" si="815"/>
        <v/>
      </c>
      <c r="EM76" s="4" t="str">
        <f t="shared" si="816"/>
        <v/>
      </c>
      <c r="EN76" s="5" t="str">
        <f t="shared" si="817"/>
        <v/>
      </c>
      <c r="EO76" s="10" t="str">
        <f t="shared" si="818"/>
        <v/>
      </c>
      <c r="EP76" s="9" t="str">
        <f t="shared" si="819"/>
        <v/>
      </c>
      <c r="EQ76" s="5" t="str">
        <f t="shared" si="820"/>
        <v/>
      </c>
      <c r="ER76" s="7" t="str">
        <f t="shared" si="821"/>
        <v/>
      </c>
      <c r="ES76" s="21" t="str">
        <f t="shared" si="664"/>
        <v/>
      </c>
      <c r="ET76" s="5" t="str">
        <f t="shared" si="665"/>
        <v/>
      </c>
      <c r="EU76" s="10" t="str">
        <f t="shared" si="666"/>
        <v/>
      </c>
      <c r="EV76" s="174" t="str">
        <f t="shared" si="667"/>
        <v/>
      </c>
      <c r="EW76" s="9" t="str">
        <f t="shared" si="668"/>
        <v/>
      </c>
      <c r="EX76" s="5" t="str">
        <f t="shared" si="669"/>
        <v/>
      </c>
      <c r="EY76" s="6" t="str">
        <f t="shared" si="822"/>
        <v/>
      </c>
      <c r="EZ76" s="51" t="str">
        <f t="shared" si="823"/>
        <v/>
      </c>
      <c r="FA76" s="173" t="str">
        <f t="shared" si="670"/>
        <v/>
      </c>
      <c r="FB76" s="5" t="str">
        <f t="shared" si="671"/>
        <v/>
      </c>
      <c r="FC76" s="6" t="str">
        <f t="shared" si="672"/>
        <v/>
      </c>
      <c r="FD76" s="4" t="str">
        <f t="shared" si="673"/>
        <v/>
      </c>
      <c r="FE76" s="5" t="str">
        <f t="shared" si="674"/>
        <v/>
      </c>
      <c r="FF76" s="7" t="str">
        <f t="shared" si="824"/>
        <v/>
      </c>
      <c r="FG76" s="173" t="str">
        <f t="shared" si="675"/>
        <v/>
      </c>
      <c r="FH76" s="5" t="str">
        <f t="shared" si="676"/>
        <v/>
      </c>
      <c r="FI76" s="10" t="str">
        <f t="shared" si="677"/>
        <v/>
      </c>
      <c r="FJ76" s="279" t="str">
        <f t="shared" si="825"/>
        <v/>
      </c>
      <c r="FK76" s="4" t="str">
        <f t="shared" si="678"/>
        <v/>
      </c>
      <c r="FL76" s="5" t="str">
        <f t="shared" si="746"/>
        <v/>
      </c>
      <c r="FM76" s="8" t="str">
        <f t="shared" si="747"/>
        <v/>
      </c>
      <c r="FN76" s="9" t="str">
        <f t="shared" si="748"/>
        <v/>
      </c>
      <c r="FO76" s="10" t="str">
        <f t="shared" si="679"/>
        <v/>
      </c>
      <c r="FP76" s="277" t="str">
        <f t="shared" si="749"/>
        <v/>
      </c>
      <c r="FQ76" s="173" t="str">
        <f t="shared" si="826"/>
        <v/>
      </c>
      <c r="FR76" s="10" t="str">
        <f t="shared" si="827"/>
        <v/>
      </c>
      <c r="FS76" s="9" t="str">
        <f t="shared" si="828"/>
        <v/>
      </c>
      <c r="FT76" s="6" t="str">
        <f t="shared" si="829"/>
        <v/>
      </c>
      <c r="FU76" s="4" t="str">
        <f t="shared" si="830"/>
        <v/>
      </c>
      <c r="FV76" s="5" t="str">
        <f t="shared" si="831"/>
        <v/>
      </c>
      <c r="FW76" s="8" t="str">
        <f t="shared" si="832"/>
        <v/>
      </c>
      <c r="FX76" s="9" t="str">
        <f t="shared" si="833"/>
        <v/>
      </c>
      <c r="FY76" s="10" t="str">
        <f t="shared" si="680"/>
        <v/>
      </c>
      <c r="FZ76" s="277" t="str">
        <f t="shared" si="834"/>
        <v/>
      </c>
      <c r="GA76" s="177" t="str">
        <f t="shared" si="835"/>
        <v/>
      </c>
      <c r="GB76" s="4" t="str">
        <f t="shared" si="836"/>
        <v/>
      </c>
      <c r="GC76" s="5" t="str">
        <f t="shared" si="837"/>
        <v/>
      </c>
      <c r="GD76" s="10" t="str">
        <f t="shared" si="838"/>
        <v/>
      </c>
      <c r="GE76" s="311" t="str">
        <f t="shared" si="839"/>
        <v/>
      </c>
      <c r="GF76" s="341" t="str">
        <f t="shared" si="840"/>
        <v/>
      </c>
      <c r="GG76" s="285" t="str">
        <f t="shared" si="681"/>
        <v/>
      </c>
      <c r="GH76" s="286" t="str">
        <f t="shared" si="682"/>
        <v/>
      </c>
      <c r="GI76" s="281" t="str">
        <f t="shared" si="683"/>
        <v/>
      </c>
      <c r="GJ76" s="167" t="str">
        <f t="shared" si="841"/>
        <v/>
      </c>
      <c r="GK76" s="174" t="str">
        <f t="shared" si="684"/>
        <v/>
      </c>
      <c r="GL76" s="174" t="str">
        <f t="shared" si="842"/>
        <v/>
      </c>
      <c r="GM76" s="177" t="str">
        <f t="shared" si="843"/>
        <v/>
      </c>
      <c r="GN76" s="280" t="str">
        <f t="shared" si="844"/>
        <v/>
      </c>
      <c r="GO76" s="4" t="str">
        <f t="shared" si="845"/>
        <v/>
      </c>
      <c r="GP76" s="8" t="str">
        <f t="shared" si="846"/>
        <v/>
      </c>
      <c r="GQ76" s="177" t="str">
        <f t="shared" si="847"/>
        <v/>
      </c>
      <c r="GR76" s="371" t="str">
        <f t="shared" si="848"/>
        <v/>
      </c>
      <c r="GS76" s="342" t="str">
        <f t="shared" si="685"/>
        <v/>
      </c>
      <c r="GT76" s="343" t="str">
        <f t="shared" si="686"/>
        <v/>
      </c>
      <c r="GU76" s="344" t="str">
        <f t="shared" si="687"/>
        <v/>
      </c>
      <c r="GV76" s="343" t="str">
        <f t="shared" si="849"/>
        <v/>
      </c>
      <c r="GW76" s="345" t="str">
        <f t="shared" si="688"/>
        <v/>
      </c>
      <c r="GX76" s="346" t="str">
        <f t="shared" si="689"/>
        <v/>
      </c>
      <c r="GY76" s="344" t="str">
        <f t="shared" si="690"/>
        <v/>
      </c>
      <c r="GZ76" s="345" t="str">
        <f t="shared" si="691"/>
        <v/>
      </c>
      <c r="HA76" s="342" t="str">
        <f t="shared" si="692"/>
        <v/>
      </c>
      <c r="HB76" s="5" t="str">
        <f t="shared" si="850"/>
        <v/>
      </c>
      <c r="HC76" s="343" t="str">
        <f t="shared" si="851"/>
        <v/>
      </c>
      <c r="HD76" s="363" t="str">
        <f t="shared" si="852"/>
        <v/>
      </c>
      <c r="HE76" s="344" t="str">
        <f t="shared" si="693"/>
        <v/>
      </c>
      <c r="HF76" s="5" t="str">
        <f t="shared" si="694"/>
        <v/>
      </c>
      <c r="HG76" s="343" t="str">
        <f t="shared" si="853"/>
        <v/>
      </c>
      <c r="HH76" s="349" t="str">
        <f t="shared" si="854"/>
        <v/>
      </c>
      <c r="HI76" s="317" t="str">
        <f t="shared" si="695"/>
        <v/>
      </c>
      <c r="HK76" s="310" t="str">
        <f t="shared" si="750"/>
        <v/>
      </c>
      <c r="HL76" s="348" t="str">
        <f t="shared" si="696"/>
        <v/>
      </c>
      <c r="HM76" s="923" t="str">
        <f t="shared" si="697"/>
        <v/>
      </c>
      <c r="HN76" s="924" t="str">
        <f t="shared" si="698"/>
        <v/>
      </c>
      <c r="HO76" s="925"/>
      <c r="HP76" s="926"/>
      <c r="HQ76" s="924" t="str">
        <f t="shared" si="699"/>
        <v/>
      </c>
      <c r="HR76" s="927" t="str">
        <f t="shared" si="700"/>
        <v/>
      </c>
      <c r="HS76" s="879" t="str">
        <f t="shared" si="751"/>
        <v/>
      </c>
      <c r="HT76" s="889" t="str">
        <f t="shared" si="701"/>
        <v/>
      </c>
      <c r="HU76" s="890" t="str">
        <f t="shared" si="702"/>
        <v/>
      </c>
      <c r="HV76" s="886" t="str">
        <f t="shared" si="703"/>
        <v/>
      </c>
      <c r="HW76" s="880" t="str">
        <f t="shared" si="704"/>
        <v/>
      </c>
      <c r="HX76" s="881" t="str">
        <f t="shared" si="705"/>
        <v/>
      </c>
      <c r="HY76" s="880" t="str">
        <f t="shared" si="706"/>
        <v/>
      </c>
      <c r="HZ76" s="882" t="str">
        <f t="shared" si="707"/>
        <v/>
      </c>
      <c r="IA76" s="883" t="str">
        <f t="shared" si="708"/>
        <v/>
      </c>
      <c r="IB76" s="884" t="str">
        <f t="shared" si="709"/>
        <v/>
      </c>
      <c r="IC76" s="855" t="str">
        <f t="shared" si="710"/>
        <v/>
      </c>
      <c r="ID76" s="351" t="str">
        <f t="shared" si="711"/>
        <v/>
      </c>
      <c r="IE76" s="857" t="str">
        <f t="shared" si="712"/>
        <v/>
      </c>
      <c r="IF76" s="858"/>
      <c r="IG76" s="790" t="str">
        <f>IFERROR(IF($IW76="","",IF($IW76&lt;(((Settings!$C$19/2)*-1)*$IG$8),"Taper","Nose")),"")</f>
        <v/>
      </c>
      <c r="IH76" s="482" t="str">
        <f>IFERROR(IF((((($IY76*COS(RADIANS(180-$JA76)))*COS(RADIANS($JA76)))-(($IZ76*SIN(RADIANS(180-$JA76)))*SIN(RADIANS($JA76))))+$IW76)&lt;(((Settings!$C$19+$IH$8)/2)*-1),"Gage",""),"")</f>
        <v/>
      </c>
      <c r="II76" s="788" t="str">
        <f t="shared" si="855"/>
        <v/>
      </c>
      <c r="IJ76" s="674" t="str" cm="1">
        <f t="array" ref="IJ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K76" s="677" t="str" cm="1">
        <f t="array" ref="IK76">IFERROR(ROUND(VALUE(IF($IJ76&lt;1,$IJ76+LARGE((IF($M$9:$M$150="",0,$M$9:$M$150)-MOD(IF($M$9:$M$150="",0,$M$9:$M$150),1)),1),$IJ76)),4),"")</f>
        <v/>
      </c>
      <c r="IL76" s="482" t="str">
        <f t="shared" si="713"/>
        <v/>
      </c>
      <c r="IM76" s="482" t="str">
        <f t="shared" si="856"/>
        <v/>
      </c>
      <c r="IN76" s="670" t="str">
        <f t="shared" si="714"/>
        <v/>
      </c>
      <c r="IO76" s="702">
        <v>8.3459710522319694E-3</v>
      </c>
      <c r="IP76" s="5" t="str">
        <f t="shared" si="715"/>
        <v/>
      </c>
      <c r="IQ76" s="714">
        <v>140</v>
      </c>
      <c r="IR76" s="9" t="str">
        <f t="shared" si="716"/>
        <v/>
      </c>
      <c r="IS76" s="5" t="str">
        <f t="shared" si="717"/>
        <v/>
      </c>
      <c r="IT76" s="5" t="str">
        <f t="shared" si="718"/>
        <v/>
      </c>
      <c r="IU76" s="5" t="str">
        <f t="shared" si="719"/>
        <v/>
      </c>
      <c r="IV76" s="670" t="str">
        <f t="shared" si="720"/>
        <v/>
      </c>
      <c r="IW76" s="9" t="str">
        <f t="shared" si="721"/>
        <v/>
      </c>
      <c r="IX76" s="5" t="str">
        <f t="shared" si="722"/>
        <v/>
      </c>
      <c r="IY76" s="5" t="str">
        <f t="shared" si="723"/>
        <v/>
      </c>
      <c r="IZ76" s="5" t="str">
        <f t="shared" si="724"/>
        <v/>
      </c>
      <c r="JA76" s="705" t="str">
        <f t="shared" si="725"/>
        <v/>
      </c>
      <c r="JM76" s="489" t="e">
        <f t="shared" si="752"/>
        <v>#VALUE!</v>
      </c>
      <c r="JN76" s="960" t="e">
        <f>($JO76-SMALL($JO$9:$JO$88,1))/((Settings!$C$19/2)-((Settings!$C$19/2)-LARGE($JO$9:$JO$88,1))-SMALL($JO$9:$JO$88,1))</f>
        <v>#VALUE!</v>
      </c>
      <c r="JO76" s="162" t="str">
        <f t="shared" si="635"/>
        <v/>
      </c>
      <c r="JP76" s="961" t="str">
        <f t="shared" si="636"/>
        <v/>
      </c>
      <c r="JQ76" s="961" t="str">
        <f t="shared" si="637"/>
        <v/>
      </c>
      <c r="JU76" s="962"/>
      <c r="JV76" s="959"/>
      <c r="JW76" s="959"/>
    </row>
    <row r="77" spans="1:283" ht="15" customHeight="1" x14ac:dyDescent="0.25">
      <c r="A77" s="75" t="str">
        <f t="shared" si="640"/>
        <v/>
      </c>
      <c r="B77" s="578" t="str">
        <f t="shared" ref="B77:D77" si="860">IFERROR(O232+($A77*-E77),"")</f>
        <v/>
      </c>
      <c r="C77" s="572" t="str">
        <f t="shared" si="860"/>
        <v/>
      </c>
      <c r="D77" s="576" t="str">
        <f t="shared" si="860"/>
        <v/>
      </c>
      <c r="E77" s="580" t="str">
        <f t="shared" ref="E77:K77" si="861">R232</f>
        <v/>
      </c>
      <c r="F77" s="572" t="str">
        <f t="shared" si="861"/>
        <v/>
      </c>
      <c r="G77" s="579" t="str">
        <f t="shared" si="861"/>
        <v/>
      </c>
      <c r="H77" s="580" t="str">
        <f t="shared" si="861"/>
        <v/>
      </c>
      <c r="I77" s="572" t="str">
        <f t="shared" si="861"/>
        <v/>
      </c>
      <c r="J77" s="483" t="str">
        <f t="shared" si="728"/>
        <v/>
      </c>
      <c r="K77" s="806" t="str">
        <f t="shared" si="861"/>
        <v/>
      </c>
      <c r="L77" s="309"/>
      <c r="M77" s="164" t="str">
        <f t="shared" si="643"/>
        <v/>
      </c>
      <c r="N77" s="575" t="str">
        <f t="shared" si="644"/>
        <v/>
      </c>
      <c r="O77" s="572" t="str">
        <f t="shared" si="645"/>
        <v/>
      </c>
      <c r="P77" s="576" t="str">
        <f t="shared" si="646"/>
        <v/>
      </c>
      <c r="Q77" s="528" t="str">
        <f t="shared" si="729"/>
        <v/>
      </c>
      <c r="R77" s="572" t="str">
        <f t="shared" si="95"/>
        <v/>
      </c>
      <c r="S77" s="577" t="str">
        <f t="shared" si="96"/>
        <v/>
      </c>
      <c r="T77" s="578" t="str">
        <f t="shared" si="97"/>
        <v/>
      </c>
      <c r="U77" s="572" t="str">
        <f t="shared" si="98"/>
        <v/>
      </c>
      <c r="V77" s="579" t="str">
        <f t="shared" si="145"/>
        <v/>
      </c>
      <c r="W77" s="528" t="str">
        <f t="shared" si="268"/>
        <v/>
      </c>
      <c r="X77" s="572" t="str">
        <f t="shared" si="99"/>
        <v/>
      </c>
      <c r="Y77" s="573" t="str">
        <f t="shared" si="859"/>
        <v/>
      </c>
      <c r="Z77" s="575" t="str">
        <f t="shared" si="647"/>
        <v/>
      </c>
      <c r="AA77" s="572" t="str">
        <f t="shared" si="648"/>
        <v/>
      </c>
      <c r="AB77" s="572" t="str">
        <f t="shared" si="649"/>
        <v/>
      </c>
      <c r="AC77" s="579" t="str">
        <f t="shared" si="100"/>
        <v/>
      </c>
      <c r="AD77" s="580" t="str">
        <f t="shared" si="146"/>
        <v/>
      </c>
      <c r="AE77" s="572" t="str">
        <f t="shared" si="101"/>
        <v/>
      </c>
      <c r="AF77" s="576" t="str">
        <f t="shared" si="102"/>
        <v/>
      </c>
      <c r="AG77" s="545" t="str">
        <f t="shared" si="103"/>
        <v/>
      </c>
      <c r="AH77" s="546" t="str">
        <f t="shared" si="104"/>
        <v/>
      </c>
      <c r="AI77" s="528" t="str">
        <f t="shared" si="105"/>
        <v/>
      </c>
      <c r="AJ77" s="529" t="str">
        <f t="shared" si="106"/>
        <v/>
      </c>
      <c r="AK77" s="578" t="str">
        <f t="shared" si="247"/>
        <v/>
      </c>
      <c r="AL77" s="572" t="str">
        <f t="shared" si="107"/>
        <v/>
      </c>
      <c r="AM77" s="577" t="str">
        <f t="shared" si="108"/>
        <v/>
      </c>
      <c r="AN77" s="524" t="str">
        <f t="shared" si="109"/>
        <v/>
      </c>
      <c r="AO77" s="525" t="str">
        <f t="shared" si="604"/>
        <v/>
      </c>
      <c r="AP77" s="528" t="str">
        <f t="shared" si="111"/>
        <v/>
      </c>
      <c r="AQ77" s="529" t="str">
        <f t="shared" si="650"/>
        <v/>
      </c>
      <c r="AR77" s="979"/>
      <c r="AS77" s="954" t="str">
        <f t="shared" si="755"/>
        <v/>
      </c>
      <c r="AT77" s="950" t="str">
        <f t="shared" si="651"/>
        <v/>
      </c>
      <c r="AU77" s="418"/>
      <c r="AV77" s="164" t="str">
        <f t="shared" si="652"/>
        <v/>
      </c>
      <c r="AW77" s="797" t="str">
        <f>IFERROR(INDEX(MassProp!C$9:C$150,MATCH($M77,MassProp!$B$9:$B$150,0)),"")</f>
        <v/>
      </c>
      <c r="AX77" s="744" t="str">
        <f>IFERROR(INDEX(MassProp!D$9:D$150,MATCH($M77,MassProp!$B$9:$B$150,0)),"")</f>
        <v/>
      </c>
      <c r="AY77" s="731" t="str">
        <f>IFERROR(INDEX(MassProp!E$9:E$150,MATCH($M77,MassProp!$B$9:$B$150,0)),"")</f>
        <v/>
      </c>
      <c r="AZ77" s="297" t="str">
        <f t="shared" si="756"/>
        <v/>
      </c>
      <c r="BA77" s="296" t="str">
        <f t="shared" si="653"/>
        <v/>
      </c>
      <c r="BB77" s="177" t="str">
        <f t="shared" si="730"/>
        <v/>
      </c>
      <c r="BC77" s="9"/>
      <c r="BD77" s="5" t="str">
        <f t="shared" si="731"/>
        <v/>
      </c>
      <c r="BE77" s="6" t="str">
        <f t="shared" si="654"/>
        <v/>
      </c>
      <c r="BF77" s="4" t="str">
        <f t="shared" si="655"/>
        <v/>
      </c>
      <c r="BG77" s="5" t="str">
        <f t="shared" si="656"/>
        <v/>
      </c>
      <c r="BH77" s="10" t="str">
        <f t="shared" si="657"/>
        <v/>
      </c>
      <c r="BI77" s="9" t="str">
        <f t="shared" si="757"/>
        <v/>
      </c>
      <c r="BJ77" s="5" t="str">
        <f t="shared" si="658"/>
        <v/>
      </c>
      <c r="BK77" s="8" t="str">
        <f t="shared" si="659"/>
        <v/>
      </c>
      <c r="BL77" s="173" t="str">
        <f t="shared" si="660"/>
        <v/>
      </c>
      <c r="BM77" s="5" t="str">
        <f t="shared" si="661"/>
        <v/>
      </c>
      <c r="BN77" s="6" t="str">
        <f t="shared" si="662"/>
        <v/>
      </c>
      <c r="BO77" s="4" t="str">
        <f t="shared" si="758"/>
        <v/>
      </c>
      <c r="BP77" s="5" t="str">
        <f t="shared" si="759"/>
        <v/>
      </c>
      <c r="BQ77" s="5" t="str">
        <f t="shared" si="760"/>
        <v/>
      </c>
      <c r="BR77" s="6" t="str">
        <f t="shared" si="761"/>
        <v/>
      </c>
      <c r="BS77" s="4" t="str">
        <f t="shared" si="732"/>
        <v/>
      </c>
      <c r="BT77" s="5" t="str">
        <f t="shared" si="732"/>
        <v/>
      </c>
      <c r="BU77" s="10" t="str">
        <f t="shared" si="733"/>
        <v/>
      </c>
      <c r="BV77" s="9" t="str">
        <f t="shared" si="734"/>
        <v/>
      </c>
      <c r="BW77" s="5" t="str">
        <f t="shared" si="735"/>
        <v/>
      </c>
      <c r="BX77" s="8" t="str">
        <f t="shared" si="736"/>
        <v/>
      </c>
      <c r="BY77" s="173" t="str">
        <f t="shared" si="737"/>
        <v/>
      </c>
      <c r="BZ77" s="5" t="str">
        <f t="shared" si="738"/>
        <v/>
      </c>
      <c r="CA77" s="6" t="str">
        <f t="shared" si="739"/>
        <v/>
      </c>
      <c r="CB77" s="4" t="str">
        <f t="shared" si="762"/>
        <v/>
      </c>
      <c r="CC77" s="5" t="str">
        <f t="shared" si="763"/>
        <v/>
      </c>
      <c r="CD77" s="5" t="str">
        <f t="shared" si="764"/>
        <v/>
      </c>
      <c r="CE77" s="6" t="str">
        <f t="shared" si="765"/>
        <v/>
      </c>
      <c r="CF77" s="4" t="str">
        <f t="shared" si="766"/>
        <v/>
      </c>
      <c r="CG77" s="5" t="str">
        <f t="shared" si="767"/>
        <v/>
      </c>
      <c r="CH77" s="5" t="str">
        <f t="shared" si="768"/>
        <v/>
      </c>
      <c r="CI77" s="4" t="str">
        <f t="shared" si="740"/>
        <v/>
      </c>
      <c r="CJ77" s="5" t="str">
        <f t="shared" si="741"/>
        <v/>
      </c>
      <c r="CK77" s="8" t="str">
        <f t="shared" si="742"/>
        <v/>
      </c>
      <c r="CL77" s="173" t="str">
        <f t="shared" si="743"/>
        <v/>
      </c>
      <c r="CM77" s="5" t="str">
        <f t="shared" si="744"/>
        <v/>
      </c>
      <c r="CN77" s="6" t="str">
        <f t="shared" si="745"/>
        <v/>
      </c>
      <c r="CO77" s="167" t="str">
        <f t="shared" si="663"/>
        <v/>
      </c>
      <c r="CP77" s="4" t="str">
        <f t="shared" si="769"/>
        <v/>
      </c>
      <c r="CQ77" s="5" t="str">
        <f t="shared" si="770"/>
        <v/>
      </c>
      <c r="CR77" s="5" t="str">
        <f t="shared" si="771"/>
        <v/>
      </c>
      <c r="CS77" s="8" t="str">
        <f t="shared" si="772"/>
        <v/>
      </c>
      <c r="CT77" s="9" t="str">
        <f t="shared" si="773"/>
        <v/>
      </c>
      <c r="CU77" s="6" t="str">
        <f t="shared" si="774"/>
        <v/>
      </c>
      <c r="CV77" s="4" t="str">
        <f t="shared" si="775"/>
        <v/>
      </c>
      <c r="CW77" s="5" t="str">
        <f t="shared" si="776"/>
        <v/>
      </c>
      <c r="CX77" s="8" t="str">
        <f t="shared" si="777"/>
        <v/>
      </c>
      <c r="CY77" s="9" t="str">
        <f t="shared" si="778"/>
        <v/>
      </c>
      <c r="CZ77" s="5" t="str">
        <f t="shared" si="779"/>
        <v/>
      </c>
      <c r="DA77" s="6" t="str">
        <f t="shared" si="780"/>
        <v/>
      </c>
      <c r="DB77" s="4" t="str">
        <f t="shared" si="781"/>
        <v/>
      </c>
      <c r="DC77" s="5" t="str">
        <f t="shared" si="781"/>
        <v/>
      </c>
      <c r="DD77" s="10" t="str">
        <f t="shared" si="782"/>
        <v/>
      </c>
      <c r="DE77" s="9" t="str">
        <f t="shared" si="783"/>
        <v/>
      </c>
      <c r="DF77" s="5" t="str">
        <f t="shared" si="783"/>
        <v/>
      </c>
      <c r="DG77" s="10" t="str">
        <f t="shared" si="784"/>
        <v/>
      </c>
      <c r="DH77" s="70" t="str">
        <f t="shared" si="785"/>
        <v/>
      </c>
      <c r="DI77" s="4" t="str">
        <f t="shared" si="786"/>
        <v/>
      </c>
      <c r="DJ77" s="5" t="str">
        <f t="shared" si="787"/>
        <v/>
      </c>
      <c r="DK77" s="10" t="str">
        <f t="shared" si="788"/>
        <v/>
      </c>
      <c r="DL77" s="9" t="str">
        <f t="shared" si="789"/>
        <v/>
      </c>
      <c r="DM77" s="173" t="str">
        <f t="shared" si="790"/>
        <v/>
      </c>
      <c r="DN77" s="178" t="str">
        <f t="shared" si="791"/>
        <v/>
      </c>
      <c r="DO77" s="9" t="str">
        <f t="shared" si="792"/>
        <v/>
      </c>
      <c r="DP77" s="173" t="str">
        <f t="shared" si="793"/>
        <v/>
      </c>
      <c r="DQ77" s="11" t="str">
        <f t="shared" si="794"/>
        <v/>
      </c>
      <c r="DR77" s="173" t="str">
        <f t="shared" si="795"/>
        <v/>
      </c>
      <c r="DS77" s="5" t="str">
        <f t="shared" si="796"/>
        <v/>
      </c>
      <c r="DT77" s="5" t="str">
        <f t="shared" si="797"/>
        <v/>
      </c>
      <c r="DU77" s="5" t="str">
        <f t="shared" si="798"/>
        <v/>
      </c>
      <c r="DV77" s="5" t="str">
        <f t="shared" si="799"/>
        <v/>
      </c>
      <c r="DW77" s="5" t="str">
        <f t="shared" si="800"/>
        <v/>
      </c>
      <c r="DX77" s="167" t="str">
        <f t="shared" si="801"/>
        <v/>
      </c>
      <c r="DY77" s="9" t="str">
        <f t="shared" si="802"/>
        <v/>
      </c>
      <c r="DZ77" s="5" t="str">
        <f t="shared" si="803"/>
        <v/>
      </c>
      <c r="EA77" s="10" t="str">
        <f t="shared" si="804"/>
        <v/>
      </c>
      <c r="EB77" s="6" t="str">
        <f t="shared" si="805"/>
        <v/>
      </c>
      <c r="EC77" s="173" t="str">
        <f t="shared" si="806"/>
        <v/>
      </c>
      <c r="ED77" s="5" t="str">
        <f t="shared" si="807"/>
        <v/>
      </c>
      <c r="EE77" s="4" t="str">
        <f t="shared" si="808"/>
        <v/>
      </c>
      <c r="EF77" s="5" t="str">
        <f t="shared" si="809"/>
        <v/>
      </c>
      <c r="EG77" s="10" t="str">
        <f t="shared" si="810"/>
        <v/>
      </c>
      <c r="EH77" s="9" t="str">
        <f t="shared" si="811"/>
        <v/>
      </c>
      <c r="EI77" s="5" t="str">
        <f t="shared" si="812"/>
        <v/>
      </c>
      <c r="EJ77" s="6" t="str">
        <f t="shared" si="813"/>
        <v/>
      </c>
      <c r="EK77" s="236" t="str">
        <f t="shared" si="814"/>
        <v/>
      </c>
      <c r="EL77" s="238" t="str">
        <f t="shared" si="815"/>
        <v/>
      </c>
      <c r="EM77" s="4" t="str">
        <f t="shared" si="816"/>
        <v/>
      </c>
      <c r="EN77" s="5" t="str">
        <f t="shared" si="817"/>
        <v/>
      </c>
      <c r="EO77" s="10" t="str">
        <f t="shared" si="818"/>
        <v/>
      </c>
      <c r="EP77" s="9" t="str">
        <f t="shared" si="819"/>
        <v/>
      </c>
      <c r="EQ77" s="5" t="str">
        <f t="shared" si="820"/>
        <v/>
      </c>
      <c r="ER77" s="7" t="str">
        <f t="shared" si="821"/>
        <v/>
      </c>
      <c r="ES77" s="21" t="str">
        <f t="shared" si="664"/>
        <v/>
      </c>
      <c r="ET77" s="5" t="str">
        <f t="shared" si="665"/>
        <v/>
      </c>
      <c r="EU77" s="10" t="str">
        <f t="shared" si="666"/>
        <v/>
      </c>
      <c r="EV77" s="174" t="str">
        <f t="shared" si="667"/>
        <v/>
      </c>
      <c r="EW77" s="9" t="str">
        <f t="shared" si="668"/>
        <v/>
      </c>
      <c r="EX77" s="5" t="str">
        <f t="shared" si="669"/>
        <v/>
      </c>
      <c r="EY77" s="6" t="str">
        <f t="shared" si="822"/>
        <v/>
      </c>
      <c r="EZ77" s="51" t="str">
        <f t="shared" si="823"/>
        <v/>
      </c>
      <c r="FA77" s="173" t="str">
        <f t="shared" si="670"/>
        <v/>
      </c>
      <c r="FB77" s="5" t="str">
        <f t="shared" si="671"/>
        <v/>
      </c>
      <c r="FC77" s="6" t="str">
        <f t="shared" si="672"/>
        <v/>
      </c>
      <c r="FD77" s="4" t="str">
        <f t="shared" si="673"/>
        <v/>
      </c>
      <c r="FE77" s="5" t="str">
        <f t="shared" si="674"/>
        <v/>
      </c>
      <c r="FF77" s="7" t="str">
        <f t="shared" si="824"/>
        <v/>
      </c>
      <c r="FG77" s="173" t="str">
        <f t="shared" si="675"/>
        <v/>
      </c>
      <c r="FH77" s="5" t="str">
        <f t="shared" si="676"/>
        <v/>
      </c>
      <c r="FI77" s="10" t="str">
        <f t="shared" si="677"/>
        <v/>
      </c>
      <c r="FJ77" s="279" t="str">
        <f t="shared" si="825"/>
        <v/>
      </c>
      <c r="FK77" s="4" t="str">
        <f t="shared" si="678"/>
        <v/>
      </c>
      <c r="FL77" s="5" t="str">
        <f t="shared" si="746"/>
        <v/>
      </c>
      <c r="FM77" s="8" t="str">
        <f t="shared" si="747"/>
        <v/>
      </c>
      <c r="FN77" s="9" t="str">
        <f t="shared" si="748"/>
        <v/>
      </c>
      <c r="FO77" s="10" t="str">
        <f t="shared" si="679"/>
        <v/>
      </c>
      <c r="FP77" s="277" t="str">
        <f t="shared" si="749"/>
        <v/>
      </c>
      <c r="FQ77" s="173" t="str">
        <f t="shared" si="826"/>
        <v/>
      </c>
      <c r="FR77" s="10" t="str">
        <f t="shared" si="827"/>
        <v/>
      </c>
      <c r="FS77" s="9" t="str">
        <f t="shared" si="828"/>
        <v/>
      </c>
      <c r="FT77" s="6" t="str">
        <f t="shared" si="829"/>
        <v/>
      </c>
      <c r="FU77" s="4" t="str">
        <f t="shared" si="830"/>
        <v/>
      </c>
      <c r="FV77" s="5" t="str">
        <f t="shared" si="831"/>
        <v/>
      </c>
      <c r="FW77" s="8" t="str">
        <f t="shared" si="832"/>
        <v/>
      </c>
      <c r="FX77" s="9" t="str">
        <f t="shared" si="833"/>
        <v/>
      </c>
      <c r="FY77" s="10" t="str">
        <f t="shared" si="680"/>
        <v/>
      </c>
      <c r="FZ77" s="277" t="str">
        <f t="shared" si="834"/>
        <v/>
      </c>
      <c r="GA77" s="177" t="str">
        <f t="shared" si="835"/>
        <v/>
      </c>
      <c r="GB77" s="4" t="str">
        <f t="shared" si="836"/>
        <v/>
      </c>
      <c r="GC77" s="5" t="str">
        <f t="shared" si="837"/>
        <v/>
      </c>
      <c r="GD77" s="10" t="str">
        <f t="shared" si="838"/>
        <v/>
      </c>
      <c r="GE77" s="311" t="str">
        <f t="shared" si="839"/>
        <v/>
      </c>
      <c r="GF77" s="341" t="str">
        <f t="shared" si="840"/>
        <v/>
      </c>
      <c r="GG77" s="285" t="str">
        <f t="shared" si="681"/>
        <v/>
      </c>
      <c r="GH77" s="286" t="str">
        <f t="shared" si="682"/>
        <v/>
      </c>
      <c r="GI77" s="281" t="str">
        <f t="shared" si="683"/>
        <v/>
      </c>
      <c r="GJ77" s="167" t="str">
        <f t="shared" si="841"/>
        <v/>
      </c>
      <c r="GK77" s="174" t="str">
        <f t="shared" si="684"/>
        <v/>
      </c>
      <c r="GL77" s="174" t="str">
        <f t="shared" si="842"/>
        <v/>
      </c>
      <c r="GM77" s="177" t="str">
        <f t="shared" si="843"/>
        <v/>
      </c>
      <c r="GN77" s="280" t="str">
        <f t="shared" si="844"/>
        <v/>
      </c>
      <c r="GO77" s="4" t="str">
        <f t="shared" si="845"/>
        <v/>
      </c>
      <c r="GP77" s="8" t="str">
        <f t="shared" si="846"/>
        <v/>
      </c>
      <c r="GQ77" s="177" t="str">
        <f t="shared" si="847"/>
        <v/>
      </c>
      <c r="GR77" s="371" t="str">
        <f t="shared" si="848"/>
        <v/>
      </c>
      <c r="GS77" s="342" t="str">
        <f t="shared" si="685"/>
        <v/>
      </c>
      <c r="GT77" s="343" t="str">
        <f t="shared" si="686"/>
        <v/>
      </c>
      <c r="GU77" s="344" t="str">
        <f t="shared" si="687"/>
        <v/>
      </c>
      <c r="GV77" s="343" t="str">
        <f t="shared" si="849"/>
        <v/>
      </c>
      <c r="GW77" s="345" t="str">
        <f t="shared" si="688"/>
        <v/>
      </c>
      <c r="GX77" s="346" t="str">
        <f t="shared" si="689"/>
        <v/>
      </c>
      <c r="GY77" s="344" t="str">
        <f t="shared" si="690"/>
        <v/>
      </c>
      <c r="GZ77" s="345" t="str">
        <f t="shared" si="691"/>
        <v/>
      </c>
      <c r="HA77" s="342" t="str">
        <f t="shared" si="692"/>
        <v/>
      </c>
      <c r="HB77" s="5" t="str">
        <f t="shared" si="850"/>
        <v/>
      </c>
      <c r="HC77" s="343" t="str">
        <f t="shared" si="851"/>
        <v/>
      </c>
      <c r="HD77" s="363" t="str">
        <f t="shared" si="852"/>
        <v/>
      </c>
      <c r="HE77" s="344" t="str">
        <f t="shared" si="693"/>
        <v/>
      </c>
      <c r="HF77" s="5" t="str">
        <f t="shared" si="694"/>
        <v/>
      </c>
      <c r="HG77" s="343" t="str">
        <f t="shared" si="853"/>
        <v/>
      </c>
      <c r="HH77" s="349" t="str">
        <f t="shared" si="854"/>
        <v/>
      </c>
      <c r="HI77" s="317" t="str">
        <f t="shared" si="695"/>
        <v/>
      </c>
      <c r="HK77" s="310" t="str">
        <f t="shared" si="750"/>
        <v/>
      </c>
      <c r="HL77" s="348" t="str">
        <f t="shared" si="696"/>
        <v/>
      </c>
      <c r="HM77" s="923" t="str">
        <f t="shared" si="697"/>
        <v/>
      </c>
      <c r="HN77" s="924" t="str">
        <f t="shared" si="698"/>
        <v/>
      </c>
      <c r="HO77" s="925"/>
      <c r="HP77" s="926"/>
      <c r="HQ77" s="924" t="str">
        <f t="shared" si="699"/>
        <v/>
      </c>
      <c r="HR77" s="927" t="str">
        <f t="shared" si="700"/>
        <v/>
      </c>
      <c r="HS77" s="879" t="str">
        <f t="shared" si="751"/>
        <v/>
      </c>
      <c r="HT77" s="889" t="str">
        <f t="shared" si="701"/>
        <v/>
      </c>
      <c r="HU77" s="890" t="str">
        <f t="shared" si="702"/>
        <v/>
      </c>
      <c r="HV77" s="886" t="str">
        <f t="shared" si="703"/>
        <v/>
      </c>
      <c r="HW77" s="880" t="str">
        <f t="shared" si="704"/>
        <v/>
      </c>
      <c r="HX77" s="881" t="str">
        <f t="shared" si="705"/>
        <v/>
      </c>
      <c r="HY77" s="880" t="str">
        <f t="shared" si="706"/>
        <v/>
      </c>
      <c r="HZ77" s="882" t="str">
        <f t="shared" si="707"/>
        <v/>
      </c>
      <c r="IA77" s="883" t="str">
        <f t="shared" si="708"/>
        <v/>
      </c>
      <c r="IB77" s="884" t="str">
        <f t="shared" si="709"/>
        <v/>
      </c>
      <c r="IC77" s="855" t="str">
        <f t="shared" si="710"/>
        <v/>
      </c>
      <c r="ID77" s="351" t="str">
        <f t="shared" si="711"/>
        <v/>
      </c>
      <c r="IE77" s="857" t="str">
        <f t="shared" si="712"/>
        <v/>
      </c>
      <c r="IF77" s="858"/>
      <c r="IG77" s="790" t="str">
        <f>IFERROR(IF($IW77="","",IF($IW77&lt;(((Settings!$C$19/2)*-1)*$IG$8),"Taper","Nose")),"")</f>
        <v/>
      </c>
      <c r="IH77" s="482" t="str">
        <f>IFERROR(IF((((($IY77*COS(RADIANS(180-$JA77)))*COS(RADIANS($JA77)))-(($IZ77*SIN(RADIANS(180-$JA77)))*SIN(RADIANS($JA77))))+$IW77)&lt;(((Settings!$C$19+$IH$8)/2)*-1),"Gage",""),"")</f>
        <v/>
      </c>
      <c r="II77" s="788" t="str">
        <f t="shared" si="855"/>
        <v/>
      </c>
      <c r="IJ77" s="674" t="str" cm="1">
        <f t="array" ref="IJ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K77" s="677" t="str" cm="1">
        <f t="array" ref="IK77">IFERROR(ROUND(VALUE(IF($IJ77&lt;1,$IJ77+LARGE((IF($M$9:$M$150="",0,$M$9:$M$150)-MOD(IF($M$9:$M$150="",0,$M$9:$M$150),1)),1),$IJ77)),4),"")</f>
        <v/>
      </c>
      <c r="IL77" s="482" t="str">
        <f t="shared" si="713"/>
        <v/>
      </c>
      <c r="IM77" s="482" t="str">
        <f t="shared" si="856"/>
        <v/>
      </c>
      <c r="IN77" s="670" t="str">
        <f t="shared" si="714"/>
        <v/>
      </c>
      <c r="IO77" s="702">
        <v>2.0714732078202899E-2</v>
      </c>
      <c r="IP77" s="5" t="str">
        <f t="shared" si="715"/>
        <v/>
      </c>
      <c r="IQ77" s="714">
        <v>260</v>
      </c>
      <c r="IR77" s="9" t="str">
        <f t="shared" si="716"/>
        <v/>
      </c>
      <c r="IS77" s="5" t="str">
        <f t="shared" si="717"/>
        <v/>
      </c>
      <c r="IT77" s="5" t="str">
        <f t="shared" si="718"/>
        <v/>
      </c>
      <c r="IU77" s="5" t="str">
        <f t="shared" si="719"/>
        <v/>
      </c>
      <c r="IV77" s="670" t="str">
        <f t="shared" si="720"/>
        <v/>
      </c>
      <c r="IW77" s="9" t="str">
        <f t="shared" si="721"/>
        <v/>
      </c>
      <c r="IX77" s="5" t="str">
        <f t="shared" si="722"/>
        <v/>
      </c>
      <c r="IY77" s="5" t="str">
        <f t="shared" si="723"/>
        <v/>
      </c>
      <c r="IZ77" s="5" t="str">
        <f t="shared" si="724"/>
        <v/>
      </c>
      <c r="JA77" s="705" t="str">
        <f t="shared" si="725"/>
        <v/>
      </c>
      <c r="JM77" s="489" t="e">
        <f t="shared" si="752"/>
        <v>#VALUE!</v>
      </c>
      <c r="JN77" s="960" t="e">
        <f>($JO77-SMALL($JO$9:$JO$88,1))/((Settings!$C$19/2)-((Settings!$C$19/2)-LARGE($JO$9:$JO$88,1))-SMALL($JO$9:$JO$88,1))</f>
        <v>#VALUE!</v>
      </c>
      <c r="JO77" s="162" t="str">
        <f t="shared" si="635"/>
        <v/>
      </c>
      <c r="JP77" s="961" t="str">
        <f t="shared" si="636"/>
        <v/>
      </c>
      <c r="JQ77" s="961" t="str">
        <f t="shared" si="637"/>
        <v/>
      </c>
      <c r="JU77" s="962"/>
      <c r="JV77" s="959"/>
      <c r="JW77" s="959"/>
    </row>
    <row r="78" spans="1:283" ht="15" customHeight="1" x14ac:dyDescent="0.25">
      <c r="A78" s="75" t="str">
        <f t="shared" si="640"/>
        <v/>
      </c>
      <c r="B78" s="578" t="str">
        <f t="shared" ref="B78:D78" si="862">IFERROR(O233+($A78*-E78),"")</f>
        <v/>
      </c>
      <c r="C78" s="572" t="str">
        <f t="shared" si="862"/>
        <v/>
      </c>
      <c r="D78" s="576" t="str">
        <f t="shared" si="862"/>
        <v/>
      </c>
      <c r="E78" s="580" t="str">
        <f t="shared" ref="E78:K78" si="863">R233</f>
        <v/>
      </c>
      <c r="F78" s="572" t="str">
        <f t="shared" si="863"/>
        <v/>
      </c>
      <c r="G78" s="579" t="str">
        <f t="shared" si="863"/>
        <v/>
      </c>
      <c r="H78" s="580" t="str">
        <f t="shared" si="863"/>
        <v/>
      </c>
      <c r="I78" s="572" t="str">
        <f t="shared" si="863"/>
        <v/>
      </c>
      <c r="J78" s="483" t="str">
        <f t="shared" si="728"/>
        <v/>
      </c>
      <c r="K78" s="806" t="str">
        <f t="shared" si="863"/>
        <v/>
      </c>
      <c r="L78" s="309"/>
      <c r="M78" s="164" t="str">
        <f t="shared" si="643"/>
        <v/>
      </c>
      <c r="N78" s="575" t="str">
        <f t="shared" si="644"/>
        <v/>
      </c>
      <c r="O78" s="572" t="str">
        <f t="shared" si="645"/>
        <v/>
      </c>
      <c r="P78" s="576" t="str">
        <f t="shared" si="646"/>
        <v/>
      </c>
      <c r="Q78" s="528" t="str">
        <f t="shared" si="729"/>
        <v/>
      </c>
      <c r="R78" s="572" t="str">
        <f>IF(M78="","",SQRT(N78^2+O78^2))</f>
        <v/>
      </c>
      <c r="S78" s="577" t="str">
        <f>IF(M78="","",P78)</f>
        <v/>
      </c>
      <c r="T78" s="578" t="str">
        <f>IF(M78="","",X78*COS(RADIANS(W78)))</f>
        <v/>
      </c>
      <c r="U78" s="572" t="str">
        <f>IF(M78="","",X78*SIN(RADIANS(W78)))</f>
        <v/>
      </c>
      <c r="V78" s="579" t="str">
        <f>IF(M78="","",Y78)</f>
        <v/>
      </c>
      <c r="W78" s="528" t="str">
        <f t="shared" si="268"/>
        <v/>
      </c>
      <c r="X78" s="572" t="str">
        <f>IF(M78="","",R78)</f>
        <v/>
      </c>
      <c r="Y78" s="573" t="str">
        <f t="shared" si="859"/>
        <v/>
      </c>
      <c r="Z78" s="575" t="str">
        <f t="shared" si="647"/>
        <v/>
      </c>
      <c r="AA78" s="572" t="str">
        <f t="shared" si="648"/>
        <v/>
      </c>
      <c r="AB78" s="572" t="str">
        <f t="shared" si="649"/>
        <v/>
      </c>
      <c r="AC78" s="579" t="str">
        <f>IF(M78="","",SQRT(Z78^2+AA78^2+AB78^2))</f>
        <v/>
      </c>
      <c r="AD78" s="580" t="str">
        <f>IF(M78="","",Z78*(1/SQRT(Z78^2+AA78^2+AB78^2)))</f>
        <v/>
      </c>
      <c r="AE78" s="572" t="str">
        <f>IF(M78="","",AA78*(1/SQRT(Z78^2+AA78^2+AB78^2)))</f>
        <v/>
      </c>
      <c r="AF78" s="576" t="str">
        <f>IF(M78="","",AB78*(1/SQRT(Z78^2+AA78^2+AB78^2)))</f>
        <v/>
      </c>
      <c r="AG78" s="545" t="str">
        <f>IF(M78="","",DEGREES(ATAN2(-AF78,AE78)))</f>
        <v/>
      </c>
      <c r="AH78" s="546" t="str">
        <f>IF(M78="","",DEGREES(ACOS(AD78)))</f>
        <v/>
      </c>
      <c r="AI78" s="528" t="str">
        <f>IF(M78="","",DEGREES(-ACOS(-AF78)))</f>
        <v/>
      </c>
      <c r="AJ78" s="529" t="str">
        <f>IF(M78="","",DEGREES(ATAN2(-AE78,AD78)))</f>
        <v/>
      </c>
      <c r="AK78" s="578" t="str">
        <f>IF(M78="","",(COS(RADIANS((90-$Q$8)-W78))*AD78)+(-SIN(RADIANS((90-$Q$8)-W78))*AE78))</f>
        <v/>
      </c>
      <c r="AL78" s="572" t="str">
        <f>IF(M78="","",(SIN(RADIANS((90-$Q$8)-W78))*AD78)+(COS(RADIANS((90-$Q$8)-W78))*AE78))</f>
        <v/>
      </c>
      <c r="AM78" s="577" t="str">
        <f>IF(M78="","",AF78)</f>
        <v/>
      </c>
      <c r="AN78" s="524" t="str">
        <f>IF(M78="","",DEGREES(ATAN2(-AM78,AL78)))</f>
        <v/>
      </c>
      <c r="AO78" s="525" t="str">
        <f t="shared" si="604"/>
        <v/>
      </c>
      <c r="AP78" s="528" t="str">
        <f>IF(M78="","",DEGREES(ATAN2(AK78,AL78)))</f>
        <v/>
      </c>
      <c r="AQ78" s="529" t="str">
        <f t="shared" si="650"/>
        <v/>
      </c>
      <c r="AR78" s="979"/>
      <c r="AS78" s="954" t="str">
        <f t="shared" si="755"/>
        <v/>
      </c>
      <c r="AT78" s="950" t="str">
        <f t="shared" si="651"/>
        <v/>
      </c>
      <c r="AU78" s="418"/>
      <c r="AV78" s="164" t="str">
        <f t="shared" si="652"/>
        <v/>
      </c>
      <c r="AW78" s="797" t="str">
        <f>IFERROR(INDEX(MassProp!C$9:C$150,MATCH($M78,MassProp!$B$9:$B$150,0)),"")</f>
        <v/>
      </c>
      <c r="AX78" s="744" t="str">
        <f>IFERROR(INDEX(MassProp!D$9:D$150,MATCH($M78,MassProp!$B$9:$B$150,0)),"")</f>
        <v/>
      </c>
      <c r="AY78" s="731" t="str">
        <f>IFERROR(INDEX(MassProp!E$9:E$150,MATCH($M78,MassProp!$B$9:$B$150,0)),"")</f>
        <v/>
      </c>
      <c r="AZ78" s="297" t="str">
        <f t="shared" si="756"/>
        <v/>
      </c>
      <c r="BA78" s="296" t="str">
        <f t="shared" si="653"/>
        <v/>
      </c>
      <c r="BB78" s="177" t="str">
        <f t="shared" si="730"/>
        <v/>
      </c>
      <c r="BC78" s="9"/>
      <c r="BD78" s="5" t="str">
        <f t="shared" si="731"/>
        <v/>
      </c>
      <c r="BE78" s="6" t="str">
        <f t="shared" si="654"/>
        <v/>
      </c>
      <c r="BF78" s="4" t="str">
        <f t="shared" si="655"/>
        <v/>
      </c>
      <c r="BG78" s="5" t="str">
        <f t="shared" si="656"/>
        <v/>
      </c>
      <c r="BH78" s="10" t="str">
        <f t="shared" si="657"/>
        <v/>
      </c>
      <c r="BI78" s="9" t="str">
        <f t="shared" si="757"/>
        <v/>
      </c>
      <c r="BJ78" s="5" t="str">
        <f t="shared" si="658"/>
        <v/>
      </c>
      <c r="BK78" s="8" t="str">
        <f t="shared" si="659"/>
        <v/>
      </c>
      <c r="BL78" s="173" t="str">
        <f t="shared" si="660"/>
        <v/>
      </c>
      <c r="BM78" s="5" t="str">
        <f t="shared" si="661"/>
        <v/>
      </c>
      <c r="BN78" s="6" t="str">
        <f t="shared" si="662"/>
        <v/>
      </c>
      <c r="BO78" s="4" t="str">
        <f t="shared" si="758"/>
        <v/>
      </c>
      <c r="BP78" s="5" t="str">
        <f t="shared" si="759"/>
        <v/>
      </c>
      <c r="BQ78" s="5" t="str">
        <f t="shared" si="760"/>
        <v/>
      </c>
      <c r="BR78" s="6" t="str">
        <f t="shared" si="761"/>
        <v/>
      </c>
      <c r="BS78" s="4" t="str">
        <f t="shared" si="732"/>
        <v/>
      </c>
      <c r="BT78" s="5" t="str">
        <f t="shared" si="732"/>
        <v/>
      </c>
      <c r="BU78" s="10" t="str">
        <f t="shared" si="733"/>
        <v/>
      </c>
      <c r="BV78" s="9" t="str">
        <f t="shared" si="734"/>
        <v/>
      </c>
      <c r="BW78" s="5" t="str">
        <f t="shared" si="735"/>
        <v/>
      </c>
      <c r="BX78" s="8" t="str">
        <f t="shared" si="736"/>
        <v/>
      </c>
      <c r="BY78" s="173" t="str">
        <f t="shared" si="737"/>
        <v/>
      </c>
      <c r="BZ78" s="5" t="str">
        <f t="shared" si="738"/>
        <v/>
      </c>
      <c r="CA78" s="6" t="str">
        <f t="shared" si="739"/>
        <v/>
      </c>
      <c r="CB78" s="4" t="str">
        <f t="shared" si="762"/>
        <v/>
      </c>
      <c r="CC78" s="5" t="str">
        <f t="shared" si="763"/>
        <v/>
      </c>
      <c r="CD78" s="5" t="str">
        <f t="shared" si="764"/>
        <v/>
      </c>
      <c r="CE78" s="6" t="str">
        <f t="shared" si="765"/>
        <v/>
      </c>
      <c r="CF78" s="4" t="str">
        <f t="shared" si="766"/>
        <v/>
      </c>
      <c r="CG78" s="5" t="str">
        <f t="shared" si="767"/>
        <v/>
      </c>
      <c r="CH78" s="5" t="str">
        <f t="shared" si="768"/>
        <v/>
      </c>
      <c r="CI78" s="4" t="str">
        <f t="shared" si="740"/>
        <v/>
      </c>
      <c r="CJ78" s="5" t="str">
        <f t="shared" si="741"/>
        <v/>
      </c>
      <c r="CK78" s="8" t="str">
        <f t="shared" si="742"/>
        <v/>
      </c>
      <c r="CL78" s="173" t="str">
        <f t="shared" si="743"/>
        <v/>
      </c>
      <c r="CM78" s="5" t="str">
        <f t="shared" si="744"/>
        <v/>
      </c>
      <c r="CN78" s="6" t="str">
        <f t="shared" si="745"/>
        <v/>
      </c>
      <c r="CO78" s="167" t="str">
        <f t="shared" si="663"/>
        <v/>
      </c>
      <c r="CP78" s="4" t="str">
        <f t="shared" si="769"/>
        <v/>
      </c>
      <c r="CQ78" s="5" t="str">
        <f t="shared" si="770"/>
        <v/>
      </c>
      <c r="CR78" s="5" t="str">
        <f t="shared" si="771"/>
        <v/>
      </c>
      <c r="CS78" s="8" t="str">
        <f t="shared" si="772"/>
        <v/>
      </c>
      <c r="CT78" s="9" t="str">
        <f t="shared" si="773"/>
        <v/>
      </c>
      <c r="CU78" s="6" t="str">
        <f t="shared" si="774"/>
        <v/>
      </c>
      <c r="CV78" s="4" t="str">
        <f t="shared" si="775"/>
        <v/>
      </c>
      <c r="CW78" s="5" t="str">
        <f t="shared" si="776"/>
        <v/>
      </c>
      <c r="CX78" s="8" t="str">
        <f t="shared" si="777"/>
        <v/>
      </c>
      <c r="CY78" s="9" t="str">
        <f t="shared" si="778"/>
        <v/>
      </c>
      <c r="CZ78" s="5" t="str">
        <f t="shared" si="779"/>
        <v/>
      </c>
      <c r="DA78" s="6" t="str">
        <f t="shared" si="780"/>
        <v/>
      </c>
      <c r="DB78" s="4" t="str">
        <f t="shared" si="781"/>
        <v/>
      </c>
      <c r="DC78" s="5" t="str">
        <f t="shared" si="781"/>
        <v/>
      </c>
      <c r="DD78" s="10" t="str">
        <f t="shared" si="782"/>
        <v/>
      </c>
      <c r="DE78" s="9" t="str">
        <f t="shared" si="783"/>
        <v/>
      </c>
      <c r="DF78" s="5" t="str">
        <f t="shared" si="783"/>
        <v/>
      </c>
      <c r="DG78" s="10" t="str">
        <f t="shared" si="784"/>
        <v/>
      </c>
      <c r="DH78" s="70" t="str">
        <f t="shared" si="785"/>
        <v/>
      </c>
      <c r="DI78" s="4" t="str">
        <f t="shared" si="786"/>
        <v/>
      </c>
      <c r="DJ78" s="5" t="str">
        <f t="shared" si="787"/>
        <v/>
      </c>
      <c r="DK78" s="10" t="str">
        <f t="shared" si="788"/>
        <v/>
      </c>
      <c r="DL78" s="9" t="str">
        <f t="shared" si="789"/>
        <v/>
      </c>
      <c r="DM78" s="173" t="str">
        <f t="shared" si="790"/>
        <v/>
      </c>
      <c r="DN78" s="178" t="str">
        <f t="shared" si="791"/>
        <v/>
      </c>
      <c r="DO78" s="9" t="str">
        <f t="shared" si="792"/>
        <v/>
      </c>
      <c r="DP78" s="173" t="str">
        <f t="shared" si="793"/>
        <v/>
      </c>
      <c r="DQ78" s="11" t="str">
        <f t="shared" si="794"/>
        <v/>
      </c>
      <c r="DR78" s="173" t="str">
        <f t="shared" si="795"/>
        <v/>
      </c>
      <c r="DS78" s="5" t="str">
        <f t="shared" si="796"/>
        <v/>
      </c>
      <c r="DT78" s="5" t="str">
        <f t="shared" si="797"/>
        <v/>
      </c>
      <c r="DU78" s="5" t="str">
        <f t="shared" si="798"/>
        <v/>
      </c>
      <c r="DV78" s="5" t="str">
        <f t="shared" si="799"/>
        <v/>
      </c>
      <c r="DW78" s="5" t="str">
        <f t="shared" si="800"/>
        <v/>
      </c>
      <c r="DX78" s="167" t="str">
        <f t="shared" si="801"/>
        <v/>
      </c>
      <c r="DY78" s="9" t="str">
        <f t="shared" si="802"/>
        <v/>
      </c>
      <c r="DZ78" s="5" t="str">
        <f t="shared" si="803"/>
        <v/>
      </c>
      <c r="EA78" s="10" t="str">
        <f t="shared" si="804"/>
        <v/>
      </c>
      <c r="EB78" s="6" t="str">
        <f t="shared" si="805"/>
        <v/>
      </c>
      <c r="EC78" s="173" t="str">
        <f t="shared" si="806"/>
        <v/>
      </c>
      <c r="ED78" s="5" t="str">
        <f t="shared" si="807"/>
        <v/>
      </c>
      <c r="EE78" s="4" t="str">
        <f t="shared" si="808"/>
        <v/>
      </c>
      <c r="EF78" s="5" t="str">
        <f t="shared" si="809"/>
        <v/>
      </c>
      <c r="EG78" s="10" t="str">
        <f t="shared" si="810"/>
        <v/>
      </c>
      <c r="EH78" s="9" t="str">
        <f t="shared" si="811"/>
        <v/>
      </c>
      <c r="EI78" s="5" t="str">
        <f t="shared" si="812"/>
        <v/>
      </c>
      <c r="EJ78" s="6" t="str">
        <f t="shared" si="813"/>
        <v/>
      </c>
      <c r="EK78" s="236" t="str">
        <f t="shared" si="814"/>
        <v/>
      </c>
      <c r="EL78" s="238" t="str">
        <f t="shared" si="815"/>
        <v/>
      </c>
      <c r="EM78" s="4" t="str">
        <f t="shared" si="816"/>
        <v/>
      </c>
      <c r="EN78" s="5" t="str">
        <f t="shared" si="817"/>
        <v/>
      </c>
      <c r="EO78" s="10" t="str">
        <f t="shared" si="818"/>
        <v/>
      </c>
      <c r="EP78" s="9" t="str">
        <f t="shared" si="819"/>
        <v/>
      </c>
      <c r="EQ78" s="5" t="str">
        <f t="shared" si="820"/>
        <v/>
      </c>
      <c r="ER78" s="7" t="str">
        <f t="shared" si="821"/>
        <v/>
      </c>
      <c r="ES78" s="21" t="str">
        <f t="shared" si="664"/>
        <v/>
      </c>
      <c r="ET78" s="5" t="str">
        <f t="shared" si="665"/>
        <v/>
      </c>
      <c r="EU78" s="10" t="str">
        <f t="shared" si="666"/>
        <v/>
      </c>
      <c r="EV78" s="174" t="str">
        <f t="shared" si="667"/>
        <v/>
      </c>
      <c r="EW78" s="9" t="str">
        <f t="shared" si="668"/>
        <v/>
      </c>
      <c r="EX78" s="5" t="str">
        <f t="shared" si="669"/>
        <v/>
      </c>
      <c r="EY78" s="6" t="str">
        <f t="shared" si="822"/>
        <v/>
      </c>
      <c r="EZ78" s="51" t="str">
        <f t="shared" si="823"/>
        <v/>
      </c>
      <c r="FA78" s="173" t="str">
        <f t="shared" si="670"/>
        <v/>
      </c>
      <c r="FB78" s="5" t="str">
        <f t="shared" si="671"/>
        <v/>
      </c>
      <c r="FC78" s="6" t="str">
        <f t="shared" si="672"/>
        <v/>
      </c>
      <c r="FD78" s="4" t="str">
        <f t="shared" si="673"/>
        <v/>
      </c>
      <c r="FE78" s="5" t="str">
        <f t="shared" si="674"/>
        <v/>
      </c>
      <c r="FF78" s="7" t="str">
        <f t="shared" si="824"/>
        <v/>
      </c>
      <c r="FG78" s="173" t="str">
        <f t="shared" si="675"/>
        <v/>
      </c>
      <c r="FH78" s="5" t="str">
        <f t="shared" si="676"/>
        <v/>
      </c>
      <c r="FI78" s="10" t="str">
        <f t="shared" si="677"/>
        <v/>
      </c>
      <c r="FJ78" s="279" t="str">
        <f t="shared" si="825"/>
        <v/>
      </c>
      <c r="FK78" s="4" t="str">
        <f t="shared" si="678"/>
        <v/>
      </c>
      <c r="FL78" s="5" t="str">
        <f t="shared" si="746"/>
        <v/>
      </c>
      <c r="FM78" s="8" t="str">
        <f t="shared" si="747"/>
        <v/>
      </c>
      <c r="FN78" s="9" t="str">
        <f t="shared" si="748"/>
        <v/>
      </c>
      <c r="FO78" s="10" t="str">
        <f t="shared" si="679"/>
        <v/>
      </c>
      <c r="FP78" s="277" t="str">
        <f t="shared" si="749"/>
        <v/>
      </c>
      <c r="FQ78" s="173" t="str">
        <f t="shared" si="826"/>
        <v/>
      </c>
      <c r="FR78" s="10" t="str">
        <f t="shared" si="827"/>
        <v/>
      </c>
      <c r="FS78" s="9" t="str">
        <f t="shared" si="828"/>
        <v/>
      </c>
      <c r="FT78" s="6" t="str">
        <f t="shared" si="829"/>
        <v/>
      </c>
      <c r="FU78" s="4" t="str">
        <f t="shared" si="830"/>
        <v/>
      </c>
      <c r="FV78" s="5" t="str">
        <f t="shared" si="831"/>
        <v/>
      </c>
      <c r="FW78" s="8" t="str">
        <f t="shared" si="832"/>
        <v/>
      </c>
      <c r="FX78" s="9" t="str">
        <f t="shared" si="833"/>
        <v/>
      </c>
      <c r="FY78" s="10" t="str">
        <f t="shared" si="680"/>
        <v/>
      </c>
      <c r="FZ78" s="277" t="str">
        <f t="shared" si="834"/>
        <v/>
      </c>
      <c r="GA78" s="177" t="str">
        <f t="shared" si="835"/>
        <v/>
      </c>
      <c r="GB78" s="4" t="str">
        <f t="shared" si="836"/>
        <v/>
      </c>
      <c r="GC78" s="5" t="str">
        <f t="shared" si="837"/>
        <v/>
      </c>
      <c r="GD78" s="10" t="str">
        <f t="shared" si="838"/>
        <v/>
      </c>
      <c r="GE78" s="311" t="str">
        <f t="shared" si="839"/>
        <v/>
      </c>
      <c r="GF78" s="341" t="str">
        <f t="shared" si="840"/>
        <v/>
      </c>
      <c r="GG78" s="285" t="str">
        <f t="shared" si="681"/>
        <v/>
      </c>
      <c r="GH78" s="286" t="str">
        <f t="shared" si="682"/>
        <v/>
      </c>
      <c r="GI78" s="281" t="str">
        <f t="shared" si="683"/>
        <v/>
      </c>
      <c r="GJ78" s="167" t="str">
        <f t="shared" si="841"/>
        <v/>
      </c>
      <c r="GK78" s="174" t="str">
        <f t="shared" si="684"/>
        <v/>
      </c>
      <c r="GL78" s="174" t="str">
        <f t="shared" si="842"/>
        <v/>
      </c>
      <c r="GM78" s="177" t="str">
        <f t="shared" si="843"/>
        <v/>
      </c>
      <c r="GN78" s="280" t="str">
        <f t="shared" si="844"/>
        <v/>
      </c>
      <c r="GO78" s="4" t="str">
        <f t="shared" si="845"/>
        <v/>
      </c>
      <c r="GP78" s="8" t="str">
        <f t="shared" si="846"/>
        <v/>
      </c>
      <c r="GQ78" s="177" t="str">
        <f t="shared" si="847"/>
        <v/>
      </c>
      <c r="GR78" s="371" t="str">
        <f t="shared" si="848"/>
        <v/>
      </c>
      <c r="GS78" s="342" t="str">
        <f t="shared" si="685"/>
        <v/>
      </c>
      <c r="GT78" s="343" t="str">
        <f t="shared" si="686"/>
        <v/>
      </c>
      <c r="GU78" s="344" t="str">
        <f t="shared" si="687"/>
        <v/>
      </c>
      <c r="GV78" s="343" t="str">
        <f t="shared" si="849"/>
        <v/>
      </c>
      <c r="GW78" s="345" t="str">
        <f t="shared" si="688"/>
        <v/>
      </c>
      <c r="GX78" s="346" t="str">
        <f t="shared" si="689"/>
        <v/>
      </c>
      <c r="GY78" s="344" t="str">
        <f t="shared" si="690"/>
        <v/>
      </c>
      <c r="GZ78" s="345" t="str">
        <f t="shared" si="691"/>
        <v/>
      </c>
      <c r="HA78" s="342" t="str">
        <f t="shared" si="692"/>
        <v/>
      </c>
      <c r="HB78" s="5" t="str">
        <f t="shared" si="850"/>
        <v/>
      </c>
      <c r="HC78" s="343" t="str">
        <f t="shared" si="851"/>
        <v/>
      </c>
      <c r="HD78" s="363" t="str">
        <f t="shared" si="852"/>
        <v/>
      </c>
      <c r="HE78" s="344" t="str">
        <f t="shared" si="693"/>
        <v/>
      </c>
      <c r="HF78" s="5" t="str">
        <f t="shared" si="694"/>
        <v/>
      </c>
      <c r="HG78" s="343" t="str">
        <f t="shared" si="853"/>
        <v/>
      </c>
      <c r="HH78" s="349" t="str">
        <f t="shared" si="854"/>
        <v/>
      </c>
      <c r="HI78" s="317" t="str">
        <f t="shared" si="695"/>
        <v/>
      </c>
      <c r="HK78" s="310" t="str">
        <f t="shared" si="750"/>
        <v/>
      </c>
      <c r="HL78" s="348" t="str">
        <f t="shared" si="696"/>
        <v/>
      </c>
      <c r="HM78" s="923" t="str">
        <f t="shared" si="697"/>
        <v/>
      </c>
      <c r="HN78" s="924" t="str">
        <f t="shared" si="698"/>
        <v/>
      </c>
      <c r="HO78" s="925"/>
      <c r="HP78" s="926"/>
      <c r="HQ78" s="924" t="str">
        <f t="shared" si="699"/>
        <v/>
      </c>
      <c r="HR78" s="927" t="str">
        <f t="shared" si="700"/>
        <v/>
      </c>
      <c r="HS78" s="879" t="str">
        <f t="shared" si="751"/>
        <v/>
      </c>
      <c r="HT78" s="889" t="str">
        <f t="shared" si="701"/>
        <v/>
      </c>
      <c r="HU78" s="890" t="str">
        <f t="shared" si="702"/>
        <v/>
      </c>
      <c r="HV78" s="886" t="str">
        <f t="shared" si="703"/>
        <v/>
      </c>
      <c r="HW78" s="880" t="str">
        <f t="shared" si="704"/>
        <v/>
      </c>
      <c r="HX78" s="881" t="str">
        <f t="shared" si="705"/>
        <v/>
      </c>
      <c r="HY78" s="880" t="str">
        <f t="shared" si="706"/>
        <v/>
      </c>
      <c r="HZ78" s="882" t="str">
        <f t="shared" si="707"/>
        <v/>
      </c>
      <c r="IA78" s="883" t="str">
        <f t="shared" si="708"/>
        <v/>
      </c>
      <c r="IB78" s="884" t="str">
        <f t="shared" si="709"/>
        <v/>
      </c>
      <c r="IC78" s="855" t="str">
        <f t="shared" si="710"/>
        <v/>
      </c>
      <c r="ID78" s="351" t="str">
        <f t="shared" si="711"/>
        <v/>
      </c>
      <c r="IE78" s="857" t="str">
        <f t="shared" si="712"/>
        <v/>
      </c>
      <c r="IF78" s="858"/>
      <c r="IG78" s="790" t="str">
        <f>IFERROR(IF($IW78="","",IF($IW78&lt;(((Settings!$C$19/2)*-1)*$IG$8),"Taper","Nose")),"")</f>
        <v/>
      </c>
      <c r="IH78" s="482" t="str">
        <f>IFERROR(IF((((($IY78*COS(RADIANS(180-$JA78)))*COS(RADIANS($JA78)))-(($IZ78*SIN(RADIANS(180-$JA78)))*SIN(RADIANS($JA78))))+$IW78)&lt;(((Settings!$C$19+$IH$8)/2)*-1),"Gage",""),"")</f>
        <v/>
      </c>
      <c r="II78" s="788" t="str">
        <f t="shared" si="855"/>
        <v/>
      </c>
      <c r="IJ78" s="674" t="str" cm="1">
        <f t="array" ref="IJ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K78" s="677" t="str" cm="1">
        <f t="array" ref="IK78">IFERROR(ROUND(VALUE(IF($IJ78&lt;1,$IJ78+LARGE((IF($M$9:$M$150="",0,$M$9:$M$150)-MOD(IF($M$9:$M$150="",0,$M$9:$M$150),1)),1),$IJ78)),4),"")</f>
        <v/>
      </c>
      <c r="IL78" s="482" t="str">
        <f t="shared" si="713"/>
        <v/>
      </c>
      <c r="IM78" s="482" t="str">
        <f t="shared" si="856"/>
        <v/>
      </c>
      <c r="IN78" s="670" t="str">
        <f t="shared" si="714"/>
        <v/>
      </c>
      <c r="IO78" s="702">
        <v>2.0596001756787202E-2</v>
      </c>
      <c r="IP78" s="5" t="str">
        <f t="shared" si="715"/>
        <v/>
      </c>
      <c r="IQ78" s="714">
        <v>310</v>
      </c>
      <c r="IR78" s="9" t="str">
        <f t="shared" si="716"/>
        <v/>
      </c>
      <c r="IS78" s="5" t="str">
        <f t="shared" si="717"/>
        <v/>
      </c>
      <c r="IT78" s="5" t="str">
        <f t="shared" si="718"/>
        <v/>
      </c>
      <c r="IU78" s="5" t="str">
        <f t="shared" si="719"/>
        <v/>
      </c>
      <c r="IV78" s="670" t="str">
        <f t="shared" si="720"/>
        <v/>
      </c>
      <c r="IW78" s="9" t="str">
        <f t="shared" si="721"/>
        <v/>
      </c>
      <c r="IX78" s="5" t="str">
        <f t="shared" si="722"/>
        <v/>
      </c>
      <c r="IY78" s="5" t="str">
        <f t="shared" si="723"/>
        <v/>
      </c>
      <c r="IZ78" s="5" t="str">
        <f t="shared" si="724"/>
        <v/>
      </c>
      <c r="JA78" s="705" t="str">
        <f t="shared" si="725"/>
        <v/>
      </c>
      <c r="JM78" s="489" t="e">
        <f t="shared" si="752"/>
        <v>#VALUE!</v>
      </c>
      <c r="JN78" s="960" t="e">
        <f>($JO78-SMALL($JO$9:$JO$88,1))/((Settings!$C$19/2)-((Settings!$C$19/2)-LARGE($JO$9:$JO$88,1))-SMALL($JO$9:$JO$88,1))</f>
        <v>#VALUE!</v>
      </c>
      <c r="JO78" s="162" t="str">
        <f t="shared" si="635"/>
        <v/>
      </c>
      <c r="JP78" s="961" t="str">
        <f t="shared" si="636"/>
        <v/>
      </c>
      <c r="JQ78" s="961" t="str">
        <f t="shared" si="637"/>
        <v/>
      </c>
      <c r="JU78" s="962"/>
      <c r="JV78" s="959"/>
      <c r="JW78" s="959"/>
    </row>
    <row r="79" spans="1:283" ht="15" customHeight="1" x14ac:dyDescent="0.25">
      <c r="A79" s="75" t="str">
        <f t="shared" si="640"/>
        <v/>
      </c>
      <c r="B79" s="578" t="str">
        <f t="shared" ref="B79:D79" si="864">IFERROR(O234+($A79*-E79),"")</f>
        <v/>
      </c>
      <c r="C79" s="572" t="str">
        <f t="shared" si="864"/>
        <v/>
      </c>
      <c r="D79" s="576" t="str">
        <f t="shared" si="864"/>
        <v/>
      </c>
      <c r="E79" s="580" t="str">
        <f t="shared" ref="E79:K79" si="865">R234</f>
        <v/>
      </c>
      <c r="F79" s="572" t="str">
        <f t="shared" si="865"/>
        <v/>
      </c>
      <c r="G79" s="579" t="str">
        <f t="shared" si="865"/>
        <v/>
      </c>
      <c r="H79" s="580" t="str">
        <f t="shared" si="865"/>
        <v/>
      </c>
      <c r="I79" s="572" t="str">
        <f t="shared" si="865"/>
        <v/>
      </c>
      <c r="J79" s="483" t="str">
        <f t="shared" si="728"/>
        <v/>
      </c>
      <c r="K79" s="806" t="str">
        <f t="shared" si="865"/>
        <v/>
      </c>
      <c r="L79" s="309"/>
      <c r="M79" s="164" t="str">
        <f t="shared" si="643"/>
        <v/>
      </c>
      <c r="N79" s="575" t="str">
        <f t="shared" si="644"/>
        <v/>
      </c>
      <c r="O79" s="572" t="str">
        <f t="shared" si="645"/>
        <v/>
      </c>
      <c r="P79" s="576" t="str">
        <f t="shared" si="646"/>
        <v/>
      </c>
      <c r="Q79" s="528" t="str">
        <f t="shared" si="729"/>
        <v/>
      </c>
      <c r="R79" s="572" t="str">
        <f>IF(M79="","",SQRT(N79^2+O79^2))</f>
        <v/>
      </c>
      <c r="S79" s="577" t="str">
        <f>IF(M79="","",P79)</f>
        <v/>
      </c>
      <c r="T79" s="578" t="str">
        <f>IF(M79="","",X79*COS(RADIANS(W79)))</f>
        <v/>
      </c>
      <c r="U79" s="572" t="str">
        <f>IF(M79="","",X79*SIN(RADIANS(W79)))</f>
        <v/>
      </c>
      <c r="V79" s="579" t="str">
        <f>IF(M79="","",Y79)</f>
        <v/>
      </c>
      <c r="W79" s="528" t="str">
        <f t="shared" ref="W79:W129" si="866">IF(M79="","",IF(Q79-$Q$8&lt;0,360+Q79-$Q$8,Q79-$Q$8))</f>
        <v/>
      </c>
      <c r="X79" s="572" t="str">
        <f>IF(M79="","",R79)</f>
        <v/>
      </c>
      <c r="Y79" s="573" t="str">
        <f t="shared" si="859"/>
        <v/>
      </c>
      <c r="Z79" s="575" t="str">
        <f t="shared" si="647"/>
        <v/>
      </c>
      <c r="AA79" s="572" t="str">
        <f t="shared" si="648"/>
        <v/>
      </c>
      <c r="AB79" s="572" t="str">
        <f t="shared" si="649"/>
        <v/>
      </c>
      <c r="AC79" s="579" t="str">
        <f>IF(M79="","",SQRT(Z79^2+AA79^2+AB79^2))</f>
        <v/>
      </c>
      <c r="AD79" s="580" t="str">
        <f>IF(M79="","",Z79*(1/SQRT(Z79^2+AA79^2+AB79^2)))</f>
        <v/>
      </c>
      <c r="AE79" s="572" t="str">
        <f>IF(M79="","",AA79*(1/SQRT(Z79^2+AA79^2+AB79^2)))</f>
        <v/>
      </c>
      <c r="AF79" s="576" t="str">
        <f>IF(M79="","",AB79*(1/SQRT(Z79^2+AA79^2+AB79^2)))</f>
        <v/>
      </c>
      <c r="AG79" s="545" t="str">
        <f>IF(M79="","",DEGREES(ATAN2(-AF79,AE79)))</f>
        <v/>
      </c>
      <c r="AH79" s="546" t="str">
        <f>IF(M79="","",DEGREES(ACOS(AD79)))</f>
        <v/>
      </c>
      <c r="AI79" s="528" t="str">
        <f>IF(M79="","",DEGREES(-ACOS(-AF79)))</f>
        <v/>
      </c>
      <c r="AJ79" s="529" t="str">
        <f>IF(M79="","",DEGREES(ATAN2(-AE79,AD79)))</f>
        <v/>
      </c>
      <c r="AK79" s="578" t="str">
        <f>IF(M79="","",(COS(RADIANS((90-$Q$8)-W79))*AD79)+(-SIN(RADIANS((90-$Q$8)-W79))*AE79))</f>
        <v/>
      </c>
      <c r="AL79" s="572" t="str">
        <f>IF(M79="","",(SIN(RADIANS((90-$Q$8)-W79))*AD79)+(COS(RADIANS((90-$Q$8)-W79))*AE79))</f>
        <v/>
      </c>
      <c r="AM79" s="577" t="str">
        <f>IF(M79="","",AF79)</f>
        <v/>
      </c>
      <c r="AN79" s="524" t="str">
        <f>IF(M79="","",DEGREES(ATAN2(-AM79,AL79)))</f>
        <v/>
      </c>
      <c r="AO79" s="525" t="str">
        <f t="shared" si="604"/>
        <v/>
      </c>
      <c r="AP79" s="528" t="str">
        <f>IF(M79="","",DEGREES(ATAN2(AK79,AL79)))</f>
        <v/>
      </c>
      <c r="AQ79" s="529" t="str">
        <f t="shared" si="650"/>
        <v/>
      </c>
      <c r="AR79" s="979"/>
      <c r="AS79" s="954" t="str">
        <f t="shared" si="755"/>
        <v/>
      </c>
      <c r="AT79" s="950" t="str">
        <f t="shared" si="651"/>
        <v/>
      </c>
      <c r="AU79" s="418"/>
      <c r="AV79" s="164" t="str">
        <f t="shared" si="652"/>
        <v/>
      </c>
      <c r="AW79" s="797" t="str">
        <f>IFERROR(INDEX(MassProp!C$9:C$150,MATCH($M79,MassProp!$B$9:$B$150,0)),"")</f>
        <v/>
      </c>
      <c r="AX79" s="744" t="str">
        <f>IFERROR(INDEX(MassProp!D$9:D$150,MATCH($M79,MassProp!$B$9:$B$150,0)),"")</f>
        <v/>
      </c>
      <c r="AY79" s="731" t="str">
        <f>IFERROR(INDEX(MassProp!E$9:E$150,MATCH($M79,MassProp!$B$9:$B$150,0)),"")</f>
        <v/>
      </c>
      <c r="AZ79" s="297" t="str">
        <f t="shared" si="756"/>
        <v/>
      </c>
      <c r="BA79" s="296" t="str">
        <f t="shared" si="653"/>
        <v/>
      </c>
      <c r="BB79" s="177" t="str">
        <f t="shared" si="730"/>
        <v/>
      </c>
      <c r="BC79" s="9"/>
      <c r="BD79" s="5" t="str">
        <f t="shared" si="731"/>
        <v/>
      </c>
      <c r="BE79" s="6" t="str">
        <f t="shared" si="654"/>
        <v/>
      </c>
      <c r="BF79" s="4" t="str">
        <f t="shared" si="655"/>
        <v/>
      </c>
      <c r="BG79" s="5" t="str">
        <f t="shared" si="656"/>
        <v/>
      </c>
      <c r="BH79" s="10" t="str">
        <f t="shared" si="657"/>
        <v/>
      </c>
      <c r="BI79" s="9" t="str">
        <f t="shared" si="757"/>
        <v/>
      </c>
      <c r="BJ79" s="5" t="str">
        <f t="shared" si="658"/>
        <v/>
      </c>
      <c r="BK79" s="8" t="str">
        <f t="shared" si="659"/>
        <v/>
      </c>
      <c r="BL79" s="173" t="str">
        <f t="shared" si="660"/>
        <v/>
      </c>
      <c r="BM79" s="5" t="str">
        <f t="shared" si="661"/>
        <v/>
      </c>
      <c r="BN79" s="6" t="str">
        <f t="shared" si="662"/>
        <v/>
      </c>
      <c r="BO79" s="4" t="str">
        <f t="shared" si="758"/>
        <v/>
      </c>
      <c r="BP79" s="5" t="str">
        <f t="shared" si="759"/>
        <v/>
      </c>
      <c r="BQ79" s="5" t="str">
        <f t="shared" si="760"/>
        <v/>
      </c>
      <c r="BR79" s="6" t="str">
        <f t="shared" si="761"/>
        <v/>
      </c>
      <c r="BS79" s="4" t="str">
        <f t="shared" si="732"/>
        <v/>
      </c>
      <c r="BT79" s="5" t="str">
        <f t="shared" si="732"/>
        <v/>
      </c>
      <c r="BU79" s="10" t="str">
        <f t="shared" si="733"/>
        <v/>
      </c>
      <c r="BV79" s="9" t="str">
        <f t="shared" si="734"/>
        <v/>
      </c>
      <c r="BW79" s="5" t="str">
        <f t="shared" si="735"/>
        <v/>
      </c>
      <c r="BX79" s="8" t="str">
        <f t="shared" si="736"/>
        <v/>
      </c>
      <c r="BY79" s="173" t="str">
        <f t="shared" si="737"/>
        <v/>
      </c>
      <c r="BZ79" s="5" t="str">
        <f t="shared" si="738"/>
        <v/>
      </c>
      <c r="CA79" s="6" t="str">
        <f t="shared" si="739"/>
        <v/>
      </c>
      <c r="CB79" s="4" t="str">
        <f t="shared" si="762"/>
        <v/>
      </c>
      <c r="CC79" s="5" t="str">
        <f t="shared" si="763"/>
        <v/>
      </c>
      <c r="CD79" s="5" t="str">
        <f t="shared" si="764"/>
        <v/>
      </c>
      <c r="CE79" s="6" t="str">
        <f t="shared" si="765"/>
        <v/>
      </c>
      <c r="CF79" s="4" t="str">
        <f t="shared" si="766"/>
        <v/>
      </c>
      <c r="CG79" s="5" t="str">
        <f t="shared" si="767"/>
        <v/>
      </c>
      <c r="CH79" s="5" t="str">
        <f t="shared" si="768"/>
        <v/>
      </c>
      <c r="CI79" s="4" t="str">
        <f t="shared" si="740"/>
        <v/>
      </c>
      <c r="CJ79" s="5" t="str">
        <f t="shared" si="741"/>
        <v/>
      </c>
      <c r="CK79" s="8" t="str">
        <f t="shared" si="742"/>
        <v/>
      </c>
      <c r="CL79" s="173" t="str">
        <f t="shared" si="743"/>
        <v/>
      </c>
      <c r="CM79" s="5" t="str">
        <f t="shared" si="744"/>
        <v/>
      </c>
      <c r="CN79" s="6" t="str">
        <f t="shared" si="745"/>
        <v/>
      </c>
      <c r="CO79" s="167" t="str">
        <f t="shared" si="663"/>
        <v/>
      </c>
      <c r="CP79" s="4" t="str">
        <f t="shared" si="769"/>
        <v/>
      </c>
      <c r="CQ79" s="5" t="str">
        <f t="shared" si="770"/>
        <v/>
      </c>
      <c r="CR79" s="5" t="str">
        <f t="shared" si="771"/>
        <v/>
      </c>
      <c r="CS79" s="8" t="str">
        <f t="shared" si="772"/>
        <v/>
      </c>
      <c r="CT79" s="9" t="str">
        <f t="shared" si="773"/>
        <v/>
      </c>
      <c r="CU79" s="6" t="str">
        <f t="shared" si="774"/>
        <v/>
      </c>
      <c r="CV79" s="4" t="str">
        <f t="shared" si="775"/>
        <v/>
      </c>
      <c r="CW79" s="5" t="str">
        <f t="shared" si="776"/>
        <v/>
      </c>
      <c r="CX79" s="8" t="str">
        <f t="shared" si="777"/>
        <v/>
      </c>
      <c r="CY79" s="9" t="str">
        <f t="shared" si="778"/>
        <v/>
      </c>
      <c r="CZ79" s="5" t="str">
        <f t="shared" si="779"/>
        <v/>
      </c>
      <c r="DA79" s="6" t="str">
        <f t="shared" si="780"/>
        <v/>
      </c>
      <c r="DB79" s="4" t="str">
        <f t="shared" si="781"/>
        <v/>
      </c>
      <c r="DC79" s="5" t="str">
        <f t="shared" si="781"/>
        <v/>
      </c>
      <c r="DD79" s="10" t="str">
        <f t="shared" si="782"/>
        <v/>
      </c>
      <c r="DE79" s="9" t="str">
        <f t="shared" si="783"/>
        <v/>
      </c>
      <c r="DF79" s="5" t="str">
        <f t="shared" si="783"/>
        <v/>
      </c>
      <c r="DG79" s="10" t="str">
        <f t="shared" si="784"/>
        <v/>
      </c>
      <c r="DH79" s="70" t="str">
        <f t="shared" si="785"/>
        <v/>
      </c>
      <c r="DI79" s="4" t="str">
        <f t="shared" si="786"/>
        <v/>
      </c>
      <c r="DJ79" s="5" t="str">
        <f t="shared" si="787"/>
        <v/>
      </c>
      <c r="DK79" s="10" t="str">
        <f t="shared" si="788"/>
        <v/>
      </c>
      <c r="DL79" s="9" t="str">
        <f t="shared" si="789"/>
        <v/>
      </c>
      <c r="DM79" s="173" t="str">
        <f t="shared" si="790"/>
        <v/>
      </c>
      <c r="DN79" s="178" t="str">
        <f t="shared" si="791"/>
        <v/>
      </c>
      <c r="DO79" s="9" t="str">
        <f t="shared" si="792"/>
        <v/>
      </c>
      <c r="DP79" s="173" t="str">
        <f t="shared" si="793"/>
        <v/>
      </c>
      <c r="DQ79" s="11" t="str">
        <f t="shared" si="794"/>
        <v/>
      </c>
      <c r="DR79" s="173" t="str">
        <f t="shared" si="795"/>
        <v/>
      </c>
      <c r="DS79" s="5" t="str">
        <f t="shared" si="796"/>
        <v/>
      </c>
      <c r="DT79" s="5" t="str">
        <f t="shared" si="797"/>
        <v/>
      </c>
      <c r="DU79" s="5" t="str">
        <f t="shared" si="798"/>
        <v/>
      </c>
      <c r="DV79" s="5" t="str">
        <f t="shared" si="799"/>
        <v/>
      </c>
      <c r="DW79" s="5" t="str">
        <f t="shared" si="800"/>
        <v/>
      </c>
      <c r="DX79" s="167" t="str">
        <f t="shared" si="801"/>
        <v/>
      </c>
      <c r="DY79" s="9" t="str">
        <f t="shared" si="802"/>
        <v/>
      </c>
      <c r="DZ79" s="5" t="str">
        <f t="shared" si="803"/>
        <v/>
      </c>
      <c r="EA79" s="10" t="str">
        <f t="shared" si="804"/>
        <v/>
      </c>
      <c r="EB79" s="6" t="str">
        <f t="shared" si="805"/>
        <v/>
      </c>
      <c r="EC79" s="173" t="str">
        <f t="shared" si="806"/>
        <v/>
      </c>
      <c r="ED79" s="5" t="str">
        <f t="shared" si="807"/>
        <v/>
      </c>
      <c r="EE79" s="4" t="str">
        <f t="shared" si="808"/>
        <v/>
      </c>
      <c r="EF79" s="5" t="str">
        <f t="shared" si="809"/>
        <v/>
      </c>
      <c r="EG79" s="10" t="str">
        <f t="shared" si="810"/>
        <v/>
      </c>
      <c r="EH79" s="9" t="str">
        <f t="shared" si="811"/>
        <v/>
      </c>
      <c r="EI79" s="5" t="str">
        <f t="shared" si="812"/>
        <v/>
      </c>
      <c r="EJ79" s="6" t="str">
        <f t="shared" si="813"/>
        <v/>
      </c>
      <c r="EK79" s="236" t="str">
        <f t="shared" si="814"/>
        <v/>
      </c>
      <c r="EL79" s="238" t="str">
        <f t="shared" si="815"/>
        <v/>
      </c>
      <c r="EM79" s="4" t="str">
        <f t="shared" si="816"/>
        <v/>
      </c>
      <c r="EN79" s="5" t="str">
        <f t="shared" si="817"/>
        <v/>
      </c>
      <c r="EO79" s="10" t="str">
        <f t="shared" si="818"/>
        <v/>
      </c>
      <c r="EP79" s="9" t="str">
        <f t="shared" si="819"/>
        <v/>
      </c>
      <c r="EQ79" s="5" t="str">
        <f t="shared" si="820"/>
        <v/>
      </c>
      <c r="ER79" s="7" t="str">
        <f t="shared" si="821"/>
        <v/>
      </c>
      <c r="ES79" s="21" t="str">
        <f t="shared" si="664"/>
        <v/>
      </c>
      <c r="ET79" s="5" t="str">
        <f t="shared" si="665"/>
        <v/>
      </c>
      <c r="EU79" s="10" t="str">
        <f t="shared" si="666"/>
        <v/>
      </c>
      <c r="EV79" s="174" t="str">
        <f t="shared" si="667"/>
        <v/>
      </c>
      <c r="EW79" s="9" t="str">
        <f t="shared" si="668"/>
        <v/>
      </c>
      <c r="EX79" s="5" t="str">
        <f t="shared" si="669"/>
        <v/>
      </c>
      <c r="EY79" s="6" t="str">
        <f t="shared" si="822"/>
        <v/>
      </c>
      <c r="EZ79" s="51" t="str">
        <f t="shared" si="823"/>
        <v/>
      </c>
      <c r="FA79" s="173" t="str">
        <f t="shared" si="670"/>
        <v/>
      </c>
      <c r="FB79" s="5" t="str">
        <f t="shared" si="671"/>
        <v/>
      </c>
      <c r="FC79" s="6" t="str">
        <f t="shared" si="672"/>
        <v/>
      </c>
      <c r="FD79" s="4" t="str">
        <f t="shared" si="673"/>
        <v/>
      </c>
      <c r="FE79" s="5" t="str">
        <f t="shared" si="674"/>
        <v/>
      </c>
      <c r="FF79" s="7" t="str">
        <f t="shared" si="824"/>
        <v/>
      </c>
      <c r="FG79" s="173" t="str">
        <f t="shared" si="675"/>
        <v/>
      </c>
      <c r="FH79" s="5" t="str">
        <f t="shared" si="676"/>
        <v/>
      </c>
      <c r="FI79" s="10" t="str">
        <f t="shared" si="677"/>
        <v/>
      </c>
      <c r="FJ79" s="279" t="str">
        <f t="shared" si="825"/>
        <v/>
      </c>
      <c r="FK79" s="4" t="str">
        <f t="shared" si="678"/>
        <v/>
      </c>
      <c r="FL79" s="5" t="str">
        <f t="shared" si="746"/>
        <v/>
      </c>
      <c r="FM79" s="8" t="str">
        <f t="shared" si="747"/>
        <v/>
      </c>
      <c r="FN79" s="9" t="str">
        <f t="shared" si="748"/>
        <v/>
      </c>
      <c r="FO79" s="10" t="str">
        <f t="shared" si="679"/>
        <v/>
      </c>
      <c r="FP79" s="277" t="str">
        <f t="shared" si="749"/>
        <v/>
      </c>
      <c r="FQ79" s="173" t="str">
        <f t="shared" si="826"/>
        <v/>
      </c>
      <c r="FR79" s="10" t="str">
        <f t="shared" si="827"/>
        <v/>
      </c>
      <c r="FS79" s="9" t="str">
        <f t="shared" si="828"/>
        <v/>
      </c>
      <c r="FT79" s="6" t="str">
        <f t="shared" si="829"/>
        <v/>
      </c>
      <c r="FU79" s="4" t="str">
        <f t="shared" si="830"/>
        <v/>
      </c>
      <c r="FV79" s="5" t="str">
        <f t="shared" si="831"/>
        <v/>
      </c>
      <c r="FW79" s="8" t="str">
        <f t="shared" si="832"/>
        <v/>
      </c>
      <c r="FX79" s="9" t="str">
        <f t="shared" si="833"/>
        <v/>
      </c>
      <c r="FY79" s="10" t="str">
        <f t="shared" si="680"/>
        <v/>
      </c>
      <c r="FZ79" s="277" t="str">
        <f t="shared" si="834"/>
        <v/>
      </c>
      <c r="GA79" s="177" t="str">
        <f t="shared" si="835"/>
        <v/>
      </c>
      <c r="GB79" s="4" t="str">
        <f t="shared" si="836"/>
        <v/>
      </c>
      <c r="GC79" s="5" t="str">
        <f t="shared" si="837"/>
        <v/>
      </c>
      <c r="GD79" s="10" t="str">
        <f t="shared" si="838"/>
        <v/>
      </c>
      <c r="GE79" s="311" t="str">
        <f t="shared" si="839"/>
        <v/>
      </c>
      <c r="GF79" s="341" t="str">
        <f t="shared" si="840"/>
        <v/>
      </c>
      <c r="GG79" s="285" t="str">
        <f t="shared" si="681"/>
        <v/>
      </c>
      <c r="GH79" s="286" t="str">
        <f t="shared" si="682"/>
        <v/>
      </c>
      <c r="GI79" s="281" t="str">
        <f t="shared" si="683"/>
        <v/>
      </c>
      <c r="GJ79" s="167" t="str">
        <f t="shared" si="841"/>
        <v/>
      </c>
      <c r="GK79" s="174" t="str">
        <f t="shared" si="684"/>
        <v/>
      </c>
      <c r="GL79" s="174" t="str">
        <f t="shared" si="842"/>
        <v/>
      </c>
      <c r="GM79" s="177" t="str">
        <f t="shared" si="843"/>
        <v/>
      </c>
      <c r="GN79" s="280" t="str">
        <f t="shared" si="844"/>
        <v/>
      </c>
      <c r="GO79" s="4" t="str">
        <f t="shared" si="845"/>
        <v/>
      </c>
      <c r="GP79" s="8" t="str">
        <f t="shared" si="846"/>
        <v/>
      </c>
      <c r="GQ79" s="177" t="str">
        <f t="shared" si="847"/>
        <v/>
      </c>
      <c r="GR79" s="371" t="str">
        <f t="shared" si="848"/>
        <v/>
      </c>
      <c r="GS79" s="342" t="str">
        <f t="shared" si="685"/>
        <v/>
      </c>
      <c r="GT79" s="343" t="str">
        <f t="shared" si="686"/>
        <v/>
      </c>
      <c r="GU79" s="344" t="str">
        <f t="shared" si="687"/>
        <v/>
      </c>
      <c r="GV79" s="343" t="str">
        <f t="shared" si="849"/>
        <v/>
      </c>
      <c r="GW79" s="345" t="str">
        <f t="shared" si="688"/>
        <v/>
      </c>
      <c r="GX79" s="346" t="str">
        <f t="shared" si="689"/>
        <v/>
      </c>
      <c r="GY79" s="344" t="str">
        <f t="shared" si="690"/>
        <v/>
      </c>
      <c r="GZ79" s="345" t="str">
        <f t="shared" si="691"/>
        <v/>
      </c>
      <c r="HA79" s="342" t="str">
        <f t="shared" si="692"/>
        <v/>
      </c>
      <c r="HB79" s="5" t="str">
        <f t="shared" si="850"/>
        <v/>
      </c>
      <c r="HC79" s="343" t="str">
        <f t="shared" si="851"/>
        <v/>
      </c>
      <c r="HD79" s="363" t="str">
        <f t="shared" si="852"/>
        <v/>
      </c>
      <c r="HE79" s="344" t="str">
        <f t="shared" si="693"/>
        <v/>
      </c>
      <c r="HF79" s="5" t="str">
        <f t="shared" si="694"/>
        <v/>
      </c>
      <c r="HG79" s="343" t="str">
        <f t="shared" si="853"/>
        <v/>
      </c>
      <c r="HH79" s="349" t="str">
        <f t="shared" si="854"/>
        <v/>
      </c>
      <c r="HI79" s="317" t="str">
        <f t="shared" si="695"/>
        <v/>
      </c>
      <c r="HK79" s="310" t="str">
        <f t="shared" si="750"/>
        <v/>
      </c>
      <c r="HL79" s="348" t="str">
        <f t="shared" si="696"/>
        <v/>
      </c>
      <c r="HM79" s="923" t="str">
        <f t="shared" si="697"/>
        <v/>
      </c>
      <c r="HN79" s="924" t="str">
        <f t="shared" si="698"/>
        <v/>
      </c>
      <c r="HO79" s="925"/>
      <c r="HP79" s="926"/>
      <c r="HQ79" s="924" t="str">
        <f t="shared" si="699"/>
        <v/>
      </c>
      <c r="HR79" s="927" t="str">
        <f t="shared" si="700"/>
        <v/>
      </c>
      <c r="HS79" s="879" t="str">
        <f t="shared" si="751"/>
        <v/>
      </c>
      <c r="HT79" s="889" t="str">
        <f t="shared" si="701"/>
        <v/>
      </c>
      <c r="HU79" s="890" t="str">
        <f t="shared" si="702"/>
        <v/>
      </c>
      <c r="HV79" s="886" t="str">
        <f t="shared" si="703"/>
        <v/>
      </c>
      <c r="HW79" s="880" t="str">
        <f t="shared" si="704"/>
        <v/>
      </c>
      <c r="HX79" s="881" t="str">
        <f t="shared" si="705"/>
        <v/>
      </c>
      <c r="HY79" s="880" t="str">
        <f t="shared" si="706"/>
        <v/>
      </c>
      <c r="HZ79" s="882" t="str">
        <f t="shared" si="707"/>
        <v/>
      </c>
      <c r="IA79" s="883" t="str">
        <f t="shared" si="708"/>
        <v/>
      </c>
      <c r="IB79" s="884" t="str">
        <f t="shared" si="709"/>
        <v/>
      </c>
      <c r="IC79" s="855" t="str">
        <f t="shared" si="710"/>
        <v/>
      </c>
      <c r="ID79" s="351" t="str">
        <f t="shared" si="711"/>
        <v/>
      </c>
      <c r="IE79" s="857" t="str">
        <f t="shared" si="712"/>
        <v/>
      </c>
      <c r="IF79" s="858"/>
      <c r="IG79" s="790" t="str">
        <f>IFERROR(IF($IW79="","",IF($IW79&lt;(((Settings!$C$19/2)*-1)*$IG$8),"Taper","Nose")),"")</f>
        <v/>
      </c>
      <c r="IH79" s="482" t="str">
        <f>IFERROR(IF((((($IY79*COS(RADIANS(180-$JA79)))*COS(RADIANS($JA79)))-(($IZ79*SIN(RADIANS(180-$JA79)))*SIN(RADIANS($JA79))))+$IW79)&lt;(((Settings!$C$19+$IH$8)/2)*-1),"Gage",""),"")</f>
        <v/>
      </c>
      <c r="II79" s="788" t="str">
        <f t="shared" si="855"/>
        <v/>
      </c>
      <c r="IJ79" s="674" t="str" cm="1">
        <f t="array" ref="IJ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K79" s="677" t="str" cm="1">
        <f t="array" ref="IK79">IFERROR(ROUND(VALUE(IF($IJ79&lt;1,$IJ79+LARGE((IF($M$9:$M$150="",0,$M$9:$M$150)-MOD(IF($M$9:$M$150="",0,$M$9:$M$150),1)),1),$IJ79)),4),"")</f>
        <v/>
      </c>
      <c r="IL79" s="482" t="str">
        <f t="shared" si="713"/>
        <v/>
      </c>
      <c r="IM79" s="482" t="str">
        <f t="shared" si="856"/>
        <v/>
      </c>
      <c r="IN79" s="670" t="str">
        <f t="shared" si="714"/>
        <v/>
      </c>
      <c r="IO79" s="702"/>
      <c r="IP79" s="5" t="str">
        <f t="shared" si="715"/>
        <v/>
      </c>
      <c r="IQ79" s="714"/>
      <c r="IR79" s="9" t="str">
        <f t="shared" si="716"/>
        <v/>
      </c>
      <c r="IS79" s="5" t="str">
        <f t="shared" si="717"/>
        <v/>
      </c>
      <c r="IT79" s="5" t="str">
        <f t="shared" si="718"/>
        <v/>
      </c>
      <c r="IU79" s="5" t="str">
        <f t="shared" si="719"/>
        <v/>
      </c>
      <c r="IV79" s="670" t="str">
        <f t="shared" si="720"/>
        <v/>
      </c>
      <c r="IW79" s="9" t="str">
        <f t="shared" si="721"/>
        <v/>
      </c>
      <c r="IX79" s="5" t="str">
        <f t="shared" si="722"/>
        <v/>
      </c>
      <c r="IY79" s="5" t="str">
        <f t="shared" si="723"/>
        <v/>
      </c>
      <c r="IZ79" s="5" t="str">
        <f t="shared" si="724"/>
        <v/>
      </c>
      <c r="JA79" s="705" t="str">
        <f t="shared" si="725"/>
        <v/>
      </c>
      <c r="JM79" s="489" t="e">
        <f t="shared" si="752"/>
        <v>#VALUE!</v>
      </c>
      <c r="JN79" s="960" t="e">
        <f>($JO79-SMALL($JO$9:$JO$88,1))/((Settings!$C$19/2)-((Settings!$C$19/2)-LARGE($JO$9:$JO$88,1))-SMALL($JO$9:$JO$88,1))</f>
        <v>#VALUE!</v>
      </c>
      <c r="JO79" s="162" t="str">
        <f t="shared" si="635"/>
        <v/>
      </c>
      <c r="JP79" s="961" t="str">
        <f t="shared" si="636"/>
        <v/>
      </c>
      <c r="JQ79" s="961" t="str">
        <f t="shared" si="637"/>
        <v/>
      </c>
      <c r="JU79" s="962"/>
      <c r="JV79" s="959"/>
      <c r="JW79" s="959"/>
    </row>
    <row r="80" spans="1:283" ht="15" customHeight="1" x14ac:dyDescent="0.25">
      <c r="A80" s="75" t="str">
        <f t="shared" si="640"/>
        <v/>
      </c>
      <c r="B80" s="578" t="str">
        <f t="shared" ref="B80:D80" si="867">IFERROR(O235+($A80*-E80),"")</f>
        <v/>
      </c>
      <c r="C80" s="572" t="str">
        <f t="shared" si="867"/>
        <v/>
      </c>
      <c r="D80" s="576" t="str">
        <f t="shared" si="867"/>
        <v/>
      </c>
      <c r="E80" s="580" t="str">
        <f t="shared" ref="E80:K80" si="868">R235</f>
        <v/>
      </c>
      <c r="F80" s="572" t="str">
        <f t="shared" si="868"/>
        <v/>
      </c>
      <c r="G80" s="579" t="str">
        <f t="shared" si="868"/>
        <v/>
      </c>
      <c r="H80" s="580" t="str">
        <f t="shared" si="868"/>
        <v/>
      </c>
      <c r="I80" s="572" t="str">
        <f t="shared" si="868"/>
        <v/>
      </c>
      <c r="J80" s="483" t="str">
        <f t="shared" si="728"/>
        <v/>
      </c>
      <c r="K80" s="806" t="str">
        <f t="shared" si="868"/>
        <v/>
      </c>
      <c r="L80" s="309"/>
      <c r="M80" s="164" t="str">
        <f t="shared" si="643"/>
        <v/>
      </c>
      <c r="N80" s="575" t="str">
        <f t="shared" si="644"/>
        <v/>
      </c>
      <c r="O80" s="572" t="str">
        <f t="shared" si="645"/>
        <v/>
      </c>
      <c r="P80" s="576" t="str">
        <f t="shared" si="646"/>
        <v/>
      </c>
      <c r="Q80" s="528" t="str">
        <f t="shared" si="729"/>
        <v/>
      </c>
      <c r="R80" s="572" t="str">
        <f t="shared" si="95"/>
        <v/>
      </c>
      <c r="S80" s="577" t="str">
        <f t="shared" si="96"/>
        <v/>
      </c>
      <c r="T80" s="578" t="str">
        <f t="shared" si="97"/>
        <v/>
      </c>
      <c r="U80" s="572" t="str">
        <f t="shared" si="98"/>
        <v/>
      </c>
      <c r="V80" s="579" t="str">
        <f t="shared" si="145"/>
        <v/>
      </c>
      <c r="W80" s="528" t="str">
        <f t="shared" si="866"/>
        <v/>
      </c>
      <c r="X80" s="572" t="str">
        <f t="shared" si="99"/>
        <v/>
      </c>
      <c r="Y80" s="573" t="str">
        <f t="shared" si="859"/>
        <v/>
      </c>
      <c r="Z80" s="575" t="str">
        <f t="shared" si="647"/>
        <v/>
      </c>
      <c r="AA80" s="572" t="str">
        <f t="shared" si="648"/>
        <v/>
      </c>
      <c r="AB80" s="572" t="str">
        <f t="shared" si="649"/>
        <v/>
      </c>
      <c r="AC80" s="579" t="str">
        <f t="shared" si="100"/>
        <v/>
      </c>
      <c r="AD80" s="580" t="str">
        <f t="shared" si="146"/>
        <v/>
      </c>
      <c r="AE80" s="572" t="str">
        <f t="shared" si="101"/>
        <v/>
      </c>
      <c r="AF80" s="576" t="str">
        <f t="shared" si="102"/>
        <v/>
      </c>
      <c r="AG80" s="545" t="str">
        <f t="shared" si="103"/>
        <v/>
      </c>
      <c r="AH80" s="546" t="str">
        <f t="shared" si="104"/>
        <v/>
      </c>
      <c r="AI80" s="528" t="str">
        <f t="shared" si="105"/>
        <v/>
      </c>
      <c r="AJ80" s="529" t="str">
        <f t="shared" si="106"/>
        <v/>
      </c>
      <c r="AK80" s="578" t="str">
        <f t="shared" si="247"/>
        <v/>
      </c>
      <c r="AL80" s="572" t="str">
        <f t="shared" si="107"/>
        <v/>
      </c>
      <c r="AM80" s="577" t="str">
        <f t="shared" si="108"/>
        <v/>
      </c>
      <c r="AN80" s="524" t="str">
        <f t="shared" si="109"/>
        <v/>
      </c>
      <c r="AO80" s="525" t="str">
        <f t="shared" si="604"/>
        <v/>
      </c>
      <c r="AP80" s="528" t="str">
        <f t="shared" si="111"/>
        <v/>
      </c>
      <c r="AQ80" s="529" t="str">
        <f t="shared" si="650"/>
        <v/>
      </c>
      <c r="AR80" s="979"/>
      <c r="AS80" s="954" t="str">
        <f t="shared" si="755"/>
        <v/>
      </c>
      <c r="AT80" s="950" t="str">
        <f t="shared" si="651"/>
        <v/>
      </c>
      <c r="AU80" s="418"/>
      <c r="AV80" s="164" t="str">
        <f t="shared" si="652"/>
        <v/>
      </c>
      <c r="AW80" s="797" t="str">
        <f>IFERROR(INDEX(MassProp!C$9:C$150,MATCH($M80,MassProp!$B$9:$B$150,0)),"")</f>
        <v/>
      </c>
      <c r="AX80" s="744" t="str">
        <f>IFERROR(INDEX(MassProp!D$9:D$150,MATCH($M80,MassProp!$B$9:$B$150,0)),"")</f>
        <v/>
      </c>
      <c r="AY80" s="731" t="str">
        <f>IFERROR(INDEX(MassProp!E$9:E$150,MATCH($M80,MassProp!$B$9:$B$150,0)),"")</f>
        <v/>
      </c>
      <c r="AZ80" s="297" t="str">
        <f t="shared" si="756"/>
        <v/>
      </c>
      <c r="BA80" s="296" t="str">
        <f t="shared" si="653"/>
        <v/>
      </c>
      <c r="BB80" s="177" t="str">
        <f t="shared" si="730"/>
        <v/>
      </c>
      <c r="BC80" s="9"/>
      <c r="BD80" s="5" t="str">
        <f t="shared" si="731"/>
        <v/>
      </c>
      <c r="BE80" s="6" t="str">
        <f t="shared" si="654"/>
        <v/>
      </c>
      <c r="BF80" s="4" t="str">
        <f t="shared" si="655"/>
        <v/>
      </c>
      <c r="BG80" s="5" t="str">
        <f t="shared" si="656"/>
        <v/>
      </c>
      <c r="BH80" s="10" t="str">
        <f t="shared" si="657"/>
        <v/>
      </c>
      <c r="BI80" s="9" t="str">
        <f t="shared" si="757"/>
        <v/>
      </c>
      <c r="BJ80" s="5" t="str">
        <f t="shared" si="658"/>
        <v/>
      </c>
      <c r="BK80" s="8" t="str">
        <f t="shared" si="659"/>
        <v/>
      </c>
      <c r="BL80" s="173" t="str">
        <f t="shared" si="660"/>
        <v/>
      </c>
      <c r="BM80" s="5" t="str">
        <f t="shared" si="661"/>
        <v/>
      </c>
      <c r="BN80" s="6" t="str">
        <f t="shared" si="662"/>
        <v/>
      </c>
      <c r="BO80" s="4" t="str">
        <f t="shared" si="758"/>
        <v/>
      </c>
      <c r="BP80" s="5" t="str">
        <f t="shared" si="759"/>
        <v/>
      </c>
      <c r="BQ80" s="5" t="str">
        <f t="shared" si="760"/>
        <v/>
      </c>
      <c r="BR80" s="6" t="str">
        <f t="shared" si="761"/>
        <v/>
      </c>
      <c r="BS80" s="4" t="str">
        <f t="shared" si="732"/>
        <v/>
      </c>
      <c r="BT80" s="5" t="str">
        <f t="shared" si="732"/>
        <v/>
      </c>
      <c r="BU80" s="10" t="str">
        <f t="shared" si="733"/>
        <v/>
      </c>
      <c r="BV80" s="9" t="str">
        <f t="shared" si="734"/>
        <v/>
      </c>
      <c r="BW80" s="5" t="str">
        <f t="shared" si="735"/>
        <v/>
      </c>
      <c r="BX80" s="8" t="str">
        <f t="shared" si="736"/>
        <v/>
      </c>
      <c r="BY80" s="173" t="str">
        <f t="shared" si="737"/>
        <v/>
      </c>
      <c r="BZ80" s="5" t="str">
        <f t="shared" si="738"/>
        <v/>
      </c>
      <c r="CA80" s="6" t="str">
        <f t="shared" si="739"/>
        <v/>
      </c>
      <c r="CB80" s="4" t="str">
        <f t="shared" si="762"/>
        <v/>
      </c>
      <c r="CC80" s="5" t="str">
        <f t="shared" si="763"/>
        <v/>
      </c>
      <c r="CD80" s="5" t="str">
        <f t="shared" si="764"/>
        <v/>
      </c>
      <c r="CE80" s="6" t="str">
        <f t="shared" si="765"/>
        <v/>
      </c>
      <c r="CF80" s="4" t="str">
        <f t="shared" si="766"/>
        <v/>
      </c>
      <c r="CG80" s="5" t="str">
        <f t="shared" si="767"/>
        <v/>
      </c>
      <c r="CH80" s="5" t="str">
        <f t="shared" si="768"/>
        <v/>
      </c>
      <c r="CI80" s="4" t="str">
        <f t="shared" si="740"/>
        <v/>
      </c>
      <c r="CJ80" s="5" t="str">
        <f t="shared" si="741"/>
        <v/>
      </c>
      <c r="CK80" s="8" t="str">
        <f t="shared" si="742"/>
        <v/>
      </c>
      <c r="CL80" s="173" t="str">
        <f t="shared" si="743"/>
        <v/>
      </c>
      <c r="CM80" s="5" t="str">
        <f t="shared" si="744"/>
        <v/>
      </c>
      <c r="CN80" s="6" t="str">
        <f t="shared" si="745"/>
        <v/>
      </c>
      <c r="CO80" s="167" t="str">
        <f t="shared" si="663"/>
        <v/>
      </c>
      <c r="CP80" s="4" t="str">
        <f t="shared" si="769"/>
        <v/>
      </c>
      <c r="CQ80" s="5" t="str">
        <f t="shared" si="770"/>
        <v/>
      </c>
      <c r="CR80" s="5" t="str">
        <f t="shared" si="771"/>
        <v/>
      </c>
      <c r="CS80" s="8" t="str">
        <f t="shared" si="772"/>
        <v/>
      </c>
      <c r="CT80" s="9" t="str">
        <f t="shared" si="773"/>
        <v/>
      </c>
      <c r="CU80" s="6" t="str">
        <f t="shared" si="774"/>
        <v/>
      </c>
      <c r="CV80" s="4" t="str">
        <f t="shared" si="775"/>
        <v/>
      </c>
      <c r="CW80" s="5" t="str">
        <f t="shared" si="776"/>
        <v/>
      </c>
      <c r="CX80" s="8" t="str">
        <f t="shared" si="777"/>
        <v/>
      </c>
      <c r="CY80" s="9" t="str">
        <f t="shared" si="778"/>
        <v/>
      </c>
      <c r="CZ80" s="5" t="str">
        <f t="shared" si="779"/>
        <v/>
      </c>
      <c r="DA80" s="6" t="str">
        <f t="shared" si="780"/>
        <v/>
      </c>
      <c r="DB80" s="4" t="str">
        <f t="shared" si="781"/>
        <v/>
      </c>
      <c r="DC80" s="5" t="str">
        <f t="shared" si="781"/>
        <v/>
      </c>
      <c r="DD80" s="10" t="str">
        <f t="shared" si="782"/>
        <v/>
      </c>
      <c r="DE80" s="9" t="str">
        <f t="shared" si="783"/>
        <v/>
      </c>
      <c r="DF80" s="5" t="str">
        <f t="shared" si="783"/>
        <v/>
      </c>
      <c r="DG80" s="10" t="str">
        <f t="shared" si="784"/>
        <v/>
      </c>
      <c r="DH80" s="70" t="str">
        <f t="shared" si="785"/>
        <v/>
      </c>
      <c r="DI80" s="4" t="str">
        <f t="shared" si="786"/>
        <v/>
      </c>
      <c r="DJ80" s="5" t="str">
        <f t="shared" si="787"/>
        <v/>
      </c>
      <c r="DK80" s="10" t="str">
        <f t="shared" si="788"/>
        <v/>
      </c>
      <c r="DL80" s="9" t="str">
        <f t="shared" si="789"/>
        <v/>
      </c>
      <c r="DM80" s="173" t="str">
        <f t="shared" si="790"/>
        <v/>
      </c>
      <c r="DN80" s="178" t="str">
        <f t="shared" si="791"/>
        <v/>
      </c>
      <c r="DO80" s="9" t="str">
        <f t="shared" si="792"/>
        <v/>
      </c>
      <c r="DP80" s="173" t="str">
        <f t="shared" si="793"/>
        <v/>
      </c>
      <c r="DQ80" s="11" t="str">
        <f t="shared" si="794"/>
        <v/>
      </c>
      <c r="DR80" s="173" t="str">
        <f t="shared" si="795"/>
        <v/>
      </c>
      <c r="DS80" s="5" t="str">
        <f t="shared" si="796"/>
        <v/>
      </c>
      <c r="DT80" s="5" t="str">
        <f t="shared" si="797"/>
        <v/>
      </c>
      <c r="DU80" s="5" t="str">
        <f t="shared" si="798"/>
        <v/>
      </c>
      <c r="DV80" s="5" t="str">
        <f t="shared" si="799"/>
        <v/>
      </c>
      <c r="DW80" s="5" t="str">
        <f t="shared" si="800"/>
        <v/>
      </c>
      <c r="DX80" s="167" t="str">
        <f t="shared" si="801"/>
        <v/>
      </c>
      <c r="DY80" s="9" t="str">
        <f t="shared" si="802"/>
        <v/>
      </c>
      <c r="DZ80" s="5" t="str">
        <f t="shared" si="803"/>
        <v/>
      </c>
      <c r="EA80" s="10" t="str">
        <f t="shared" si="804"/>
        <v/>
      </c>
      <c r="EB80" s="6" t="str">
        <f t="shared" si="805"/>
        <v/>
      </c>
      <c r="EC80" s="173" t="str">
        <f t="shared" si="806"/>
        <v/>
      </c>
      <c r="ED80" s="5" t="str">
        <f t="shared" si="807"/>
        <v/>
      </c>
      <c r="EE80" s="4" t="str">
        <f t="shared" si="808"/>
        <v/>
      </c>
      <c r="EF80" s="5" t="str">
        <f t="shared" si="809"/>
        <v/>
      </c>
      <c r="EG80" s="10" t="str">
        <f t="shared" si="810"/>
        <v/>
      </c>
      <c r="EH80" s="9" t="str">
        <f t="shared" si="811"/>
        <v/>
      </c>
      <c r="EI80" s="5" t="str">
        <f t="shared" si="812"/>
        <v/>
      </c>
      <c r="EJ80" s="6" t="str">
        <f t="shared" si="813"/>
        <v/>
      </c>
      <c r="EK80" s="236" t="str">
        <f t="shared" si="814"/>
        <v/>
      </c>
      <c r="EL80" s="238" t="str">
        <f t="shared" si="815"/>
        <v/>
      </c>
      <c r="EM80" s="4" t="str">
        <f t="shared" si="816"/>
        <v/>
      </c>
      <c r="EN80" s="5" t="str">
        <f t="shared" si="817"/>
        <v/>
      </c>
      <c r="EO80" s="10" t="str">
        <f t="shared" si="818"/>
        <v/>
      </c>
      <c r="EP80" s="9" t="str">
        <f t="shared" si="819"/>
        <v/>
      </c>
      <c r="EQ80" s="5" t="str">
        <f t="shared" si="820"/>
        <v/>
      </c>
      <c r="ER80" s="7" t="str">
        <f t="shared" si="821"/>
        <v/>
      </c>
      <c r="ES80" s="21" t="str">
        <f t="shared" si="664"/>
        <v/>
      </c>
      <c r="ET80" s="5" t="str">
        <f t="shared" si="665"/>
        <v/>
      </c>
      <c r="EU80" s="10" t="str">
        <f t="shared" si="666"/>
        <v/>
      </c>
      <c r="EV80" s="174" t="str">
        <f t="shared" si="667"/>
        <v/>
      </c>
      <c r="EW80" s="9" t="str">
        <f t="shared" si="668"/>
        <v/>
      </c>
      <c r="EX80" s="5" t="str">
        <f t="shared" si="669"/>
        <v/>
      </c>
      <c r="EY80" s="6" t="str">
        <f t="shared" si="822"/>
        <v/>
      </c>
      <c r="EZ80" s="51" t="str">
        <f t="shared" si="823"/>
        <v/>
      </c>
      <c r="FA80" s="173" t="str">
        <f t="shared" si="670"/>
        <v/>
      </c>
      <c r="FB80" s="5" t="str">
        <f t="shared" si="671"/>
        <v/>
      </c>
      <c r="FC80" s="6" t="str">
        <f t="shared" si="672"/>
        <v/>
      </c>
      <c r="FD80" s="4" t="str">
        <f t="shared" si="673"/>
        <v/>
      </c>
      <c r="FE80" s="5" t="str">
        <f t="shared" si="674"/>
        <v/>
      </c>
      <c r="FF80" s="7" t="str">
        <f t="shared" si="824"/>
        <v/>
      </c>
      <c r="FG80" s="173" t="str">
        <f t="shared" si="675"/>
        <v/>
      </c>
      <c r="FH80" s="5" t="str">
        <f t="shared" si="676"/>
        <v/>
      </c>
      <c r="FI80" s="10" t="str">
        <f t="shared" si="677"/>
        <v/>
      </c>
      <c r="FJ80" s="279" t="str">
        <f t="shared" si="825"/>
        <v/>
      </c>
      <c r="FK80" s="4" t="str">
        <f t="shared" si="678"/>
        <v/>
      </c>
      <c r="FL80" s="5" t="str">
        <f t="shared" si="746"/>
        <v/>
      </c>
      <c r="FM80" s="8" t="str">
        <f t="shared" si="747"/>
        <v/>
      </c>
      <c r="FN80" s="9" t="str">
        <f t="shared" si="748"/>
        <v/>
      </c>
      <c r="FO80" s="10" t="str">
        <f t="shared" si="679"/>
        <v/>
      </c>
      <c r="FP80" s="277" t="str">
        <f t="shared" si="749"/>
        <v/>
      </c>
      <c r="FQ80" s="173" t="str">
        <f t="shared" si="826"/>
        <v/>
      </c>
      <c r="FR80" s="10" t="str">
        <f t="shared" si="827"/>
        <v/>
      </c>
      <c r="FS80" s="9" t="str">
        <f t="shared" si="828"/>
        <v/>
      </c>
      <c r="FT80" s="6" t="str">
        <f t="shared" si="829"/>
        <v/>
      </c>
      <c r="FU80" s="4" t="str">
        <f t="shared" si="830"/>
        <v/>
      </c>
      <c r="FV80" s="5" t="str">
        <f t="shared" si="831"/>
        <v/>
      </c>
      <c r="FW80" s="8" t="str">
        <f t="shared" si="832"/>
        <v/>
      </c>
      <c r="FX80" s="9" t="str">
        <f t="shared" si="833"/>
        <v/>
      </c>
      <c r="FY80" s="10" t="str">
        <f t="shared" si="680"/>
        <v/>
      </c>
      <c r="FZ80" s="277" t="str">
        <f t="shared" si="834"/>
        <v/>
      </c>
      <c r="GA80" s="177" t="str">
        <f t="shared" si="835"/>
        <v/>
      </c>
      <c r="GB80" s="4" t="str">
        <f t="shared" si="836"/>
        <v/>
      </c>
      <c r="GC80" s="5" t="str">
        <f t="shared" si="837"/>
        <v/>
      </c>
      <c r="GD80" s="10" t="str">
        <f t="shared" si="838"/>
        <v/>
      </c>
      <c r="GE80" s="311" t="str">
        <f t="shared" si="839"/>
        <v/>
      </c>
      <c r="GF80" s="341" t="str">
        <f t="shared" si="840"/>
        <v/>
      </c>
      <c r="GG80" s="285" t="str">
        <f t="shared" si="681"/>
        <v/>
      </c>
      <c r="GH80" s="286" t="str">
        <f t="shared" si="682"/>
        <v/>
      </c>
      <c r="GI80" s="281" t="str">
        <f t="shared" si="683"/>
        <v/>
      </c>
      <c r="GJ80" s="167" t="str">
        <f t="shared" si="841"/>
        <v/>
      </c>
      <c r="GK80" s="174" t="str">
        <f t="shared" si="684"/>
        <v/>
      </c>
      <c r="GL80" s="174" t="str">
        <f t="shared" si="842"/>
        <v/>
      </c>
      <c r="GM80" s="177" t="str">
        <f t="shared" si="843"/>
        <v/>
      </c>
      <c r="GN80" s="280" t="str">
        <f t="shared" si="844"/>
        <v/>
      </c>
      <c r="GO80" s="4" t="str">
        <f t="shared" si="845"/>
        <v/>
      </c>
      <c r="GP80" s="8" t="str">
        <f t="shared" si="846"/>
        <v/>
      </c>
      <c r="GQ80" s="177" t="str">
        <f t="shared" si="847"/>
        <v/>
      </c>
      <c r="GR80" s="371" t="str">
        <f t="shared" si="848"/>
        <v/>
      </c>
      <c r="GS80" s="342" t="str">
        <f t="shared" si="685"/>
        <v/>
      </c>
      <c r="GT80" s="343" t="str">
        <f t="shared" si="686"/>
        <v/>
      </c>
      <c r="GU80" s="344" t="str">
        <f t="shared" si="687"/>
        <v/>
      </c>
      <c r="GV80" s="343" t="str">
        <f t="shared" si="849"/>
        <v/>
      </c>
      <c r="GW80" s="345" t="str">
        <f t="shared" si="688"/>
        <v/>
      </c>
      <c r="GX80" s="346" t="str">
        <f t="shared" si="689"/>
        <v/>
      </c>
      <c r="GY80" s="344" t="str">
        <f t="shared" si="690"/>
        <v/>
      </c>
      <c r="GZ80" s="345" t="str">
        <f t="shared" si="691"/>
        <v/>
      </c>
      <c r="HA80" s="342" t="str">
        <f t="shared" si="692"/>
        <v/>
      </c>
      <c r="HB80" s="5" t="str">
        <f t="shared" si="850"/>
        <v/>
      </c>
      <c r="HC80" s="343" t="str">
        <f t="shared" si="851"/>
        <v/>
      </c>
      <c r="HD80" s="363" t="str">
        <f t="shared" si="852"/>
        <v/>
      </c>
      <c r="HE80" s="344" t="str">
        <f t="shared" si="693"/>
        <v/>
      </c>
      <c r="HF80" s="5" t="str">
        <f t="shared" si="694"/>
        <v/>
      </c>
      <c r="HG80" s="343" t="str">
        <f t="shared" si="853"/>
        <v/>
      </c>
      <c r="HH80" s="349" t="str">
        <f t="shared" si="854"/>
        <v/>
      </c>
      <c r="HI80" s="317" t="str">
        <f t="shared" si="695"/>
        <v/>
      </c>
      <c r="HK80" s="310" t="str">
        <f t="shared" si="750"/>
        <v/>
      </c>
      <c r="HL80" s="348" t="str">
        <f t="shared" si="696"/>
        <v/>
      </c>
      <c r="HM80" s="923" t="str">
        <f t="shared" si="697"/>
        <v/>
      </c>
      <c r="HN80" s="924" t="str">
        <f t="shared" si="698"/>
        <v/>
      </c>
      <c r="HO80" s="925"/>
      <c r="HP80" s="926"/>
      <c r="HQ80" s="924" t="str">
        <f t="shared" si="699"/>
        <v/>
      </c>
      <c r="HR80" s="927" t="str">
        <f t="shared" si="700"/>
        <v/>
      </c>
      <c r="HS80" s="879" t="str">
        <f t="shared" si="751"/>
        <v/>
      </c>
      <c r="HT80" s="889" t="str">
        <f t="shared" si="701"/>
        <v/>
      </c>
      <c r="HU80" s="890" t="str">
        <f t="shared" si="702"/>
        <v/>
      </c>
      <c r="HV80" s="886" t="str">
        <f t="shared" si="703"/>
        <v/>
      </c>
      <c r="HW80" s="880" t="str">
        <f t="shared" si="704"/>
        <v/>
      </c>
      <c r="HX80" s="881" t="str">
        <f t="shared" si="705"/>
        <v/>
      </c>
      <c r="HY80" s="880" t="str">
        <f t="shared" si="706"/>
        <v/>
      </c>
      <c r="HZ80" s="882" t="str">
        <f t="shared" si="707"/>
        <v/>
      </c>
      <c r="IA80" s="883" t="str">
        <f t="shared" si="708"/>
        <v/>
      </c>
      <c r="IB80" s="884" t="str">
        <f t="shared" si="709"/>
        <v/>
      </c>
      <c r="IC80" s="855" t="str">
        <f t="shared" si="710"/>
        <v/>
      </c>
      <c r="ID80" s="351" t="str">
        <f t="shared" si="711"/>
        <v/>
      </c>
      <c r="IE80" s="857" t="str">
        <f t="shared" si="712"/>
        <v/>
      </c>
      <c r="IF80" s="858"/>
      <c r="IG80" s="790" t="str">
        <f>IFERROR(IF($IW80="","",IF($IW80&lt;(((Settings!$C$19/2)*-1)*$IG$8),"Taper","Nose")),"")</f>
        <v/>
      </c>
      <c r="IH80" s="482" t="str">
        <f>IFERROR(IF((((($IY80*COS(RADIANS(180-$JA80)))*COS(RADIANS($JA80)))-(($IZ80*SIN(RADIANS(180-$JA80)))*SIN(RADIANS($JA80))))+$IW80)&lt;(((Settings!$C$19+$IH$8)/2)*-1),"Gage",""),"")</f>
        <v/>
      </c>
      <c r="II80" s="788" t="str">
        <f t="shared" si="855"/>
        <v/>
      </c>
      <c r="IJ80" s="674" t="str" cm="1">
        <f t="array" ref="IJ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K80" s="677" t="str" cm="1">
        <f t="array" ref="IK80">IFERROR(ROUND(VALUE(IF($IJ80&lt;1,$IJ80+LARGE((IF($M$9:$M$150="",0,$M$9:$M$150)-MOD(IF($M$9:$M$150="",0,$M$9:$M$150),1)),1),$IJ80)),4),"")</f>
        <v/>
      </c>
      <c r="IL80" s="482" t="str">
        <f t="shared" si="713"/>
        <v/>
      </c>
      <c r="IM80" s="482" t="str">
        <f t="shared" si="856"/>
        <v/>
      </c>
      <c r="IN80" s="670" t="str">
        <f t="shared" si="714"/>
        <v/>
      </c>
      <c r="IO80" s="702"/>
      <c r="IP80" s="5" t="str">
        <f t="shared" si="715"/>
        <v/>
      </c>
      <c r="IQ80" s="714"/>
      <c r="IR80" s="9" t="str">
        <f t="shared" si="716"/>
        <v/>
      </c>
      <c r="IS80" s="5" t="str">
        <f t="shared" si="717"/>
        <v/>
      </c>
      <c r="IT80" s="5" t="str">
        <f t="shared" si="718"/>
        <v/>
      </c>
      <c r="IU80" s="5" t="str">
        <f t="shared" si="719"/>
        <v/>
      </c>
      <c r="IV80" s="670" t="str">
        <f t="shared" si="720"/>
        <v/>
      </c>
      <c r="IW80" s="9" t="str">
        <f t="shared" si="721"/>
        <v/>
      </c>
      <c r="IX80" s="5" t="str">
        <f t="shared" si="722"/>
        <v/>
      </c>
      <c r="IY80" s="5" t="str">
        <f t="shared" si="723"/>
        <v/>
      </c>
      <c r="IZ80" s="5" t="str">
        <f t="shared" si="724"/>
        <v/>
      </c>
      <c r="JA80" s="705" t="str">
        <f t="shared" si="725"/>
        <v/>
      </c>
      <c r="JM80" s="489" t="e">
        <f t="shared" si="752"/>
        <v>#VALUE!</v>
      </c>
      <c r="JN80" s="960" t="e">
        <f>($JO80-SMALL($JO$9:$JO$88,1))/((Settings!$C$19/2)-((Settings!$C$19/2)-LARGE($JO$9:$JO$88,1))-SMALL($JO$9:$JO$88,1))</f>
        <v>#VALUE!</v>
      </c>
      <c r="JO80" s="162" t="str">
        <f t="shared" si="635"/>
        <v/>
      </c>
      <c r="JP80" s="961" t="str">
        <f t="shared" si="636"/>
        <v/>
      </c>
      <c r="JQ80" s="961" t="str">
        <f t="shared" si="637"/>
        <v/>
      </c>
      <c r="JU80" s="962"/>
      <c r="JV80" s="959"/>
      <c r="JW80" s="959"/>
    </row>
    <row r="81" spans="1:283" ht="15" customHeight="1" x14ac:dyDescent="0.25">
      <c r="A81" s="75" t="str">
        <f t="shared" si="640"/>
        <v/>
      </c>
      <c r="B81" s="578" t="str">
        <f t="shared" ref="B81:D81" si="869">IFERROR(O236+($A81*-E81),"")</f>
        <v/>
      </c>
      <c r="C81" s="572" t="str">
        <f t="shared" si="869"/>
        <v/>
      </c>
      <c r="D81" s="576" t="str">
        <f t="shared" si="869"/>
        <v/>
      </c>
      <c r="E81" s="580" t="str">
        <f t="shared" ref="E81:K81" si="870">R236</f>
        <v/>
      </c>
      <c r="F81" s="572" t="str">
        <f t="shared" si="870"/>
        <v/>
      </c>
      <c r="G81" s="579" t="str">
        <f t="shared" si="870"/>
        <v/>
      </c>
      <c r="H81" s="580" t="str">
        <f t="shared" si="870"/>
        <v/>
      </c>
      <c r="I81" s="572" t="str">
        <f t="shared" si="870"/>
        <v/>
      </c>
      <c r="J81" s="483" t="str">
        <f t="shared" si="728"/>
        <v/>
      </c>
      <c r="K81" s="806" t="str">
        <f t="shared" si="870"/>
        <v/>
      </c>
      <c r="L81" s="309"/>
      <c r="M81" s="164" t="str">
        <f t="shared" si="643"/>
        <v/>
      </c>
      <c r="N81" s="575" t="str">
        <f t="shared" si="644"/>
        <v/>
      </c>
      <c r="O81" s="572" t="str">
        <f t="shared" si="645"/>
        <v/>
      </c>
      <c r="P81" s="576" t="str">
        <f t="shared" si="646"/>
        <v/>
      </c>
      <c r="Q81" s="528" t="str">
        <f t="shared" si="729"/>
        <v/>
      </c>
      <c r="R81" s="572" t="str">
        <f t="shared" si="95"/>
        <v/>
      </c>
      <c r="S81" s="577" t="str">
        <f t="shared" si="96"/>
        <v/>
      </c>
      <c r="T81" s="578" t="str">
        <f t="shared" si="97"/>
        <v/>
      </c>
      <c r="U81" s="572" t="str">
        <f t="shared" si="98"/>
        <v/>
      </c>
      <c r="V81" s="579" t="str">
        <f t="shared" si="145"/>
        <v/>
      </c>
      <c r="W81" s="528" t="str">
        <f t="shared" si="866"/>
        <v/>
      </c>
      <c r="X81" s="572" t="str">
        <f t="shared" si="99"/>
        <v/>
      </c>
      <c r="Y81" s="573" t="str">
        <f t="shared" si="859"/>
        <v/>
      </c>
      <c r="Z81" s="575" t="str">
        <f t="shared" si="647"/>
        <v/>
      </c>
      <c r="AA81" s="572" t="str">
        <f t="shared" si="648"/>
        <v/>
      </c>
      <c r="AB81" s="572" t="str">
        <f t="shared" si="649"/>
        <v/>
      </c>
      <c r="AC81" s="579" t="str">
        <f t="shared" si="100"/>
        <v/>
      </c>
      <c r="AD81" s="580" t="str">
        <f t="shared" si="146"/>
        <v/>
      </c>
      <c r="AE81" s="572" t="str">
        <f t="shared" si="101"/>
        <v/>
      </c>
      <c r="AF81" s="576" t="str">
        <f t="shared" si="102"/>
        <v/>
      </c>
      <c r="AG81" s="545" t="str">
        <f t="shared" si="103"/>
        <v/>
      </c>
      <c r="AH81" s="546" t="str">
        <f t="shared" si="104"/>
        <v/>
      </c>
      <c r="AI81" s="528" t="str">
        <f t="shared" si="105"/>
        <v/>
      </c>
      <c r="AJ81" s="529" t="str">
        <f t="shared" si="106"/>
        <v/>
      </c>
      <c r="AK81" s="578" t="str">
        <f t="shared" si="247"/>
        <v/>
      </c>
      <c r="AL81" s="572" t="str">
        <f t="shared" si="107"/>
        <v/>
      </c>
      <c r="AM81" s="577" t="str">
        <f t="shared" si="108"/>
        <v/>
      </c>
      <c r="AN81" s="524" t="str">
        <f t="shared" si="109"/>
        <v/>
      </c>
      <c r="AO81" s="525" t="str">
        <f t="shared" si="604"/>
        <v/>
      </c>
      <c r="AP81" s="528" t="str">
        <f t="shared" si="111"/>
        <v/>
      </c>
      <c r="AQ81" s="529" t="str">
        <f t="shared" si="650"/>
        <v/>
      </c>
      <c r="AR81" s="979"/>
      <c r="AS81" s="954" t="str">
        <f t="shared" si="755"/>
        <v/>
      </c>
      <c r="AT81" s="950" t="str">
        <f t="shared" si="651"/>
        <v/>
      </c>
      <c r="AU81" s="418"/>
      <c r="AV81" s="164" t="str">
        <f t="shared" si="652"/>
        <v/>
      </c>
      <c r="AW81" s="797" t="str">
        <f>IFERROR(INDEX(MassProp!C$9:C$150,MATCH($M81,MassProp!$B$9:$B$150,0)),"")</f>
        <v/>
      </c>
      <c r="AX81" s="744" t="str">
        <f>IFERROR(INDEX(MassProp!D$9:D$150,MATCH($M81,MassProp!$B$9:$B$150,0)),"")</f>
        <v/>
      </c>
      <c r="AY81" s="731" t="str">
        <f>IFERROR(INDEX(MassProp!E$9:E$150,MATCH($M81,MassProp!$B$9:$B$150,0)),"")</f>
        <v/>
      </c>
      <c r="AZ81" s="297" t="str">
        <f t="shared" si="756"/>
        <v/>
      </c>
      <c r="BA81" s="296" t="str">
        <f t="shared" si="653"/>
        <v/>
      </c>
      <c r="BB81" s="177" t="str">
        <f t="shared" si="730"/>
        <v/>
      </c>
      <c r="BC81" s="9"/>
      <c r="BD81" s="5" t="str">
        <f t="shared" si="731"/>
        <v/>
      </c>
      <c r="BE81" s="6" t="str">
        <f t="shared" si="654"/>
        <v/>
      </c>
      <c r="BF81" s="4" t="str">
        <f t="shared" si="655"/>
        <v/>
      </c>
      <c r="BG81" s="5" t="str">
        <f t="shared" si="656"/>
        <v/>
      </c>
      <c r="BH81" s="10" t="str">
        <f t="shared" si="657"/>
        <v/>
      </c>
      <c r="BI81" s="9" t="str">
        <f t="shared" si="757"/>
        <v/>
      </c>
      <c r="BJ81" s="5" t="str">
        <f t="shared" si="658"/>
        <v/>
      </c>
      <c r="BK81" s="8" t="str">
        <f t="shared" si="659"/>
        <v/>
      </c>
      <c r="BL81" s="173" t="str">
        <f t="shared" si="660"/>
        <v/>
      </c>
      <c r="BM81" s="5" t="str">
        <f t="shared" si="661"/>
        <v/>
      </c>
      <c r="BN81" s="6" t="str">
        <f t="shared" si="662"/>
        <v/>
      </c>
      <c r="BO81" s="4" t="str">
        <f t="shared" si="758"/>
        <v/>
      </c>
      <c r="BP81" s="5" t="str">
        <f t="shared" si="759"/>
        <v/>
      </c>
      <c r="BQ81" s="5" t="str">
        <f t="shared" si="760"/>
        <v/>
      </c>
      <c r="BR81" s="6" t="str">
        <f t="shared" si="761"/>
        <v/>
      </c>
      <c r="BS81" s="4" t="str">
        <f t="shared" si="732"/>
        <v/>
      </c>
      <c r="BT81" s="5" t="str">
        <f t="shared" si="732"/>
        <v/>
      </c>
      <c r="BU81" s="10" t="str">
        <f t="shared" si="733"/>
        <v/>
      </c>
      <c r="BV81" s="9" t="str">
        <f t="shared" si="734"/>
        <v/>
      </c>
      <c r="BW81" s="5" t="str">
        <f t="shared" si="735"/>
        <v/>
      </c>
      <c r="BX81" s="8" t="str">
        <f t="shared" si="736"/>
        <v/>
      </c>
      <c r="BY81" s="173" t="str">
        <f t="shared" si="737"/>
        <v/>
      </c>
      <c r="BZ81" s="5" t="str">
        <f t="shared" si="738"/>
        <v/>
      </c>
      <c r="CA81" s="6" t="str">
        <f t="shared" si="739"/>
        <v/>
      </c>
      <c r="CB81" s="4" t="str">
        <f t="shared" si="762"/>
        <v/>
      </c>
      <c r="CC81" s="5" t="str">
        <f t="shared" si="763"/>
        <v/>
      </c>
      <c r="CD81" s="5" t="str">
        <f t="shared" si="764"/>
        <v/>
      </c>
      <c r="CE81" s="6" t="str">
        <f t="shared" si="765"/>
        <v/>
      </c>
      <c r="CF81" s="4" t="str">
        <f t="shared" si="766"/>
        <v/>
      </c>
      <c r="CG81" s="5" t="str">
        <f t="shared" si="767"/>
        <v/>
      </c>
      <c r="CH81" s="5" t="str">
        <f t="shared" si="768"/>
        <v/>
      </c>
      <c r="CI81" s="4" t="str">
        <f t="shared" si="740"/>
        <v/>
      </c>
      <c r="CJ81" s="5" t="str">
        <f t="shared" si="741"/>
        <v/>
      </c>
      <c r="CK81" s="8" t="str">
        <f t="shared" si="742"/>
        <v/>
      </c>
      <c r="CL81" s="173" t="str">
        <f t="shared" si="743"/>
        <v/>
      </c>
      <c r="CM81" s="5" t="str">
        <f t="shared" si="744"/>
        <v/>
      </c>
      <c r="CN81" s="6" t="str">
        <f t="shared" si="745"/>
        <v/>
      </c>
      <c r="CO81" s="167" t="str">
        <f t="shared" si="663"/>
        <v/>
      </c>
      <c r="CP81" s="4" t="str">
        <f t="shared" si="769"/>
        <v/>
      </c>
      <c r="CQ81" s="5" t="str">
        <f t="shared" si="770"/>
        <v/>
      </c>
      <c r="CR81" s="5" t="str">
        <f t="shared" si="771"/>
        <v/>
      </c>
      <c r="CS81" s="8" t="str">
        <f t="shared" si="772"/>
        <v/>
      </c>
      <c r="CT81" s="9" t="str">
        <f t="shared" si="773"/>
        <v/>
      </c>
      <c r="CU81" s="6" t="str">
        <f t="shared" si="774"/>
        <v/>
      </c>
      <c r="CV81" s="4" t="str">
        <f t="shared" si="775"/>
        <v/>
      </c>
      <c r="CW81" s="5" t="str">
        <f t="shared" si="776"/>
        <v/>
      </c>
      <c r="CX81" s="8" t="str">
        <f t="shared" si="777"/>
        <v/>
      </c>
      <c r="CY81" s="9" t="str">
        <f t="shared" si="778"/>
        <v/>
      </c>
      <c r="CZ81" s="5" t="str">
        <f t="shared" si="779"/>
        <v/>
      </c>
      <c r="DA81" s="6" t="str">
        <f t="shared" si="780"/>
        <v/>
      </c>
      <c r="DB81" s="4" t="str">
        <f t="shared" si="781"/>
        <v/>
      </c>
      <c r="DC81" s="5" t="str">
        <f t="shared" si="781"/>
        <v/>
      </c>
      <c r="DD81" s="10" t="str">
        <f t="shared" si="782"/>
        <v/>
      </c>
      <c r="DE81" s="9" t="str">
        <f t="shared" si="783"/>
        <v/>
      </c>
      <c r="DF81" s="5" t="str">
        <f t="shared" si="783"/>
        <v/>
      </c>
      <c r="DG81" s="10" t="str">
        <f t="shared" si="784"/>
        <v/>
      </c>
      <c r="DH81" s="70" t="str">
        <f t="shared" si="785"/>
        <v/>
      </c>
      <c r="DI81" s="4" t="str">
        <f t="shared" si="786"/>
        <v/>
      </c>
      <c r="DJ81" s="5" t="str">
        <f t="shared" si="787"/>
        <v/>
      </c>
      <c r="DK81" s="10" t="str">
        <f t="shared" si="788"/>
        <v/>
      </c>
      <c r="DL81" s="9" t="str">
        <f t="shared" si="789"/>
        <v/>
      </c>
      <c r="DM81" s="173" t="str">
        <f t="shared" si="790"/>
        <v/>
      </c>
      <c r="DN81" s="178" t="str">
        <f t="shared" si="791"/>
        <v/>
      </c>
      <c r="DO81" s="9" t="str">
        <f t="shared" si="792"/>
        <v/>
      </c>
      <c r="DP81" s="173" t="str">
        <f t="shared" si="793"/>
        <v/>
      </c>
      <c r="DQ81" s="11" t="str">
        <f t="shared" si="794"/>
        <v/>
      </c>
      <c r="DR81" s="173" t="str">
        <f t="shared" si="795"/>
        <v/>
      </c>
      <c r="DS81" s="5" t="str">
        <f t="shared" si="796"/>
        <v/>
      </c>
      <c r="DT81" s="5" t="str">
        <f t="shared" si="797"/>
        <v/>
      </c>
      <c r="DU81" s="5" t="str">
        <f t="shared" si="798"/>
        <v/>
      </c>
      <c r="DV81" s="5" t="str">
        <f t="shared" si="799"/>
        <v/>
      </c>
      <c r="DW81" s="5" t="str">
        <f t="shared" si="800"/>
        <v/>
      </c>
      <c r="DX81" s="167" t="str">
        <f t="shared" si="801"/>
        <v/>
      </c>
      <c r="DY81" s="9" t="str">
        <f t="shared" si="802"/>
        <v/>
      </c>
      <c r="DZ81" s="5" t="str">
        <f t="shared" si="803"/>
        <v/>
      </c>
      <c r="EA81" s="10" t="str">
        <f t="shared" si="804"/>
        <v/>
      </c>
      <c r="EB81" s="6" t="str">
        <f t="shared" si="805"/>
        <v/>
      </c>
      <c r="EC81" s="173" t="str">
        <f t="shared" si="806"/>
        <v/>
      </c>
      <c r="ED81" s="5" t="str">
        <f t="shared" si="807"/>
        <v/>
      </c>
      <c r="EE81" s="4" t="str">
        <f t="shared" si="808"/>
        <v/>
      </c>
      <c r="EF81" s="5" t="str">
        <f t="shared" si="809"/>
        <v/>
      </c>
      <c r="EG81" s="10" t="str">
        <f t="shared" si="810"/>
        <v/>
      </c>
      <c r="EH81" s="9" t="str">
        <f t="shared" si="811"/>
        <v/>
      </c>
      <c r="EI81" s="5" t="str">
        <f t="shared" si="812"/>
        <v/>
      </c>
      <c r="EJ81" s="6" t="str">
        <f t="shared" si="813"/>
        <v/>
      </c>
      <c r="EK81" s="236" t="str">
        <f t="shared" si="814"/>
        <v/>
      </c>
      <c r="EL81" s="238" t="str">
        <f t="shared" si="815"/>
        <v/>
      </c>
      <c r="EM81" s="4" t="str">
        <f t="shared" si="816"/>
        <v/>
      </c>
      <c r="EN81" s="5" t="str">
        <f t="shared" si="817"/>
        <v/>
      </c>
      <c r="EO81" s="10" t="str">
        <f t="shared" si="818"/>
        <v/>
      </c>
      <c r="EP81" s="9" t="str">
        <f t="shared" si="819"/>
        <v/>
      </c>
      <c r="EQ81" s="5" t="str">
        <f t="shared" si="820"/>
        <v/>
      </c>
      <c r="ER81" s="7" t="str">
        <f t="shared" si="821"/>
        <v/>
      </c>
      <c r="ES81" s="21" t="str">
        <f t="shared" si="664"/>
        <v/>
      </c>
      <c r="ET81" s="5" t="str">
        <f t="shared" si="665"/>
        <v/>
      </c>
      <c r="EU81" s="10" t="str">
        <f t="shared" si="666"/>
        <v/>
      </c>
      <c r="EV81" s="174" t="str">
        <f t="shared" si="667"/>
        <v/>
      </c>
      <c r="EW81" s="9" t="str">
        <f t="shared" si="668"/>
        <v/>
      </c>
      <c r="EX81" s="5" t="str">
        <f t="shared" si="669"/>
        <v/>
      </c>
      <c r="EY81" s="6" t="str">
        <f t="shared" si="822"/>
        <v/>
      </c>
      <c r="EZ81" s="51" t="str">
        <f t="shared" si="823"/>
        <v/>
      </c>
      <c r="FA81" s="173" t="str">
        <f t="shared" si="670"/>
        <v/>
      </c>
      <c r="FB81" s="5" t="str">
        <f t="shared" si="671"/>
        <v/>
      </c>
      <c r="FC81" s="6" t="str">
        <f t="shared" si="672"/>
        <v/>
      </c>
      <c r="FD81" s="4" t="str">
        <f t="shared" si="673"/>
        <v/>
      </c>
      <c r="FE81" s="5" t="str">
        <f t="shared" si="674"/>
        <v/>
      </c>
      <c r="FF81" s="7" t="str">
        <f t="shared" si="824"/>
        <v/>
      </c>
      <c r="FG81" s="173" t="str">
        <f t="shared" si="675"/>
        <v/>
      </c>
      <c r="FH81" s="5" t="str">
        <f t="shared" si="676"/>
        <v/>
      </c>
      <c r="FI81" s="10" t="str">
        <f t="shared" si="677"/>
        <v/>
      </c>
      <c r="FJ81" s="279" t="str">
        <f t="shared" si="825"/>
        <v/>
      </c>
      <c r="FK81" s="4" t="str">
        <f t="shared" si="678"/>
        <v/>
      </c>
      <c r="FL81" s="5" t="str">
        <f t="shared" si="746"/>
        <v/>
      </c>
      <c r="FM81" s="8" t="str">
        <f t="shared" si="747"/>
        <v/>
      </c>
      <c r="FN81" s="9" t="str">
        <f t="shared" si="748"/>
        <v/>
      </c>
      <c r="FO81" s="10" t="str">
        <f t="shared" si="679"/>
        <v/>
      </c>
      <c r="FP81" s="277" t="str">
        <f t="shared" si="749"/>
        <v/>
      </c>
      <c r="FQ81" s="173" t="str">
        <f t="shared" si="826"/>
        <v/>
      </c>
      <c r="FR81" s="10" t="str">
        <f t="shared" si="827"/>
        <v/>
      </c>
      <c r="FS81" s="9" t="str">
        <f t="shared" si="828"/>
        <v/>
      </c>
      <c r="FT81" s="6" t="str">
        <f t="shared" si="829"/>
        <v/>
      </c>
      <c r="FU81" s="4" t="str">
        <f t="shared" si="830"/>
        <v/>
      </c>
      <c r="FV81" s="5" t="str">
        <f t="shared" si="831"/>
        <v/>
      </c>
      <c r="FW81" s="8" t="str">
        <f t="shared" si="832"/>
        <v/>
      </c>
      <c r="FX81" s="9" t="str">
        <f t="shared" si="833"/>
        <v/>
      </c>
      <c r="FY81" s="10" t="str">
        <f t="shared" si="680"/>
        <v/>
      </c>
      <c r="FZ81" s="277" t="str">
        <f t="shared" si="834"/>
        <v/>
      </c>
      <c r="GA81" s="177" t="str">
        <f t="shared" si="835"/>
        <v/>
      </c>
      <c r="GB81" s="4" t="str">
        <f t="shared" si="836"/>
        <v/>
      </c>
      <c r="GC81" s="5" t="str">
        <f t="shared" si="837"/>
        <v/>
      </c>
      <c r="GD81" s="10" t="str">
        <f t="shared" si="838"/>
        <v/>
      </c>
      <c r="GE81" s="311" t="str">
        <f t="shared" si="839"/>
        <v/>
      </c>
      <c r="GF81" s="341" t="str">
        <f t="shared" si="840"/>
        <v/>
      </c>
      <c r="GG81" s="285" t="str">
        <f t="shared" si="681"/>
        <v/>
      </c>
      <c r="GH81" s="286" t="str">
        <f t="shared" si="682"/>
        <v/>
      </c>
      <c r="GI81" s="281" t="str">
        <f t="shared" si="683"/>
        <v/>
      </c>
      <c r="GJ81" s="167" t="str">
        <f t="shared" si="841"/>
        <v/>
      </c>
      <c r="GK81" s="174" t="str">
        <f t="shared" si="684"/>
        <v/>
      </c>
      <c r="GL81" s="174" t="str">
        <f t="shared" si="842"/>
        <v/>
      </c>
      <c r="GM81" s="177" t="str">
        <f t="shared" si="843"/>
        <v/>
      </c>
      <c r="GN81" s="280" t="str">
        <f t="shared" si="844"/>
        <v/>
      </c>
      <c r="GO81" s="4" t="str">
        <f t="shared" si="845"/>
        <v/>
      </c>
      <c r="GP81" s="8" t="str">
        <f t="shared" si="846"/>
        <v/>
      </c>
      <c r="GQ81" s="177" t="str">
        <f t="shared" si="847"/>
        <v/>
      </c>
      <c r="GR81" s="371" t="str">
        <f t="shared" si="848"/>
        <v/>
      </c>
      <c r="GS81" s="342" t="str">
        <f t="shared" si="685"/>
        <v/>
      </c>
      <c r="GT81" s="343" t="str">
        <f t="shared" si="686"/>
        <v/>
      </c>
      <c r="GU81" s="344" t="str">
        <f t="shared" si="687"/>
        <v/>
      </c>
      <c r="GV81" s="343" t="str">
        <f t="shared" si="849"/>
        <v/>
      </c>
      <c r="GW81" s="345" t="str">
        <f t="shared" si="688"/>
        <v/>
      </c>
      <c r="GX81" s="346" t="str">
        <f t="shared" si="689"/>
        <v/>
      </c>
      <c r="GY81" s="344" t="str">
        <f t="shared" si="690"/>
        <v/>
      </c>
      <c r="GZ81" s="345" t="str">
        <f t="shared" si="691"/>
        <v/>
      </c>
      <c r="HA81" s="342" t="str">
        <f t="shared" si="692"/>
        <v/>
      </c>
      <c r="HB81" s="5" t="str">
        <f t="shared" si="850"/>
        <v/>
      </c>
      <c r="HC81" s="343" t="str">
        <f t="shared" si="851"/>
        <v/>
      </c>
      <c r="HD81" s="363" t="str">
        <f t="shared" si="852"/>
        <v/>
      </c>
      <c r="HE81" s="344" t="str">
        <f t="shared" si="693"/>
        <v/>
      </c>
      <c r="HF81" s="5" t="str">
        <f t="shared" si="694"/>
        <v/>
      </c>
      <c r="HG81" s="343" t="str">
        <f t="shared" si="853"/>
        <v/>
      </c>
      <c r="HH81" s="349" t="str">
        <f t="shared" si="854"/>
        <v/>
      </c>
      <c r="HI81" s="317" t="str">
        <f t="shared" si="695"/>
        <v/>
      </c>
      <c r="HK81" s="310" t="str">
        <f t="shared" si="750"/>
        <v/>
      </c>
      <c r="HL81" s="348" t="str">
        <f t="shared" si="696"/>
        <v/>
      </c>
      <c r="HM81" s="923" t="str">
        <f t="shared" si="697"/>
        <v/>
      </c>
      <c r="HN81" s="924" t="str">
        <f t="shared" si="698"/>
        <v/>
      </c>
      <c r="HO81" s="925"/>
      <c r="HP81" s="926"/>
      <c r="HQ81" s="924" t="str">
        <f t="shared" si="699"/>
        <v/>
      </c>
      <c r="HR81" s="927" t="str">
        <f t="shared" si="700"/>
        <v/>
      </c>
      <c r="HS81" s="879" t="str">
        <f t="shared" si="751"/>
        <v/>
      </c>
      <c r="HT81" s="889" t="str">
        <f t="shared" si="701"/>
        <v/>
      </c>
      <c r="HU81" s="890" t="str">
        <f t="shared" si="702"/>
        <v/>
      </c>
      <c r="HV81" s="886" t="str">
        <f t="shared" si="703"/>
        <v/>
      </c>
      <c r="HW81" s="880" t="str">
        <f t="shared" si="704"/>
        <v/>
      </c>
      <c r="HX81" s="881" t="str">
        <f t="shared" si="705"/>
        <v/>
      </c>
      <c r="HY81" s="880" t="str">
        <f t="shared" si="706"/>
        <v/>
      </c>
      <c r="HZ81" s="882" t="str">
        <f t="shared" si="707"/>
        <v/>
      </c>
      <c r="IA81" s="883" t="str">
        <f t="shared" si="708"/>
        <v/>
      </c>
      <c r="IB81" s="884" t="str">
        <f t="shared" si="709"/>
        <v/>
      </c>
      <c r="IC81" s="855" t="str">
        <f t="shared" si="710"/>
        <v/>
      </c>
      <c r="ID81" s="351" t="str">
        <f t="shared" si="711"/>
        <v/>
      </c>
      <c r="IE81" s="857" t="str">
        <f t="shared" si="712"/>
        <v/>
      </c>
      <c r="IF81" s="858"/>
      <c r="IG81" s="790" t="str">
        <f>IFERROR(IF($IW81="","",IF($IW81&lt;(((Settings!$C$19/2)*-1)*$IG$8),"Taper","Nose")),"")</f>
        <v/>
      </c>
      <c r="IH81" s="482" t="str">
        <f>IFERROR(IF((((($IY81*COS(RADIANS(180-$JA81)))*COS(RADIANS($JA81)))-(($IZ81*SIN(RADIANS(180-$JA81)))*SIN(RADIANS($JA81))))+$IW81)&lt;(((Settings!$C$19+$IH$8)/2)*-1),"Gage",""),"")</f>
        <v/>
      </c>
      <c r="II81" s="788" t="str">
        <f t="shared" si="855"/>
        <v/>
      </c>
      <c r="IJ81" s="674" t="str" cm="1">
        <f t="array" ref="IJ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K81" s="677" t="str" cm="1">
        <f t="array" ref="IK81">IFERROR(ROUND(VALUE(IF($IJ81&lt;1,$IJ81+LARGE((IF($M$9:$M$150="",0,$M$9:$M$150)-MOD(IF($M$9:$M$150="",0,$M$9:$M$150),1)),1),$IJ81)),4),"")</f>
        <v/>
      </c>
      <c r="IL81" s="482" t="str">
        <f t="shared" si="713"/>
        <v/>
      </c>
      <c r="IM81" s="482" t="str">
        <f t="shared" si="856"/>
        <v/>
      </c>
      <c r="IN81" s="670" t="str">
        <f t="shared" si="714"/>
        <v/>
      </c>
      <c r="IO81" s="702"/>
      <c r="IP81" s="5" t="str">
        <f t="shared" si="715"/>
        <v/>
      </c>
      <c r="IQ81" s="714"/>
      <c r="IR81" s="9" t="str">
        <f t="shared" si="716"/>
        <v/>
      </c>
      <c r="IS81" s="5" t="str">
        <f t="shared" si="717"/>
        <v/>
      </c>
      <c r="IT81" s="5" t="str">
        <f t="shared" si="718"/>
        <v/>
      </c>
      <c r="IU81" s="5" t="str">
        <f t="shared" si="719"/>
        <v/>
      </c>
      <c r="IV81" s="670" t="str">
        <f t="shared" si="720"/>
        <v/>
      </c>
      <c r="IW81" s="9" t="str">
        <f t="shared" si="721"/>
        <v/>
      </c>
      <c r="IX81" s="5" t="str">
        <f t="shared" si="722"/>
        <v/>
      </c>
      <c r="IY81" s="5" t="str">
        <f t="shared" si="723"/>
        <v/>
      </c>
      <c r="IZ81" s="5" t="str">
        <f t="shared" si="724"/>
        <v/>
      </c>
      <c r="JA81" s="705" t="str">
        <f t="shared" si="725"/>
        <v/>
      </c>
      <c r="JM81" s="489" t="e">
        <f t="shared" si="752"/>
        <v>#VALUE!</v>
      </c>
      <c r="JN81" s="960" t="e">
        <f>($JO81-SMALL($JO$9:$JO$88,1))/((Settings!$C$19/2)-((Settings!$C$19/2)-LARGE($JO$9:$JO$88,1))-SMALL($JO$9:$JO$88,1))</f>
        <v>#VALUE!</v>
      </c>
      <c r="JO81" s="162" t="str">
        <f t="shared" si="635"/>
        <v/>
      </c>
      <c r="JP81" s="961" t="str">
        <f t="shared" si="636"/>
        <v/>
      </c>
      <c r="JQ81" s="961" t="str">
        <f t="shared" si="637"/>
        <v/>
      </c>
      <c r="JU81" s="962"/>
      <c r="JV81" s="959"/>
      <c r="JW81" s="959"/>
    </row>
    <row r="82" spans="1:283" ht="15" customHeight="1" x14ac:dyDescent="0.25">
      <c r="A82" s="75" t="str">
        <f t="shared" si="640"/>
        <v/>
      </c>
      <c r="B82" s="578" t="str">
        <f t="shared" ref="B82:D82" si="871">IFERROR(O237+($A82*-E82),"")</f>
        <v/>
      </c>
      <c r="C82" s="572" t="str">
        <f t="shared" si="871"/>
        <v/>
      </c>
      <c r="D82" s="576" t="str">
        <f t="shared" si="871"/>
        <v/>
      </c>
      <c r="E82" s="580" t="str">
        <f t="shared" ref="E82:K82" si="872">R237</f>
        <v/>
      </c>
      <c r="F82" s="572" t="str">
        <f t="shared" si="872"/>
        <v/>
      </c>
      <c r="G82" s="579" t="str">
        <f t="shared" si="872"/>
        <v/>
      </c>
      <c r="H82" s="580" t="str">
        <f t="shared" si="872"/>
        <v/>
      </c>
      <c r="I82" s="572" t="str">
        <f t="shared" si="872"/>
        <v/>
      </c>
      <c r="J82" s="483" t="str">
        <f t="shared" si="728"/>
        <v/>
      </c>
      <c r="K82" s="806" t="str">
        <f t="shared" si="872"/>
        <v/>
      </c>
      <c r="L82" s="309"/>
      <c r="M82" s="164" t="str">
        <f t="shared" si="643"/>
        <v/>
      </c>
      <c r="N82" s="575" t="str">
        <f t="shared" si="644"/>
        <v/>
      </c>
      <c r="O82" s="572" t="str">
        <f t="shared" si="645"/>
        <v/>
      </c>
      <c r="P82" s="576" t="str">
        <f t="shared" si="646"/>
        <v/>
      </c>
      <c r="Q82" s="528" t="str">
        <f t="shared" si="729"/>
        <v/>
      </c>
      <c r="R82" s="572" t="str">
        <f t="shared" si="95"/>
        <v/>
      </c>
      <c r="S82" s="577" t="str">
        <f t="shared" si="96"/>
        <v/>
      </c>
      <c r="T82" s="578" t="str">
        <f t="shared" si="97"/>
        <v/>
      </c>
      <c r="U82" s="572" t="str">
        <f t="shared" si="98"/>
        <v/>
      </c>
      <c r="V82" s="579" t="str">
        <f t="shared" si="145"/>
        <v/>
      </c>
      <c r="W82" s="528" t="str">
        <f t="shared" si="866"/>
        <v/>
      </c>
      <c r="X82" s="572" t="str">
        <f t="shared" si="99"/>
        <v/>
      </c>
      <c r="Y82" s="573" t="str">
        <f t="shared" si="859"/>
        <v/>
      </c>
      <c r="Z82" s="575" t="str">
        <f t="shared" si="647"/>
        <v/>
      </c>
      <c r="AA82" s="572" t="str">
        <f t="shared" si="648"/>
        <v/>
      </c>
      <c r="AB82" s="572" t="str">
        <f t="shared" si="649"/>
        <v/>
      </c>
      <c r="AC82" s="579" t="str">
        <f t="shared" si="100"/>
        <v/>
      </c>
      <c r="AD82" s="580" t="str">
        <f t="shared" si="146"/>
        <v/>
      </c>
      <c r="AE82" s="572" t="str">
        <f t="shared" si="101"/>
        <v/>
      </c>
      <c r="AF82" s="576" t="str">
        <f t="shared" si="102"/>
        <v/>
      </c>
      <c r="AG82" s="545" t="str">
        <f t="shared" si="103"/>
        <v/>
      </c>
      <c r="AH82" s="546" t="str">
        <f t="shared" si="104"/>
        <v/>
      </c>
      <c r="AI82" s="528" t="str">
        <f t="shared" si="105"/>
        <v/>
      </c>
      <c r="AJ82" s="529" t="str">
        <f t="shared" si="106"/>
        <v/>
      </c>
      <c r="AK82" s="578" t="str">
        <f t="shared" si="247"/>
        <v/>
      </c>
      <c r="AL82" s="572" t="str">
        <f t="shared" si="107"/>
        <v/>
      </c>
      <c r="AM82" s="577" t="str">
        <f t="shared" si="108"/>
        <v/>
      </c>
      <c r="AN82" s="524" t="str">
        <f t="shared" si="109"/>
        <v/>
      </c>
      <c r="AO82" s="525" t="str">
        <f t="shared" si="604"/>
        <v/>
      </c>
      <c r="AP82" s="528" t="str">
        <f t="shared" si="111"/>
        <v/>
      </c>
      <c r="AQ82" s="529" t="str">
        <f t="shared" si="650"/>
        <v/>
      </c>
      <c r="AR82" s="979"/>
      <c r="AS82" s="954" t="str">
        <f t="shared" si="755"/>
        <v/>
      </c>
      <c r="AT82" s="950" t="str">
        <f t="shared" si="651"/>
        <v/>
      </c>
      <c r="AU82" s="418"/>
      <c r="AV82" s="164" t="str">
        <f t="shared" si="652"/>
        <v/>
      </c>
      <c r="AW82" s="797" t="str">
        <f>IFERROR(INDEX(MassProp!C$9:C$150,MATCH($M82,MassProp!$B$9:$B$150,0)),"")</f>
        <v/>
      </c>
      <c r="AX82" s="744" t="str">
        <f>IFERROR(INDEX(MassProp!D$9:D$150,MATCH($M82,MassProp!$B$9:$B$150,0)),"")</f>
        <v/>
      </c>
      <c r="AY82" s="731" t="str">
        <f>IFERROR(INDEX(MassProp!E$9:E$150,MATCH($M82,MassProp!$B$9:$B$150,0)),"")</f>
        <v/>
      </c>
      <c r="AZ82" s="297" t="str">
        <f t="shared" si="756"/>
        <v/>
      </c>
      <c r="BA82" s="296" t="str">
        <f t="shared" si="653"/>
        <v/>
      </c>
      <c r="BB82" s="177" t="str">
        <f t="shared" si="730"/>
        <v/>
      </c>
      <c r="BC82" s="9"/>
      <c r="BD82" s="5" t="str">
        <f t="shared" si="731"/>
        <v/>
      </c>
      <c r="BE82" s="6" t="str">
        <f t="shared" si="654"/>
        <v/>
      </c>
      <c r="BF82" s="4" t="str">
        <f t="shared" si="655"/>
        <v/>
      </c>
      <c r="BG82" s="5" t="str">
        <f t="shared" si="656"/>
        <v/>
      </c>
      <c r="BH82" s="10" t="str">
        <f t="shared" si="657"/>
        <v/>
      </c>
      <c r="BI82" s="9" t="str">
        <f t="shared" si="757"/>
        <v/>
      </c>
      <c r="BJ82" s="5" t="str">
        <f t="shared" si="658"/>
        <v/>
      </c>
      <c r="BK82" s="8" t="str">
        <f t="shared" si="659"/>
        <v/>
      </c>
      <c r="BL82" s="173" t="str">
        <f t="shared" si="660"/>
        <v/>
      </c>
      <c r="BM82" s="5" t="str">
        <f t="shared" si="661"/>
        <v/>
      </c>
      <c r="BN82" s="6" t="str">
        <f t="shared" si="662"/>
        <v/>
      </c>
      <c r="BO82" s="4" t="str">
        <f t="shared" si="758"/>
        <v/>
      </c>
      <c r="BP82" s="5" t="str">
        <f t="shared" si="759"/>
        <v/>
      </c>
      <c r="BQ82" s="5" t="str">
        <f t="shared" si="760"/>
        <v/>
      </c>
      <c r="BR82" s="6" t="str">
        <f t="shared" si="761"/>
        <v/>
      </c>
      <c r="BS82" s="4" t="str">
        <f t="shared" si="732"/>
        <v/>
      </c>
      <c r="BT82" s="5" t="str">
        <f t="shared" si="732"/>
        <v/>
      </c>
      <c r="BU82" s="10" t="str">
        <f t="shared" si="733"/>
        <v/>
      </c>
      <c r="BV82" s="9" t="str">
        <f t="shared" si="734"/>
        <v/>
      </c>
      <c r="BW82" s="5" t="str">
        <f t="shared" si="735"/>
        <v/>
      </c>
      <c r="BX82" s="8" t="str">
        <f t="shared" si="736"/>
        <v/>
      </c>
      <c r="BY82" s="173" t="str">
        <f t="shared" si="737"/>
        <v/>
      </c>
      <c r="BZ82" s="5" t="str">
        <f t="shared" si="738"/>
        <v/>
      </c>
      <c r="CA82" s="6" t="str">
        <f t="shared" si="739"/>
        <v/>
      </c>
      <c r="CB82" s="4" t="str">
        <f t="shared" si="762"/>
        <v/>
      </c>
      <c r="CC82" s="5" t="str">
        <f t="shared" si="763"/>
        <v/>
      </c>
      <c r="CD82" s="5" t="str">
        <f t="shared" si="764"/>
        <v/>
      </c>
      <c r="CE82" s="6" t="str">
        <f t="shared" si="765"/>
        <v/>
      </c>
      <c r="CF82" s="4" t="str">
        <f t="shared" si="766"/>
        <v/>
      </c>
      <c r="CG82" s="5" t="str">
        <f t="shared" si="767"/>
        <v/>
      </c>
      <c r="CH82" s="5" t="str">
        <f t="shared" si="768"/>
        <v/>
      </c>
      <c r="CI82" s="4" t="str">
        <f t="shared" si="740"/>
        <v/>
      </c>
      <c r="CJ82" s="5" t="str">
        <f t="shared" si="741"/>
        <v/>
      </c>
      <c r="CK82" s="8" t="str">
        <f t="shared" si="742"/>
        <v/>
      </c>
      <c r="CL82" s="173" t="str">
        <f t="shared" si="743"/>
        <v/>
      </c>
      <c r="CM82" s="5" t="str">
        <f t="shared" si="744"/>
        <v/>
      </c>
      <c r="CN82" s="6" t="str">
        <f t="shared" si="745"/>
        <v/>
      </c>
      <c r="CO82" s="167" t="str">
        <f t="shared" si="663"/>
        <v/>
      </c>
      <c r="CP82" s="4" t="str">
        <f t="shared" si="769"/>
        <v/>
      </c>
      <c r="CQ82" s="5" t="str">
        <f t="shared" si="770"/>
        <v/>
      </c>
      <c r="CR82" s="5" t="str">
        <f t="shared" si="771"/>
        <v/>
      </c>
      <c r="CS82" s="8" t="str">
        <f t="shared" si="772"/>
        <v/>
      </c>
      <c r="CT82" s="9" t="str">
        <f t="shared" si="773"/>
        <v/>
      </c>
      <c r="CU82" s="6" t="str">
        <f t="shared" si="774"/>
        <v/>
      </c>
      <c r="CV82" s="4" t="str">
        <f t="shared" si="775"/>
        <v/>
      </c>
      <c r="CW82" s="5" t="str">
        <f t="shared" si="776"/>
        <v/>
      </c>
      <c r="CX82" s="8" t="str">
        <f t="shared" si="777"/>
        <v/>
      </c>
      <c r="CY82" s="9" t="str">
        <f t="shared" si="778"/>
        <v/>
      </c>
      <c r="CZ82" s="5" t="str">
        <f t="shared" si="779"/>
        <v/>
      </c>
      <c r="DA82" s="6" t="str">
        <f t="shared" si="780"/>
        <v/>
      </c>
      <c r="DB82" s="4" t="str">
        <f t="shared" si="781"/>
        <v/>
      </c>
      <c r="DC82" s="5" t="str">
        <f t="shared" si="781"/>
        <v/>
      </c>
      <c r="DD82" s="10" t="str">
        <f t="shared" si="782"/>
        <v/>
      </c>
      <c r="DE82" s="9" t="str">
        <f t="shared" si="783"/>
        <v/>
      </c>
      <c r="DF82" s="5" t="str">
        <f t="shared" si="783"/>
        <v/>
      </c>
      <c r="DG82" s="10" t="str">
        <f t="shared" si="784"/>
        <v/>
      </c>
      <c r="DH82" s="70" t="str">
        <f t="shared" si="785"/>
        <v/>
      </c>
      <c r="DI82" s="4" t="str">
        <f t="shared" si="786"/>
        <v/>
      </c>
      <c r="DJ82" s="5" t="str">
        <f t="shared" si="787"/>
        <v/>
      </c>
      <c r="DK82" s="10" t="str">
        <f t="shared" si="788"/>
        <v/>
      </c>
      <c r="DL82" s="9" t="str">
        <f t="shared" si="789"/>
        <v/>
      </c>
      <c r="DM82" s="173" t="str">
        <f t="shared" si="790"/>
        <v/>
      </c>
      <c r="DN82" s="178" t="str">
        <f t="shared" si="791"/>
        <v/>
      </c>
      <c r="DO82" s="9" t="str">
        <f t="shared" si="792"/>
        <v/>
      </c>
      <c r="DP82" s="173" t="str">
        <f t="shared" si="793"/>
        <v/>
      </c>
      <c r="DQ82" s="11" t="str">
        <f t="shared" si="794"/>
        <v/>
      </c>
      <c r="DR82" s="173" t="str">
        <f t="shared" si="795"/>
        <v/>
      </c>
      <c r="DS82" s="5" t="str">
        <f t="shared" si="796"/>
        <v/>
      </c>
      <c r="DT82" s="5" t="str">
        <f t="shared" si="797"/>
        <v/>
      </c>
      <c r="DU82" s="5" t="str">
        <f t="shared" si="798"/>
        <v/>
      </c>
      <c r="DV82" s="5" t="str">
        <f t="shared" si="799"/>
        <v/>
      </c>
      <c r="DW82" s="5" t="str">
        <f t="shared" si="800"/>
        <v/>
      </c>
      <c r="DX82" s="167" t="str">
        <f t="shared" si="801"/>
        <v/>
      </c>
      <c r="DY82" s="9" t="str">
        <f t="shared" si="802"/>
        <v/>
      </c>
      <c r="DZ82" s="5" t="str">
        <f t="shared" si="803"/>
        <v/>
      </c>
      <c r="EA82" s="10" t="str">
        <f t="shared" si="804"/>
        <v/>
      </c>
      <c r="EB82" s="6" t="str">
        <f t="shared" si="805"/>
        <v/>
      </c>
      <c r="EC82" s="173" t="str">
        <f t="shared" si="806"/>
        <v/>
      </c>
      <c r="ED82" s="5" t="str">
        <f t="shared" si="807"/>
        <v/>
      </c>
      <c r="EE82" s="4" t="str">
        <f t="shared" si="808"/>
        <v/>
      </c>
      <c r="EF82" s="5" t="str">
        <f t="shared" si="809"/>
        <v/>
      </c>
      <c r="EG82" s="10" t="str">
        <f t="shared" si="810"/>
        <v/>
      </c>
      <c r="EH82" s="9" t="str">
        <f t="shared" si="811"/>
        <v/>
      </c>
      <c r="EI82" s="5" t="str">
        <f t="shared" si="812"/>
        <v/>
      </c>
      <c r="EJ82" s="6" t="str">
        <f t="shared" si="813"/>
        <v/>
      </c>
      <c r="EK82" s="236" t="str">
        <f t="shared" si="814"/>
        <v/>
      </c>
      <c r="EL82" s="238" t="str">
        <f t="shared" si="815"/>
        <v/>
      </c>
      <c r="EM82" s="4" t="str">
        <f t="shared" si="816"/>
        <v/>
      </c>
      <c r="EN82" s="5" t="str">
        <f t="shared" si="817"/>
        <v/>
      </c>
      <c r="EO82" s="10" t="str">
        <f t="shared" si="818"/>
        <v/>
      </c>
      <c r="EP82" s="9" t="str">
        <f t="shared" si="819"/>
        <v/>
      </c>
      <c r="EQ82" s="5" t="str">
        <f t="shared" si="820"/>
        <v/>
      </c>
      <c r="ER82" s="7" t="str">
        <f t="shared" si="821"/>
        <v/>
      </c>
      <c r="ES82" s="21" t="str">
        <f t="shared" si="664"/>
        <v/>
      </c>
      <c r="ET82" s="5" t="str">
        <f t="shared" si="665"/>
        <v/>
      </c>
      <c r="EU82" s="10" t="str">
        <f t="shared" si="666"/>
        <v/>
      </c>
      <c r="EV82" s="174" t="str">
        <f t="shared" si="667"/>
        <v/>
      </c>
      <c r="EW82" s="9" t="str">
        <f t="shared" si="668"/>
        <v/>
      </c>
      <c r="EX82" s="5" t="str">
        <f t="shared" si="669"/>
        <v/>
      </c>
      <c r="EY82" s="6" t="str">
        <f t="shared" si="822"/>
        <v/>
      </c>
      <c r="EZ82" s="51" t="str">
        <f t="shared" si="823"/>
        <v/>
      </c>
      <c r="FA82" s="173" t="str">
        <f t="shared" si="670"/>
        <v/>
      </c>
      <c r="FB82" s="5" t="str">
        <f t="shared" si="671"/>
        <v/>
      </c>
      <c r="FC82" s="6" t="str">
        <f t="shared" si="672"/>
        <v/>
      </c>
      <c r="FD82" s="4" t="str">
        <f t="shared" si="673"/>
        <v/>
      </c>
      <c r="FE82" s="5" t="str">
        <f t="shared" si="674"/>
        <v/>
      </c>
      <c r="FF82" s="7" t="str">
        <f t="shared" si="824"/>
        <v/>
      </c>
      <c r="FG82" s="173" t="str">
        <f t="shared" si="675"/>
        <v/>
      </c>
      <c r="FH82" s="5" t="str">
        <f t="shared" si="676"/>
        <v/>
      </c>
      <c r="FI82" s="10" t="str">
        <f t="shared" si="677"/>
        <v/>
      </c>
      <c r="FJ82" s="279" t="str">
        <f t="shared" si="825"/>
        <v/>
      </c>
      <c r="FK82" s="4" t="str">
        <f t="shared" si="678"/>
        <v/>
      </c>
      <c r="FL82" s="5" t="str">
        <f t="shared" si="746"/>
        <v/>
      </c>
      <c r="FM82" s="8" t="str">
        <f t="shared" si="747"/>
        <v/>
      </c>
      <c r="FN82" s="9" t="str">
        <f t="shared" si="748"/>
        <v/>
      </c>
      <c r="FO82" s="10" t="str">
        <f t="shared" si="679"/>
        <v/>
      </c>
      <c r="FP82" s="277" t="str">
        <f t="shared" si="749"/>
        <v/>
      </c>
      <c r="FQ82" s="173" t="str">
        <f t="shared" si="826"/>
        <v/>
      </c>
      <c r="FR82" s="10" t="str">
        <f t="shared" si="827"/>
        <v/>
      </c>
      <c r="FS82" s="9" t="str">
        <f t="shared" si="828"/>
        <v/>
      </c>
      <c r="FT82" s="6" t="str">
        <f t="shared" si="829"/>
        <v/>
      </c>
      <c r="FU82" s="4" t="str">
        <f t="shared" si="830"/>
        <v/>
      </c>
      <c r="FV82" s="5" t="str">
        <f t="shared" si="831"/>
        <v/>
      </c>
      <c r="FW82" s="8" t="str">
        <f t="shared" si="832"/>
        <v/>
      </c>
      <c r="FX82" s="9" t="str">
        <f t="shared" si="833"/>
        <v/>
      </c>
      <c r="FY82" s="10" t="str">
        <f t="shared" si="680"/>
        <v/>
      </c>
      <c r="FZ82" s="277" t="str">
        <f t="shared" si="834"/>
        <v/>
      </c>
      <c r="GA82" s="177" t="str">
        <f t="shared" si="835"/>
        <v/>
      </c>
      <c r="GB82" s="4" t="str">
        <f t="shared" si="836"/>
        <v/>
      </c>
      <c r="GC82" s="5" t="str">
        <f t="shared" si="837"/>
        <v/>
      </c>
      <c r="GD82" s="10" t="str">
        <f t="shared" si="838"/>
        <v/>
      </c>
      <c r="GE82" s="311" t="str">
        <f t="shared" si="839"/>
        <v/>
      </c>
      <c r="GF82" s="341" t="str">
        <f t="shared" si="840"/>
        <v/>
      </c>
      <c r="GG82" s="285" t="str">
        <f t="shared" si="681"/>
        <v/>
      </c>
      <c r="GH82" s="286" t="str">
        <f t="shared" si="682"/>
        <v/>
      </c>
      <c r="GI82" s="281" t="str">
        <f t="shared" si="683"/>
        <v/>
      </c>
      <c r="GJ82" s="167" t="str">
        <f t="shared" si="841"/>
        <v/>
      </c>
      <c r="GK82" s="174" t="str">
        <f t="shared" si="684"/>
        <v/>
      </c>
      <c r="GL82" s="174" t="str">
        <f t="shared" si="842"/>
        <v/>
      </c>
      <c r="GM82" s="177" t="str">
        <f t="shared" si="843"/>
        <v/>
      </c>
      <c r="GN82" s="280" t="str">
        <f t="shared" si="844"/>
        <v/>
      </c>
      <c r="GO82" s="4" t="str">
        <f t="shared" si="845"/>
        <v/>
      </c>
      <c r="GP82" s="8" t="str">
        <f t="shared" si="846"/>
        <v/>
      </c>
      <c r="GQ82" s="177" t="str">
        <f t="shared" si="847"/>
        <v/>
      </c>
      <c r="GR82" s="371" t="str">
        <f t="shared" si="848"/>
        <v/>
      </c>
      <c r="GS82" s="342" t="str">
        <f t="shared" si="685"/>
        <v/>
      </c>
      <c r="GT82" s="343" t="str">
        <f t="shared" si="686"/>
        <v/>
      </c>
      <c r="GU82" s="344" t="str">
        <f t="shared" si="687"/>
        <v/>
      </c>
      <c r="GV82" s="343" t="str">
        <f t="shared" si="849"/>
        <v/>
      </c>
      <c r="GW82" s="345" t="str">
        <f t="shared" si="688"/>
        <v/>
      </c>
      <c r="GX82" s="346" t="str">
        <f t="shared" si="689"/>
        <v/>
      </c>
      <c r="GY82" s="344" t="str">
        <f t="shared" si="690"/>
        <v/>
      </c>
      <c r="GZ82" s="345" t="str">
        <f t="shared" si="691"/>
        <v/>
      </c>
      <c r="HA82" s="342" t="str">
        <f t="shared" si="692"/>
        <v/>
      </c>
      <c r="HB82" s="5" t="str">
        <f t="shared" si="850"/>
        <v/>
      </c>
      <c r="HC82" s="343" t="str">
        <f t="shared" si="851"/>
        <v/>
      </c>
      <c r="HD82" s="363" t="str">
        <f t="shared" si="852"/>
        <v/>
      </c>
      <c r="HE82" s="344" t="str">
        <f t="shared" si="693"/>
        <v/>
      </c>
      <c r="HF82" s="5" t="str">
        <f t="shared" si="694"/>
        <v/>
      </c>
      <c r="HG82" s="343" t="str">
        <f t="shared" si="853"/>
        <v/>
      </c>
      <c r="HH82" s="349" t="str">
        <f t="shared" si="854"/>
        <v/>
      </c>
      <c r="HI82" s="317" t="str">
        <f t="shared" si="695"/>
        <v/>
      </c>
      <c r="HK82" s="310" t="str">
        <f t="shared" si="750"/>
        <v/>
      </c>
      <c r="HL82" s="348" t="str">
        <f t="shared" si="696"/>
        <v/>
      </c>
      <c r="HM82" s="923" t="str">
        <f t="shared" si="697"/>
        <v/>
      </c>
      <c r="HN82" s="924" t="str">
        <f t="shared" si="698"/>
        <v/>
      </c>
      <c r="HO82" s="925"/>
      <c r="HP82" s="926"/>
      <c r="HQ82" s="924" t="str">
        <f t="shared" si="699"/>
        <v/>
      </c>
      <c r="HR82" s="927" t="str">
        <f t="shared" si="700"/>
        <v/>
      </c>
      <c r="HS82" s="879" t="str">
        <f t="shared" si="751"/>
        <v/>
      </c>
      <c r="HT82" s="889" t="str">
        <f t="shared" si="701"/>
        <v/>
      </c>
      <c r="HU82" s="890" t="str">
        <f t="shared" si="702"/>
        <v/>
      </c>
      <c r="HV82" s="886" t="str">
        <f t="shared" si="703"/>
        <v/>
      </c>
      <c r="HW82" s="880" t="str">
        <f t="shared" si="704"/>
        <v/>
      </c>
      <c r="HX82" s="881" t="str">
        <f t="shared" si="705"/>
        <v/>
      </c>
      <c r="HY82" s="880" t="str">
        <f t="shared" si="706"/>
        <v/>
      </c>
      <c r="HZ82" s="882" t="str">
        <f t="shared" si="707"/>
        <v/>
      </c>
      <c r="IA82" s="883" t="str">
        <f t="shared" si="708"/>
        <v/>
      </c>
      <c r="IB82" s="884" t="str">
        <f t="shared" si="709"/>
        <v/>
      </c>
      <c r="IC82" s="855" t="str">
        <f t="shared" si="710"/>
        <v/>
      </c>
      <c r="ID82" s="351" t="str">
        <f t="shared" si="711"/>
        <v/>
      </c>
      <c r="IE82" s="857" t="str">
        <f t="shared" si="712"/>
        <v/>
      </c>
      <c r="IF82" s="858"/>
      <c r="IG82" s="790" t="str">
        <f>IFERROR(IF($IW82="","",IF($IW82&lt;(((Settings!$C$19/2)*-1)*$IG$8),"Taper","Nose")),"")</f>
        <v/>
      </c>
      <c r="IH82" s="482" t="str">
        <f>IFERROR(IF((((($IY82*COS(RADIANS(180-$JA82)))*COS(RADIANS($JA82)))-(($IZ82*SIN(RADIANS(180-$JA82)))*SIN(RADIANS($JA82))))+$IW82)&lt;(((Settings!$C$19+$IH$8)/2)*-1),"Gage",""),"")</f>
        <v/>
      </c>
      <c r="II82" s="788" t="str">
        <f t="shared" si="855"/>
        <v/>
      </c>
      <c r="IJ82" s="674" t="str" cm="1">
        <f t="array" ref="IJ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K82" s="677" t="str" cm="1">
        <f t="array" ref="IK82">IFERROR(ROUND(VALUE(IF($IJ82&lt;1,$IJ82+LARGE((IF($M$9:$M$150="",0,$M$9:$M$150)-MOD(IF($M$9:$M$150="",0,$M$9:$M$150),1)),1),$IJ82)),4),"")</f>
        <v/>
      </c>
      <c r="IL82" s="482" t="str">
        <f t="shared" si="713"/>
        <v/>
      </c>
      <c r="IM82" s="482" t="str">
        <f t="shared" si="856"/>
        <v/>
      </c>
      <c r="IN82" s="670" t="str">
        <f t="shared" si="714"/>
        <v/>
      </c>
      <c r="IO82" s="702"/>
      <c r="IP82" s="5" t="str">
        <f t="shared" si="715"/>
        <v/>
      </c>
      <c r="IQ82" s="714"/>
      <c r="IR82" s="9" t="str">
        <f t="shared" si="716"/>
        <v/>
      </c>
      <c r="IS82" s="5" t="str">
        <f t="shared" si="717"/>
        <v/>
      </c>
      <c r="IT82" s="5" t="str">
        <f t="shared" si="718"/>
        <v/>
      </c>
      <c r="IU82" s="5" t="str">
        <f t="shared" si="719"/>
        <v/>
      </c>
      <c r="IV82" s="670" t="str">
        <f t="shared" si="720"/>
        <v/>
      </c>
      <c r="IW82" s="9" t="str">
        <f t="shared" si="721"/>
        <v/>
      </c>
      <c r="IX82" s="5" t="str">
        <f t="shared" si="722"/>
        <v/>
      </c>
      <c r="IY82" s="5" t="str">
        <f t="shared" si="723"/>
        <v/>
      </c>
      <c r="IZ82" s="5" t="str">
        <f t="shared" si="724"/>
        <v/>
      </c>
      <c r="JA82" s="705" t="str">
        <f t="shared" si="725"/>
        <v/>
      </c>
      <c r="JM82" s="489" t="e">
        <f t="shared" si="752"/>
        <v>#VALUE!</v>
      </c>
      <c r="JN82" s="960" t="e">
        <f>($JO82-SMALL($JO$9:$JO$88,1))/((Settings!$C$19/2)-((Settings!$C$19/2)-LARGE($JO$9:$JO$88,1))-SMALL($JO$9:$JO$88,1))</f>
        <v>#VALUE!</v>
      </c>
      <c r="JO82" s="162" t="str">
        <f t="shared" si="635"/>
        <v/>
      </c>
      <c r="JP82" s="961" t="str">
        <f t="shared" si="636"/>
        <v/>
      </c>
      <c r="JQ82" s="961" t="str">
        <f t="shared" si="637"/>
        <v/>
      </c>
      <c r="JU82" s="962"/>
      <c r="JV82" s="959"/>
      <c r="JW82" s="959"/>
    </row>
    <row r="83" spans="1:283" ht="15" customHeight="1" x14ac:dyDescent="0.25">
      <c r="A83" s="75" t="str">
        <f t="shared" si="640"/>
        <v/>
      </c>
      <c r="B83" s="578" t="str">
        <f t="shared" ref="B83:D83" si="873">IFERROR(O238+($A83*-E83),"")</f>
        <v/>
      </c>
      <c r="C83" s="572" t="str">
        <f t="shared" si="873"/>
        <v/>
      </c>
      <c r="D83" s="576" t="str">
        <f t="shared" si="873"/>
        <v/>
      </c>
      <c r="E83" s="580" t="str">
        <f t="shared" ref="E83:K83" si="874">R238</f>
        <v/>
      </c>
      <c r="F83" s="572" t="str">
        <f t="shared" si="874"/>
        <v/>
      </c>
      <c r="G83" s="579" t="str">
        <f t="shared" si="874"/>
        <v/>
      </c>
      <c r="H83" s="580" t="str">
        <f t="shared" si="874"/>
        <v/>
      </c>
      <c r="I83" s="572" t="str">
        <f t="shared" si="874"/>
        <v/>
      </c>
      <c r="J83" s="483" t="str">
        <f t="shared" si="728"/>
        <v/>
      </c>
      <c r="K83" s="806" t="str">
        <f t="shared" si="874"/>
        <v/>
      </c>
      <c r="L83" s="309"/>
      <c r="M83" s="164" t="str">
        <f t="shared" si="643"/>
        <v/>
      </c>
      <c r="N83" s="575" t="str">
        <f t="shared" si="644"/>
        <v/>
      </c>
      <c r="O83" s="572" t="str">
        <f t="shared" si="645"/>
        <v/>
      </c>
      <c r="P83" s="576" t="str">
        <f t="shared" si="646"/>
        <v/>
      </c>
      <c r="Q83" s="528" t="str">
        <f t="shared" si="729"/>
        <v/>
      </c>
      <c r="R83" s="572" t="str">
        <f t="shared" si="95"/>
        <v/>
      </c>
      <c r="S83" s="577" t="str">
        <f t="shared" si="96"/>
        <v/>
      </c>
      <c r="T83" s="578" t="str">
        <f t="shared" si="97"/>
        <v/>
      </c>
      <c r="U83" s="572" t="str">
        <f t="shared" si="98"/>
        <v/>
      </c>
      <c r="V83" s="579" t="str">
        <f t="shared" si="145"/>
        <v/>
      </c>
      <c r="W83" s="528" t="str">
        <f t="shared" si="866"/>
        <v/>
      </c>
      <c r="X83" s="572" t="str">
        <f t="shared" si="99"/>
        <v/>
      </c>
      <c r="Y83" s="573" t="str">
        <f t="shared" si="859"/>
        <v/>
      </c>
      <c r="Z83" s="575" t="str">
        <f t="shared" si="647"/>
        <v/>
      </c>
      <c r="AA83" s="572" t="str">
        <f t="shared" si="648"/>
        <v/>
      </c>
      <c r="AB83" s="572" t="str">
        <f t="shared" si="649"/>
        <v/>
      </c>
      <c r="AC83" s="579" t="str">
        <f t="shared" si="100"/>
        <v/>
      </c>
      <c r="AD83" s="580" t="str">
        <f t="shared" si="146"/>
        <v/>
      </c>
      <c r="AE83" s="572" t="str">
        <f t="shared" si="101"/>
        <v/>
      </c>
      <c r="AF83" s="576" t="str">
        <f t="shared" si="102"/>
        <v/>
      </c>
      <c r="AG83" s="545" t="str">
        <f t="shared" si="103"/>
        <v/>
      </c>
      <c r="AH83" s="546" t="str">
        <f t="shared" si="104"/>
        <v/>
      </c>
      <c r="AI83" s="528" t="str">
        <f t="shared" si="105"/>
        <v/>
      </c>
      <c r="AJ83" s="529" t="str">
        <f t="shared" si="106"/>
        <v/>
      </c>
      <c r="AK83" s="578" t="str">
        <f t="shared" si="247"/>
        <v/>
      </c>
      <c r="AL83" s="572" t="str">
        <f t="shared" si="107"/>
        <v/>
      </c>
      <c r="AM83" s="577" t="str">
        <f t="shared" si="108"/>
        <v/>
      </c>
      <c r="AN83" s="524" t="str">
        <f t="shared" si="109"/>
        <v/>
      </c>
      <c r="AO83" s="525" t="str">
        <f t="shared" si="604"/>
        <v/>
      </c>
      <c r="AP83" s="528" t="str">
        <f t="shared" si="111"/>
        <v/>
      </c>
      <c r="AQ83" s="529" t="str">
        <f t="shared" si="650"/>
        <v/>
      </c>
      <c r="AR83" s="979"/>
      <c r="AS83" s="954" t="str">
        <f t="shared" si="755"/>
        <v/>
      </c>
      <c r="AT83" s="950" t="str">
        <f t="shared" si="651"/>
        <v/>
      </c>
      <c r="AU83" s="418"/>
      <c r="AV83" s="164" t="str">
        <f t="shared" si="652"/>
        <v/>
      </c>
      <c r="AW83" s="797" t="str">
        <f>IFERROR(INDEX(MassProp!C$9:C$150,MATCH($M83,MassProp!$B$9:$B$150,0)),"")</f>
        <v/>
      </c>
      <c r="AX83" s="744" t="str">
        <f>IFERROR(INDEX(MassProp!D$9:D$150,MATCH($M83,MassProp!$B$9:$B$150,0)),"")</f>
        <v/>
      </c>
      <c r="AY83" s="731" t="str">
        <f>IFERROR(INDEX(MassProp!E$9:E$150,MATCH($M83,MassProp!$B$9:$B$150,0)),"")</f>
        <v/>
      </c>
      <c r="AZ83" s="297" t="str">
        <f t="shared" si="756"/>
        <v/>
      </c>
      <c r="BA83" s="296" t="str">
        <f t="shared" si="653"/>
        <v/>
      </c>
      <c r="BB83" s="177" t="str">
        <f t="shared" si="730"/>
        <v/>
      </c>
      <c r="BC83" s="9"/>
      <c r="BD83" s="5" t="str">
        <f t="shared" si="731"/>
        <v/>
      </c>
      <c r="BE83" s="6" t="str">
        <f t="shared" si="654"/>
        <v/>
      </c>
      <c r="BF83" s="4" t="str">
        <f t="shared" si="655"/>
        <v/>
      </c>
      <c r="BG83" s="5" t="str">
        <f t="shared" si="656"/>
        <v/>
      </c>
      <c r="BH83" s="10" t="str">
        <f t="shared" si="657"/>
        <v/>
      </c>
      <c r="BI83" s="9" t="str">
        <f t="shared" si="757"/>
        <v/>
      </c>
      <c r="BJ83" s="5" t="str">
        <f t="shared" si="658"/>
        <v/>
      </c>
      <c r="BK83" s="8" t="str">
        <f t="shared" si="659"/>
        <v/>
      </c>
      <c r="BL83" s="173" t="str">
        <f t="shared" si="660"/>
        <v/>
      </c>
      <c r="BM83" s="5" t="str">
        <f t="shared" si="661"/>
        <v/>
      </c>
      <c r="BN83" s="6" t="str">
        <f t="shared" si="662"/>
        <v/>
      </c>
      <c r="BO83" s="4" t="str">
        <f t="shared" si="758"/>
        <v/>
      </c>
      <c r="BP83" s="5" t="str">
        <f t="shared" si="759"/>
        <v/>
      </c>
      <c r="BQ83" s="5" t="str">
        <f t="shared" si="760"/>
        <v/>
      </c>
      <c r="BR83" s="6" t="str">
        <f t="shared" si="761"/>
        <v/>
      </c>
      <c r="BS83" s="4" t="str">
        <f t="shared" si="732"/>
        <v/>
      </c>
      <c r="BT83" s="5" t="str">
        <f t="shared" si="732"/>
        <v/>
      </c>
      <c r="BU83" s="10" t="str">
        <f t="shared" si="733"/>
        <v/>
      </c>
      <c r="BV83" s="9" t="str">
        <f t="shared" si="734"/>
        <v/>
      </c>
      <c r="BW83" s="5" t="str">
        <f t="shared" si="735"/>
        <v/>
      </c>
      <c r="BX83" s="8" t="str">
        <f t="shared" si="736"/>
        <v/>
      </c>
      <c r="BY83" s="173" t="str">
        <f t="shared" si="737"/>
        <v/>
      </c>
      <c r="BZ83" s="5" t="str">
        <f t="shared" si="738"/>
        <v/>
      </c>
      <c r="CA83" s="6" t="str">
        <f t="shared" si="739"/>
        <v/>
      </c>
      <c r="CB83" s="4" t="str">
        <f t="shared" si="762"/>
        <v/>
      </c>
      <c r="CC83" s="5" t="str">
        <f t="shared" si="763"/>
        <v/>
      </c>
      <c r="CD83" s="5" t="str">
        <f t="shared" si="764"/>
        <v/>
      </c>
      <c r="CE83" s="6" t="str">
        <f t="shared" si="765"/>
        <v/>
      </c>
      <c r="CF83" s="4" t="str">
        <f t="shared" si="766"/>
        <v/>
      </c>
      <c r="CG83" s="5" t="str">
        <f t="shared" si="767"/>
        <v/>
      </c>
      <c r="CH83" s="5" t="str">
        <f t="shared" si="768"/>
        <v/>
      </c>
      <c r="CI83" s="4" t="str">
        <f t="shared" si="740"/>
        <v/>
      </c>
      <c r="CJ83" s="5" t="str">
        <f t="shared" si="741"/>
        <v/>
      </c>
      <c r="CK83" s="8" t="str">
        <f t="shared" si="742"/>
        <v/>
      </c>
      <c r="CL83" s="173" t="str">
        <f t="shared" si="743"/>
        <v/>
      </c>
      <c r="CM83" s="5" t="str">
        <f t="shared" si="744"/>
        <v/>
      </c>
      <c r="CN83" s="6" t="str">
        <f t="shared" si="745"/>
        <v/>
      </c>
      <c r="CO83" s="167" t="str">
        <f t="shared" si="663"/>
        <v/>
      </c>
      <c r="CP83" s="4" t="str">
        <f t="shared" si="769"/>
        <v/>
      </c>
      <c r="CQ83" s="5" t="str">
        <f t="shared" si="770"/>
        <v/>
      </c>
      <c r="CR83" s="5" t="str">
        <f t="shared" si="771"/>
        <v/>
      </c>
      <c r="CS83" s="8" t="str">
        <f t="shared" si="772"/>
        <v/>
      </c>
      <c r="CT83" s="9" t="str">
        <f t="shared" si="773"/>
        <v/>
      </c>
      <c r="CU83" s="6" t="str">
        <f t="shared" si="774"/>
        <v/>
      </c>
      <c r="CV83" s="4" t="str">
        <f t="shared" si="775"/>
        <v/>
      </c>
      <c r="CW83" s="5" t="str">
        <f t="shared" si="776"/>
        <v/>
      </c>
      <c r="CX83" s="8" t="str">
        <f t="shared" si="777"/>
        <v/>
      </c>
      <c r="CY83" s="9" t="str">
        <f t="shared" si="778"/>
        <v/>
      </c>
      <c r="CZ83" s="5" t="str">
        <f t="shared" si="779"/>
        <v/>
      </c>
      <c r="DA83" s="6" t="str">
        <f t="shared" si="780"/>
        <v/>
      </c>
      <c r="DB83" s="4" t="str">
        <f t="shared" si="781"/>
        <v/>
      </c>
      <c r="DC83" s="5" t="str">
        <f t="shared" si="781"/>
        <v/>
      </c>
      <c r="DD83" s="10" t="str">
        <f t="shared" si="782"/>
        <v/>
      </c>
      <c r="DE83" s="9" t="str">
        <f t="shared" si="783"/>
        <v/>
      </c>
      <c r="DF83" s="5" t="str">
        <f t="shared" si="783"/>
        <v/>
      </c>
      <c r="DG83" s="10" t="str">
        <f t="shared" si="784"/>
        <v/>
      </c>
      <c r="DH83" s="70" t="str">
        <f t="shared" si="785"/>
        <v/>
      </c>
      <c r="DI83" s="4" t="str">
        <f t="shared" si="786"/>
        <v/>
      </c>
      <c r="DJ83" s="5" t="str">
        <f t="shared" si="787"/>
        <v/>
      </c>
      <c r="DK83" s="10" t="str">
        <f t="shared" si="788"/>
        <v/>
      </c>
      <c r="DL83" s="9" t="str">
        <f t="shared" si="789"/>
        <v/>
      </c>
      <c r="DM83" s="173" t="str">
        <f t="shared" si="790"/>
        <v/>
      </c>
      <c r="DN83" s="178" t="str">
        <f t="shared" si="791"/>
        <v/>
      </c>
      <c r="DO83" s="9" t="str">
        <f t="shared" si="792"/>
        <v/>
      </c>
      <c r="DP83" s="173" t="str">
        <f t="shared" si="793"/>
        <v/>
      </c>
      <c r="DQ83" s="11" t="str">
        <f t="shared" si="794"/>
        <v/>
      </c>
      <c r="DR83" s="173" t="str">
        <f t="shared" si="795"/>
        <v/>
      </c>
      <c r="DS83" s="5" t="str">
        <f t="shared" si="796"/>
        <v/>
      </c>
      <c r="DT83" s="5" t="str">
        <f t="shared" si="797"/>
        <v/>
      </c>
      <c r="DU83" s="5" t="str">
        <f t="shared" si="798"/>
        <v/>
      </c>
      <c r="DV83" s="5" t="str">
        <f t="shared" si="799"/>
        <v/>
      </c>
      <c r="DW83" s="5" t="str">
        <f t="shared" si="800"/>
        <v/>
      </c>
      <c r="DX83" s="167" t="str">
        <f t="shared" si="801"/>
        <v/>
      </c>
      <c r="DY83" s="9" t="str">
        <f t="shared" si="802"/>
        <v/>
      </c>
      <c r="DZ83" s="5" t="str">
        <f t="shared" si="803"/>
        <v/>
      </c>
      <c r="EA83" s="10" t="str">
        <f t="shared" si="804"/>
        <v/>
      </c>
      <c r="EB83" s="6" t="str">
        <f t="shared" si="805"/>
        <v/>
      </c>
      <c r="EC83" s="173" t="str">
        <f t="shared" si="806"/>
        <v/>
      </c>
      <c r="ED83" s="5" t="str">
        <f t="shared" si="807"/>
        <v/>
      </c>
      <c r="EE83" s="4" t="str">
        <f t="shared" si="808"/>
        <v/>
      </c>
      <c r="EF83" s="5" t="str">
        <f t="shared" si="809"/>
        <v/>
      </c>
      <c r="EG83" s="10" t="str">
        <f t="shared" si="810"/>
        <v/>
      </c>
      <c r="EH83" s="9" t="str">
        <f t="shared" si="811"/>
        <v/>
      </c>
      <c r="EI83" s="5" t="str">
        <f t="shared" si="812"/>
        <v/>
      </c>
      <c r="EJ83" s="6" t="str">
        <f t="shared" si="813"/>
        <v/>
      </c>
      <c r="EK83" s="236" t="str">
        <f t="shared" si="814"/>
        <v/>
      </c>
      <c r="EL83" s="238" t="str">
        <f t="shared" si="815"/>
        <v/>
      </c>
      <c r="EM83" s="4" t="str">
        <f t="shared" si="816"/>
        <v/>
      </c>
      <c r="EN83" s="5" t="str">
        <f t="shared" si="817"/>
        <v/>
      </c>
      <c r="EO83" s="10" t="str">
        <f t="shared" si="818"/>
        <v/>
      </c>
      <c r="EP83" s="9" t="str">
        <f t="shared" si="819"/>
        <v/>
      </c>
      <c r="EQ83" s="5" t="str">
        <f t="shared" si="820"/>
        <v/>
      </c>
      <c r="ER83" s="7" t="str">
        <f t="shared" si="821"/>
        <v/>
      </c>
      <c r="ES83" s="21" t="str">
        <f t="shared" si="664"/>
        <v/>
      </c>
      <c r="ET83" s="5" t="str">
        <f t="shared" si="665"/>
        <v/>
      </c>
      <c r="EU83" s="10" t="str">
        <f t="shared" si="666"/>
        <v/>
      </c>
      <c r="EV83" s="174" t="str">
        <f t="shared" si="667"/>
        <v/>
      </c>
      <c r="EW83" s="9" t="str">
        <f t="shared" si="668"/>
        <v/>
      </c>
      <c r="EX83" s="5" t="str">
        <f t="shared" si="669"/>
        <v/>
      </c>
      <c r="EY83" s="6" t="str">
        <f t="shared" si="822"/>
        <v/>
      </c>
      <c r="EZ83" s="51" t="str">
        <f t="shared" si="823"/>
        <v/>
      </c>
      <c r="FA83" s="173" t="str">
        <f t="shared" si="670"/>
        <v/>
      </c>
      <c r="FB83" s="5" t="str">
        <f t="shared" si="671"/>
        <v/>
      </c>
      <c r="FC83" s="6" t="str">
        <f t="shared" si="672"/>
        <v/>
      </c>
      <c r="FD83" s="4" t="str">
        <f t="shared" si="673"/>
        <v/>
      </c>
      <c r="FE83" s="5" t="str">
        <f t="shared" si="674"/>
        <v/>
      </c>
      <c r="FF83" s="7" t="str">
        <f t="shared" si="824"/>
        <v/>
      </c>
      <c r="FG83" s="173" t="str">
        <f t="shared" si="675"/>
        <v/>
      </c>
      <c r="FH83" s="5" t="str">
        <f t="shared" si="676"/>
        <v/>
      </c>
      <c r="FI83" s="10" t="str">
        <f t="shared" si="677"/>
        <v/>
      </c>
      <c r="FJ83" s="279" t="str">
        <f t="shared" si="825"/>
        <v/>
      </c>
      <c r="FK83" s="4" t="str">
        <f t="shared" si="678"/>
        <v/>
      </c>
      <c r="FL83" s="5" t="str">
        <f t="shared" si="746"/>
        <v/>
      </c>
      <c r="FM83" s="8" t="str">
        <f t="shared" si="747"/>
        <v/>
      </c>
      <c r="FN83" s="9" t="str">
        <f t="shared" si="748"/>
        <v/>
      </c>
      <c r="FO83" s="10" t="str">
        <f t="shared" si="679"/>
        <v/>
      </c>
      <c r="FP83" s="277" t="str">
        <f t="shared" si="749"/>
        <v/>
      </c>
      <c r="FQ83" s="173" t="str">
        <f t="shared" si="826"/>
        <v/>
      </c>
      <c r="FR83" s="10" t="str">
        <f t="shared" si="827"/>
        <v/>
      </c>
      <c r="FS83" s="9" t="str">
        <f t="shared" si="828"/>
        <v/>
      </c>
      <c r="FT83" s="6" t="str">
        <f t="shared" si="829"/>
        <v/>
      </c>
      <c r="FU83" s="4" t="str">
        <f t="shared" si="830"/>
        <v/>
      </c>
      <c r="FV83" s="5" t="str">
        <f t="shared" si="831"/>
        <v/>
      </c>
      <c r="FW83" s="8" t="str">
        <f t="shared" si="832"/>
        <v/>
      </c>
      <c r="FX83" s="9" t="str">
        <f t="shared" si="833"/>
        <v/>
      </c>
      <c r="FY83" s="10" t="str">
        <f t="shared" si="680"/>
        <v/>
      </c>
      <c r="FZ83" s="277" t="str">
        <f t="shared" si="834"/>
        <v/>
      </c>
      <c r="GA83" s="177" t="str">
        <f t="shared" si="835"/>
        <v/>
      </c>
      <c r="GB83" s="4" t="str">
        <f t="shared" si="836"/>
        <v/>
      </c>
      <c r="GC83" s="5" t="str">
        <f t="shared" si="837"/>
        <v/>
      </c>
      <c r="GD83" s="10" t="str">
        <f t="shared" si="838"/>
        <v/>
      </c>
      <c r="GE83" s="311" t="str">
        <f t="shared" si="839"/>
        <v/>
      </c>
      <c r="GF83" s="341" t="str">
        <f t="shared" si="840"/>
        <v/>
      </c>
      <c r="GG83" s="285" t="str">
        <f t="shared" si="681"/>
        <v/>
      </c>
      <c r="GH83" s="286" t="str">
        <f t="shared" si="682"/>
        <v/>
      </c>
      <c r="GI83" s="281" t="str">
        <f t="shared" si="683"/>
        <v/>
      </c>
      <c r="GJ83" s="167" t="str">
        <f t="shared" si="841"/>
        <v/>
      </c>
      <c r="GK83" s="174" t="str">
        <f t="shared" si="684"/>
        <v/>
      </c>
      <c r="GL83" s="174" t="str">
        <f t="shared" si="842"/>
        <v/>
      </c>
      <c r="GM83" s="177" t="str">
        <f t="shared" si="843"/>
        <v/>
      </c>
      <c r="GN83" s="280" t="str">
        <f t="shared" si="844"/>
        <v/>
      </c>
      <c r="GO83" s="4" t="str">
        <f t="shared" si="845"/>
        <v/>
      </c>
      <c r="GP83" s="8" t="str">
        <f t="shared" si="846"/>
        <v/>
      </c>
      <c r="GQ83" s="177" t="str">
        <f t="shared" si="847"/>
        <v/>
      </c>
      <c r="GR83" s="371" t="str">
        <f t="shared" si="848"/>
        <v/>
      </c>
      <c r="GS83" s="342" t="str">
        <f t="shared" si="685"/>
        <v/>
      </c>
      <c r="GT83" s="343" t="str">
        <f t="shared" si="686"/>
        <v/>
      </c>
      <c r="GU83" s="344" t="str">
        <f t="shared" si="687"/>
        <v/>
      </c>
      <c r="GV83" s="343" t="str">
        <f t="shared" si="849"/>
        <v/>
      </c>
      <c r="GW83" s="345" t="str">
        <f t="shared" si="688"/>
        <v/>
      </c>
      <c r="GX83" s="346" t="str">
        <f t="shared" si="689"/>
        <v/>
      </c>
      <c r="GY83" s="344" t="str">
        <f t="shared" si="690"/>
        <v/>
      </c>
      <c r="GZ83" s="345" t="str">
        <f t="shared" si="691"/>
        <v/>
      </c>
      <c r="HA83" s="342" t="str">
        <f t="shared" si="692"/>
        <v/>
      </c>
      <c r="HB83" s="5" t="str">
        <f t="shared" si="850"/>
        <v/>
      </c>
      <c r="HC83" s="343" t="str">
        <f t="shared" si="851"/>
        <v/>
      </c>
      <c r="HD83" s="363" t="str">
        <f t="shared" si="852"/>
        <v/>
      </c>
      <c r="HE83" s="344" t="str">
        <f t="shared" si="693"/>
        <v/>
      </c>
      <c r="HF83" s="5" t="str">
        <f t="shared" si="694"/>
        <v/>
      </c>
      <c r="HG83" s="343" t="str">
        <f t="shared" si="853"/>
        <v/>
      </c>
      <c r="HH83" s="349" t="str">
        <f t="shared" si="854"/>
        <v/>
      </c>
      <c r="HI83" s="317" t="str">
        <f t="shared" si="695"/>
        <v/>
      </c>
      <c r="HK83" s="310" t="str">
        <f t="shared" si="750"/>
        <v/>
      </c>
      <c r="HL83" s="348" t="str">
        <f t="shared" si="696"/>
        <v/>
      </c>
      <c r="HM83" s="923" t="str">
        <f t="shared" si="697"/>
        <v/>
      </c>
      <c r="HN83" s="924" t="str">
        <f t="shared" si="698"/>
        <v/>
      </c>
      <c r="HO83" s="925"/>
      <c r="HP83" s="926"/>
      <c r="HQ83" s="924" t="str">
        <f t="shared" si="699"/>
        <v/>
      </c>
      <c r="HR83" s="927" t="str">
        <f t="shared" si="700"/>
        <v/>
      </c>
      <c r="HS83" s="879" t="str">
        <f t="shared" si="751"/>
        <v/>
      </c>
      <c r="HT83" s="889" t="str">
        <f t="shared" si="701"/>
        <v/>
      </c>
      <c r="HU83" s="890" t="str">
        <f t="shared" si="702"/>
        <v/>
      </c>
      <c r="HV83" s="886" t="str">
        <f t="shared" si="703"/>
        <v/>
      </c>
      <c r="HW83" s="880" t="str">
        <f t="shared" si="704"/>
        <v/>
      </c>
      <c r="HX83" s="881" t="str">
        <f t="shared" si="705"/>
        <v/>
      </c>
      <c r="HY83" s="880" t="str">
        <f t="shared" si="706"/>
        <v/>
      </c>
      <c r="HZ83" s="882" t="str">
        <f t="shared" si="707"/>
        <v/>
      </c>
      <c r="IA83" s="883" t="str">
        <f t="shared" si="708"/>
        <v/>
      </c>
      <c r="IB83" s="884" t="str">
        <f t="shared" si="709"/>
        <v/>
      </c>
      <c r="IC83" s="855" t="str">
        <f t="shared" si="710"/>
        <v/>
      </c>
      <c r="ID83" s="351" t="str">
        <f t="shared" si="711"/>
        <v/>
      </c>
      <c r="IE83" s="857" t="str">
        <f t="shared" si="712"/>
        <v/>
      </c>
      <c r="IF83" s="858"/>
      <c r="IG83" s="790" t="str">
        <f>IFERROR(IF($IW83="","",IF($IW83&lt;(((Settings!$C$19/2)*-1)*$IG$8),"Taper","Nose")),"")</f>
        <v/>
      </c>
      <c r="IH83" s="482" t="str">
        <f>IFERROR(IF((((($IY83*COS(RADIANS(180-$JA83)))*COS(RADIANS($JA83)))-(($IZ83*SIN(RADIANS(180-$JA83)))*SIN(RADIANS($JA83))))+$IW83)&lt;(((Settings!$C$19+$IH$8)/2)*-1),"Gage",""),"")</f>
        <v/>
      </c>
      <c r="II83" s="788" t="str">
        <f t="shared" si="855"/>
        <v/>
      </c>
      <c r="IJ83" s="674" t="str" cm="1">
        <f t="array" ref="IJ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K83" s="677" t="str" cm="1">
        <f t="array" ref="IK83">IFERROR(ROUND(VALUE(IF($IJ83&lt;1,$IJ83+LARGE((IF($M$9:$M$150="",0,$M$9:$M$150)-MOD(IF($M$9:$M$150="",0,$M$9:$M$150),1)),1),$IJ83)),4),"")</f>
        <v/>
      </c>
      <c r="IL83" s="482" t="str">
        <f t="shared" si="713"/>
        <v/>
      </c>
      <c r="IM83" s="482" t="str">
        <f t="shared" si="856"/>
        <v/>
      </c>
      <c r="IN83" s="670" t="str">
        <f t="shared" si="714"/>
        <v/>
      </c>
      <c r="IO83" s="702"/>
      <c r="IP83" s="5" t="str">
        <f t="shared" si="715"/>
        <v/>
      </c>
      <c r="IQ83" s="714"/>
      <c r="IR83" s="9" t="str">
        <f t="shared" si="716"/>
        <v/>
      </c>
      <c r="IS83" s="5" t="str">
        <f t="shared" si="717"/>
        <v/>
      </c>
      <c r="IT83" s="5" t="str">
        <f t="shared" si="718"/>
        <v/>
      </c>
      <c r="IU83" s="5" t="str">
        <f t="shared" si="719"/>
        <v/>
      </c>
      <c r="IV83" s="670" t="str">
        <f t="shared" si="720"/>
        <v/>
      </c>
      <c r="IW83" s="9" t="str">
        <f t="shared" si="721"/>
        <v/>
      </c>
      <c r="IX83" s="5" t="str">
        <f t="shared" si="722"/>
        <v/>
      </c>
      <c r="IY83" s="5" t="str">
        <f t="shared" si="723"/>
        <v/>
      </c>
      <c r="IZ83" s="5" t="str">
        <f t="shared" si="724"/>
        <v/>
      </c>
      <c r="JA83" s="705" t="str">
        <f t="shared" si="725"/>
        <v/>
      </c>
      <c r="JM83" s="489" t="e">
        <f t="shared" si="752"/>
        <v>#VALUE!</v>
      </c>
      <c r="JN83" s="960" t="e">
        <f>($JO83-SMALL($JO$9:$JO$88,1))/((Settings!$C$19/2)-((Settings!$C$19/2)-LARGE($JO$9:$JO$88,1))-SMALL($JO$9:$JO$88,1))</f>
        <v>#VALUE!</v>
      </c>
      <c r="JO83" s="162" t="str">
        <f t="shared" si="635"/>
        <v/>
      </c>
      <c r="JP83" s="961" t="str">
        <f t="shared" si="636"/>
        <v/>
      </c>
      <c r="JQ83" s="961" t="str">
        <f t="shared" si="637"/>
        <v/>
      </c>
      <c r="JU83" s="962"/>
      <c r="JV83" s="959"/>
      <c r="JW83" s="959"/>
    </row>
    <row r="84" spans="1:283" ht="15" customHeight="1" x14ac:dyDescent="0.25">
      <c r="A84" s="75" t="str">
        <f t="shared" si="640"/>
        <v/>
      </c>
      <c r="B84" s="578" t="str">
        <f t="shared" ref="B84:D84" si="875">IFERROR(O239+($A84*-E84),"")</f>
        <v/>
      </c>
      <c r="C84" s="572" t="str">
        <f t="shared" si="875"/>
        <v/>
      </c>
      <c r="D84" s="576" t="str">
        <f t="shared" si="875"/>
        <v/>
      </c>
      <c r="E84" s="580" t="str">
        <f t="shared" ref="E84:K84" si="876">R239</f>
        <v/>
      </c>
      <c r="F84" s="572" t="str">
        <f t="shared" si="876"/>
        <v/>
      </c>
      <c r="G84" s="579" t="str">
        <f t="shared" si="876"/>
        <v/>
      </c>
      <c r="H84" s="580" t="str">
        <f t="shared" si="876"/>
        <v/>
      </c>
      <c r="I84" s="572" t="str">
        <f t="shared" si="876"/>
        <v/>
      </c>
      <c r="J84" s="483" t="str">
        <f t="shared" si="728"/>
        <v/>
      </c>
      <c r="K84" s="806" t="str">
        <f t="shared" si="876"/>
        <v/>
      </c>
      <c r="L84" s="309"/>
      <c r="M84" s="164" t="str">
        <f t="shared" si="643"/>
        <v/>
      </c>
      <c r="N84" s="575" t="str">
        <f t="shared" si="644"/>
        <v/>
      </c>
      <c r="O84" s="572" t="str">
        <f t="shared" si="645"/>
        <v/>
      </c>
      <c r="P84" s="576" t="str">
        <f t="shared" si="646"/>
        <v/>
      </c>
      <c r="Q84" s="528" t="str">
        <f t="shared" si="729"/>
        <v/>
      </c>
      <c r="R84" s="572" t="str">
        <f t="shared" si="95"/>
        <v/>
      </c>
      <c r="S84" s="577" t="str">
        <f t="shared" si="96"/>
        <v/>
      </c>
      <c r="T84" s="578" t="str">
        <f t="shared" si="97"/>
        <v/>
      </c>
      <c r="U84" s="572" t="str">
        <f t="shared" si="98"/>
        <v/>
      </c>
      <c r="V84" s="579" t="str">
        <f t="shared" si="145"/>
        <v/>
      </c>
      <c r="W84" s="528" t="str">
        <f t="shared" si="866"/>
        <v/>
      </c>
      <c r="X84" s="572" t="str">
        <f t="shared" si="99"/>
        <v/>
      </c>
      <c r="Y84" s="573" t="str">
        <f t="shared" si="859"/>
        <v/>
      </c>
      <c r="Z84" s="575" t="str">
        <f t="shared" si="647"/>
        <v/>
      </c>
      <c r="AA84" s="572" t="str">
        <f t="shared" si="648"/>
        <v/>
      </c>
      <c r="AB84" s="572" t="str">
        <f t="shared" si="649"/>
        <v/>
      </c>
      <c r="AC84" s="579" t="str">
        <f t="shared" si="100"/>
        <v/>
      </c>
      <c r="AD84" s="580" t="str">
        <f t="shared" si="146"/>
        <v/>
      </c>
      <c r="AE84" s="572" t="str">
        <f t="shared" si="101"/>
        <v/>
      </c>
      <c r="AF84" s="576" t="str">
        <f t="shared" si="102"/>
        <v/>
      </c>
      <c r="AG84" s="545" t="str">
        <f t="shared" si="103"/>
        <v/>
      </c>
      <c r="AH84" s="546" t="str">
        <f t="shared" si="104"/>
        <v/>
      </c>
      <c r="AI84" s="528" t="str">
        <f t="shared" si="105"/>
        <v/>
      </c>
      <c r="AJ84" s="529" t="str">
        <f t="shared" si="106"/>
        <v/>
      </c>
      <c r="AK84" s="578" t="str">
        <f t="shared" si="247"/>
        <v/>
      </c>
      <c r="AL84" s="572" t="str">
        <f t="shared" si="107"/>
        <v/>
      </c>
      <c r="AM84" s="577" t="str">
        <f t="shared" si="108"/>
        <v/>
      </c>
      <c r="AN84" s="524" t="str">
        <f t="shared" si="109"/>
        <v/>
      </c>
      <c r="AO84" s="525" t="str">
        <f t="shared" si="604"/>
        <v/>
      </c>
      <c r="AP84" s="528" t="str">
        <f t="shared" si="111"/>
        <v/>
      </c>
      <c r="AQ84" s="529" t="str">
        <f t="shared" si="650"/>
        <v/>
      </c>
      <c r="AR84" s="979"/>
      <c r="AS84" s="954" t="str">
        <f t="shared" si="755"/>
        <v/>
      </c>
      <c r="AT84" s="950" t="str">
        <f t="shared" si="651"/>
        <v/>
      </c>
      <c r="AU84" s="418"/>
      <c r="AV84" s="164" t="str">
        <f t="shared" si="652"/>
        <v/>
      </c>
      <c r="AW84" s="797" t="str">
        <f>IFERROR(INDEX(MassProp!C$9:C$150,MATCH($M84,MassProp!$B$9:$B$150,0)),"")</f>
        <v/>
      </c>
      <c r="AX84" s="744" t="str">
        <f>IFERROR(INDEX(MassProp!D$9:D$150,MATCH($M84,MassProp!$B$9:$B$150,0)),"")</f>
        <v/>
      </c>
      <c r="AY84" s="731" t="str">
        <f>IFERROR(INDEX(MassProp!E$9:E$150,MATCH($M84,MassProp!$B$9:$B$150,0)),"")</f>
        <v/>
      </c>
      <c r="AZ84" s="297" t="str">
        <f t="shared" si="756"/>
        <v/>
      </c>
      <c r="BA84" s="296" t="str">
        <f t="shared" si="653"/>
        <v/>
      </c>
      <c r="BB84" s="177" t="str">
        <f t="shared" si="730"/>
        <v/>
      </c>
      <c r="BC84" s="9"/>
      <c r="BD84" s="5" t="str">
        <f t="shared" si="731"/>
        <v/>
      </c>
      <c r="BE84" s="6" t="str">
        <f t="shared" si="654"/>
        <v/>
      </c>
      <c r="BF84" s="4" t="str">
        <f t="shared" si="655"/>
        <v/>
      </c>
      <c r="BG84" s="5" t="str">
        <f t="shared" si="656"/>
        <v/>
      </c>
      <c r="BH84" s="10" t="str">
        <f t="shared" si="657"/>
        <v/>
      </c>
      <c r="BI84" s="9" t="str">
        <f t="shared" si="757"/>
        <v/>
      </c>
      <c r="BJ84" s="5" t="str">
        <f t="shared" si="658"/>
        <v/>
      </c>
      <c r="BK84" s="8" t="str">
        <f t="shared" si="659"/>
        <v/>
      </c>
      <c r="BL84" s="173" t="str">
        <f t="shared" si="660"/>
        <v/>
      </c>
      <c r="BM84" s="5" t="str">
        <f t="shared" si="661"/>
        <v/>
      </c>
      <c r="BN84" s="6" t="str">
        <f t="shared" si="662"/>
        <v/>
      </c>
      <c r="BO84" s="4" t="str">
        <f t="shared" si="758"/>
        <v/>
      </c>
      <c r="BP84" s="5" t="str">
        <f t="shared" si="759"/>
        <v/>
      </c>
      <c r="BQ84" s="5" t="str">
        <f t="shared" si="760"/>
        <v/>
      </c>
      <c r="BR84" s="6" t="str">
        <f t="shared" si="761"/>
        <v/>
      </c>
      <c r="BS84" s="4" t="str">
        <f t="shared" si="732"/>
        <v/>
      </c>
      <c r="BT84" s="5" t="str">
        <f t="shared" si="732"/>
        <v/>
      </c>
      <c r="BU84" s="10" t="str">
        <f t="shared" si="733"/>
        <v/>
      </c>
      <c r="BV84" s="9" t="str">
        <f t="shared" si="734"/>
        <v/>
      </c>
      <c r="BW84" s="5" t="str">
        <f t="shared" si="735"/>
        <v/>
      </c>
      <c r="BX84" s="8" t="str">
        <f t="shared" si="736"/>
        <v/>
      </c>
      <c r="BY84" s="173" t="str">
        <f t="shared" si="737"/>
        <v/>
      </c>
      <c r="BZ84" s="5" t="str">
        <f t="shared" si="738"/>
        <v/>
      </c>
      <c r="CA84" s="6" t="str">
        <f t="shared" si="739"/>
        <v/>
      </c>
      <c r="CB84" s="4" t="str">
        <f t="shared" si="762"/>
        <v/>
      </c>
      <c r="CC84" s="5" t="str">
        <f t="shared" si="763"/>
        <v/>
      </c>
      <c r="CD84" s="5" t="str">
        <f t="shared" si="764"/>
        <v/>
      </c>
      <c r="CE84" s="6" t="str">
        <f t="shared" si="765"/>
        <v/>
      </c>
      <c r="CF84" s="4" t="str">
        <f t="shared" si="766"/>
        <v/>
      </c>
      <c r="CG84" s="5" t="str">
        <f t="shared" si="767"/>
        <v/>
      </c>
      <c r="CH84" s="5" t="str">
        <f t="shared" si="768"/>
        <v/>
      </c>
      <c r="CI84" s="4" t="str">
        <f t="shared" si="740"/>
        <v/>
      </c>
      <c r="CJ84" s="5" t="str">
        <f t="shared" si="741"/>
        <v/>
      </c>
      <c r="CK84" s="8" t="str">
        <f t="shared" si="742"/>
        <v/>
      </c>
      <c r="CL84" s="173" t="str">
        <f t="shared" si="743"/>
        <v/>
      </c>
      <c r="CM84" s="5" t="str">
        <f t="shared" si="744"/>
        <v/>
      </c>
      <c r="CN84" s="6" t="str">
        <f t="shared" si="745"/>
        <v/>
      </c>
      <c r="CO84" s="167" t="str">
        <f t="shared" si="663"/>
        <v/>
      </c>
      <c r="CP84" s="4" t="str">
        <f t="shared" si="769"/>
        <v/>
      </c>
      <c r="CQ84" s="5" t="str">
        <f t="shared" si="770"/>
        <v/>
      </c>
      <c r="CR84" s="5" t="str">
        <f t="shared" si="771"/>
        <v/>
      </c>
      <c r="CS84" s="8" t="str">
        <f t="shared" si="772"/>
        <v/>
      </c>
      <c r="CT84" s="9" t="str">
        <f t="shared" si="773"/>
        <v/>
      </c>
      <c r="CU84" s="6" t="str">
        <f t="shared" si="774"/>
        <v/>
      </c>
      <c r="CV84" s="4" t="str">
        <f t="shared" si="775"/>
        <v/>
      </c>
      <c r="CW84" s="5" t="str">
        <f t="shared" si="776"/>
        <v/>
      </c>
      <c r="CX84" s="8" t="str">
        <f t="shared" si="777"/>
        <v/>
      </c>
      <c r="CY84" s="9" t="str">
        <f t="shared" si="778"/>
        <v/>
      </c>
      <c r="CZ84" s="5" t="str">
        <f t="shared" si="779"/>
        <v/>
      </c>
      <c r="DA84" s="6" t="str">
        <f t="shared" si="780"/>
        <v/>
      </c>
      <c r="DB84" s="4" t="str">
        <f t="shared" si="781"/>
        <v/>
      </c>
      <c r="DC84" s="5" t="str">
        <f t="shared" si="781"/>
        <v/>
      </c>
      <c r="DD84" s="10" t="str">
        <f t="shared" si="782"/>
        <v/>
      </c>
      <c r="DE84" s="9" t="str">
        <f t="shared" si="783"/>
        <v/>
      </c>
      <c r="DF84" s="5" t="str">
        <f t="shared" si="783"/>
        <v/>
      </c>
      <c r="DG84" s="10" t="str">
        <f t="shared" si="784"/>
        <v/>
      </c>
      <c r="DH84" s="70" t="str">
        <f t="shared" si="785"/>
        <v/>
      </c>
      <c r="DI84" s="4" t="str">
        <f t="shared" si="786"/>
        <v/>
      </c>
      <c r="DJ84" s="5" t="str">
        <f t="shared" si="787"/>
        <v/>
      </c>
      <c r="DK84" s="10" t="str">
        <f t="shared" si="788"/>
        <v/>
      </c>
      <c r="DL84" s="9" t="str">
        <f t="shared" si="789"/>
        <v/>
      </c>
      <c r="DM84" s="173" t="str">
        <f t="shared" si="790"/>
        <v/>
      </c>
      <c r="DN84" s="178" t="str">
        <f t="shared" si="791"/>
        <v/>
      </c>
      <c r="DO84" s="9" t="str">
        <f t="shared" si="792"/>
        <v/>
      </c>
      <c r="DP84" s="173" t="str">
        <f t="shared" si="793"/>
        <v/>
      </c>
      <c r="DQ84" s="11" t="str">
        <f t="shared" si="794"/>
        <v/>
      </c>
      <c r="DR84" s="173" t="str">
        <f t="shared" si="795"/>
        <v/>
      </c>
      <c r="DS84" s="5" t="str">
        <f t="shared" si="796"/>
        <v/>
      </c>
      <c r="DT84" s="5" t="str">
        <f t="shared" si="797"/>
        <v/>
      </c>
      <c r="DU84" s="5" t="str">
        <f t="shared" si="798"/>
        <v/>
      </c>
      <c r="DV84" s="5" t="str">
        <f t="shared" si="799"/>
        <v/>
      </c>
      <c r="DW84" s="5" t="str">
        <f t="shared" si="800"/>
        <v/>
      </c>
      <c r="DX84" s="167" t="str">
        <f t="shared" si="801"/>
        <v/>
      </c>
      <c r="DY84" s="9" t="str">
        <f t="shared" si="802"/>
        <v/>
      </c>
      <c r="DZ84" s="5" t="str">
        <f t="shared" si="803"/>
        <v/>
      </c>
      <c r="EA84" s="10" t="str">
        <f t="shared" si="804"/>
        <v/>
      </c>
      <c r="EB84" s="6" t="str">
        <f t="shared" si="805"/>
        <v/>
      </c>
      <c r="EC84" s="173" t="str">
        <f t="shared" si="806"/>
        <v/>
      </c>
      <c r="ED84" s="5" t="str">
        <f t="shared" si="807"/>
        <v/>
      </c>
      <c r="EE84" s="4" t="str">
        <f t="shared" si="808"/>
        <v/>
      </c>
      <c r="EF84" s="5" t="str">
        <f t="shared" si="809"/>
        <v/>
      </c>
      <c r="EG84" s="10" t="str">
        <f t="shared" si="810"/>
        <v/>
      </c>
      <c r="EH84" s="9" t="str">
        <f t="shared" si="811"/>
        <v/>
      </c>
      <c r="EI84" s="5" t="str">
        <f t="shared" si="812"/>
        <v/>
      </c>
      <c r="EJ84" s="6" t="str">
        <f t="shared" si="813"/>
        <v/>
      </c>
      <c r="EK84" s="236" t="str">
        <f t="shared" si="814"/>
        <v/>
      </c>
      <c r="EL84" s="238" t="str">
        <f t="shared" si="815"/>
        <v/>
      </c>
      <c r="EM84" s="4" t="str">
        <f t="shared" si="816"/>
        <v/>
      </c>
      <c r="EN84" s="5" t="str">
        <f t="shared" si="817"/>
        <v/>
      </c>
      <c r="EO84" s="10" t="str">
        <f t="shared" si="818"/>
        <v/>
      </c>
      <c r="EP84" s="9" t="str">
        <f t="shared" si="819"/>
        <v/>
      </c>
      <c r="EQ84" s="5" t="str">
        <f t="shared" si="820"/>
        <v/>
      </c>
      <c r="ER84" s="7" t="str">
        <f t="shared" si="821"/>
        <v/>
      </c>
      <c r="ES84" s="21" t="str">
        <f t="shared" si="664"/>
        <v/>
      </c>
      <c r="ET84" s="5" t="str">
        <f t="shared" si="665"/>
        <v/>
      </c>
      <c r="EU84" s="10" t="str">
        <f t="shared" si="666"/>
        <v/>
      </c>
      <c r="EV84" s="174" t="str">
        <f t="shared" si="667"/>
        <v/>
      </c>
      <c r="EW84" s="9" t="str">
        <f t="shared" si="668"/>
        <v/>
      </c>
      <c r="EX84" s="5" t="str">
        <f t="shared" si="669"/>
        <v/>
      </c>
      <c r="EY84" s="6" t="str">
        <f t="shared" si="822"/>
        <v/>
      </c>
      <c r="EZ84" s="51" t="str">
        <f t="shared" si="823"/>
        <v/>
      </c>
      <c r="FA84" s="173" t="str">
        <f t="shared" si="670"/>
        <v/>
      </c>
      <c r="FB84" s="5" t="str">
        <f t="shared" si="671"/>
        <v/>
      </c>
      <c r="FC84" s="6" t="str">
        <f t="shared" si="672"/>
        <v/>
      </c>
      <c r="FD84" s="4" t="str">
        <f t="shared" si="673"/>
        <v/>
      </c>
      <c r="FE84" s="5" t="str">
        <f t="shared" si="674"/>
        <v/>
      </c>
      <c r="FF84" s="7" t="str">
        <f t="shared" si="824"/>
        <v/>
      </c>
      <c r="FG84" s="173" t="str">
        <f t="shared" si="675"/>
        <v/>
      </c>
      <c r="FH84" s="5" t="str">
        <f t="shared" si="676"/>
        <v/>
      </c>
      <c r="FI84" s="10" t="str">
        <f t="shared" si="677"/>
        <v/>
      </c>
      <c r="FJ84" s="279" t="str">
        <f t="shared" si="825"/>
        <v/>
      </c>
      <c r="FK84" s="4" t="str">
        <f t="shared" si="678"/>
        <v/>
      </c>
      <c r="FL84" s="5" t="str">
        <f t="shared" si="746"/>
        <v/>
      </c>
      <c r="FM84" s="8" t="str">
        <f t="shared" si="747"/>
        <v/>
      </c>
      <c r="FN84" s="9" t="str">
        <f t="shared" si="748"/>
        <v/>
      </c>
      <c r="FO84" s="10" t="str">
        <f t="shared" si="679"/>
        <v/>
      </c>
      <c r="FP84" s="277" t="str">
        <f t="shared" si="749"/>
        <v/>
      </c>
      <c r="FQ84" s="173" t="str">
        <f t="shared" si="826"/>
        <v/>
      </c>
      <c r="FR84" s="10" t="str">
        <f t="shared" si="827"/>
        <v/>
      </c>
      <c r="FS84" s="9" t="str">
        <f t="shared" si="828"/>
        <v/>
      </c>
      <c r="FT84" s="6" t="str">
        <f t="shared" si="829"/>
        <v/>
      </c>
      <c r="FU84" s="4" t="str">
        <f t="shared" si="830"/>
        <v/>
      </c>
      <c r="FV84" s="5" t="str">
        <f t="shared" si="831"/>
        <v/>
      </c>
      <c r="FW84" s="8" t="str">
        <f t="shared" si="832"/>
        <v/>
      </c>
      <c r="FX84" s="9" t="str">
        <f t="shared" si="833"/>
        <v/>
      </c>
      <c r="FY84" s="10" t="str">
        <f t="shared" si="680"/>
        <v/>
      </c>
      <c r="FZ84" s="277" t="str">
        <f t="shared" si="834"/>
        <v/>
      </c>
      <c r="GA84" s="177" t="str">
        <f t="shared" si="835"/>
        <v/>
      </c>
      <c r="GB84" s="4" t="str">
        <f t="shared" si="836"/>
        <v/>
      </c>
      <c r="GC84" s="5" t="str">
        <f t="shared" si="837"/>
        <v/>
      </c>
      <c r="GD84" s="10" t="str">
        <f t="shared" si="838"/>
        <v/>
      </c>
      <c r="GE84" s="311" t="str">
        <f t="shared" si="839"/>
        <v/>
      </c>
      <c r="GF84" s="341" t="str">
        <f t="shared" si="840"/>
        <v/>
      </c>
      <c r="GG84" s="285" t="str">
        <f t="shared" si="681"/>
        <v/>
      </c>
      <c r="GH84" s="286" t="str">
        <f t="shared" si="682"/>
        <v/>
      </c>
      <c r="GI84" s="281" t="str">
        <f t="shared" si="683"/>
        <v/>
      </c>
      <c r="GJ84" s="167" t="str">
        <f t="shared" si="841"/>
        <v/>
      </c>
      <c r="GK84" s="174" t="str">
        <f t="shared" si="684"/>
        <v/>
      </c>
      <c r="GL84" s="174" t="str">
        <f t="shared" si="842"/>
        <v/>
      </c>
      <c r="GM84" s="177" t="str">
        <f t="shared" si="843"/>
        <v/>
      </c>
      <c r="GN84" s="280" t="str">
        <f t="shared" si="844"/>
        <v/>
      </c>
      <c r="GO84" s="4" t="str">
        <f t="shared" si="845"/>
        <v/>
      </c>
      <c r="GP84" s="8" t="str">
        <f t="shared" si="846"/>
        <v/>
      </c>
      <c r="GQ84" s="177" t="str">
        <f t="shared" si="847"/>
        <v/>
      </c>
      <c r="GR84" s="371" t="str">
        <f t="shared" si="848"/>
        <v/>
      </c>
      <c r="GS84" s="342" t="str">
        <f t="shared" si="685"/>
        <v/>
      </c>
      <c r="GT84" s="343" t="str">
        <f t="shared" si="686"/>
        <v/>
      </c>
      <c r="GU84" s="344" t="str">
        <f t="shared" si="687"/>
        <v/>
      </c>
      <c r="GV84" s="343" t="str">
        <f t="shared" si="849"/>
        <v/>
      </c>
      <c r="GW84" s="345" t="str">
        <f t="shared" si="688"/>
        <v/>
      </c>
      <c r="GX84" s="346" t="str">
        <f t="shared" si="689"/>
        <v/>
      </c>
      <c r="GY84" s="344" t="str">
        <f t="shared" si="690"/>
        <v/>
      </c>
      <c r="GZ84" s="345" t="str">
        <f t="shared" si="691"/>
        <v/>
      </c>
      <c r="HA84" s="342" t="str">
        <f t="shared" si="692"/>
        <v/>
      </c>
      <c r="HB84" s="5" t="str">
        <f t="shared" si="850"/>
        <v/>
      </c>
      <c r="HC84" s="343" t="str">
        <f t="shared" si="851"/>
        <v/>
      </c>
      <c r="HD84" s="363" t="str">
        <f t="shared" si="852"/>
        <v/>
      </c>
      <c r="HE84" s="344" t="str">
        <f t="shared" si="693"/>
        <v/>
      </c>
      <c r="HF84" s="5" t="str">
        <f t="shared" si="694"/>
        <v/>
      </c>
      <c r="HG84" s="343" t="str">
        <f t="shared" si="853"/>
        <v/>
      </c>
      <c r="HH84" s="349" t="str">
        <f t="shared" si="854"/>
        <v/>
      </c>
      <c r="HI84" s="317" t="str">
        <f t="shared" si="695"/>
        <v/>
      </c>
      <c r="HK84" s="310" t="str">
        <f t="shared" si="750"/>
        <v/>
      </c>
      <c r="HL84" s="348" t="str">
        <f t="shared" si="696"/>
        <v/>
      </c>
      <c r="HM84" s="923" t="str">
        <f t="shared" si="697"/>
        <v/>
      </c>
      <c r="HN84" s="924" t="str">
        <f t="shared" si="698"/>
        <v/>
      </c>
      <c r="HO84" s="925"/>
      <c r="HP84" s="926"/>
      <c r="HQ84" s="924" t="str">
        <f t="shared" si="699"/>
        <v/>
      </c>
      <c r="HR84" s="927" t="str">
        <f t="shared" si="700"/>
        <v/>
      </c>
      <c r="HS84" s="879" t="str">
        <f t="shared" si="751"/>
        <v/>
      </c>
      <c r="HT84" s="889" t="str">
        <f t="shared" si="701"/>
        <v/>
      </c>
      <c r="HU84" s="890" t="str">
        <f t="shared" si="702"/>
        <v/>
      </c>
      <c r="HV84" s="886" t="str">
        <f t="shared" si="703"/>
        <v/>
      </c>
      <c r="HW84" s="880" t="str">
        <f t="shared" si="704"/>
        <v/>
      </c>
      <c r="HX84" s="881" t="str">
        <f t="shared" si="705"/>
        <v/>
      </c>
      <c r="HY84" s="880" t="str">
        <f t="shared" si="706"/>
        <v/>
      </c>
      <c r="HZ84" s="882" t="str">
        <f t="shared" si="707"/>
        <v/>
      </c>
      <c r="IA84" s="883" t="str">
        <f t="shared" si="708"/>
        <v/>
      </c>
      <c r="IB84" s="884" t="str">
        <f t="shared" si="709"/>
        <v/>
      </c>
      <c r="IC84" s="855" t="str">
        <f t="shared" si="710"/>
        <v/>
      </c>
      <c r="ID84" s="351" t="str">
        <f t="shared" si="711"/>
        <v/>
      </c>
      <c r="IE84" s="857" t="str">
        <f t="shared" si="712"/>
        <v/>
      </c>
      <c r="IF84" s="858"/>
      <c r="IG84" s="790" t="str">
        <f>IFERROR(IF($IW84="","",IF($IW84&lt;(((Settings!$C$19/2)*-1)*$IG$8),"Taper","Nose")),"")</f>
        <v/>
      </c>
      <c r="IH84" s="482" t="str">
        <f>IFERROR(IF((((($IY84*COS(RADIANS(180-$JA84)))*COS(RADIANS($JA84)))-(($IZ84*SIN(RADIANS(180-$JA84)))*SIN(RADIANS($JA84))))+$IW84)&lt;(((Settings!$C$19+$IH$8)/2)*-1),"Gage",""),"")</f>
        <v/>
      </c>
      <c r="II84" s="788" t="str">
        <f t="shared" si="855"/>
        <v/>
      </c>
      <c r="IJ84" s="674" t="str" cm="1">
        <f t="array" ref="IJ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K84" s="677" t="str" cm="1">
        <f t="array" ref="IK84">IFERROR(ROUND(VALUE(IF($IJ84&lt;1,$IJ84+LARGE((IF($M$9:$M$150="",0,$M$9:$M$150)-MOD(IF($M$9:$M$150="",0,$M$9:$M$150),1)),1),$IJ84)),4),"")</f>
        <v/>
      </c>
      <c r="IL84" s="482" t="str">
        <f t="shared" si="713"/>
        <v/>
      </c>
      <c r="IM84" s="482" t="str">
        <f t="shared" si="856"/>
        <v/>
      </c>
      <c r="IN84" s="670" t="str">
        <f t="shared" si="714"/>
        <v/>
      </c>
      <c r="IO84" s="702"/>
      <c r="IP84" s="5" t="str">
        <f t="shared" si="715"/>
        <v/>
      </c>
      <c r="IQ84" s="714"/>
      <c r="IR84" s="9" t="str">
        <f t="shared" si="716"/>
        <v/>
      </c>
      <c r="IS84" s="5" t="str">
        <f t="shared" si="717"/>
        <v/>
      </c>
      <c r="IT84" s="5" t="str">
        <f t="shared" si="718"/>
        <v/>
      </c>
      <c r="IU84" s="5" t="str">
        <f t="shared" si="719"/>
        <v/>
      </c>
      <c r="IV84" s="670" t="str">
        <f t="shared" si="720"/>
        <v/>
      </c>
      <c r="IW84" s="9" t="str">
        <f t="shared" si="721"/>
        <v/>
      </c>
      <c r="IX84" s="5" t="str">
        <f t="shared" si="722"/>
        <v/>
      </c>
      <c r="IY84" s="5" t="str">
        <f t="shared" si="723"/>
        <v/>
      </c>
      <c r="IZ84" s="5" t="str">
        <f t="shared" si="724"/>
        <v/>
      </c>
      <c r="JA84" s="705" t="str">
        <f t="shared" si="725"/>
        <v/>
      </c>
      <c r="JM84" s="489" t="e">
        <f t="shared" si="752"/>
        <v>#VALUE!</v>
      </c>
      <c r="JN84" s="960" t="e">
        <f>($JO84-SMALL($JO$9:$JO$88,1))/((Settings!$C$19/2)-((Settings!$C$19/2)-LARGE($JO$9:$JO$88,1))-SMALL($JO$9:$JO$88,1))</f>
        <v>#VALUE!</v>
      </c>
      <c r="JO84" s="162" t="str">
        <f t="shared" si="635"/>
        <v/>
      </c>
      <c r="JP84" s="961" t="str">
        <f t="shared" si="636"/>
        <v/>
      </c>
      <c r="JQ84" s="961" t="str">
        <f t="shared" si="637"/>
        <v/>
      </c>
      <c r="JU84" s="962"/>
      <c r="JV84" s="959"/>
      <c r="JW84" s="959"/>
    </row>
    <row r="85" spans="1:283" ht="15" customHeight="1" x14ac:dyDescent="0.25">
      <c r="A85" s="75" t="str">
        <f t="shared" si="640"/>
        <v/>
      </c>
      <c r="B85" s="578" t="str">
        <f t="shared" ref="B85:D85" si="877">IFERROR(O240+($A85*-E85),"")</f>
        <v/>
      </c>
      <c r="C85" s="572" t="str">
        <f t="shared" si="877"/>
        <v/>
      </c>
      <c r="D85" s="576" t="str">
        <f t="shared" si="877"/>
        <v/>
      </c>
      <c r="E85" s="580" t="str">
        <f t="shared" ref="E85:K85" si="878">R240</f>
        <v/>
      </c>
      <c r="F85" s="572" t="str">
        <f t="shared" si="878"/>
        <v/>
      </c>
      <c r="G85" s="579" t="str">
        <f t="shared" si="878"/>
        <v/>
      </c>
      <c r="H85" s="580" t="str">
        <f t="shared" si="878"/>
        <v/>
      </c>
      <c r="I85" s="572" t="str">
        <f t="shared" si="878"/>
        <v/>
      </c>
      <c r="J85" s="483" t="str">
        <f t="shared" si="728"/>
        <v/>
      </c>
      <c r="K85" s="806" t="str">
        <f t="shared" si="878"/>
        <v/>
      </c>
      <c r="L85" s="309"/>
      <c r="M85" s="164" t="str">
        <f t="shared" si="643"/>
        <v/>
      </c>
      <c r="N85" s="575" t="str">
        <f t="shared" si="644"/>
        <v/>
      </c>
      <c r="O85" s="572" t="str">
        <f t="shared" si="645"/>
        <v/>
      </c>
      <c r="P85" s="576" t="str">
        <f t="shared" si="646"/>
        <v/>
      </c>
      <c r="Q85" s="528" t="str">
        <f t="shared" si="729"/>
        <v/>
      </c>
      <c r="R85" s="572" t="str">
        <f t="shared" si="95"/>
        <v/>
      </c>
      <c r="S85" s="577" t="str">
        <f t="shared" si="96"/>
        <v/>
      </c>
      <c r="T85" s="578" t="str">
        <f t="shared" si="97"/>
        <v/>
      </c>
      <c r="U85" s="572" t="str">
        <f t="shared" si="98"/>
        <v/>
      </c>
      <c r="V85" s="579" t="str">
        <f t="shared" si="145"/>
        <v/>
      </c>
      <c r="W85" s="528" t="str">
        <f t="shared" si="866"/>
        <v/>
      </c>
      <c r="X85" s="572" t="str">
        <f t="shared" si="99"/>
        <v/>
      </c>
      <c r="Y85" s="573" t="str">
        <f t="shared" si="859"/>
        <v/>
      </c>
      <c r="Z85" s="575" t="str">
        <f t="shared" si="647"/>
        <v/>
      </c>
      <c r="AA85" s="572" t="str">
        <f t="shared" si="648"/>
        <v/>
      </c>
      <c r="AB85" s="572" t="str">
        <f t="shared" si="649"/>
        <v/>
      </c>
      <c r="AC85" s="579" t="str">
        <f t="shared" si="100"/>
        <v/>
      </c>
      <c r="AD85" s="580" t="str">
        <f t="shared" si="146"/>
        <v/>
      </c>
      <c r="AE85" s="572" t="str">
        <f t="shared" si="101"/>
        <v/>
      </c>
      <c r="AF85" s="576" t="str">
        <f t="shared" si="102"/>
        <v/>
      </c>
      <c r="AG85" s="545" t="str">
        <f t="shared" si="103"/>
        <v/>
      </c>
      <c r="AH85" s="546" t="str">
        <f t="shared" si="104"/>
        <v/>
      </c>
      <c r="AI85" s="528" t="str">
        <f t="shared" si="105"/>
        <v/>
      </c>
      <c r="AJ85" s="529" t="str">
        <f t="shared" si="106"/>
        <v/>
      </c>
      <c r="AK85" s="578" t="str">
        <f t="shared" si="247"/>
        <v/>
      </c>
      <c r="AL85" s="572" t="str">
        <f t="shared" si="107"/>
        <v/>
      </c>
      <c r="AM85" s="577" t="str">
        <f t="shared" si="108"/>
        <v/>
      </c>
      <c r="AN85" s="524" t="str">
        <f t="shared" si="109"/>
        <v/>
      </c>
      <c r="AO85" s="525" t="str">
        <f t="shared" si="604"/>
        <v/>
      </c>
      <c r="AP85" s="528" t="str">
        <f t="shared" si="111"/>
        <v/>
      </c>
      <c r="AQ85" s="529" t="str">
        <f t="shared" si="650"/>
        <v/>
      </c>
      <c r="AR85" s="979"/>
      <c r="AS85" s="954" t="str">
        <f t="shared" si="755"/>
        <v/>
      </c>
      <c r="AT85" s="950" t="str">
        <f t="shared" si="651"/>
        <v/>
      </c>
      <c r="AU85" s="418"/>
      <c r="AV85" s="164" t="str">
        <f t="shared" si="652"/>
        <v/>
      </c>
      <c r="AW85" s="797" t="str">
        <f>IFERROR(INDEX(MassProp!C$9:C$150,MATCH($M85,MassProp!$B$9:$B$150,0)),"")</f>
        <v/>
      </c>
      <c r="AX85" s="744" t="str">
        <f>IFERROR(INDEX(MassProp!D$9:D$150,MATCH($M85,MassProp!$B$9:$B$150,0)),"")</f>
        <v/>
      </c>
      <c r="AY85" s="731" t="str">
        <f>IFERROR(INDEX(MassProp!E$9:E$150,MATCH($M85,MassProp!$B$9:$B$150,0)),"")</f>
        <v/>
      </c>
      <c r="AZ85" s="297" t="str">
        <f t="shared" si="756"/>
        <v/>
      </c>
      <c r="BA85" s="296" t="str">
        <f t="shared" si="653"/>
        <v/>
      </c>
      <c r="BB85" s="177" t="str">
        <f t="shared" si="730"/>
        <v/>
      </c>
      <c r="BC85" s="9"/>
      <c r="BD85" s="5" t="str">
        <f t="shared" si="731"/>
        <v/>
      </c>
      <c r="BE85" s="6" t="str">
        <f t="shared" si="654"/>
        <v/>
      </c>
      <c r="BF85" s="4" t="str">
        <f t="shared" si="655"/>
        <v/>
      </c>
      <c r="BG85" s="5" t="str">
        <f t="shared" si="656"/>
        <v/>
      </c>
      <c r="BH85" s="10" t="str">
        <f t="shared" si="657"/>
        <v/>
      </c>
      <c r="BI85" s="9" t="str">
        <f t="shared" si="757"/>
        <v/>
      </c>
      <c r="BJ85" s="5" t="str">
        <f t="shared" si="658"/>
        <v/>
      </c>
      <c r="BK85" s="8" t="str">
        <f t="shared" si="659"/>
        <v/>
      </c>
      <c r="BL85" s="173" t="str">
        <f t="shared" si="660"/>
        <v/>
      </c>
      <c r="BM85" s="5" t="str">
        <f t="shared" si="661"/>
        <v/>
      </c>
      <c r="BN85" s="6" t="str">
        <f t="shared" si="662"/>
        <v/>
      </c>
      <c r="BO85" s="4" t="str">
        <f t="shared" si="758"/>
        <v/>
      </c>
      <c r="BP85" s="5" t="str">
        <f t="shared" si="759"/>
        <v/>
      </c>
      <c r="BQ85" s="5" t="str">
        <f t="shared" si="760"/>
        <v/>
      </c>
      <c r="BR85" s="6" t="str">
        <f t="shared" si="761"/>
        <v/>
      </c>
      <c r="BS85" s="4" t="str">
        <f t="shared" si="732"/>
        <v/>
      </c>
      <c r="BT85" s="5" t="str">
        <f t="shared" si="732"/>
        <v/>
      </c>
      <c r="BU85" s="10" t="str">
        <f t="shared" si="733"/>
        <v/>
      </c>
      <c r="BV85" s="9" t="str">
        <f t="shared" si="734"/>
        <v/>
      </c>
      <c r="BW85" s="5" t="str">
        <f t="shared" si="735"/>
        <v/>
      </c>
      <c r="BX85" s="8" t="str">
        <f t="shared" si="736"/>
        <v/>
      </c>
      <c r="BY85" s="173" t="str">
        <f t="shared" si="737"/>
        <v/>
      </c>
      <c r="BZ85" s="5" t="str">
        <f t="shared" si="738"/>
        <v/>
      </c>
      <c r="CA85" s="6" t="str">
        <f t="shared" si="739"/>
        <v/>
      </c>
      <c r="CB85" s="4" t="str">
        <f t="shared" si="762"/>
        <v/>
      </c>
      <c r="CC85" s="5" t="str">
        <f t="shared" si="763"/>
        <v/>
      </c>
      <c r="CD85" s="5" t="str">
        <f t="shared" si="764"/>
        <v/>
      </c>
      <c r="CE85" s="6" t="str">
        <f t="shared" si="765"/>
        <v/>
      </c>
      <c r="CF85" s="4" t="str">
        <f t="shared" si="766"/>
        <v/>
      </c>
      <c r="CG85" s="5" t="str">
        <f t="shared" si="767"/>
        <v/>
      </c>
      <c r="CH85" s="5" t="str">
        <f t="shared" si="768"/>
        <v/>
      </c>
      <c r="CI85" s="4" t="str">
        <f t="shared" si="740"/>
        <v/>
      </c>
      <c r="CJ85" s="5" t="str">
        <f t="shared" si="741"/>
        <v/>
      </c>
      <c r="CK85" s="8" t="str">
        <f t="shared" si="742"/>
        <v/>
      </c>
      <c r="CL85" s="173" t="str">
        <f t="shared" si="743"/>
        <v/>
      </c>
      <c r="CM85" s="5" t="str">
        <f t="shared" si="744"/>
        <v/>
      </c>
      <c r="CN85" s="6" t="str">
        <f t="shared" si="745"/>
        <v/>
      </c>
      <c r="CO85" s="167" t="str">
        <f t="shared" si="663"/>
        <v/>
      </c>
      <c r="CP85" s="4" t="str">
        <f t="shared" si="769"/>
        <v/>
      </c>
      <c r="CQ85" s="5" t="str">
        <f t="shared" si="770"/>
        <v/>
      </c>
      <c r="CR85" s="5" t="str">
        <f t="shared" si="771"/>
        <v/>
      </c>
      <c r="CS85" s="8" t="str">
        <f t="shared" si="772"/>
        <v/>
      </c>
      <c r="CT85" s="9" t="str">
        <f t="shared" si="773"/>
        <v/>
      </c>
      <c r="CU85" s="6" t="str">
        <f t="shared" si="774"/>
        <v/>
      </c>
      <c r="CV85" s="4" t="str">
        <f t="shared" si="775"/>
        <v/>
      </c>
      <c r="CW85" s="5" t="str">
        <f t="shared" si="776"/>
        <v/>
      </c>
      <c r="CX85" s="8" t="str">
        <f t="shared" si="777"/>
        <v/>
      </c>
      <c r="CY85" s="9" t="str">
        <f t="shared" si="778"/>
        <v/>
      </c>
      <c r="CZ85" s="5" t="str">
        <f t="shared" si="779"/>
        <v/>
      </c>
      <c r="DA85" s="6" t="str">
        <f t="shared" si="780"/>
        <v/>
      </c>
      <c r="DB85" s="4" t="str">
        <f t="shared" si="781"/>
        <v/>
      </c>
      <c r="DC85" s="5" t="str">
        <f t="shared" si="781"/>
        <v/>
      </c>
      <c r="DD85" s="10" t="str">
        <f t="shared" si="782"/>
        <v/>
      </c>
      <c r="DE85" s="9" t="str">
        <f t="shared" si="783"/>
        <v/>
      </c>
      <c r="DF85" s="5" t="str">
        <f t="shared" si="783"/>
        <v/>
      </c>
      <c r="DG85" s="10" t="str">
        <f t="shared" si="784"/>
        <v/>
      </c>
      <c r="DH85" s="70" t="str">
        <f t="shared" si="785"/>
        <v/>
      </c>
      <c r="DI85" s="4" t="str">
        <f t="shared" si="786"/>
        <v/>
      </c>
      <c r="DJ85" s="5" t="str">
        <f t="shared" si="787"/>
        <v/>
      </c>
      <c r="DK85" s="10" t="str">
        <f t="shared" si="788"/>
        <v/>
      </c>
      <c r="DL85" s="9" t="str">
        <f t="shared" si="789"/>
        <v/>
      </c>
      <c r="DM85" s="173" t="str">
        <f t="shared" si="790"/>
        <v/>
      </c>
      <c r="DN85" s="178" t="str">
        <f t="shared" si="791"/>
        <v/>
      </c>
      <c r="DO85" s="9" t="str">
        <f t="shared" si="792"/>
        <v/>
      </c>
      <c r="DP85" s="173" t="str">
        <f t="shared" si="793"/>
        <v/>
      </c>
      <c r="DQ85" s="11" t="str">
        <f t="shared" si="794"/>
        <v/>
      </c>
      <c r="DR85" s="173" t="str">
        <f t="shared" si="795"/>
        <v/>
      </c>
      <c r="DS85" s="5" t="str">
        <f t="shared" si="796"/>
        <v/>
      </c>
      <c r="DT85" s="5" t="str">
        <f t="shared" si="797"/>
        <v/>
      </c>
      <c r="DU85" s="5" t="str">
        <f t="shared" si="798"/>
        <v/>
      </c>
      <c r="DV85" s="5" t="str">
        <f t="shared" si="799"/>
        <v/>
      </c>
      <c r="DW85" s="5" t="str">
        <f t="shared" si="800"/>
        <v/>
      </c>
      <c r="DX85" s="167" t="str">
        <f t="shared" si="801"/>
        <v/>
      </c>
      <c r="DY85" s="9" t="str">
        <f t="shared" si="802"/>
        <v/>
      </c>
      <c r="DZ85" s="5" t="str">
        <f t="shared" si="803"/>
        <v/>
      </c>
      <c r="EA85" s="10" t="str">
        <f t="shared" si="804"/>
        <v/>
      </c>
      <c r="EB85" s="6" t="str">
        <f t="shared" si="805"/>
        <v/>
      </c>
      <c r="EC85" s="173" t="str">
        <f t="shared" si="806"/>
        <v/>
      </c>
      <c r="ED85" s="5" t="str">
        <f t="shared" si="807"/>
        <v/>
      </c>
      <c r="EE85" s="4" t="str">
        <f t="shared" si="808"/>
        <v/>
      </c>
      <c r="EF85" s="5" t="str">
        <f t="shared" si="809"/>
        <v/>
      </c>
      <c r="EG85" s="10" t="str">
        <f t="shared" si="810"/>
        <v/>
      </c>
      <c r="EH85" s="9" t="str">
        <f t="shared" si="811"/>
        <v/>
      </c>
      <c r="EI85" s="5" t="str">
        <f t="shared" si="812"/>
        <v/>
      </c>
      <c r="EJ85" s="6" t="str">
        <f t="shared" si="813"/>
        <v/>
      </c>
      <c r="EK85" s="236" t="str">
        <f t="shared" si="814"/>
        <v/>
      </c>
      <c r="EL85" s="238" t="str">
        <f t="shared" si="815"/>
        <v/>
      </c>
      <c r="EM85" s="4" t="str">
        <f t="shared" si="816"/>
        <v/>
      </c>
      <c r="EN85" s="5" t="str">
        <f t="shared" si="817"/>
        <v/>
      </c>
      <c r="EO85" s="10" t="str">
        <f t="shared" si="818"/>
        <v/>
      </c>
      <c r="EP85" s="9" t="str">
        <f t="shared" si="819"/>
        <v/>
      </c>
      <c r="EQ85" s="5" t="str">
        <f t="shared" si="820"/>
        <v/>
      </c>
      <c r="ER85" s="7" t="str">
        <f t="shared" si="821"/>
        <v/>
      </c>
      <c r="ES85" s="21" t="str">
        <f t="shared" si="664"/>
        <v/>
      </c>
      <c r="ET85" s="5" t="str">
        <f t="shared" si="665"/>
        <v/>
      </c>
      <c r="EU85" s="10" t="str">
        <f t="shared" si="666"/>
        <v/>
      </c>
      <c r="EV85" s="174" t="str">
        <f t="shared" si="667"/>
        <v/>
      </c>
      <c r="EW85" s="9" t="str">
        <f t="shared" si="668"/>
        <v/>
      </c>
      <c r="EX85" s="5" t="str">
        <f t="shared" si="669"/>
        <v/>
      </c>
      <c r="EY85" s="6" t="str">
        <f t="shared" si="822"/>
        <v/>
      </c>
      <c r="EZ85" s="51" t="str">
        <f t="shared" si="823"/>
        <v/>
      </c>
      <c r="FA85" s="173" t="str">
        <f t="shared" si="670"/>
        <v/>
      </c>
      <c r="FB85" s="5" t="str">
        <f t="shared" si="671"/>
        <v/>
      </c>
      <c r="FC85" s="6" t="str">
        <f t="shared" si="672"/>
        <v/>
      </c>
      <c r="FD85" s="4" t="str">
        <f t="shared" si="673"/>
        <v/>
      </c>
      <c r="FE85" s="5" t="str">
        <f t="shared" si="674"/>
        <v/>
      </c>
      <c r="FF85" s="7" t="str">
        <f t="shared" si="824"/>
        <v/>
      </c>
      <c r="FG85" s="173" t="str">
        <f t="shared" si="675"/>
        <v/>
      </c>
      <c r="FH85" s="5" t="str">
        <f t="shared" si="676"/>
        <v/>
      </c>
      <c r="FI85" s="10" t="str">
        <f t="shared" si="677"/>
        <v/>
      </c>
      <c r="FJ85" s="279" t="str">
        <f t="shared" si="825"/>
        <v/>
      </c>
      <c r="FK85" s="4" t="str">
        <f t="shared" si="678"/>
        <v/>
      </c>
      <c r="FL85" s="5" t="str">
        <f t="shared" si="746"/>
        <v/>
      </c>
      <c r="FM85" s="8" t="str">
        <f t="shared" si="747"/>
        <v/>
      </c>
      <c r="FN85" s="9" t="str">
        <f t="shared" si="748"/>
        <v/>
      </c>
      <c r="FO85" s="10" t="str">
        <f t="shared" si="679"/>
        <v/>
      </c>
      <c r="FP85" s="277" t="str">
        <f t="shared" si="749"/>
        <v/>
      </c>
      <c r="FQ85" s="173" t="str">
        <f t="shared" si="826"/>
        <v/>
      </c>
      <c r="FR85" s="10" t="str">
        <f t="shared" si="827"/>
        <v/>
      </c>
      <c r="FS85" s="9" t="str">
        <f t="shared" si="828"/>
        <v/>
      </c>
      <c r="FT85" s="6" t="str">
        <f t="shared" si="829"/>
        <v/>
      </c>
      <c r="FU85" s="4" t="str">
        <f t="shared" si="830"/>
        <v/>
      </c>
      <c r="FV85" s="5" t="str">
        <f t="shared" si="831"/>
        <v/>
      </c>
      <c r="FW85" s="8" t="str">
        <f t="shared" si="832"/>
        <v/>
      </c>
      <c r="FX85" s="9" t="str">
        <f t="shared" si="833"/>
        <v/>
      </c>
      <c r="FY85" s="10" t="str">
        <f t="shared" si="680"/>
        <v/>
      </c>
      <c r="FZ85" s="277" t="str">
        <f t="shared" si="834"/>
        <v/>
      </c>
      <c r="GA85" s="177" t="str">
        <f t="shared" si="835"/>
        <v/>
      </c>
      <c r="GB85" s="4" t="str">
        <f t="shared" si="836"/>
        <v/>
      </c>
      <c r="GC85" s="5" t="str">
        <f t="shared" si="837"/>
        <v/>
      </c>
      <c r="GD85" s="10" t="str">
        <f t="shared" si="838"/>
        <v/>
      </c>
      <c r="GE85" s="311" t="str">
        <f t="shared" si="839"/>
        <v/>
      </c>
      <c r="GF85" s="341" t="str">
        <f t="shared" si="840"/>
        <v/>
      </c>
      <c r="GG85" s="285" t="str">
        <f t="shared" si="681"/>
        <v/>
      </c>
      <c r="GH85" s="286" t="str">
        <f t="shared" si="682"/>
        <v/>
      </c>
      <c r="GI85" s="281" t="str">
        <f t="shared" si="683"/>
        <v/>
      </c>
      <c r="GJ85" s="167" t="str">
        <f t="shared" si="841"/>
        <v/>
      </c>
      <c r="GK85" s="174" t="str">
        <f t="shared" si="684"/>
        <v/>
      </c>
      <c r="GL85" s="174" t="str">
        <f t="shared" si="842"/>
        <v/>
      </c>
      <c r="GM85" s="177" t="str">
        <f t="shared" si="843"/>
        <v/>
      </c>
      <c r="GN85" s="280" t="str">
        <f t="shared" si="844"/>
        <v/>
      </c>
      <c r="GO85" s="4" t="str">
        <f t="shared" si="845"/>
        <v/>
      </c>
      <c r="GP85" s="8" t="str">
        <f t="shared" si="846"/>
        <v/>
      </c>
      <c r="GQ85" s="177" t="str">
        <f t="shared" si="847"/>
        <v/>
      </c>
      <c r="GR85" s="371" t="str">
        <f t="shared" si="848"/>
        <v/>
      </c>
      <c r="GS85" s="342" t="str">
        <f t="shared" si="685"/>
        <v/>
      </c>
      <c r="GT85" s="343" t="str">
        <f t="shared" si="686"/>
        <v/>
      </c>
      <c r="GU85" s="344" t="str">
        <f t="shared" si="687"/>
        <v/>
      </c>
      <c r="GV85" s="343" t="str">
        <f t="shared" si="849"/>
        <v/>
      </c>
      <c r="GW85" s="345" t="str">
        <f t="shared" si="688"/>
        <v/>
      </c>
      <c r="GX85" s="346" t="str">
        <f t="shared" si="689"/>
        <v/>
      </c>
      <c r="GY85" s="344" t="str">
        <f t="shared" si="690"/>
        <v/>
      </c>
      <c r="GZ85" s="345" t="str">
        <f t="shared" si="691"/>
        <v/>
      </c>
      <c r="HA85" s="342" t="str">
        <f t="shared" si="692"/>
        <v/>
      </c>
      <c r="HB85" s="5" t="str">
        <f t="shared" si="850"/>
        <v/>
      </c>
      <c r="HC85" s="343" t="str">
        <f t="shared" si="851"/>
        <v/>
      </c>
      <c r="HD85" s="363" t="str">
        <f t="shared" si="852"/>
        <v/>
      </c>
      <c r="HE85" s="344" t="str">
        <f t="shared" si="693"/>
        <v/>
      </c>
      <c r="HF85" s="5" t="str">
        <f t="shared" si="694"/>
        <v/>
      </c>
      <c r="HG85" s="343" t="str">
        <f t="shared" si="853"/>
        <v/>
      </c>
      <c r="HH85" s="349" t="str">
        <f t="shared" si="854"/>
        <v/>
      </c>
      <c r="HI85" s="317" t="str">
        <f t="shared" si="695"/>
        <v/>
      </c>
      <c r="HK85" s="310" t="str">
        <f t="shared" si="750"/>
        <v/>
      </c>
      <c r="HL85" s="348" t="str">
        <f t="shared" si="696"/>
        <v/>
      </c>
      <c r="HM85" s="923" t="str">
        <f t="shared" si="697"/>
        <v/>
      </c>
      <c r="HN85" s="924" t="str">
        <f t="shared" si="698"/>
        <v/>
      </c>
      <c r="HO85" s="925"/>
      <c r="HP85" s="926"/>
      <c r="HQ85" s="924" t="str">
        <f t="shared" si="699"/>
        <v/>
      </c>
      <c r="HR85" s="927" t="str">
        <f t="shared" si="700"/>
        <v/>
      </c>
      <c r="HS85" s="879" t="str">
        <f t="shared" si="751"/>
        <v/>
      </c>
      <c r="HT85" s="889" t="str">
        <f t="shared" si="701"/>
        <v/>
      </c>
      <c r="HU85" s="890" t="str">
        <f t="shared" si="702"/>
        <v/>
      </c>
      <c r="HV85" s="886" t="str">
        <f t="shared" si="703"/>
        <v/>
      </c>
      <c r="HW85" s="880" t="str">
        <f t="shared" si="704"/>
        <v/>
      </c>
      <c r="HX85" s="881" t="str">
        <f t="shared" si="705"/>
        <v/>
      </c>
      <c r="HY85" s="880" t="str">
        <f t="shared" si="706"/>
        <v/>
      </c>
      <c r="HZ85" s="882" t="str">
        <f t="shared" si="707"/>
        <v/>
      </c>
      <c r="IA85" s="883" t="str">
        <f t="shared" si="708"/>
        <v/>
      </c>
      <c r="IB85" s="884" t="str">
        <f t="shared" si="709"/>
        <v/>
      </c>
      <c r="IC85" s="855" t="str">
        <f t="shared" si="710"/>
        <v/>
      </c>
      <c r="ID85" s="351" t="str">
        <f t="shared" si="711"/>
        <v/>
      </c>
      <c r="IE85" s="857" t="str">
        <f t="shared" si="712"/>
        <v/>
      </c>
      <c r="IF85" s="858"/>
      <c r="IG85" s="790" t="str">
        <f>IFERROR(IF($IW85="","",IF($IW85&lt;(((Settings!$C$19/2)*-1)*$IG$8),"Taper","Nose")),"")</f>
        <v/>
      </c>
      <c r="IH85" s="482" t="str">
        <f>IFERROR(IF((((($IY85*COS(RADIANS(180-$JA85)))*COS(RADIANS($JA85)))-(($IZ85*SIN(RADIANS(180-$JA85)))*SIN(RADIANS($JA85))))+$IW85)&lt;(((Settings!$C$19+$IH$8)/2)*-1),"Gage",""),"")</f>
        <v/>
      </c>
      <c r="II85" s="788" t="str">
        <f t="shared" si="855"/>
        <v/>
      </c>
      <c r="IJ85" s="674" t="str" cm="1">
        <f t="array" ref="IJ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K85" s="677" t="str" cm="1">
        <f t="array" ref="IK85">IFERROR(ROUND(VALUE(IF($IJ85&lt;1,$IJ85+LARGE((IF($M$9:$M$150="",0,$M$9:$M$150)-MOD(IF($M$9:$M$150="",0,$M$9:$M$150),1)),1),$IJ85)),4),"")</f>
        <v/>
      </c>
      <c r="IL85" s="482" t="str">
        <f t="shared" si="713"/>
        <v/>
      </c>
      <c r="IM85" s="482" t="str">
        <f t="shared" si="856"/>
        <v/>
      </c>
      <c r="IN85" s="670" t="str">
        <f t="shared" si="714"/>
        <v/>
      </c>
      <c r="IO85" s="702"/>
      <c r="IP85" s="5" t="str">
        <f t="shared" si="715"/>
        <v/>
      </c>
      <c r="IQ85" s="714"/>
      <c r="IR85" s="9" t="str">
        <f t="shared" si="716"/>
        <v/>
      </c>
      <c r="IS85" s="5" t="str">
        <f t="shared" si="717"/>
        <v/>
      </c>
      <c r="IT85" s="5" t="str">
        <f t="shared" si="718"/>
        <v/>
      </c>
      <c r="IU85" s="5" t="str">
        <f t="shared" si="719"/>
        <v/>
      </c>
      <c r="IV85" s="670" t="str">
        <f t="shared" si="720"/>
        <v/>
      </c>
      <c r="IW85" s="9" t="str">
        <f t="shared" si="721"/>
        <v/>
      </c>
      <c r="IX85" s="5" t="str">
        <f t="shared" si="722"/>
        <v/>
      </c>
      <c r="IY85" s="5" t="str">
        <f t="shared" si="723"/>
        <v/>
      </c>
      <c r="IZ85" s="5" t="str">
        <f t="shared" si="724"/>
        <v/>
      </c>
      <c r="JA85" s="705" t="str">
        <f t="shared" si="725"/>
        <v/>
      </c>
      <c r="JM85" s="489" t="e">
        <f t="shared" si="752"/>
        <v>#VALUE!</v>
      </c>
      <c r="JN85" s="960" t="e">
        <f>($JO85-SMALL($JO$9:$JO$88,1))/((Settings!$C$19/2)-((Settings!$C$19/2)-LARGE($JO$9:$JO$88,1))-SMALL($JO$9:$JO$88,1))</f>
        <v>#VALUE!</v>
      </c>
      <c r="JO85" s="162" t="str">
        <f t="shared" si="635"/>
        <v/>
      </c>
      <c r="JP85" s="961" t="str">
        <f t="shared" si="636"/>
        <v/>
      </c>
      <c r="JQ85" s="961" t="str">
        <f t="shared" si="637"/>
        <v/>
      </c>
      <c r="JU85" s="962"/>
      <c r="JV85" s="959"/>
      <c r="JW85" s="959"/>
    </row>
    <row r="86" spans="1:283" ht="15" customHeight="1" x14ac:dyDescent="0.25">
      <c r="A86" s="75" t="str">
        <f t="shared" si="640"/>
        <v/>
      </c>
      <c r="B86" s="578" t="str">
        <f t="shared" ref="B86:D86" si="879">IFERROR(O241+($A86*-E86),"")</f>
        <v/>
      </c>
      <c r="C86" s="572" t="str">
        <f t="shared" si="879"/>
        <v/>
      </c>
      <c r="D86" s="576" t="str">
        <f t="shared" si="879"/>
        <v/>
      </c>
      <c r="E86" s="580" t="str">
        <f t="shared" ref="E86:K86" si="880">R241</f>
        <v/>
      </c>
      <c r="F86" s="572" t="str">
        <f t="shared" si="880"/>
        <v/>
      </c>
      <c r="G86" s="579" t="str">
        <f t="shared" si="880"/>
        <v/>
      </c>
      <c r="H86" s="580" t="str">
        <f t="shared" si="880"/>
        <v/>
      </c>
      <c r="I86" s="572" t="str">
        <f t="shared" si="880"/>
        <v/>
      </c>
      <c r="J86" s="483" t="str">
        <f t="shared" si="728"/>
        <v/>
      </c>
      <c r="K86" s="806" t="str">
        <f t="shared" si="880"/>
        <v/>
      </c>
      <c r="L86" s="309"/>
      <c r="M86" s="164" t="str">
        <f t="shared" si="643"/>
        <v/>
      </c>
      <c r="N86" s="575" t="str">
        <f t="shared" si="644"/>
        <v/>
      </c>
      <c r="O86" s="572" t="str">
        <f t="shared" si="645"/>
        <v/>
      </c>
      <c r="P86" s="576" t="str">
        <f t="shared" si="646"/>
        <v/>
      </c>
      <c r="Q86" s="528" t="str">
        <f t="shared" si="729"/>
        <v/>
      </c>
      <c r="R86" s="572" t="str">
        <f t="shared" si="95"/>
        <v/>
      </c>
      <c r="S86" s="577" t="str">
        <f t="shared" si="96"/>
        <v/>
      </c>
      <c r="T86" s="578" t="str">
        <f t="shared" si="97"/>
        <v/>
      </c>
      <c r="U86" s="572" t="str">
        <f t="shared" si="98"/>
        <v/>
      </c>
      <c r="V86" s="579" t="str">
        <f t="shared" si="145"/>
        <v/>
      </c>
      <c r="W86" s="528" t="str">
        <f t="shared" si="866"/>
        <v/>
      </c>
      <c r="X86" s="572" t="str">
        <f t="shared" si="99"/>
        <v/>
      </c>
      <c r="Y86" s="573" t="str">
        <f t="shared" si="859"/>
        <v/>
      </c>
      <c r="Z86" s="575" t="str">
        <f t="shared" si="647"/>
        <v/>
      </c>
      <c r="AA86" s="572" t="str">
        <f t="shared" si="648"/>
        <v/>
      </c>
      <c r="AB86" s="572" t="str">
        <f t="shared" si="649"/>
        <v/>
      </c>
      <c r="AC86" s="579" t="str">
        <f t="shared" si="100"/>
        <v/>
      </c>
      <c r="AD86" s="580" t="str">
        <f t="shared" si="146"/>
        <v/>
      </c>
      <c r="AE86" s="572" t="str">
        <f t="shared" si="101"/>
        <v/>
      </c>
      <c r="AF86" s="576" t="str">
        <f t="shared" si="102"/>
        <v/>
      </c>
      <c r="AG86" s="545" t="str">
        <f t="shared" si="103"/>
        <v/>
      </c>
      <c r="AH86" s="546" t="str">
        <f t="shared" si="104"/>
        <v/>
      </c>
      <c r="AI86" s="528" t="str">
        <f t="shared" si="105"/>
        <v/>
      </c>
      <c r="AJ86" s="529" t="str">
        <f t="shared" si="106"/>
        <v/>
      </c>
      <c r="AK86" s="578" t="str">
        <f t="shared" si="247"/>
        <v/>
      </c>
      <c r="AL86" s="572" t="str">
        <f t="shared" si="107"/>
        <v/>
      </c>
      <c r="AM86" s="577" t="str">
        <f t="shared" si="108"/>
        <v/>
      </c>
      <c r="AN86" s="524" t="str">
        <f t="shared" si="109"/>
        <v/>
      </c>
      <c r="AO86" s="525" t="str">
        <f t="shared" si="604"/>
        <v/>
      </c>
      <c r="AP86" s="528" t="str">
        <f t="shared" si="111"/>
        <v/>
      </c>
      <c r="AQ86" s="529" t="str">
        <f t="shared" si="650"/>
        <v/>
      </c>
      <c r="AR86" s="979"/>
      <c r="AS86" s="954" t="str">
        <f t="shared" si="755"/>
        <v/>
      </c>
      <c r="AT86" s="950" t="str">
        <f t="shared" si="651"/>
        <v/>
      </c>
      <c r="AU86" s="418"/>
      <c r="AV86" s="164" t="str">
        <f t="shared" si="652"/>
        <v/>
      </c>
      <c r="AW86" s="797" t="str">
        <f>IFERROR(INDEX(MassProp!C$9:C$150,MATCH($M86,MassProp!$B$9:$B$150,0)),"")</f>
        <v/>
      </c>
      <c r="AX86" s="744" t="str">
        <f>IFERROR(INDEX(MassProp!D$9:D$150,MATCH($M86,MassProp!$B$9:$B$150,0)),"")</f>
        <v/>
      </c>
      <c r="AY86" s="731" t="str">
        <f>IFERROR(INDEX(MassProp!E$9:E$150,MATCH($M86,MassProp!$B$9:$B$150,0)),"")</f>
        <v/>
      </c>
      <c r="AZ86" s="297" t="str">
        <f t="shared" si="756"/>
        <v/>
      </c>
      <c r="BA86" s="296" t="str">
        <f t="shared" si="653"/>
        <v/>
      </c>
      <c r="BB86" s="177" t="str">
        <f t="shared" si="730"/>
        <v/>
      </c>
      <c r="BC86" s="9"/>
      <c r="BD86" s="5" t="str">
        <f t="shared" si="731"/>
        <v/>
      </c>
      <c r="BE86" s="6" t="str">
        <f t="shared" si="654"/>
        <v/>
      </c>
      <c r="BF86" s="4" t="str">
        <f t="shared" si="655"/>
        <v/>
      </c>
      <c r="BG86" s="5" t="str">
        <f t="shared" si="656"/>
        <v/>
      </c>
      <c r="BH86" s="10" t="str">
        <f t="shared" si="657"/>
        <v/>
      </c>
      <c r="BI86" s="9" t="str">
        <f t="shared" si="757"/>
        <v/>
      </c>
      <c r="BJ86" s="5" t="str">
        <f t="shared" si="658"/>
        <v/>
      </c>
      <c r="BK86" s="8" t="str">
        <f t="shared" si="659"/>
        <v/>
      </c>
      <c r="BL86" s="173" t="str">
        <f t="shared" si="660"/>
        <v/>
      </c>
      <c r="BM86" s="5" t="str">
        <f t="shared" si="661"/>
        <v/>
      </c>
      <c r="BN86" s="6" t="str">
        <f t="shared" si="662"/>
        <v/>
      </c>
      <c r="BO86" s="4" t="str">
        <f t="shared" si="758"/>
        <v/>
      </c>
      <c r="BP86" s="5" t="str">
        <f t="shared" si="759"/>
        <v/>
      </c>
      <c r="BQ86" s="5" t="str">
        <f t="shared" si="760"/>
        <v/>
      </c>
      <c r="BR86" s="6" t="str">
        <f t="shared" si="761"/>
        <v/>
      </c>
      <c r="BS86" s="4" t="str">
        <f t="shared" si="732"/>
        <v/>
      </c>
      <c r="BT86" s="5" t="str">
        <f t="shared" si="732"/>
        <v/>
      </c>
      <c r="BU86" s="10" t="str">
        <f t="shared" si="733"/>
        <v/>
      </c>
      <c r="BV86" s="9" t="str">
        <f t="shared" si="734"/>
        <v/>
      </c>
      <c r="BW86" s="5" t="str">
        <f t="shared" si="735"/>
        <v/>
      </c>
      <c r="BX86" s="8" t="str">
        <f t="shared" si="736"/>
        <v/>
      </c>
      <c r="BY86" s="173" t="str">
        <f t="shared" si="737"/>
        <v/>
      </c>
      <c r="BZ86" s="5" t="str">
        <f t="shared" si="738"/>
        <v/>
      </c>
      <c r="CA86" s="6" t="str">
        <f t="shared" si="739"/>
        <v/>
      </c>
      <c r="CB86" s="4" t="str">
        <f t="shared" si="762"/>
        <v/>
      </c>
      <c r="CC86" s="5" t="str">
        <f t="shared" si="763"/>
        <v/>
      </c>
      <c r="CD86" s="5" t="str">
        <f t="shared" si="764"/>
        <v/>
      </c>
      <c r="CE86" s="6" t="str">
        <f t="shared" si="765"/>
        <v/>
      </c>
      <c r="CF86" s="4" t="str">
        <f t="shared" si="766"/>
        <v/>
      </c>
      <c r="CG86" s="5" t="str">
        <f t="shared" si="767"/>
        <v/>
      </c>
      <c r="CH86" s="5" t="str">
        <f t="shared" si="768"/>
        <v/>
      </c>
      <c r="CI86" s="4" t="str">
        <f t="shared" si="740"/>
        <v/>
      </c>
      <c r="CJ86" s="5" t="str">
        <f t="shared" si="741"/>
        <v/>
      </c>
      <c r="CK86" s="8" t="str">
        <f t="shared" si="742"/>
        <v/>
      </c>
      <c r="CL86" s="173" t="str">
        <f t="shared" si="743"/>
        <v/>
      </c>
      <c r="CM86" s="5" t="str">
        <f t="shared" si="744"/>
        <v/>
      </c>
      <c r="CN86" s="6" t="str">
        <f t="shared" si="745"/>
        <v/>
      </c>
      <c r="CO86" s="167" t="str">
        <f t="shared" si="663"/>
        <v/>
      </c>
      <c r="CP86" s="4" t="str">
        <f t="shared" si="769"/>
        <v/>
      </c>
      <c r="CQ86" s="5" t="str">
        <f t="shared" si="770"/>
        <v/>
      </c>
      <c r="CR86" s="5" t="str">
        <f t="shared" si="771"/>
        <v/>
      </c>
      <c r="CS86" s="8" t="str">
        <f t="shared" si="772"/>
        <v/>
      </c>
      <c r="CT86" s="9" t="str">
        <f t="shared" si="773"/>
        <v/>
      </c>
      <c r="CU86" s="6" t="str">
        <f t="shared" si="774"/>
        <v/>
      </c>
      <c r="CV86" s="4" t="str">
        <f t="shared" si="775"/>
        <v/>
      </c>
      <c r="CW86" s="5" t="str">
        <f t="shared" si="776"/>
        <v/>
      </c>
      <c r="CX86" s="8" t="str">
        <f t="shared" si="777"/>
        <v/>
      </c>
      <c r="CY86" s="9" t="str">
        <f t="shared" si="778"/>
        <v/>
      </c>
      <c r="CZ86" s="5" t="str">
        <f t="shared" si="779"/>
        <v/>
      </c>
      <c r="DA86" s="6" t="str">
        <f t="shared" si="780"/>
        <v/>
      </c>
      <c r="DB86" s="4" t="str">
        <f t="shared" si="781"/>
        <v/>
      </c>
      <c r="DC86" s="5" t="str">
        <f t="shared" si="781"/>
        <v/>
      </c>
      <c r="DD86" s="10" t="str">
        <f t="shared" si="782"/>
        <v/>
      </c>
      <c r="DE86" s="9" t="str">
        <f t="shared" si="783"/>
        <v/>
      </c>
      <c r="DF86" s="5" t="str">
        <f t="shared" si="783"/>
        <v/>
      </c>
      <c r="DG86" s="10" t="str">
        <f t="shared" si="784"/>
        <v/>
      </c>
      <c r="DH86" s="70" t="str">
        <f t="shared" si="785"/>
        <v/>
      </c>
      <c r="DI86" s="4" t="str">
        <f t="shared" si="786"/>
        <v/>
      </c>
      <c r="DJ86" s="5" t="str">
        <f t="shared" si="787"/>
        <v/>
      </c>
      <c r="DK86" s="10" t="str">
        <f t="shared" si="788"/>
        <v/>
      </c>
      <c r="DL86" s="9" t="str">
        <f t="shared" si="789"/>
        <v/>
      </c>
      <c r="DM86" s="173" t="str">
        <f t="shared" si="790"/>
        <v/>
      </c>
      <c r="DN86" s="178" t="str">
        <f t="shared" si="791"/>
        <v/>
      </c>
      <c r="DO86" s="9" t="str">
        <f t="shared" si="792"/>
        <v/>
      </c>
      <c r="DP86" s="173" t="str">
        <f t="shared" si="793"/>
        <v/>
      </c>
      <c r="DQ86" s="11" t="str">
        <f t="shared" si="794"/>
        <v/>
      </c>
      <c r="DR86" s="173" t="str">
        <f t="shared" si="795"/>
        <v/>
      </c>
      <c r="DS86" s="5" t="str">
        <f t="shared" si="796"/>
        <v/>
      </c>
      <c r="DT86" s="5" t="str">
        <f t="shared" si="797"/>
        <v/>
      </c>
      <c r="DU86" s="5" t="str">
        <f t="shared" si="798"/>
        <v/>
      </c>
      <c r="DV86" s="5" t="str">
        <f t="shared" si="799"/>
        <v/>
      </c>
      <c r="DW86" s="5" t="str">
        <f t="shared" si="800"/>
        <v/>
      </c>
      <c r="DX86" s="167" t="str">
        <f t="shared" si="801"/>
        <v/>
      </c>
      <c r="DY86" s="9" t="str">
        <f t="shared" si="802"/>
        <v/>
      </c>
      <c r="DZ86" s="5" t="str">
        <f t="shared" si="803"/>
        <v/>
      </c>
      <c r="EA86" s="10" t="str">
        <f t="shared" si="804"/>
        <v/>
      </c>
      <c r="EB86" s="6" t="str">
        <f t="shared" si="805"/>
        <v/>
      </c>
      <c r="EC86" s="173" t="str">
        <f t="shared" si="806"/>
        <v/>
      </c>
      <c r="ED86" s="5" t="str">
        <f t="shared" si="807"/>
        <v/>
      </c>
      <c r="EE86" s="4" t="str">
        <f t="shared" si="808"/>
        <v/>
      </c>
      <c r="EF86" s="5" t="str">
        <f t="shared" si="809"/>
        <v/>
      </c>
      <c r="EG86" s="10" t="str">
        <f t="shared" si="810"/>
        <v/>
      </c>
      <c r="EH86" s="9" t="str">
        <f t="shared" si="811"/>
        <v/>
      </c>
      <c r="EI86" s="5" t="str">
        <f t="shared" si="812"/>
        <v/>
      </c>
      <c r="EJ86" s="6" t="str">
        <f t="shared" si="813"/>
        <v/>
      </c>
      <c r="EK86" s="236" t="str">
        <f t="shared" si="814"/>
        <v/>
      </c>
      <c r="EL86" s="238" t="str">
        <f t="shared" si="815"/>
        <v/>
      </c>
      <c r="EM86" s="4" t="str">
        <f t="shared" si="816"/>
        <v/>
      </c>
      <c r="EN86" s="5" t="str">
        <f t="shared" si="817"/>
        <v/>
      </c>
      <c r="EO86" s="10" t="str">
        <f t="shared" si="818"/>
        <v/>
      </c>
      <c r="EP86" s="9" t="str">
        <f t="shared" si="819"/>
        <v/>
      </c>
      <c r="EQ86" s="5" t="str">
        <f t="shared" si="820"/>
        <v/>
      </c>
      <c r="ER86" s="7" t="str">
        <f t="shared" si="821"/>
        <v/>
      </c>
      <c r="ES86" s="21" t="str">
        <f t="shared" si="664"/>
        <v/>
      </c>
      <c r="ET86" s="5" t="str">
        <f t="shared" si="665"/>
        <v/>
      </c>
      <c r="EU86" s="10" t="str">
        <f t="shared" si="666"/>
        <v/>
      </c>
      <c r="EV86" s="174" t="str">
        <f t="shared" si="667"/>
        <v/>
      </c>
      <c r="EW86" s="9" t="str">
        <f t="shared" si="668"/>
        <v/>
      </c>
      <c r="EX86" s="5" t="str">
        <f t="shared" si="669"/>
        <v/>
      </c>
      <c r="EY86" s="6" t="str">
        <f t="shared" si="822"/>
        <v/>
      </c>
      <c r="EZ86" s="51" t="str">
        <f t="shared" si="823"/>
        <v/>
      </c>
      <c r="FA86" s="173" t="str">
        <f t="shared" si="670"/>
        <v/>
      </c>
      <c r="FB86" s="5" t="str">
        <f t="shared" si="671"/>
        <v/>
      </c>
      <c r="FC86" s="6" t="str">
        <f t="shared" si="672"/>
        <v/>
      </c>
      <c r="FD86" s="4" t="str">
        <f t="shared" si="673"/>
        <v/>
      </c>
      <c r="FE86" s="5" t="str">
        <f t="shared" si="674"/>
        <v/>
      </c>
      <c r="FF86" s="7" t="str">
        <f t="shared" si="824"/>
        <v/>
      </c>
      <c r="FG86" s="173" t="str">
        <f t="shared" si="675"/>
        <v/>
      </c>
      <c r="FH86" s="5" t="str">
        <f t="shared" si="676"/>
        <v/>
      </c>
      <c r="FI86" s="10" t="str">
        <f t="shared" si="677"/>
        <v/>
      </c>
      <c r="FJ86" s="279" t="str">
        <f t="shared" si="825"/>
        <v/>
      </c>
      <c r="FK86" s="4" t="str">
        <f t="shared" si="678"/>
        <v/>
      </c>
      <c r="FL86" s="5" t="str">
        <f t="shared" si="746"/>
        <v/>
      </c>
      <c r="FM86" s="8" t="str">
        <f t="shared" si="747"/>
        <v/>
      </c>
      <c r="FN86" s="9" t="str">
        <f t="shared" si="748"/>
        <v/>
      </c>
      <c r="FO86" s="10" t="str">
        <f t="shared" si="679"/>
        <v/>
      </c>
      <c r="FP86" s="277" t="str">
        <f t="shared" si="749"/>
        <v/>
      </c>
      <c r="FQ86" s="173" t="str">
        <f t="shared" si="826"/>
        <v/>
      </c>
      <c r="FR86" s="10" t="str">
        <f t="shared" si="827"/>
        <v/>
      </c>
      <c r="FS86" s="9" t="str">
        <f t="shared" si="828"/>
        <v/>
      </c>
      <c r="FT86" s="6" t="str">
        <f t="shared" si="829"/>
        <v/>
      </c>
      <c r="FU86" s="4" t="str">
        <f t="shared" si="830"/>
        <v/>
      </c>
      <c r="FV86" s="5" t="str">
        <f t="shared" si="831"/>
        <v/>
      </c>
      <c r="FW86" s="8" t="str">
        <f t="shared" si="832"/>
        <v/>
      </c>
      <c r="FX86" s="9" t="str">
        <f t="shared" si="833"/>
        <v/>
      </c>
      <c r="FY86" s="10" t="str">
        <f t="shared" si="680"/>
        <v/>
      </c>
      <c r="FZ86" s="277" t="str">
        <f t="shared" si="834"/>
        <v/>
      </c>
      <c r="GA86" s="177" t="str">
        <f t="shared" si="835"/>
        <v/>
      </c>
      <c r="GB86" s="4" t="str">
        <f t="shared" si="836"/>
        <v/>
      </c>
      <c r="GC86" s="5" t="str">
        <f t="shared" si="837"/>
        <v/>
      </c>
      <c r="GD86" s="10" t="str">
        <f t="shared" si="838"/>
        <v/>
      </c>
      <c r="GE86" s="311" t="str">
        <f t="shared" si="839"/>
        <v/>
      </c>
      <c r="GF86" s="341" t="str">
        <f t="shared" si="840"/>
        <v/>
      </c>
      <c r="GG86" s="285" t="str">
        <f t="shared" si="681"/>
        <v/>
      </c>
      <c r="GH86" s="286" t="str">
        <f t="shared" si="682"/>
        <v/>
      </c>
      <c r="GI86" s="281" t="str">
        <f t="shared" si="683"/>
        <v/>
      </c>
      <c r="GJ86" s="167" t="str">
        <f t="shared" si="841"/>
        <v/>
      </c>
      <c r="GK86" s="174" t="str">
        <f t="shared" si="684"/>
        <v/>
      </c>
      <c r="GL86" s="174" t="str">
        <f t="shared" si="842"/>
        <v/>
      </c>
      <c r="GM86" s="177" t="str">
        <f t="shared" si="843"/>
        <v/>
      </c>
      <c r="GN86" s="280" t="str">
        <f t="shared" si="844"/>
        <v/>
      </c>
      <c r="GO86" s="4" t="str">
        <f t="shared" si="845"/>
        <v/>
      </c>
      <c r="GP86" s="8" t="str">
        <f t="shared" si="846"/>
        <v/>
      </c>
      <c r="GQ86" s="177" t="str">
        <f t="shared" si="847"/>
        <v/>
      </c>
      <c r="GR86" s="371" t="str">
        <f t="shared" si="848"/>
        <v/>
      </c>
      <c r="GS86" s="342" t="str">
        <f t="shared" si="685"/>
        <v/>
      </c>
      <c r="GT86" s="343" t="str">
        <f t="shared" si="686"/>
        <v/>
      </c>
      <c r="GU86" s="344" t="str">
        <f t="shared" si="687"/>
        <v/>
      </c>
      <c r="GV86" s="343" t="str">
        <f t="shared" si="849"/>
        <v/>
      </c>
      <c r="GW86" s="345" t="str">
        <f t="shared" si="688"/>
        <v/>
      </c>
      <c r="GX86" s="346" t="str">
        <f t="shared" si="689"/>
        <v/>
      </c>
      <c r="GY86" s="344" t="str">
        <f t="shared" si="690"/>
        <v/>
      </c>
      <c r="GZ86" s="345" t="str">
        <f t="shared" si="691"/>
        <v/>
      </c>
      <c r="HA86" s="342" t="str">
        <f t="shared" si="692"/>
        <v/>
      </c>
      <c r="HB86" s="5" t="str">
        <f t="shared" si="850"/>
        <v/>
      </c>
      <c r="HC86" s="343" t="str">
        <f t="shared" si="851"/>
        <v/>
      </c>
      <c r="HD86" s="363" t="str">
        <f t="shared" si="852"/>
        <v/>
      </c>
      <c r="HE86" s="344" t="str">
        <f t="shared" si="693"/>
        <v/>
      </c>
      <c r="HF86" s="5" t="str">
        <f t="shared" si="694"/>
        <v/>
      </c>
      <c r="HG86" s="343" t="str">
        <f t="shared" si="853"/>
        <v/>
      </c>
      <c r="HH86" s="349" t="str">
        <f t="shared" si="854"/>
        <v/>
      </c>
      <c r="HI86" s="317" t="str">
        <f t="shared" si="695"/>
        <v/>
      </c>
      <c r="HK86" s="310" t="str">
        <f t="shared" si="750"/>
        <v/>
      </c>
      <c r="HL86" s="348" t="str">
        <f t="shared" si="696"/>
        <v/>
      </c>
      <c r="HM86" s="923" t="str">
        <f t="shared" si="697"/>
        <v/>
      </c>
      <c r="HN86" s="924" t="str">
        <f t="shared" si="698"/>
        <v/>
      </c>
      <c r="HO86" s="925"/>
      <c r="HP86" s="926"/>
      <c r="HQ86" s="924" t="str">
        <f t="shared" si="699"/>
        <v/>
      </c>
      <c r="HR86" s="927" t="str">
        <f t="shared" si="700"/>
        <v/>
      </c>
      <c r="HS86" s="879" t="str">
        <f t="shared" si="751"/>
        <v/>
      </c>
      <c r="HT86" s="889" t="str">
        <f t="shared" si="701"/>
        <v/>
      </c>
      <c r="HU86" s="890" t="str">
        <f t="shared" si="702"/>
        <v/>
      </c>
      <c r="HV86" s="886" t="str">
        <f t="shared" si="703"/>
        <v/>
      </c>
      <c r="HW86" s="880" t="str">
        <f t="shared" si="704"/>
        <v/>
      </c>
      <c r="HX86" s="881" t="str">
        <f t="shared" si="705"/>
        <v/>
      </c>
      <c r="HY86" s="880" t="str">
        <f t="shared" si="706"/>
        <v/>
      </c>
      <c r="HZ86" s="882" t="str">
        <f t="shared" si="707"/>
        <v/>
      </c>
      <c r="IA86" s="883" t="str">
        <f t="shared" si="708"/>
        <v/>
      </c>
      <c r="IB86" s="884" t="str">
        <f t="shared" si="709"/>
        <v/>
      </c>
      <c r="IC86" s="855" t="str">
        <f t="shared" si="710"/>
        <v/>
      </c>
      <c r="ID86" s="351" t="str">
        <f t="shared" si="711"/>
        <v/>
      </c>
      <c r="IE86" s="857" t="str">
        <f t="shared" si="712"/>
        <v/>
      </c>
      <c r="IF86" s="858"/>
      <c r="IG86" s="790" t="str">
        <f>IFERROR(IF($IW86="","",IF($IW86&lt;(((Settings!$C$19/2)*-1)*$IG$8),"Taper","Nose")),"")</f>
        <v/>
      </c>
      <c r="IH86" s="482" t="str">
        <f>IFERROR(IF((((($IY86*COS(RADIANS(180-$JA86)))*COS(RADIANS($JA86)))-(($IZ86*SIN(RADIANS(180-$JA86)))*SIN(RADIANS($JA86))))+$IW86)&lt;(((Settings!$C$19+$IH$8)/2)*-1),"Gage",""),"")</f>
        <v/>
      </c>
      <c r="II86" s="788" t="str">
        <f t="shared" si="855"/>
        <v/>
      </c>
      <c r="IJ86" s="674" t="str" cm="1">
        <f t="array" ref="IJ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K86" s="677" t="str" cm="1">
        <f t="array" ref="IK86">IFERROR(ROUND(VALUE(IF($IJ86&lt;1,$IJ86+LARGE((IF($M$9:$M$150="",0,$M$9:$M$150)-MOD(IF($M$9:$M$150="",0,$M$9:$M$150),1)),1),$IJ86)),4),"")</f>
        <v/>
      </c>
      <c r="IL86" s="482" t="str">
        <f t="shared" si="713"/>
        <v/>
      </c>
      <c r="IM86" s="482" t="str">
        <f t="shared" si="856"/>
        <v/>
      </c>
      <c r="IN86" s="670" t="str">
        <f t="shared" si="714"/>
        <v/>
      </c>
      <c r="IO86" s="702"/>
      <c r="IP86" s="5" t="str">
        <f t="shared" si="715"/>
        <v/>
      </c>
      <c r="IQ86" s="714"/>
      <c r="IR86" s="9" t="str">
        <f t="shared" si="716"/>
        <v/>
      </c>
      <c r="IS86" s="5" t="str">
        <f t="shared" si="717"/>
        <v/>
      </c>
      <c r="IT86" s="5" t="str">
        <f t="shared" si="718"/>
        <v/>
      </c>
      <c r="IU86" s="5" t="str">
        <f t="shared" si="719"/>
        <v/>
      </c>
      <c r="IV86" s="670" t="str">
        <f t="shared" si="720"/>
        <v/>
      </c>
      <c r="IW86" s="9" t="str">
        <f t="shared" si="721"/>
        <v/>
      </c>
      <c r="IX86" s="5" t="str">
        <f t="shared" si="722"/>
        <v/>
      </c>
      <c r="IY86" s="5" t="str">
        <f t="shared" si="723"/>
        <v/>
      </c>
      <c r="IZ86" s="5" t="str">
        <f t="shared" si="724"/>
        <v/>
      </c>
      <c r="JA86" s="705" t="str">
        <f t="shared" si="725"/>
        <v/>
      </c>
      <c r="JM86" s="489" t="e">
        <f t="shared" si="752"/>
        <v>#VALUE!</v>
      </c>
      <c r="JN86" s="960" t="e">
        <f>($JO86-SMALL($JO$9:$JO$88,1))/((Settings!$C$19/2)-((Settings!$C$19/2)-LARGE($JO$9:$JO$88,1))-SMALL($JO$9:$JO$88,1))</f>
        <v>#VALUE!</v>
      </c>
      <c r="JO86" s="162" t="str">
        <f t="shared" si="635"/>
        <v/>
      </c>
      <c r="JP86" s="961" t="str">
        <f t="shared" si="636"/>
        <v/>
      </c>
      <c r="JQ86" s="961" t="str">
        <f t="shared" si="637"/>
        <v/>
      </c>
      <c r="JU86" s="962"/>
      <c r="JV86" s="959"/>
      <c r="JW86" s="959"/>
    </row>
    <row r="87" spans="1:283" ht="15" customHeight="1" x14ac:dyDescent="0.25">
      <c r="A87" s="75" t="str">
        <f t="shared" si="640"/>
        <v/>
      </c>
      <c r="B87" s="578" t="str">
        <f t="shared" ref="B87:D87" si="881">IFERROR(O242+($A87*-E87),"")</f>
        <v/>
      </c>
      <c r="C87" s="572" t="str">
        <f t="shared" si="881"/>
        <v/>
      </c>
      <c r="D87" s="576" t="str">
        <f t="shared" si="881"/>
        <v/>
      </c>
      <c r="E87" s="580" t="str">
        <f t="shared" ref="E87:K87" si="882">R242</f>
        <v/>
      </c>
      <c r="F87" s="572" t="str">
        <f t="shared" si="882"/>
        <v/>
      </c>
      <c r="G87" s="579" t="str">
        <f t="shared" si="882"/>
        <v/>
      </c>
      <c r="H87" s="580" t="str">
        <f t="shared" si="882"/>
        <v/>
      </c>
      <c r="I87" s="572" t="str">
        <f t="shared" si="882"/>
        <v/>
      </c>
      <c r="J87" s="483" t="str">
        <f t="shared" si="728"/>
        <v/>
      </c>
      <c r="K87" s="806" t="str">
        <f t="shared" si="882"/>
        <v/>
      </c>
      <c r="L87" s="309"/>
      <c r="M87" s="164" t="str">
        <f t="shared" si="643"/>
        <v/>
      </c>
      <c r="N87" s="575" t="str">
        <f t="shared" si="644"/>
        <v/>
      </c>
      <c r="O87" s="572" t="str">
        <f t="shared" si="645"/>
        <v/>
      </c>
      <c r="P87" s="576" t="str">
        <f t="shared" si="646"/>
        <v/>
      </c>
      <c r="Q87" s="528" t="str">
        <f t="shared" si="729"/>
        <v/>
      </c>
      <c r="R87" s="572" t="str">
        <f t="shared" si="95"/>
        <v/>
      </c>
      <c r="S87" s="577" t="str">
        <f t="shared" si="96"/>
        <v/>
      </c>
      <c r="T87" s="578" t="str">
        <f t="shared" si="97"/>
        <v/>
      </c>
      <c r="U87" s="572" t="str">
        <f t="shared" si="98"/>
        <v/>
      </c>
      <c r="V87" s="579" t="str">
        <f t="shared" si="145"/>
        <v/>
      </c>
      <c r="W87" s="528" t="str">
        <f t="shared" si="866"/>
        <v/>
      </c>
      <c r="X87" s="572" t="str">
        <f t="shared" si="99"/>
        <v/>
      </c>
      <c r="Y87" s="573" t="str">
        <f t="shared" si="859"/>
        <v/>
      </c>
      <c r="Z87" s="575" t="str">
        <f t="shared" si="647"/>
        <v/>
      </c>
      <c r="AA87" s="572" t="str">
        <f t="shared" si="648"/>
        <v/>
      </c>
      <c r="AB87" s="572" t="str">
        <f t="shared" si="649"/>
        <v/>
      </c>
      <c r="AC87" s="579" t="str">
        <f t="shared" si="100"/>
        <v/>
      </c>
      <c r="AD87" s="580" t="str">
        <f t="shared" si="146"/>
        <v/>
      </c>
      <c r="AE87" s="572" t="str">
        <f t="shared" si="101"/>
        <v/>
      </c>
      <c r="AF87" s="576" t="str">
        <f t="shared" si="102"/>
        <v/>
      </c>
      <c r="AG87" s="545" t="str">
        <f t="shared" si="103"/>
        <v/>
      </c>
      <c r="AH87" s="546" t="str">
        <f t="shared" si="104"/>
        <v/>
      </c>
      <c r="AI87" s="528" t="str">
        <f t="shared" si="105"/>
        <v/>
      </c>
      <c r="AJ87" s="529" t="str">
        <f t="shared" si="106"/>
        <v/>
      </c>
      <c r="AK87" s="578" t="str">
        <f t="shared" si="247"/>
        <v/>
      </c>
      <c r="AL87" s="572" t="str">
        <f t="shared" si="107"/>
        <v/>
      </c>
      <c r="AM87" s="577" t="str">
        <f t="shared" si="108"/>
        <v/>
      </c>
      <c r="AN87" s="524" t="str">
        <f t="shared" si="109"/>
        <v/>
      </c>
      <c r="AO87" s="525" t="str">
        <f t="shared" si="604"/>
        <v/>
      </c>
      <c r="AP87" s="528" t="str">
        <f t="shared" si="111"/>
        <v/>
      </c>
      <c r="AQ87" s="529" t="str">
        <f t="shared" si="650"/>
        <v/>
      </c>
      <c r="AR87" s="979"/>
      <c r="AS87" s="954" t="str">
        <f t="shared" si="755"/>
        <v/>
      </c>
      <c r="AT87" s="950" t="str">
        <f t="shared" si="651"/>
        <v/>
      </c>
      <c r="AU87" s="418"/>
      <c r="AV87" s="164" t="str">
        <f t="shared" si="652"/>
        <v/>
      </c>
      <c r="AW87" s="797" t="str">
        <f>IFERROR(INDEX(MassProp!C$9:C$150,MATCH($M87,MassProp!$B$9:$B$150,0)),"")</f>
        <v/>
      </c>
      <c r="AX87" s="744" t="str">
        <f>IFERROR(INDEX(MassProp!D$9:D$150,MATCH($M87,MassProp!$B$9:$B$150,0)),"")</f>
        <v/>
      </c>
      <c r="AY87" s="731" t="str">
        <f>IFERROR(INDEX(MassProp!E$9:E$150,MATCH($M87,MassProp!$B$9:$B$150,0)),"")</f>
        <v/>
      </c>
      <c r="AZ87" s="297" t="str">
        <f t="shared" si="756"/>
        <v/>
      </c>
      <c r="BA87" s="296" t="str">
        <f t="shared" si="653"/>
        <v/>
      </c>
      <c r="BB87" s="177" t="str">
        <f t="shared" si="730"/>
        <v/>
      </c>
      <c r="BC87" s="9"/>
      <c r="BD87" s="5" t="str">
        <f t="shared" si="731"/>
        <v/>
      </c>
      <c r="BE87" s="6" t="str">
        <f t="shared" si="654"/>
        <v/>
      </c>
      <c r="BF87" s="4" t="str">
        <f t="shared" si="655"/>
        <v/>
      </c>
      <c r="BG87" s="5" t="str">
        <f t="shared" si="656"/>
        <v/>
      </c>
      <c r="BH87" s="10" t="str">
        <f t="shared" si="657"/>
        <v/>
      </c>
      <c r="BI87" s="9" t="str">
        <f t="shared" si="757"/>
        <v/>
      </c>
      <c r="BJ87" s="5" t="str">
        <f t="shared" si="658"/>
        <v/>
      </c>
      <c r="BK87" s="8" t="str">
        <f t="shared" si="659"/>
        <v/>
      </c>
      <c r="BL87" s="173" t="str">
        <f t="shared" si="660"/>
        <v/>
      </c>
      <c r="BM87" s="5" t="str">
        <f t="shared" si="661"/>
        <v/>
      </c>
      <c r="BN87" s="6" t="str">
        <f t="shared" si="662"/>
        <v/>
      </c>
      <c r="BO87" s="4" t="str">
        <f t="shared" si="758"/>
        <v/>
      </c>
      <c r="BP87" s="5" t="str">
        <f t="shared" si="759"/>
        <v/>
      </c>
      <c r="BQ87" s="5" t="str">
        <f t="shared" si="760"/>
        <v/>
      </c>
      <c r="BR87" s="6" t="str">
        <f t="shared" si="761"/>
        <v/>
      </c>
      <c r="BS87" s="4" t="str">
        <f t="shared" si="732"/>
        <v/>
      </c>
      <c r="BT87" s="5" t="str">
        <f t="shared" si="732"/>
        <v/>
      </c>
      <c r="BU87" s="10" t="str">
        <f t="shared" si="733"/>
        <v/>
      </c>
      <c r="BV87" s="9" t="str">
        <f t="shared" si="734"/>
        <v/>
      </c>
      <c r="BW87" s="5" t="str">
        <f t="shared" si="735"/>
        <v/>
      </c>
      <c r="BX87" s="8" t="str">
        <f t="shared" si="736"/>
        <v/>
      </c>
      <c r="BY87" s="173" t="str">
        <f t="shared" si="737"/>
        <v/>
      </c>
      <c r="BZ87" s="5" t="str">
        <f t="shared" si="738"/>
        <v/>
      </c>
      <c r="CA87" s="6" t="str">
        <f t="shared" si="739"/>
        <v/>
      </c>
      <c r="CB87" s="4" t="str">
        <f t="shared" si="762"/>
        <v/>
      </c>
      <c r="CC87" s="5" t="str">
        <f t="shared" si="763"/>
        <v/>
      </c>
      <c r="CD87" s="5" t="str">
        <f t="shared" si="764"/>
        <v/>
      </c>
      <c r="CE87" s="6" t="str">
        <f t="shared" si="765"/>
        <v/>
      </c>
      <c r="CF87" s="4" t="str">
        <f t="shared" si="766"/>
        <v/>
      </c>
      <c r="CG87" s="5" t="str">
        <f t="shared" si="767"/>
        <v/>
      </c>
      <c r="CH87" s="5" t="str">
        <f t="shared" si="768"/>
        <v/>
      </c>
      <c r="CI87" s="4" t="str">
        <f t="shared" si="740"/>
        <v/>
      </c>
      <c r="CJ87" s="5" t="str">
        <f t="shared" si="741"/>
        <v/>
      </c>
      <c r="CK87" s="8" t="str">
        <f t="shared" si="742"/>
        <v/>
      </c>
      <c r="CL87" s="173" t="str">
        <f t="shared" si="743"/>
        <v/>
      </c>
      <c r="CM87" s="5" t="str">
        <f t="shared" si="744"/>
        <v/>
      </c>
      <c r="CN87" s="6" t="str">
        <f t="shared" si="745"/>
        <v/>
      </c>
      <c r="CO87" s="167" t="str">
        <f t="shared" si="663"/>
        <v/>
      </c>
      <c r="CP87" s="4" t="str">
        <f t="shared" si="769"/>
        <v/>
      </c>
      <c r="CQ87" s="5" t="str">
        <f t="shared" si="770"/>
        <v/>
      </c>
      <c r="CR87" s="5" t="str">
        <f t="shared" si="771"/>
        <v/>
      </c>
      <c r="CS87" s="8" t="str">
        <f t="shared" si="772"/>
        <v/>
      </c>
      <c r="CT87" s="9" t="str">
        <f t="shared" si="773"/>
        <v/>
      </c>
      <c r="CU87" s="6" t="str">
        <f t="shared" si="774"/>
        <v/>
      </c>
      <c r="CV87" s="4" t="str">
        <f t="shared" si="775"/>
        <v/>
      </c>
      <c r="CW87" s="5" t="str">
        <f t="shared" si="776"/>
        <v/>
      </c>
      <c r="CX87" s="8" t="str">
        <f t="shared" si="777"/>
        <v/>
      </c>
      <c r="CY87" s="9" t="str">
        <f t="shared" si="778"/>
        <v/>
      </c>
      <c r="CZ87" s="5" t="str">
        <f t="shared" si="779"/>
        <v/>
      </c>
      <c r="DA87" s="6" t="str">
        <f t="shared" si="780"/>
        <v/>
      </c>
      <c r="DB87" s="4" t="str">
        <f t="shared" si="781"/>
        <v/>
      </c>
      <c r="DC87" s="5" t="str">
        <f t="shared" si="781"/>
        <v/>
      </c>
      <c r="DD87" s="10" t="str">
        <f t="shared" si="782"/>
        <v/>
      </c>
      <c r="DE87" s="9" t="str">
        <f t="shared" si="783"/>
        <v/>
      </c>
      <c r="DF87" s="5" t="str">
        <f t="shared" si="783"/>
        <v/>
      </c>
      <c r="DG87" s="10" t="str">
        <f t="shared" si="784"/>
        <v/>
      </c>
      <c r="DH87" s="70" t="str">
        <f t="shared" si="785"/>
        <v/>
      </c>
      <c r="DI87" s="4" t="str">
        <f t="shared" si="786"/>
        <v/>
      </c>
      <c r="DJ87" s="5" t="str">
        <f t="shared" si="787"/>
        <v/>
      </c>
      <c r="DK87" s="10" t="str">
        <f t="shared" si="788"/>
        <v/>
      </c>
      <c r="DL87" s="9" t="str">
        <f t="shared" si="789"/>
        <v/>
      </c>
      <c r="DM87" s="173" t="str">
        <f t="shared" si="790"/>
        <v/>
      </c>
      <c r="DN87" s="178" t="str">
        <f t="shared" si="791"/>
        <v/>
      </c>
      <c r="DO87" s="9" t="str">
        <f t="shared" si="792"/>
        <v/>
      </c>
      <c r="DP87" s="173" t="str">
        <f t="shared" si="793"/>
        <v/>
      </c>
      <c r="DQ87" s="11" t="str">
        <f t="shared" si="794"/>
        <v/>
      </c>
      <c r="DR87" s="173" t="str">
        <f t="shared" si="795"/>
        <v/>
      </c>
      <c r="DS87" s="5" t="str">
        <f t="shared" si="796"/>
        <v/>
      </c>
      <c r="DT87" s="5" t="str">
        <f t="shared" si="797"/>
        <v/>
      </c>
      <c r="DU87" s="5" t="str">
        <f t="shared" si="798"/>
        <v/>
      </c>
      <c r="DV87" s="5" t="str">
        <f t="shared" si="799"/>
        <v/>
      </c>
      <c r="DW87" s="5" t="str">
        <f t="shared" si="800"/>
        <v/>
      </c>
      <c r="DX87" s="167" t="str">
        <f t="shared" si="801"/>
        <v/>
      </c>
      <c r="DY87" s="9" t="str">
        <f t="shared" si="802"/>
        <v/>
      </c>
      <c r="DZ87" s="5" t="str">
        <f t="shared" si="803"/>
        <v/>
      </c>
      <c r="EA87" s="10" t="str">
        <f t="shared" si="804"/>
        <v/>
      </c>
      <c r="EB87" s="6" t="str">
        <f t="shared" si="805"/>
        <v/>
      </c>
      <c r="EC87" s="173" t="str">
        <f t="shared" si="806"/>
        <v/>
      </c>
      <c r="ED87" s="5" t="str">
        <f t="shared" si="807"/>
        <v/>
      </c>
      <c r="EE87" s="4" t="str">
        <f t="shared" si="808"/>
        <v/>
      </c>
      <c r="EF87" s="5" t="str">
        <f t="shared" si="809"/>
        <v/>
      </c>
      <c r="EG87" s="10" t="str">
        <f t="shared" si="810"/>
        <v/>
      </c>
      <c r="EH87" s="9" t="str">
        <f t="shared" si="811"/>
        <v/>
      </c>
      <c r="EI87" s="5" t="str">
        <f t="shared" si="812"/>
        <v/>
      </c>
      <c r="EJ87" s="6" t="str">
        <f t="shared" si="813"/>
        <v/>
      </c>
      <c r="EK87" s="236" t="str">
        <f t="shared" si="814"/>
        <v/>
      </c>
      <c r="EL87" s="238" t="str">
        <f t="shared" si="815"/>
        <v/>
      </c>
      <c r="EM87" s="4" t="str">
        <f t="shared" si="816"/>
        <v/>
      </c>
      <c r="EN87" s="5" t="str">
        <f t="shared" si="817"/>
        <v/>
      </c>
      <c r="EO87" s="10" t="str">
        <f t="shared" si="818"/>
        <v/>
      </c>
      <c r="EP87" s="9" t="str">
        <f t="shared" si="819"/>
        <v/>
      </c>
      <c r="EQ87" s="5" t="str">
        <f t="shared" si="820"/>
        <v/>
      </c>
      <c r="ER87" s="7" t="str">
        <f t="shared" si="821"/>
        <v/>
      </c>
      <c r="ES87" s="21" t="str">
        <f t="shared" si="664"/>
        <v/>
      </c>
      <c r="ET87" s="5" t="str">
        <f t="shared" si="665"/>
        <v/>
      </c>
      <c r="EU87" s="10" t="str">
        <f t="shared" si="666"/>
        <v/>
      </c>
      <c r="EV87" s="174" t="str">
        <f t="shared" si="667"/>
        <v/>
      </c>
      <c r="EW87" s="9" t="str">
        <f t="shared" si="668"/>
        <v/>
      </c>
      <c r="EX87" s="5" t="str">
        <f t="shared" si="669"/>
        <v/>
      </c>
      <c r="EY87" s="6" t="str">
        <f t="shared" si="822"/>
        <v/>
      </c>
      <c r="EZ87" s="51" t="str">
        <f t="shared" si="823"/>
        <v/>
      </c>
      <c r="FA87" s="173" t="str">
        <f t="shared" si="670"/>
        <v/>
      </c>
      <c r="FB87" s="5" t="str">
        <f t="shared" si="671"/>
        <v/>
      </c>
      <c r="FC87" s="6" t="str">
        <f t="shared" si="672"/>
        <v/>
      </c>
      <c r="FD87" s="4" t="str">
        <f t="shared" si="673"/>
        <v/>
      </c>
      <c r="FE87" s="5" t="str">
        <f t="shared" si="674"/>
        <v/>
      </c>
      <c r="FF87" s="7" t="str">
        <f t="shared" si="824"/>
        <v/>
      </c>
      <c r="FG87" s="173" t="str">
        <f t="shared" si="675"/>
        <v/>
      </c>
      <c r="FH87" s="5" t="str">
        <f t="shared" si="676"/>
        <v/>
      </c>
      <c r="FI87" s="10" t="str">
        <f t="shared" si="677"/>
        <v/>
      </c>
      <c r="FJ87" s="279" t="str">
        <f t="shared" si="825"/>
        <v/>
      </c>
      <c r="FK87" s="4" t="str">
        <f t="shared" si="678"/>
        <v/>
      </c>
      <c r="FL87" s="5" t="str">
        <f t="shared" si="746"/>
        <v/>
      </c>
      <c r="FM87" s="8" t="str">
        <f t="shared" si="747"/>
        <v/>
      </c>
      <c r="FN87" s="9" t="str">
        <f t="shared" si="748"/>
        <v/>
      </c>
      <c r="FO87" s="10" t="str">
        <f t="shared" si="679"/>
        <v/>
      </c>
      <c r="FP87" s="277" t="str">
        <f t="shared" si="749"/>
        <v/>
      </c>
      <c r="FQ87" s="173" t="str">
        <f t="shared" si="826"/>
        <v/>
      </c>
      <c r="FR87" s="10" t="str">
        <f t="shared" si="827"/>
        <v/>
      </c>
      <c r="FS87" s="9" t="str">
        <f t="shared" si="828"/>
        <v/>
      </c>
      <c r="FT87" s="6" t="str">
        <f t="shared" si="829"/>
        <v/>
      </c>
      <c r="FU87" s="4" t="str">
        <f t="shared" si="830"/>
        <v/>
      </c>
      <c r="FV87" s="5" t="str">
        <f t="shared" si="831"/>
        <v/>
      </c>
      <c r="FW87" s="8" t="str">
        <f t="shared" si="832"/>
        <v/>
      </c>
      <c r="FX87" s="9" t="str">
        <f t="shared" si="833"/>
        <v/>
      </c>
      <c r="FY87" s="10" t="str">
        <f t="shared" si="680"/>
        <v/>
      </c>
      <c r="FZ87" s="277" t="str">
        <f t="shared" si="834"/>
        <v/>
      </c>
      <c r="GA87" s="177" t="str">
        <f t="shared" si="835"/>
        <v/>
      </c>
      <c r="GB87" s="4" t="str">
        <f t="shared" si="836"/>
        <v/>
      </c>
      <c r="GC87" s="5" t="str">
        <f t="shared" si="837"/>
        <v/>
      </c>
      <c r="GD87" s="10" t="str">
        <f t="shared" si="838"/>
        <v/>
      </c>
      <c r="GE87" s="311" t="str">
        <f t="shared" si="839"/>
        <v/>
      </c>
      <c r="GF87" s="341" t="str">
        <f t="shared" si="840"/>
        <v/>
      </c>
      <c r="GG87" s="285" t="str">
        <f t="shared" si="681"/>
        <v/>
      </c>
      <c r="GH87" s="286" t="str">
        <f t="shared" si="682"/>
        <v/>
      </c>
      <c r="GI87" s="281" t="str">
        <f t="shared" si="683"/>
        <v/>
      </c>
      <c r="GJ87" s="167" t="str">
        <f t="shared" si="841"/>
        <v/>
      </c>
      <c r="GK87" s="174" t="str">
        <f t="shared" si="684"/>
        <v/>
      </c>
      <c r="GL87" s="174" t="str">
        <f t="shared" si="842"/>
        <v/>
      </c>
      <c r="GM87" s="177" t="str">
        <f t="shared" si="843"/>
        <v/>
      </c>
      <c r="GN87" s="280" t="str">
        <f t="shared" si="844"/>
        <v/>
      </c>
      <c r="GO87" s="4" t="str">
        <f t="shared" si="845"/>
        <v/>
      </c>
      <c r="GP87" s="8" t="str">
        <f t="shared" si="846"/>
        <v/>
      </c>
      <c r="GQ87" s="177" t="str">
        <f t="shared" si="847"/>
        <v/>
      </c>
      <c r="GR87" s="371" t="str">
        <f t="shared" si="848"/>
        <v/>
      </c>
      <c r="GS87" s="342" t="str">
        <f t="shared" si="685"/>
        <v/>
      </c>
      <c r="GT87" s="343" t="str">
        <f t="shared" si="686"/>
        <v/>
      </c>
      <c r="GU87" s="344" t="str">
        <f t="shared" si="687"/>
        <v/>
      </c>
      <c r="GV87" s="343" t="str">
        <f t="shared" si="849"/>
        <v/>
      </c>
      <c r="GW87" s="345" t="str">
        <f t="shared" si="688"/>
        <v/>
      </c>
      <c r="GX87" s="346" t="str">
        <f t="shared" si="689"/>
        <v/>
      </c>
      <c r="GY87" s="344" t="str">
        <f t="shared" si="690"/>
        <v/>
      </c>
      <c r="GZ87" s="345" t="str">
        <f t="shared" si="691"/>
        <v/>
      </c>
      <c r="HA87" s="342" t="str">
        <f t="shared" si="692"/>
        <v/>
      </c>
      <c r="HB87" s="5" t="str">
        <f t="shared" si="850"/>
        <v/>
      </c>
      <c r="HC87" s="343" t="str">
        <f t="shared" si="851"/>
        <v/>
      </c>
      <c r="HD87" s="363" t="str">
        <f t="shared" si="852"/>
        <v/>
      </c>
      <c r="HE87" s="344" t="str">
        <f t="shared" si="693"/>
        <v/>
      </c>
      <c r="HF87" s="5" t="str">
        <f t="shared" si="694"/>
        <v/>
      </c>
      <c r="HG87" s="343" t="str">
        <f t="shared" si="853"/>
        <v/>
      </c>
      <c r="HH87" s="349" t="str">
        <f t="shared" si="854"/>
        <v/>
      </c>
      <c r="HI87" s="317" t="str">
        <f t="shared" si="695"/>
        <v/>
      </c>
      <c r="HK87" s="310" t="str">
        <f t="shared" si="750"/>
        <v/>
      </c>
      <c r="HL87" s="348" t="str">
        <f t="shared" si="696"/>
        <v/>
      </c>
      <c r="HM87" s="923" t="str">
        <f t="shared" si="697"/>
        <v/>
      </c>
      <c r="HN87" s="924" t="str">
        <f t="shared" si="698"/>
        <v/>
      </c>
      <c r="HO87" s="925"/>
      <c r="HP87" s="926"/>
      <c r="HQ87" s="924" t="str">
        <f t="shared" si="699"/>
        <v/>
      </c>
      <c r="HR87" s="927" t="str">
        <f t="shared" si="700"/>
        <v/>
      </c>
      <c r="HS87" s="879" t="str">
        <f t="shared" si="751"/>
        <v/>
      </c>
      <c r="HT87" s="889" t="str">
        <f t="shared" si="701"/>
        <v/>
      </c>
      <c r="HU87" s="890" t="str">
        <f t="shared" si="702"/>
        <v/>
      </c>
      <c r="HV87" s="886" t="str">
        <f t="shared" si="703"/>
        <v/>
      </c>
      <c r="HW87" s="880" t="str">
        <f t="shared" si="704"/>
        <v/>
      </c>
      <c r="HX87" s="881" t="str">
        <f t="shared" si="705"/>
        <v/>
      </c>
      <c r="HY87" s="880" t="str">
        <f t="shared" si="706"/>
        <v/>
      </c>
      <c r="HZ87" s="882" t="str">
        <f t="shared" si="707"/>
        <v/>
      </c>
      <c r="IA87" s="883" t="str">
        <f t="shared" si="708"/>
        <v/>
      </c>
      <c r="IB87" s="884" t="str">
        <f t="shared" si="709"/>
        <v/>
      </c>
      <c r="IC87" s="855" t="str">
        <f t="shared" si="710"/>
        <v/>
      </c>
      <c r="ID87" s="351" t="str">
        <f t="shared" si="711"/>
        <v/>
      </c>
      <c r="IE87" s="857" t="str">
        <f t="shared" si="712"/>
        <v/>
      </c>
      <c r="IF87" s="858"/>
      <c r="IG87" s="790" t="str">
        <f>IFERROR(IF($IW87="","",IF($IW87&lt;(((Settings!$C$19/2)*-1)*$IG$8),"Taper","Nose")),"")</f>
        <v/>
      </c>
      <c r="IH87" s="482" t="str">
        <f>IFERROR(IF((((($IY87*COS(RADIANS(180-$JA87)))*COS(RADIANS($JA87)))-(($IZ87*SIN(RADIANS(180-$JA87)))*SIN(RADIANS($JA87))))+$IW87)&lt;(((Settings!$C$19+$IH$8)/2)*-1),"Gage",""),"")</f>
        <v/>
      </c>
      <c r="II87" s="788" t="str">
        <f t="shared" si="855"/>
        <v/>
      </c>
      <c r="IJ87" s="674" t="str" cm="1">
        <f t="array" ref="IJ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K87" s="677" t="str" cm="1">
        <f t="array" ref="IK87">IFERROR(ROUND(VALUE(IF($IJ87&lt;1,$IJ87+LARGE((IF($M$9:$M$150="",0,$M$9:$M$150)-MOD(IF($M$9:$M$150="",0,$M$9:$M$150),1)),1),$IJ87)),4),"")</f>
        <v/>
      </c>
      <c r="IL87" s="482" t="str">
        <f t="shared" si="713"/>
        <v/>
      </c>
      <c r="IM87" s="482" t="str">
        <f t="shared" si="856"/>
        <v/>
      </c>
      <c r="IN87" s="670" t="str">
        <f t="shared" si="714"/>
        <v/>
      </c>
      <c r="IO87" s="702"/>
      <c r="IP87" s="5" t="str">
        <f t="shared" si="715"/>
        <v/>
      </c>
      <c r="IQ87" s="714"/>
      <c r="IR87" s="9" t="str">
        <f t="shared" si="716"/>
        <v/>
      </c>
      <c r="IS87" s="5" t="str">
        <f t="shared" si="717"/>
        <v/>
      </c>
      <c r="IT87" s="5" t="str">
        <f t="shared" si="718"/>
        <v/>
      </c>
      <c r="IU87" s="5" t="str">
        <f t="shared" si="719"/>
        <v/>
      </c>
      <c r="IV87" s="670" t="str">
        <f t="shared" si="720"/>
        <v/>
      </c>
      <c r="IW87" s="9" t="str">
        <f t="shared" si="721"/>
        <v/>
      </c>
      <c r="IX87" s="5" t="str">
        <f t="shared" si="722"/>
        <v/>
      </c>
      <c r="IY87" s="5" t="str">
        <f t="shared" si="723"/>
        <v/>
      </c>
      <c r="IZ87" s="5" t="str">
        <f t="shared" si="724"/>
        <v/>
      </c>
      <c r="JA87" s="705" t="str">
        <f t="shared" si="725"/>
        <v/>
      </c>
      <c r="JM87" s="489" t="e">
        <f t="shared" si="752"/>
        <v>#VALUE!</v>
      </c>
      <c r="JN87" s="960" t="e">
        <f>($JO87-SMALL($JO$9:$JO$88,1))/((Settings!$C$19/2)-((Settings!$C$19/2)-LARGE($JO$9:$JO$88,1))-SMALL($JO$9:$JO$88,1))</f>
        <v>#VALUE!</v>
      </c>
      <c r="JO87" s="162" t="str">
        <f t="shared" si="635"/>
        <v/>
      </c>
      <c r="JP87" s="961" t="str">
        <f t="shared" si="636"/>
        <v/>
      </c>
      <c r="JQ87" s="961" t="str">
        <f t="shared" si="637"/>
        <v/>
      </c>
      <c r="JU87" s="962"/>
      <c r="JV87" s="959"/>
      <c r="JW87" s="959"/>
    </row>
    <row r="88" spans="1:283" ht="15" customHeight="1" x14ac:dyDescent="0.25">
      <c r="A88" s="75" t="str">
        <f t="shared" si="640"/>
        <v/>
      </c>
      <c r="B88" s="578" t="str">
        <f t="shared" ref="B88:D88" si="883">IFERROR(O243+($A88*-E88),"")</f>
        <v/>
      </c>
      <c r="C88" s="572" t="str">
        <f t="shared" si="883"/>
        <v/>
      </c>
      <c r="D88" s="576" t="str">
        <f t="shared" si="883"/>
        <v/>
      </c>
      <c r="E88" s="580" t="str">
        <f t="shared" ref="E88:K88" si="884">R243</f>
        <v/>
      </c>
      <c r="F88" s="572" t="str">
        <f t="shared" si="884"/>
        <v/>
      </c>
      <c r="G88" s="579" t="str">
        <f t="shared" si="884"/>
        <v/>
      </c>
      <c r="H88" s="580" t="str">
        <f t="shared" si="884"/>
        <v/>
      </c>
      <c r="I88" s="572" t="str">
        <f t="shared" si="884"/>
        <v/>
      </c>
      <c r="J88" s="483" t="str">
        <f t="shared" si="728"/>
        <v/>
      </c>
      <c r="K88" s="806" t="str">
        <f t="shared" si="884"/>
        <v/>
      </c>
      <c r="L88" s="309"/>
      <c r="M88" s="164" t="str">
        <f t="shared" si="643"/>
        <v/>
      </c>
      <c r="N88" s="575" t="str">
        <f t="shared" si="644"/>
        <v/>
      </c>
      <c r="O88" s="572" t="str">
        <f t="shared" si="645"/>
        <v/>
      </c>
      <c r="P88" s="576" t="str">
        <f t="shared" si="646"/>
        <v/>
      </c>
      <c r="Q88" s="528" t="str">
        <f t="shared" si="729"/>
        <v/>
      </c>
      <c r="R88" s="572" t="str">
        <f t="shared" si="95"/>
        <v/>
      </c>
      <c r="S88" s="577" t="str">
        <f t="shared" si="96"/>
        <v/>
      </c>
      <c r="T88" s="578" t="str">
        <f t="shared" si="97"/>
        <v/>
      </c>
      <c r="U88" s="572" t="str">
        <f t="shared" si="98"/>
        <v/>
      </c>
      <c r="V88" s="579" t="str">
        <f t="shared" si="145"/>
        <v/>
      </c>
      <c r="W88" s="528" t="str">
        <f t="shared" si="866"/>
        <v/>
      </c>
      <c r="X88" s="572" t="str">
        <f t="shared" si="99"/>
        <v/>
      </c>
      <c r="Y88" s="573" t="str">
        <f t="shared" si="859"/>
        <v/>
      </c>
      <c r="Z88" s="575" t="str">
        <f t="shared" si="647"/>
        <v/>
      </c>
      <c r="AA88" s="572" t="str">
        <f t="shared" si="648"/>
        <v/>
      </c>
      <c r="AB88" s="572" t="str">
        <f t="shared" si="649"/>
        <v/>
      </c>
      <c r="AC88" s="579" t="str">
        <f t="shared" si="100"/>
        <v/>
      </c>
      <c r="AD88" s="580" t="str">
        <f t="shared" si="146"/>
        <v/>
      </c>
      <c r="AE88" s="572" t="str">
        <f t="shared" si="101"/>
        <v/>
      </c>
      <c r="AF88" s="576" t="str">
        <f t="shared" si="102"/>
        <v/>
      </c>
      <c r="AG88" s="545" t="str">
        <f t="shared" si="103"/>
        <v/>
      </c>
      <c r="AH88" s="546" t="str">
        <f t="shared" si="104"/>
        <v/>
      </c>
      <c r="AI88" s="528" t="str">
        <f t="shared" si="105"/>
        <v/>
      </c>
      <c r="AJ88" s="529" t="str">
        <f t="shared" si="106"/>
        <v/>
      </c>
      <c r="AK88" s="578" t="str">
        <f t="shared" si="247"/>
        <v/>
      </c>
      <c r="AL88" s="572" t="str">
        <f t="shared" si="107"/>
        <v/>
      </c>
      <c r="AM88" s="577" t="str">
        <f t="shared" si="108"/>
        <v/>
      </c>
      <c r="AN88" s="524" t="str">
        <f t="shared" si="109"/>
        <v/>
      </c>
      <c r="AO88" s="525" t="str">
        <f t="shared" si="604"/>
        <v/>
      </c>
      <c r="AP88" s="528" t="str">
        <f t="shared" si="111"/>
        <v/>
      </c>
      <c r="AQ88" s="529" t="str">
        <f t="shared" si="650"/>
        <v/>
      </c>
      <c r="AR88" s="979"/>
      <c r="AS88" s="954" t="str">
        <f t="shared" si="755"/>
        <v/>
      </c>
      <c r="AT88" s="950" t="str">
        <f t="shared" si="651"/>
        <v/>
      </c>
      <c r="AU88" s="418"/>
      <c r="AV88" s="164" t="str">
        <f t="shared" si="652"/>
        <v/>
      </c>
      <c r="AW88" s="797" t="str">
        <f>IFERROR(INDEX(MassProp!C$9:C$150,MATCH($M88,MassProp!$B$9:$B$150,0)),"")</f>
        <v/>
      </c>
      <c r="AX88" s="744" t="str">
        <f>IFERROR(INDEX(MassProp!D$9:D$150,MATCH($M88,MassProp!$B$9:$B$150,0)),"")</f>
        <v/>
      </c>
      <c r="AY88" s="731" t="str">
        <f>IFERROR(INDEX(MassProp!E$9:E$150,MATCH($M88,MassProp!$B$9:$B$150,0)),"")</f>
        <v/>
      </c>
      <c r="AZ88" s="297" t="str">
        <f t="shared" si="756"/>
        <v/>
      </c>
      <c r="BA88" s="296" t="str">
        <f t="shared" si="653"/>
        <v/>
      </c>
      <c r="BB88" s="177" t="str">
        <f t="shared" si="730"/>
        <v/>
      </c>
      <c r="BC88" s="9"/>
      <c r="BD88" s="5" t="str">
        <f t="shared" si="731"/>
        <v/>
      </c>
      <c r="BE88" s="6" t="str">
        <f t="shared" si="654"/>
        <v/>
      </c>
      <c r="BF88" s="4" t="str">
        <f t="shared" si="655"/>
        <v/>
      </c>
      <c r="BG88" s="5" t="str">
        <f t="shared" si="656"/>
        <v/>
      </c>
      <c r="BH88" s="10" t="str">
        <f t="shared" si="657"/>
        <v/>
      </c>
      <c r="BI88" s="9" t="str">
        <f t="shared" si="757"/>
        <v/>
      </c>
      <c r="BJ88" s="5" t="str">
        <f t="shared" si="658"/>
        <v/>
      </c>
      <c r="BK88" s="8" t="str">
        <f t="shared" si="659"/>
        <v/>
      </c>
      <c r="BL88" s="173" t="str">
        <f t="shared" si="660"/>
        <v/>
      </c>
      <c r="BM88" s="5" t="str">
        <f t="shared" si="661"/>
        <v/>
      </c>
      <c r="BN88" s="6" t="str">
        <f t="shared" si="662"/>
        <v/>
      </c>
      <c r="BO88" s="4" t="str">
        <f t="shared" si="758"/>
        <v/>
      </c>
      <c r="BP88" s="5" t="str">
        <f t="shared" si="759"/>
        <v/>
      </c>
      <c r="BQ88" s="5" t="str">
        <f t="shared" si="760"/>
        <v/>
      </c>
      <c r="BR88" s="6" t="str">
        <f t="shared" si="761"/>
        <v/>
      </c>
      <c r="BS88" s="4" t="str">
        <f t="shared" si="732"/>
        <v/>
      </c>
      <c r="BT88" s="5" t="str">
        <f t="shared" si="732"/>
        <v/>
      </c>
      <c r="BU88" s="10" t="str">
        <f t="shared" si="733"/>
        <v/>
      </c>
      <c r="BV88" s="9" t="str">
        <f t="shared" si="734"/>
        <v/>
      </c>
      <c r="BW88" s="5" t="str">
        <f t="shared" si="735"/>
        <v/>
      </c>
      <c r="BX88" s="8" t="str">
        <f t="shared" si="736"/>
        <v/>
      </c>
      <c r="BY88" s="173" t="str">
        <f t="shared" si="737"/>
        <v/>
      </c>
      <c r="BZ88" s="5" t="str">
        <f t="shared" si="738"/>
        <v/>
      </c>
      <c r="CA88" s="6" t="str">
        <f t="shared" si="739"/>
        <v/>
      </c>
      <c r="CB88" s="4" t="str">
        <f t="shared" si="762"/>
        <v/>
      </c>
      <c r="CC88" s="5" t="str">
        <f t="shared" si="763"/>
        <v/>
      </c>
      <c r="CD88" s="5" t="str">
        <f t="shared" si="764"/>
        <v/>
      </c>
      <c r="CE88" s="6" t="str">
        <f t="shared" si="765"/>
        <v/>
      </c>
      <c r="CF88" s="4" t="str">
        <f t="shared" si="766"/>
        <v/>
      </c>
      <c r="CG88" s="5" t="str">
        <f t="shared" si="767"/>
        <v/>
      </c>
      <c r="CH88" s="5" t="str">
        <f t="shared" si="768"/>
        <v/>
      </c>
      <c r="CI88" s="4" t="str">
        <f t="shared" si="740"/>
        <v/>
      </c>
      <c r="CJ88" s="5" t="str">
        <f t="shared" si="741"/>
        <v/>
      </c>
      <c r="CK88" s="8" t="str">
        <f t="shared" si="742"/>
        <v/>
      </c>
      <c r="CL88" s="173" t="str">
        <f t="shared" si="743"/>
        <v/>
      </c>
      <c r="CM88" s="5" t="str">
        <f t="shared" si="744"/>
        <v/>
      </c>
      <c r="CN88" s="6" t="str">
        <f t="shared" si="745"/>
        <v/>
      </c>
      <c r="CO88" s="167" t="str">
        <f t="shared" si="663"/>
        <v/>
      </c>
      <c r="CP88" s="4" t="str">
        <f t="shared" si="769"/>
        <v/>
      </c>
      <c r="CQ88" s="5" t="str">
        <f t="shared" si="770"/>
        <v/>
      </c>
      <c r="CR88" s="5" t="str">
        <f t="shared" si="771"/>
        <v/>
      </c>
      <c r="CS88" s="8" t="str">
        <f t="shared" si="772"/>
        <v/>
      </c>
      <c r="CT88" s="9" t="str">
        <f t="shared" si="773"/>
        <v/>
      </c>
      <c r="CU88" s="6" t="str">
        <f t="shared" si="774"/>
        <v/>
      </c>
      <c r="CV88" s="4" t="str">
        <f t="shared" si="775"/>
        <v/>
      </c>
      <c r="CW88" s="5" t="str">
        <f t="shared" si="776"/>
        <v/>
      </c>
      <c r="CX88" s="8" t="str">
        <f t="shared" si="777"/>
        <v/>
      </c>
      <c r="CY88" s="9" t="str">
        <f t="shared" si="778"/>
        <v/>
      </c>
      <c r="CZ88" s="5" t="str">
        <f t="shared" si="779"/>
        <v/>
      </c>
      <c r="DA88" s="6" t="str">
        <f t="shared" si="780"/>
        <v/>
      </c>
      <c r="DB88" s="4" t="str">
        <f t="shared" si="781"/>
        <v/>
      </c>
      <c r="DC88" s="5" t="str">
        <f t="shared" si="781"/>
        <v/>
      </c>
      <c r="DD88" s="10" t="str">
        <f t="shared" si="782"/>
        <v/>
      </c>
      <c r="DE88" s="9" t="str">
        <f t="shared" si="783"/>
        <v/>
      </c>
      <c r="DF88" s="5" t="str">
        <f t="shared" si="783"/>
        <v/>
      </c>
      <c r="DG88" s="10" t="str">
        <f t="shared" si="784"/>
        <v/>
      </c>
      <c r="DH88" s="70" t="str">
        <f t="shared" si="785"/>
        <v/>
      </c>
      <c r="DI88" s="4" t="str">
        <f t="shared" si="786"/>
        <v/>
      </c>
      <c r="DJ88" s="5" t="str">
        <f t="shared" si="787"/>
        <v/>
      </c>
      <c r="DK88" s="10" t="str">
        <f t="shared" si="788"/>
        <v/>
      </c>
      <c r="DL88" s="9" t="str">
        <f t="shared" si="789"/>
        <v/>
      </c>
      <c r="DM88" s="173" t="str">
        <f t="shared" si="790"/>
        <v/>
      </c>
      <c r="DN88" s="178" t="str">
        <f t="shared" si="791"/>
        <v/>
      </c>
      <c r="DO88" s="9" t="str">
        <f t="shared" si="792"/>
        <v/>
      </c>
      <c r="DP88" s="173" t="str">
        <f t="shared" si="793"/>
        <v/>
      </c>
      <c r="DQ88" s="11" t="str">
        <f t="shared" si="794"/>
        <v/>
      </c>
      <c r="DR88" s="173" t="str">
        <f t="shared" si="795"/>
        <v/>
      </c>
      <c r="DS88" s="5" t="str">
        <f t="shared" si="796"/>
        <v/>
      </c>
      <c r="DT88" s="5" t="str">
        <f t="shared" si="797"/>
        <v/>
      </c>
      <c r="DU88" s="5" t="str">
        <f t="shared" si="798"/>
        <v/>
      </c>
      <c r="DV88" s="5" t="str">
        <f t="shared" si="799"/>
        <v/>
      </c>
      <c r="DW88" s="5" t="str">
        <f t="shared" si="800"/>
        <v/>
      </c>
      <c r="DX88" s="167" t="str">
        <f t="shared" si="801"/>
        <v/>
      </c>
      <c r="DY88" s="9" t="str">
        <f t="shared" si="802"/>
        <v/>
      </c>
      <c r="DZ88" s="5" t="str">
        <f t="shared" si="803"/>
        <v/>
      </c>
      <c r="EA88" s="10" t="str">
        <f t="shared" si="804"/>
        <v/>
      </c>
      <c r="EB88" s="6" t="str">
        <f t="shared" si="805"/>
        <v/>
      </c>
      <c r="EC88" s="173" t="str">
        <f t="shared" si="806"/>
        <v/>
      </c>
      <c r="ED88" s="5" t="str">
        <f t="shared" si="807"/>
        <v/>
      </c>
      <c r="EE88" s="4" t="str">
        <f t="shared" si="808"/>
        <v/>
      </c>
      <c r="EF88" s="5" t="str">
        <f t="shared" si="809"/>
        <v/>
      </c>
      <c r="EG88" s="10" t="str">
        <f t="shared" si="810"/>
        <v/>
      </c>
      <c r="EH88" s="9" t="str">
        <f t="shared" si="811"/>
        <v/>
      </c>
      <c r="EI88" s="5" t="str">
        <f t="shared" si="812"/>
        <v/>
      </c>
      <c r="EJ88" s="6" t="str">
        <f t="shared" si="813"/>
        <v/>
      </c>
      <c r="EK88" s="236" t="str">
        <f t="shared" si="814"/>
        <v/>
      </c>
      <c r="EL88" s="238" t="str">
        <f t="shared" si="815"/>
        <v/>
      </c>
      <c r="EM88" s="4" t="str">
        <f t="shared" si="816"/>
        <v/>
      </c>
      <c r="EN88" s="5" t="str">
        <f t="shared" si="817"/>
        <v/>
      </c>
      <c r="EO88" s="10" t="str">
        <f t="shared" si="818"/>
        <v/>
      </c>
      <c r="EP88" s="9" t="str">
        <f t="shared" si="819"/>
        <v/>
      </c>
      <c r="EQ88" s="5" t="str">
        <f t="shared" si="820"/>
        <v/>
      </c>
      <c r="ER88" s="7" t="str">
        <f t="shared" si="821"/>
        <v/>
      </c>
      <c r="ES88" s="21" t="str">
        <f t="shared" si="664"/>
        <v/>
      </c>
      <c r="ET88" s="5" t="str">
        <f t="shared" si="665"/>
        <v/>
      </c>
      <c r="EU88" s="10" t="str">
        <f t="shared" si="666"/>
        <v/>
      </c>
      <c r="EV88" s="174" t="str">
        <f t="shared" si="667"/>
        <v/>
      </c>
      <c r="EW88" s="9" t="str">
        <f t="shared" si="668"/>
        <v/>
      </c>
      <c r="EX88" s="5" t="str">
        <f t="shared" si="669"/>
        <v/>
      </c>
      <c r="EY88" s="6" t="str">
        <f t="shared" si="822"/>
        <v/>
      </c>
      <c r="EZ88" s="51" t="str">
        <f t="shared" si="823"/>
        <v/>
      </c>
      <c r="FA88" s="173" t="str">
        <f t="shared" si="670"/>
        <v/>
      </c>
      <c r="FB88" s="5" t="str">
        <f t="shared" si="671"/>
        <v/>
      </c>
      <c r="FC88" s="6" t="str">
        <f t="shared" si="672"/>
        <v/>
      </c>
      <c r="FD88" s="4" t="str">
        <f t="shared" si="673"/>
        <v/>
      </c>
      <c r="FE88" s="5" t="str">
        <f t="shared" si="674"/>
        <v/>
      </c>
      <c r="FF88" s="7" t="str">
        <f t="shared" si="824"/>
        <v/>
      </c>
      <c r="FG88" s="173" t="str">
        <f t="shared" si="675"/>
        <v/>
      </c>
      <c r="FH88" s="5" t="str">
        <f t="shared" si="676"/>
        <v/>
      </c>
      <c r="FI88" s="10" t="str">
        <f t="shared" si="677"/>
        <v/>
      </c>
      <c r="FJ88" s="279" t="str">
        <f t="shared" si="825"/>
        <v/>
      </c>
      <c r="FK88" s="4" t="str">
        <f t="shared" si="678"/>
        <v/>
      </c>
      <c r="FL88" s="5" t="str">
        <f t="shared" si="746"/>
        <v/>
      </c>
      <c r="FM88" s="8" t="str">
        <f t="shared" si="747"/>
        <v/>
      </c>
      <c r="FN88" s="9" t="str">
        <f t="shared" si="748"/>
        <v/>
      </c>
      <c r="FO88" s="10" t="str">
        <f t="shared" si="679"/>
        <v/>
      </c>
      <c r="FP88" s="277" t="str">
        <f t="shared" si="749"/>
        <v/>
      </c>
      <c r="FQ88" s="173" t="str">
        <f t="shared" si="826"/>
        <v/>
      </c>
      <c r="FR88" s="10" t="str">
        <f t="shared" si="827"/>
        <v/>
      </c>
      <c r="FS88" s="9" t="str">
        <f t="shared" si="828"/>
        <v/>
      </c>
      <c r="FT88" s="6" t="str">
        <f t="shared" si="829"/>
        <v/>
      </c>
      <c r="FU88" s="4" t="str">
        <f t="shared" si="830"/>
        <v/>
      </c>
      <c r="FV88" s="5" t="str">
        <f t="shared" si="831"/>
        <v/>
      </c>
      <c r="FW88" s="8" t="str">
        <f t="shared" si="832"/>
        <v/>
      </c>
      <c r="FX88" s="9" t="str">
        <f t="shared" si="833"/>
        <v/>
      </c>
      <c r="FY88" s="10" t="str">
        <f t="shared" si="680"/>
        <v/>
      </c>
      <c r="FZ88" s="277" t="str">
        <f t="shared" si="834"/>
        <v/>
      </c>
      <c r="GA88" s="177" t="str">
        <f t="shared" si="835"/>
        <v/>
      </c>
      <c r="GB88" s="4" t="str">
        <f t="shared" si="836"/>
        <v/>
      </c>
      <c r="GC88" s="5" t="str">
        <f t="shared" si="837"/>
        <v/>
      </c>
      <c r="GD88" s="10" t="str">
        <f t="shared" si="838"/>
        <v/>
      </c>
      <c r="GE88" s="311" t="str">
        <f t="shared" si="839"/>
        <v/>
      </c>
      <c r="GF88" s="341" t="str">
        <f t="shared" si="840"/>
        <v/>
      </c>
      <c r="GG88" s="285" t="str">
        <f t="shared" si="681"/>
        <v/>
      </c>
      <c r="GH88" s="286" t="str">
        <f t="shared" si="682"/>
        <v/>
      </c>
      <c r="GI88" s="281" t="str">
        <f t="shared" si="683"/>
        <v/>
      </c>
      <c r="GJ88" s="167" t="str">
        <f t="shared" si="841"/>
        <v/>
      </c>
      <c r="GK88" s="174" t="str">
        <f t="shared" si="684"/>
        <v/>
      </c>
      <c r="GL88" s="174" t="str">
        <f t="shared" si="842"/>
        <v/>
      </c>
      <c r="GM88" s="177" t="str">
        <f t="shared" si="843"/>
        <v/>
      </c>
      <c r="GN88" s="280" t="str">
        <f t="shared" si="844"/>
        <v/>
      </c>
      <c r="GO88" s="4" t="str">
        <f t="shared" si="845"/>
        <v/>
      </c>
      <c r="GP88" s="8" t="str">
        <f t="shared" si="846"/>
        <v/>
      </c>
      <c r="GQ88" s="177" t="str">
        <f t="shared" si="847"/>
        <v/>
      </c>
      <c r="GR88" s="371" t="str">
        <f t="shared" si="848"/>
        <v/>
      </c>
      <c r="GS88" s="342" t="str">
        <f t="shared" si="685"/>
        <v/>
      </c>
      <c r="GT88" s="343" t="str">
        <f t="shared" si="686"/>
        <v/>
      </c>
      <c r="GU88" s="344" t="str">
        <f t="shared" si="687"/>
        <v/>
      </c>
      <c r="GV88" s="343" t="str">
        <f t="shared" si="849"/>
        <v/>
      </c>
      <c r="GW88" s="345" t="str">
        <f t="shared" si="688"/>
        <v/>
      </c>
      <c r="GX88" s="346" t="str">
        <f t="shared" si="689"/>
        <v/>
      </c>
      <c r="GY88" s="344" t="str">
        <f t="shared" si="690"/>
        <v/>
      </c>
      <c r="GZ88" s="345" t="str">
        <f t="shared" si="691"/>
        <v/>
      </c>
      <c r="HA88" s="342" t="str">
        <f t="shared" si="692"/>
        <v/>
      </c>
      <c r="HB88" s="5" t="str">
        <f t="shared" si="850"/>
        <v/>
      </c>
      <c r="HC88" s="343" t="str">
        <f t="shared" si="851"/>
        <v/>
      </c>
      <c r="HD88" s="363" t="str">
        <f t="shared" si="852"/>
        <v/>
      </c>
      <c r="HE88" s="344" t="str">
        <f t="shared" si="693"/>
        <v/>
      </c>
      <c r="HF88" s="5" t="str">
        <f t="shared" si="694"/>
        <v/>
      </c>
      <c r="HG88" s="343" t="str">
        <f t="shared" si="853"/>
        <v/>
      </c>
      <c r="HH88" s="349" t="str">
        <f t="shared" si="854"/>
        <v/>
      </c>
      <c r="HI88" s="317" t="str">
        <f t="shared" si="695"/>
        <v/>
      </c>
      <c r="HK88" s="310" t="str">
        <f t="shared" si="750"/>
        <v/>
      </c>
      <c r="HL88" s="348" t="str">
        <f t="shared" si="696"/>
        <v/>
      </c>
      <c r="HM88" s="923" t="str">
        <f t="shared" si="697"/>
        <v/>
      </c>
      <c r="HN88" s="924" t="str">
        <f t="shared" si="698"/>
        <v/>
      </c>
      <c r="HO88" s="925"/>
      <c r="HP88" s="926"/>
      <c r="HQ88" s="924" t="str">
        <f t="shared" si="699"/>
        <v/>
      </c>
      <c r="HR88" s="927" t="str">
        <f t="shared" si="700"/>
        <v/>
      </c>
      <c r="HS88" s="879" t="str">
        <f t="shared" si="751"/>
        <v/>
      </c>
      <c r="HT88" s="889" t="str">
        <f t="shared" si="701"/>
        <v/>
      </c>
      <c r="HU88" s="890" t="str">
        <f t="shared" si="702"/>
        <v/>
      </c>
      <c r="HV88" s="886" t="str">
        <f t="shared" si="703"/>
        <v/>
      </c>
      <c r="HW88" s="880" t="str">
        <f t="shared" si="704"/>
        <v/>
      </c>
      <c r="HX88" s="881" t="str">
        <f t="shared" si="705"/>
        <v/>
      </c>
      <c r="HY88" s="880" t="str">
        <f t="shared" si="706"/>
        <v/>
      </c>
      <c r="HZ88" s="882" t="str">
        <f t="shared" si="707"/>
        <v/>
      </c>
      <c r="IA88" s="883" t="str">
        <f t="shared" si="708"/>
        <v/>
      </c>
      <c r="IB88" s="884" t="str">
        <f t="shared" si="709"/>
        <v/>
      </c>
      <c r="IC88" s="855" t="str">
        <f t="shared" si="710"/>
        <v/>
      </c>
      <c r="ID88" s="351" t="str">
        <f t="shared" si="711"/>
        <v/>
      </c>
      <c r="IE88" s="857" t="str">
        <f t="shared" si="712"/>
        <v/>
      </c>
      <c r="IF88" s="858"/>
      <c r="IG88" s="790" t="str">
        <f>IFERROR(IF($IW88="","",IF($IW88&lt;(((Settings!$C$19/2)*-1)*$IG$8),"Taper","Nose")),"")</f>
        <v/>
      </c>
      <c r="IH88" s="482" t="str">
        <f>IFERROR(IF((((($IY88*COS(RADIANS(180-$JA88)))*COS(RADIANS($JA88)))-(($IZ88*SIN(RADIANS(180-$JA88)))*SIN(RADIANS($JA88))))+$IW88)&lt;(((Settings!$C$19+$IH$8)/2)*-1),"Gage",""),"")</f>
        <v/>
      </c>
      <c r="II88" s="788" t="str">
        <f t="shared" si="855"/>
        <v/>
      </c>
      <c r="IJ88" s="674" t="str" cm="1">
        <f t="array" ref="IJ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K88" s="677" t="str" cm="1">
        <f t="array" ref="IK88">IFERROR(ROUND(VALUE(IF($IJ88&lt;1,$IJ88+LARGE((IF($M$9:$M$150="",0,$M$9:$M$150)-MOD(IF($M$9:$M$150="",0,$M$9:$M$150),1)),1),$IJ88)),4),"")</f>
        <v/>
      </c>
      <c r="IL88" s="482" t="str">
        <f t="shared" si="713"/>
        <v/>
      </c>
      <c r="IM88" s="482" t="str">
        <f t="shared" si="856"/>
        <v/>
      </c>
      <c r="IN88" s="670" t="str">
        <f t="shared" si="714"/>
        <v/>
      </c>
      <c r="IO88" s="702"/>
      <c r="IP88" s="5" t="str">
        <f t="shared" si="715"/>
        <v/>
      </c>
      <c r="IQ88" s="714"/>
      <c r="IR88" s="9" t="str">
        <f t="shared" si="716"/>
        <v/>
      </c>
      <c r="IS88" s="5" t="str">
        <f t="shared" si="717"/>
        <v/>
      </c>
      <c r="IT88" s="5" t="str">
        <f t="shared" si="718"/>
        <v/>
      </c>
      <c r="IU88" s="5" t="str">
        <f t="shared" si="719"/>
        <v/>
      </c>
      <c r="IV88" s="670" t="str">
        <f t="shared" si="720"/>
        <v/>
      </c>
      <c r="IW88" s="9" t="str">
        <f t="shared" si="721"/>
        <v/>
      </c>
      <c r="IX88" s="5" t="str">
        <f t="shared" si="722"/>
        <v/>
      </c>
      <c r="IY88" s="5" t="str">
        <f t="shared" si="723"/>
        <v/>
      </c>
      <c r="IZ88" s="5" t="str">
        <f t="shared" si="724"/>
        <v/>
      </c>
      <c r="JA88" s="705" t="str">
        <f t="shared" si="725"/>
        <v/>
      </c>
      <c r="JM88" s="489" t="e">
        <f t="shared" si="752"/>
        <v>#VALUE!</v>
      </c>
      <c r="JN88" s="960" t="e">
        <f>($JO88-SMALL($JO$9:$JO$88,1))/((Settings!$C$19/2)-((Settings!$C$19/2)-LARGE($JO$9:$JO$88,1))-SMALL($JO$9:$JO$88,1))</f>
        <v>#VALUE!</v>
      </c>
      <c r="JO88" s="162" t="str">
        <f t="shared" si="635"/>
        <v/>
      </c>
      <c r="JP88" s="961" t="str">
        <f t="shared" si="636"/>
        <v/>
      </c>
      <c r="JQ88" s="961" t="str">
        <f t="shared" si="637"/>
        <v/>
      </c>
      <c r="JU88" s="962"/>
      <c r="JV88" s="959"/>
      <c r="JW88" s="959"/>
    </row>
    <row r="89" spans="1:283" ht="15" customHeight="1" x14ac:dyDescent="0.25">
      <c r="A89" s="75" t="str">
        <f t="shared" si="640"/>
        <v/>
      </c>
      <c r="B89" s="578" t="str">
        <f t="shared" ref="B89:D89" si="885">IFERROR(O244+($A89*-E89),"")</f>
        <v/>
      </c>
      <c r="C89" s="572" t="str">
        <f t="shared" si="885"/>
        <v/>
      </c>
      <c r="D89" s="576" t="str">
        <f t="shared" si="885"/>
        <v/>
      </c>
      <c r="E89" s="580" t="str">
        <f t="shared" ref="E89:K89" si="886">R244</f>
        <v/>
      </c>
      <c r="F89" s="572" t="str">
        <f t="shared" si="886"/>
        <v/>
      </c>
      <c r="G89" s="579" t="str">
        <f t="shared" si="886"/>
        <v/>
      </c>
      <c r="H89" s="580" t="str">
        <f t="shared" si="886"/>
        <v/>
      </c>
      <c r="I89" s="572" t="str">
        <f t="shared" si="886"/>
        <v/>
      </c>
      <c r="J89" s="483" t="str">
        <f t="shared" si="728"/>
        <v/>
      </c>
      <c r="K89" s="806" t="str">
        <f t="shared" si="886"/>
        <v/>
      </c>
      <c r="L89" s="309"/>
      <c r="M89" s="164" t="str">
        <f t="shared" si="643"/>
        <v/>
      </c>
      <c r="N89" s="575" t="str">
        <f t="shared" si="644"/>
        <v/>
      </c>
      <c r="O89" s="572" t="str">
        <f t="shared" si="645"/>
        <v/>
      </c>
      <c r="P89" s="576" t="str">
        <f t="shared" si="646"/>
        <v/>
      </c>
      <c r="Q89" s="528" t="str">
        <f t="shared" si="729"/>
        <v/>
      </c>
      <c r="R89" s="572" t="str">
        <f t="shared" si="95"/>
        <v/>
      </c>
      <c r="S89" s="577" t="str">
        <f t="shared" si="96"/>
        <v/>
      </c>
      <c r="T89" s="578" t="str">
        <f t="shared" si="97"/>
        <v/>
      </c>
      <c r="U89" s="572" t="str">
        <f t="shared" si="98"/>
        <v/>
      </c>
      <c r="V89" s="579" t="str">
        <f t="shared" si="145"/>
        <v/>
      </c>
      <c r="W89" s="528" t="str">
        <f t="shared" si="866"/>
        <v/>
      </c>
      <c r="X89" s="572" t="str">
        <f t="shared" si="99"/>
        <v/>
      </c>
      <c r="Y89" s="573" t="str">
        <f t="shared" si="859"/>
        <v/>
      </c>
      <c r="Z89" s="575" t="str">
        <f t="shared" si="647"/>
        <v/>
      </c>
      <c r="AA89" s="572" t="str">
        <f t="shared" si="648"/>
        <v/>
      </c>
      <c r="AB89" s="572" t="str">
        <f t="shared" si="649"/>
        <v/>
      </c>
      <c r="AC89" s="579" t="str">
        <f t="shared" si="100"/>
        <v/>
      </c>
      <c r="AD89" s="580" t="str">
        <f t="shared" si="146"/>
        <v/>
      </c>
      <c r="AE89" s="572" t="str">
        <f t="shared" si="101"/>
        <v/>
      </c>
      <c r="AF89" s="576" t="str">
        <f t="shared" si="102"/>
        <v/>
      </c>
      <c r="AG89" s="545" t="str">
        <f t="shared" si="103"/>
        <v/>
      </c>
      <c r="AH89" s="546" t="str">
        <f t="shared" si="104"/>
        <v/>
      </c>
      <c r="AI89" s="528" t="str">
        <f t="shared" si="105"/>
        <v/>
      </c>
      <c r="AJ89" s="529" t="str">
        <f t="shared" si="106"/>
        <v/>
      </c>
      <c r="AK89" s="578" t="str">
        <f t="shared" si="247"/>
        <v/>
      </c>
      <c r="AL89" s="572" t="str">
        <f t="shared" si="107"/>
        <v/>
      </c>
      <c r="AM89" s="577" t="str">
        <f t="shared" si="108"/>
        <v/>
      </c>
      <c r="AN89" s="524" t="str">
        <f t="shared" si="109"/>
        <v/>
      </c>
      <c r="AO89" s="525" t="str">
        <f t="shared" si="604"/>
        <v/>
      </c>
      <c r="AP89" s="528" t="str">
        <f t="shared" si="111"/>
        <v/>
      </c>
      <c r="AQ89" s="529" t="str">
        <f t="shared" si="650"/>
        <v/>
      </c>
      <c r="AR89" s="979"/>
      <c r="AS89" s="954" t="str">
        <f t="shared" si="755"/>
        <v/>
      </c>
      <c r="AT89" s="950" t="str">
        <f t="shared" si="651"/>
        <v/>
      </c>
      <c r="AU89" s="418"/>
      <c r="AV89" s="164" t="str">
        <f t="shared" si="652"/>
        <v/>
      </c>
      <c r="AW89" s="797" t="str">
        <f>IFERROR(INDEX(MassProp!C$9:C$150,MATCH($M89,MassProp!$B$9:$B$150,0)),"")</f>
        <v/>
      </c>
      <c r="AX89" s="744" t="str">
        <f>IFERROR(INDEX(MassProp!D$9:D$150,MATCH($M89,MassProp!$B$9:$B$150,0)),"")</f>
        <v/>
      </c>
      <c r="AY89" s="731" t="str">
        <f>IFERROR(INDEX(MassProp!E$9:E$150,MATCH($M89,MassProp!$B$9:$B$150,0)),"")</f>
        <v/>
      </c>
      <c r="AZ89" s="297" t="str">
        <f t="shared" si="756"/>
        <v/>
      </c>
      <c r="BA89" s="296" t="str">
        <f t="shared" si="653"/>
        <v/>
      </c>
      <c r="BB89" s="177" t="str">
        <f t="shared" si="730"/>
        <v/>
      </c>
      <c r="BC89" s="9"/>
      <c r="BD89" s="5" t="str">
        <f t="shared" si="731"/>
        <v/>
      </c>
      <c r="BE89" s="6" t="str">
        <f t="shared" si="654"/>
        <v/>
      </c>
      <c r="BF89" s="4" t="str">
        <f t="shared" si="655"/>
        <v/>
      </c>
      <c r="BG89" s="5" t="str">
        <f t="shared" si="656"/>
        <v/>
      </c>
      <c r="BH89" s="10" t="str">
        <f t="shared" si="657"/>
        <v/>
      </c>
      <c r="BI89" s="9" t="str">
        <f t="shared" si="757"/>
        <v/>
      </c>
      <c r="BJ89" s="5" t="str">
        <f t="shared" si="658"/>
        <v/>
      </c>
      <c r="BK89" s="8" t="str">
        <f t="shared" si="659"/>
        <v/>
      </c>
      <c r="BL89" s="173" t="str">
        <f t="shared" si="660"/>
        <v/>
      </c>
      <c r="BM89" s="5" t="str">
        <f t="shared" si="661"/>
        <v/>
      </c>
      <c r="BN89" s="6" t="str">
        <f t="shared" si="662"/>
        <v/>
      </c>
      <c r="BO89" s="4" t="str">
        <f t="shared" si="758"/>
        <v/>
      </c>
      <c r="BP89" s="5" t="str">
        <f t="shared" si="759"/>
        <v/>
      </c>
      <c r="BQ89" s="5" t="str">
        <f t="shared" si="760"/>
        <v/>
      </c>
      <c r="BR89" s="6" t="str">
        <f t="shared" si="761"/>
        <v/>
      </c>
      <c r="BS89" s="4" t="str">
        <f t="shared" si="732"/>
        <v/>
      </c>
      <c r="BT89" s="5" t="str">
        <f t="shared" si="732"/>
        <v/>
      </c>
      <c r="BU89" s="10" t="str">
        <f t="shared" si="733"/>
        <v/>
      </c>
      <c r="BV89" s="9" t="str">
        <f t="shared" si="734"/>
        <v/>
      </c>
      <c r="BW89" s="5" t="str">
        <f t="shared" si="735"/>
        <v/>
      </c>
      <c r="BX89" s="8" t="str">
        <f t="shared" si="736"/>
        <v/>
      </c>
      <c r="BY89" s="173" t="str">
        <f t="shared" si="737"/>
        <v/>
      </c>
      <c r="BZ89" s="5" t="str">
        <f t="shared" si="738"/>
        <v/>
      </c>
      <c r="CA89" s="6" t="str">
        <f t="shared" si="739"/>
        <v/>
      </c>
      <c r="CB89" s="4" t="str">
        <f t="shared" si="762"/>
        <v/>
      </c>
      <c r="CC89" s="5" t="str">
        <f t="shared" si="763"/>
        <v/>
      </c>
      <c r="CD89" s="5" t="str">
        <f t="shared" si="764"/>
        <v/>
      </c>
      <c r="CE89" s="6" t="str">
        <f t="shared" si="765"/>
        <v/>
      </c>
      <c r="CF89" s="4" t="str">
        <f t="shared" si="766"/>
        <v/>
      </c>
      <c r="CG89" s="5" t="str">
        <f t="shared" si="767"/>
        <v/>
      </c>
      <c r="CH89" s="5" t="str">
        <f t="shared" si="768"/>
        <v/>
      </c>
      <c r="CI89" s="4" t="str">
        <f t="shared" si="740"/>
        <v/>
      </c>
      <c r="CJ89" s="5" t="str">
        <f t="shared" si="741"/>
        <v/>
      </c>
      <c r="CK89" s="8" t="str">
        <f t="shared" si="742"/>
        <v/>
      </c>
      <c r="CL89" s="173" t="str">
        <f t="shared" si="743"/>
        <v/>
      </c>
      <c r="CM89" s="5" t="str">
        <f t="shared" si="744"/>
        <v/>
      </c>
      <c r="CN89" s="6" t="str">
        <f t="shared" si="745"/>
        <v/>
      </c>
      <c r="CO89" s="167" t="str">
        <f t="shared" si="663"/>
        <v/>
      </c>
      <c r="CP89" s="4" t="str">
        <f t="shared" si="769"/>
        <v/>
      </c>
      <c r="CQ89" s="5" t="str">
        <f t="shared" si="770"/>
        <v/>
      </c>
      <c r="CR89" s="5" t="str">
        <f t="shared" si="771"/>
        <v/>
      </c>
      <c r="CS89" s="8" t="str">
        <f t="shared" si="772"/>
        <v/>
      </c>
      <c r="CT89" s="9" t="str">
        <f t="shared" si="773"/>
        <v/>
      </c>
      <c r="CU89" s="6" t="str">
        <f t="shared" si="774"/>
        <v/>
      </c>
      <c r="CV89" s="4" t="str">
        <f t="shared" si="775"/>
        <v/>
      </c>
      <c r="CW89" s="5" t="str">
        <f t="shared" si="776"/>
        <v/>
      </c>
      <c r="CX89" s="8" t="str">
        <f t="shared" si="777"/>
        <v/>
      </c>
      <c r="CY89" s="9" t="str">
        <f t="shared" si="778"/>
        <v/>
      </c>
      <c r="CZ89" s="5" t="str">
        <f t="shared" si="779"/>
        <v/>
      </c>
      <c r="DA89" s="6" t="str">
        <f t="shared" si="780"/>
        <v/>
      </c>
      <c r="DB89" s="4" t="str">
        <f t="shared" si="781"/>
        <v/>
      </c>
      <c r="DC89" s="5" t="str">
        <f t="shared" si="781"/>
        <v/>
      </c>
      <c r="DD89" s="10" t="str">
        <f t="shared" si="782"/>
        <v/>
      </c>
      <c r="DE89" s="9" t="str">
        <f t="shared" si="783"/>
        <v/>
      </c>
      <c r="DF89" s="5" t="str">
        <f t="shared" si="783"/>
        <v/>
      </c>
      <c r="DG89" s="10" t="str">
        <f t="shared" si="784"/>
        <v/>
      </c>
      <c r="DH89" s="70" t="str">
        <f t="shared" si="785"/>
        <v/>
      </c>
      <c r="DI89" s="4" t="str">
        <f t="shared" si="786"/>
        <v/>
      </c>
      <c r="DJ89" s="5" t="str">
        <f t="shared" si="787"/>
        <v/>
      </c>
      <c r="DK89" s="10" t="str">
        <f t="shared" si="788"/>
        <v/>
      </c>
      <c r="DL89" s="9" t="str">
        <f t="shared" si="789"/>
        <v/>
      </c>
      <c r="DM89" s="173" t="str">
        <f t="shared" si="790"/>
        <v/>
      </c>
      <c r="DN89" s="178" t="str">
        <f t="shared" si="791"/>
        <v/>
      </c>
      <c r="DO89" s="9" t="str">
        <f t="shared" si="792"/>
        <v/>
      </c>
      <c r="DP89" s="173" t="str">
        <f t="shared" si="793"/>
        <v/>
      </c>
      <c r="DQ89" s="11" t="str">
        <f t="shared" si="794"/>
        <v/>
      </c>
      <c r="DR89" s="173" t="str">
        <f t="shared" si="795"/>
        <v/>
      </c>
      <c r="DS89" s="5" t="str">
        <f t="shared" si="796"/>
        <v/>
      </c>
      <c r="DT89" s="5" t="str">
        <f t="shared" si="797"/>
        <v/>
      </c>
      <c r="DU89" s="5" t="str">
        <f t="shared" si="798"/>
        <v/>
      </c>
      <c r="DV89" s="5" t="str">
        <f t="shared" si="799"/>
        <v/>
      </c>
      <c r="DW89" s="5" t="str">
        <f t="shared" si="800"/>
        <v/>
      </c>
      <c r="DX89" s="167" t="str">
        <f t="shared" si="801"/>
        <v/>
      </c>
      <c r="DY89" s="9" t="str">
        <f t="shared" si="802"/>
        <v/>
      </c>
      <c r="DZ89" s="5" t="str">
        <f t="shared" si="803"/>
        <v/>
      </c>
      <c r="EA89" s="10" t="str">
        <f t="shared" si="804"/>
        <v/>
      </c>
      <c r="EB89" s="6" t="str">
        <f t="shared" si="805"/>
        <v/>
      </c>
      <c r="EC89" s="173" t="str">
        <f t="shared" si="806"/>
        <v/>
      </c>
      <c r="ED89" s="5" t="str">
        <f t="shared" si="807"/>
        <v/>
      </c>
      <c r="EE89" s="4" t="str">
        <f t="shared" si="808"/>
        <v/>
      </c>
      <c r="EF89" s="5" t="str">
        <f t="shared" si="809"/>
        <v/>
      </c>
      <c r="EG89" s="10" t="str">
        <f t="shared" si="810"/>
        <v/>
      </c>
      <c r="EH89" s="9" t="str">
        <f t="shared" si="811"/>
        <v/>
      </c>
      <c r="EI89" s="5" t="str">
        <f t="shared" si="812"/>
        <v/>
      </c>
      <c r="EJ89" s="6" t="str">
        <f t="shared" si="813"/>
        <v/>
      </c>
      <c r="EK89" s="236" t="str">
        <f t="shared" si="814"/>
        <v/>
      </c>
      <c r="EL89" s="238" t="str">
        <f t="shared" si="815"/>
        <v/>
      </c>
      <c r="EM89" s="4" t="str">
        <f t="shared" si="816"/>
        <v/>
      </c>
      <c r="EN89" s="5" t="str">
        <f t="shared" si="817"/>
        <v/>
      </c>
      <c r="EO89" s="10" t="str">
        <f t="shared" si="818"/>
        <v/>
      </c>
      <c r="EP89" s="9" t="str">
        <f t="shared" si="819"/>
        <v/>
      </c>
      <c r="EQ89" s="5" t="str">
        <f t="shared" si="820"/>
        <v/>
      </c>
      <c r="ER89" s="7" t="str">
        <f t="shared" si="821"/>
        <v/>
      </c>
      <c r="ES89" s="21" t="str">
        <f t="shared" si="664"/>
        <v/>
      </c>
      <c r="ET89" s="5" t="str">
        <f t="shared" si="665"/>
        <v/>
      </c>
      <c r="EU89" s="10" t="str">
        <f t="shared" si="666"/>
        <v/>
      </c>
      <c r="EV89" s="174" t="str">
        <f t="shared" si="667"/>
        <v/>
      </c>
      <c r="EW89" s="9" t="str">
        <f t="shared" si="668"/>
        <v/>
      </c>
      <c r="EX89" s="5" t="str">
        <f t="shared" si="669"/>
        <v/>
      </c>
      <c r="EY89" s="6" t="str">
        <f t="shared" si="822"/>
        <v/>
      </c>
      <c r="EZ89" s="51" t="str">
        <f t="shared" si="823"/>
        <v/>
      </c>
      <c r="FA89" s="173" t="str">
        <f t="shared" si="670"/>
        <v/>
      </c>
      <c r="FB89" s="5" t="str">
        <f t="shared" si="671"/>
        <v/>
      </c>
      <c r="FC89" s="6" t="str">
        <f t="shared" si="672"/>
        <v/>
      </c>
      <c r="FD89" s="4" t="str">
        <f t="shared" si="673"/>
        <v/>
      </c>
      <c r="FE89" s="5" t="str">
        <f t="shared" si="674"/>
        <v/>
      </c>
      <c r="FF89" s="7" t="str">
        <f t="shared" si="824"/>
        <v/>
      </c>
      <c r="FG89" s="173" t="str">
        <f t="shared" si="675"/>
        <v/>
      </c>
      <c r="FH89" s="5" t="str">
        <f t="shared" si="676"/>
        <v/>
      </c>
      <c r="FI89" s="10" t="str">
        <f t="shared" si="677"/>
        <v/>
      </c>
      <c r="FJ89" s="279" t="str">
        <f t="shared" si="825"/>
        <v/>
      </c>
      <c r="FK89" s="4" t="str">
        <f t="shared" si="678"/>
        <v/>
      </c>
      <c r="FL89" s="5" t="str">
        <f t="shared" si="746"/>
        <v/>
      </c>
      <c r="FM89" s="8" t="str">
        <f t="shared" si="747"/>
        <v/>
      </c>
      <c r="FN89" s="9" t="str">
        <f t="shared" si="748"/>
        <v/>
      </c>
      <c r="FO89" s="10" t="str">
        <f t="shared" si="679"/>
        <v/>
      </c>
      <c r="FP89" s="277" t="str">
        <f t="shared" si="749"/>
        <v/>
      </c>
      <c r="FQ89" s="173" t="str">
        <f t="shared" si="826"/>
        <v/>
      </c>
      <c r="FR89" s="10" t="str">
        <f t="shared" si="827"/>
        <v/>
      </c>
      <c r="FS89" s="9" t="str">
        <f t="shared" si="828"/>
        <v/>
      </c>
      <c r="FT89" s="6" t="str">
        <f t="shared" si="829"/>
        <v/>
      </c>
      <c r="FU89" s="4" t="str">
        <f t="shared" si="830"/>
        <v/>
      </c>
      <c r="FV89" s="5" t="str">
        <f t="shared" si="831"/>
        <v/>
      </c>
      <c r="FW89" s="8" t="str">
        <f t="shared" si="832"/>
        <v/>
      </c>
      <c r="FX89" s="9" t="str">
        <f t="shared" si="833"/>
        <v/>
      </c>
      <c r="FY89" s="10" t="str">
        <f t="shared" si="680"/>
        <v/>
      </c>
      <c r="FZ89" s="277" t="str">
        <f t="shared" si="834"/>
        <v/>
      </c>
      <c r="GA89" s="177" t="str">
        <f t="shared" si="835"/>
        <v/>
      </c>
      <c r="GB89" s="4" t="str">
        <f t="shared" si="836"/>
        <v/>
      </c>
      <c r="GC89" s="5" t="str">
        <f t="shared" si="837"/>
        <v/>
      </c>
      <c r="GD89" s="10" t="str">
        <f t="shared" si="838"/>
        <v/>
      </c>
      <c r="GE89" s="311" t="str">
        <f t="shared" si="839"/>
        <v/>
      </c>
      <c r="GF89" s="341" t="str">
        <f t="shared" si="840"/>
        <v/>
      </c>
      <c r="GG89" s="285" t="str">
        <f t="shared" si="681"/>
        <v/>
      </c>
      <c r="GH89" s="286" t="str">
        <f t="shared" si="682"/>
        <v/>
      </c>
      <c r="GI89" s="281" t="str">
        <f t="shared" si="683"/>
        <v/>
      </c>
      <c r="GJ89" s="167" t="str">
        <f t="shared" si="841"/>
        <v/>
      </c>
      <c r="GK89" s="174" t="str">
        <f t="shared" si="684"/>
        <v/>
      </c>
      <c r="GL89" s="174" t="str">
        <f t="shared" si="842"/>
        <v/>
      </c>
      <c r="GM89" s="177" t="str">
        <f t="shared" si="843"/>
        <v/>
      </c>
      <c r="GN89" s="280" t="str">
        <f t="shared" si="844"/>
        <v/>
      </c>
      <c r="GO89" s="4" t="str">
        <f t="shared" si="845"/>
        <v/>
      </c>
      <c r="GP89" s="8" t="str">
        <f t="shared" si="846"/>
        <v/>
      </c>
      <c r="GQ89" s="177" t="str">
        <f t="shared" si="847"/>
        <v/>
      </c>
      <c r="GR89" s="371" t="str">
        <f t="shared" si="848"/>
        <v/>
      </c>
      <c r="GS89" s="342" t="str">
        <f t="shared" si="685"/>
        <v/>
      </c>
      <c r="GT89" s="343" t="str">
        <f t="shared" si="686"/>
        <v/>
      </c>
      <c r="GU89" s="344" t="str">
        <f t="shared" si="687"/>
        <v/>
      </c>
      <c r="GV89" s="343" t="str">
        <f t="shared" si="849"/>
        <v/>
      </c>
      <c r="GW89" s="345" t="str">
        <f t="shared" si="688"/>
        <v/>
      </c>
      <c r="GX89" s="346" t="str">
        <f t="shared" si="689"/>
        <v/>
      </c>
      <c r="GY89" s="344" t="str">
        <f t="shared" si="690"/>
        <v/>
      </c>
      <c r="GZ89" s="345" t="str">
        <f t="shared" si="691"/>
        <v/>
      </c>
      <c r="HA89" s="342" t="str">
        <f t="shared" si="692"/>
        <v/>
      </c>
      <c r="HB89" s="5" t="str">
        <f t="shared" si="850"/>
        <v/>
      </c>
      <c r="HC89" s="343" t="str">
        <f t="shared" si="851"/>
        <v/>
      </c>
      <c r="HD89" s="363" t="str">
        <f t="shared" si="852"/>
        <v/>
      </c>
      <c r="HE89" s="344" t="str">
        <f t="shared" si="693"/>
        <v/>
      </c>
      <c r="HF89" s="5" t="str">
        <f t="shared" si="694"/>
        <v/>
      </c>
      <c r="HG89" s="343" t="str">
        <f t="shared" si="853"/>
        <v/>
      </c>
      <c r="HH89" s="349" t="str">
        <f t="shared" si="854"/>
        <v/>
      </c>
      <c r="HI89" s="317" t="str">
        <f t="shared" si="695"/>
        <v/>
      </c>
      <c r="HK89" s="310" t="str">
        <f t="shared" si="750"/>
        <v/>
      </c>
      <c r="HL89" s="348" t="str">
        <f t="shared" si="696"/>
        <v/>
      </c>
      <c r="HM89" s="923" t="str">
        <f t="shared" si="697"/>
        <v/>
      </c>
      <c r="HN89" s="924" t="str">
        <f t="shared" si="698"/>
        <v/>
      </c>
      <c r="HO89" s="925"/>
      <c r="HP89" s="926"/>
      <c r="HQ89" s="924" t="str">
        <f t="shared" si="699"/>
        <v/>
      </c>
      <c r="HR89" s="927" t="str">
        <f t="shared" si="700"/>
        <v/>
      </c>
      <c r="HS89" s="879" t="str">
        <f t="shared" si="751"/>
        <v/>
      </c>
      <c r="HT89" s="889" t="str">
        <f t="shared" si="701"/>
        <v/>
      </c>
      <c r="HU89" s="890" t="str">
        <f t="shared" si="702"/>
        <v/>
      </c>
      <c r="HV89" s="886" t="str">
        <f t="shared" si="703"/>
        <v/>
      </c>
      <c r="HW89" s="880" t="str">
        <f t="shared" si="704"/>
        <v/>
      </c>
      <c r="HX89" s="881" t="str">
        <f t="shared" si="705"/>
        <v/>
      </c>
      <c r="HY89" s="880" t="str">
        <f t="shared" si="706"/>
        <v/>
      </c>
      <c r="HZ89" s="882" t="str">
        <f t="shared" si="707"/>
        <v/>
      </c>
      <c r="IA89" s="883" t="str">
        <f t="shared" si="708"/>
        <v/>
      </c>
      <c r="IB89" s="884" t="str">
        <f t="shared" si="709"/>
        <v/>
      </c>
      <c r="IC89" s="855" t="str">
        <f t="shared" si="710"/>
        <v/>
      </c>
      <c r="ID89" s="351" t="str">
        <f t="shared" si="711"/>
        <v/>
      </c>
      <c r="IE89" s="857" t="str">
        <f t="shared" si="712"/>
        <v/>
      </c>
      <c r="IF89" s="858"/>
      <c r="IG89" s="790" t="str">
        <f>IFERROR(IF($IW89="","",IF($IW89&lt;(((Settings!$C$19/2)*-1)*$IG$8),"Taper","Nose")),"")</f>
        <v/>
      </c>
      <c r="IH89" s="482" t="str">
        <f>IFERROR(IF((((($IY89*COS(RADIANS(180-$JA89)))*COS(RADIANS($JA89)))-(($IZ89*SIN(RADIANS(180-$JA89)))*SIN(RADIANS($JA89))))+$IW89)&lt;(((Settings!$C$19+$IH$8)/2)*-1),"Gage",""),"")</f>
        <v/>
      </c>
      <c r="II89" s="788" t="str">
        <f t="shared" si="855"/>
        <v/>
      </c>
      <c r="IJ89" s="674" t="str" cm="1">
        <f t="array" ref="IJ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K89" s="677" t="str" cm="1">
        <f t="array" ref="IK89">IFERROR(ROUND(VALUE(IF($IJ89&lt;1,$IJ89+LARGE((IF($M$9:$M$150="",0,$M$9:$M$150)-MOD(IF($M$9:$M$150="",0,$M$9:$M$150),1)),1),$IJ89)),4),"")</f>
        <v/>
      </c>
      <c r="IL89" s="482" t="str">
        <f t="shared" si="713"/>
        <v/>
      </c>
      <c r="IM89" s="482" t="str">
        <f t="shared" si="856"/>
        <v/>
      </c>
      <c r="IN89" s="670" t="str">
        <f t="shared" si="714"/>
        <v/>
      </c>
      <c r="IO89" s="702"/>
      <c r="IP89" s="5" t="str">
        <f t="shared" si="715"/>
        <v/>
      </c>
      <c r="IQ89" s="714"/>
      <c r="IR89" s="9" t="str">
        <f t="shared" si="716"/>
        <v/>
      </c>
      <c r="IS89" s="5" t="str">
        <f t="shared" si="717"/>
        <v/>
      </c>
      <c r="IT89" s="5" t="str">
        <f t="shared" si="718"/>
        <v/>
      </c>
      <c r="IU89" s="5" t="str">
        <f t="shared" si="719"/>
        <v/>
      </c>
      <c r="IV89" s="670" t="str">
        <f t="shared" si="720"/>
        <v/>
      </c>
      <c r="IW89" s="9" t="str">
        <f t="shared" si="721"/>
        <v/>
      </c>
      <c r="IX89" s="5" t="str">
        <f t="shared" si="722"/>
        <v/>
      </c>
      <c r="IY89" s="5" t="str">
        <f t="shared" si="723"/>
        <v/>
      </c>
      <c r="IZ89" s="5" t="str">
        <f t="shared" si="724"/>
        <v/>
      </c>
      <c r="JA89" s="705" t="str">
        <f t="shared" si="725"/>
        <v/>
      </c>
      <c r="JN89" s="960"/>
      <c r="JO89" s="162"/>
      <c r="JP89" s="961"/>
      <c r="JQ89" s="961"/>
    </row>
    <row r="90" spans="1:283" ht="15" customHeight="1" x14ac:dyDescent="0.25">
      <c r="A90" s="75" t="str">
        <f t="shared" si="640"/>
        <v/>
      </c>
      <c r="B90" s="578" t="str">
        <f t="shared" ref="B90:D90" si="887">IFERROR(O245+($A90*-E90),"")</f>
        <v/>
      </c>
      <c r="C90" s="572" t="str">
        <f t="shared" si="887"/>
        <v/>
      </c>
      <c r="D90" s="576" t="str">
        <f t="shared" si="887"/>
        <v/>
      </c>
      <c r="E90" s="580" t="str">
        <f t="shared" ref="E90:K90" si="888">R245</f>
        <v/>
      </c>
      <c r="F90" s="572" t="str">
        <f t="shared" si="888"/>
        <v/>
      </c>
      <c r="G90" s="579" t="str">
        <f t="shared" si="888"/>
        <v/>
      </c>
      <c r="H90" s="580" t="str">
        <f t="shared" si="888"/>
        <v/>
      </c>
      <c r="I90" s="572" t="str">
        <f t="shared" si="888"/>
        <v/>
      </c>
      <c r="J90" s="483" t="str">
        <f t="shared" si="728"/>
        <v/>
      </c>
      <c r="K90" s="806" t="str">
        <f t="shared" si="888"/>
        <v/>
      </c>
      <c r="L90" s="309"/>
      <c r="M90" s="164" t="str">
        <f t="shared" si="643"/>
        <v/>
      </c>
      <c r="N90" s="575" t="str">
        <f t="shared" si="644"/>
        <v/>
      </c>
      <c r="O90" s="572" t="str">
        <f t="shared" si="645"/>
        <v/>
      </c>
      <c r="P90" s="576" t="str">
        <f t="shared" si="646"/>
        <v/>
      </c>
      <c r="Q90" s="528" t="str">
        <f t="shared" si="729"/>
        <v/>
      </c>
      <c r="R90" s="572" t="str">
        <f t="shared" si="95"/>
        <v/>
      </c>
      <c r="S90" s="577" t="str">
        <f t="shared" si="96"/>
        <v/>
      </c>
      <c r="T90" s="578" t="str">
        <f t="shared" si="97"/>
        <v/>
      </c>
      <c r="U90" s="572" t="str">
        <f t="shared" si="98"/>
        <v/>
      </c>
      <c r="V90" s="579" t="str">
        <f t="shared" si="145"/>
        <v/>
      </c>
      <c r="W90" s="528" t="str">
        <f t="shared" si="866"/>
        <v/>
      </c>
      <c r="X90" s="572" t="str">
        <f t="shared" si="99"/>
        <v/>
      </c>
      <c r="Y90" s="573" t="str">
        <f t="shared" si="859"/>
        <v/>
      </c>
      <c r="Z90" s="575" t="str">
        <f t="shared" si="647"/>
        <v/>
      </c>
      <c r="AA90" s="572" t="str">
        <f t="shared" si="648"/>
        <v/>
      </c>
      <c r="AB90" s="572" t="str">
        <f t="shared" si="649"/>
        <v/>
      </c>
      <c r="AC90" s="579" t="str">
        <f t="shared" si="100"/>
        <v/>
      </c>
      <c r="AD90" s="580" t="str">
        <f t="shared" si="146"/>
        <v/>
      </c>
      <c r="AE90" s="572" t="str">
        <f t="shared" si="101"/>
        <v/>
      </c>
      <c r="AF90" s="576" t="str">
        <f t="shared" si="102"/>
        <v/>
      </c>
      <c r="AG90" s="545" t="str">
        <f t="shared" si="103"/>
        <v/>
      </c>
      <c r="AH90" s="546" t="str">
        <f t="shared" si="104"/>
        <v/>
      </c>
      <c r="AI90" s="528" t="str">
        <f t="shared" si="105"/>
        <v/>
      </c>
      <c r="AJ90" s="529" t="str">
        <f t="shared" si="106"/>
        <v/>
      </c>
      <c r="AK90" s="578" t="str">
        <f t="shared" si="247"/>
        <v/>
      </c>
      <c r="AL90" s="572" t="str">
        <f t="shared" si="107"/>
        <v/>
      </c>
      <c r="AM90" s="577" t="str">
        <f t="shared" si="108"/>
        <v/>
      </c>
      <c r="AN90" s="524" t="str">
        <f t="shared" si="109"/>
        <v/>
      </c>
      <c r="AO90" s="525" t="str">
        <f t="shared" si="604"/>
        <v/>
      </c>
      <c r="AP90" s="528" t="str">
        <f t="shared" si="111"/>
        <v/>
      </c>
      <c r="AQ90" s="529" t="str">
        <f t="shared" si="650"/>
        <v/>
      </c>
      <c r="AR90" s="979"/>
      <c r="AS90" s="954" t="str">
        <f t="shared" si="755"/>
        <v/>
      </c>
      <c r="AT90" s="950" t="str">
        <f t="shared" si="651"/>
        <v/>
      </c>
      <c r="AU90" s="418"/>
      <c r="AV90" s="164" t="str">
        <f t="shared" si="652"/>
        <v/>
      </c>
      <c r="AW90" s="797" t="str">
        <f>IFERROR(INDEX(MassProp!C$9:C$150,MATCH($M90,MassProp!$B$9:$B$150,0)),"")</f>
        <v/>
      </c>
      <c r="AX90" s="744" t="str">
        <f>IFERROR(INDEX(MassProp!D$9:D$150,MATCH($M90,MassProp!$B$9:$B$150,0)),"")</f>
        <v/>
      </c>
      <c r="AY90" s="731" t="str">
        <f>IFERROR(INDEX(MassProp!E$9:E$150,MATCH($M90,MassProp!$B$9:$B$150,0)),"")</f>
        <v/>
      </c>
      <c r="AZ90" s="297" t="str">
        <f t="shared" si="756"/>
        <v/>
      </c>
      <c r="BA90" s="296" t="str">
        <f t="shared" si="653"/>
        <v/>
      </c>
      <c r="BB90" s="177" t="str">
        <f t="shared" si="730"/>
        <v/>
      </c>
      <c r="BC90" s="9"/>
      <c r="BD90" s="5" t="str">
        <f t="shared" si="731"/>
        <v/>
      </c>
      <c r="BE90" s="6" t="str">
        <f t="shared" si="654"/>
        <v/>
      </c>
      <c r="BF90" s="4" t="str">
        <f t="shared" si="655"/>
        <v/>
      </c>
      <c r="BG90" s="5" t="str">
        <f t="shared" si="656"/>
        <v/>
      </c>
      <c r="BH90" s="10" t="str">
        <f t="shared" si="657"/>
        <v/>
      </c>
      <c r="BI90" s="9" t="str">
        <f t="shared" si="757"/>
        <v/>
      </c>
      <c r="BJ90" s="5" t="str">
        <f t="shared" si="658"/>
        <v/>
      </c>
      <c r="BK90" s="8" t="str">
        <f t="shared" si="659"/>
        <v/>
      </c>
      <c r="BL90" s="173" t="str">
        <f t="shared" si="660"/>
        <v/>
      </c>
      <c r="BM90" s="5" t="str">
        <f t="shared" si="661"/>
        <v/>
      </c>
      <c r="BN90" s="6" t="str">
        <f t="shared" si="662"/>
        <v/>
      </c>
      <c r="BO90" s="4" t="str">
        <f t="shared" si="758"/>
        <v/>
      </c>
      <c r="BP90" s="5" t="str">
        <f t="shared" si="759"/>
        <v/>
      </c>
      <c r="BQ90" s="5" t="str">
        <f t="shared" si="760"/>
        <v/>
      </c>
      <c r="BR90" s="6" t="str">
        <f t="shared" si="761"/>
        <v/>
      </c>
      <c r="BS90" s="4" t="str">
        <f t="shared" si="732"/>
        <v/>
      </c>
      <c r="BT90" s="5" t="str">
        <f t="shared" si="732"/>
        <v/>
      </c>
      <c r="BU90" s="10" t="str">
        <f t="shared" si="733"/>
        <v/>
      </c>
      <c r="BV90" s="9" t="str">
        <f t="shared" si="734"/>
        <v/>
      </c>
      <c r="BW90" s="5" t="str">
        <f t="shared" si="735"/>
        <v/>
      </c>
      <c r="BX90" s="8" t="str">
        <f t="shared" si="736"/>
        <v/>
      </c>
      <c r="BY90" s="173" t="str">
        <f t="shared" si="737"/>
        <v/>
      </c>
      <c r="BZ90" s="5" t="str">
        <f t="shared" si="738"/>
        <v/>
      </c>
      <c r="CA90" s="6" t="str">
        <f t="shared" si="739"/>
        <v/>
      </c>
      <c r="CB90" s="4" t="str">
        <f t="shared" si="762"/>
        <v/>
      </c>
      <c r="CC90" s="5" t="str">
        <f t="shared" si="763"/>
        <v/>
      </c>
      <c r="CD90" s="5" t="str">
        <f t="shared" si="764"/>
        <v/>
      </c>
      <c r="CE90" s="6" t="str">
        <f t="shared" si="765"/>
        <v/>
      </c>
      <c r="CF90" s="4" t="str">
        <f t="shared" si="766"/>
        <v/>
      </c>
      <c r="CG90" s="5" t="str">
        <f t="shared" si="767"/>
        <v/>
      </c>
      <c r="CH90" s="5" t="str">
        <f t="shared" si="768"/>
        <v/>
      </c>
      <c r="CI90" s="4" t="str">
        <f t="shared" si="740"/>
        <v/>
      </c>
      <c r="CJ90" s="5" t="str">
        <f t="shared" si="741"/>
        <v/>
      </c>
      <c r="CK90" s="8" t="str">
        <f t="shared" si="742"/>
        <v/>
      </c>
      <c r="CL90" s="173" t="str">
        <f t="shared" si="743"/>
        <v/>
      </c>
      <c r="CM90" s="5" t="str">
        <f t="shared" si="744"/>
        <v/>
      </c>
      <c r="CN90" s="6" t="str">
        <f t="shared" si="745"/>
        <v/>
      </c>
      <c r="CO90" s="167" t="str">
        <f t="shared" si="663"/>
        <v/>
      </c>
      <c r="CP90" s="4" t="str">
        <f t="shared" si="769"/>
        <v/>
      </c>
      <c r="CQ90" s="5" t="str">
        <f t="shared" si="770"/>
        <v/>
      </c>
      <c r="CR90" s="5" t="str">
        <f t="shared" si="771"/>
        <v/>
      </c>
      <c r="CS90" s="8" t="str">
        <f t="shared" si="772"/>
        <v/>
      </c>
      <c r="CT90" s="9" t="str">
        <f t="shared" si="773"/>
        <v/>
      </c>
      <c r="CU90" s="6" t="str">
        <f t="shared" si="774"/>
        <v/>
      </c>
      <c r="CV90" s="4" t="str">
        <f t="shared" si="775"/>
        <v/>
      </c>
      <c r="CW90" s="5" t="str">
        <f t="shared" si="776"/>
        <v/>
      </c>
      <c r="CX90" s="8" t="str">
        <f t="shared" si="777"/>
        <v/>
      </c>
      <c r="CY90" s="9" t="str">
        <f t="shared" si="778"/>
        <v/>
      </c>
      <c r="CZ90" s="5" t="str">
        <f t="shared" si="779"/>
        <v/>
      </c>
      <c r="DA90" s="6" t="str">
        <f t="shared" si="780"/>
        <v/>
      </c>
      <c r="DB90" s="4" t="str">
        <f t="shared" si="781"/>
        <v/>
      </c>
      <c r="DC90" s="5" t="str">
        <f t="shared" si="781"/>
        <v/>
      </c>
      <c r="DD90" s="10" t="str">
        <f t="shared" si="782"/>
        <v/>
      </c>
      <c r="DE90" s="9" t="str">
        <f t="shared" si="783"/>
        <v/>
      </c>
      <c r="DF90" s="5" t="str">
        <f t="shared" si="783"/>
        <v/>
      </c>
      <c r="DG90" s="10" t="str">
        <f t="shared" si="784"/>
        <v/>
      </c>
      <c r="DH90" s="70" t="str">
        <f t="shared" si="785"/>
        <v/>
      </c>
      <c r="DI90" s="4" t="str">
        <f t="shared" si="786"/>
        <v/>
      </c>
      <c r="DJ90" s="5" t="str">
        <f t="shared" si="787"/>
        <v/>
      </c>
      <c r="DK90" s="10" t="str">
        <f t="shared" si="788"/>
        <v/>
      </c>
      <c r="DL90" s="9" t="str">
        <f t="shared" si="789"/>
        <v/>
      </c>
      <c r="DM90" s="173" t="str">
        <f t="shared" si="790"/>
        <v/>
      </c>
      <c r="DN90" s="178" t="str">
        <f t="shared" si="791"/>
        <v/>
      </c>
      <c r="DO90" s="9" t="str">
        <f t="shared" si="792"/>
        <v/>
      </c>
      <c r="DP90" s="173" t="str">
        <f t="shared" si="793"/>
        <v/>
      </c>
      <c r="DQ90" s="11" t="str">
        <f t="shared" si="794"/>
        <v/>
      </c>
      <c r="DR90" s="173" t="str">
        <f t="shared" si="795"/>
        <v/>
      </c>
      <c r="DS90" s="5" t="str">
        <f t="shared" si="796"/>
        <v/>
      </c>
      <c r="DT90" s="5" t="str">
        <f t="shared" si="797"/>
        <v/>
      </c>
      <c r="DU90" s="5" t="str">
        <f t="shared" si="798"/>
        <v/>
      </c>
      <c r="DV90" s="5" t="str">
        <f t="shared" si="799"/>
        <v/>
      </c>
      <c r="DW90" s="5" t="str">
        <f t="shared" si="800"/>
        <v/>
      </c>
      <c r="DX90" s="167" t="str">
        <f t="shared" si="801"/>
        <v/>
      </c>
      <c r="DY90" s="9" t="str">
        <f t="shared" si="802"/>
        <v/>
      </c>
      <c r="DZ90" s="5" t="str">
        <f t="shared" si="803"/>
        <v/>
      </c>
      <c r="EA90" s="10" t="str">
        <f t="shared" si="804"/>
        <v/>
      </c>
      <c r="EB90" s="6" t="str">
        <f t="shared" si="805"/>
        <v/>
      </c>
      <c r="EC90" s="173" t="str">
        <f t="shared" si="806"/>
        <v/>
      </c>
      <c r="ED90" s="5" t="str">
        <f t="shared" si="807"/>
        <v/>
      </c>
      <c r="EE90" s="4" t="str">
        <f t="shared" si="808"/>
        <v/>
      </c>
      <c r="EF90" s="5" t="str">
        <f t="shared" si="809"/>
        <v/>
      </c>
      <c r="EG90" s="10" t="str">
        <f t="shared" si="810"/>
        <v/>
      </c>
      <c r="EH90" s="9" t="str">
        <f t="shared" si="811"/>
        <v/>
      </c>
      <c r="EI90" s="5" t="str">
        <f t="shared" si="812"/>
        <v/>
      </c>
      <c r="EJ90" s="6" t="str">
        <f t="shared" si="813"/>
        <v/>
      </c>
      <c r="EK90" s="236" t="str">
        <f t="shared" si="814"/>
        <v/>
      </c>
      <c r="EL90" s="238" t="str">
        <f t="shared" si="815"/>
        <v/>
      </c>
      <c r="EM90" s="4" t="str">
        <f t="shared" si="816"/>
        <v/>
      </c>
      <c r="EN90" s="5" t="str">
        <f t="shared" si="817"/>
        <v/>
      </c>
      <c r="EO90" s="10" t="str">
        <f t="shared" si="818"/>
        <v/>
      </c>
      <c r="EP90" s="9" t="str">
        <f t="shared" si="819"/>
        <v/>
      </c>
      <c r="EQ90" s="5" t="str">
        <f t="shared" si="820"/>
        <v/>
      </c>
      <c r="ER90" s="7" t="str">
        <f t="shared" si="821"/>
        <v/>
      </c>
      <c r="ES90" s="21" t="str">
        <f t="shared" si="664"/>
        <v/>
      </c>
      <c r="ET90" s="5" t="str">
        <f t="shared" si="665"/>
        <v/>
      </c>
      <c r="EU90" s="10" t="str">
        <f t="shared" si="666"/>
        <v/>
      </c>
      <c r="EV90" s="174" t="str">
        <f t="shared" si="667"/>
        <v/>
      </c>
      <c r="EW90" s="9" t="str">
        <f t="shared" si="668"/>
        <v/>
      </c>
      <c r="EX90" s="5" t="str">
        <f t="shared" si="669"/>
        <v/>
      </c>
      <c r="EY90" s="6" t="str">
        <f t="shared" si="822"/>
        <v/>
      </c>
      <c r="EZ90" s="51" t="str">
        <f t="shared" si="823"/>
        <v/>
      </c>
      <c r="FA90" s="173" t="str">
        <f t="shared" si="670"/>
        <v/>
      </c>
      <c r="FB90" s="5" t="str">
        <f t="shared" si="671"/>
        <v/>
      </c>
      <c r="FC90" s="6" t="str">
        <f t="shared" si="672"/>
        <v/>
      </c>
      <c r="FD90" s="4" t="str">
        <f t="shared" si="673"/>
        <v/>
      </c>
      <c r="FE90" s="5" t="str">
        <f t="shared" si="674"/>
        <v/>
      </c>
      <c r="FF90" s="7" t="str">
        <f t="shared" si="824"/>
        <v/>
      </c>
      <c r="FG90" s="173" t="str">
        <f t="shared" si="675"/>
        <v/>
      </c>
      <c r="FH90" s="5" t="str">
        <f t="shared" si="676"/>
        <v/>
      </c>
      <c r="FI90" s="10" t="str">
        <f t="shared" si="677"/>
        <v/>
      </c>
      <c r="FJ90" s="279" t="str">
        <f t="shared" si="825"/>
        <v/>
      </c>
      <c r="FK90" s="4" t="str">
        <f t="shared" si="678"/>
        <v/>
      </c>
      <c r="FL90" s="5" t="str">
        <f t="shared" si="746"/>
        <v/>
      </c>
      <c r="FM90" s="8" t="str">
        <f t="shared" si="747"/>
        <v/>
      </c>
      <c r="FN90" s="9" t="str">
        <f t="shared" si="748"/>
        <v/>
      </c>
      <c r="FO90" s="10" t="str">
        <f t="shared" si="679"/>
        <v/>
      </c>
      <c r="FP90" s="277" t="str">
        <f t="shared" si="749"/>
        <v/>
      </c>
      <c r="FQ90" s="173" t="str">
        <f t="shared" si="826"/>
        <v/>
      </c>
      <c r="FR90" s="10" t="str">
        <f t="shared" si="827"/>
        <v/>
      </c>
      <c r="FS90" s="9" t="str">
        <f t="shared" si="828"/>
        <v/>
      </c>
      <c r="FT90" s="6" t="str">
        <f t="shared" si="829"/>
        <v/>
      </c>
      <c r="FU90" s="4" t="str">
        <f t="shared" si="830"/>
        <v/>
      </c>
      <c r="FV90" s="5" t="str">
        <f t="shared" si="831"/>
        <v/>
      </c>
      <c r="FW90" s="8" t="str">
        <f t="shared" si="832"/>
        <v/>
      </c>
      <c r="FX90" s="9" t="str">
        <f t="shared" si="833"/>
        <v/>
      </c>
      <c r="FY90" s="10" t="str">
        <f t="shared" si="680"/>
        <v/>
      </c>
      <c r="FZ90" s="277" t="str">
        <f t="shared" si="834"/>
        <v/>
      </c>
      <c r="GA90" s="177" t="str">
        <f t="shared" si="835"/>
        <v/>
      </c>
      <c r="GB90" s="4" t="str">
        <f t="shared" si="836"/>
        <v/>
      </c>
      <c r="GC90" s="5" t="str">
        <f t="shared" si="837"/>
        <v/>
      </c>
      <c r="GD90" s="10" t="str">
        <f t="shared" si="838"/>
        <v/>
      </c>
      <c r="GE90" s="311" t="str">
        <f t="shared" si="839"/>
        <v/>
      </c>
      <c r="GF90" s="341" t="str">
        <f t="shared" si="840"/>
        <v/>
      </c>
      <c r="GG90" s="285" t="str">
        <f t="shared" si="681"/>
        <v/>
      </c>
      <c r="GH90" s="286" t="str">
        <f t="shared" si="682"/>
        <v/>
      </c>
      <c r="GI90" s="281" t="str">
        <f t="shared" si="683"/>
        <v/>
      </c>
      <c r="GJ90" s="167" t="str">
        <f t="shared" si="841"/>
        <v/>
      </c>
      <c r="GK90" s="174" t="str">
        <f t="shared" si="684"/>
        <v/>
      </c>
      <c r="GL90" s="174" t="str">
        <f t="shared" si="842"/>
        <v/>
      </c>
      <c r="GM90" s="177" t="str">
        <f t="shared" si="843"/>
        <v/>
      </c>
      <c r="GN90" s="280" t="str">
        <f t="shared" si="844"/>
        <v/>
      </c>
      <c r="GO90" s="4" t="str">
        <f t="shared" si="845"/>
        <v/>
      </c>
      <c r="GP90" s="8" t="str">
        <f t="shared" si="846"/>
        <v/>
      </c>
      <c r="GQ90" s="177" t="str">
        <f t="shared" si="847"/>
        <v/>
      </c>
      <c r="GR90" s="371" t="str">
        <f t="shared" si="848"/>
        <v/>
      </c>
      <c r="GS90" s="342" t="str">
        <f t="shared" si="685"/>
        <v/>
      </c>
      <c r="GT90" s="343" t="str">
        <f t="shared" si="686"/>
        <v/>
      </c>
      <c r="GU90" s="344" t="str">
        <f t="shared" si="687"/>
        <v/>
      </c>
      <c r="GV90" s="343" t="str">
        <f t="shared" si="849"/>
        <v/>
      </c>
      <c r="GW90" s="345" t="str">
        <f t="shared" si="688"/>
        <v/>
      </c>
      <c r="GX90" s="346" t="str">
        <f t="shared" si="689"/>
        <v/>
      </c>
      <c r="GY90" s="344" t="str">
        <f t="shared" si="690"/>
        <v/>
      </c>
      <c r="GZ90" s="345" t="str">
        <f t="shared" si="691"/>
        <v/>
      </c>
      <c r="HA90" s="342" t="str">
        <f t="shared" si="692"/>
        <v/>
      </c>
      <c r="HB90" s="5" t="str">
        <f t="shared" si="850"/>
        <v/>
      </c>
      <c r="HC90" s="343" t="str">
        <f t="shared" si="851"/>
        <v/>
      </c>
      <c r="HD90" s="363" t="str">
        <f t="shared" si="852"/>
        <v/>
      </c>
      <c r="HE90" s="344" t="str">
        <f t="shared" si="693"/>
        <v/>
      </c>
      <c r="HF90" s="5" t="str">
        <f t="shared" si="694"/>
        <v/>
      </c>
      <c r="HG90" s="343" t="str">
        <f t="shared" si="853"/>
        <v/>
      </c>
      <c r="HH90" s="349" t="str">
        <f t="shared" si="854"/>
        <v/>
      </c>
      <c r="HI90" s="317" t="str">
        <f t="shared" si="695"/>
        <v/>
      </c>
      <c r="HK90" s="310" t="str">
        <f t="shared" si="750"/>
        <v/>
      </c>
      <c r="HL90" s="348" t="str">
        <f t="shared" si="696"/>
        <v/>
      </c>
      <c r="HM90" s="923" t="str">
        <f t="shared" si="697"/>
        <v/>
      </c>
      <c r="HN90" s="924" t="str">
        <f t="shared" si="698"/>
        <v/>
      </c>
      <c r="HO90" s="925"/>
      <c r="HP90" s="926"/>
      <c r="HQ90" s="924" t="str">
        <f t="shared" si="699"/>
        <v/>
      </c>
      <c r="HR90" s="927" t="str">
        <f t="shared" si="700"/>
        <v/>
      </c>
      <c r="HS90" s="879" t="str">
        <f t="shared" si="751"/>
        <v/>
      </c>
      <c r="HT90" s="889" t="str">
        <f t="shared" si="701"/>
        <v/>
      </c>
      <c r="HU90" s="890" t="str">
        <f t="shared" si="702"/>
        <v/>
      </c>
      <c r="HV90" s="886" t="str">
        <f t="shared" si="703"/>
        <v/>
      </c>
      <c r="HW90" s="880" t="str">
        <f t="shared" si="704"/>
        <v/>
      </c>
      <c r="HX90" s="881" t="str">
        <f t="shared" si="705"/>
        <v/>
      </c>
      <c r="HY90" s="880" t="str">
        <f t="shared" si="706"/>
        <v/>
      </c>
      <c r="HZ90" s="882" t="str">
        <f t="shared" si="707"/>
        <v/>
      </c>
      <c r="IA90" s="883" t="str">
        <f t="shared" si="708"/>
        <v/>
      </c>
      <c r="IB90" s="884" t="str">
        <f t="shared" si="709"/>
        <v/>
      </c>
      <c r="IC90" s="855" t="str">
        <f t="shared" si="710"/>
        <v/>
      </c>
      <c r="ID90" s="351" t="str">
        <f t="shared" si="711"/>
        <v/>
      </c>
      <c r="IE90" s="857" t="str">
        <f t="shared" si="712"/>
        <v/>
      </c>
      <c r="IF90" s="858"/>
      <c r="IG90" s="790" t="str">
        <f>IFERROR(IF($IW90="","",IF($IW90&lt;(((Settings!$C$19/2)*-1)*$IG$8),"Taper","Nose")),"")</f>
        <v/>
      </c>
      <c r="IH90" s="482" t="str">
        <f>IFERROR(IF((((($IY90*COS(RADIANS(180-$JA90)))*COS(RADIANS($JA90)))-(($IZ90*SIN(RADIANS(180-$JA90)))*SIN(RADIANS($JA90))))+$IW90)&lt;(((Settings!$C$19+$IH$8)/2)*-1),"Gage",""),"")</f>
        <v/>
      </c>
      <c r="II90" s="788" t="str">
        <f t="shared" si="855"/>
        <v/>
      </c>
      <c r="IJ90" s="674" t="str" cm="1">
        <f t="array" ref="IJ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K90" s="677" t="str" cm="1">
        <f t="array" ref="IK90">IFERROR(ROUND(VALUE(IF($IJ90&lt;1,$IJ90+LARGE((IF($M$9:$M$150="",0,$M$9:$M$150)-MOD(IF($M$9:$M$150="",0,$M$9:$M$150),1)),1),$IJ90)),4),"")</f>
        <v/>
      </c>
      <c r="IL90" s="482" t="str">
        <f t="shared" si="713"/>
        <v/>
      </c>
      <c r="IM90" s="482" t="str">
        <f t="shared" si="856"/>
        <v/>
      </c>
      <c r="IN90" s="670" t="str">
        <f t="shared" si="714"/>
        <v/>
      </c>
      <c r="IO90" s="702"/>
      <c r="IP90" s="5" t="str">
        <f t="shared" si="715"/>
        <v/>
      </c>
      <c r="IQ90" s="714"/>
      <c r="IR90" s="9" t="str">
        <f t="shared" si="716"/>
        <v/>
      </c>
      <c r="IS90" s="5" t="str">
        <f t="shared" si="717"/>
        <v/>
      </c>
      <c r="IT90" s="5" t="str">
        <f t="shared" si="718"/>
        <v/>
      </c>
      <c r="IU90" s="5" t="str">
        <f t="shared" si="719"/>
        <v/>
      </c>
      <c r="IV90" s="670" t="str">
        <f t="shared" si="720"/>
        <v/>
      </c>
      <c r="IW90" s="9" t="str">
        <f t="shared" si="721"/>
        <v/>
      </c>
      <c r="IX90" s="5" t="str">
        <f t="shared" si="722"/>
        <v/>
      </c>
      <c r="IY90" s="5" t="str">
        <f t="shared" si="723"/>
        <v/>
      </c>
      <c r="IZ90" s="5" t="str">
        <f t="shared" si="724"/>
        <v/>
      </c>
      <c r="JA90" s="705" t="str">
        <f t="shared" si="725"/>
        <v/>
      </c>
      <c r="JN90" s="960"/>
      <c r="JO90" s="162"/>
      <c r="JP90" s="961"/>
      <c r="JQ90" s="961"/>
    </row>
    <row r="91" spans="1:283" ht="15" customHeight="1" x14ac:dyDescent="0.25">
      <c r="A91" s="75" t="str">
        <f t="shared" si="640"/>
        <v/>
      </c>
      <c r="B91" s="578" t="str">
        <f t="shared" ref="B91:D91" si="889">IFERROR(O246+($A91*-E91),"")</f>
        <v/>
      </c>
      <c r="C91" s="572" t="str">
        <f t="shared" si="889"/>
        <v/>
      </c>
      <c r="D91" s="576" t="str">
        <f t="shared" si="889"/>
        <v/>
      </c>
      <c r="E91" s="580" t="str">
        <f t="shared" ref="E91:K91" si="890">R246</f>
        <v/>
      </c>
      <c r="F91" s="572" t="str">
        <f t="shared" si="890"/>
        <v/>
      </c>
      <c r="G91" s="579" t="str">
        <f t="shared" si="890"/>
        <v/>
      </c>
      <c r="H91" s="580" t="str">
        <f t="shared" si="890"/>
        <v/>
      </c>
      <c r="I91" s="572" t="str">
        <f t="shared" si="890"/>
        <v/>
      </c>
      <c r="J91" s="483" t="str">
        <f t="shared" si="728"/>
        <v/>
      </c>
      <c r="K91" s="806" t="str">
        <f t="shared" si="890"/>
        <v/>
      </c>
      <c r="L91" s="309"/>
      <c r="M91" s="164" t="str">
        <f t="shared" si="643"/>
        <v/>
      </c>
      <c r="N91" s="575" t="str">
        <f t="shared" si="644"/>
        <v/>
      </c>
      <c r="O91" s="572" t="str">
        <f t="shared" si="645"/>
        <v/>
      </c>
      <c r="P91" s="576" t="str">
        <f t="shared" si="646"/>
        <v/>
      </c>
      <c r="Q91" s="528" t="str">
        <f t="shared" si="729"/>
        <v/>
      </c>
      <c r="R91" s="572" t="str">
        <f t="shared" si="95"/>
        <v/>
      </c>
      <c r="S91" s="577" t="str">
        <f t="shared" si="96"/>
        <v/>
      </c>
      <c r="T91" s="578" t="str">
        <f t="shared" si="97"/>
        <v/>
      </c>
      <c r="U91" s="572" t="str">
        <f t="shared" si="98"/>
        <v/>
      </c>
      <c r="V91" s="579" t="str">
        <f t="shared" si="145"/>
        <v/>
      </c>
      <c r="W91" s="528" t="str">
        <f t="shared" si="866"/>
        <v/>
      </c>
      <c r="X91" s="572" t="str">
        <f t="shared" si="99"/>
        <v/>
      </c>
      <c r="Y91" s="573" t="str">
        <f t="shared" si="859"/>
        <v/>
      </c>
      <c r="Z91" s="575" t="str">
        <f t="shared" si="647"/>
        <v/>
      </c>
      <c r="AA91" s="572" t="str">
        <f t="shared" si="648"/>
        <v/>
      </c>
      <c r="AB91" s="572" t="str">
        <f t="shared" si="649"/>
        <v/>
      </c>
      <c r="AC91" s="579" t="str">
        <f t="shared" si="100"/>
        <v/>
      </c>
      <c r="AD91" s="580" t="str">
        <f t="shared" si="146"/>
        <v/>
      </c>
      <c r="AE91" s="572" t="str">
        <f t="shared" si="101"/>
        <v/>
      </c>
      <c r="AF91" s="576" t="str">
        <f t="shared" si="102"/>
        <v/>
      </c>
      <c r="AG91" s="545" t="str">
        <f t="shared" si="103"/>
        <v/>
      </c>
      <c r="AH91" s="546" t="str">
        <f t="shared" si="104"/>
        <v/>
      </c>
      <c r="AI91" s="528" t="str">
        <f t="shared" si="105"/>
        <v/>
      </c>
      <c r="AJ91" s="529" t="str">
        <f t="shared" si="106"/>
        <v/>
      </c>
      <c r="AK91" s="578" t="str">
        <f t="shared" si="247"/>
        <v/>
      </c>
      <c r="AL91" s="572" t="str">
        <f t="shared" si="107"/>
        <v/>
      </c>
      <c r="AM91" s="577" t="str">
        <f t="shared" si="108"/>
        <v/>
      </c>
      <c r="AN91" s="524" t="str">
        <f t="shared" si="109"/>
        <v/>
      </c>
      <c r="AO91" s="525" t="str">
        <f t="shared" si="604"/>
        <v/>
      </c>
      <c r="AP91" s="528" t="str">
        <f t="shared" si="111"/>
        <v/>
      </c>
      <c r="AQ91" s="529" t="str">
        <f t="shared" si="650"/>
        <v/>
      </c>
      <c r="AS91" s="954" t="str">
        <f t="shared" si="755"/>
        <v/>
      </c>
      <c r="AT91" s="950" t="str">
        <f t="shared" si="651"/>
        <v/>
      </c>
      <c r="AU91" s="418"/>
      <c r="AV91" s="164" t="str">
        <f t="shared" si="652"/>
        <v/>
      </c>
      <c r="AW91" s="797" t="str">
        <f>IFERROR(INDEX(MassProp!C$9:C$150,MATCH($M91,MassProp!$B$9:$B$150,0)),"")</f>
        <v/>
      </c>
      <c r="AX91" s="744" t="str">
        <f>IFERROR(INDEX(MassProp!D$9:D$150,MATCH($M91,MassProp!$B$9:$B$150,0)),"")</f>
        <v/>
      </c>
      <c r="AY91" s="731" t="str">
        <f>IFERROR(INDEX(MassProp!E$9:E$150,MATCH($M91,MassProp!$B$9:$B$150,0)),"")</f>
        <v/>
      </c>
      <c r="AZ91" s="297" t="str">
        <f t="shared" si="756"/>
        <v/>
      </c>
      <c r="BA91" s="296" t="str">
        <f t="shared" si="653"/>
        <v/>
      </c>
      <c r="BB91" s="177" t="str">
        <f t="shared" si="730"/>
        <v/>
      </c>
      <c r="BC91" s="9"/>
      <c r="BD91" s="5" t="str">
        <f t="shared" si="731"/>
        <v/>
      </c>
      <c r="BE91" s="6" t="str">
        <f t="shared" si="654"/>
        <v/>
      </c>
      <c r="BF91" s="4" t="str">
        <f t="shared" si="655"/>
        <v/>
      </c>
      <c r="BG91" s="5" t="str">
        <f t="shared" si="656"/>
        <v/>
      </c>
      <c r="BH91" s="10" t="str">
        <f t="shared" si="657"/>
        <v/>
      </c>
      <c r="BI91" s="9" t="str">
        <f t="shared" si="757"/>
        <v/>
      </c>
      <c r="BJ91" s="5" t="str">
        <f t="shared" si="658"/>
        <v/>
      </c>
      <c r="BK91" s="8" t="str">
        <f t="shared" si="659"/>
        <v/>
      </c>
      <c r="BL91" s="173" t="str">
        <f t="shared" si="660"/>
        <v/>
      </c>
      <c r="BM91" s="5" t="str">
        <f t="shared" si="661"/>
        <v/>
      </c>
      <c r="BN91" s="6" t="str">
        <f t="shared" si="662"/>
        <v/>
      </c>
      <c r="BO91" s="4" t="str">
        <f t="shared" si="758"/>
        <v/>
      </c>
      <c r="BP91" s="5" t="str">
        <f t="shared" si="759"/>
        <v/>
      </c>
      <c r="BQ91" s="5" t="str">
        <f t="shared" si="760"/>
        <v/>
      </c>
      <c r="BR91" s="6" t="str">
        <f t="shared" si="761"/>
        <v/>
      </c>
      <c r="BS91" s="4" t="str">
        <f t="shared" si="732"/>
        <v/>
      </c>
      <c r="BT91" s="5" t="str">
        <f t="shared" si="732"/>
        <v/>
      </c>
      <c r="BU91" s="10" t="str">
        <f t="shared" si="733"/>
        <v/>
      </c>
      <c r="BV91" s="9" t="str">
        <f t="shared" si="734"/>
        <v/>
      </c>
      <c r="BW91" s="5" t="str">
        <f t="shared" si="735"/>
        <v/>
      </c>
      <c r="BX91" s="8" t="str">
        <f t="shared" si="736"/>
        <v/>
      </c>
      <c r="BY91" s="173" t="str">
        <f t="shared" si="737"/>
        <v/>
      </c>
      <c r="BZ91" s="5" t="str">
        <f t="shared" si="738"/>
        <v/>
      </c>
      <c r="CA91" s="6" t="str">
        <f t="shared" si="739"/>
        <v/>
      </c>
      <c r="CB91" s="4" t="str">
        <f t="shared" si="762"/>
        <v/>
      </c>
      <c r="CC91" s="5" t="str">
        <f t="shared" si="763"/>
        <v/>
      </c>
      <c r="CD91" s="5" t="str">
        <f t="shared" si="764"/>
        <v/>
      </c>
      <c r="CE91" s="6" t="str">
        <f t="shared" si="765"/>
        <v/>
      </c>
      <c r="CF91" s="4" t="str">
        <f t="shared" si="766"/>
        <v/>
      </c>
      <c r="CG91" s="5" t="str">
        <f t="shared" si="767"/>
        <v/>
      </c>
      <c r="CH91" s="5" t="str">
        <f t="shared" si="768"/>
        <v/>
      </c>
      <c r="CI91" s="4" t="str">
        <f t="shared" si="740"/>
        <v/>
      </c>
      <c r="CJ91" s="5" t="str">
        <f t="shared" si="741"/>
        <v/>
      </c>
      <c r="CK91" s="8" t="str">
        <f t="shared" si="742"/>
        <v/>
      </c>
      <c r="CL91" s="173" t="str">
        <f t="shared" si="743"/>
        <v/>
      </c>
      <c r="CM91" s="5" t="str">
        <f t="shared" si="744"/>
        <v/>
      </c>
      <c r="CN91" s="6" t="str">
        <f t="shared" si="745"/>
        <v/>
      </c>
      <c r="CO91" s="167" t="str">
        <f t="shared" si="663"/>
        <v/>
      </c>
      <c r="CP91" s="4" t="str">
        <f t="shared" si="769"/>
        <v/>
      </c>
      <c r="CQ91" s="5" t="str">
        <f t="shared" si="770"/>
        <v/>
      </c>
      <c r="CR91" s="5" t="str">
        <f t="shared" si="771"/>
        <v/>
      </c>
      <c r="CS91" s="8" t="str">
        <f t="shared" si="772"/>
        <v/>
      </c>
      <c r="CT91" s="9" t="str">
        <f t="shared" si="773"/>
        <v/>
      </c>
      <c r="CU91" s="6" t="str">
        <f t="shared" si="774"/>
        <v/>
      </c>
      <c r="CV91" s="4" t="str">
        <f t="shared" si="775"/>
        <v/>
      </c>
      <c r="CW91" s="5" t="str">
        <f t="shared" si="776"/>
        <v/>
      </c>
      <c r="CX91" s="8" t="str">
        <f t="shared" si="777"/>
        <v/>
      </c>
      <c r="CY91" s="9" t="str">
        <f t="shared" si="778"/>
        <v/>
      </c>
      <c r="CZ91" s="5" t="str">
        <f t="shared" si="779"/>
        <v/>
      </c>
      <c r="DA91" s="6" t="str">
        <f t="shared" si="780"/>
        <v/>
      </c>
      <c r="DB91" s="4" t="str">
        <f t="shared" si="781"/>
        <v/>
      </c>
      <c r="DC91" s="5" t="str">
        <f t="shared" si="781"/>
        <v/>
      </c>
      <c r="DD91" s="10" t="str">
        <f t="shared" si="782"/>
        <v/>
      </c>
      <c r="DE91" s="9" t="str">
        <f t="shared" si="783"/>
        <v/>
      </c>
      <c r="DF91" s="5" t="str">
        <f t="shared" si="783"/>
        <v/>
      </c>
      <c r="DG91" s="10" t="str">
        <f t="shared" si="784"/>
        <v/>
      </c>
      <c r="DH91" s="70" t="str">
        <f t="shared" si="785"/>
        <v/>
      </c>
      <c r="DI91" s="4" t="str">
        <f t="shared" si="786"/>
        <v/>
      </c>
      <c r="DJ91" s="5" t="str">
        <f t="shared" si="787"/>
        <v/>
      </c>
      <c r="DK91" s="10" t="str">
        <f t="shared" si="788"/>
        <v/>
      </c>
      <c r="DL91" s="9" t="str">
        <f t="shared" si="789"/>
        <v/>
      </c>
      <c r="DM91" s="173" t="str">
        <f t="shared" si="790"/>
        <v/>
      </c>
      <c r="DN91" s="178" t="str">
        <f t="shared" si="791"/>
        <v/>
      </c>
      <c r="DO91" s="9" t="str">
        <f t="shared" si="792"/>
        <v/>
      </c>
      <c r="DP91" s="173" t="str">
        <f t="shared" si="793"/>
        <v/>
      </c>
      <c r="DQ91" s="11" t="str">
        <f t="shared" si="794"/>
        <v/>
      </c>
      <c r="DR91" s="173" t="str">
        <f t="shared" si="795"/>
        <v/>
      </c>
      <c r="DS91" s="5" t="str">
        <f t="shared" si="796"/>
        <v/>
      </c>
      <c r="DT91" s="5" t="str">
        <f t="shared" si="797"/>
        <v/>
      </c>
      <c r="DU91" s="5" t="str">
        <f t="shared" si="798"/>
        <v/>
      </c>
      <c r="DV91" s="5" t="str">
        <f t="shared" si="799"/>
        <v/>
      </c>
      <c r="DW91" s="5" t="str">
        <f t="shared" si="800"/>
        <v/>
      </c>
      <c r="DX91" s="167" t="str">
        <f t="shared" si="801"/>
        <v/>
      </c>
      <c r="DY91" s="9" t="str">
        <f t="shared" si="802"/>
        <v/>
      </c>
      <c r="DZ91" s="5" t="str">
        <f t="shared" si="803"/>
        <v/>
      </c>
      <c r="EA91" s="10" t="str">
        <f t="shared" si="804"/>
        <v/>
      </c>
      <c r="EB91" s="6" t="str">
        <f t="shared" si="805"/>
        <v/>
      </c>
      <c r="EC91" s="173" t="str">
        <f t="shared" si="806"/>
        <v/>
      </c>
      <c r="ED91" s="5" t="str">
        <f t="shared" si="807"/>
        <v/>
      </c>
      <c r="EE91" s="4" t="str">
        <f t="shared" si="808"/>
        <v/>
      </c>
      <c r="EF91" s="5" t="str">
        <f t="shared" si="809"/>
        <v/>
      </c>
      <c r="EG91" s="10" t="str">
        <f t="shared" si="810"/>
        <v/>
      </c>
      <c r="EH91" s="9" t="str">
        <f t="shared" si="811"/>
        <v/>
      </c>
      <c r="EI91" s="5" t="str">
        <f t="shared" si="812"/>
        <v/>
      </c>
      <c r="EJ91" s="6" t="str">
        <f t="shared" si="813"/>
        <v/>
      </c>
      <c r="EK91" s="236" t="str">
        <f t="shared" si="814"/>
        <v/>
      </c>
      <c r="EL91" s="238" t="str">
        <f t="shared" si="815"/>
        <v/>
      </c>
      <c r="EM91" s="4" t="str">
        <f t="shared" si="816"/>
        <v/>
      </c>
      <c r="EN91" s="5" t="str">
        <f t="shared" si="817"/>
        <v/>
      </c>
      <c r="EO91" s="10" t="str">
        <f t="shared" si="818"/>
        <v/>
      </c>
      <c r="EP91" s="9" t="str">
        <f t="shared" si="819"/>
        <v/>
      </c>
      <c r="EQ91" s="5" t="str">
        <f t="shared" si="820"/>
        <v/>
      </c>
      <c r="ER91" s="7" t="str">
        <f t="shared" si="821"/>
        <v/>
      </c>
      <c r="ES91" s="21" t="str">
        <f t="shared" si="664"/>
        <v/>
      </c>
      <c r="ET91" s="5" t="str">
        <f t="shared" si="665"/>
        <v/>
      </c>
      <c r="EU91" s="10" t="str">
        <f t="shared" si="666"/>
        <v/>
      </c>
      <c r="EV91" s="174" t="str">
        <f t="shared" si="667"/>
        <v/>
      </c>
      <c r="EW91" s="9" t="str">
        <f t="shared" si="668"/>
        <v/>
      </c>
      <c r="EX91" s="5" t="str">
        <f t="shared" si="669"/>
        <v/>
      </c>
      <c r="EY91" s="6" t="str">
        <f t="shared" si="822"/>
        <v/>
      </c>
      <c r="EZ91" s="51" t="str">
        <f t="shared" si="823"/>
        <v/>
      </c>
      <c r="FA91" s="173" t="str">
        <f t="shared" si="670"/>
        <v/>
      </c>
      <c r="FB91" s="5" t="str">
        <f t="shared" si="671"/>
        <v/>
      </c>
      <c r="FC91" s="6" t="str">
        <f t="shared" si="672"/>
        <v/>
      </c>
      <c r="FD91" s="4" t="str">
        <f t="shared" si="673"/>
        <v/>
      </c>
      <c r="FE91" s="5" t="str">
        <f t="shared" si="674"/>
        <v/>
      </c>
      <c r="FF91" s="7" t="str">
        <f t="shared" si="824"/>
        <v/>
      </c>
      <c r="FG91" s="173" t="str">
        <f t="shared" si="675"/>
        <v/>
      </c>
      <c r="FH91" s="5" t="str">
        <f t="shared" si="676"/>
        <v/>
      </c>
      <c r="FI91" s="10" t="str">
        <f t="shared" si="677"/>
        <v/>
      </c>
      <c r="FJ91" s="279" t="str">
        <f t="shared" si="825"/>
        <v/>
      </c>
      <c r="FK91" s="4" t="str">
        <f t="shared" si="678"/>
        <v/>
      </c>
      <c r="FL91" s="5" t="str">
        <f t="shared" si="746"/>
        <v/>
      </c>
      <c r="FM91" s="8" t="str">
        <f t="shared" si="747"/>
        <v/>
      </c>
      <c r="FN91" s="9" t="str">
        <f t="shared" si="748"/>
        <v/>
      </c>
      <c r="FO91" s="10" t="str">
        <f t="shared" si="679"/>
        <v/>
      </c>
      <c r="FP91" s="277" t="str">
        <f t="shared" si="749"/>
        <v/>
      </c>
      <c r="FQ91" s="173" t="str">
        <f t="shared" si="826"/>
        <v/>
      </c>
      <c r="FR91" s="10" t="str">
        <f t="shared" si="827"/>
        <v/>
      </c>
      <c r="FS91" s="9" t="str">
        <f t="shared" si="828"/>
        <v/>
      </c>
      <c r="FT91" s="6" t="str">
        <f t="shared" si="829"/>
        <v/>
      </c>
      <c r="FU91" s="4" t="str">
        <f t="shared" si="830"/>
        <v/>
      </c>
      <c r="FV91" s="5" t="str">
        <f t="shared" si="831"/>
        <v/>
      </c>
      <c r="FW91" s="8" t="str">
        <f t="shared" si="832"/>
        <v/>
      </c>
      <c r="FX91" s="9" t="str">
        <f t="shared" si="833"/>
        <v/>
      </c>
      <c r="FY91" s="10" t="str">
        <f t="shared" si="680"/>
        <v/>
      </c>
      <c r="FZ91" s="277" t="str">
        <f t="shared" si="834"/>
        <v/>
      </c>
      <c r="GA91" s="177" t="str">
        <f t="shared" si="835"/>
        <v/>
      </c>
      <c r="GB91" s="4" t="str">
        <f t="shared" si="836"/>
        <v/>
      </c>
      <c r="GC91" s="5" t="str">
        <f t="shared" si="837"/>
        <v/>
      </c>
      <c r="GD91" s="10" t="str">
        <f t="shared" si="838"/>
        <v/>
      </c>
      <c r="GE91" s="311" t="str">
        <f t="shared" si="839"/>
        <v/>
      </c>
      <c r="GF91" s="341" t="str">
        <f t="shared" si="840"/>
        <v/>
      </c>
      <c r="GG91" s="285" t="str">
        <f t="shared" si="681"/>
        <v/>
      </c>
      <c r="GH91" s="286" t="str">
        <f t="shared" si="682"/>
        <v/>
      </c>
      <c r="GI91" s="281" t="str">
        <f t="shared" si="683"/>
        <v/>
      </c>
      <c r="GJ91" s="167" t="str">
        <f t="shared" si="841"/>
        <v/>
      </c>
      <c r="GK91" s="174" t="str">
        <f t="shared" si="684"/>
        <v/>
      </c>
      <c r="GL91" s="174" t="str">
        <f t="shared" si="842"/>
        <v/>
      </c>
      <c r="GM91" s="177" t="str">
        <f t="shared" si="843"/>
        <v/>
      </c>
      <c r="GN91" s="280" t="str">
        <f t="shared" si="844"/>
        <v/>
      </c>
      <c r="GO91" s="4" t="str">
        <f t="shared" si="845"/>
        <v/>
      </c>
      <c r="GP91" s="8" t="str">
        <f t="shared" si="846"/>
        <v/>
      </c>
      <c r="GQ91" s="177" t="str">
        <f t="shared" si="847"/>
        <v/>
      </c>
      <c r="GR91" s="371" t="str">
        <f t="shared" si="848"/>
        <v/>
      </c>
      <c r="GS91" s="342" t="str">
        <f t="shared" si="685"/>
        <v/>
      </c>
      <c r="GT91" s="343" t="str">
        <f t="shared" si="686"/>
        <v/>
      </c>
      <c r="GU91" s="344" t="str">
        <f t="shared" si="687"/>
        <v/>
      </c>
      <c r="GV91" s="343" t="str">
        <f t="shared" si="849"/>
        <v/>
      </c>
      <c r="GW91" s="345" t="str">
        <f t="shared" si="688"/>
        <v/>
      </c>
      <c r="GX91" s="346" t="str">
        <f t="shared" si="689"/>
        <v/>
      </c>
      <c r="GY91" s="344" t="str">
        <f t="shared" si="690"/>
        <v/>
      </c>
      <c r="GZ91" s="345" t="str">
        <f t="shared" si="691"/>
        <v/>
      </c>
      <c r="HA91" s="342" t="str">
        <f t="shared" si="692"/>
        <v/>
      </c>
      <c r="HB91" s="5" t="str">
        <f t="shared" si="850"/>
        <v/>
      </c>
      <c r="HC91" s="343" t="str">
        <f t="shared" si="851"/>
        <v/>
      </c>
      <c r="HD91" s="363" t="str">
        <f t="shared" si="852"/>
        <v/>
      </c>
      <c r="HE91" s="344" t="str">
        <f t="shared" si="693"/>
        <v/>
      </c>
      <c r="HF91" s="5" t="str">
        <f t="shared" si="694"/>
        <v/>
      </c>
      <c r="HG91" s="343" t="str">
        <f t="shared" si="853"/>
        <v/>
      </c>
      <c r="HH91" s="349" t="str">
        <f t="shared" si="854"/>
        <v/>
      </c>
      <c r="HI91" s="317" t="str">
        <f t="shared" si="695"/>
        <v/>
      </c>
      <c r="HK91" s="310" t="str">
        <f t="shared" si="750"/>
        <v/>
      </c>
      <c r="HL91" s="348" t="str">
        <f t="shared" si="696"/>
        <v/>
      </c>
      <c r="HM91" s="923" t="str">
        <f t="shared" si="697"/>
        <v/>
      </c>
      <c r="HN91" s="924" t="str">
        <f t="shared" si="698"/>
        <v/>
      </c>
      <c r="HO91" s="925"/>
      <c r="HP91" s="926"/>
      <c r="HQ91" s="924" t="str">
        <f t="shared" si="699"/>
        <v/>
      </c>
      <c r="HR91" s="927" t="str">
        <f t="shared" si="700"/>
        <v/>
      </c>
      <c r="HS91" s="879" t="str">
        <f t="shared" si="751"/>
        <v/>
      </c>
      <c r="HT91" s="889" t="str">
        <f t="shared" si="701"/>
        <v/>
      </c>
      <c r="HU91" s="890" t="str">
        <f t="shared" si="702"/>
        <v/>
      </c>
      <c r="HV91" s="886" t="str">
        <f t="shared" si="703"/>
        <v/>
      </c>
      <c r="HW91" s="880" t="str">
        <f t="shared" si="704"/>
        <v/>
      </c>
      <c r="HX91" s="881" t="str">
        <f t="shared" si="705"/>
        <v/>
      </c>
      <c r="HY91" s="880" t="str">
        <f t="shared" si="706"/>
        <v/>
      </c>
      <c r="HZ91" s="882" t="str">
        <f t="shared" si="707"/>
        <v/>
      </c>
      <c r="IA91" s="883" t="str">
        <f t="shared" si="708"/>
        <v/>
      </c>
      <c r="IB91" s="884" t="str">
        <f t="shared" si="709"/>
        <v/>
      </c>
      <c r="IC91" s="855" t="str">
        <f t="shared" si="710"/>
        <v/>
      </c>
      <c r="ID91" s="351" t="str">
        <f t="shared" si="711"/>
        <v/>
      </c>
      <c r="IE91" s="857" t="str">
        <f t="shared" si="712"/>
        <v/>
      </c>
      <c r="IF91" s="858"/>
      <c r="IG91" s="790" t="str">
        <f>IFERROR(IF($IW91="","",IF($IW91&lt;(((Settings!$C$19/2)*-1)*$IG$8),"Taper","Nose")),"")</f>
        <v/>
      </c>
      <c r="IH91" s="482" t="str">
        <f>IFERROR(IF((((($IY91*COS(RADIANS(180-$JA91)))*COS(RADIANS($JA91)))-(($IZ91*SIN(RADIANS(180-$JA91)))*SIN(RADIANS($JA91))))+$IW91)&lt;(((Settings!$C$19+$IH$8)/2)*-1),"Gage",""),"")</f>
        <v/>
      </c>
      <c r="II91" s="788" t="str">
        <f t="shared" si="855"/>
        <v/>
      </c>
      <c r="IJ91" s="674" t="str" cm="1">
        <f t="array" ref="IJ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K91" s="677" t="str" cm="1">
        <f t="array" ref="IK91">IFERROR(ROUND(VALUE(IF($IJ91&lt;1,$IJ91+LARGE((IF($M$9:$M$150="",0,$M$9:$M$150)-MOD(IF($M$9:$M$150="",0,$M$9:$M$150),1)),1),$IJ91)),4),"")</f>
        <v/>
      </c>
      <c r="IL91" s="482" t="str">
        <f t="shared" si="713"/>
        <v/>
      </c>
      <c r="IM91" s="482" t="str">
        <f t="shared" si="856"/>
        <v/>
      </c>
      <c r="IN91" s="670" t="str">
        <f t="shared" si="714"/>
        <v/>
      </c>
      <c r="IO91" s="702"/>
      <c r="IP91" s="5" t="str">
        <f t="shared" si="715"/>
        <v/>
      </c>
      <c r="IQ91" s="714"/>
      <c r="IR91" s="9" t="str">
        <f t="shared" si="716"/>
        <v/>
      </c>
      <c r="IS91" s="5" t="str">
        <f t="shared" si="717"/>
        <v/>
      </c>
      <c r="IT91" s="5" t="str">
        <f t="shared" si="718"/>
        <v/>
      </c>
      <c r="IU91" s="5" t="str">
        <f t="shared" si="719"/>
        <v/>
      </c>
      <c r="IV91" s="670" t="str">
        <f t="shared" si="720"/>
        <v/>
      </c>
      <c r="IW91" s="9" t="str">
        <f t="shared" si="721"/>
        <v/>
      </c>
      <c r="IX91" s="5" t="str">
        <f t="shared" si="722"/>
        <v/>
      </c>
      <c r="IY91" s="5" t="str">
        <f t="shared" si="723"/>
        <v/>
      </c>
      <c r="IZ91" s="5" t="str">
        <f t="shared" si="724"/>
        <v/>
      </c>
      <c r="JA91" s="705" t="str">
        <f t="shared" si="725"/>
        <v/>
      </c>
      <c r="JN91" s="960"/>
      <c r="JO91" s="162"/>
      <c r="JP91" s="961"/>
      <c r="JQ91" s="961"/>
    </row>
    <row r="92" spans="1:283" ht="15" customHeight="1" x14ac:dyDescent="0.25">
      <c r="A92" s="75" t="str">
        <f t="shared" si="640"/>
        <v/>
      </c>
      <c r="B92" s="578" t="str">
        <f t="shared" ref="B92:D92" si="891">IFERROR(O247+($A92*-E92),"")</f>
        <v/>
      </c>
      <c r="C92" s="572" t="str">
        <f t="shared" si="891"/>
        <v/>
      </c>
      <c r="D92" s="576" t="str">
        <f t="shared" si="891"/>
        <v/>
      </c>
      <c r="E92" s="580" t="str">
        <f t="shared" ref="E92:K92" si="892">R247</f>
        <v/>
      </c>
      <c r="F92" s="572" t="str">
        <f t="shared" si="892"/>
        <v/>
      </c>
      <c r="G92" s="579" t="str">
        <f t="shared" si="892"/>
        <v/>
      </c>
      <c r="H92" s="580" t="str">
        <f t="shared" si="892"/>
        <v/>
      </c>
      <c r="I92" s="572" t="str">
        <f t="shared" si="892"/>
        <v/>
      </c>
      <c r="J92" s="483" t="str">
        <f t="shared" si="728"/>
        <v/>
      </c>
      <c r="K92" s="806" t="str">
        <f t="shared" si="892"/>
        <v/>
      </c>
      <c r="L92" s="309"/>
      <c r="M92" s="164" t="str">
        <f t="shared" si="643"/>
        <v/>
      </c>
      <c r="N92" s="575" t="str">
        <f t="shared" si="644"/>
        <v/>
      </c>
      <c r="O92" s="572" t="str">
        <f t="shared" si="645"/>
        <v/>
      </c>
      <c r="P92" s="576" t="str">
        <f t="shared" si="646"/>
        <v/>
      </c>
      <c r="Q92" s="528" t="str">
        <f t="shared" si="729"/>
        <v/>
      </c>
      <c r="R92" s="572" t="str">
        <f t="shared" si="95"/>
        <v/>
      </c>
      <c r="S92" s="577" t="str">
        <f t="shared" si="96"/>
        <v/>
      </c>
      <c r="T92" s="578" t="str">
        <f t="shared" si="97"/>
        <v/>
      </c>
      <c r="U92" s="572" t="str">
        <f t="shared" si="98"/>
        <v/>
      </c>
      <c r="V92" s="579" t="str">
        <f t="shared" si="145"/>
        <v/>
      </c>
      <c r="W92" s="528" t="str">
        <f t="shared" si="866"/>
        <v/>
      </c>
      <c r="X92" s="572" t="str">
        <f t="shared" si="99"/>
        <v/>
      </c>
      <c r="Y92" s="573" t="str">
        <f t="shared" si="859"/>
        <v/>
      </c>
      <c r="Z92" s="575" t="str">
        <f t="shared" si="647"/>
        <v/>
      </c>
      <c r="AA92" s="572" t="str">
        <f t="shared" si="648"/>
        <v/>
      </c>
      <c r="AB92" s="572" t="str">
        <f t="shared" si="649"/>
        <v/>
      </c>
      <c r="AC92" s="579" t="str">
        <f t="shared" si="100"/>
        <v/>
      </c>
      <c r="AD92" s="580" t="str">
        <f t="shared" si="146"/>
        <v/>
      </c>
      <c r="AE92" s="572" t="str">
        <f t="shared" si="101"/>
        <v/>
      </c>
      <c r="AF92" s="576" t="str">
        <f t="shared" si="102"/>
        <v/>
      </c>
      <c r="AG92" s="545" t="str">
        <f t="shared" si="103"/>
        <v/>
      </c>
      <c r="AH92" s="546" t="str">
        <f t="shared" si="104"/>
        <v/>
      </c>
      <c r="AI92" s="528" t="str">
        <f t="shared" si="105"/>
        <v/>
      </c>
      <c r="AJ92" s="529" t="str">
        <f t="shared" si="106"/>
        <v/>
      </c>
      <c r="AK92" s="578" t="str">
        <f t="shared" si="247"/>
        <v/>
      </c>
      <c r="AL92" s="572" t="str">
        <f t="shared" si="107"/>
        <v/>
      </c>
      <c r="AM92" s="577" t="str">
        <f t="shared" si="108"/>
        <v/>
      </c>
      <c r="AN92" s="524" t="str">
        <f t="shared" si="109"/>
        <v/>
      </c>
      <c r="AO92" s="525" t="str">
        <f t="shared" si="604"/>
        <v/>
      </c>
      <c r="AP92" s="528" t="str">
        <f t="shared" si="111"/>
        <v/>
      </c>
      <c r="AQ92" s="529" t="str">
        <f t="shared" si="650"/>
        <v/>
      </c>
      <c r="AS92" s="954" t="str">
        <f t="shared" si="755"/>
        <v/>
      </c>
      <c r="AT92" s="950" t="str">
        <f t="shared" si="651"/>
        <v/>
      </c>
      <c r="AU92" s="418"/>
      <c r="AV92" s="164" t="str">
        <f t="shared" si="652"/>
        <v/>
      </c>
      <c r="AW92" s="797" t="str">
        <f>IFERROR(INDEX(MassProp!C$9:C$150,MATCH($M92,MassProp!$B$9:$B$150,0)),"")</f>
        <v/>
      </c>
      <c r="AX92" s="744" t="str">
        <f>IFERROR(INDEX(MassProp!D$9:D$150,MATCH($M92,MassProp!$B$9:$B$150,0)),"")</f>
        <v/>
      </c>
      <c r="AY92" s="731" t="str">
        <f>IFERROR(INDEX(MassProp!E$9:E$150,MATCH($M92,MassProp!$B$9:$B$150,0)),"")</f>
        <v/>
      </c>
      <c r="AZ92" s="297" t="str">
        <f t="shared" si="756"/>
        <v/>
      </c>
      <c r="BA92" s="296" t="str">
        <f t="shared" si="653"/>
        <v/>
      </c>
      <c r="BB92" s="177" t="str">
        <f t="shared" si="730"/>
        <v/>
      </c>
      <c r="BC92" s="9"/>
      <c r="BD92" s="5" t="str">
        <f t="shared" si="731"/>
        <v/>
      </c>
      <c r="BE92" s="6" t="str">
        <f t="shared" si="654"/>
        <v/>
      </c>
      <c r="BF92" s="4" t="str">
        <f t="shared" si="655"/>
        <v/>
      </c>
      <c r="BG92" s="5" t="str">
        <f t="shared" si="656"/>
        <v/>
      </c>
      <c r="BH92" s="10" t="str">
        <f t="shared" si="657"/>
        <v/>
      </c>
      <c r="BI92" s="9" t="str">
        <f t="shared" si="757"/>
        <v/>
      </c>
      <c r="BJ92" s="5" t="str">
        <f t="shared" si="658"/>
        <v/>
      </c>
      <c r="BK92" s="8" t="str">
        <f t="shared" si="659"/>
        <v/>
      </c>
      <c r="BL92" s="173" t="str">
        <f t="shared" si="660"/>
        <v/>
      </c>
      <c r="BM92" s="5" t="str">
        <f t="shared" si="661"/>
        <v/>
      </c>
      <c r="BN92" s="6" t="str">
        <f t="shared" si="662"/>
        <v/>
      </c>
      <c r="BO92" s="4" t="str">
        <f t="shared" si="758"/>
        <v/>
      </c>
      <c r="BP92" s="5" t="str">
        <f t="shared" si="759"/>
        <v/>
      </c>
      <c r="BQ92" s="5" t="str">
        <f t="shared" si="760"/>
        <v/>
      </c>
      <c r="BR92" s="6" t="str">
        <f t="shared" si="761"/>
        <v/>
      </c>
      <c r="BS92" s="4" t="str">
        <f t="shared" si="732"/>
        <v/>
      </c>
      <c r="BT92" s="5" t="str">
        <f t="shared" si="732"/>
        <v/>
      </c>
      <c r="BU92" s="10" t="str">
        <f t="shared" si="733"/>
        <v/>
      </c>
      <c r="BV92" s="9" t="str">
        <f t="shared" si="734"/>
        <v/>
      </c>
      <c r="BW92" s="5" t="str">
        <f t="shared" si="735"/>
        <v/>
      </c>
      <c r="BX92" s="8" t="str">
        <f t="shared" si="736"/>
        <v/>
      </c>
      <c r="BY92" s="173" t="str">
        <f t="shared" si="737"/>
        <v/>
      </c>
      <c r="BZ92" s="5" t="str">
        <f t="shared" si="738"/>
        <v/>
      </c>
      <c r="CA92" s="6" t="str">
        <f t="shared" si="739"/>
        <v/>
      </c>
      <c r="CB92" s="4" t="str">
        <f t="shared" si="762"/>
        <v/>
      </c>
      <c r="CC92" s="5" t="str">
        <f t="shared" si="763"/>
        <v/>
      </c>
      <c r="CD92" s="5" t="str">
        <f t="shared" si="764"/>
        <v/>
      </c>
      <c r="CE92" s="6" t="str">
        <f t="shared" si="765"/>
        <v/>
      </c>
      <c r="CF92" s="4" t="str">
        <f t="shared" si="766"/>
        <v/>
      </c>
      <c r="CG92" s="5" t="str">
        <f t="shared" si="767"/>
        <v/>
      </c>
      <c r="CH92" s="5" t="str">
        <f t="shared" si="768"/>
        <v/>
      </c>
      <c r="CI92" s="4" t="str">
        <f t="shared" si="740"/>
        <v/>
      </c>
      <c r="CJ92" s="5" t="str">
        <f t="shared" si="741"/>
        <v/>
      </c>
      <c r="CK92" s="8" t="str">
        <f t="shared" si="742"/>
        <v/>
      </c>
      <c r="CL92" s="173" t="str">
        <f t="shared" si="743"/>
        <v/>
      </c>
      <c r="CM92" s="5" t="str">
        <f t="shared" si="744"/>
        <v/>
      </c>
      <c r="CN92" s="6" t="str">
        <f t="shared" si="745"/>
        <v/>
      </c>
      <c r="CO92" s="167" t="str">
        <f t="shared" si="663"/>
        <v/>
      </c>
      <c r="CP92" s="4" t="str">
        <f t="shared" si="769"/>
        <v/>
      </c>
      <c r="CQ92" s="5" t="str">
        <f t="shared" si="770"/>
        <v/>
      </c>
      <c r="CR92" s="5" t="str">
        <f t="shared" si="771"/>
        <v/>
      </c>
      <c r="CS92" s="8" t="str">
        <f t="shared" si="772"/>
        <v/>
      </c>
      <c r="CT92" s="9" t="str">
        <f t="shared" si="773"/>
        <v/>
      </c>
      <c r="CU92" s="6" t="str">
        <f t="shared" si="774"/>
        <v/>
      </c>
      <c r="CV92" s="4" t="str">
        <f t="shared" si="775"/>
        <v/>
      </c>
      <c r="CW92" s="5" t="str">
        <f t="shared" si="776"/>
        <v/>
      </c>
      <c r="CX92" s="8" t="str">
        <f t="shared" si="777"/>
        <v/>
      </c>
      <c r="CY92" s="9" t="str">
        <f t="shared" si="778"/>
        <v/>
      </c>
      <c r="CZ92" s="5" t="str">
        <f t="shared" si="779"/>
        <v/>
      </c>
      <c r="DA92" s="6" t="str">
        <f t="shared" si="780"/>
        <v/>
      </c>
      <c r="DB92" s="4" t="str">
        <f t="shared" si="781"/>
        <v/>
      </c>
      <c r="DC92" s="5" t="str">
        <f t="shared" si="781"/>
        <v/>
      </c>
      <c r="DD92" s="10" t="str">
        <f t="shared" si="782"/>
        <v/>
      </c>
      <c r="DE92" s="9" t="str">
        <f t="shared" si="783"/>
        <v/>
      </c>
      <c r="DF92" s="5" t="str">
        <f t="shared" si="783"/>
        <v/>
      </c>
      <c r="DG92" s="10" t="str">
        <f t="shared" si="784"/>
        <v/>
      </c>
      <c r="DH92" s="70" t="str">
        <f t="shared" si="785"/>
        <v/>
      </c>
      <c r="DI92" s="4" t="str">
        <f t="shared" si="786"/>
        <v/>
      </c>
      <c r="DJ92" s="5" t="str">
        <f t="shared" si="787"/>
        <v/>
      </c>
      <c r="DK92" s="10" t="str">
        <f t="shared" si="788"/>
        <v/>
      </c>
      <c r="DL92" s="9" t="str">
        <f t="shared" si="789"/>
        <v/>
      </c>
      <c r="DM92" s="173" t="str">
        <f t="shared" si="790"/>
        <v/>
      </c>
      <c r="DN92" s="178" t="str">
        <f t="shared" si="791"/>
        <v/>
      </c>
      <c r="DO92" s="9" t="str">
        <f t="shared" si="792"/>
        <v/>
      </c>
      <c r="DP92" s="173" t="str">
        <f t="shared" si="793"/>
        <v/>
      </c>
      <c r="DQ92" s="11" t="str">
        <f t="shared" si="794"/>
        <v/>
      </c>
      <c r="DR92" s="173" t="str">
        <f t="shared" si="795"/>
        <v/>
      </c>
      <c r="DS92" s="5" t="str">
        <f t="shared" si="796"/>
        <v/>
      </c>
      <c r="DT92" s="5" t="str">
        <f t="shared" si="797"/>
        <v/>
      </c>
      <c r="DU92" s="5" t="str">
        <f t="shared" si="798"/>
        <v/>
      </c>
      <c r="DV92" s="5" t="str">
        <f t="shared" si="799"/>
        <v/>
      </c>
      <c r="DW92" s="5" t="str">
        <f t="shared" si="800"/>
        <v/>
      </c>
      <c r="DX92" s="167" t="str">
        <f t="shared" si="801"/>
        <v/>
      </c>
      <c r="DY92" s="9" t="str">
        <f t="shared" si="802"/>
        <v/>
      </c>
      <c r="DZ92" s="5" t="str">
        <f t="shared" si="803"/>
        <v/>
      </c>
      <c r="EA92" s="10" t="str">
        <f t="shared" si="804"/>
        <v/>
      </c>
      <c r="EB92" s="6" t="str">
        <f t="shared" si="805"/>
        <v/>
      </c>
      <c r="EC92" s="173" t="str">
        <f t="shared" si="806"/>
        <v/>
      </c>
      <c r="ED92" s="5" t="str">
        <f t="shared" si="807"/>
        <v/>
      </c>
      <c r="EE92" s="4" t="str">
        <f t="shared" si="808"/>
        <v/>
      </c>
      <c r="EF92" s="5" t="str">
        <f t="shared" si="809"/>
        <v/>
      </c>
      <c r="EG92" s="10" t="str">
        <f t="shared" si="810"/>
        <v/>
      </c>
      <c r="EH92" s="9" t="str">
        <f t="shared" si="811"/>
        <v/>
      </c>
      <c r="EI92" s="5" t="str">
        <f t="shared" si="812"/>
        <v/>
      </c>
      <c r="EJ92" s="6" t="str">
        <f t="shared" si="813"/>
        <v/>
      </c>
      <c r="EK92" s="236" t="str">
        <f t="shared" si="814"/>
        <v/>
      </c>
      <c r="EL92" s="238" t="str">
        <f t="shared" si="815"/>
        <v/>
      </c>
      <c r="EM92" s="4" t="str">
        <f t="shared" si="816"/>
        <v/>
      </c>
      <c r="EN92" s="5" t="str">
        <f t="shared" si="817"/>
        <v/>
      </c>
      <c r="EO92" s="10" t="str">
        <f t="shared" si="818"/>
        <v/>
      </c>
      <c r="EP92" s="9" t="str">
        <f t="shared" si="819"/>
        <v/>
      </c>
      <c r="EQ92" s="5" t="str">
        <f t="shared" si="820"/>
        <v/>
      </c>
      <c r="ER92" s="7" t="str">
        <f t="shared" si="821"/>
        <v/>
      </c>
      <c r="ES92" s="21" t="str">
        <f t="shared" si="664"/>
        <v/>
      </c>
      <c r="ET92" s="5" t="str">
        <f t="shared" si="665"/>
        <v/>
      </c>
      <c r="EU92" s="10" t="str">
        <f t="shared" si="666"/>
        <v/>
      </c>
      <c r="EV92" s="174" t="str">
        <f t="shared" si="667"/>
        <v/>
      </c>
      <c r="EW92" s="9" t="str">
        <f t="shared" si="668"/>
        <v/>
      </c>
      <c r="EX92" s="5" t="str">
        <f t="shared" si="669"/>
        <v/>
      </c>
      <c r="EY92" s="6" t="str">
        <f t="shared" si="822"/>
        <v/>
      </c>
      <c r="EZ92" s="51" t="str">
        <f t="shared" si="823"/>
        <v/>
      </c>
      <c r="FA92" s="173" t="str">
        <f t="shared" si="670"/>
        <v/>
      </c>
      <c r="FB92" s="5" t="str">
        <f t="shared" si="671"/>
        <v/>
      </c>
      <c r="FC92" s="6" t="str">
        <f t="shared" si="672"/>
        <v/>
      </c>
      <c r="FD92" s="4" t="str">
        <f t="shared" si="673"/>
        <v/>
      </c>
      <c r="FE92" s="5" t="str">
        <f t="shared" si="674"/>
        <v/>
      </c>
      <c r="FF92" s="7" t="str">
        <f t="shared" si="824"/>
        <v/>
      </c>
      <c r="FG92" s="173" t="str">
        <f t="shared" si="675"/>
        <v/>
      </c>
      <c r="FH92" s="5" t="str">
        <f t="shared" si="676"/>
        <v/>
      </c>
      <c r="FI92" s="10" t="str">
        <f t="shared" si="677"/>
        <v/>
      </c>
      <c r="FJ92" s="279" t="str">
        <f t="shared" si="825"/>
        <v/>
      </c>
      <c r="FK92" s="4" t="str">
        <f t="shared" si="678"/>
        <v/>
      </c>
      <c r="FL92" s="5" t="str">
        <f t="shared" si="746"/>
        <v/>
      </c>
      <c r="FM92" s="8" t="str">
        <f t="shared" si="747"/>
        <v/>
      </c>
      <c r="FN92" s="9" t="str">
        <f t="shared" si="748"/>
        <v/>
      </c>
      <c r="FO92" s="10" t="str">
        <f t="shared" si="679"/>
        <v/>
      </c>
      <c r="FP92" s="277" t="str">
        <f t="shared" si="749"/>
        <v/>
      </c>
      <c r="FQ92" s="173" t="str">
        <f t="shared" si="826"/>
        <v/>
      </c>
      <c r="FR92" s="10" t="str">
        <f t="shared" si="827"/>
        <v/>
      </c>
      <c r="FS92" s="9" t="str">
        <f t="shared" si="828"/>
        <v/>
      </c>
      <c r="FT92" s="6" t="str">
        <f t="shared" si="829"/>
        <v/>
      </c>
      <c r="FU92" s="4" t="str">
        <f t="shared" si="830"/>
        <v/>
      </c>
      <c r="FV92" s="5" t="str">
        <f t="shared" si="831"/>
        <v/>
      </c>
      <c r="FW92" s="8" t="str">
        <f t="shared" si="832"/>
        <v/>
      </c>
      <c r="FX92" s="9" t="str">
        <f t="shared" si="833"/>
        <v/>
      </c>
      <c r="FY92" s="10" t="str">
        <f t="shared" si="680"/>
        <v/>
      </c>
      <c r="FZ92" s="277" t="str">
        <f t="shared" si="834"/>
        <v/>
      </c>
      <c r="GA92" s="177" t="str">
        <f t="shared" si="835"/>
        <v/>
      </c>
      <c r="GB92" s="4" t="str">
        <f t="shared" si="836"/>
        <v/>
      </c>
      <c r="GC92" s="5" t="str">
        <f t="shared" si="837"/>
        <v/>
      </c>
      <c r="GD92" s="10" t="str">
        <f t="shared" si="838"/>
        <v/>
      </c>
      <c r="GE92" s="311" t="str">
        <f t="shared" si="839"/>
        <v/>
      </c>
      <c r="GF92" s="341" t="str">
        <f t="shared" si="840"/>
        <v/>
      </c>
      <c r="GG92" s="285" t="str">
        <f t="shared" si="681"/>
        <v/>
      </c>
      <c r="GH92" s="286" t="str">
        <f t="shared" si="682"/>
        <v/>
      </c>
      <c r="GI92" s="281" t="str">
        <f t="shared" si="683"/>
        <v/>
      </c>
      <c r="GJ92" s="167" t="str">
        <f t="shared" si="841"/>
        <v/>
      </c>
      <c r="GK92" s="174" t="str">
        <f t="shared" si="684"/>
        <v/>
      </c>
      <c r="GL92" s="174" t="str">
        <f t="shared" si="842"/>
        <v/>
      </c>
      <c r="GM92" s="177" t="str">
        <f t="shared" si="843"/>
        <v/>
      </c>
      <c r="GN92" s="280" t="str">
        <f t="shared" si="844"/>
        <v/>
      </c>
      <c r="GO92" s="4" t="str">
        <f t="shared" si="845"/>
        <v/>
      </c>
      <c r="GP92" s="8" t="str">
        <f t="shared" si="846"/>
        <v/>
      </c>
      <c r="GQ92" s="177" t="str">
        <f t="shared" si="847"/>
        <v/>
      </c>
      <c r="GR92" s="371" t="str">
        <f t="shared" si="848"/>
        <v/>
      </c>
      <c r="GS92" s="342" t="str">
        <f t="shared" si="685"/>
        <v/>
      </c>
      <c r="GT92" s="343" t="str">
        <f t="shared" si="686"/>
        <v/>
      </c>
      <c r="GU92" s="344" t="str">
        <f t="shared" si="687"/>
        <v/>
      </c>
      <c r="GV92" s="343" t="str">
        <f t="shared" si="849"/>
        <v/>
      </c>
      <c r="GW92" s="345" t="str">
        <f t="shared" si="688"/>
        <v/>
      </c>
      <c r="GX92" s="346" t="str">
        <f t="shared" si="689"/>
        <v/>
      </c>
      <c r="GY92" s="344" t="str">
        <f t="shared" si="690"/>
        <v/>
      </c>
      <c r="GZ92" s="345" t="str">
        <f t="shared" si="691"/>
        <v/>
      </c>
      <c r="HA92" s="342" t="str">
        <f t="shared" si="692"/>
        <v/>
      </c>
      <c r="HB92" s="5" t="str">
        <f t="shared" si="850"/>
        <v/>
      </c>
      <c r="HC92" s="343" t="str">
        <f t="shared" si="851"/>
        <v/>
      </c>
      <c r="HD92" s="363" t="str">
        <f t="shared" si="852"/>
        <v/>
      </c>
      <c r="HE92" s="344" t="str">
        <f t="shared" si="693"/>
        <v/>
      </c>
      <c r="HF92" s="5" t="str">
        <f t="shared" si="694"/>
        <v/>
      </c>
      <c r="HG92" s="343" t="str">
        <f t="shared" si="853"/>
        <v/>
      </c>
      <c r="HH92" s="349" t="str">
        <f t="shared" si="854"/>
        <v/>
      </c>
      <c r="HI92" s="317" t="str">
        <f t="shared" si="695"/>
        <v/>
      </c>
      <c r="HK92" s="310" t="str">
        <f t="shared" si="750"/>
        <v/>
      </c>
      <c r="HL92" s="348" t="str">
        <f t="shared" si="696"/>
        <v/>
      </c>
      <c r="HM92" s="923" t="str">
        <f t="shared" si="697"/>
        <v/>
      </c>
      <c r="HN92" s="924" t="str">
        <f t="shared" si="698"/>
        <v/>
      </c>
      <c r="HO92" s="925"/>
      <c r="HP92" s="926"/>
      <c r="HQ92" s="924" t="str">
        <f t="shared" si="699"/>
        <v/>
      </c>
      <c r="HR92" s="927" t="str">
        <f t="shared" si="700"/>
        <v/>
      </c>
      <c r="HS92" s="879" t="str">
        <f t="shared" si="751"/>
        <v/>
      </c>
      <c r="HT92" s="889" t="str">
        <f t="shared" si="701"/>
        <v/>
      </c>
      <c r="HU92" s="890" t="str">
        <f t="shared" si="702"/>
        <v/>
      </c>
      <c r="HV92" s="886" t="str">
        <f t="shared" si="703"/>
        <v/>
      </c>
      <c r="HW92" s="880" t="str">
        <f t="shared" si="704"/>
        <v/>
      </c>
      <c r="HX92" s="881" t="str">
        <f t="shared" si="705"/>
        <v/>
      </c>
      <c r="HY92" s="880" t="str">
        <f t="shared" si="706"/>
        <v/>
      </c>
      <c r="HZ92" s="882" t="str">
        <f t="shared" si="707"/>
        <v/>
      </c>
      <c r="IA92" s="883" t="str">
        <f t="shared" si="708"/>
        <v/>
      </c>
      <c r="IB92" s="884" t="str">
        <f t="shared" si="709"/>
        <v/>
      </c>
      <c r="IC92" s="855" t="str">
        <f t="shared" si="710"/>
        <v/>
      </c>
      <c r="ID92" s="351" t="str">
        <f t="shared" si="711"/>
        <v/>
      </c>
      <c r="IE92" s="857" t="str">
        <f t="shared" si="712"/>
        <v/>
      </c>
      <c r="IF92" s="858"/>
      <c r="IG92" s="790" t="str">
        <f>IFERROR(IF($IW92="","",IF($IW92&lt;(((Settings!$C$19/2)*-1)*$IG$8),"Taper","Nose")),"")</f>
        <v/>
      </c>
      <c r="IH92" s="482" t="str">
        <f>IFERROR(IF((((($IY92*COS(RADIANS(180-$JA92)))*COS(RADIANS($JA92)))-(($IZ92*SIN(RADIANS(180-$JA92)))*SIN(RADIANS($JA92))))+$IW92)&lt;(((Settings!$C$19+$IH$8)/2)*-1),"Gage",""),"")</f>
        <v/>
      </c>
      <c r="II92" s="788" t="str">
        <f t="shared" si="855"/>
        <v/>
      </c>
      <c r="IJ92" s="674" t="str" cm="1">
        <f t="array" ref="IJ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K92" s="677" t="str" cm="1">
        <f t="array" ref="IK92">IFERROR(ROUND(VALUE(IF($IJ92&lt;1,$IJ92+LARGE((IF($M$9:$M$150="",0,$M$9:$M$150)-MOD(IF($M$9:$M$150="",0,$M$9:$M$150),1)),1),$IJ92)),4),"")</f>
        <v/>
      </c>
      <c r="IL92" s="482" t="str">
        <f t="shared" si="713"/>
        <v/>
      </c>
      <c r="IM92" s="482" t="str">
        <f t="shared" si="856"/>
        <v/>
      </c>
      <c r="IN92" s="670" t="str">
        <f t="shared" si="714"/>
        <v/>
      </c>
      <c r="IO92" s="702"/>
      <c r="IP92" s="5" t="str">
        <f t="shared" si="715"/>
        <v/>
      </c>
      <c r="IQ92" s="714"/>
      <c r="IR92" s="9" t="str">
        <f t="shared" si="716"/>
        <v/>
      </c>
      <c r="IS92" s="5" t="str">
        <f t="shared" si="717"/>
        <v/>
      </c>
      <c r="IT92" s="5" t="str">
        <f t="shared" si="718"/>
        <v/>
      </c>
      <c r="IU92" s="5" t="str">
        <f t="shared" si="719"/>
        <v/>
      </c>
      <c r="IV92" s="670" t="str">
        <f t="shared" si="720"/>
        <v/>
      </c>
      <c r="IW92" s="9" t="str">
        <f t="shared" si="721"/>
        <v/>
      </c>
      <c r="IX92" s="5" t="str">
        <f t="shared" si="722"/>
        <v/>
      </c>
      <c r="IY92" s="5" t="str">
        <f t="shared" si="723"/>
        <v/>
      </c>
      <c r="IZ92" s="5" t="str">
        <f t="shared" si="724"/>
        <v/>
      </c>
      <c r="JA92" s="705" t="str">
        <f t="shared" si="725"/>
        <v/>
      </c>
      <c r="JN92" s="960"/>
      <c r="JO92" s="162"/>
      <c r="JP92" s="961"/>
      <c r="JQ92" s="961"/>
    </row>
    <row r="93" spans="1:283" ht="15" customHeight="1" x14ac:dyDescent="0.25">
      <c r="A93" s="75" t="str">
        <f t="shared" si="640"/>
        <v/>
      </c>
      <c r="B93" s="578" t="str">
        <f t="shared" ref="B93:D93" si="893">IFERROR(O248+($A93*-E93),"")</f>
        <v/>
      </c>
      <c r="C93" s="572" t="str">
        <f t="shared" si="893"/>
        <v/>
      </c>
      <c r="D93" s="576" t="str">
        <f t="shared" si="893"/>
        <v/>
      </c>
      <c r="E93" s="580" t="str">
        <f t="shared" ref="E93:K93" si="894">R248</f>
        <v/>
      </c>
      <c r="F93" s="572" t="str">
        <f t="shared" si="894"/>
        <v/>
      </c>
      <c r="G93" s="579" t="str">
        <f t="shared" si="894"/>
        <v/>
      </c>
      <c r="H93" s="580" t="str">
        <f t="shared" si="894"/>
        <v/>
      </c>
      <c r="I93" s="572" t="str">
        <f t="shared" si="894"/>
        <v/>
      </c>
      <c r="J93" s="483" t="str">
        <f t="shared" si="728"/>
        <v/>
      </c>
      <c r="K93" s="806" t="str">
        <f t="shared" si="894"/>
        <v/>
      </c>
      <c r="L93" s="309"/>
      <c r="M93" s="164" t="str">
        <f t="shared" si="643"/>
        <v/>
      </c>
      <c r="N93" s="575" t="str">
        <f t="shared" si="644"/>
        <v/>
      </c>
      <c r="O93" s="572" t="str">
        <f t="shared" si="645"/>
        <v/>
      </c>
      <c r="P93" s="576" t="str">
        <f t="shared" si="646"/>
        <v/>
      </c>
      <c r="Q93" s="528" t="str">
        <f t="shared" si="729"/>
        <v/>
      </c>
      <c r="R93" s="572" t="str">
        <f t="shared" si="95"/>
        <v/>
      </c>
      <c r="S93" s="577" t="str">
        <f t="shared" si="96"/>
        <v/>
      </c>
      <c r="T93" s="578" t="str">
        <f t="shared" si="97"/>
        <v/>
      </c>
      <c r="U93" s="572" t="str">
        <f t="shared" si="98"/>
        <v/>
      </c>
      <c r="V93" s="579" t="str">
        <f t="shared" si="145"/>
        <v/>
      </c>
      <c r="W93" s="528" t="str">
        <f t="shared" si="866"/>
        <v/>
      </c>
      <c r="X93" s="572" t="str">
        <f t="shared" si="99"/>
        <v/>
      </c>
      <c r="Y93" s="573" t="str">
        <f t="shared" si="859"/>
        <v/>
      </c>
      <c r="Z93" s="575" t="str">
        <f t="shared" si="647"/>
        <v/>
      </c>
      <c r="AA93" s="572" t="str">
        <f t="shared" si="648"/>
        <v/>
      </c>
      <c r="AB93" s="572" t="str">
        <f t="shared" si="649"/>
        <v/>
      </c>
      <c r="AC93" s="579" t="str">
        <f t="shared" si="100"/>
        <v/>
      </c>
      <c r="AD93" s="580" t="str">
        <f t="shared" si="146"/>
        <v/>
      </c>
      <c r="AE93" s="572" t="str">
        <f t="shared" si="101"/>
        <v/>
      </c>
      <c r="AF93" s="576" t="str">
        <f t="shared" si="102"/>
        <v/>
      </c>
      <c r="AG93" s="545" t="str">
        <f t="shared" si="103"/>
        <v/>
      </c>
      <c r="AH93" s="546" t="str">
        <f t="shared" si="104"/>
        <v/>
      </c>
      <c r="AI93" s="528" t="str">
        <f t="shared" si="105"/>
        <v/>
      </c>
      <c r="AJ93" s="529" t="str">
        <f t="shared" si="106"/>
        <v/>
      </c>
      <c r="AK93" s="578" t="str">
        <f t="shared" si="247"/>
        <v/>
      </c>
      <c r="AL93" s="572" t="str">
        <f t="shared" si="107"/>
        <v/>
      </c>
      <c r="AM93" s="577" t="str">
        <f t="shared" si="108"/>
        <v/>
      </c>
      <c r="AN93" s="524" t="str">
        <f t="shared" si="109"/>
        <v/>
      </c>
      <c r="AO93" s="525" t="str">
        <f t="shared" si="604"/>
        <v/>
      </c>
      <c r="AP93" s="528" t="str">
        <f t="shared" si="111"/>
        <v/>
      </c>
      <c r="AQ93" s="529" t="str">
        <f t="shared" si="650"/>
        <v/>
      </c>
      <c r="AS93" s="954" t="str">
        <f t="shared" si="755"/>
        <v/>
      </c>
      <c r="AT93" s="950" t="str">
        <f t="shared" si="651"/>
        <v/>
      </c>
      <c r="AU93" s="418"/>
      <c r="AV93" s="164" t="str">
        <f t="shared" si="652"/>
        <v/>
      </c>
      <c r="AW93" s="797" t="str">
        <f>IFERROR(INDEX(MassProp!C$9:C$150,MATCH($M93,MassProp!$B$9:$B$150,0)),"")</f>
        <v/>
      </c>
      <c r="AX93" s="744" t="str">
        <f>IFERROR(INDEX(MassProp!D$9:D$150,MATCH($M93,MassProp!$B$9:$B$150,0)),"")</f>
        <v/>
      </c>
      <c r="AY93" s="731" t="str">
        <f>IFERROR(INDEX(MassProp!E$9:E$150,MATCH($M93,MassProp!$B$9:$B$150,0)),"")</f>
        <v/>
      </c>
      <c r="AZ93" s="297" t="str">
        <f t="shared" si="756"/>
        <v/>
      </c>
      <c r="BA93" s="296" t="str">
        <f t="shared" si="653"/>
        <v/>
      </c>
      <c r="BB93" s="177" t="str">
        <f t="shared" si="730"/>
        <v/>
      </c>
      <c r="BC93" s="9"/>
      <c r="BD93" s="5" t="str">
        <f t="shared" si="731"/>
        <v/>
      </c>
      <c r="BE93" s="6" t="str">
        <f t="shared" si="654"/>
        <v/>
      </c>
      <c r="BF93" s="4" t="str">
        <f t="shared" si="655"/>
        <v/>
      </c>
      <c r="BG93" s="5" t="str">
        <f t="shared" si="656"/>
        <v/>
      </c>
      <c r="BH93" s="10" t="str">
        <f t="shared" si="657"/>
        <v/>
      </c>
      <c r="BI93" s="9" t="str">
        <f t="shared" si="757"/>
        <v/>
      </c>
      <c r="BJ93" s="5" t="str">
        <f t="shared" si="658"/>
        <v/>
      </c>
      <c r="BK93" s="8" t="str">
        <f t="shared" si="659"/>
        <v/>
      </c>
      <c r="BL93" s="173" t="str">
        <f t="shared" si="660"/>
        <v/>
      </c>
      <c r="BM93" s="5" t="str">
        <f t="shared" si="661"/>
        <v/>
      </c>
      <c r="BN93" s="6" t="str">
        <f t="shared" si="662"/>
        <v/>
      </c>
      <c r="BO93" s="4" t="str">
        <f t="shared" si="758"/>
        <v/>
      </c>
      <c r="BP93" s="5" t="str">
        <f t="shared" si="759"/>
        <v/>
      </c>
      <c r="BQ93" s="5" t="str">
        <f t="shared" si="760"/>
        <v/>
      </c>
      <c r="BR93" s="6" t="str">
        <f t="shared" si="761"/>
        <v/>
      </c>
      <c r="BS93" s="4" t="str">
        <f t="shared" si="732"/>
        <v/>
      </c>
      <c r="BT93" s="5" t="str">
        <f t="shared" si="732"/>
        <v/>
      </c>
      <c r="BU93" s="10" t="str">
        <f t="shared" si="733"/>
        <v/>
      </c>
      <c r="BV93" s="9" t="str">
        <f t="shared" si="734"/>
        <v/>
      </c>
      <c r="BW93" s="5" t="str">
        <f t="shared" si="735"/>
        <v/>
      </c>
      <c r="BX93" s="8" t="str">
        <f t="shared" si="736"/>
        <v/>
      </c>
      <c r="BY93" s="173" t="str">
        <f t="shared" si="737"/>
        <v/>
      </c>
      <c r="BZ93" s="5" t="str">
        <f t="shared" si="738"/>
        <v/>
      </c>
      <c r="CA93" s="6" t="str">
        <f t="shared" si="739"/>
        <v/>
      </c>
      <c r="CB93" s="4" t="str">
        <f t="shared" si="762"/>
        <v/>
      </c>
      <c r="CC93" s="5" t="str">
        <f t="shared" si="763"/>
        <v/>
      </c>
      <c r="CD93" s="5" t="str">
        <f t="shared" si="764"/>
        <v/>
      </c>
      <c r="CE93" s="6" t="str">
        <f t="shared" si="765"/>
        <v/>
      </c>
      <c r="CF93" s="4" t="str">
        <f t="shared" si="766"/>
        <v/>
      </c>
      <c r="CG93" s="5" t="str">
        <f t="shared" si="767"/>
        <v/>
      </c>
      <c r="CH93" s="5" t="str">
        <f t="shared" si="768"/>
        <v/>
      </c>
      <c r="CI93" s="4" t="str">
        <f t="shared" si="740"/>
        <v/>
      </c>
      <c r="CJ93" s="5" t="str">
        <f t="shared" si="741"/>
        <v/>
      </c>
      <c r="CK93" s="8" t="str">
        <f t="shared" si="742"/>
        <v/>
      </c>
      <c r="CL93" s="173" t="str">
        <f t="shared" si="743"/>
        <v/>
      </c>
      <c r="CM93" s="5" t="str">
        <f t="shared" si="744"/>
        <v/>
      </c>
      <c r="CN93" s="6" t="str">
        <f t="shared" si="745"/>
        <v/>
      </c>
      <c r="CO93" s="167" t="str">
        <f t="shared" si="663"/>
        <v/>
      </c>
      <c r="CP93" s="4" t="str">
        <f t="shared" si="769"/>
        <v/>
      </c>
      <c r="CQ93" s="5" t="str">
        <f t="shared" si="770"/>
        <v/>
      </c>
      <c r="CR93" s="5" t="str">
        <f t="shared" si="771"/>
        <v/>
      </c>
      <c r="CS93" s="8" t="str">
        <f t="shared" si="772"/>
        <v/>
      </c>
      <c r="CT93" s="9" t="str">
        <f t="shared" si="773"/>
        <v/>
      </c>
      <c r="CU93" s="6" t="str">
        <f t="shared" si="774"/>
        <v/>
      </c>
      <c r="CV93" s="4" t="str">
        <f t="shared" si="775"/>
        <v/>
      </c>
      <c r="CW93" s="5" t="str">
        <f t="shared" si="776"/>
        <v/>
      </c>
      <c r="CX93" s="8" t="str">
        <f t="shared" si="777"/>
        <v/>
      </c>
      <c r="CY93" s="9" t="str">
        <f t="shared" si="778"/>
        <v/>
      </c>
      <c r="CZ93" s="5" t="str">
        <f t="shared" si="779"/>
        <v/>
      </c>
      <c r="DA93" s="6" t="str">
        <f t="shared" si="780"/>
        <v/>
      </c>
      <c r="DB93" s="4" t="str">
        <f t="shared" si="781"/>
        <v/>
      </c>
      <c r="DC93" s="5" t="str">
        <f t="shared" si="781"/>
        <v/>
      </c>
      <c r="DD93" s="10" t="str">
        <f t="shared" si="782"/>
        <v/>
      </c>
      <c r="DE93" s="9" t="str">
        <f t="shared" si="783"/>
        <v/>
      </c>
      <c r="DF93" s="5" t="str">
        <f t="shared" si="783"/>
        <v/>
      </c>
      <c r="DG93" s="10" t="str">
        <f t="shared" si="784"/>
        <v/>
      </c>
      <c r="DH93" s="70" t="str">
        <f t="shared" si="785"/>
        <v/>
      </c>
      <c r="DI93" s="4" t="str">
        <f t="shared" si="786"/>
        <v/>
      </c>
      <c r="DJ93" s="5" t="str">
        <f t="shared" si="787"/>
        <v/>
      </c>
      <c r="DK93" s="10" t="str">
        <f t="shared" si="788"/>
        <v/>
      </c>
      <c r="DL93" s="9" t="str">
        <f t="shared" si="789"/>
        <v/>
      </c>
      <c r="DM93" s="173" t="str">
        <f t="shared" si="790"/>
        <v/>
      </c>
      <c r="DN93" s="178" t="str">
        <f t="shared" si="791"/>
        <v/>
      </c>
      <c r="DO93" s="9" t="str">
        <f t="shared" si="792"/>
        <v/>
      </c>
      <c r="DP93" s="173" t="str">
        <f t="shared" si="793"/>
        <v/>
      </c>
      <c r="DQ93" s="11" t="str">
        <f t="shared" si="794"/>
        <v/>
      </c>
      <c r="DR93" s="173" t="str">
        <f t="shared" si="795"/>
        <v/>
      </c>
      <c r="DS93" s="5" t="str">
        <f t="shared" si="796"/>
        <v/>
      </c>
      <c r="DT93" s="5" t="str">
        <f t="shared" si="797"/>
        <v/>
      </c>
      <c r="DU93" s="5" t="str">
        <f t="shared" si="798"/>
        <v/>
      </c>
      <c r="DV93" s="5" t="str">
        <f t="shared" si="799"/>
        <v/>
      </c>
      <c r="DW93" s="5" t="str">
        <f t="shared" si="800"/>
        <v/>
      </c>
      <c r="DX93" s="167" t="str">
        <f t="shared" si="801"/>
        <v/>
      </c>
      <c r="DY93" s="9" t="str">
        <f t="shared" si="802"/>
        <v/>
      </c>
      <c r="DZ93" s="5" t="str">
        <f t="shared" si="803"/>
        <v/>
      </c>
      <c r="EA93" s="10" t="str">
        <f t="shared" si="804"/>
        <v/>
      </c>
      <c r="EB93" s="6" t="str">
        <f t="shared" si="805"/>
        <v/>
      </c>
      <c r="EC93" s="173" t="str">
        <f t="shared" si="806"/>
        <v/>
      </c>
      <c r="ED93" s="5" t="str">
        <f t="shared" si="807"/>
        <v/>
      </c>
      <c r="EE93" s="4" t="str">
        <f t="shared" si="808"/>
        <v/>
      </c>
      <c r="EF93" s="5" t="str">
        <f t="shared" si="809"/>
        <v/>
      </c>
      <c r="EG93" s="10" t="str">
        <f t="shared" si="810"/>
        <v/>
      </c>
      <c r="EH93" s="9" t="str">
        <f t="shared" si="811"/>
        <v/>
      </c>
      <c r="EI93" s="5" t="str">
        <f t="shared" si="812"/>
        <v/>
      </c>
      <c r="EJ93" s="6" t="str">
        <f t="shared" si="813"/>
        <v/>
      </c>
      <c r="EK93" s="236" t="str">
        <f t="shared" si="814"/>
        <v/>
      </c>
      <c r="EL93" s="238" t="str">
        <f t="shared" si="815"/>
        <v/>
      </c>
      <c r="EM93" s="4" t="str">
        <f t="shared" si="816"/>
        <v/>
      </c>
      <c r="EN93" s="5" t="str">
        <f t="shared" si="817"/>
        <v/>
      </c>
      <c r="EO93" s="10" t="str">
        <f t="shared" si="818"/>
        <v/>
      </c>
      <c r="EP93" s="9" t="str">
        <f t="shared" si="819"/>
        <v/>
      </c>
      <c r="EQ93" s="5" t="str">
        <f t="shared" si="820"/>
        <v/>
      </c>
      <c r="ER93" s="7" t="str">
        <f t="shared" si="821"/>
        <v/>
      </c>
      <c r="ES93" s="21" t="str">
        <f t="shared" si="664"/>
        <v/>
      </c>
      <c r="ET93" s="5" t="str">
        <f t="shared" si="665"/>
        <v/>
      </c>
      <c r="EU93" s="10" t="str">
        <f t="shared" si="666"/>
        <v/>
      </c>
      <c r="EV93" s="174" t="str">
        <f t="shared" si="667"/>
        <v/>
      </c>
      <c r="EW93" s="9" t="str">
        <f t="shared" si="668"/>
        <v/>
      </c>
      <c r="EX93" s="5" t="str">
        <f t="shared" si="669"/>
        <v/>
      </c>
      <c r="EY93" s="6" t="str">
        <f t="shared" si="822"/>
        <v/>
      </c>
      <c r="EZ93" s="51" t="str">
        <f t="shared" si="823"/>
        <v/>
      </c>
      <c r="FA93" s="173" t="str">
        <f t="shared" si="670"/>
        <v/>
      </c>
      <c r="FB93" s="5" t="str">
        <f t="shared" si="671"/>
        <v/>
      </c>
      <c r="FC93" s="6" t="str">
        <f t="shared" si="672"/>
        <v/>
      </c>
      <c r="FD93" s="4" t="str">
        <f t="shared" si="673"/>
        <v/>
      </c>
      <c r="FE93" s="5" t="str">
        <f t="shared" si="674"/>
        <v/>
      </c>
      <c r="FF93" s="7" t="str">
        <f t="shared" si="824"/>
        <v/>
      </c>
      <c r="FG93" s="173" t="str">
        <f t="shared" si="675"/>
        <v/>
      </c>
      <c r="FH93" s="5" t="str">
        <f t="shared" si="676"/>
        <v/>
      </c>
      <c r="FI93" s="10" t="str">
        <f t="shared" si="677"/>
        <v/>
      </c>
      <c r="FJ93" s="279" t="str">
        <f t="shared" si="825"/>
        <v/>
      </c>
      <c r="FK93" s="4" t="str">
        <f t="shared" si="678"/>
        <v/>
      </c>
      <c r="FL93" s="5" t="str">
        <f t="shared" si="746"/>
        <v/>
      </c>
      <c r="FM93" s="8" t="str">
        <f t="shared" si="747"/>
        <v/>
      </c>
      <c r="FN93" s="9" t="str">
        <f t="shared" si="748"/>
        <v/>
      </c>
      <c r="FO93" s="10" t="str">
        <f t="shared" si="679"/>
        <v/>
      </c>
      <c r="FP93" s="277" t="str">
        <f t="shared" si="749"/>
        <v/>
      </c>
      <c r="FQ93" s="173" t="str">
        <f t="shared" si="826"/>
        <v/>
      </c>
      <c r="FR93" s="10" t="str">
        <f t="shared" si="827"/>
        <v/>
      </c>
      <c r="FS93" s="9" t="str">
        <f t="shared" si="828"/>
        <v/>
      </c>
      <c r="FT93" s="6" t="str">
        <f t="shared" si="829"/>
        <v/>
      </c>
      <c r="FU93" s="4" t="str">
        <f t="shared" si="830"/>
        <v/>
      </c>
      <c r="FV93" s="5" t="str">
        <f t="shared" si="831"/>
        <v/>
      </c>
      <c r="FW93" s="8" t="str">
        <f t="shared" si="832"/>
        <v/>
      </c>
      <c r="FX93" s="9" t="str">
        <f t="shared" si="833"/>
        <v/>
      </c>
      <c r="FY93" s="10" t="str">
        <f t="shared" si="680"/>
        <v/>
      </c>
      <c r="FZ93" s="277" t="str">
        <f t="shared" si="834"/>
        <v/>
      </c>
      <c r="GA93" s="177" t="str">
        <f t="shared" si="835"/>
        <v/>
      </c>
      <c r="GB93" s="4" t="str">
        <f t="shared" si="836"/>
        <v/>
      </c>
      <c r="GC93" s="5" t="str">
        <f t="shared" si="837"/>
        <v/>
      </c>
      <c r="GD93" s="10" t="str">
        <f t="shared" si="838"/>
        <v/>
      </c>
      <c r="GE93" s="311" t="str">
        <f t="shared" si="839"/>
        <v/>
      </c>
      <c r="GF93" s="341" t="str">
        <f t="shared" si="840"/>
        <v/>
      </c>
      <c r="GG93" s="285" t="str">
        <f t="shared" si="681"/>
        <v/>
      </c>
      <c r="GH93" s="286" t="str">
        <f t="shared" si="682"/>
        <v/>
      </c>
      <c r="GI93" s="281" t="str">
        <f t="shared" si="683"/>
        <v/>
      </c>
      <c r="GJ93" s="167" t="str">
        <f t="shared" si="841"/>
        <v/>
      </c>
      <c r="GK93" s="174" t="str">
        <f t="shared" si="684"/>
        <v/>
      </c>
      <c r="GL93" s="174" t="str">
        <f t="shared" si="842"/>
        <v/>
      </c>
      <c r="GM93" s="177" t="str">
        <f t="shared" si="843"/>
        <v/>
      </c>
      <c r="GN93" s="280" t="str">
        <f t="shared" si="844"/>
        <v/>
      </c>
      <c r="GO93" s="4" t="str">
        <f t="shared" si="845"/>
        <v/>
      </c>
      <c r="GP93" s="8" t="str">
        <f t="shared" si="846"/>
        <v/>
      </c>
      <c r="GQ93" s="177" t="str">
        <f t="shared" si="847"/>
        <v/>
      </c>
      <c r="GR93" s="371" t="str">
        <f t="shared" si="848"/>
        <v/>
      </c>
      <c r="GS93" s="342" t="str">
        <f t="shared" si="685"/>
        <v/>
      </c>
      <c r="GT93" s="343" t="str">
        <f t="shared" si="686"/>
        <v/>
      </c>
      <c r="GU93" s="344" t="str">
        <f t="shared" si="687"/>
        <v/>
      </c>
      <c r="GV93" s="343" t="str">
        <f t="shared" si="849"/>
        <v/>
      </c>
      <c r="GW93" s="345" t="str">
        <f t="shared" si="688"/>
        <v/>
      </c>
      <c r="GX93" s="346" t="str">
        <f t="shared" si="689"/>
        <v/>
      </c>
      <c r="GY93" s="344" t="str">
        <f t="shared" si="690"/>
        <v/>
      </c>
      <c r="GZ93" s="345" t="str">
        <f t="shared" si="691"/>
        <v/>
      </c>
      <c r="HA93" s="342" t="str">
        <f t="shared" si="692"/>
        <v/>
      </c>
      <c r="HB93" s="5" t="str">
        <f t="shared" si="850"/>
        <v/>
      </c>
      <c r="HC93" s="343" t="str">
        <f t="shared" si="851"/>
        <v/>
      </c>
      <c r="HD93" s="363" t="str">
        <f t="shared" si="852"/>
        <v/>
      </c>
      <c r="HE93" s="344" t="str">
        <f t="shared" si="693"/>
        <v/>
      </c>
      <c r="HF93" s="5" t="str">
        <f t="shared" si="694"/>
        <v/>
      </c>
      <c r="HG93" s="343" t="str">
        <f t="shared" si="853"/>
        <v/>
      </c>
      <c r="HH93" s="349" t="str">
        <f t="shared" si="854"/>
        <v/>
      </c>
      <c r="HI93" s="317" t="str">
        <f t="shared" si="695"/>
        <v/>
      </c>
      <c r="HK93" s="310" t="str">
        <f t="shared" si="750"/>
        <v/>
      </c>
      <c r="HL93" s="348" t="str">
        <f t="shared" si="696"/>
        <v/>
      </c>
      <c r="HM93" s="923" t="str">
        <f t="shared" si="697"/>
        <v/>
      </c>
      <c r="HN93" s="924" t="str">
        <f t="shared" si="698"/>
        <v/>
      </c>
      <c r="HO93" s="925"/>
      <c r="HP93" s="926"/>
      <c r="HQ93" s="924" t="str">
        <f t="shared" si="699"/>
        <v/>
      </c>
      <c r="HR93" s="927" t="str">
        <f t="shared" si="700"/>
        <v/>
      </c>
      <c r="HS93" s="879" t="str">
        <f t="shared" si="751"/>
        <v/>
      </c>
      <c r="HT93" s="889" t="str">
        <f t="shared" si="701"/>
        <v/>
      </c>
      <c r="HU93" s="890" t="str">
        <f t="shared" si="702"/>
        <v/>
      </c>
      <c r="HV93" s="886" t="str">
        <f t="shared" si="703"/>
        <v/>
      </c>
      <c r="HW93" s="880" t="str">
        <f t="shared" si="704"/>
        <v/>
      </c>
      <c r="HX93" s="881" t="str">
        <f t="shared" si="705"/>
        <v/>
      </c>
      <c r="HY93" s="880" t="str">
        <f t="shared" si="706"/>
        <v/>
      </c>
      <c r="HZ93" s="882" t="str">
        <f t="shared" si="707"/>
        <v/>
      </c>
      <c r="IA93" s="883" t="str">
        <f t="shared" si="708"/>
        <v/>
      </c>
      <c r="IB93" s="884" t="str">
        <f t="shared" si="709"/>
        <v/>
      </c>
      <c r="IC93" s="855" t="str">
        <f t="shared" si="710"/>
        <v/>
      </c>
      <c r="ID93" s="351" t="str">
        <f t="shared" si="711"/>
        <v/>
      </c>
      <c r="IE93" s="857" t="str">
        <f t="shared" si="712"/>
        <v/>
      </c>
      <c r="IF93" s="858"/>
      <c r="IG93" s="790" t="str">
        <f>IFERROR(IF($IW93="","",IF($IW93&lt;(((Settings!$C$19/2)*-1)*$IG$8),"Taper","Nose")),"")</f>
        <v/>
      </c>
      <c r="IH93" s="482" t="str">
        <f>IFERROR(IF((((($IY93*COS(RADIANS(180-$JA93)))*COS(RADIANS($JA93)))-(($IZ93*SIN(RADIANS(180-$JA93)))*SIN(RADIANS($JA93))))+$IW93)&lt;(((Settings!$C$19+$IH$8)/2)*-1),"Gage",""),"")</f>
        <v/>
      </c>
      <c r="II93" s="788" t="str">
        <f t="shared" si="855"/>
        <v/>
      </c>
      <c r="IJ93" s="674" t="str" cm="1">
        <f t="array" ref="IJ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K93" s="677" t="str" cm="1">
        <f t="array" ref="IK93">IFERROR(ROUND(VALUE(IF($IJ93&lt;1,$IJ93+LARGE((IF($M$9:$M$150="",0,$M$9:$M$150)-MOD(IF($M$9:$M$150="",0,$M$9:$M$150),1)),1),$IJ93)),4),"")</f>
        <v/>
      </c>
      <c r="IL93" s="482" t="str">
        <f t="shared" si="713"/>
        <v/>
      </c>
      <c r="IM93" s="482" t="str">
        <f t="shared" si="856"/>
        <v/>
      </c>
      <c r="IN93" s="670" t="str">
        <f t="shared" si="714"/>
        <v/>
      </c>
      <c r="IO93" s="702"/>
      <c r="IP93" s="5" t="str">
        <f t="shared" si="715"/>
        <v/>
      </c>
      <c r="IQ93" s="714"/>
      <c r="IR93" s="9" t="str">
        <f t="shared" si="716"/>
        <v/>
      </c>
      <c r="IS93" s="5" t="str">
        <f t="shared" si="717"/>
        <v/>
      </c>
      <c r="IT93" s="5" t="str">
        <f t="shared" si="718"/>
        <v/>
      </c>
      <c r="IU93" s="5" t="str">
        <f t="shared" si="719"/>
        <v/>
      </c>
      <c r="IV93" s="670" t="str">
        <f t="shared" si="720"/>
        <v/>
      </c>
      <c r="IW93" s="9" t="str">
        <f t="shared" si="721"/>
        <v/>
      </c>
      <c r="IX93" s="5" t="str">
        <f t="shared" si="722"/>
        <v/>
      </c>
      <c r="IY93" s="5" t="str">
        <f t="shared" si="723"/>
        <v/>
      </c>
      <c r="IZ93" s="5" t="str">
        <f t="shared" si="724"/>
        <v/>
      </c>
      <c r="JA93" s="705" t="str">
        <f t="shared" si="725"/>
        <v/>
      </c>
      <c r="JN93" s="960"/>
      <c r="JO93" s="162"/>
      <c r="JP93" s="961"/>
      <c r="JQ93" s="961"/>
    </row>
    <row r="94" spans="1:283" ht="15" customHeight="1" x14ac:dyDescent="0.25">
      <c r="A94" s="75" t="str">
        <f t="shared" si="640"/>
        <v/>
      </c>
      <c r="B94" s="578" t="str">
        <f t="shared" ref="B94:D94" si="895">IFERROR(O249+($A94*-E94),"")</f>
        <v/>
      </c>
      <c r="C94" s="572" t="str">
        <f t="shared" si="895"/>
        <v/>
      </c>
      <c r="D94" s="576" t="str">
        <f t="shared" si="895"/>
        <v/>
      </c>
      <c r="E94" s="580" t="str">
        <f t="shared" ref="E94:K94" si="896">R249</f>
        <v/>
      </c>
      <c r="F94" s="572" t="str">
        <f t="shared" si="896"/>
        <v/>
      </c>
      <c r="G94" s="579" t="str">
        <f t="shared" si="896"/>
        <v/>
      </c>
      <c r="H94" s="580" t="str">
        <f t="shared" si="896"/>
        <v/>
      </c>
      <c r="I94" s="572" t="str">
        <f t="shared" si="896"/>
        <v/>
      </c>
      <c r="J94" s="483" t="str">
        <f t="shared" si="728"/>
        <v/>
      </c>
      <c r="K94" s="806" t="str">
        <f t="shared" si="896"/>
        <v/>
      </c>
      <c r="L94" s="309"/>
      <c r="M94" s="164" t="str">
        <f t="shared" si="643"/>
        <v/>
      </c>
      <c r="N94" s="575" t="str">
        <f t="shared" si="644"/>
        <v/>
      </c>
      <c r="O94" s="572" t="str">
        <f t="shared" si="645"/>
        <v/>
      </c>
      <c r="P94" s="576" t="str">
        <f t="shared" si="646"/>
        <v/>
      </c>
      <c r="Q94" s="528" t="str">
        <f t="shared" si="729"/>
        <v/>
      </c>
      <c r="R94" s="572" t="str">
        <f t="shared" si="95"/>
        <v/>
      </c>
      <c r="S94" s="577" t="str">
        <f t="shared" si="96"/>
        <v/>
      </c>
      <c r="T94" s="578" t="str">
        <f t="shared" si="97"/>
        <v/>
      </c>
      <c r="U94" s="572" t="str">
        <f t="shared" si="98"/>
        <v/>
      </c>
      <c r="V94" s="579" t="str">
        <f t="shared" si="145"/>
        <v/>
      </c>
      <c r="W94" s="528" t="str">
        <f t="shared" si="866"/>
        <v/>
      </c>
      <c r="X94" s="572" t="str">
        <f t="shared" si="99"/>
        <v/>
      </c>
      <c r="Y94" s="573" t="str">
        <f t="shared" si="859"/>
        <v/>
      </c>
      <c r="Z94" s="575" t="str">
        <f t="shared" si="647"/>
        <v/>
      </c>
      <c r="AA94" s="572" t="str">
        <f t="shared" si="648"/>
        <v/>
      </c>
      <c r="AB94" s="572" t="str">
        <f t="shared" si="649"/>
        <v/>
      </c>
      <c r="AC94" s="579" t="str">
        <f t="shared" si="100"/>
        <v/>
      </c>
      <c r="AD94" s="580" t="str">
        <f t="shared" si="146"/>
        <v/>
      </c>
      <c r="AE94" s="572" t="str">
        <f t="shared" si="101"/>
        <v/>
      </c>
      <c r="AF94" s="576" t="str">
        <f t="shared" si="102"/>
        <v/>
      </c>
      <c r="AG94" s="545" t="str">
        <f t="shared" si="103"/>
        <v/>
      </c>
      <c r="AH94" s="546" t="str">
        <f t="shared" si="104"/>
        <v/>
      </c>
      <c r="AI94" s="528" t="str">
        <f t="shared" si="105"/>
        <v/>
      </c>
      <c r="AJ94" s="529" t="str">
        <f t="shared" si="106"/>
        <v/>
      </c>
      <c r="AK94" s="578" t="str">
        <f t="shared" si="247"/>
        <v/>
      </c>
      <c r="AL94" s="572" t="str">
        <f t="shared" si="107"/>
        <v/>
      </c>
      <c r="AM94" s="577" t="str">
        <f t="shared" si="108"/>
        <v/>
      </c>
      <c r="AN94" s="524" t="str">
        <f t="shared" si="109"/>
        <v/>
      </c>
      <c r="AO94" s="525" t="str">
        <f t="shared" si="604"/>
        <v/>
      </c>
      <c r="AP94" s="528" t="str">
        <f t="shared" si="111"/>
        <v/>
      </c>
      <c r="AQ94" s="529" t="str">
        <f t="shared" si="650"/>
        <v/>
      </c>
      <c r="AS94" s="954" t="str">
        <f t="shared" si="755"/>
        <v/>
      </c>
      <c r="AT94" s="950" t="str">
        <f t="shared" si="651"/>
        <v/>
      </c>
      <c r="AU94" s="418"/>
      <c r="AV94" s="164" t="str">
        <f t="shared" si="652"/>
        <v/>
      </c>
      <c r="AW94" s="797" t="str">
        <f>IFERROR(INDEX(MassProp!C$9:C$150,MATCH($M94,MassProp!$B$9:$B$150,0)),"")</f>
        <v/>
      </c>
      <c r="AX94" s="744" t="str">
        <f>IFERROR(INDEX(MassProp!D$9:D$150,MATCH($M94,MassProp!$B$9:$B$150,0)),"")</f>
        <v/>
      </c>
      <c r="AY94" s="731" t="str">
        <f>IFERROR(INDEX(MassProp!E$9:E$150,MATCH($M94,MassProp!$B$9:$B$150,0)),"")</f>
        <v/>
      </c>
      <c r="AZ94" s="297" t="str">
        <f t="shared" si="756"/>
        <v/>
      </c>
      <c r="BA94" s="296" t="str">
        <f t="shared" si="653"/>
        <v/>
      </c>
      <c r="BB94" s="177" t="str">
        <f t="shared" si="730"/>
        <v/>
      </c>
      <c r="BC94" s="9"/>
      <c r="BD94" s="5" t="str">
        <f t="shared" si="731"/>
        <v/>
      </c>
      <c r="BE94" s="6" t="str">
        <f t="shared" si="654"/>
        <v/>
      </c>
      <c r="BF94" s="4" t="str">
        <f t="shared" si="655"/>
        <v/>
      </c>
      <c r="BG94" s="5" t="str">
        <f t="shared" si="656"/>
        <v/>
      </c>
      <c r="BH94" s="10" t="str">
        <f t="shared" si="657"/>
        <v/>
      </c>
      <c r="BI94" s="9" t="str">
        <f t="shared" si="757"/>
        <v/>
      </c>
      <c r="BJ94" s="5" t="str">
        <f t="shared" si="658"/>
        <v/>
      </c>
      <c r="BK94" s="8" t="str">
        <f t="shared" si="659"/>
        <v/>
      </c>
      <c r="BL94" s="173" t="str">
        <f t="shared" si="660"/>
        <v/>
      </c>
      <c r="BM94" s="5" t="str">
        <f t="shared" si="661"/>
        <v/>
      </c>
      <c r="BN94" s="6" t="str">
        <f t="shared" si="662"/>
        <v/>
      </c>
      <c r="BO94" s="4" t="str">
        <f t="shared" si="758"/>
        <v/>
      </c>
      <c r="BP94" s="5" t="str">
        <f t="shared" si="759"/>
        <v/>
      </c>
      <c r="BQ94" s="5" t="str">
        <f t="shared" si="760"/>
        <v/>
      </c>
      <c r="BR94" s="6" t="str">
        <f t="shared" si="761"/>
        <v/>
      </c>
      <c r="BS94" s="4" t="str">
        <f t="shared" si="732"/>
        <v/>
      </c>
      <c r="BT94" s="5" t="str">
        <f t="shared" si="732"/>
        <v/>
      </c>
      <c r="BU94" s="10" t="str">
        <f t="shared" si="733"/>
        <v/>
      </c>
      <c r="BV94" s="9" t="str">
        <f t="shared" si="734"/>
        <v/>
      </c>
      <c r="BW94" s="5" t="str">
        <f t="shared" si="735"/>
        <v/>
      </c>
      <c r="BX94" s="8" t="str">
        <f t="shared" si="736"/>
        <v/>
      </c>
      <c r="BY94" s="173" t="str">
        <f t="shared" si="737"/>
        <v/>
      </c>
      <c r="BZ94" s="5" t="str">
        <f t="shared" si="738"/>
        <v/>
      </c>
      <c r="CA94" s="6" t="str">
        <f t="shared" si="739"/>
        <v/>
      </c>
      <c r="CB94" s="4" t="str">
        <f t="shared" si="762"/>
        <v/>
      </c>
      <c r="CC94" s="5" t="str">
        <f t="shared" si="763"/>
        <v/>
      </c>
      <c r="CD94" s="5" t="str">
        <f t="shared" si="764"/>
        <v/>
      </c>
      <c r="CE94" s="6" t="str">
        <f t="shared" si="765"/>
        <v/>
      </c>
      <c r="CF94" s="4" t="str">
        <f t="shared" si="766"/>
        <v/>
      </c>
      <c r="CG94" s="5" t="str">
        <f t="shared" si="767"/>
        <v/>
      </c>
      <c r="CH94" s="5" t="str">
        <f t="shared" si="768"/>
        <v/>
      </c>
      <c r="CI94" s="4" t="str">
        <f t="shared" si="740"/>
        <v/>
      </c>
      <c r="CJ94" s="5" t="str">
        <f t="shared" si="741"/>
        <v/>
      </c>
      <c r="CK94" s="8" t="str">
        <f t="shared" si="742"/>
        <v/>
      </c>
      <c r="CL94" s="173" t="str">
        <f t="shared" si="743"/>
        <v/>
      </c>
      <c r="CM94" s="5" t="str">
        <f t="shared" si="744"/>
        <v/>
      </c>
      <c r="CN94" s="6" t="str">
        <f t="shared" si="745"/>
        <v/>
      </c>
      <c r="CO94" s="167" t="str">
        <f t="shared" si="663"/>
        <v/>
      </c>
      <c r="CP94" s="4" t="str">
        <f t="shared" si="769"/>
        <v/>
      </c>
      <c r="CQ94" s="5" t="str">
        <f t="shared" si="770"/>
        <v/>
      </c>
      <c r="CR94" s="5" t="str">
        <f t="shared" si="771"/>
        <v/>
      </c>
      <c r="CS94" s="8" t="str">
        <f t="shared" si="772"/>
        <v/>
      </c>
      <c r="CT94" s="9" t="str">
        <f t="shared" si="773"/>
        <v/>
      </c>
      <c r="CU94" s="6" t="str">
        <f t="shared" si="774"/>
        <v/>
      </c>
      <c r="CV94" s="4" t="str">
        <f t="shared" si="775"/>
        <v/>
      </c>
      <c r="CW94" s="5" t="str">
        <f t="shared" si="776"/>
        <v/>
      </c>
      <c r="CX94" s="8" t="str">
        <f t="shared" si="777"/>
        <v/>
      </c>
      <c r="CY94" s="9" t="str">
        <f t="shared" si="778"/>
        <v/>
      </c>
      <c r="CZ94" s="5" t="str">
        <f t="shared" si="779"/>
        <v/>
      </c>
      <c r="DA94" s="6" t="str">
        <f t="shared" si="780"/>
        <v/>
      </c>
      <c r="DB94" s="4" t="str">
        <f t="shared" si="781"/>
        <v/>
      </c>
      <c r="DC94" s="5" t="str">
        <f t="shared" si="781"/>
        <v/>
      </c>
      <c r="DD94" s="10" t="str">
        <f t="shared" si="782"/>
        <v/>
      </c>
      <c r="DE94" s="9" t="str">
        <f t="shared" si="783"/>
        <v/>
      </c>
      <c r="DF94" s="5" t="str">
        <f t="shared" si="783"/>
        <v/>
      </c>
      <c r="DG94" s="10" t="str">
        <f t="shared" si="784"/>
        <v/>
      </c>
      <c r="DH94" s="70" t="str">
        <f t="shared" si="785"/>
        <v/>
      </c>
      <c r="DI94" s="4" t="str">
        <f t="shared" si="786"/>
        <v/>
      </c>
      <c r="DJ94" s="5" t="str">
        <f t="shared" si="787"/>
        <v/>
      </c>
      <c r="DK94" s="10" t="str">
        <f t="shared" si="788"/>
        <v/>
      </c>
      <c r="DL94" s="9" t="str">
        <f t="shared" si="789"/>
        <v/>
      </c>
      <c r="DM94" s="173" t="str">
        <f t="shared" si="790"/>
        <v/>
      </c>
      <c r="DN94" s="178" t="str">
        <f t="shared" si="791"/>
        <v/>
      </c>
      <c r="DO94" s="9" t="str">
        <f t="shared" si="792"/>
        <v/>
      </c>
      <c r="DP94" s="173" t="str">
        <f t="shared" si="793"/>
        <v/>
      </c>
      <c r="DQ94" s="11" t="str">
        <f t="shared" si="794"/>
        <v/>
      </c>
      <c r="DR94" s="173" t="str">
        <f t="shared" si="795"/>
        <v/>
      </c>
      <c r="DS94" s="5" t="str">
        <f t="shared" si="796"/>
        <v/>
      </c>
      <c r="DT94" s="5" t="str">
        <f t="shared" si="797"/>
        <v/>
      </c>
      <c r="DU94" s="5" t="str">
        <f t="shared" si="798"/>
        <v/>
      </c>
      <c r="DV94" s="5" t="str">
        <f t="shared" si="799"/>
        <v/>
      </c>
      <c r="DW94" s="5" t="str">
        <f t="shared" si="800"/>
        <v/>
      </c>
      <c r="DX94" s="167" t="str">
        <f t="shared" si="801"/>
        <v/>
      </c>
      <c r="DY94" s="9" t="str">
        <f t="shared" si="802"/>
        <v/>
      </c>
      <c r="DZ94" s="5" t="str">
        <f t="shared" si="803"/>
        <v/>
      </c>
      <c r="EA94" s="10" t="str">
        <f t="shared" si="804"/>
        <v/>
      </c>
      <c r="EB94" s="6" t="str">
        <f t="shared" si="805"/>
        <v/>
      </c>
      <c r="EC94" s="173" t="str">
        <f t="shared" si="806"/>
        <v/>
      </c>
      <c r="ED94" s="5" t="str">
        <f t="shared" si="807"/>
        <v/>
      </c>
      <c r="EE94" s="4" t="str">
        <f t="shared" si="808"/>
        <v/>
      </c>
      <c r="EF94" s="5" t="str">
        <f t="shared" si="809"/>
        <v/>
      </c>
      <c r="EG94" s="10" t="str">
        <f t="shared" si="810"/>
        <v/>
      </c>
      <c r="EH94" s="9" t="str">
        <f t="shared" si="811"/>
        <v/>
      </c>
      <c r="EI94" s="5" t="str">
        <f t="shared" si="812"/>
        <v/>
      </c>
      <c r="EJ94" s="6" t="str">
        <f t="shared" si="813"/>
        <v/>
      </c>
      <c r="EK94" s="236" t="str">
        <f t="shared" si="814"/>
        <v/>
      </c>
      <c r="EL94" s="238" t="str">
        <f t="shared" si="815"/>
        <v/>
      </c>
      <c r="EM94" s="4" t="str">
        <f t="shared" si="816"/>
        <v/>
      </c>
      <c r="EN94" s="5" t="str">
        <f t="shared" si="817"/>
        <v/>
      </c>
      <c r="EO94" s="10" t="str">
        <f t="shared" si="818"/>
        <v/>
      </c>
      <c r="EP94" s="9" t="str">
        <f t="shared" si="819"/>
        <v/>
      </c>
      <c r="EQ94" s="5" t="str">
        <f t="shared" si="820"/>
        <v/>
      </c>
      <c r="ER94" s="7" t="str">
        <f t="shared" si="821"/>
        <v/>
      </c>
      <c r="ES94" s="21" t="str">
        <f t="shared" si="664"/>
        <v/>
      </c>
      <c r="ET94" s="5" t="str">
        <f t="shared" si="665"/>
        <v/>
      </c>
      <c r="EU94" s="10" t="str">
        <f t="shared" si="666"/>
        <v/>
      </c>
      <c r="EV94" s="174" t="str">
        <f t="shared" si="667"/>
        <v/>
      </c>
      <c r="EW94" s="9" t="str">
        <f t="shared" si="668"/>
        <v/>
      </c>
      <c r="EX94" s="5" t="str">
        <f t="shared" si="669"/>
        <v/>
      </c>
      <c r="EY94" s="6" t="str">
        <f t="shared" si="822"/>
        <v/>
      </c>
      <c r="EZ94" s="51" t="str">
        <f t="shared" si="823"/>
        <v/>
      </c>
      <c r="FA94" s="173" t="str">
        <f t="shared" si="670"/>
        <v/>
      </c>
      <c r="FB94" s="5" t="str">
        <f t="shared" si="671"/>
        <v/>
      </c>
      <c r="FC94" s="6" t="str">
        <f t="shared" si="672"/>
        <v/>
      </c>
      <c r="FD94" s="4" t="str">
        <f t="shared" si="673"/>
        <v/>
      </c>
      <c r="FE94" s="5" t="str">
        <f t="shared" si="674"/>
        <v/>
      </c>
      <c r="FF94" s="7" t="str">
        <f t="shared" si="824"/>
        <v/>
      </c>
      <c r="FG94" s="173" t="str">
        <f t="shared" si="675"/>
        <v/>
      </c>
      <c r="FH94" s="5" t="str">
        <f t="shared" si="676"/>
        <v/>
      </c>
      <c r="FI94" s="10" t="str">
        <f t="shared" si="677"/>
        <v/>
      </c>
      <c r="FJ94" s="279" t="str">
        <f t="shared" si="825"/>
        <v/>
      </c>
      <c r="FK94" s="4" t="str">
        <f t="shared" si="678"/>
        <v/>
      </c>
      <c r="FL94" s="5" t="str">
        <f t="shared" si="746"/>
        <v/>
      </c>
      <c r="FM94" s="8" t="str">
        <f t="shared" si="747"/>
        <v/>
      </c>
      <c r="FN94" s="9" t="str">
        <f t="shared" si="748"/>
        <v/>
      </c>
      <c r="FO94" s="10" t="str">
        <f t="shared" si="679"/>
        <v/>
      </c>
      <c r="FP94" s="277" t="str">
        <f t="shared" si="749"/>
        <v/>
      </c>
      <c r="FQ94" s="173" t="str">
        <f t="shared" si="826"/>
        <v/>
      </c>
      <c r="FR94" s="10" t="str">
        <f t="shared" si="827"/>
        <v/>
      </c>
      <c r="FS94" s="9" t="str">
        <f t="shared" si="828"/>
        <v/>
      </c>
      <c r="FT94" s="6" t="str">
        <f t="shared" si="829"/>
        <v/>
      </c>
      <c r="FU94" s="4" t="str">
        <f t="shared" si="830"/>
        <v/>
      </c>
      <c r="FV94" s="5" t="str">
        <f t="shared" si="831"/>
        <v/>
      </c>
      <c r="FW94" s="8" t="str">
        <f t="shared" si="832"/>
        <v/>
      </c>
      <c r="FX94" s="9" t="str">
        <f t="shared" si="833"/>
        <v/>
      </c>
      <c r="FY94" s="10" t="str">
        <f t="shared" si="680"/>
        <v/>
      </c>
      <c r="FZ94" s="277" t="str">
        <f t="shared" si="834"/>
        <v/>
      </c>
      <c r="GA94" s="177" t="str">
        <f t="shared" si="835"/>
        <v/>
      </c>
      <c r="GB94" s="4" t="str">
        <f t="shared" si="836"/>
        <v/>
      </c>
      <c r="GC94" s="5" t="str">
        <f t="shared" si="837"/>
        <v/>
      </c>
      <c r="GD94" s="10" t="str">
        <f t="shared" si="838"/>
        <v/>
      </c>
      <c r="GE94" s="311" t="str">
        <f t="shared" si="839"/>
        <v/>
      </c>
      <c r="GF94" s="341" t="str">
        <f t="shared" si="840"/>
        <v/>
      </c>
      <c r="GG94" s="285" t="str">
        <f t="shared" si="681"/>
        <v/>
      </c>
      <c r="GH94" s="286" t="str">
        <f t="shared" si="682"/>
        <v/>
      </c>
      <c r="GI94" s="281" t="str">
        <f t="shared" si="683"/>
        <v/>
      </c>
      <c r="GJ94" s="167" t="str">
        <f t="shared" si="841"/>
        <v/>
      </c>
      <c r="GK94" s="174" t="str">
        <f t="shared" si="684"/>
        <v/>
      </c>
      <c r="GL94" s="174" t="str">
        <f t="shared" si="842"/>
        <v/>
      </c>
      <c r="GM94" s="177" t="str">
        <f t="shared" si="843"/>
        <v/>
      </c>
      <c r="GN94" s="280" t="str">
        <f t="shared" si="844"/>
        <v/>
      </c>
      <c r="GO94" s="4" t="str">
        <f t="shared" si="845"/>
        <v/>
      </c>
      <c r="GP94" s="8" t="str">
        <f t="shared" si="846"/>
        <v/>
      </c>
      <c r="GQ94" s="177" t="str">
        <f t="shared" si="847"/>
        <v/>
      </c>
      <c r="GR94" s="371" t="str">
        <f t="shared" si="848"/>
        <v/>
      </c>
      <c r="GS94" s="342" t="str">
        <f t="shared" si="685"/>
        <v/>
      </c>
      <c r="GT94" s="343" t="str">
        <f t="shared" si="686"/>
        <v/>
      </c>
      <c r="GU94" s="344" t="str">
        <f t="shared" si="687"/>
        <v/>
      </c>
      <c r="GV94" s="343" t="str">
        <f t="shared" si="849"/>
        <v/>
      </c>
      <c r="GW94" s="345" t="str">
        <f t="shared" si="688"/>
        <v/>
      </c>
      <c r="GX94" s="346" t="str">
        <f t="shared" si="689"/>
        <v/>
      </c>
      <c r="GY94" s="344" t="str">
        <f t="shared" si="690"/>
        <v/>
      </c>
      <c r="GZ94" s="345" t="str">
        <f t="shared" si="691"/>
        <v/>
      </c>
      <c r="HA94" s="342" t="str">
        <f t="shared" si="692"/>
        <v/>
      </c>
      <c r="HB94" s="5" t="str">
        <f t="shared" si="850"/>
        <v/>
      </c>
      <c r="HC94" s="343" t="str">
        <f t="shared" si="851"/>
        <v/>
      </c>
      <c r="HD94" s="363" t="str">
        <f t="shared" si="852"/>
        <v/>
      </c>
      <c r="HE94" s="344" t="str">
        <f t="shared" si="693"/>
        <v/>
      </c>
      <c r="HF94" s="5" t="str">
        <f t="shared" si="694"/>
        <v/>
      </c>
      <c r="HG94" s="343" t="str">
        <f t="shared" si="853"/>
        <v/>
      </c>
      <c r="HH94" s="349" t="str">
        <f t="shared" si="854"/>
        <v/>
      </c>
      <c r="HI94" s="317" t="str">
        <f t="shared" si="695"/>
        <v/>
      </c>
      <c r="HK94" s="310" t="str">
        <f t="shared" si="750"/>
        <v/>
      </c>
      <c r="HL94" s="348" t="str">
        <f t="shared" si="696"/>
        <v/>
      </c>
      <c r="HM94" s="923" t="str">
        <f t="shared" si="697"/>
        <v/>
      </c>
      <c r="HN94" s="924" t="str">
        <f t="shared" si="698"/>
        <v/>
      </c>
      <c r="HO94" s="925"/>
      <c r="HP94" s="926"/>
      <c r="HQ94" s="924" t="str">
        <f t="shared" si="699"/>
        <v/>
      </c>
      <c r="HR94" s="927" t="str">
        <f t="shared" si="700"/>
        <v/>
      </c>
      <c r="HS94" s="879" t="str">
        <f t="shared" si="751"/>
        <v/>
      </c>
      <c r="HT94" s="889" t="str">
        <f t="shared" si="701"/>
        <v/>
      </c>
      <c r="HU94" s="890" t="str">
        <f t="shared" si="702"/>
        <v/>
      </c>
      <c r="HV94" s="886" t="str">
        <f t="shared" si="703"/>
        <v/>
      </c>
      <c r="HW94" s="880" t="str">
        <f t="shared" si="704"/>
        <v/>
      </c>
      <c r="HX94" s="881" t="str">
        <f t="shared" si="705"/>
        <v/>
      </c>
      <c r="HY94" s="880" t="str">
        <f t="shared" si="706"/>
        <v/>
      </c>
      <c r="HZ94" s="882" t="str">
        <f t="shared" si="707"/>
        <v/>
      </c>
      <c r="IA94" s="883" t="str">
        <f t="shared" si="708"/>
        <v/>
      </c>
      <c r="IB94" s="884" t="str">
        <f t="shared" si="709"/>
        <v/>
      </c>
      <c r="IC94" s="855" t="str">
        <f t="shared" si="710"/>
        <v/>
      </c>
      <c r="ID94" s="351" t="str">
        <f t="shared" si="711"/>
        <v/>
      </c>
      <c r="IE94" s="857" t="str">
        <f t="shared" si="712"/>
        <v/>
      </c>
      <c r="IF94" s="858"/>
      <c r="IG94" s="790" t="str">
        <f>IFERROR(IF($IW94="","",IF($IW94&lt;(((Settings!$C$19/2)*-1)*$IG$8),"Taper","Nose")),"")</f>
        <v/>
      </c>
      <c r="IH94" s="482" t="str">
        <f>IFERROR(IF((((($IY94*COS(RADIANS(180-$JA94)))*COS(RADIANS($JA94)))-(($IZ94*SIN(RADIANS(180-$JA94)))*SIN(RADIANS($JA94))))+$IW94)&lt;(((Settings!$C$19+$IH$8)/2)*-1),"Gage",""),"")</f>
        <v/>
      </c>
      <c r="II94" s="788" t="str">
        <f t="shared" si="855"/>
        <v/>
      </c>
      <c r="IJ94" s="674" t="str" cm="1">
        <f t="array" ref="IJ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K94" s="677" t="str" cm="1">
        <f t="array" ref="IK94">IFERROR(ROUND(VALUE(IF($IJ94&lt;1,$IJ94+LARGE((IF($M$9:$M$150="",0,$M$9:$M$150)-MOD(IF($M$9:$M$150="",0,$M$9:$M$150),1)),1),$IJ94)),4),"")</f>
        <v/>
      </c>
      <c r="IL94" s="482" t="str">
        <f t="shared" si="713"/>
        <v/>
      </c>
      <c r="IM94" s="482" t="str">
        <f t="shared" si="856"/>
        <v/>
      </c>
      <c r="IN94" s="670" t="str">
        <f t="shared" si="714"/>
        <v/>
      </c>
      <c r="IO94" s="702"/>
      <c r="IP94" s="5" t="str">
        <f t="shared" si="715"/>
        <v/>
      </c>
      <c r="IQ94" s="714"/>
      <c r="IR94" s="9" t="str">
        <f t="shared" si="716"/>
        <v/>
      </c>
      <c r="IS94" s="5" t="str">
        <f t="shared" si="717"/>
        <v/>
      </c>
      <c r="IT94" s="5" t="str">
        <f t="shared" si="718"/>
        <v/>
      </c>
      <c r="IU94" s="5" t="str">
        <f t="shared" si="719"/>
        <v/>
      </c>
      <c r="IV94" s="670" t="str">
        <f t="shared" si="720"/>
        <v/>
      </c>
      <c r="IW94" s="9" t="str">
        <f t="shared" si="721"/>
        <v/>
      </c>
      <c r="IX94" s="5" t="str">
        <f t="shared" si="722"/>
        <v/>
      </c>
      <c r="IY94" s="5" t="str">
        <f t="shared" si="723"/>
        <v/>
      </c>
      <c r="IZ94" s="5" t="str">
        <f t="shared" si="724"/>
        <v/>
      </c>
      <c r="JA94" s="705" t="str">
        <f t="shared" si="725"/>
        <v/>
      </c>
      <c r="JN94" s="960"/>
      <c r="JO94" s="162"/>
      <c r="JP94" s="961"/>
      <c r="JQ94" s="961"/>
    </row>
    <row r="95" spans="1:283" ht="15" customHeight="1" x14ac:dyDescent="0.25">
      <c r="A95" s="75" t="str">
        <f t="shared" si="640"/>
        <v/>
      </c>
      <c r="B95" s="578" t="str">
        <f t="shared" ref="B95:D95" si="897">IFERROR(O250+($A95*-E95),"")</f>
        <v/>
      </c>
      <c r="C95" s="572" t="str">
        <f t="shared" si="897"/>
        <v/>
      </c>
      <c r="D95" s="576" t="str">
        <f t="shared" si="897"/>
        <v/>
      </c>
      <c r="E95" s="580" t="str">
        <f t="shared" ref="E95:K95" si="898">R250</f>
        <v/>
      </c>
      <c r="F95" s="572" t="str">
        <f t="shared" si="898"/>
        <v/>
      </c>
      <c r="G95" s="579" t="str">
        <f t="shared" si="898"/>
        <v/>
      </c>
      <c r="H95" s="580" t="str">
        <f t="shared" si="898"/>
        <v/>
      </c>
      <c r="I95" s="572" t="str">
        <f t="shared" si="898"/>
        <v/>
      </c>
      <c r="J95" s="483" t="str">
        <f t="shared" si="728"/>
        <v/>
      </c>
      <c r="K95" s="806" t="str">
        <f t="shared" si="898"/>
        <v/>
      </c>
      <c r="L95" s="309"/>
      <c r="M95" s="164" t="str">
        <f t="shared" si="643"/>
        <v/>
      </c>
      <c r="N95" s="575" t="str">
        <f t="shared" si="644"/>
        <v/>
      </c>
      <c r="O95" s="572" t="str">
        <f t="shared" si="645"/>
        <v/>
      </c>
      <c r="P95" s="576" t="str">
        <f t="shared" si="646"/>
        <v/>
      </c>
      <c r="Q95" s="528" t="str">
        <f t="shared" si="729"/>
        <v/>
      </c>
      <c r="R95" s="572" t="str">
        <f t="shared" si="95"/>
        <v/>
      </c>
      <c r="S95" s="577" t="str">
        <f t="shared" si="96"/>
        <v/>
      </c>
      <c r="T95" s="578" t="str">
        <f t="shared" si="97"/>
        <v/>
      </c>
      <c r="U95" s="572" t="str">
        <f t="shared" si="98"/>
        <v/>
      </c>
      <c r="V95" s="579" t="str">
        <f t="shared" si="145"/>
        <v/>
      </c>
      <c r="W95" s="528" t="str">
        <f t="shared" si="866"/>
        <v/>
      </c>
      <c r="X95" s="572" t="str">
        <f t="shared" si="99"/>
        <v/>
      </c>
      <c r="Y95" s="573" t="str">
        <f t="shared" si="859"/>
        <v/>
      </c>
      <c r="Z95" s="575" t="str">
        <f t="shared" si="647"/>
        <v/>
      </c>
      <c r="AA95" s="572" t="str">
        <f t="shared" si="648"/>
        <v/>
      </c>
      <c r="AB95" s="572" t="str">
        <f t="shared" si="649"/>
        <v/>
      </c>
      <c r="AC95" s="579" t="str">
        <f t="shared" si="100"/>
        <v/>
      </c>
      <c r="AD95" s="580" t="str">
        <f t="shared" si="146"/>
        <v/>
      </c>
      <c r="AE95" s="572" t="str">
        <f t="shared" si="101"/>
        <v/>
      </c>
      <c r="AF95" s="576" t="str">
        <f t="shared" si="102"/>
        <v/>
      </c>
      <c r="AG95" s="545" t="str">
        <f t="shared" si="103"/>
        <v/>
      </c>
      <c r="AH95" s="546" t="str">
        <f t="shared" si="104"/>
        <v/>
      </c>
      <c r="AI95" s="528" t="str">
        <f t="shared" si="105"/>
        <v/>
      </c>
      <c r="AJ95" s="529" t="str">
        <f t="shared" si="106"/>
        <v/>
      </c>
      <c r="AK95" s="578" t="str">
        <f t="shared" si="247"/>
        <v/>
      </c>
      <c r="AL95" s="572" t="str">
        <f t="shared" si="107"/>
        <v/>
      </c>
      <c r="AM95" s="577" t="str">
        <f t="shared" si="108"/>
        <v/>
      </c>
      <c r="AN95" s="524" t="str">
        <f t="shared" si="109"/>
        <v/>
      </c>
      <c r="AO95" s="525" t="str">
        <f t="shared" si="604"/>
        <v/>
      </c>
      <c r="AP95" s="528" t="str">
        <f t="shared" si="111"/>
        <v/>
      </c>
      <c r="AQ95" s="529" t="str">
        <f t="shared" si="650"/>
        <v/>
      </c>
      <c r="AS95" s="954" t="str">
        <f t="shared" si="755"/>
        <v/>
      </c>
      <c r="AT95" s="950" t="str">
        <f t="shared" si="651"/>
        <v/>
      </c>
      <c r="AU95" s="418"/>
      <c r="AV95" s="164" t="str">
        <f t="shared" si="652"/>
        <v/>
      </c>
      <c r="AW95" s="797" t="str">
        <f>IFERROR(INDEX(MassProp!C$9:C$150,MATCH($M95,MassProp!$B$9:$B$150,0)),"")</f>
        <v/>
      </c>
      <c r="AX95" s="744" t="str">
        <f>IFERROR(INDEX(MassProp!D$9:D$150,MATCH($M95,MassProp!$B$9:$B$150,0)),"")</f>
        <v/>
      </c>
      <c r="AY95" s="731" t="str">
        <f>IFERROR(INDEX(MassProp!E$9:E$150,MATCH($M95,MassProp!$B$9:$B$150,0)),"")</f>
        <v/>
      </c>
      <c r="AZ95" s="297" t="str">
        <f t="shared" si="756"/>
        <v/>
      </c>
      <c r="BA95" s="296" t="str">
        <f t="shared" si="653"/>
        <v/>
      </c>
      <c r="BB95" s="177" t="str">
        <f t="shared" si="730"/>
        <v/>
      </c>
      <c r="BC95" s="9"/>
      <c r="BD95" s="5" t="str">
        <f t="shared" si="731"/>
        <v/>
      </c>
      <c r="BE95" s="6" t="str">
        <f t="shared" si="654"/>
        <v/>
      </c>
      <c r="BF95" s="4" t="str">
        <f t="shared" si="655"/>
        <v/>
      </c>
      <c r="BG95" s="5" t="str">
        <f t="shared" si="656"/>
        <v/>
      </c>
      <c r="BH95" s="10" t="str">
        <f t="shared" si="657"/>
        <v/>
      </c>
      <c r="BI95" s="9" t="str">
        <f t="shared" si="757"/>
        <v/>
      </c>
      <c r="BJ95" s="5" t="str">
        <f t="shared" si="658"/>
        <v/>
      </c>
      <c r="BK95" s="8" t="str">
        <f t="shared" si="659"/>
        <v/>
      </c>
      <c r="BL95" s="173" t="str">
        <f t="shared" si="660"/>
        <v/>
      </c>
      <c r="BM95" s="5" t="str">
        <f t="shared" si="661"/>
        <v/>
      </c>
      <c r="BN95" s="6" t="str">
        <f t="shared" si="662"/>
        <v/>
      </c>
      <c r="BO95" s="4" t="str">
        <f t="shared" si="758"/>
        <v/>
      </c>
      <c r="BP95" s="5" t="str">
        <f t="shared" si="759"/>
        <v/>
      </c>
      <c r="BQ95" s="5" t="str">
        <f t="shared" si="760"/>
        <v/>
      </c>
      <c r="BR95" s="6" t="str">
        <f t="shared" si="761"/>
        <v/>
      </c>
      <c r="BS95" s="4" t="str">
        <f t="shared" si="732"/>
        <v/>
      </c>
      <c r="BT95" s="5" t="str">
        <f t="shared" si="732"/>
        <v/>
      </c>
      <c r="BU95" s="10" t="str">
        <f t="shared" si="733"/>
        <v/>
      </c>
      <c r="BV95" s="9" t="str">
        <f t="shared" si="734"/>
        <v/>
      </c>
      <c r="BW95" s="5" t="str">
        <f t="shared" si="735"/>
        <v/>
      </c>
      <c r="BX95" s="8" t="str">
        <f t="shared" si="736"/>
        <v/>
      </c>
      <c r="BY95" s="173" t="str">
        <f t="shared" si="737"/>
        <v/>
      </c>
      <c r="BZ95" s="5" t="str">
        <f t="shared" si="738"/>
        <v/>
      </c>
      <c r="CA95" s="6" t="str">
        <f t="shared" si="739"/>
        <v/>
      </c>
      <c r="CB95" s="4" t="str">
        <f t="shared" si="762"/>
        <v/>
      </c>
      <c r="CC95" s="5" t="str">
        <f t="shared" si="763"/>
        <v/>
      </c>
      <c r="CD95" s="5" t="str">
        <f t="shared" si="764"/>
        <v/>
      </c>
      <c r="CE95" s="6" t="str">
        <f t="shared" si="765"/>
        <v/>
      </c>
      <c r="CF95" s="4" t="str">
        <f t="shared" si="766"/>
        <v/>
      </c>
      <c r="CG95" s="5" t="str">
        <f t="shared" si="767"/>
        <v/>
      </c>
      <c r="CH95" s="5" t="str">
        <f t="shared" si="768"/>
        <v/>
      </c>
      <c r="CI95" s="4" t="str">
        <f t="shared" si="740"/>
        <v/>
      </c>
      <c r="CJ95" s="5" t="str">
        <f t="shared" si="741"/>
        <v/>
      </c>
      <c r="CK95" s="8" t="str">
        <f t="shared" si="742"/>
        <v/>
      </c>
      <c r="CL95" s="173" t="str">
        <f t="shared" si="743"/>
        <v/>
      </c>
      <c r="CM95" s="5" t="str">
        <f t="shared" si="744"/>
        <v/>
      </c>
      <c r="CN95" s="6" t="str">
        <f t="shared" si="745"/>
        <v/>
      </c>
      <c r="CO95" s="167" t="str">
        <f t="shared" si="663"/>
        <v/>
      </c>
      <c r="CP95" s="4" t="str">
        <f t="shared" si="769"/>
        <v/>
      </c>
      <c r="CQ95" s="5" t="str">
        <f t="shared" si="770"/>
        <v/>
      </c>
      <c r="CR95" s="5" t="str">
        <f t="shared" si="771"/>
        <v/>
      </c>
      <c r="CS95" s="8" t="str">
        <f t="shared" si="772"/>
        <v/>
      </c>
      <c r="CT95" s="9" t="str">
        <f t="shared" si="773"/>
        <v/>
      </c>
      <c r="CU95" s="6" t="str">
        <f t="shared" si="774"/>
        <v/>
      </c>
      <c r="CV95" s="4" t="str">
        <f t="shared" si="775"/>
        <v/>
      </c>
      <c r="CW95" s="5" t="str">
        <f t="shared" si="776"/>
        <v/>
      </c>
      <c r="CX95" s="8" t="str">
        <f t="shared" si="777"/>
        <v/>
      </c>
      <c r="CY95" s="9" t="str">
        <f t="shared" si="778"/>
        <v/>
      </c>
      <c r="CZ95" s="5" t="str">
        <f t="shared" si="779"/>
        <v/>
      </c>
      <c r="DA95" s="6" t="str">
        <f t="shared" si="780"/>
        <v/>
      </c>
      <c r="DB95" s="4" t="str">
        <f t="shared" si="781"/>
        <v/>
      </c>
      <c r="DC95" s="5" t="str">
        <f t="shared" si="781"/>
        <v/>
      </c>
      <c r="DD95" s="10" t="str">
        <f t="shared" si="782"/>
        <v/>
      </c>
      <c r="DE95" s="9" t="str">
        <f t="shared" si="783"/>
        <v/>
      </c>
      <c r="DF95" s="5" t="str">
        <f t="shared" si="783"/>
        <v/>
      </c>
      <c r="DG95" s="10" t="str">
        <f t="shared" si="784"/>
        <v/>
      </c>
      <c r="DH95" s="70" t="str">
        <f t="shared" si="785"/>
        <v/>
      </c>
      <c r="DI95" s="4" t="str">
        <f t="shared" si="786"/>
        <v/>
      </c>
      <c r="DJ95" s="5" t="str">
        <f t="shared" si="787"/>
        <v/>
      </c>
      <c r="DK95" s="10" t="str">
        <f t="shared" si="788"/>
        <v/>
      </c>
      <c r="DL95" s="9" t="str">
        <f t="shared" si="789"/>
        <v/>
      </c>
      <c r="DM95" s="173" t="str">
        <f t="shared" si="790"/>
        <v/>
      </c>
      <c r="DN95" s="178" t="str">
        <f t="shared" si="791"/>
        <v/>
      </c>
      <c r="DO95" s="9" t="str">
        <f t="shared" si="792"/>
        <v/>
      </c>
      <c r="DP95" s="173" t="str">
        <f t="shared" si="793"/>
        <v/>
      </c>
      <c r="DQ95" s="11" t="str">
        <f t="shared" si="794"/>
        <v/>
      </c>
      <c r="DR95" s="173" t="str">
        <f t="shared" si="795"/>
        <v/>
      </c>
      <c r="DS95" s="5" t="str">
        <f t="shared" si="796"/>
        <v/>
      </c>
      <c r="DT95" s="5" t="str">
        <f t="shared" si="797"/>
        <v/>
      </c>
      <c r="DU95" s="5" t="str">
        <f t="shared" si="798"/>
        <v/>
      </c>
      <c r="DV95" s="5" t="str">
        <f t="shared" si="799"/>
        <v/>
      </c>
      <c r="DW95" s="5" t="str">
        <f t="shared" si="800"/>
        <v/>
      </c>
      <c r="DX95" s="167" t="str">
        <f t="shared" si="801"/>
        <v/>
      </c>
      <c r="DY95" s="9" t="str">
        <f t="shared" si="802"/>
        <v/>
      </c>
      <c r="DZ95" s="5" t="str">
        <f t="shared" si="803"/>
        <v/>
      </c>
      <c r="EA95" s="10" t="str">
        <f t="shared" si="804"/>
        <v/>
      </c>
      <c r="EB95" s="6" t="str">
        <f t="shared" si="805"/>
        <v/>
      </c>
      <c r="EC95" s="173" t="str">
        <f t="shared" si="806"/>
        <v/>
      </c>
      <c r="ED95" s="5" t="str">
        <f t="shared" si="807"/>
        <v/>
      </c>
      <c r="EE95" s="4" t="str">
        <f t="shared" si="808"/>
        <v/>
      </c>
      <c r="EF95" s="5" t="str">
        <f t="shared" si="809"/>
        <v/>
      </c>
      <c r="EG95" s="10" t="str">
        <f t="shared" si="810"/>
        <v/>
      </c>
      <c r="EH95" s="9" t="str">
        <f t="shared" si="811"/>
        <v/>
      </c>
      <c r="EI95" s="5" t="str">
        <f t="shared" si="812"/>
        <v/>
      </c>
      <c r="EJ95" s="6" t="str">
        <f t="shared" si="813"/>
        <v/>
      </c>
      <c r="EK95" s="236" t="str">
        <f t="shared" si="814"/>
        <v/>
      </c>
      <c r="EL95" s="238" t="str">
        <f t="shared" si="815"/>
        <v/>
      </c>
      <c r="EM95" s="4" t="str">
        <f t="shared" si="816"/>
        <v/>
      </c>
      <c r="EN95" s="5" t="str">
        <f t="shared" si="817"/>
        <v/>
      </c>
      <c r="EO95" s="10" t="str">
        <f t="shared" si="818"/>
        <v/>
      </c>
      <c r="EP95" s="9" t="str">
        <f t="shared" si="819"/>
        <v/>
      </c>
      <c r="EQ95" s="5" t="str">
        <f t="shared" si="820"/>
        <v/>
      </c>
      <c r="ER95" s="7" t="str">
        <f t="shared" si="821"/>
        <v/>
      </c>
      <c r="ES95" s="21" t="str">
        <f t="shared" si="664"/>
        <v/>
      </c>
      <c r="ET95" s="5" t="str">
        <f t="shared" si="665"/>
        <v/>
      </c>
      <c r="EU95" s="10" t="str">
        <f t="shared" si="666"/>
        <v/>
      </c>
      <c r="EV95" s="174" t="str">
        <f t="shared" si="667"/>
        <v/>
      </c>
      <c r="EW95" s="9" t="str">
        <f t="shared" si="668"/>
        <v/>
      </c>
      <c r="EX95" s="5" t="str">
        <f t="shared" si="669"/>
        <v/>
      </c>
      <c r="EY95" s="6" t="str">
        <f t="shared" si="822"/>
        <v/>
      </c>
      <c r="EZ95" s="51" t="str">
        <f t="shared" si="823"/>
        <v/>
      </c>
      <c r="FA95" s="173" t="str">
        <f t="shared" si="670"/>
        <v/>
      </c>
      <c r="FB95" s="5" t="str">
        <f t="shared" si="671"/>
        <v/>
      </c>
      <c r="FC95" s="6" t="str">
        <f t="shared" si="672"/>
        <v/>
      </c>
      <c r="FD95" s="4" t="str">
        <f t="shared" si="673"/>
        <v/>
      </c>
      <c r="FE95" s="5" t="str">
        <f t="shared" si="674"/>
        <v/>
      </c>
      <c r="FF95" s="7" t="str">
        <f t="shared" si="824"/>
        <v/>
      </c>
      <c r="FG95" s="173" t="str">
        <f t="shared" si="675"/>
        <v/>
      </c>
      <c r="FH95" s="5" t="str">
        <f t="shared" si="676"/>
        <v/>
      </c>
      <c r="FI95" s="10" t="str">
        <f t="shared" si="677"/>
        <v/>
      </c>
      <c r="FJ95" s="279" t="str">
        <f t="shared" si="825"/>
        <v/>
      </c>
      <c r="FK95" s="4" t="str">
        <f t="shared" si="678"/>
        <v/>
      </c>
      <c r="FL95" s="5" t="str">
        <f t="shared" si="746"/>
        <v/>
      </c>
      <c r="FM95" s="8" t="str">
        <f t="shared" si="747"/>
        <v/>
      </c>
      <c r="FN95" s="9" t="str">
        <f t="shared" si="748"/>
        <v/>
      </c>
      <c r="FO95" s="10" t="str">
        <f t="shared" si="679"/>
        <v/>
      </c>
      <c r="FP95" s="277" t="str">
        <f t="shared" si="749"/>
        <v/>
      </c>
      <c r="FQ95" s="173" t="str">
        <f t="shared" si="826"/>
        <v/>
      </c>
      <c r="FR95" s="10" t="str">
        <f t="shared" si="827"/>
        <v/>
      </c>
      <c r="FS95" s="9" t="str">
        <f t="shared" si="828"/>
        <v/>
      </c>
      <c r="FT95" s="6" t="str">
        <f t="shared" si="829"/>
        <v/>
      </c>
      <c r="FU95" s="4" t="str">
        <f t="shared" si="830"/>
        <v/>
      </c>
      <c r="FV95" s="5" t="str">
        <f t="shared" si="831"/>
        <v/>
      </c>
      <c r="FW95" s="8" t="str">
        <f t="shared" si="832"/>
        <v/>
      </c>
      <c r="FX95" s="9" t="str">
        <f t="shared" si="833"/>
        <v/>
      </c>
      <c r="FY95" s="10" t="str">
        <f t="shared" si="680"/>
        <v/>
      </c>
      <c r="FZ95" s="277" t="str">
        <f t="shared" si="834"/>
        <v/>
      </c>
      <c r="GA95" s="177" t="str">
        <f t="shared" si="835"/>
        <v/>
      </c>
      <c r="GB95" s="4" t="str">
        <f t="shared" si="836"/>
        <v/>
      </c>
      <c r="GC95" s="5" t="str">
        <f t="shared" si="837"/>
        <v/>
      </c>
      <c r="GD95" s="10" t="str">
        <f t="shared" si="838"/>
        <v/>
      </c>
      <c r="GE95" s="311" t="str">
        <f t="shared" si="839"/>
        <v/>
      </c>
      <c r="GF95" s="341" t="str">
        <f t="shared" si="840"/>
        <v/>
      </c>
      <c r="GG95" s="285" t="str">
        <f t="shared" si="681"/>
        <v/>
      </c>
      <c r="GH95" s="286" t="str">
        <f t="shared" si="682"/>
        <v/>
      </c>
      <c r="GI95" s="281" t="str">
        <f t="shared" si="683"/>
        <v/>
      </c>
      <c r="GJ95" s="167" t="str">
        <f t="shared" si="841"/>
        <v/>
      </c>
      <c r="GK95" s="174" t="str">
        <f t="shared" si="684"/>
        <v/>
      </c>
      <c r="GL95" s="174" t="str">
        <f t="shared" si="842"/>
        <v/>
      </c>
      <c r="GM95" s="177" t="str">
        <f t="shared" si="843"/>
        <v/>
      </c>
      <c r="GN95" s="280" t="str">
        <f t="shared" si="844"/>
        <v/>
      </c>
      <c r="GO95" s="4" t="str">
        <f t="shared" si="845"/>
        <v/>
      </c>
      <c r="GP95" s="8" t="str">
        <f t="shared" si="846"/>
        <v/>
      </c>
      <c r="GQ95" s="177" t="str">
        <f t="shared" si="847"/>
        <v/>
      </c>
      <c r="GR95" s="371" t="str">
        <f t="shared" si="848"/>
        <v/>
      </c>
      <c r="GS95" s="342" t="str">
        <f t="shared" si="685"/>
        <v/>
      </c>
      <c r="GT95" s="343" t="str">
        <f t="shared" si="686"/>
        <v/>
      </c>
      <c r="GU95" s="344" t="str">
        <f t="shared" si="687"/>
        <v/>
      </c>
      <c r="GV95" s="343" t="str">
        <f t="shared" si="849"/>
        <v/>
      </c>
      <c r="GW95" s="345" t="str">
        <f t="shared" si="688"/>
        <v/>
      </c>
      <c r="GX95" s="346" t="str">
        <f t="shared" si="689"/>
        <v/>
      </c>
      <c r="GY95" s="344" t="str">
        <f t="shared" si="690"/>
        <v/>
      </c>
      <c r="GZ95" s="345" t="str">
        <f t="shared" si="691"/>
        <v/>
      </c>
      <c r="HA95" s="342" t="str">
        <f t="shared" si="692"/>
        <v/>
      </c>
      <c r="HB95" s="5" t="str">
        <f t="shared" si="850"/>
        <v/>
      </c>
      <c r="HC95" s="343" t="str">
        <f t="shared" si="851"/>
        <v/>
      </c>
      <c r="HD95" s="363" t="str">
        <f t="shared" si="852"/>
        <v/>
      </c>
      <c r="HE95" s="344" t="str">
        <f t="shared" si="693"/>
        <v/>
      </c>
      <c r="HF95" s="5" t="str">
        <f t="shared" si="694"/>
        <v/>
      </c>
      <c r="HG95" s="343" t="str">
        <f t="shared" si="853"/>
        <v/>
      </c>
      <c r="HH95" s="349" t="str">
        <f t="shared" si="854"/>
        <v/>
      </c>
      <c r="HI95" s="317" t="str">
        <f t="shared" si="695"/>
        <v/>
      </c>
      <c r="HK95" s="310" t="str">
        <f t="shared" si="750"/>
        <v/>
      </c>
      <c r="HL95" s="348" t="str">
        <f t="shared" si="696"/>
        <v/>
      </c>
      <c r="HM95" s="923" t="str">
        <f t="shared" si="697"/>
        <v/>
      </c>
      <c r="HN95" s="924" t="str">
        <f t="shared" si="698"/>
        <v/>
      </c>
      <c r="HO95" s="925"/>
      <c r="HP95" s="926"/>
      <c r="HQ95" s="924" t="str">
        <f t="shared" si="699"/>
        <v/>
      </c>
      <c r="HR95" s="927" t="str">
        <f t="shared" si="700"/>
        <v/>
      </c>
      <c r="HS95" s="879" t="str">
        <f t="shared" si="751"/>
        <v/>
      </c>
      <c r="HT95" s="889" t="str">
        <f t="shared" si="701"/>
        <v/>
      </c>
      <c r="HU95" s="890" t="str">
        <f t="shared" si="702"/>
        <v/>
      </c>
      <c r="HV95" s="886" t="str">
        <f t="shared" si="703"/>
        <v/>
      </c>
      <c r="HW95" s="880" t="str">
        <f t="shared" si="704"/>
        <v/>
      </c>
      <c r="HX95" s="881" t="str">
        <f t="shared" si="705"/>
        <v/>
      </c>
      <c r="HY95" s="880" t="str">
        <f t="shared" si="706"/>
        <v/>
      </c>
      <c r="HZ95" s="882" t="str">
        <f t="shared" si="707"/>
        <v/>
      </c>
      <c r="IA95" s="883" t="str">
        <f t="shared" si="708"/>
        <v/>
      </c>
      <c r="IB95" s="884" t="str">
        <f t="shared" si="709"/>
        <v/>
      </c>
      <c r="IC95" s="855" t="str">
        <f t="shared" si="710"/>
        <v/>
      </c>
      <c r="ID95" s="351" t="str">
        <f t="shared" si="711"/>
        <v/>
      </c>
      <c r="IE95" s="857" t="str">
        <f t="shared" si="712"/>
        <v/>
      </c>
      <c r="IF95" s="858"/>
      <c r="IG95" s="790" t="str">
        <f>IFERROR(IF($IW95="","",IF($IW95&lt;(((Settings!$C$19/2)*-1)*$IG$8),"Taper","Nose")),"")</f>
        <v/>
      </c>
      <c r="IH95" s="482" t="str">
        <f>IFERROR(IF((((($IY95*COS(RADIANS(180-$JA95)))*COS(RADIANS($JA95)))-(($IZ95*SIN(RADIANS(180-$JA95)))*SIN(RADIANS($JA95))))+$IW95)&lt;(((Settings!$C$19+$IH$8)/2)*-1),"Gage",""),"")</f>
        <v/>
      </c>
      <c r="II95" s="788" t="str">
        <f t="shared" si="855"/>
        <v/>
      </c>
      <c r="IJ95" s="674" t="str" cm="1">
        <f t="array" ref="IJ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K95" s="677" t="str" cm="1">
        <f t="array" ref="IK95">IFERROR(ROUND(VALUE(IF($IJ95&lt;1,$IJ95+LARGE((IF($M$9:$M$150="",0,$M$9:$M$150)-MOD(IF($M$9:$M$150="",0,$M$9:$M$150),1)),1),$IJ95)),4),"")</f>
        <v/>
      </c>
      <c r="IL95" s="482" t="str">
        <f t="shared" si="713"/>
        <v/>
      </c>
      <c r="IM95" s="482" t="str">
        <f t="shared" si="856"/>
        <v/>
      </c>
      <c r="IN95" s="670" t="str">
        <f t="shared" si="714"/>
        <v/>
      </c>
      <c r="IO95" s="702"/>
      <c r="IP95" s="5" t="str">
        <f t="shared" si="715"/>
        <v/>
      </c>
      <c r="IQ95" s="714"/>
      <c r="IR95" s="9" t="str">
        <f t="shared" si="716"/>
        <v/>
      </c>
      <c r="IS95" s="5" t="str">
        <f t="shared" si="717"/>
        <v/>
      </c>
      <c r="IT95" s="5" t="str">
        <f t="shared" si="718"/>
        <v/>
      </c>
      <c r="IU95" s="5" t="str">
        <f t="shared" si="719"/>
        <v/>
      </c>
      <c r="IV95" s="670" t="str">
        <f t="shared" si="720"/>
        <v/>
      </c>
      <c r="IW95" s="9" t="str">
        <f t="shared" si="721"/>
        <v/>
      </c>
      <c r="IX95" s="5" t="str">
        <f t="shared" si="722"/>
        <v/>
      </c>
      <c r="IY95" s="5" t="str">
        <f t="shared" si="723"/>
        <v/>
      </c>
      <c r="IZ95" s="5" t="str">
        <f t="shared" si="724"/>
        <v/>
      </c>
      <c r="JA95" s="705" t="str">
        <f t="shared" si="725"/>
        <v/>
      </c>
      <c r="JN95" s="960"/>
      <c r="JO95" s="162"/>
      <c r="JP95" s="961"/>
      <c r="JQ95" s="961"/>
    </row>
    <row r="96" spans="1:283" ht="15" customHeight="1" x14ac:dyDescent="0.25">
      <c r="A96" s="75" t="str">
        <f t="shared" si="640"/>
        <v/>
      </c>
      <c r="B96" s="578" t="str">
        <f t="shared" ref="B96:D96" si="899">IFERROR(O251+($A96*-E96),"")</f>
        <v/>
      </c>
      <c r="C96" s="572" t="str">
        <f t="shared" si="899"/>
        <v/>
      </c>
      <c r="D96" s="576" t="str">
        <f t="shared" si="899"/>
        <v/>
      </c>
      <c r="E96" s="580" t="str">
        <f t="shared" ref="E96:K96" si="900">R251</f>
        <v/>
      </c>
      <c r="F96" s="572" t="str">
        <f t="shared" si="900"/>
        <v/>
      </c>
      <c r="G96" s="579" t="str">
        <f t="shared" si="900"/>
        <v/>
      </c>
      <c r="H96" s="580" t="str">
        <f t="shared" si="900"/>
        <v/>
      </c>
      <c r="I96" s="572" t="str">
        <f t="shared" si="900"/>
        <v/>
      </c>
      <c r="J96" s="483" t="str">
        <f t="shared" si="728"/>
        <v/>
      </c>
      <c r="K96" s="806" t="str">
        <f t="shared" si="900"/>
        <v/>
      </c>
      <c r="L96" s="309"/>
      <c r="M96" s="164" t="str">
        <f t="shared" si="643"/>
        <v/>
      </c>
      <c r="N96" s="575" t="str">
        <f t="shared" si="644"/>
        <v/>
      </c>
      <c r="O96" s="572" t="str">
        <f t="shared" si="645"/>
        <v/>
      </c>
      <c r="P96" s="576" t="str">
        <f t="shared" si="646"/>
        <v/>
      </c>
      <c r="Q96" s="528" t="str">
        <f t="shared" si="729"/>
        <v/>
      </c>
      <c r="R96" s="572" t="str">
        <f t="shared" si="95"/>
        <v/>
      </c>
      <c r="S96" s="577" t="str">
        <f t="shared" si="96"/>
        <v/>
      </c>
      <c r="T96" s="578" t="str">
        <f t="shared" si="97"/>
        <v/>
      </c>
      <c r="U96" s="572" t="str">
        <f t="shared" si="98"/>
        <v/>
      </c>
      <c r="V96" s="579" t="str">
        <f t="shared" si="145"/>
        <v/>
      </c>
      <c r="W96" s="528" t="str">
        <f t="shared" si="866"/>
        <v/>
      </c>
      <c r="X96" s="572" t="str">
        <f t="shared" si="99"/>
        <v/>
      </c>
      <c r="Y96" s="573" t="str">
        <f t="shared" si="859"/>
        <v/>
      </c>
      <c r="Z96" s="575" t="str">
        <f t="shared" si="647"/>
        <v/>
      </c>
      <c r="AA96" s="572" t="str">
        <f t="shared" si="648"/>
        <v/>
      </c>
      <c r="AB96" s="572" t="str">
        <f t="shared" si="649"/>
        <v/>
      </c>
      <c r="AC96" s="579" t="str">
        <f t="shared" si="100"/>
        <v/>
      </c>
      <c r="AD96" s="580" t="str">
        <f t="shared" si="146"/>
        <v/>
      </c>
      <c r="AE96" s="572" t="str">
        <f t="shared" si="101"/>
        <v/>
      </c>
      <c r="AF96" s="576" t="str">
        <f t="shared" si="102"/>
        <v/>
      </c>
      <c r="AG96" s="545" t="str">
        <f t="shared" si="103"/>
        <v/>
      </c>
      <c r="AH96" s="546" t="str">
        <f t="shared" si="104"/>
        <v/>
      </c>
      <c r="AI96" s="528" t="str">
        <f t="shared" si="105"/>
        <v/>
      </c>
      <c r="AJ96" s="529" t="str">
        <f t="shared" si="106"/>
        <v/>
      </c>
      <c r="AK96" s="578" t="str">
        <f t="shared" si="247"/>
        <v/>
      </c>
      <c r="AL96" s="572" t="str">
        <f t="shared" si="107"/>
        <v/>
      </c>
      <c r="AM96" s="577" t="str">
        <f t="shared" si="108"/>
        <v/>
      </c>
      <c r="AN96" s="524" t="str">
        <f t="shared" si="109"/>
        <v/>
      </c>
      <c r="AO96" s="525" t="str">
        <f t="shared" si="604"/>
        <v/>
      </c>
      <c r="AP96" s="528" t="str">
        <f t="shared" si="111"/>
        <v/>
      </c>
      <c r="AQ96" s="529" t="str">
        <f t="shared" si="650"/>
        <v/>
      </c>
      <c r="AS96" s="954" t="str">
        <f t="shared" si="755"/>
        <v/>
      </c>
      <c r="AT96" s="950" t="str">
        <f t="shared" si="651"/>
        <v/>
      </c>
      <c r="AU96" s="418"/>
      <c r="AV96" s="164" t="str">
        <f t="shared" si="652"/>
        <v/>
      </c>
      <c r="AW96" s="797" t="str">
        <f>IFERROR(INDEX(MassProp!C$9:C$150,MATCH($M96,MassProp!$B$9:$B$150,0)),"")</f>
        <v/>
      </c>
      <c r="AX96" s="744" t="str">
        <f>IFERROR(INDEX(MassProp!D$9:D$150,MATCH($M96,MassProp!$B$9:$B$150,0)),"")</f>
        <v/>
      </c>
      <c r="AY96" s="731" t="str">
        <f>IFERROR(INDEX(MassProp!E$9:E$150,MATCH($M96,MassProp!$B$9:$B$150,0)),"")</f>
        <v/>
      </c>
      <c r="AZ96" s="297" t="str">
        <f t="shared" si="756"/>
        <v/>
      </c>
      <c r="BA96" s="296" t="str">
        <f t="shared" si="653"/>
        <v/>
      </c>
      <c r="BB96" s="177" t="str">
        <f t="shared" si="730"/>
        <v/>
      </c>
      <c r="BC96" s="9"/>
      <c r="BD96" s="5" t="str">
        <f t="shared" si="731"/>
        <v/>
      </c>
      <c r="BE96" s="6" t="str">
        <f t="shared" si="654"/>
        <v/>
      </c>
      <c r="BF96" s="4" t="str">
        <f t="shared" si="655"/>
        <v/>
      </c>
      <c r="BG96" s="5" t="str">
        <f t="shared" si="656"/>
        <v/>
      </c>
      <c r="BH96" s="10" t="str">
        <f t="shared" si="657"/>
        <v/>
      </c>
      <c r="BI96" s="9" t="str">
        <f t="shared" si="757"/>
        <v/>
      </c>
      <c r="BJ96" s="5" t="str">
        <f t="shared" si="658"/>
        <v/>
      </c>
      <c r="BK96" s="8" t="str">
        <f t="shared" si="659"/>
        <v/>
      </c>
      <c r="BL96" s="173" t="str">
        <f t="shared" si="660"/>
        <v/>
      </c>
      <c r="BM96" s="5" t="str">
        <f t="shared" si="661"/>
        <v/>
      </c>
      <c r="BN96" s="6" t="str">
        <f t="shared" si="662"/>
        <v/>
      </c>
      <c r="BO96" s="4" t="str">
        <f t="shared" si="758"/>
        <v/>
      </c>
      <c r="BP96" s="5" t="str">
        <f t="shared" si="759"/>
        <v/>
      </c>
      <c r="BQ96" s="5" t="str">
        <f t="shared" si="760"/>
        <v/>
      </c>
      <c r="BR96" s="6" t="str">
        <f t="shared" si="761"/>
        <v/>
      </c>
      <c r="BS96" s="4" t="str">
        <f t="shared" si="732"/>
        <v/>
      </c>
      <c r="BT96" s="5" t="str">
        <f t="shared" si="732"/>
        <v/>
      </c>
      <c r="BU96" s="10" t="str">
        <f t="shared" si="733"/>
        <v/>
      </c>
      <c r="BV96" s="9" t="str">
        <f t="shared" si="734"/>
        <v/>
      </c>
      <c r="BW96" s="5" t="str">
        <f t="shared" si="735"/>
        <v/>
      </c>
      <c r="BX96" s="8" t="str">
        <f t="shared" si="736"/>
        <v/>
      </c>
      <c r="BY96" s="173" t="str">
        <f t="shared" si="737"/>
        <v/>
      </c>
      <c r="BZ96" s="5" t="str">
        <f t="shared" si="738"/>
        <v/>
      </c>
      <c r="CA96" s="6" t="str">
        <f t="shared" si="739"/>
        <v/>
      </c>
      <c r="CB96" s="4" t="str">
        <f t="shared" si="762"/>
        <v/>
      </c>
      <c r="CC96" s="5" t="str">
        <f t="shared" si="763"/>
        <v/>
      </c>
      <c r="CD96" s="5" t="str">
        <f t="shared" si="764"/>
        <v/>
      </c>
      <c r="CE96" s="6" t="str">
        <f t="shared" si="765"/>
        <v/>
      </c>
      <c r="CF96" s="4" t="str">
        <f t="shared" si="766"/>
        <v/>
      </c>
      <c r="CG96" s="5" t="str">
        <f t="shared" si="767"/>
        <v/>
      </c>
      <c r="CH96" s="5" t="str">
        <f t="shared" si="768"/>
        <v/>
      </c>
      <c r="CI96" s="4" t="str">
        <f t="shared" si="740"/>
        <v/>
      </c>
      <c r="CJ96" s="5" t="str">
        <f t="shared" si="741"/>
        <v/>
      </c>
      <c r="CK96" s="8" t="str">
        <f t="shared" si="742"/>
        <v/>
      </c>
      <c r="CL96" s="173" t="str">
        <f t="shared" si="743"/>
        <v/>
      </c>
      <c r="CM96" s="5" t="str">
        <f t="shared" si="744"/>
        <v/>
      </c>
      <c r="CN96" s="6" t="str">
        <f t="shared" si="745"/>
        <v/>
      </c>
      <c r="CO96" s="167" t="str">
        <f t="shared" si="663"/>
        <v/>
      </c>
      <c r="CP96" s="4" t="str">
        <f t="shared" si="769"/>
        <v/>
      </c>
      <c r="CQ96" s="5" t="str">
        <f t="shared" si="770"/>
        <v/>
      </c>
      <c r="CR96" s="5" t="str">
        <f t="shared" si="771"/>
        <v/>
      </c>
      <c r="CS96" s="8" t="str">
        <f t="shared" si="772"/>
        <v/>
      </c>
      <c r="CT96" s="9" t="str">
        <f t="shared" si="773"/>
        <v/>
      </c>
      <c r="CU96" s="6" t="str">
        <f t="shared" si="774"/>
        <v/>
      </c>
      <c r="CV96" s="4" t="str">
        <f t="shared" si="775"/>
        <v/>
      </c>
      <c r="CW96" s="5" t="str">
        <f t="shared" si="776"/>
        <v/>
      </c>
      <c r="CX96" s="8" t="str">
        <f t="shared" si="777"/>
        <v/>
      </c>
      <c r="CY96" s="9" t="str">
        <f t="shared" si="778"/>
        <v/>
      </c>
      <c r="CZ96" s="5" t="str">
        <f t="shared" si="779"/>
        <v/>
      </c>
      <c r="DA96" s="6" t="str">
        <f t="shared" si="780"/>
        <v/>
      </c>
      <c r="DB96" s="4" t="str">
        <f t="shared" si="781"/>
        <v/>
      </c>
      <c r="DC96" s="5" t="str">
        <f t="shared" si="781"/>
        <v/>
      </c>
      <c r="DD96" s="10" t="str">
        <f t="shared" si="782"/>
        <v/>
      </c>
      <c r="DE96" s="9" t="str">
        <f t="shared" si="783"/>
        <v/>
      </c>
      <c r="DF96" s="5" t="str">
        <f t="shared" si="783"/>
        <v/>
      </c>
      <c r="DG96" s="10" t="str">
        <f t="shared" si="784"/>
        <v/>
      </c>
      <c r="DH96" s="70" t="str">
        <f t="shared" si="785"/>
        <v/>
      </c>
      <c r="DI96" s="4" t="str">
        <f t="shared" si="786"/>
        <v/>
      </c>
      <c r="DJ96" s="5" t="str">
        <f t="shared" si="787"/>
        <v/>
      </c>
      <c r="DK96" s="10" t="str">
        <f t="shared" si="788"/>
        <v/>
      </c>
      <c r="DL96" s="9" t="str">
        <f t="shared" si="789"/>
        <v/>
      </c>
      <c r="DM96" s="173" t="str">
        <f t="shared" si="790"/>
        <v/>
      </c>
      <c r="DN96" s="178" t="str">
        <f t="shared" si="791"/>
        <v/>
      </c>
      <c r="DO96" s="9" t="str">
        <f t="shared" si="792"/>
        <v/>
      </c>
      <c r="DP96" s="173" t="str">
        <f t="shared" si="793"/>
        <v/>
      </c>
      <c r="DQ96" s="11" t="str">
        <f t="shared" si="794"/>
        <v/>
      </c>
      <c r="DR96" s="173" t="str">
        <f t="shared" si="795"/>
        <v/>
      </c>
      <c r="DS96" s="5" t="str">
        <f t="shared" si="796"/>
        <v/>
      </c>
      <c r="DT96" s="5" t="str">
        <f t="shared" si="797"/>
        <v/>
      </c>
      <c r="DU96" s="5" t="str">
        <f t="shared" si="798"/>
        <v/>
      </c>
      <c r="DV96" s="5" t="str">
        <f t="shared" si="799"/>
        <v/>
      </c>
      <c r="DW96" s="5" t="str">
        <f t="shared" si="800"/>
        <v/>
      </c>
      <c r="DX96" s="167" t="str">
        <f t="shared" si="801"/>
        <v/>
      </c>
      <c r="DY96" s="9" t="str">
        <f t="shared" si="802"/>
        <v/>
      </c>
      <c r="DZ96" s="5" t="str">
        <f t="shared" si="803"/>
        <v/>
      </c>
      <c r="EA96" s="10" t="str">
        <f t="shared" si="804"/>
        <v/>
      </c>
      <c r="EB96" s="6" t="str">
        <f t="shared" si="805"/>
        <v/>
      </c>
      <c r="EC96" s="173" t="str">
        <f t="shared" si="806"/>
        <v/>
      </c>
      <c r="ED96" s="5" t="str">
        <f t="shared" si="807"/>
        <v/>
      </c>
      <c r="EE96" s="4" t="str">
        <f t="shared" si="808"/>
        <v/>
      </c>
      <c r="EF96" s="5" t="str">
        <f t="shared" si="809"/>
        <v/>
      </c>
      <c r="EG96" s="10" t="str">
        <f t="shared" si="810"/>
        <v/>
      </c>
      <c r="EH96" s="9" t="str">
        <f t="shared" si="811"/>
        <v/>
      </c>
      <c r="EI96" s="5" t="str">
        <f t="shared" si="812"/>
        <v/>
      </c>
      <c r="EJ96" s="6" t="str">
        <f t="shared" si="813"/>
        <v/>
      </c>
      <c r="EK96" s="236" t="str">
        <f t="shared" si="814"/>
        <v/>
      </c>
      <c r="EL96" s="238" t="str">
        <f t="shared" si="815"/>
        <v/>
      </c>
      <c r="EM96" s="4" t="str">
        <f t="shared" si="816"/>
        <v/>
      </c>
      <c r="EN96" s="5" t="str">
        <f t="shared" si="817"/>
        <v/>
      </c>
      <c r="EO96" s="10" t="str">
        <f t="shared" si="818"/>
        <v/>
      </c>
      <c r="EP96" s="9" t="str">
        <f t="shared" si="819"/>
        <v/>
      </c>
      <c r="EQ96" s="5" t="str">
        <f t="shared" si="820"/>
        <v/>
      </c>
      <c r="ER96" s="7" t="str">
        <f t="shared" si="821"/>
        <v/>
      </c>
      <c r="ES96" s="21" t="str">
        <f t="shared" si="664"/>
        <v/>
      </c>
      <c r="ET96" s="5" t="str">
        <f t="shared" si="665"/>
        <v/>
      </c>
      <c r="EU96" s="10" t="str">
        <f t="shared" si="666"/>
        <v/>
      </c>
      <c r="EV96" s="174" t="str">
        <f t="shared" si="667"/>
        <v/>
      </c>
      <c r="EW96" s="9" t="str">
        <f t="shared" si="668"/>
        <v/>
      </c>
      <c r="EX96" s="5" t="str">
        <f t="shared" si="669"/>
        <v/>
      </c>
      <c r="EY96" s="6" t="str">
        <f t="shared" si="822"/>
        <v/>
      </c>
      <c r="EZ96" s="51" t="str">
        <f t="shared" si="823"/>
        <v/>
      </c>
      <c r="FA96" s="173" t="str">
        <f t="shared" si="670"/>
        <v/>
      </c>
      <c r="FB96" s="5" t="str">
        <f t="shared" si="671"/>
        <v/>
      </c>
      <c r="FC96" s="6" t="str">
        <f t="shared" si="672"/>
        <v/>
      </c>
      <c r="FD96" s="4" t="str">
        <f t="shared" si="673"/>
        <v/>
      </c>
      <c r="FE96" s="5" t="str">
        <f t="shared" si="674"/>
        <v/>
      </c>
      <c r="FF96" s="7" t="str">
        <f t="shared" si="824"/>
        <v/>
      </c>
      <c r="FG96" s="173" t="str">
        <f t="shared" si="675"/>
        <v/>
      </c>
      <c r="FH96" s="5" t="str">
        <f t="shared" si="676"/>
        <v/>
      </c>
      <c r="FI96" s="10" t="str">
        <f t="shared" si="677"/>
        <v/>
      </c>
      <c r="FJ96" s="279" t="str">
        <f t="shared" si="825"/>
        <v/>
      </c>
      <c r="FK96" s="4" t="str">
        <f t="shared" si="678"/>
        <v/>
      </c>
      <c r="FL96" s="5" t="str">
        <f t="shared" si="746"/>
        <v/>
      </c>
      <c r="FM96" s="8" t="str">
        <f t="shared" si="747"/>
        <v/>
      </c>
      <c r="FN96" s="9" t="str">
        <f t="shared" si="748"/>
        <v/>
      </c>
      <c r="FO96" s="10" t="str">
        <f t="shared" si="679"/>
        <v/>
      </c>
      <c r="FP96" s="277" t="str">
        <f t="shared" si="749"/>
        <v/>
      </c>
      <c r="FQ96" s="173" t="str">
        <f t="shared" si="826"/>
        <v/>
      </c>
      <c r="FR96" s="10" t="str">
        <f t="shared" si="827"/>
        <v/>
      </c>
      <c r="FS96" s="9" t="str">
        <f t="shared" si="828"/>
        <v/>
      </c>
      <c r="FT96" s="6" t="str">
        <f t="shared" si="829"/>
        <v/>
      </c>
      <c r="FU96" s="4" t="str">
        <f t="shared" si="830"/>
        <v/>
      </c>
      <c r="FV96" s="5" t="str">
        <f t="shared" si="831"/>
        <v/>
      </c>
      <c r="FW96" s="8" t="str">
        <f t="shared" si="832"/>
        <v/>
      </c>
      <c r="FX96" s="9" t="str">
        <f t="shared" si="833"/>
        <v/>
      </c>
      <c r="FY96" s="10" t="str">
        <f t="shared" si="680"/>
        <v/>
      </c>
      <c r="FZ96" s="277" t="str">
        <f t="shared" si="834"/>
        <v/>
      </c>
      <c r="GA96" s="177" t="str">
        <f t="shared" si="835"/>
        <v/>
      </c>
      <c r="GB96" s="4" t="str">
        <f t="shared" si="836"/>
        <v/>
      </c>
      <c r="GC96" s="5" t="str">
        <f t="shared" si="837"/>
        <v/>
      </c>
      <c r="GD96" s="10" t="str">
        <f t="shared" si="838"/>
        <v/>
      </c>
      <c r="GE96" s="311" t="str">
        <f t="shared" si="839"/>
        <v/>
      </c>
      <c r="GF96" s="341" t="str">
        <f t="shared" si="840"/>
        <v/>
      </c>
      <c r="GG96" s="285" t="str">
        <f t="shared" si="681"/>
        <v/>
      </c>
      <c r="GH96" s="286" t="str">
        <f t="shared" si="682"/>
        <v/>
      </c>
      <c r="GI96" s="281" t="str">
        <f t="shared" si="683"/>
        <v/>
      </c>
      <c r="GJ96" s="167" t="str">
        <f t="shared" si="841"/>
        <v/>
      </c>
      <c r="GK96" s="174" t="str">
        <f t="shared" si="684"/>
        <v/>
      </c>
      <c r="GL96" s="174" t="str">
        <f t="shared" si="842"/>
        <v/>
      </c>
      <c r="GM96" s="177" t="str">
        <f t="shared" si="843"/>
        <v/>
      </c>
      <c r="GN96" s="280" t="str">
        <f t="shared" si="844"/>
        <v/>
      </c>
      <c r="GO96" s="4" t="str">
        <f t="shared" si="845"/>
        <v/>
      </c>
      <c r="GP96" s="8" t="str">
        <f t="shared" si="846"/>
        <v/>
      </c>
      <c r="GQ96" s="177" t="str">
        <f t="shared" si="847"/>
        <v/>
      </c>
      <c r="GR96" s="371" t="str">
        <f t="shared" si="848"/>
        <v/>
      </c>
      <c r="GS96" s="342" t="str">
        <f t="shared" si="685"/>
        <v/>
      </c>
      <c r="GT96" s="343" t="str">
        <f t="shared" si="686"/>
        <v/>
      </c>
      <c r="GU96" s="344" t="str">
        <f t="shared" si="687"/>
        <v/>
      </c>
      <c r="GV96" s="343" t="str">
        <f t="shared" si="849"/>
        <v/>
      </c>
      <c r="GW96" s="345" t="str">
        <f t="shared" si="688"/>
        <v/>
      </c>
      <c r="GX96" s="346" t="str">
        <f t="shared" si="689"/>
        <v/>
      </c>
      <c r="GY96" s="344" t="str">
        <f t="shared" si="690"/>
        <v/>
      </c>
      <c r="GZ96" s="345" t="str">
        <f t="shared" si="691"/>
        <v/>
      </c>
      <c r="HA96" s="342" t="str">
        <f t="shared" si="692"/>
        <v/>
      </c>
      <c r="HB96" s="5" t="str">
        <f t="shared" si="850"/>
        <v/>
      </c>
      <c r="HC96" s="343" t="str">
        <f t="shared" si="851"/>
        <v/>
      </c>
      <c r="HD96" s="363" t="str">
        <f t="shared" si="852"/>
        <v/>
      </c>
      <c r="HE96" s="344" t="str">
        <f t="shared" si="693"/>
        <v/>
      </c>
      <c r="HF96" s="5" t="str">
        <f t="shared" si="694"/>
        <v/>
      </c>
      <c r="HG96" s="343" t="str">
        <f t="shared" si="853"/>
        <v/>
      </c>
      <c r="HH96" s="349" t="str">
        <f t="shared" si="854"/>
        <v/>
      </c>
      <c r="HI96" s="317" t="str">
        <f t="shared" si="695"/>
        <v/>
      </c>
      <c r="HK96" s="310" t="str">
        <f t="shared" si="750"/>
        <v/>
      </c>
      <c r="HL96" s="348" t="str">
        <f t="shared" si="696"/>
        <v/>
      </c>
      <c r="HM96" s="923" t="str">
        <f t="shared" si="697"/>
        <v/>
      </c>
      <c r="HN96" s="924" t="str">
        <f t="shared" si="698"/>
        <v/>
      </c>
      <c r="HO96" s="925"/>
      <c r="HP96" s="926"/>
      <c r="HQ96" s="924" t="str">
        <f t="shared" si="699"/>
        <v/>
      </c>
      <c r="HR96" s="927" t="str">
        <f t="shared" si="700"/>
        <v/>
      </c>
      <c r="HS96" s="879" t="str">
        <f t="shared" si="751"/>
        <v/>
      </c>
      <c r="HT96" s="889" t="str">
        <f t="shared" si="701"/>
        <v/>
      </c>
      <c r="HU96" s="890" t="str">
        <f t="shared" si="702"/>
        <v/>
      </c>
      <c r="HV96" s="886" t="str">
        <f t="shared" si="703"/>
        <v/>
      </c>
      <c r="HW96" s="880" t="str">
        <f t="shared" si="704"/>
        <v/>
      </c>
      <c r="HX96" s="881" t="str">
        <f t="shared" si="705"/>
        <v/>
      </c>
      <c r="HY96" s="880" t="str">
        <f t="shared" si="706"/>
        <v/>
      </c>
      <c r="HZ96" s="882" t="str">
        <f t="shared" si="707"/>
        <v/>
      </c>
      <c r="IA96" s="883" t="str">
        <f t="shared" si="708"/>
        <v/>
      </c>
      <c r="IB96" s="884" t="str">
        <f t="shared" si="709"/>
        <v/>
      </c>
      <c r="IC96" s="855" t="str">
        <f t="shared" si="710"/>
        <v/>
      </c>
      <c r="ID96" s="351" t="str">
        <f t="shared" si="711"/>
        <v/>
      </c>
      <c r="IE96" s="857" t="str">
        <f t="shared" si="712"/>
        <v/>
      </c>
      <c r="IF96" s="858"/>
      <c r="IG96" s="790" t="str">
        <f>IFERROR(IF($IW96="","",IF($IW96&lt;(((Settings!$C$19/2)*-1)*$IG$8),"Taper","Nose")),"")</f>
        <v/>
      </c>
      <c r="IH96" s="482" t="str">
        <f>IFERROR(IF((((($IY96*COS(RADIANS(180-$JA96)))*COS(RADIANS($JA96)))-(($IZ96*SIN(RADIANS(180-$JA96)))*SIN(RADIANS($JA96))))+$IW96)&lt;(((Settings!$C$19+$IH$8)/2)*-1),"Gage",""),"")</f>
        <v/>
      </c>
      <c r="II96" s="788" t="str">
        <f t="shared" si="855"/>
        <v/>
      </c>
      <c r="IJ96" s="674" t="str" cm="1">
        <f t="array" ref="IJ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K96" s="677" t="str" cm="1">
        <f t="array" ref="IK96">IFERROR(ROUND(VALUE(IF($IJ96&lt;1,$IJ96+LARGE((IF($M$9:$M$150="",0,$M$9:$M$150)-MOD(IF($M$9:$M$150="",0,$M$9:$M$150),1)),1),$IJ96)),4),"")</f>
        <v/>
      </c>
      <c r="IL96" s="482" t="str">
        <f t="shared" si="713"/>
        <v/>
      </c>
      <c r="IM96" s="482" t="str">
        <f t="shared" si="856"/>
        <v/>
      </c>
      <c r="IN96" s="670" t="str">
        <f t="shared" si="714"/>
        <v/>
      </c>
      <c r="IO96" s="702"/>
      <c r="IP96" s="5" t="str">
        <f t="shared" si="715"/>
        <v/>
      </c>
      <c r="IQ96" s="714"/>
      <c r="IR96" s="9" t="str">
        <f t="shared" si="716"/>
        <v/>
      </c>
      <c r="IS96" s="5" t="str">
        <f t="shared" si="717"/>
        <v/>
      </c>
      <c r="IT96" s="5" t="str">
        <f t="shared" si="718"/>
        <v/>
      </c>
      <c r="IU96" s="5" t="str">
        <f t="shared" si="719"/>
        <v/>
      </c>
      <c r="IV96" s="670" t="str">
        <f t="shared" si="720"/>
        <v/>
      </c>
      <c r="IW96" s="9" t="str">
        <f t="shared" si="721"/>
        <v/>
      </c>
      <c r="IX96" s="5" t="str">
        <f t="shared" si="722"/>
        <v/>
      </c>
      <c r="IY96" s="5" t="str">
        <f t="shared" si="723"/>
        <v/>
      </c>
      <c r="IZ96" s="5" t="str">
        <f t="shared" si="724"/>
        <v/>
      </c>
      <c r="JA96" s="705" t="str">
        <f t="shared" si="725"/>
        <v/>
      </c>
      <c r="JN96" s="960"/>
      <c r="JO96" s="162"/>
      <c r="JP96" s="961"/>
      <c r="JQ96" s="961"/>
    </row>
    <row r="97" spans="1:277" ht="15" customHeight="1" x14ac:dyDescent="0.25">
      <c r="A97" s="75" t="str">
        <f t="shared" si="640"/>
        <v/>
      </c>
      <c r="B97" s="578" t="str">
        <f t="shared" ref="B97:D97" si="901">IFERROR(O252+($A97*-E97),"")</f>
        <v/>
      </c>
      <c r="C97" s="572" t="str">
        <f t="shared" si="901"/>
        <v/>
      </c>
      <c r="D97" s="576" t="str">
        <f t="shared" si="901"/>
        <v/>
      </c>
      <c r="E97" s="580" t="str">
        <f t="shared" ref="E97:K97" si="902">R252</f>
        <v/>
      </c>
      <c r="F97" s="572" t="str">
        <f t="shared" si="902"/>
        <v/>
      </c>
      <c r="G97" s="579" t="str">
        <f t="shared" si="902"/>
        <v/>
      </c>
      <c r="H97" s="580" t="str">
        <f t="shared" si="902"/>
        <v/>
      </c>
      <c r="I97" s="572" t="str">
        <f t="shared" si="902"/>
        <v/>
      </c>
      <c r="J97" s="483" t="str">
        <f t="shared" si="728"/>
        <v/>
      </c>
      <c r="K97" s="806" t="str">
        <f t="shared" si="902"/>
        <v/>
      </c>
      <c r="L97" s="309"/>
      <c r="M97" s="164" t="str">
        <f t="shared" si="643"/>
        <v/>
      </c>
      <c r="N97" s="575" t="str">
        <f t="shared" si="644"/>
        <v/>
      </c>
      <c r="O97" s="572" t="str">
        <f t="shared" si="645"/>
        <v/>
      </c>
      <c r="P97" s="576" t="str">
        <f t="shared" si="646"/>
        <v/>
      </c>
      <c r="Q97" s="528" t="str">
        <f t="shared" si="729"/>
        <v/>
      </c>
      <c r="R97" s="572" t="str">
        <f t="shared" si="95"/>
        <v/>
      </c>
      <c r="S97" s="577" t="str">
        <f t="shared" si="96"/>
        <v/>
      </c>
      <c r="T97" s="578" t="str">
        <f t="shared" si="97"/>
        <v/>
      </c>
      <c r="U97" s="572" t="str">
        <f t="shared" si="98"/>
        <v/>
      </c>
      <c r="V97" s="579" t="str">
        <f t="shared" si="145"/>
        <v/>
      </c>
      <c r="W97" s="528" t="str">
        <f t="shared" si="866"/>
        <v/>
      </c>
      <c r="X97" s="572" t="str">
        <f t="shared" si="99"/>
        <v/>
      </c>
      <c r="Y97" s="573" t="str">
        <f t="shared" si="859"/>
        <v/>
      </c>
      <c r="Z97" s="575" t="str">
        <f t="shared" si="647"/>
        <v/>
      </c>
      <c r="AA97" s="572" t="str">
        <f t="shared" si="648"/>
        <v/>
      </c>
      <c r="AB97" s="572" t="str">
        <f t="shared" si="649"/>
        <v/>
      </c>
      <c r="AC97" s="579" t="str">
        <f t="shared" si="100"/>
        <v/>
      </c>
      <c r="AD97" s="580" t="str">
        <f t="shared" si="146"/>
        <v/>
      </c>
      <c r="AE97" s="572" t="str">
        <f t="shared" si="101"/>
        <v/>
      </c>
      <c r="AF97" s="576" t="str">
        <f t="shared" si="102"/>
        <v/>
      </c>
      <c r="AG97" s="545" t="str">
        <f t="shared" si="103"/>
        <v/>
      </c>
      <c r="AH97" s="546" t="str">
        <f t="shared" si="104"/>
        <v/>
      </c>
      <c r="AI97" s="528" t="str">
        <f t="shared" si="105"/>
        <v/>
      </c>
      <c r="AJ97" s="529" t="str">
        <f t="shared" si="106"/>
        <v/>
      </c>
      <c r="AK97" s="578" t="str">
        <f t="shared" si="247"/>
        <v/>
      </c>
      <c r="AL97" s="572" t="str">
        <f t="shared" si="107"/>
        <v/>
      </c>
      <c r="AM97" s="577" t="str">
        <f t="shared" si="108"/>
        <v/>
      </c>
      <c r="AN97" s="524" t="str">
        <f t="shared" si="109"/>
        <v/>
      </c>
      <c r="AO97" s="525" t="str">
        <f t="shared" si="604"/>
        <v/>
      </c>
      <c r="AP97" s="528" t="str">
        <f t="shared" si="111"/>
        <v/>
      </c>
      <c r="AQ97" s="529" t="str">
        <f t="shared" si="650"/>
        <v/>
      </c>
      <c r="AS97" s="954" t="str">
        <f t="shared" si="755"/>
        <v/>
      </c>
      <c r="AT97" s="950" t="str">
        <f t="shared" si="651"/>
        <v/>
      </c>
      <c r="AU97" s="418"/>
      <c r="AV97" s="164" t="str">
        <f t="shared" si="652"/>
        <v/>
      </c>
      <c r="AW97" s="797" t="str">
        <f>IFERROR(INDEX(MassProp!C$9:C$150,MATCH($M97,MassProp!$B$9:$B$150,0)),"")</f>
        <v/>
      </c>
      <c r="AX97" s="744" t="str">
        <f>IFERROR(INDEX(MassProp!D$9:D$150,MATCH($M97,MassProp!$B$9:$B$150,0)),"")</f>
        <v/>
      </c>
      <c r="AY97" s="731" t="str">
        <f>IFERROR(INDEX(MassProp!E$9:E$150,MATCH($M97,MassProp!$B$9:$B$150,0)),"")</f>
        <v/>
      </c>
      <c r="AZ97" s="297" t="str">
        <f t="shared" si="756"/>
        <v/>
      </c>
      <c r="BA97" s="296" t="str">
        <f t="shared" si="653"/>
        <v/>
      </c>
      <c r="BB97" s="177" t="str">
        <f t="shared" si="730"/>
        <v/>
      </c>
      <c r="BC97" s="9"/>
      <c r="BD97" s="5" t="str">
        <f t="shared" si="731"/>
        <v/>
      </c>
      <c r="BE97" s="6" t="str">
        <f t="shared" si="654"/>
        <v/>
      </c>
      <c r="BF97" s="4" t="str">
        <f t="shared" si="655"/>
        <v/>
      </c>
      <c r="BG97" s="5" t="str">
        <f t="shared" si="656"/>
        <v/>
      </c>
      <c r="BH97" s="10" t="str">
        <f t="shared" si="657"/>
        <v/>
      </c>
      <c r="BI97" s="9" t="str">
        <f t="shared" si="757"/>
        <v/>
      </c>
      <c r="BJ97" s="5" t="str">
        <f t="shared" si="658"/>
        <v/>
      </c>
      <c r="BK97" s="8" t="str">
        <f t="shared" si="659"/>
        <v/>
      </c>
      <c r="BL97" s="173" t="str">
        <f t="shared" si="660"/>
        <v/>
      </c>
      <c r="BM97" s="5" t="str">
        <f t="shared" si="661"/>
        <v/>
      </c>
      <c r="BN97" s="6" t="str">
        <f t="shared" si="662"/>
        <v/>
      </c>
      <c r="BO97" s="4" t="str">
        <f t="shared" si="758"/>
        <v/>
      </c>
      <c r="BP97" s="5" t="str">
        <f t="shared" si="759"/>
        <v/>
      </c>
      <c r="BQ97" s="5" t="str">
        <f t="shared" si="760"/>
        <v/>
      </c>
      <c r="BR97" s="6" t="str">
        <f t="shared" si="761"/>
        <v/>
      </c>
      <c r="BS97" s="4" t="str">
        <f t="shared" si="732"/>
        <v/>
      </c>
      <c r="BT97" s="5" t="str">
        <f t="shared" si="732"/>
        <v/>
      </c>
      <c r="BU97" s="10" t="str">
        <f t="shared" si="733"/>
        <v/>
      </c>
      <c r="BV97" s="9" t="str">
        <f t="shared" si="734"/>
        <v/>
      </c>
      <c r="BW97" s="5" t="str">
        <f t="shared" si="735"/>
        <v/>
      </c>
      <c r="BX97" s="8" t="str">
        <f t="shared" si="736"/>
        <v/>
      </c>
      <c r="BY97" s="173" t="str">
        <f t="shared" si="737"/>
        <v/>
      </c>
      <c r="BZ97" s="5" t="str">
        <f t="shared" si="738"/>
        <v/>
      </c>
      <c r="CA97" s="6" t="str">
        <f t="shared" si="739"/>
        <v/>
      </c>
      <c r="CB97" s="4" t="str">
        <f t="shared" si="762"/>
        <v/>
      </c>
      <c r="CC97" s="5" t="str">
        <f t="shared" si="763"/>
        <v/>
      </c>
      <c r="CD97" s="5" t="str">
        <f t="shared" si="764"/>
        <v/>
      </c>
      <c r="CE97" s="6" t="str">
        <f t="shared" si="765"/>
        <v/>
      </c>
      <c r="CF97" s="4" t="str">
        <f t="shared" si="766"/>
        <v/>
      </c>
      <c r="CG97" s="5" t="str">
        <f t="shared" si="767"/>
        <v/>
      </c>
      <c r="CH97" s="5" t="str">
        <f t="shared" si="768"/>
        <v/>
      </c>
      <c r="CI97" s="4" t="str">
        <f t="shared" si="740"/>
        <v/>
      </c>
      <c r="CJ97" s="5" t="str">
        <f t="shared" si="741"/>
        <v/>
      </c>
      <c r="CK97" s="8" t="str">
        <f t="shared" si="742"/>
        <v/>
      </c>
      <c r="CL97" s="173" t="str">
        <f t="shared" si="743"/>
        <v/>
      </c>
      <c r="CM97" s="5" t="str">
        <f t="shared" si="744"/>
        <v/>
      </c>
      <c r="CN97" s="6" t="str">
        <f t="shared" si="745"/>
        <v/>
      </c>
      <c r="CO97" s="167" t="str">
        <f t="shared" si="663"/>
        <v/>
      </c>
      <c r="CP97" s="4" t="str">
        <f t="shared" si="769"/>
        <v/>
      </c>
      <c r="CQ97" s="5" t="str">
        <f t="shared" si="770"/>
        <v/>
      </c>
      <c r="CR97" s="5" t="str">
        <f t="shared" si="771"/>
        <v/>
      </c>
      <c r="CS97" s="8" t="str">
        <f t="shared" si="772"/>
        <v/>
      </c>
      <c r="CT97" s="9" t="str">
        <f t="shared" si="773"/>
        <v/>
      </c>
      <c r="CU97" s="6" t="str">
        <f t="shared" si="774"/>
        <v/>
      </c>
      <c r="CV97" s="4" t="str">
        <f t="shared" si="775"/>
        <v/>
      </c>
      <c r="CW97" s="5" t="str">
        <f t="shared" si="776"/>
        <v/>
      </c>
      <c r="CX97" s="8" t="str">
        <f t="shared" si="777"/>
        <v/>
      </c>
      <c r="CY97" s="9" t="str">
        <f t="shared" si="778"/>
        <v/>
      </c>
      <c r="CZ97" s="5" t="str">
        <f t="shared" si="779"/>
        <v/>
      </c>
      <c r="DA97" s="6" t="str">
        <f t="shared" si="780"/>
        <v/>
      </c>
      <c r="DB97" s="4" t="str">
        <f t="shared" si="781"/>
        <v/>
      </c>
      <c r="DC97" s="5" t="str">
        <f t="shared" si="781"/>
        <v/>
      </c>
      <c r="DD97" s="10" t="str">
        <f t="shared" si="782"/>
        <v/>
      </c>
      <c r="DE97" s="9" t="str">
        <f t="shared" si="783"/>
        <v/>
      </c>
      <c r="DF97" s="5" t="str">
        <f t="shared" si="783"/>
        <v/>
      </c>
      <c r="DG97" s="10" t="str">
        <f t="shared" si="784"/>
        <v/>
      </c>
      <c r="DH97" s="70" t="str">
        <f t="shared" si="785"/>
        <v/>
      </c>
      <c r="DI97" s="4" t="str">
        <f t="shared" si="786"/>
        <v/>
      </c>
      <c r="DJ97" s="5" t="str">
        <f t="shared" si="787"/>
        <v/>
      </c>
      <c r="DK97" s="10" t="str">
        <f t="shared" si="788"/>
        <v/>
      </c>
      <c r="DL97" s="9" t="str">
        <f t="shared" si="789"/>
        <v/>
      </c>
      <c r="DM97" s="173" t="str">
        <f t="shared" si="790"/>
        <v/>
      </c>
      <c r="DN97" s="178" t="str">
        <f t="shared" si="791"/>
        <v/>
      </c>
      <c r="DO97" s="9" t="str">
        <f t="shared" si="792"/>
        <v/>
      </c>
      <c r="DP97" s="173" t="str">
        <f t="shared" si="793"/>
        <v/>
      </c>
      <c r="DQ97" s="11" t="str">
        <f t="shared" si="794"/>
        <v/>
      </c>
      <c r="DR97" s="173" t="str">
        <f t="shared" si="795"/>
        <v/>
      </c>
      <c r="DS97" s="5" t="str">
        <f t="shared" si="796"/>
        <v/>
      </c>
      <c r="DT97" s="5" t="str">
        <f t="shared" si="797"/>
        <v/>
      </c>
      <c r="DU97" s="5" t="str">
        <f t="shared" si="798"/>
        <v/>
      </c>
      <c r="DV97" s="5" t="str">
        <f t="shared" si="799"/>
        <v/>
      </c>
      <c r="DW97" s="5" t="str">
        <f t="shared" si="800"/>
        <v/>
      </c>
      <c r="DX97" s="167" t="str">
        <f t="shared" si="801"/>
        <v/>
      </c>
      <c r="DY97" s="9" t="str">
        <f t="shared" si="802"/>
        <v/>
      </c>
      <c r="DZ97" s="5" t="str">
        <f t="shared" si="803"/>
        <v/>
      </c>
      <c r="EA97" s="10" t="str">
        <f t="shared" si="804"/>
        <v/>
      </c>
      <c r="EB97" s="6" t="str">
        <f t="shared" si="805"/>
        <v/>
      </c>
      <c r="EC97" s="173" t="str">
        <f t="shared" si="806"/>
        <v/>
      </c>
      <c r="ED97" s="5" t="str">
        <f t="shared" si="807"/>
        <v/>
      </c>
      <c r="EE97" s="4" t="str">
        <f t="shared" si="808"/>
        <v/>
      </c>
      <c r="EF97" s="5" t="str">
        <f t="shared" si="809"/>
        <v/>
      </c>
      <c r="EG97" s="10" t="str">
        <f t="shared" si="810"/>
        <v/>
      </c>
      <c r="EH97" s="9" t="str">
        <f t="shared" si="811"/>
        <v/>
      </c>
      <c r="EI97" s="5" t="str">
        <f t="shared" si="812"/>
        <v/>
      </c>
      <c r="EJ97" s="6" t="str">
        <f t="shared" si="813"/>
        <v/>
      </c>
      <c r="EK97" s="236" t="str">
        <f t="shared" si="814"/>
        <v/>
      </c>
      <c r="EL97" s="238" t="str">
        <f t="shared" si="815"/>
        <v/>
      </c>
      <c r="EM97" s="4" t="str">
        <f t="shared" si="816"/>
        <v/>
      </c>
      <c r="EN97" s="5" t="str">
        <f t="shared" si="817"/>
        <v/>
      </c>
      <c r="EO97" s="10" t="str">
        <f t="shared" si="818"/>
        <v/>
      </c>
      <c r="EP97" s="9" t="str">
        <f t="shared" si="819"/>
        <v/>
      </c>
      <c r="EQ97" s="5" t="str">
        <f t="shared" si="820"/>
        <v/>
      </c>
      <c r="ER97" s="7" t="str">
        <f t="shared" si="821"/>
        <v/>
      </c>
      <c r="ES97" s="21" t="str">
        <f t="shared" si="664"/>
        <v/>
      </c>
      <c r="ET97" s="5" t="str">
        <f t="shared" si="665"/>
        <v/>
      </c>
      <c r="EU97" s="10" t="str">
        <f t="shared" si="666"/>
        <v/>
      </c>
      <c r="EV97" s="174" t="str">
        <f t="shared" si="667"/>
        <v/>
      </c>
      <c r="EW97" s="9" t="str">
        <f t="shared" si="668"/>
        <v/>
      </c>
      <c r="EX97" s="5" t="str">
        <f t="shared" si="669"/>
        <v/>
      </c>
      <c r="EY97" s="6" t="str">
        <f t="shared" si="822"/>
        <v/>
      </c>
      <c r="EZ97" s="51" t="str">
        <f t="shared" si="823"/>
        <v/>
      </c>
      <c r="FA97" s="173" t="str">
        <f t="shared" si="670"/>
        <v/>
      </c>
      <c r="FB97" s="5" t="str">
        <f t="shared" si="671"/>
        <v/>
      </c>
      <c r="FC97" s="6" t="str">
        <f t="shared" si="672"/>
        <v/>
      </c>
      <c r="FD97" s="4" t="str">
        <f t="shared" si="673"/>
        <v/>
      </c>
      <c r="FE97" s="5" t="str">
        <f t="shared" si="674"/>
        <v/>
      </c>
      <c r="FF97" s="7" t="str">
        <f t="shared" si="824"/>
        <v/>
      </c>
      <c r="FG97" s="173" t="str">
        <f t="shared" si="675"/>
        <v/>
      </c>
      <c r="FH97" s="5" t="str">
        <f t="shared" si="676"/>
        <v/>
      </c>
      <c r="FI97" s="10" t="str">
        <f t="shared" si="677"/>
        <v/>
      </c>
      <c r="FJ97" s="279" t="str">
        <f t="shared" si="825"/>
        <v/>
      </c>
      <c r="FK97" s="4" t="str">
        <f t="shared" si="678"/>
        <v/>
      </c>
      <c r="FL97" s="5" t="str">
        <f t="shared" si="746"/>
        <v/>
      </c>
      <c r="FM97" s="8" t="str">
        <f t="shared" si="747"/>
        <v/>
      </c>
      <c r="FN97" s="9" t="str">
        <f t="shared" si="748"/>
        <v/>
      </c>
      <c r="FO97" s="10" t="str">
        <f t="shared" si="679"/>
        <v/>
      </c>
      <c r="FP97" s="277" t="str">
        <f t="shared" si="749"/>
        <v/>
      </c>
      <c r="FQ97" s="173" t="str">
        <f t="shared" si="826"/>
        <v/>
      </c>
      <c r="FR97" s="10" t="str">
        <f t="shared" si="827"/>
        <v/>
      </c>
      <c r="FS97" s="9" t="str">
        <f t="shared" si="828"/>
        <v/>
      </c>
      <c r="FT97" s="6" t="str">
        <f t="shared" si="829"/>
        <v/>
      </c>
      <c r="FU97" s="4" t="str">
        <f t="shared" si="830"/>
        <v/>
      </c>
      <c r="FV97" s="5" t="str">
        <f t="shared" si="831"/>
        <v/>
      </c>
      <c r="FW97" s="8" t="str">
        <f t="shared" si="832"/>
        <v/>
      </c>
      <c r="FX97" s="9" t="str">
        <f t="shared" si="833"/>
        <v/>
      </c>
      <c r="FY97" s="10" t="str">
        <f t="shared" si="680"/>
        <v/>
      </c>
      <c r="FZ97" s="277" t="str">
        <f t="shared" si="834"/>
        <v/>
      </c>
      <c r="GA97" s="177" t="str">
        <f t="shared" si="835"/>
        <v/>
      </c>
      <c r="GB97" s="4" t="str">
        <f t="shared" si="836"/>
        <v/>
      </c>
      <c r="GC97" s="5" t="str">
        <f t="shared" si="837"/>
        <v/>
      </c>
      <c r="GD97" s="10" t="str">
        <f t="shared" si="838"/>
        <v/>
      </c>
      <c r="GE97" s="311" t="str">
        <f t="shared" si="839"/>
        <v/>
      </c>
      <c r="GF97" s="341" t="str">
        <f t="shared" si="840"/>
        <v/>
      </c>
      <c r="GG97" s="285" t="str">
        <f t="shared" si="681"/>
        <v/>
      </c>
      <c r="GH97" s="286" t="str">
        <f t="shared" si="682"/>
        <v/>
      </c>
      <c r="GI97" s="281" t="str">
        <f t="shared" si="683"/>
        <v/>
      </c>
      <c r="GJ97" s="167" t="str">
        <f t="shared" si="841"/>
        <v/>
      </c>
      <c r="GK97" s="174" t="str">
        <f t="shared" si="684"/>
        <v/>
      </c>
      <c r="GL97" s="174" t="str">
        <f t="shared" si="842"/>
        <v/>
      </c>
      <c r="GM97" s="177" t="str">
        <f t="shared" si="843"/>
        <v/>
      </c>
      <c r="GN97" s="280" t="str">
        <f t="shared" si="844"/>
        <v/>
      </c>
      <c r="GO97" s="4" t="str">
        <f t="shared" si="845"/>
        <v/>
      </c>
      <c r="GP97" s="8" t="str">
        <f t="shared" si="846"/>
        <v/>
      </c>
      <c r="GQ97" s="177" t="str">
        <f t="shared" si="847"/>
        <v/>
      </c>
      <c r="GR97" s="371" t="str">
        <f t="shared" si="848"/>
        <v/>
      </c>
      <c r="GS97" s="342" t="str">
        <f t="shared" si="685"/>
        <v/>
      </c>
      <c r="GT97" s="343" t="str">
        <f t="shared" si="686"/>
        <v/>
      </c>
      <c r="GU97" s="344" t="str">
        <f t="shared" si="687"/>
        <v/>
      </c>
      <c r="GV97" s="343" t="str">
        <f t="shared" si="849"/>
        <v/>
      </c>
      <c r="GW97" s="345" t="str">
        <f t="shared" si="688"/>
        <v/>
      </c>
      <c r="GX97" s="346" t="str">
        <f t="shared" si="689"/>
        <v/>
      </c>
      <c r="GY97" s="344" t="str">
        <f t="shared" si="690"/>
        <v/>
      </c>
      <c r="GZ97" s="345" t="str">
        <f t="shared" si="691"/>
        <v/>
      </c>
      <c r="HA97" s="342" t="str">
        <f t="shared" si="692"/>
        <v/>
      </c>
      <c r="HB97" s="5" t="str">
        <f t="shared" si="850"/>
        <v/>
      </c>
      <c r="HC97" s="343" t="str">
        <f t="shared" si="851"/>
        <v/>
      </c>
      <c r="HD97" s="363" t="str">
        <f t="shared" si="852"/>
        <v/>
      </c>
      <c r="HE97" s="344" t="str">
        <f t="shared" si="693"/>
        <v/>
      </c>
      <c r="HF97" s="5" t="str">
        <f t="shared" si="694"/>
        <v/>
      </c>
      <c r="HG97" s="343" t="str">
        <f t="shared" si="853"/>
        <v/>
      </c>
      <c r="HH97" s="349" t="str">
        <f t="shared" si="854"/>
        <v/>
      </c>
      <c r="HI97" s="317" t="str">
        <f t="shared" si="695"/>
        <v/>
      </c>
      <c r="HK97" s="310" t="str">
        <f t="shared" si="750"/>
        <v/>
      </c>
      <c r="HL97" s="348" t="str">
        <f t="shared" si="696"/>
        <v/>
      </c>
      <c r="HM97" s="923" t="str">
        <f t="shared" si="697"/>
        <v/>
      </c>
      <c r="HN97" s="924" t="str">
        <f t="shared" si="698"/>
        <v/>
      </c>
      <c r="HO97" s="925"/>
      <c r="HP97" s="926"/>
      <c r="HQ97" s="924" t="str">
        <f t="shared" si="699"/>
        <v/>
      </c>
      <c r="HR97" s="927" t="str">
        <f t="shared" si="700"/>
        <v/>
      </c>
      <c r="HS97" s="879" t="str">
        <f t="shared" si="751"/>
        <v/>
      </c>
      <c r="HT97" s="889" t="str">
        <f t="shared" si="701"/>
        <v/>
      </c>
      <c r="HU97" s="890" t="str">
        <f t="shared" si="702"/>
        <v/>
      </c>
      <c r="HV97" s="886" t="str">
        <f t="shared" si="703"/>
        <v/>
      </c>
      <c r="HW97" s="880" t="str">
        <f t="shared" si="704"/>
        <v/>
      </c>
      <c r="HX97" s="881" t="str">
        <f t="shared" si="705"/>
        <v/>
      </c>
      <c r="HY97" s="880" t="str">
        <f t="shared" si="706"/>
        <v/>
      </c>
      <c r="HZ97" s="882" t="str">
        <f t="shared" si="707"/>
        <v/>
      </c>
      <c r="IA97" s="883" t="str">
        <f t="shared" si="708"/>
        <v/>
      </c>
      <c r="IB97" s="884" t="str">
        <f t="shared" si="709"/>
        <v/>
      </c>
      <c r="IC97" s="855" t="str">
        <f t="shared" si="710"/>
        <v/>
      </c>
      <c r="ID97" s="351" t="str">
        <f t="shared" si="711"/>
        <v/>
      </c>
      <c r="IE97" s="857" t="str">
        <f t="shared" si="712"/>
        <v/>
      </c>
      <c r="IF97" s="858"/>
      <c r="IG97" s="790" t="str">
        <f>IFERROR(IF($IW97="","",IF($IW97&lt;(((Settings!$C$19/2)*-1)*$IG$8),"Taper","Nose")),"")</f>
        <v/>
      </c>
      <c r="IH97" s="482" t="str">
        <f>IFERROR(IF((((($IY97*COS(RADIANS(180-$JA97)))*COS(RADIANS($JA97)))-(($IZ97*SIN(RADIANS(180-$JA97)))*SIN(RADIANS($JA97))))+$IW97)&lt;(((Settings!$C$19+$IH$8)/2)*-1),"Gage",""),"")</f>
        <v/>
      </c>
      <c r="II97" s="788" t="str">
        <f t="shared" si="855"/>
        <v/>
      </c>
      <c r="IJ97" s="674" t="str" cm="1">
        <f t="array" ref="IJ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K97" s="677" t="str" cm="1">
        <f t="array" ref="IK97">IFERROR(ROUND(VALUE(IF($IJ97&lt;1,$IJ97+LARGE((IF($M$9:$M$150="",0,$M$9:$M$150)-MOD(IF($M$9:$M$150="",0,$M$9:$M$150),1)),1),$IJ97)),4),"")</f>
        <v/>
      </c>
      <c r="IL97" s="482" t="str">
        <f t="shared" si="713"/>
        <v/>
      </c>
      <c r="IM97" s="482" t="str">
        <f t="shared" si="856"/>
        <v/>
      </c>
      <c r="IN97" s="670" t="str">
        <f t="shared" si="714"/>
        <v/>
      </c>
      <c r="IO97" s="702"/>
      <c r="IP97" s="5" t="str">
        <f t="shared" si="715"/>
        <v/>
      </c>
      <c r="IQ97" s="714"/>
      <c r="IR97" s="9" t="str">
        <f t="shared" si="716"/>
        <v/>
      </c>
      <c r="IS97" s="5" t="str">
        <f t="shared" si="717"/>
        <v/>
      </c>
      <c r="IT97" s="5" t="str">
        <f t="shared" si="718"/>
        <v/>
      </c>
      <c r="IU97" s="5" t="str">
        <f t="shared" si="719"/>
        <v/>
      </c>
      <c r="IV97" s="670" t="str">
        <f t="shared" si="720"/>
        <v/>
      </c>
      <c r="IW97" s="9" t="str">
        <f t="shared" si="721"/>
        <v/>
      </c>
      <c r="IX97" s="5" t="str">
        <f t="shared" si="722"/>
        <v/>
      </c>
      <c r="IY97" s="5" t="str">
        <f t="shared" si="723"/>
        <v/>
      </c>
      <c r="IZ97" s="5" t="str">
        <f t="shared" si="724"/>
        <v/>
      </c>
      <c r="JA97" s="705" t="str">
        <f t="shared" si="725"/>
        <v/>
      </c>
      <c r="JN97" s="960"/>
      <c r="JO97" s="162"/>
      <c r="JP97" s="961"/>
      <c r="JQ97" s="961"/>
    </row>
    <row r="98" spans="1:277" ht="15" customHeight="1" x14ac:dyDescent="0.25">
      <c r="A98" s="75" t="str">
        <f t="shared" si="640"/>
        <v/>
      </c>
      <c r="B98" s="578" t="str">
        <f t="shared" ref="B98:D98" si="903">IFERROR(O253+($A98*-E98),"")</f>
        <v/>
      </c>
      <c r="C98" s="572" t="str">
        <f t="shared" si="903"/>
        <v/>
      </c>
      <c r="D98" s="576" t="str">
        <f t="shared" si="903"/>
        <v/>
      </c>
      <c r="E98" s="580" t="str">
        <f t="shared" ref="E98:K98" si="904">R253</f>
        <v/>
      </c>
      <c r="F98" s="572" t="str">
        <f t="shared" si="904"/>
        <v/>
      </c>
      <c r="G98" s="579" t="str">
        <f t="shared" si="904"/>
        <v/>
      </c>
      <c r="H98" s="580" t="str">
        <f t="shared" si="904"/>
        <v/>
      </c>
      <c r="I98" s="572" t="str">
        <f t="shared" si="904"/>
        <v/>
      </c>
      <c r="J98" s="483" t="str">
        <f t="shared" si="728"/>
        <v/>
      </c>
      <c r="K98" s="806" t="str">
        <f t="shared" si="904"/>
        <v/>
      </c>
      <c r="L98" s="309"/>
      <c r="M98" s="164" t="str">
        <f t="shared" si="643"/>
        <v/>
      </c>
      <c r="N98" s="575" t="str">
        <f t="shared" si="644"/>
        <v/>
      </c>
      <c r="O98" s="572" t="str">
        <f t="shared" si="645"/>
        <v/>
      </c>
      <c r="P98" s="576" t="str">
        <f t="shared" si="646"/>
        <v/>
      </c>
      <c r="Q98" s="528" t="str">
        <f t="shared" si="729"/>
        <v/>
      </c>
      <c r="R98" s="572" t="str">
        <f t="shared" si="95"/>
        <v/>
      </c>
      <c r="S98" s="577" t="str">
        <f t="shared" si="96"/>
        <v/>
      </c>
      <c r="T98" s="578" t="str">
        <f t="shared" si="97"/>
        <v/>
      </c>
      <c r="U98" s="572" t="str">
        <f t="shared" si="98"/>
        <v/>
      </c>
      <c r="V98" s="579" t="str">
        <f t="shared" si="145"/>
        <v/>
      </c>
      <c r="W98" s="528" t="str">
        <f t="shared" si="866"/>
        <v/>
      </c>
      <c r="X98" s="572" t="str">
        <f t="shared" si="99"/>
        <v/>
      </c>
      <c r="Y98" s="573" t="str">
        <f t="shared" si="859"/>
        <v/>
      </c>
      <c r="Z98" s="575" t="str">
        <f t="shared" si="647"/>
        <v/>
      </c>
      <c r="AA98" s="572" t="str">
        <f t="shared" si="648"/>
        <v/>
      </c>
      <c r="AB98" s="572" t="str">
        <f t="shared" si="649"/>
        <v/>
      </c>
      <c r="AC98" s="579" t="str">
        <f t="shared" si="100"/>
        <v/>
      </c>
      <c r="AD98" s="580" t="str">
        <f t="shared" si="146"/>
        <v/>
      </c>
      <c r="AE98" s="572" t="str">
        <f t="shared" si="101"/>
        <v/>
      </c>
      <c r="AF98" s="576" t="str">
        <f t="shared" si="102"/>
        <v/>
      </c>
      <c r="AG98" s="545" t="str">
        <f t="shared" si="103"/>
        <v/>
      </c>
      <c r="AH98" s="546" t="str">
        <f t="shared" si="104"/>
        <v/>
      </c>
      <c r="AI98" s="528" t="str">
        <f t="shared" si="105"/>
        <v/>
      </c>
      <c r="AJ98" s="529" t="str">
        <f t="shared" si="106"/>
        <v/>
      </c>
      <c r="AK98" s="578" t="str">
        <f t="shared" si="247"/>
        <v/>
      </c>
      <c r="AL98" s="572" t="str">
        <f t="shared" si="107"/>
        <v/>
      </c>
      <c r="AM98" s="577" t="str">
        <f t="shared" si="108"/>
        <v/>
      </c>
      <c r="AN98" s="524" t="str">
        <f t="shared" si="109"/>
        <v/>
      </c>
      <c r="AO98" s="525" t="str">
        <f t="shared" si="604"/>
        <v/>
      </c>
      <c r="AP98" s="528" t="str">
        <f t="shared" si="111"/>
        <v/>
      </c>
      <c r="AQ98" s="529" t="str">
        <f t="shared" si="650"/>
        <v/>
      </c>
      <c r="AS98" s="954" t="str">
        <f t="shared" si="755"/>
        <v/>
      </c>
      <c r="AT98" s="950" t="str">
        <f t="shared" si="651"/>
        <v/>
      </c>
      <c r="AU98" s="418"/>
      <c r="AV98" s="164" t="str">
        <f t="shared" si="652"/>
        <v/>
      </c>
      <c r="AW98" s="797" t="str">
        <f>IFERROR(INDEX(MassProp!C$9:C$150,MATCH($M98,MassProp!$B$9:$B$150,0)),"")</f>
        <v/>
      </c>
      <c r="AX98" s="744" t="str">
        <f>IFERROR(INDEX(MassProp!D$9:D$150,MATCH($M98,MassProp!$B$9:$B$150,0)),"")</f>
        <v/>
      </c>
      <c r="AY98" s="731" t="str">
        <f>IFERROR(INDEX(MassProp!E$9:E$150,MATCH($M98,MassProp!$B$9:$B$150,0)),"")</f>
        <v/>
      </c>
      <c r="AZ98" s="297" t="str">
        <f t="shared" si="756"/>
        <v/>
      </c>
      <c r="BA98" s="296" t="str">
        <f t="shared" si="653"/>
        <v/>
      </c>
      <c r="BB98" s="177" t="str">
        <f t="shared" si="730"/>
        <v/>
      </c>
      <c r="BC98" s="9"/>
      <c r="BD98" s="5" t="str">
        <f t="shared" si="731"/>
        <v/>
      </c>
      <c r="BE98" s="6" t="str">
        <f t="shared" si="654"/>
        <v/>
      </c>
      <c r="BF98" s="4" t="str">
        <f t="shared" si="655"/>
        <v/>
      </c>
      <c r="BG98" s="5" t="str">
        <f t="shared" si="656"/>
        <v/>
      </c>
      <c r="BH98" s="10" t="str">
        <f t="shared" si="657"/>
        <v/>
      </c>
      <c r="BI98" s="9" t="str">
        <f t="shared" si="757"/>
        <v/>
      </c>
      <c r="BJ98" s="5" t="str">
        <f t="shared" si="658"/>
        <v/>
      </c>
      <c r="BK98" s="8" t="str">
        <f t="shared" si="659"/>
        <v/>
      </c>
      <c r="BL98" s="173" t="str">
        <f t="shared" si="660"/>
        <v/>
      </c>
      <c r="BM98" s="5" t="str">
        <f t="shared" si="661"/>
        <v/>
      </c>
      <c r="BN98" s="6" t="str">
        <f t="shared" si="662"/>
        <v/>
      </c>
      <c r="BO98" s="4" t="str">
        <f t="shared" si="758"/>
        <v/>
      </c>
      <c r="BP98" s="5" t="str">
        <f t="shared" si="759"/>
        <v/>
      </c>
      <c r="BQ98" s="5" t="str">
        <f t="shared" si="760"/>
        <v/>
      </c>
      <c r="BR98" s="6" t="str">
        <f t="shared" si="761"/>
        <v/>
      </c>
      <c r="BS98" s="4" t="str">
        <f t="shared" si="732"/>
        <v/>
      </c>
      <c r="BT98" s="5" t="str">
        <f t="shared" si="732"/>
        <v/>
      </c>
      <c r="BU98" s="10" t="str">
        <f t="shared" si="733"/>
        <v/>
      </c>
      <c r="BV98" s="9" t="str">
        <f t="shared" si="734"/>
        <v/>
      </c>
      <c r="BW98" s="5" t="str">
        <f t="shared" si="735"/>
        <v/>
      </c>
      <c r="BX98" s="8" t="str">
        <f t="shared" si="736"/>
        <v/>
      </c>
      <c r="BY98" s="173" t="str">
        <f t="shared" si="737"/>
        <v/>
      </c>
      <c r="BZ98" s="5" t="str">
        <f t="shared" si="738"/>
        <v/>
      </c>
      <c r="CA98" s="6" t="str">
        <f t="shared" si="739"/>
        <v/>
      </c>
      <c r="CB98" s="4" t="str">
        <f t="shared" si="762"/>
        <v/>
      </c>
      <c r="CC98" s="5" t="str">
        <f t="shared" si="763"/>
        <v/>
      </c>
      <c r="CD98" s="5" t="str">
        <f t="shared" si="764"/>
        <v/>
      </c>
      <c r="CE98" s="6" t="str">
        <f t="shared" si="765"/>
        <v/>
      </c>
      <c r="CF98" s="4" t="str">
        <f t="shared" si="766"/>
        <v/>
      </c>
      <c r="CG98" s="5" t="str">
        <f t="shared" si="767"/>
        <v/>
      </c>
      <c r="CH98" s="5" t="str">
        <f t="shared" si="768"/>
        <v/>
      </c>
      <c r="CI98" s="4" t="str">
        <f t="shared" si="740"/>
        <v/>
      </c>
      <c r="CJ98" s="5" t="str">
        <f t="shared" si="741"/>
        <v/>
      </c>
      <c r="CK98" s="8" t="str">
        <f t="shared" si="742"/>
        <v/>
      </c>
      <c r="CL98" s="173" t="str">
        <f t="shared" si="743"/>
        <v/>
      </c>
      <c r="CM98" s="5" t="str">
        <f t="shared" si="744"/>
        <v/>
      </c>
      <c r="CN98" s="6" t="str">
        <f t="shared" si="745"/>
        <v/>
      </c>
      <c r="CO98" s="167" t="str">
        <f t="shared" si="663"/>
        <v/>
      </c>
      <c r="CP98" s="4" t="str">
        <f t="shared" si="769"/>
        <v/>
      </c>
      <c r="CQ98" s="5" t="str">
        <f t="shared" si="770"/>
        <v/>
      </c>
      <c r="CR98" s="5" t="str">
        <f t="shared" si="771"/>
        <v/>
      </c>
      <c r="CS98" s="8" t="str">
        <f t="shared" si="772"/>
        <v/>
      </c>
      <c r="CT98" s="9" t="str">
        <f t="shared" si="773"/>
        <v/>
      </c>
      <c r="CU98" s="6" t="str">
        <f t="shared" si="774"/>
        <v/>
      </c>
      <c r="CV98" s="4" t="str">
        <f t="shared" si="775"/>
        <v/>
      </c>
      <c r="CW98" s="5" t="str">
        <f t="shared" si="776"/>
        <v/>
      </c>
      <c r="CX98" s="8" t="str">
        <f t="shared" si="777"/>
        <v/>
      </c>
      <c r="CY98" s="9" t="str">
        <f t="shared" si="778"/>
        <v/>
      </c>
      <c r="CZ98" s="5" t="str">
        <f t="shared" si="779"/>
        <v/>
      </c>
      <c r="DA98" s="6" t="str">
        <f t="shared" si="780"/>
        <v/>
      </c>
      <c r="DB98" s="4" t="str">
        <f t="shared" si="781"/>
        <v/>
      </c>
      <c r="DC98" s="5" t="str">
        <f t="shared" si="781"/>
        <v/>
      </c>
      <c r="DD98" s="10" t="str">
        <f t="shared" si="782"/>
        <v/>
      </c>
      <c r="DE98" s="9" t="str">
        <f t="shared" si="783"/>
        <v/>
      </c>
      <c r="DF98" s="5" t="str">
        <f t="shared" si="783"/>
        <v/>
      </c>
      <c r="DG98" s="10" t="str">
        <f t="shared" si="784"/>
        <v/>
      </c>
      <c r="DH98" s="70" t="str">
        <f t="shared" si="785"/>
        <v/>
      </c>
      <c r="DI98" s="4" t="str">
        <f t="shared" si="786"/>
        <v/>
      </c>
      <c r="DJ98" s="5" t="str">
        <f t="shared" si="787"/>
        <v/>
      </c>
      <c r="DK98" s="10" t="str">
        <f t="shared" si="788"/>
        <v/>
      </c>
      <c r="DL98" s="9" t="str">
        <f t="shared" si="789"/>
        <v/>
      </c>
      <c r="DM98" s="173" t="str">
        <f t="shared" si="790"/>
        <v/>
      </c>
      <c r="DN98" s="178" t="str">
        <f t="shared" si="791"/>
        <v/>
      </c>
      <c r="DO98" s="9" t="str">
        <f t="shared" si="792"/>
        <v/>
      </c>
      <c r="DP98" s="173" t="str">
        <f t="shared" si="793"/>
        <v/>
      </c>
      <c r="DQ98" s="11" t="str">
        <f t="shared" si="794"/>
        <v/>
      </c>
      <c r="DR98" s="173" t="str">
        <f t="shared" si="795"/>
        <v/>
      </c>
      <c r="DS98" s="5" t="str">
        <f t="shared" si="796"/>
        <v/>
      </c>
      <c r="DT98" s="5" t="str">
        <f t="shared" si="797"/>
        <v/>
      </c>
      <c r="DU98" s="5" t="str">
        <f t="shared" si="798"/>
        <v/>
      </c>
      <c r="DV98" s="5" t="str">
        <f t="shared" si="799"/>
        <v/>
      </c>
      <c r="DW98" s="5" t="str">
        <f t="shared" si="800"/>
        <v/>
      </c>
      <c r="DX98" s="167" t="str">
        <f t="shared" si="801"/>
        <v/>
      </c>
      <c r="DY98" s="9" t="str">
        <f t="shared" si="802"/>
        <v/>
      </c>
      <c r="DZ98" s="5" t="str">
        <f t="shared" si="803"/>
        <v/>
      </c>
      <c r="EA98" s="10" t="str">
        <f t="shared" si="804"/>
        <v/>
      </c>
      <c r="EB98" s="6" t="str">
        <f t="shared" si="805"/>
        <v/>
      </c>
      <c r="EC98" s="173" t="str">
        <f t="shared" si="806"/>
        <v/>
      </c>
      <c r="ED98" s="5" t="str">
        <f t="shared" si="807"/>
        <v/>
      </c>
      <c r="EE98" s="4" t="str">
        <f t="shared" si="808"/>
        <v/>
      </c>
      <c r="EF98" s="5" t="str">
        <f t="shared" si="809"/>
        <v/>
      </c>
      <c r="EG98" s="10" t="str">
        <f t="shared" si="810"/>
        <v/>
      </c>
      <c r="EH98" s="9" t="str">
        <f t="shared" si="811"/>
        <v/>
      </c>
      <c r="EI98" s="5" t="str">
        <f t="shared" si="812"/>
        <v/>
      </c>
      <c r="EJ98" s="6" t="str">
        <f t="shared" si="813"/>
        <v/>
      </c>
      <c r="EK98" s="236" t="str">
        <f t="shared" si="814"/>
        <v/>
      </c>
      <c r="EL98" s="238" t="str">
        <f t="shared" si="815"/>
        <v/>
      </c>
      <c r="EM98" s="4" t="str">
        <f t="shared" si="816"/>
        <v/>
      </c>
      <c r="EN98" s="5" t="str">
        <f t="shared" si="817"/>
        <v/>
      </c>
      <c r="EO98" s="10" t="str">
        <f t="shared" si="818"/>
        <v/>
      </c>
      <c r="EP98" s="9" t="str">
        <f t="shared" si="819"/>
        <v/>
      </c>
      <c r="EQ98" s="5" t="str">
        <f t="shared" si="820"/>
        <v/>
      </c>
      <c r="ER98" s="7" t="str">
        <f t="shared" si="821"/>
        <v/>
      </c>
      <c r="ES98" s="21" t="str">
        <f t="shared" si="664"/>
        <v/>
      </c>
      <c r="ET98" s="5" t="str">
        <f t="shared" si="665"/>
        <v/>
      </c>
      <c r="EU98" s="10" t="str">
        <f t="shared" si="666"/>
        <v/>
      </c>
      <c r="EV98" s="174" t="str">
        <f t="shared" si="667"/>
        <v/>
      </c>
      <c r="EW98" s="9" t="str">
        <f t="shared" si="668"/>
        <v/>
      </c>
      <c r="EX98" s="5" t="str">
        <f t="shared" si="669"/>
        <v/>
      </c>
      <c r="EY98" s="6" t="str">
        <f t="shared" si="822"/>
        <v/>
      </c>
      <c r="EZ98" s="51" t="str">
        <f t="shared" si="823"/>
        <v/>
      </c>
      <c r="FA98" s="173" t="str">
        <f t="shared" si="670"/>
        <v/>
      </c>
      <c r="FB98" s="5" t="str">
        <f t="shared" si="671"/>
        <v/>
      </c>
      <c r="FC98" s="6" t="str">
        <f t="shared" si="672"/>
        <v/>
      </c>
      <c r="FD98" s="4" t="str">
        <f t="shared" si="673"/>
        <v/>
      </c>
      <c r="FE98" s="5" t="str">
        <f t="shared" si="674"/>
        <v/>
      </c>
      <c r="FF98" s="7" t="str">
        <f t="shared" si="824"/>
        <v/>
      </c>
      <c r="FG98" s="173" t="str">
        <f t="shared" si="675"/>
        <v/>
      </c>
      <c r="FH98" s="5" t="str">
        <f t="shared" si="676"/>
        <v/>
      </c>
      <c r="FI98" s="10" t="str">
        <f t="shared" si="677"/>
        <v/>
      </c>
      <c r="FJ98" s="279" t="str">
        <f t="shared" si="825"/>
        <v/>
      </c>
      <c r="FK98" s="4" t="str">
        <f t="shared" si="678"/>
        <v/>
      </c>
      <c r="FL98" s="5" t="str">
        <f t="shared" si="746"/>
        <v/>
      </c>
      <c r="FM98" s="8" t="str">
        <f t="shared" si="747"/>
        <v/>
      </c>
      <c r="FN98" s="9" t="str">
        <f t="shared" si="748"/>
        <v/>
      </c>
      <c r="FO98" s="10" t="str">
        <f t="shared" si="679"/>
        <v/>
      </c>
      <c r="FP98" s="277" t="str">
        <f t="shared" si="749"/>
        <v/>
      </c>
      <c r="FQ98" s="173" t="str">
        <f t="shared" si="826"/>
        <v/>
      </c>
      <c r="FR98" s="10" t="str">
        <f t="shared" si="827"/>
        <v/>
      </c>
      <c r="FS98" s="9" t="str">
        <f t="shared" si="828"/>
        <v/>
      </c>
      <c r="FT98" s="6" t="str">
        <f t="shared" si="829"/>
        <v/>
      </c>
      <c r="FU98" s="4" t="str">
        <f t="shared" si="830"/>
        <v/>
      </c>
      <c r="FV98" s="5" t="str">
        <f t="shared" si="831"/>
        <v/>
      </c>
      <c r="FW98" s="8" t="str">
        <f t="shared" si="832"/>
        <v/>
      </c>
      <c r="FX98" s="9" t="str">
        <f t="shared" si="833"/>
        <v/>
      </c>
      <c r="FY98" s="10" t="str">
        <f t="shared" si="680"/>
        <v/>
      </c>
      <c r="FZ98" s="277" t="str">
        <f t="shared" si="834"/>
        <v/>
      </c>
      <c r="GA98" s="177" t="str">
        <f t="shared" si="835"/>
        <v/>
      </c>
      <c r="GB98" s="4" t="str">
        <f t="shared" si="836"/>
        <v/>
      </c>
      <c r="GC98" s="5" t="str">
        <f t="shared" si="837"/>
        <v/>
      </c>
      <c r="GD98" s="10" t="str">
        <f t="shared" si="838"/>
        <v/>
      </c>
      <c r="GE98" s="311" t="str">
        <f t="shared" si="839"/>
        <v/>
      </c>
      <c r="GF98" s="341" t="str">
        <f t="shared" si="840"/>
        <v/>
      </c>
      <c r="GG98" s="285" t="str">
        <f t="shared" si="681"/>
        <v/>
      </c>
      <c r="GH98" s="286" t="str">
        <f t="shared" si="682"/>
        <v/>
      </c>
      <c r="GI98" s="281" t="str">
        <f t="shared" si="683"/>
        <v/>
      </c>
      <c r="GJ98" s="167" t="str">
        <f t="shared" si="841"/>
        <v/>
      </c>
      <c r="GK98" s="174" t="str">
        <f t="shared" si="684"/>
        <v/>
      </c>
      <c r="GL98" s="174" t="str">
        <f t="shared" si="842"/>
        <v/>
      </c>
      <c r="GM98" s="177" t="str">
        <f t="shared" si="843"/>
        <v/>
      </c>
      <c r="GN98" s="280" t="str">
        <f t="shared" si="844"/>
        <v/>
      </c>
      <c r="GO98" s="4" t="str">
        <f t="shared" si="845"/>
        <v/>
      </c>
      <c r="GP98" s="8" t="str">
        <f t="shared" si="846"/>
        <v/>
      </c>
      <c r="GQ98" s="177" t="str">
        <f t="shared" si="847"/>
        <v/>
      </c>
      <c r="GR98" s="371" t="str">
        <f t="shared" si="848"/>
        <v/>
      </c>
      <c r="GS98" s="342" t="str">
        <f t="shared" si="685"/>
        <v/>
      </c>
      <c r="GT98" s="343" t="str">
        <f t="shared" si="686"/>
        <v/>
      </c>
      <c r="GU98" s="344" t="str">
        <f t="shared" si="687"/>
        <v/>
      </c>
      <c r="GV98" s="343" t="str">
        <f t="shared" si="849"/>
        <v/>
      </c>
      <c r="GW98" s="345" t="str">
        <f t="shared" si="688"/>
        <v/>
      </c>
      <c r="GX98" s="346" t="str">
        <f t="shared" si="689"/>
        <v/>
      </c>
      <c r="GY98" s="344" t="str">
        <f t="shared" si="690"/>
        <v/>
      </c>
      <c r="GZ98" s="345" t="str">
        <f t="shared" si="691"/>
        <v/>
      </c>
      <c r="HA98" s="342" t="str">
        <f t="shared" si="692"/>
        <v/>
      </c>
      <c r="HB98" s="5" t="str">
        <f t="shared" si="850"/>
        <v/>
      </c>
      <c r="HC98" s="343" t="str">
        <f t="shared" si="851"/>
        <v/>
      </c>
      <c r="HD98" s="363" t="str">
        <f t="shared" si="852"/>
        <v/>
      </c>
      <c r="HE98" s="344" t="str">
        <f t="shared" si="693"/>
        <v/>
      </c>
      <c r="HF98" s="5" t="str">
        <f t="shared" si="694"/>
        <v/>
      </c>
      <c r="HG98" s="343" t="str">
        <f t="shared" si="853"/>
        <v/>
      </c>
      <c r="HH98" s="349" t="str">
        <f t="shared" si="854"/>
        <v/>
      </c>
      <c r="HI98" s="317" t="str">
        <f t="shared" si="695"/>
        <v/>
      </c>
      <c r="HK98" s="310" t="str">
        <f t="shared" si="750"/>
        <v/>
      </c>
      <c r="HL98" s="348" t="str">
        <f t="shared" si="696"/>
        <v/>
      </c>
      <c r="HM98" s="923" t="str">
        <f t="shared" si="697"/>
        <v/>
      </c>
      <c r="HN98" s="924" t="str">
        <f t="shared" si="698"/>
        <v/>
      </c>
      <c r="HO98" s="925"/>
      <c r="HP98" s="926"/>
      <c r="HQ98" s="924" t="str">
        <f t="shared" si="699"/>
        <v/>
      </c>
      <c r="HR98" s="927" t="str">
        <f t="shared" si="700"/>
        <v/>
      </c>
      <c r="HS98" s="879" t="str">
        <f t="shared" si="751"/>
        <v/>
      </c>
      <c r="HT98" s="889" t="str">
        <f t="shared" si="701"/>
        <v/>
      </c>
      <c r="HU98" s="890" t="str">
        <f t="shared" si="702"/>
        <v/>
      </c>
      <c r="HV98" s="886" t="str">
        <f t="shared" si="703"/>
        <v/>
      </c>
      <c r="HW98" s="880" t="str">
        <f t="shared" si="704"/>
        <v/>
      </c>
      <c r="HX98" s="881" t="str">
        <f t="shared" si="705"/>
        <v/>
      </c>
      <c r="HY98" s="880" t="str">
        <f t="shared" si="706"/>
        <v/>
      </c>
      <c r="HZ98" s="882" t="str">
        <f t="shared" si="707"/>
        <v/>
      </c>
      <c r="IA98" s="883" t="str">
        <f t="shared" si="708"/>
        <v/>
      </c>
      <c r="IB98" s="884" t="str">
        <f t="shared" si="709"/>
        <v/>
      </c>
      <c r="IC98" s="855" t="str">
        <f t="shared" si="710"/>
        <v/>
      </c>
      <c r="ID98" s="351" t="str">
        <f t="shared" si="711"/>
        <v/>
      </c>
      <c r="IE98" s="857" t="str">
        <f t="shared" si="712"/>
        <v/>
      </c>
      <c r="IF98" s="858"/>
      <c r="IG98" s="790" t="str">
        <f>IFERROR(IF($IW98="","",IF($IW98&lt;(((Settings!$C$19/2)*-1)*$IG$8),"Taper","Nose")),"")</f>
        <v/>
      </c>
      <c r="IH98" s="482" t="str">
        <f>IFERROR(IF((((($IY98*COS(RADIANS(180-$JA98)))*COS(RADIANS($JA98)))-(($IZ98*SIN(RADIANS(180-$JA98)))*SIN(RADIANS($JA98))))+$IW98)&lt;(((Settings!$C$19+$IH$8)/2)*-1),"Gage",""),"")</f>
        <v/>
      </c>
      <c r="II98" s="788" t="str">
        <f t="shared" si="855"/>
        <v/>
      </c>
      <c r="IJ98" s="674" t="str" cm="1">
        <f t="array" ref="IJ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K98" s="677" t="str" cm="1">
        <f t="array" ref="IK98">IFERROR(ROUND(VALUE(IF($IJ98&lt;1,$IJ98+LARGE((IF($M$9:$M$150="",0,$M$9:$M$150)-MOD(IF($M$9:$M$150="",0,$M$9:$M$150),1)),1),$IJ98)),4),"")</f>
        <v/>
      </c>
      <c r="IL98" s="482" t="str">
        <f t="shared" si="713"/>
        <v/>
      </c>
      <c r="IM98" s="482" t="str">
        <f t="shared" si="856"/>
        <v/>
      </c>
      <c r="IN98" s="670" t="str">
        <f t="shared" si="714"/>
        <v/>
      </c>
      <c r="IO98" s="702"/>
      <c r="IP98" s="5" t="str">
        <f t="shared" si="715"/>
        <v/>
      </c>
      <c r="IQ98" s="714"/>
      <c r="IR98" s="9" t="str">
        <f t="shared" si="716"/>
        <v/>
      </c>
      <c r="IS98" s="5" t="str">
        <f t="shared" si="717"/>
        <v/>
      </c>
      <c r="IT98" s="5" t="str">
        <f t="shared" si="718"/>
        <v/>
      </c>
      <c r="IU98" s="5" t="str">
        <f t="shared" si="719"/>
        <v/>
      </c>
      <c r="IV98" s="670" t="str">
        <f t="shared" si="720"/>
        <v/>
      </c>
      <c r="IW98" s="9" t="str">
        <f t="shared" si="721"/>
        <v/>
      </c>
      <c r="IX98" s="5" t="str">
        <f t="shared" si="722"/>
        <v/>
      </c>
      <c r="IY98" s="5" t="str">
        <f t="shared" si="723"/>
        <v/>
      </c>
      <c r="IZ98" s="5" t="str">
        <f t="shared" si="724"/>
        <v/>
      </c>
      <c r="JA98" s="705" t="str">
        <f t="shared" si="725"/>
        <v/>
      </c>
      <c r="JN98" s="960"/>
      <c r="JO98" s="162"/>
      <c r="JP98" s="961"/>
      <c r="JQ98" s="961"/>
    </row>
    <row r="99" spans="1:277" ht="15" customHeight="1" x14ac:dyDescent="0.25">
      <c r="A99" s="75" t="str">
        <f t="shared" si="640"/>
        <v/>
      </c>
      <c r="B99" s="578" t="str">
        <f t="shared" ref="B99:D99" si="905">IFERROR(O254+($A99*-E99),"")</f>
        <v/>
      </c>
      <c r="C99" s="572" t="str">
        <f t="shared" si="905"/>
        <v/>
      </c>
      <c r="D99" s="576" t="str">
        <f t="shared" si="905"/>
        <v/>
      </c>
      <c r="E99" s="580" t="str">
        <f t="shared" ref="E99:K99" si="906">R254</f>
        <v/>
      </c>
      <c r="F99" s="572" t="str">
        <f t="shared" si="906"/>
        <v/>
      </c>
      <c r="G99" s="579" t="str">
        <f t="shared" si="906"/>
        <v/>
      </c>
      <c r="H99" s="580" t="str">
        <f t="shared" si="906"/>
        <v/>
      </c>
      <c r="I99" s="572" t="str">
        <f t="shared" si="906"/>
        <v/>
      </c>
      <c r="J99" s="483" t="str">
        <f t="shared" si="728"/>
        <v/>
      </c>
      <c r="K99" s="806" t="str">
        <f t="shared" si="906"/>
        <v/>
      </c>
      <c r="L99" s="309"/>
      <c r="M99" s="164" t="str">
        <f t="shared" si="643"/>
        <v/>
      </c>
      <c r="N99" s="575" t="str">
        <f t="shared" si="644"/>
        <v/>
      </c>
      <c r="O99" s="572" t="str">
        <f t="shared" si="645"/>
        <v/>
      </c>
      <c r="P99" s="576" t="str">
        <f t="shared" si="646"/>
        <v/>
      </c>
      <c r="Q99" s="528" t="str">
        <f t="shared" si="729"/>
        <v/>
      </c>
      <c r="R99" s="572" t="str">
        <f t="shared" si="95"/>
        <v/>
      </c>
      <c r="S99" s="577" t="str">
        <f t="shared" si="96"/>
        <v/>
      </c>
      <c r="T99" s="578" t="str">
        <f t="shared" si="97"/>
        <v/>
      </c>
      <c r="U99" s="572" t="str">
        <f t="shared" si="98"/>
        <v/>
      </c>
      <c r="V99" s="579" t="str">
        <f t="shared" si="145"/>
        <v/>
      </c>
      <c r="W99" s="528" t="str">
        <f t="shared" si="866"/>
        <v/>
      </c>
      <c r="X99" s="572" t="str">
        <f t="shared" si="99"/>
        <v/>
      </c>
      <c r="Y99" s="573" t="str">
        <f t="shared" si="859"/>
        <v/>
      </c>
      <c r="Z99" s="575" t="str">
        <f t="shared" si="647"/>
        <v/>
      </c>
      <c r="AA99" s="572" t="str">
        <f t="shared" si="648"/>
        <v/>
      </c>
      <c r="AB99" s="572" t="str">
        <f t="shared" si="649"/>
        <v/>
      </c>
      <c r="AC99" s="579" t="str">
        <f t="shared" si="100"/>
        <v/>
      </c>
      <c r="AD99" s="580" t="str">
        <f t="shared" si="146"/>
        <v/>
      </c>
      <c r="AE99" s="572" t="str">
        <f t="shared" si="101"/>
        <v/>
      </c>
      <c r="AF99" s="576" t="str">
        <f t="shared" si="102"/>
        <v/>
      </c>
      <c r="AG99" s="545" t="str">
        <f t="shared" si="103"/>
        <v/>
      </c>
      <c r="AH99" s="546" t="str">
        <f t="shared" si="104"/>
        <v/>
      </c>
      <c r="AI99" s="528" t="str">
        <f t="shared" si="105"/>
        <v/>
      </c>
      <c r="AJ99" s="529" t="str">
        <f t="shared" si="106"/>
        <v/>
      </c>
      <c r="AK99" s="578" t="str">
        <f t="shared" si="247"/>
        <v/>
      </c>
      <c r="AL99" s="572" t="str">
        <f t="shared" si="107"/>
        <v/>
      </c>
      <c r="AM99" s="577" t="str">
        <f t="shared" si="108"/>
        <v/>
      </c>
      <c r="AN99" s="524" t="str">
        <f t="shared" si="109"/>
        <v/>
      </c>
      <c r="AO99" s="525" t="str">
        <f t="shared" si="604"/>
        <v/>
      </c>
      <c r="AP99" s="528" t="str">
        <f t="shared" si="111"/>
        <v/>
      </c>
      <c r="AQ99" s="529" t="str">
        <f t="shared" si="650"/>
        <v/>
      </c>
      <c r="AS99" s="954" t="str">
        <f t="shared" si="755"/>
        <v/>
      </c>
      <c r="AT99" s="950" t="str">
        <f t="shared" si="651"/>
        <v/>
      </c>
      <c r="AU99" s="418"/>
      <c r="AV99" s="164" t="str">
        <f t="shared" si="652"/>
        <v/>
      </c>
      <c r="AW99" s="797" t="str">
        <f>IFERROR(INDEX(MassProp!C$9:C$150,MATCH($M99,MassProp!$B$9:$B$150,0)),"")</f>
        <v/>
      </c>
      <c r="AX99" s="744" t="str">
        <f>IFERROR(INDEX(MassProp!D$9:D$150,MATCH($M99,MassProp!$B$9:$B$150,0)),"")</f>
        <v/>
      </c>
      <c r="AY99" s="731" t="str">
        <f>IFERROR(INDEX(MassProp!E$9:E$150,MATCH($M99,MassProp!$B$9:$B$150,0)),"")</f>
        <v/>
      </c>
      <c r="AZ99" s="297" t="str">
        <f t="shared" si="756"/>
        <v/>
      </c>
      <c r="BA99" s="296" t="str">
        <f t="shared" si="653"/>
        <v/>
      </c>
      <c r="BB99" s="177" t="str">
        <f t="shared" si="730"/>
        <v/>
      </c>
      <c r="BC99" s="9"/>
      <c r="BD99" s="5" t="str">
        <f t="shared" si="731"/>
        <v/>
      </c>
      <c r="BE99" s="6" t="str">
        <f t="shared" si="654"/>
        <v/>
      </c>
      <c r="BF99" s="4" t="str">
        <f t="shared" si="655"/>
        <v/>
      </c>
      <c r="BG99" s="5" t="str">
        <f t="shared" si="656"/>
        <v/>
      </c>
      <c r="BH99" s="10" t="str">
        <f t="shared" si="657"/>
        <v/>
      </c>
      <c r="BI99" s="9" t="str">
        <f t="shared" si="757"/>
        <v/>
      </c>
      <c r="BJ99" s="5" t="str">
        <f t="shared" si="658"/>
        <v/>
      </c>
      <c r="BK99" s="8" t="str">
        <f t="shared" si="659"/>
        <v/>
      </c>
      <c r="BL99" s="173" t="str">
        <f t="shared" si="660"/>
        <v/>
      </c>
      <c r="BM99" s="5" t="str">
        <f t="shared" si="661"/>
        <v/>
      </c>
      <c r="BN99" s="6" t="str">
        <f t="shared" si="662"/>
        <v/>
      </c>
      <c r="BO99" s="4" t="str">
        <f t="shared" si="758"/>
        <v/>
      </c>
      <c r="BP99" s="5" t="str">
        <f t="shared" si="759"/>
        <v/>
      </c>
      <c r="BQ99" s="5" t="str">
        <f t="shared" si="760"/>
        <v/>
      </c>
      <c r="BR99" s="6" t="str">
        <f t="shared" si="761"/>
        <v/>
      </c>
      <c r="BS99" s="4" t="str">
        <f t="shared" si="732"/>
        <v/>
      </c>
      <c r="BT99" s="5" t="str">
        <f t="shared" si="732"/>
        <v/>
      </c>
      <c r="BU99" s="10" t="str">
        <f t="shared" si="733"/>
        <v/>
      </c>
      <c r="BV99" s="9" t="str">
        <f t="shared" si="734"/>
        <v/>
      </c>
      <c r="BW99" s="5" t="str">
        <f t="shared" si="735"/>
        <v/>
      </c>
      <c r="BX99" s="8" t="str">
        <f t="shared" si="736"/>
        <v/>
      </c>
      <c r="BY99" s="173" t="str">
        <f t="shared" si="737"/>
        <v/>
      </c>
      <c r="BZ99" s="5" t="str">
        <f t="shared" si="738"/>
        <v/>
      </c>
      <c r="CA99" s="6" t="str">
        <f t="shared" si="739"/>
        <v/>
      </c>
      <c r="CB99" s="4" t="str">
        <f t="shared" si="762"/>
        <v/>
      </c>
      <c r="CC99" s="5" t="str">
        <f t="shared" si="763"/>
        <v/>
      </c>
      <c r="CD99" s="5" t="str">
        <f t="shared" si="764"/>
        <v/>
      </c>
      <c r="CE99" s="6" t="str">
        <f t="shared" si="765"/>
        <v/>
      </c>
      <c r="CF99" s="4" t="str">
        <f t="shared" si="766"/>
        <v/>
      </c>
      <c r="CG99" s="5" t="str">
        <f t="shared" si="767"/>
        <v/>
      </c>
      <c r="CH99" s="5" t="str">
        <f t="shared" si="768"/>
        <v/>
      </c>
      <c r="CI99" s="4" t="str">
        <f t="shared" si="740"/>
        <v/>
      </c>
      <c r="CJ99" s="5" t="str">
        <f t="shared" si="741"/>
        <v/>
      </c>
      <c r="CK99" s="8" t="str">
        <f t="shared" si="742"/>
        <v/>
      </c>
      <c r="CL99" s="173" t="str">
        <f t="shared" si="743"/>
        <v/>
      </c>
      <c r="CM99" s="5" t="str">
        <f t="shared" si="744"/>
        <v/>
      </c>
      <c r="CN99" s="6" t="str">
        <f t="shared" si="745"/>
        <v/>
      </c>
      <c r="CO99" s="167" t="str">
        <f t="shared" si="663"/>
        <v/>
      </c>
      <c r="CP99" s="4" t="str">
        <f t="shared" si="769"/>
        <v/>
      </c>
      <c r="CQ99" s="5" t="str">
        <f t="shared" si="770"/>
        <v/>
      </c>
      <c r="CR99" s="5" t="str">
        <f t="shared" si="771"/>
        <v/>
      </c>
      <c r="CS99" s="8" t="str">
        <f t="shared" si="772"/>
        <v/>
      </c>
      <c r="CT99" s="9" t="str">
        <f t="shared" si="773"/>
        <v/>
      </c>
      <c r="CU99" s="6" t="str">
        <f t="shared" si="774"/>
        <v/>
      </c>
      <c r="CV99" s="4" t="str">
        <f t="shared" si="775"/>
        <v/>
      </c>
      <c r="CW99" s="5" t="str">
        <f t="shared" si="776"/>
        <v/>
      </c>
      <c r="CX99" s="8" t="str">
        <f t="shared" si="777"/>
        <v/>
      </c>
      <c r="CY99" s="9" t="str">
        <f t="shared" si="778"/>
        <v/>
      </c>
      <c r="CZ99" s="5" t="str">
        <f t="shared" si="779"/>
        <v/>
      </c>
      <c r="DA99" s="6" t="str">
        <f t="shared" si="780"/>
        <v/>
      </c>
      <c r="DB99" s="4" t="str">
        <f t="shared" si="781"/>
        <v/>
      </c>
      <c r="DC99" s="5" t="str">
        <f t="shared" si="781"/>
        <v/>
      </c>
      <c r="DD99" s="10" t="str">
        <f t="shared" si="782"/>
        <v/>
      </c>
      <c r="DE99" s="9" t="str">
        <f t="shared" si="783"/>
        <v/>
      </c>
      <c r="DF99" s="5" t="str">
        <f t="shared" si="783"/>
        <v/>
      </c>
      <c r="DG99" s="10" t="str">
        <f t="shared" si="784"/>
        <v/>
      </c>
      <c r="DH99" s="70" t="str">
        <f t="shared" si="785"/>
        <v/>
      </c>
      <c r="DI99" s="4" t="str">
        <f t="shared" si="786"/>
        <v/>
      </c>
      <c r="DJ99" s="5" t="str">
        <f t="shared" si="787"/>
        <v/>
      </c>
      <c r="DK99" s="10" t="str">
        <f t="shared" si="788"/>
        <v/>
      </c>
      <c r="DL99" s="9" t="str">
        <f t="shared" si="789"/>
        <v/>
      </c>
      <c r="DM99" s="173" t="str">
        <f t="shared" si="790"/>
        <v/>
      </c>
      <c r="DN99" s="178" t="str">
        <f t="shared" si="791"/>
        <v/>
      </c>
      <c r="DO99" s="9" t="str">
        <f t="shared" si="792"/>
        <v/>
      </c>
      <c r="DP99" s="173" t="str">
        <f t="shared" si="793"/>
        <v/>
      </c>
      <c r="DQ99" s="11" t="str">
        <f t="shared" si="794"/>
        <v/>
      </c>
      <c r="DR99" s="173" t="str">
        <f t="shared" si="795"/>
        <v/>
      </c>
      <c r="DS99" s="5" t="str">
        <f t="shared" si="796"/>
        <v/>
      </c>
      <c r="DT99" s="5" t="str">
        <f t="shared" si="797"/>
        <v/>
      </c>
      <c r="DU99" s="5" t="str">
        <f t="shared" si="798"/>
        <v/>
      </c>
      <c r="DV99" s="5" t="str">
        <f t="shared" si="799"/>
        <v/>
      </c>
      <c r="DW99" s="5" t="str">
        <f t="shared" si="800"/>
        <v/>
      </c>
      <c r="DX99" s="167" t="str">
        <f t="shared" si="801"/>
        <v/>
      </c>
      <c r="DY99" s="9" t="str">
        <f t="shared" si="802"/>
        <v/>
      </c>
      <c r="DZ99" s="5" t="str">
        <f t="shared" si="803"/>
        <v/>
      </c>
      <c r="EA99" s="10" t="str">
        <f t="shared" si="804"/>
        <v/>
      </c>
      <c r="EB99" s="6" t="str">
        <f t="shared" si="805"/>
        <v/>
      </c>
      <c r="EC99" s="173" t="str">
        <f t="shared" si="806"/>
        <v/>
      </c>
      <c r="ED99" s="5" t="str">
        <f t="shared" si="807"/>
        <v/>
      </c>
      <c r="EE99" s="4" t="str">
        <f t="shared" si="808"/>
        <v/>
      </c>
      <c r="EF99" s="5" t="str">
        <f t="shared" si="809"/>
        <v/>
      </c>
      <c r="EG99" s="10" t="str">
        <f t="shared" si="810"/>
        <v/>
      </c>
      <c r="EH99" s="9" t="str">
        <f t="shared" si="811"/>
        <v/>
      </c>
      <c r="EI99" s="5" t="str">
        <f t="shared" si="812"/>
        <v/>
      </c>
      <c r="EJ99" s="6" t="str">
        <f t="shared" si="813"/>
        <v/>
      </c>
      <c r="EK99" s="236" t="str">
        <f t="shared" si="814"/>
        <v/>
      </c>
      <c r="EL99" s="238" t="str">
        <f t="shared" si="815"/>
        <v/>
      </c>
      <c r="EM99" s="4" t="str">
        <f t="shared" si="816"/>
        <v/>
      </c>
      <c r="EN99" s="5" t="str">
        <f t="shared" si="817"/>
        <v/>
      </c>
      <c r="EO99" s="10" t="str">
        <f t="shared" si="818"/>
        <v/>
      </c>
      <c r="EP99" s="9" t="str">
        <f t="shared" si="819"/>
        <v/>
      </c>
      <c r="EQ99" s="5" t="str">
        <f t="shared" si="820"/>
        <v/>
      </c>
      <c r="ER99" s="7" t="str">
        <f t="shared" si="821"/>
        <v/>
      </c>
      <c r="ES99" s="21" t="str">
        <f t="shared" si="664"/>
        <v/>
      </c>
      <c r="ET99" s="5" t="str">
        <f t="shared" si="665"/>
        <v/>
      </c>
      <c r="EU99" s="10" t="str">
        <f t="shared" si="666"/>
        <v/>
      </c>
      <c r="EV99" s="174" t="str">
        <f t="shared" si="667"/>
        <v/>
      </c>
      <c r="EW99" s="9" t="str">
        <f t="shared" si="668"/>
        <v/>
      </c>
      <c r="EX99" s="5" t="str">
        <f t="shared" si="669"/>
        <v/>
      </c>
      <c r="EY99" s="6" t="str">
        <f t="shared" si="822"/>
        <v/>
      </c>
      <c r="EZ99" s="51" t="str">
        <f t="shared" si="823"/>
        <v/>
      </c>
      <c r="FA99" s="173" t="str">
        <f t="shared" si="670"/>
        <v/>
      </c>
      <c r="FB99" s="5" t="str">
        <f t="shared" si="671"/>
        <v/>
      </c>
      <c r="FC99" s="6" t="str">
        <f t="shared" si="672"/>
        <v/>
      </c>
      <c r="FD99" s="4" t="str">
        <f t="shared" si="673"/>
        <v/>
      </c>
      <c r="FE99" s="5" t="str">
        <f t="shared" si="674"/>
        <v/>
      </c>
      <c r="FF99" s="7" t="str">
        <f t="shared" si="824"/>
        <v/>
      </c>
      <c r="FG99" s="173" t="str">
        <f t="shared" si="675"/>
        <v/>
      </c>
      <c r="FH99" s="5" t="str">
        <f t="shared" si="676"/>
        <v/>
      </c>
      <c r="FI99" s="10" t="str">
        <f t="shared" si="677"/>
        <v/>
      </c>
      <c r="FJ99" s="279" t="str">
        <f t="shared" si="825"/>
        <v/>
      </c>
      <c r="FK99" s="4" t="str">
        <f t="shared" si="678"/>
        <v/>
      </c>
      <c r="FL99" s="5" t="str">
        <f t="shared" si="746"/>
        <v/>
      </c>
      <c r="FM99" s="8" t="str">
        <f t="shared" si="747"/>
        <v/>
      </c>
      <c r="FN99" s="9" t="str">
        <f t="shared" si="748"/>
        <v/>
      </c>
      <c r="FO99" s="10" t="str">
        <f t="shared" si="679"/>
        <v/>
      </c>
      <c r="FP99" s="277" t="str">
        <f t="shared" si="749"/>
        <v/>
      </c>
      <c r="FQ99" s="173" t="str">
        <f t="shared" si="826"/>
        <v/>
      </c>
      <c r="FR99" s="10" t="str">
        <f t="shared" si="827"/>
        <v/>
      </c>
      <c r="FS99" s="9" t="str">
        <f t="shared" si="828"/>
        <v/>
      </c>
      <c r="FT99" s="6" t="str">
        <f t="shared" si="829"/>
        <v/>
      </c>
      <c r="FU99" s="4" t="str">
        <f t="shared" si="830"/>
        <v/>
      </c>
      <c r="FV99" s="5" t="str">
        <f t="shared" si="831"/>
        <v/>
      </c>
      <c r="FW99" s="8" t="str">
        <f t="shared" si="832"/>
        <v/>
      </c>
      <c r="FX99" s="9" t="str">
        <f t="shared" si="833"/>
        <v/>
      </c>
      <c r="FY99" s="10" t="str">
        <f t="shared" si="680"/>
        <v/>
      </c>
      <c r="FZ99" s="277" t="str">
        <f t="shared" si="834"/>
        <v/>
      </c>
      <c r="GA99" s="177" t="str">
        <f t="shared" si="835"/>
        <v/>
      </c>
      <c r="GB99" s="4" t="str">
        <f t="shared" si="836"/>
        <v/>
      </c>
      <c r="GC99" s="5" t="str">
        <f t="shared" si="837"/>
        <v/>
      </c>
      <c r="GD99" s="10" t="str">
        <f t="shared" si="838"/>
        <v/>
      </c>
      <c r="GE99" s="311" t="str">
        <f t="shared" si="839"/>
        <v/>
      </c>
      <c r="GF99" s="341" t="str">
        <f t="shared" si="840"/>
        <v/>
      </c>
      <c r="GG99" s="285" t="str">
        <f t="shared" si="681"/>
        <v/>
      </c>
      <c r="GH99" s="286" t="str">
        <f t="shared" si="682"/>
        <v/>
      </c>
      <c r="GI99" s="281" t="str">
        <f t="shared" si="683"/>
        <v/>
      </c>
      <c r="GJ99" s="167" t="str">
        <f t="shared" si="841"/>
        <v/>
      </c>
      <c r="GK99" s="174" t="str">
        <f t="shared" si="684"/>
        <v/>
      </c>
      <c r="GL99" s="174" t="str">
        <f t="shared" si="842"/>
        <v/>
      </c>
      <c r="GM99" s="177" t="str">
        <f t="shared" si="843"/>
        <v/>
      </c>
      <c r="GN99" s="280" t="str">
        <f t="shared" si="844"/>
        <v/>
      </c>
      <c r="GO99" s="4" t="str">
        <f t="shared" si="845"/>
        <v/>
      </c>
      <c r="GP99" s="8" t="str">
        <f t="shared" si="846"/>
        <v/>
      </c>
      <c r="GQ99" s="177" t="str">
        <f t="shared" si="847"/>
        <v/>
      </c>
      <c r="GR99" s="371" t="str">
        <f t="shared" si="848"/>
        <v/>
      </c>
      <c r="GS99" s="342" t="str">
        <f t="shared" si="685"/>
        <v/>
      </c>
      <c r="GT99" s="343" t="str">
        <f t="shared" si="686"/>
        <v/>
      </c>
      <c r="GU99" s="344" t="str">
        <f t="shared" si="687"/>
        <v/>
      </c>
      <c r="GV99" s="343" t="str">
        <f t="shared" si="849"/>
        <v/>
      </c>
      <c r="GW99" s="345" t="str">
        <f t="shared" si="688"/>
        <v/>
      </c>
      <c r="GX99" s="346" t="str">
        <f t="shared" si="689"/>
        <v/>
      </c>
      <c r="GY99" s="344" t="str">
        <f t="shared" si="690"/>
        <v/>
      </c>
      <c r="GZ99" s="345" t="str">
        <f t="shared" si="691"/>
        <v/>
      </c>
      <c r="HA99" s="342" t="str">
        <f t="shared" si="692"/>
        <v/>
      </c>
      <c r="HB99" s="5" t="str">
        <f t="shared" si="850"/>
        <v/>
      </c>
      <c r="HC99" s="343" t="str">
        <f t="shared" si="851"/>
        <v/>
      </c>
      <c r="HD99" s="363" t="str">
        <f t="shared" si="852"/>
        <v/>
      </c>
      <c r="HE99" s="344" t="str">
        <f t="shared" si="693"/>
        <v/>
      </c>
      <c r="HF99" s="5" t="str">
        <f t="shared" si="694"/>
        <v/>
      </c>
      <c r="HG99" s="343" t="str">
        <f t="shared" si="853"/>
        <v/>
      </c>
      <c r="HH99" s="349" t="str">
        <f t="shared" si="854"/>
        <v/>
      </c>
      <c r="HI99" s="317" t="str">
        <f t="shared" si="695"/>
        <v/>
      </c>
      <c r="HK99" s="310" t="str">
        <f t="shared" si="750"/>
        <v/>
      </c>
      <c r="HL99" s="348" t="str">
        <f t="shared" si="696"/>
        <v/>
      </c>
      <c r="HM99" s="923" t="str">
        <f t="shared" si="697"/>
        <v/>
      </c>
      <c r="HN99" s="924" t="str">
        <f t="shared" si="698"/>
        <v/>
      </c>
      <c r="HO99" s="925"/>
      <c r="HP99" s="926"/>
      <c r="HQ99" s="924" t="str">
        <f t="shared" si="699"/>
        <v/>
      </c>
      <c r="HR99" s="927" t="str">
        <f t="shared" si="700"/>
        <v/>
      </c>
      <c r="HS99" s="879" t="str">
        <f t="shared" si="751"/>
        <v/>
      </c>
      <c r="HT99" s="889" t="str">
        <f t="shared" si="701"/>
        <v/>
      </c>
      <c r="HU99" s="890" t="str">
        <f t="shared" si="702"/>
        <v/>
      </c>
      <c r="HV99" s="886" t="str">
        <f t="shared" si="703"/>
        <v/>
      </c>
      <c r="HW99" s="880" t="str">
        <f t="shared" si="704"/>
        <v/>
      </c>
      <c r="HX99" s="881" t="str">
        <f t="shared" si="705"/>
        <v/>
      </c>
      <c r="HY99" s="880" t="str">
        <f t="shared" si="706"/>
        <v/>
      </c>
      <c r="HZ99" s="882" t="str">
        <f t="shared" si="707"/>
        <v/>
      </c>
      <c r="IA99" s="883" t="str">
        <f t="shared" si="708"/>
        <v/>
      </c>
      <c r="IB99" s="884" t="str">
        <f t="shared" si="709"/>
        <v/>
      </c>
      <c r="IC99" s="855" t="str">
        <f t="shared" si="710"/>
        <v/>
      </c>
      <c r="ID99" s="351" t="str">
        <f t="shared" si="711"/>
        <v/>
      </c>
      <c r="IE99" s="857" t="str">
        <f t="shared" si="712"/>
        <v/>
      </c>
      <c r="IF99" s="858"/>
      <c r="IG99" s="790" t="str">
        <f>IFERROR(IF($IW99="","",IF($IW99&lt;(((Settings!$C$19/2)*-1)*$IG$8),"Taper","Nose")),"")</f>
        <v/>
      </c>
      <c r="IH99" s="482" t="str">
        <f>IFERROR(IF((((($IY99*COS(RADIANS(180-$JA99)))*COS(RADIANS($JA99)))-(($IZ99*SIN(RADIANS(180-$JA99)))*SIN(RADIANS($JA99))))+$IW99)&lt;(((Settings!$C$19+$IH$8)/2)*-1),"Gage",""),"")</f>
        <v/>
      </c>
      <c r="II99" s="788" t="str">
        <f t="shared" si="855"/>
        <v/>
      </c>
      <c r="IJ99" s="674" t="str" cm="1">
        <f t="array" ref="IJ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K99" s="677" t="str" cm="1">
        <f t="array" ref="IK99">IFERROR(ROUND(VALUE(IF($IJ99&lt;1,$IJ99+LARGE((IF($M$9:$M$150="",0,$M$9:$M$150)-MOD(IF($M$9:$M$150="",0,$M$9:$M$150),1)),1),$IJ99)),4),"")</f>
        <v/>
      </c>
      <c r="IL99" s="482" t="str">
        <f t="shared" si="713"/>
        <v/>
      </c>
      <c r="IM99" s="482" t="str">
        <f t="shared" si="856"/>
        <v/>
      </c>
      <c r="IN99" s="670" t="str">
        <f t="shared" si="714"/>
        <v/>
      </c>
      <c r="IO99" s="702"/>
      <c r="IP99" s="5" t="str">
        <f t="shared" si="715"/>
        <v/>
      </c>
      <c r="IQ99" s="714"/>
      <c r="IR99" s="9" t="str">
        <f t="shared" si="716"/>
        <v/>
      </c>
      <c r="IS99" s="5" t="str">
        <f t="shared" si="717"/>
        <v/>
      </c>
      <c r="IT99" s="5" t="str">
        <f t="shared" si="718"/>
        <v/>
      </c>
      <c r="IU99" s="5" t="str">
        <f t="shared" si="719"/>
        <v/>
      </c>
      <c r="IV99" s="670" t="str">
        <f t="shared" si="720"/>
        <v/>
      </c>
      <c r="IW99" s="9" t="str">
        <f t="shared" si="721"/>
        <v/>
      </c>
      <c r="IX99" s="5" t="str">
        <f t="shared" si="722"/>
        <v/>
      </c>
      <c r="IY99" s="5" t="str">
        <f t="shared" si="723"/>
        <v/>
      </c>
      <c r="IZ99" s="5" t="str">
        <f t="shared" si="724"/>
        <v/>
      </c>
      <c r="JA99" s="705" t="str">
        <f t="shared" si="725"/>
        <v/>
      </c>
      <c r="JN99" s="960"/>
      <c r="JO99" s="162"/>
      <c r="JP99" s="961"/>
      <c r="JQ99" s="961"/>
    </row>
    <row r="100" spans="1:277" ht="15" customHeight="1" x14ac:dyDescent="0.25">
      <c r="A100" s="75" t="str">
        <f t="shared" si="640"/>
        <v/>
      </c>
      <c r="B100" s="578" t="str">
        <f t="shared" ref="B100:D100" si="907">IFERROR(O255+($A100*-E100),"")</f>
        <v/>
      </c>
      <c r="C100" s="572" t="str">
        <f t="shared" si="907"/>
        <v/>
      </c>
      <c r="D100" s="576" t="str">
        <f t="shared" si="907"/>
        <v/>
      </c>
      <c r="E100" s="580" t="str">
        <f t="shared" ref="E100:K100" si="908">R255</f>
        <v/>
      </c>
      <c r="F100" s="572" t="str">
        <f t="shared" si="908"/>
        <v/>
      </c>
      <c r="G100" s="579" t="str">
        <f t="shared" si="908"/>
        <v/>
      </c>
      <c r="H100" s="580" t="str">
        <f t="shared" si="908"/>
        <v/>
      </c>
      <c r="I100" s="572" t="str">
        <f t="shared" si="908"/>
        <v/>
      </c>
      <c r="J100" s="483" t="str">
        <f t="shared" si="728"/>
        <v/>
      </c>
      <c r="K100" s="806" t="str">
        <f t="shared" si="908"/>
        <v/>
      </c>
      <c r="L100" s="309"/>
      <c r="M100" s="164" t="str">
        <f t="shared" si="643"/>
        <v/>
      </c>
      <c r="N100" s="575" t="str">
        <f t="shared" si="644"/>
        <v/>
      </c>
      <c r="O100" s="572" t="str">
        <f t="shared" si="645"/>
        <v/>
      </c>
      <c r="P100" s="576" t="str">
        <f t="shared" si="646"/>
        <v/>
      </c>
      <c r="Q100" s="528" t="str">
        <f t="shared" si="729"/>
        <v/>
      </c>
      <c r="R100" s="572" t="str">
        <f t="shared" si="95"/>
        <v/>
      </c>
      <c r="S100" s="577" t="str">
        <f t="shared" si="96"/>
        <v/>
      </c>
      <c r="T100" s="578" t="str">
        <f t="shared" si="97"/>
        <v/>
      </c>
      <c r="U100" s="572" t="str">
        <f t="shared" si="98"/>
        <v/>
      </c>
      <c r="V100" s="579" t="str">
        <f t="shared" si="145"/>
        <v/>
      </c>
      <c r="W100" s="528" t="str">
        <f t="shared" si="866"/>
        <v/>
      </c>
      <c r="X100" s="572" t="str">
        <f t="shared" si="99"/>
        <v/>
      </c>
      <c r="Y100" s="573" t="str">
        <f t="shared" si="859"/>
        <v/>
      </c>
      <c r="Z100" s="575" t="str">
        <f t="shared" si="647"/>
        <v/>
      </c>
      <c r="AA100" s="572" t="str">
        <f t="shared" si="648"/>
        <v/>
      </c>
      <c r="AB100" s="572" t="str">
        <f t="shared" si="649"/>
        <v/>
      </c>
      <c r="AC100" s="579" t="str">
        <f t="shared" si="100"/>
        <v/>
      </c>
      <c r="AD100" s="580" t="str">
        <f t="shared" si="146"/>
        <v/>
      </c>
      <c r="AE100" s="572" t="str">
        <f t="shared" si="101"/>
        <v/>
      </c>
      <c r="AF100" s="576" t="str">
        <f t="shared" si="102"/>
        <v/>
      </c>
      <c r="AG100" s="545" t="str">
        <f t="shared" si="103"/>
        <v/>
      </c>
      <c r="AH100" s="546" t="str">
        <f t="shared" si="104"/>
        <v/>
      </c>
      <c r="AI100" s="528" t="str">
        <f t="shared" si="105"/>
        <v/>
      </c>
      <c r="AJ100" s="529" t="str">
        <f t="shared" si="106"/>
        <v/>
      </c>
      <c r="AK100" s="578" t="str">
        <f t="shared" si="247"/>
        <v/>
      </c>
      <c r="AL100" s="572" t="str">
        <f t="shared" si="107"/>
        <v/>
      </c>
      <c r="AM100" s="577" t="str">
        <f t="shared" si="108"/>
        <v/>
      </c>
      <c r="AN100" s="524" t="str">
        <f t="shared" si="109"/>
        <v/>
      </c>
      <c r="AO100" s="525" t="str">
        <f t="shared" si="604"/>
        <v/>
      </c>
      <c r="AP100" s="528" t="str">
        <f t="shared" si="111"/>
        <v/>
      </c>
      <c r="AQ100" s="529" t="str">
        <f t="shared" si="650"/>
        <v/>
      </c>
      <c r="AS100" s="954" t="str">
        <f t="shared" si="755"/>
        <v/>
      </c>
      <c r="AT100" s="950" t="str">
        <f t="shared" si="651"/>
        <v/>
      </c>
      <c r="AU100" s="418"/>
      <c r="AV100" s="164" t="str">
        <f t="shared" si="652"/>
        <v/>
      </c>
      <c r="AW100" s="797" t="str">
        <f>IFERROR(INDEX(MassProp!C$9:C$150,MATCH($M100,MassProp!$B$9:$B$150,0)),"")</f>
        <v/>
      </c>
      <c r="AX100" s="744" t="str">
        <f>IFERROR(INDEX(MassProp!D$9:D$150,MATCH($M100,MassProp!$B$9:$B$150,0)),"")</f>
        <v/>
      </c>
      <c r="AY100" s="731" t="str">
        <f>IFERROR(INDEX(MassProp!E$9:E$150,MATCH($M100,MassProp!$B$9:$B$150,0)),"")</f>
        <v/>
      </c>
      <c r="AZ100" s="297" t="str">
        <f t="shared" si="756"/>
        <v/>
      </c>
      <c r="BA100" s="296" t="str">
        <f t="shared" si="653"/>
        <v/>
      </c>
      <c r="BB100" s="177" t="str">
        <f t="shared" si="730"/>
        <v/>
      </c>
      <c r="BC100" s="9"/>
      <c r="BD100" s="5" t="str">
        <f t="shared" si="731"/>
        <v/>
      </c>
      <c r="BE100" s="6" t="str">
        <f t="shared" si="654"/>
        <v/>
      </c>
      <c r="BF100" s="4" t="str">
        <f t="shared" si="655"/>
        <v/>
      </c>
      <c r="BG100" s="5" t="str">
        <f t="shared" si="656"/>
        <v/>
      </c>
      <c r="BH100" s="10" t="str">
        <f t="shared" si="657"/>
        <v/>
      </c>
      <c r="BI100" s="9" t="str">
        <f t="shared" si="757"/>
        <v/>
      </c>
      <c r="BJ100" s="5" t="str">
        <f t="shared" si="658"/>
        <v/>
      </c>
      <c r="BK100" s="8" t="str">
        <f t="shared" si="659"/>
        <v/>
      </c>
      <c r="BL100" s="173" t="str">
        <f t="shared" si="660"/>
        <v/>
      </c>
      <c r="BM100" s="5" t="str">
        <f t="shared" si="661"/>
        <v/>
      </c>
      <c r="BN100" s="6" t="str">
        <f t="shared" si="662"/>
        <v/>
      </c>
      <c r="BO100" s="4" t="str">
        <f t="shared" si="758"/>
        <v/>
      </c>
      <c r="BP100" s="5" t="str">
        <f t="shared" si="759"/>
        <v/>
      </c>
      <c r="BQ100" s="5" t="str">
        <f t="shared" si="760"/>
        <v/>
      </c>
      <c r="BR100" s="6" t="str">
        <f t="shared" si="761"/>
        <v/>
      </c>
      <c r="BS100" s="4" t="str">
        <f t="shared" si="732"/>
        <v/>
      </c>
      <c r="BT100" s="5" t="str">
        <f t="shared" si="732"/>
        <v/>
      </c>
      <c r="BU100" s="10" t="str">
        <f t="shared" si="733"/>
        <v/>
      </c>
      <c r="BV100" s="9" t="str">
        <f t="shared" si="734"/>
        <v/>
      </c>
      <c r="BW100" s="5" t="str">
        <f t="shared" si="735"/>
        <v/>
      </c>
      <c r="BX100" s="8" t="str">
        <f t="shared" si="736"/>
        <v/>
      </c>
      <c r="BY100" s="173" t="str">
        <f t="shared" si="737"/>
        <v/>
      </c>
      <c r="BZ100" s="5" t="str">
        <f t="shared" si="738"/>
        <v/>
      </c>
      <c r="CA100" s="6" t="str">
        <f t="shared" si="739"/>
        <v/>
      </c>
      <c r="CB100" s="4" t="str">
        <f t="shared" si="762"/>
        <v/>
      </c>
      <c r="CC100" s="5" t="str">
        <f t="shared" si="763"/>
        <v/>
      </c>
      <c r="CD100" s="5" t="str">
        <f t="shared" si="764"/>
        <v/>
      </c>
      <c r="CE100" s="6" t="str">
        <f t="shared" si="765"/>
        <v/>
      </c>
      <c r="CF100" s="4" t="str">
        <f t="shared" si="766"/>
        <v/>
      </c>
      <c r="CG100" s="5" t="str">
        <f t="shared" si="767"/>
        <v/>
      </c>
      <c r="CH100" s="5" t="str">
        <f t="shared" si="768"/>
        <v/>
      </c>
      <c r="CI100" s="4" t="str">
        <f t="shared" si="740"/>
        <v/>
      </c>
      <c r="CJ100" s="5" t="str">
        <f t="shared" si="741"/>
        <v/>
      </c>
      <c r="CK100" s="8" t="str">
        <f t="shared" si="742"/>
        <v/>
      </c>
      <c r="CL100" s="173" t="str">
        <f t="shared" si="743"/>
        <v/>
      </c>
      <c r="CM100" s="5" t="str">
        <f t="shared" si="744"/>
        <v/>
      </c>
      <c r="CN100" s="6" t="str">
        <f t="shared" si="745"/>
        <v/>
      </c>
      <c r="CO100" s="167" t="str">
        <f t="shared" si="663"/>
        <v/>
      </c>
      <c r="CP100" s="4" t="str">
        <f t="shared" si="769"/>
        <v/>
      </c>
      <c r="CQ100" s="5" t="str">
        <f t="shared" si="770"/>
        <v/>
      </c>
      <c r="CR100" s="5" t="str">
        <f t="shared" si="771"/>
        <v/>
      </c>
      <c r="CS100" s="8" t="str">
        <f t="shared" si="772"/>
        <v/>
      </c>
      <c r="CT100" s="9" t="str">
        <f t="shared" si="773"/>
        <v/>
      </c>
      <c r="CU100" s="6" t="str">
        <f t="shared" si="774"/>
        <v/>
      </c>
      <c r="CV100" s="4" t="str">
        <f t="shared" si="775"/>
        <v/>
      </c>
      <c r="CW100" s="5" t="str">
        <f t="shared" si="776"/>
        <v/>
      </c>
      <c r="CX100" s="8" t="str">
        <f t="shared" si="777"/>
        <v/>
      </c>
      <c r="CY100" s="9" t="str">
        <f t="shared" si="778"/>
        <v/>
      </c>
      <c r="CZ100" s="5" t="str">
        <f t="shared" si="779"/>
        <v/>
      </c>
      <c r="DA100" s="6" t="str">
        <f t="shared" si="780"/>
        <v/>
      </c>
      <c r="DB100" s="4" t="str">
        <f t="shared" si="781"/>
        <v/>
      </c>
      <c r="DC100" s="5" t="str">
        <f t="shared" si="781"/>
        <v/>
      </c>
      <c r="DD100" s="10" t="str">
        <f t="shared" si="782"/>
        <v/>
      </c>
      <c r="DE100" s="9" t="str">
        <f t="shared" si="783"/>
        <v/>
      </c>
      <c r="DF100" s="5" t="str">
        <f t="shared" si="783"/>
        <v/>
      </c>
      <c r="DG100" s="10" t="str">
        <f t="shared" si="784"/>
        <v/>
      </c>
      <c r="DH100" s="70" t="str">
        <f t="shared" si="785"/>
        <v/>
      </c>
      <c r="DI100" s="4" t="str">
        <f t="shared" si="786"/>
        <v/>
      </c>
      <c r="DJ100" s="5" t="str">
        <f t="shared" si="787"/>
        <v/>
      </c>
      <c r="DK100" s="10" t="str">
        <f t="shared" si="788"/>
        <v/>
      </c>
      <c r="DL100" s="9" t="str">
        <f t="shared" si="789"/>
        <v/>
      </c>
      <c r="DM100" s="173" t="str">
        <f t="shared" si="790"/>
        <v/>
      </c>
      <c r="DN100" s="178" t="str">
        <f t="shared" si="791"/>
        <v/>
      </c>
      <c r="DO100" s="9" t="str">
        <f t="shared" si="792"/>
        <v/>
      </c>
      <c r="DP100" s="173" t="str">
        <f t="shared" si="793"/>
        <v/>
      </c>
      <c r="DQ100" s="11" t="str">
        <f t="shared" si="794"/>
        <v/>
      </c>
      <c r="DR100" s="173" t="str">
        <f t="shared" si="795"/>
        <v/>
      </c>
      <c r="DS100" s="5" t="str">
        <f t="shared" si="796"/>
        <v/>
      </c>
      <c r="DT100" s="5" t="str">
        <f t="shared" si="797"/>
        <v/>
      </c>
      <c r="DU100" s="5" t="str">
        <f t="shared" si="798"/>
        <v/>
      </c>
      <c r="DV100" s="5" t="str">
        <f t="shared" si="799"/>
        <v/>
      </c>
      <c r="DW100" s="5" t="str">
        <f t="shared" si="800"/>
        <v/>
      </c>
      <c r="DX100" s="167" t="str">
        <f t="shared" si="801"/>
        <v/>
      </c>
      <c r="DY100" s="9" t="str">
        <f t="shared" si="802"/>
        <v/>
      </c>
      <c r="DZ100" s="5" t="str">
        <f t="shared" si="803"/>
        <v/>
      </c>
      <c r="EA100" s="10" t="str">
        <f t="shared" si="804"/>
        <v/>
      </c>
      <c r="EB100" s="6" t="str">
        <f t="shared" si="805"/>
        <v/>
      </c>
      <c r="EC100" s="173" t="str">
        <f t="shared" si="806"/>
        <v/>
      </c>
      <c r="ED100" s="5" t="str">
        <f t="shared" si="807"/>
        <v/>
      </c>
      <c r="EE100" s="4" t="str">
        <f t="shared" si="808"/>
        <v/>
      </c>
      <c r="EF100" s="5" t="str">
        <f t="shared" si="809"/>
        <v/>
      </c>
      <c r="EG100" s="10" t="str">
        <f t="shared" si="810"/>
        <v/>
      </c>
      <c r="EH100" s="9" t="str">
        <f t="shared" si="811"/>
        <v/>
      </c>
      <c r="EI100" s="5" t="str">
        <f t="shared" si="812"/>
        <v/>
      </c>
      <c r="EJ100" s="6" t="str">
        <f t="shared" si="813"/>
        <v/>
      </c>
      <c r="EK100" s="236" t="str">
        <f t="shared" si="814"/>
        <v/>
      </c>
      <c r="EL100" s="238" t="str">
        <f t="shared" si="815"/>
        <v/>
      </c>
      <c r="EM100" s="4" t="str">
        <f t="shared" si="816"/>
        <v/>
      </c>
      <c r="EN100" s="5" t="str">
        <f t="shared" si="817"/>
        <v/>
      </c>
      <c r="EO100" s="10" t="str">
        <f t="shared" si="818"/>
        <v/>
      </c>
      <c r="EP100" s="9" t="str">
        <f t="shared" si="819"/>
        <v/>
      </c>
      <c r="EQ100" s="5" t="str">
        <f t="shared" si="820"/>
        <v/>
      </c>
      <c r="ER100" s="7" t="str">
        <f t="shared" si="821"/>
        <v/>
      </c>
      <c r="ES100" s="21" t="str">
        <f t="shared" si="664"/>
        <v/>
      </c>
      <c r="ET100" s="5" t="str">
        <f t="shared" si="665"/>
        <v/>
      </c>
      <c r="EU100" s="10" t="str">
        <f t="shared" si="666"/>
        <v/>
      </c>
      <c r="EV100" s="174" t="str">
        <f t="shared" si="667"/>
        <v/>
      </c>
      <c r="EW100" s="9" t="str">
        <f t="shared" si="668"/>
        <v/>
      </c>
      <c r="EX100" s="5" t="str">
        <f t="shared" si="669"/>
        <v/>
      </c>
      <c r="EY100" s="6" t="str">
        <f t="shared" si="822"/>
        <v/>
      </c>
      <c r="EZ100" s="51" t="str">
        <f t="shared" si="823"/>
        <v/>
      </c>
      <c r="FA100" s="173" t="str">
        <f t="shared" si="670"/>
        <v/>
      </c>
      <c r="FB100" s="5" t="str">
        <f t="shared" si="671"/>
        <v/>
      </c>
      <c r="FC100" s="6" t="str">
        <f t="shared" si="672"/>
        <v/>
      </c>
      <c r="FD100" s="4" t="str">
        <f t="shared" si="673"/>
        <v/>
      </c>
      <c r="FE100" s="5" t="str">
        <f t="shared" si="674"/>
        <v/>
      </c>
      <c r="FF100" s="7" t="str">
        <f t="shared" si="824"/>
        <v/>
      </c>
      <c r="FG100" s="173" t="str">
        <f t="shared" si="675"/>
        <v/>
      </c>
      <c r="FH100" s="5" t="str">
        <f t="shared" si="676"/>
        <v/>
      </c>
      <c r="FI100" s="10" t="str">
        <f t="shared" si="677"/>
        <v/>
      </c>
      <c r="FJ100" s="279" t="str">
        <f t="shared" si="825"/>
        <v/>
      </c>
      <c r="FK100" s="4" t="str">
        <f t="shared" si="678"/>
        <v/>
      </c>
      <c r="FL100" s="5" t="str">
        <f t="shared" si="746"/>
        <v/>
      </c>
      <c r="FM100" s="8" t="str">
        <f t="shared" si="747"/>
        <v/>
      </c>
      <c r="FN100" s="9" t="str">
        <f t="shared" si="748"/>
        <v/>
      </c>
      <c r="FO100" s="10" t="str">
        <f t="shared" si="679"/>
        <v/>
      </c>
      <c r="FP100" s="277" t="str">
        <f t="shared" si="749"/>
        <v/>
      </c>
      <c r="FQ100" s="173" t="str">
        <f t="shared" si="826"/>
        <v/>
      </c>
      <c r="FR100" s="10" t="str">
        <f t="shared" si="827"/>
        <v/>
      </c>
      <c r="FS100" s="9" t="str">
        <f t="shared" si="828"/>
        <v/>
      </c>
      <c r="FT100" s="6" t="str">
        <f t="shared" si="829"/>
        <v/>
      </c>
      <c r="FU100" s="4" t="str">
        <f t="shared" si="830"/>
        <v/>
      </c>
      <c r="FV100" s="5" t="str">
        <f t="shared" si="831"/>
        <v/>
      </c>
      <c r="FW100" s="8" t="str">
        <f t="shared" si="832"/>
        <v/>
      </c>
      <c r="FX100" s="9" t="str">
        <f t="shared" si="833"/>
        <v/>
      </c>
      <c r="FY100" s="10" t="str">
        <f t="shared" si="680"/>
        <v/>
      </c>
      <c r="FZ100" s="277" t="str">
        <f t="shared" si="834"/>
        <v/>
      </c>
      <c r="GA100" s="177" t="str">
        <f t="shared" si="835"/>
        <v/>
      </c>
      <c r="GB100" s="4" t="str">
        <f t="shared" si="836"/>
        <v/>
      </c>
      <c r="GC100" s="5" t="str">
        <f t="shared" si="837"/>
        <v/>
      </c>
      <c r="GD100" s="10" t="str">
        <f t="shared" si="838"/>
        <v/>
      </c>
      <c r="GE100" s="311" t="str">
        <f t="shared" si="839"/>
        <v/>
      </c>
      <c r="GF100" s="341" t="str">
        <f t="shared" si="840"/>
        <v/>
      </c>
      <c r="GG100" s="285" t="str">
        <f t="shared" si="681"/>
        <v/>
      </c>
      <c r="GH100" s="286" t="str">
        <f t="shared" si="682"/>
        <v/>
      </c>
      <c r="GI100" s="281" t="str">
        <f t="shared" si="683"/>
        <v/>
      </c>
      <c r="GJ100" s="167" t="str">
        <f t="shared" si="841"/>
        <v/>
      </c>
      <c r="GK100" s="174" t="str">
        <f t="shared" si="684"/>
        <v/>
      </c>
      <c r="GL100" s="174" t="str">
        <f t="shared" si="842"/>
        <v/>
      </c>
      <c r="GM100" s="177" t="str">
        <f t="shared" si="843"/>
        <v/>
      </c>
      <c r="GN100" s="280" t="str">
        <f t="shared" si="844"/>
        <v/>
      </c>
      <c r="GO100" s="4" t="str">
        <f t="shared" si="845"/>
        <v/>
      </c>
      <c r="GP100" s="8" t="str">
        <f t="shared" si="846"/>
        <v/>
      </c>
      <c r="GQ100" s="177" t="str">
        <f t="shared" si="847"/>
        <v/>
      </c>
      <c r="GR100" s="371" t="str">
        <f t="shared" si="848"/>
        <v/>
      </c>
      <c r="GS100" s="342" t="str">
        <f t="shared" si="685"/>
        <v/>
      </c>
      <c r="GT100" s="343" t="str">
        <f t="shared" si="686"/>
        <v/>
      </c>
      <c r="GU100" s="344" t="str">
        <f t="shared" si="687"/>
        <v/>
      </c>
      <c r="GV100" s="343" t="str">
        <f t="shared" si="849"/>
        <v/>
      </c>
      <c r="GW100" s="345" t="str">
        <f t="shared" si="688"/>
        <v/>
      </c>
      <c r="GX100" s="346" t="str">
        <f t="shared" si="689"/>
        <v/>
      </c>
      <c r="GY100" s="344" t="str">
        <f t="shared" si="690"/>
        <v/>
      </c>
      <c r="GZ100" s="345" t="str">
        <f t="shared" si="691"/>
        <v/>
      </c>
      <c r="HA100" s="342" t="str">
        <f t="shared" si="692"/>
        <v/>
      </c>
      <c r="HB100" s="5" t="str">
        <f t="shared" si="850"/>
        <v/>
      </c>
      <c r="HC100" s="343" t="str">
        <f t="shared" si="851"/>
        <v/>
      </c>
      <c r="HD100" s="363" t="str">
        <f t="shared" si="852"/>
        <v/>
      </c>
      <c r="HE100" s="344" t="str">
        <f t="shared" si="693"/>
        <v/>
      </c>
      <c r="HF100" s="5" t="str">
        <f t="shared" si="694"/>
        <v/>
      </c>
      <c r="HG100" s="343" t="str">
        <f t="shared" si="853"/>
        <v/>
      </c>
      <c r="HH100" s="349" t="str">
        <f t="shared" si="854"/>
        <v/>
      </c>
      <c r="HI100" s="317" t="str">
        <f t="shared" si="695"/>
        <v/>
      </c>
      <c r="HK100" s="310" t="str">
        <f t="shared" si="750"/>
        <v/>
      </c>
      <c r="HL100" s="348" t="str">
        <f t="shared" si="696"/>
        <v/>
      </c>
      <c r="HM100" s="923" t="str">
        <f t="shared" si="697"/>
        <v/>
      </c>
      <c r="HN100" s="924" t="str">
        <f t="shared" si="698"/>
        <v/>
      </c>
      <c r="HO100" s="925"/>
      <c r="HP100" s="926"/>
      <c r="HQ100" s="924" t="str">
        <f t="shared" si="699"/>
        <v/>
      </c>
      <c r="HR100" s="927" t="str">
        <f t="shared" si="700"/>
        <v/>
      </c>
      <c r="HS100" s="879" t="str">
        <f t="shared" si="751"/>
        <v/>
      </c>
      <c r="HT100" s="889" t="str">
        <f t="shared" si="701"/>
        <v/>
      </c>
      <c r="HU100" s="890" t="str">
        <f t="shared" si="702"/>
        <v/>
      </c>
      <c r="HV100" s="886" t="str">
        <f t="shared" si="703"/>
        <v/>
      </c>
      <c r="HW100" s="880" t="str">
        <f t="shared" si="704"/>
        <v/>
      </c>
      <c r="HX100" s="881" t="str">
        <f t="shared" si="705"/>
        <v/>
      </c>
      <c r="HY100" s="880" t="str">
        <f t="shared" si="706"/>
        <v/>
      </c>
      <c r="HZ100" s="882" t="str">
        <f t="shared" si="707"/>
        <v/>
      </c>
      <c r="IA100" s="883" t="str">
        <f t="shared" si="708"/>
        <v/>
      </c>
      <c r="IB100" s="884" t="str">
        <f t="shared" si="709"/>
        <v/>
      </c>
      <c r="IC100" s="855" t="str">
        <f t="shared" si="710"/>
        <v/>
      </c>
      <c r="ID100" s="351" t="str">
        <f t="shared" si="711"/>
        <v/>
      </c>
      <c r="IE100" s="857" t="str">
        <f t="shared" si="712"/>
        <v/>
      </c>
      <c r="IF100" s="858"/>
      <c r="IG100" s="790" t="str">
        <f>IFERROR(IF($IW100="","",IF($IW100&lt;(((Settings!$C$19/2)*-1)*$IG$8),"Taper","Nose")),"")</f>
        <v/>
      </c>
      <c r="IH100" s="482" t="str">
        <f>IFERROR(IF((((($IY100*COS(RADIANS(180-$JA100)))*COS(RADIANS($JA100)))-(($IZ100*SIN(RADIANS(180-$JA100)))*SIN(RADIANS($JA100))))+$IW100)&lt;(((Settings!$C$19+$IH$8)/2)*-1),"Gage",""),"")</f>
        <v/>
      </c>
      <c r="II100" s="788" t="str">
        <f t="shared" si="855"/>
        <v/>
      </c>
      <c r="IJ100" s="674" t="str" cm="1">
        <f t="array" ref="IJ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K100" s="677" t="str" cm="1">
        <f t="array" ref="IK100">IFERROR(ROUND(VALUE(IF($IJ100&lt;1,$IJ100+LARGE((IF($M$9:$M$150="",0,$M$9:$M$150)-MOD(IF($M$9:$M$150="",0,$M$9:$M$150),1)),1),$IJ100)),4),"")</f>
        <v/>
      </c>
      <c r="IL100" s="482" t="str">
        <f t="shared" si="713"/>
        <v/>
      </c>
      <c r="IM100" s="482" t="str">
        <f t="shared" si="856"/>
        <v/>
      </c>
      <c r="IN100" s="670" t="str">
        <f t="shared" si="714"/>
        <v/>
      </c>
      <c r="IO100" s="702"/>
      <c r="IP100" s="5" t="str">
        <f t="shared" si="715"/>
        <v/>
      </c>
      <c r="IQ100" s="714"/>
      <c r="IR100" s="9" t="str">
        <f t="shared" si="716"/>
        <v/>
      </c>
      <c r="IS100" s="5" t="str">
        <f t="shared" si="717"/>
        <v/>
      </c>
      <c r="IT100" s="5" t="str">
        <f t="shared" si="718"/>
        <v/>
      </c>
      <c r="IU100" s="5" t="str">
        <f t="shared" si="719"/>
        <v/>
      </c>
      <c r="IV100" s="670" t="str">
        <f t="shared" si="720"/>
        <v/>
      </c>
      <c r="IW100" s="9" t="str">
        <f t="shared" si="721"/>
        <v/>
      </c>
      <c r="IX100" s="5" t="str">
        <f t="shared" si="722"/>
        <v/>
      </c>
      <c r="IY100" s="5" t="str">
        <f t="shared" si="723"/>
        <v/>
      </c>
      <c r="IZ100" s="5" t="str">
        <f t="shared" si="724"/>
        <v/>
      </c>
      <c r="JA100" s="705" t="str">
        <f t="shared" si="725"/>
        <v/>
      </c>
      <c r="JN100" s="960"/>
      <c r="JO100" s="162"/>
      <c r="JP100" s="961"/>
      <c r="JQ100" s="961"/>
    </row>
    <row r="101" spans="1:277" ht="15" customHeight="1" x14ac:dyDescent="0.25">
      <c r="A101" s="75" t="str">
        <f t="shared" si="640"/>
        <v/>
      </c>
      <c r="B101" s="578" t="str">
        <f t="shared" ref="B101:D101" si="909">IFERROR(O256+($A101*-E101),"")</f>
        <v/>
      </c>
      <c r="C101" s="572" t="str">
        <f t="shared" si="909"/>
        <v/>
      </c>
      <c r="D101" s="576" t="str">
        <f t="shared" si="909"/>
        <v/>
      </c>
      <c r="E101" s="580" t="str">
        <f t="shared" ref="E101:K101" si="910">R256</f>
        <v/>
      </c>
      <c r="F101" s="572" t="str">
        <f t="shared" si="910"/>
        <v/>
      </c>
      <c r="G101" s="579" t="str">
        <f t="shared" si="910"/>
        <v/>
      </c>
      <c r="H101" s="580" t="str">
        <f t="shared" si="910"/>
        <v/>
      </c>
      <c r="I101" s="572" t="str">
        <f t="shared" si="910"/>
        <v/>
      </c>
      <c r="J101" s="483" t="str">
        <f t="shared" si="728"/>
        <v/>
      </c>
      <c r="K101" s="806" t="str">
        <f t="shared" si="910"/>
        <v/>
      </c>
      <c r="L101" s="309"/>
      <c r="M101" s="164" t="str">
        <f t="shared" si="643"/>
        <v/>
      </c>
      <c r="N101" s="575" t="str">
        <f t="shared" si="644"/>
        <v/>
      </c>
      <c r="O101" s="572" t="str">
        <f t="shared" si="645"/>
        <v/>
      </c>
      <c r="P101" s="576" t="str">
        <f t="shared" si="646"/>
        <v/>
      </c>
      <c r="Q101" s="528" t="str">
        <f t="shared" si="729"/>
        <v/>
      </c>
      <c r="R101" s="572" t="str">
        <f t="shared" si="95"/>
        <v/>
      </c>
      <c r="S101" s="577" t="str">
        <f t="shared" si="96"/>
        <v/>
      </c>
      <c r="T101" s="578" t="str">
        <f t="shared" si="97"/>
        <v/>
      </c>
      <c r="U101" s="572" t="str">
        <f t="shared" si="98"/>
        <v/>
      </c>
      <c r="V101" s="579" t="str">
        <f t="shared" si="145"/>
        <v/>
      </c>
      <c r="W101" s="528" t="str">
        <f t="shared" si="866"/>
        <v/>
      </c>
      <c r="X101" s="572" t="str">
        <f t="shared" si="99"/>
        <v/>
      </c>
      <c r="Y101" s="573" t="str">
        <f t="shared" si="859"/>
        <v/>
      </c>
      <c r="Z101" s="575" t="str">
        <f t="shared" si="647"/>
        <v/>
      </c>
      <c r="AA101" s="572" t="str">
        <f t="shared" si="648"/>
        <v/>
      </c>
      <c r="AB101" s="572" t="str">
        <f t="shared" si="649"/>
        <v/>
      </c>
      <c r="AC101" s="579" t="str">
        <f t="shared" si="100"/>
        <v/>
      </c>
      <c r="AD101" s="580" t="str">
        <f t="shared" si="146"/>
        <v/>
      </c>
      <c r="AE101" s="572" t="str">
        <f t="shared" si="101"/>
        <v/>
      </c>
      <c r="AF101" s="576" t="str">
        <f t="shared" si="102"/>
        <v/>
      </c>
      <c r="AG101" s="545" t="str">
        <f t="shared" si="103"/>
        <v/>
      </c>
      <c r="AH101" s="546" t="str">
        <f t="shared" si="104"/>
        <v/>
      </c>
      <c r="AI101" s="528" t="str">
        <f t="shared" si="105"/>
        <v/>
      </c>
      <c r="AJ101" s="529" t="str">
        <f t="shared" si="106"/>
        <v/>
      </c>
      <c r="AK101" s="578" t="str">
        <f t="shared" si="247"/>
        <v/>
      </c>
      <c r="AL101" s="572" t="str">
        <f t="shared" si="107"/>
        <v/>
      </c>
      <c r="AM101" s="577" t="str">
        <f t="shared" si="108"/>
        <v/>
      </c>
      <c r="AN101" s="524" t="str">
        <f t="shared" si="109"/>
        <v/>
      </c>
      <c r="AO101" s="525" t="str">
        <f t="shared" si="604"/>
        <v/>
      </c>
      <c r="AP101" s="528" t="str">
        <f t="shared" si="111"/>
        <v/>
      </c>
      <c r="AQ101" s="529" t="str">
        <f t="shared" si="650"/>
        <v/>
      </c>
      <c r="AS101" s="954" t="str">
        <f t="shared" si="755"/>
        <v/>
      </c>
      <c r="AT101" s="950" t="str">
        <f t="shared" si="651"/>
        <v/>
      </c>
      <c r="AU101" s="418"/>
      <c r="AV101" s="164" t="str">
        <f t="shared" si="652"/>
        <v/>
      </c>
      <c r="AW101" s="797" t="str">
        <f>IFERROR(INDEX(MassProp!C$9:C$150,MATCH($M101,MassProp!$B$9:$B$150,0)),"")</f>
        <v/>
      </c>
      <c r="AX101" s="744" t="str">
        <f>IFERROR(INDEX(MassProp!D$9:D$150,MATCH($M101,MassProp!$B$9:$B$150,0)),"")</f>
        <v/>
      </c>
      <c r="AY101" s="731" t="str">
        <f>IFERROR(INDEX(MassProp!E$9:E$150,MATCH($M101,MassProp!$B$9:$B$150,0)),"")</f>
        <v/>
      </c>
      <c r="AZ101" s="297" t="str">
        <f t="shared" si="756"/>
        <v/>
      </c>
      <c r="BA101" s="296" t="str">
        <f t="shared" si="653"/>
        <v/>
      </c>
      <c r="BB101" s="177" t="str">
        <f t="shared" si="730"/>
        <v/>
      </c>
      <c r="BC101" s="9"/>
      <c r="BD101" s="5" t="str">
        <f t="shared" si="731"/>
        <v/>
      </c>
      <c r="BE101" s="6" t="str">
        <f t="shared" si="654"/>
        <v/>
      </c>
      <c r="BF101" s="4" t="str">
        <f t="shared" si="655"/>
        <v/>
      </c>
      <c r="BG101" s="5" t="str">
        <f t="shared" si="656"/>
        <v/>
      </c>
      <c r="BH101" s="10" t="str">
        <f t="shared" si="657"/>
        <v/>
      </c>
      <c r="BI101" s="9" t="str">
        <f t="shared" si="757"/>
        <v/>
      </c>
      <c r="BJ101" s="5" t="str">
        <f t="shared" si="658"/>
        <v/>
      </c>
      <c r="BK101" s="8" t="str">
        <f t="shared" si="659"/>
        <v/>
      </c>
      <c r="BL101" s="173" t="str">
        <f t="shared" si="660"/>
        <v/>
      </c>
      <c r="BM101" s="5" t="str">
        <f t="shared" si="661"/>
        <v/>
      </c>
      <c r="BN101" s="6" t="str">
        <f t="shared" si="662"/>
        <v/>
      </c>
      <c r="BO101" s="4" t="str">
        <f t="shared" si="758"/>
        <v/>
      </c>
      <c r="BP101" s="5" t="str">
        <f t="shared" si="759"/>
        <v/>
      </c>
      <c r="BQ101" s="5" t="str">
        <f t="shared" si="760"/>
        <v/>
      </c>
      <c r="BR101" s="6" t="str">
        <f t="shared" si="761"/>
        <v/>
      </c>
      <c r="BS101" s="4" t="str">
        <f t="shared" si="732"/>
        <v/>
      </c>
      <c r="BT101" s="5" t="str">
        <f t="shared" si="732"/>
        <v/>
      </c>
      <c r="BU101" s="10" t="str">
        <f t="shared" si="733"/>
        <v/>
      </c>
      <c r="BV101" s="9" t="str">
        <f t="shared" si="734"/>
        <v/>
      </c>
      <c r="BW101" s="5" t="str">
        <f t="shared" si="735"/>
        <v/>
      </c>
      <c r="BX101" s="8" t="str">
        <f t="shared" si="736"/>
        <v/>
      </c>
      <c r="BY101" s="173" t="str">
        <f t="shared" si="737"/>
        <v/>
      </c>
      <c r="BZ101" s="5" t="str">
        <f t="shared" si="738"/>
        <v/>
      </c>
      <c r="CA101" s="6" t="str">
        <f t="shared" si="739"/>
        <v/>
      </c>
      <c r="CB101" s="4" t="str">
        <f t="shared" si="762"/>
        <v/>
      </c>
      <c r="CC101" s="5" t="str">
        <f t="shared" si="763"/>
        <v/>
      </c>
      <c r="CD101" s="5" t="str">
        <f t="shared" si="764"/>
        <v/>
      </c>
      <c r="CE101" s="6" t="str">
        <f t="shared" si="765"/>
        <v/>
      </c>
      <c r="CF101" s="4" t="str">
        <f t="shared" si="766"/>
        <v/>
      </c>
      <c r="CG101" s="5" t="str">
        <f t="shared" si="767"/>
        <v/>
      </c>
      <c r="CH101" s="5" t="str">
        <f t="shared" si="768"/>
        <v/>
      </c>
      <c r="CI101" s="4" t="str">
        <f t="shared" si="740"/>
        <v/>
      </c>
      <c r="CJ101" s="5" t="str">
        <f t="shared" si="741"/>
        <v/>
      </c>
      <c r="CK101" s="8" t="str">
        <f t="shared" si="742"/>
        <v/>
      </c>
      <c r="CL101" s="173" t="str">
        <f t="shared" si="743"/>
        <v/>
      </c>
      <c r="CM101" s="5" t="str">
        <f t="shared" si="744"/>
        <v/>
      </c>
      <c r="CN101" s="6" t="str">
        <f t="shared" si="745"/>
        <v/>
      </c>
      <c r="CO101" s="167" t="str">
        <f t="shared" si="663"/>
        <v/>
      </c>
      <c r="CP101" s="4" t="str">
        <f t="shared" si="769"/>
        <v/>
      </c>
      <c r="CQ101" s="5" t="str">
        <f t="shared" si="770"/>
        <v/>
      </c>
      <c r="CR101" s="5" t="str">
        <f t="shared" si="771"/>
        <v/>
      </c>
      <c r="CS101" s="8" t="str">
        <f t="shared" si="772"/>
        <v/>
      </c>
      <c r="CT101" s="9" t="str">
        <f t="shared" si="773"/>
        <v/>
      </c>
      <c r="CU101" s="6" t="str">
        <f t="shared" si="774"/>
        <v/>
      </c>
      <c r="CV101" s="4" t="str">
        <f t="shared" si="775"/>
        <v/>
      </c>
      <c r="CW101" s="5" t="str">
        <f t="shared" si="776"/>
        <v/>
      </c>
      <c r="CX101" s="8" t="str">
        <f t="shared" si="777"/>
        <v/>
      </c>
      <c r="CY101" s="9" t="str">
        <f t="shared" si="778"/>
        <v/>
      </c>
      <c r="CZ101" s="5" t="str">
        <f t="shared" si="779"/>
        <v/>
      </c>
      <c r="DA101" s="6" t="str">
        <f t="shared" si="780"/>
        <v/>
      </c>
      <c r="DB101" s="4" t="str">
        <f t="shared" si="781"/>
        <v/>
      </c>
      <c r="DC101" s="5" t="str">
        <f t="shared" si="781"/>
        <v/>
      </c>
      <c r="DD101" s="10" t="str">
        <f t="shared" si="782"/>
        <v/>
      </c>
      <c r="DE101" s="9" t="str">
        <f t="shared" si="783"/>
        <v/>
      </c>
      <c r="DF101" s="5" t="str">
        <f t="shared" si="783"/>
        <v/>
      </c>
      <c r="DG101" s="10" t="str">
        <f t="shared" si="784"/>
        <v/>
      </c>
      <c r="DH101" s="70" t="str">
        <f t="shared" si="785"/>
        <v/>
      </c>
      <c r="DI101" s="4" t="str">
        <f t="shared" si="786"/>
        <v/>
      </c>
      <c r="DJ101" s="5" t="str">
        <f t="shared" si="787"/>
        <v/>
      </c>
      <c r="DK101" s="10" t="str">
        <f t="shared" si="788"/>
        <v/>
      </c>
      <c r="DL101" s="9" t="str">
        <f t="shared" si="789"/>
        <v/>
      </c>
      <c r="DM101" s="173" t="str">
        <f t="shared" si="790"/>
        <v/>
      </c>
      <c r="DN101" s="178" t="str">
        <f t="shared" si="791"/>
        <v/>
      </c>
      <c r="DO101" s="9" t="str">
        <f t="shared" si="792"/>
        <v/>
      </c>
      <c r="DP101" s="173" t="str">
        <f t="shared" si="793"/>
        <v/>
      </c>
      <c r="DQ101" s="11" t="str">
        <f t="shared" si="794"/>
        <v/>
      </c>
      <c r="DR101" s="173" t="str">
        <f t="shared" si="795"/>
        <v/>
      </c>
      <c r="DS101" s="5" t="str">
        <f t="shared" si="796"/>
        <v/>
      </c>
      <c r="DT101" s="5" t="str">
        <f t="shared" si="797"/>
        <v/>
      </c>
      <c r="DU101" s="5" t="str">
        <f t="shared" si="798"/>
        <v/>
      </c>
      <c r="DV101" s="5" t="str">
        <f t="shared" si="799"/>
        <v/>
      </c>
      <c r="DW101" s="5" t="str">
        <f t="shared" si="800"/>
        <v/>
      </c>
      <c r="DX101" s="167" t="str">
        <f t="shared" si="801"/>
        <v/>
      </c>
      <c r="DY101" s="9" t="str">
        <f t="shared" si="802"/>
        <v/>
      </c>
      <c r="DZ101" s="5" t="str">
        <f t="shared" si="803"/>
        <v/>
      </c>
      <c r="EA101" s="10" t="str">
        <f t="shared" si="804"/>
        <v/>
      </c>
      <c r="EB101" s="6" t="str">
        <f t="shared" si="805"/>
        <v/>
      </c>
      <c r="EC101" s="173" t="str">
        <f t="shared" si="806"/>
        <v/>
      </c>
      <c r="ED101" s="5" t="str">
        <f t="shared" si="807"/>
        <v/>
      </c>
      <c r="EE101" s="4" t="str">
        <f t="shared" si="808"/>
        <v/>
      </c>
      <c r="EF101" s="5" t="str">
        <f t="shared" si="809"/>
        <v/>
      </c>
      <c r="EG101" s="10" t="str">
        <f t="shared" si="810"/>
        <v/>
      </c>
      <c r="EH101" s="9" t="str">
        <f t="shared" si="811"/>
        <v/>
      </c>
      <c r="EI101" s="5" t="str">
        <f t="shared" si="812"/>
        <v/>
      </c>
      <c r="EJ101" s="6" t="str">
        <f t="shared" si="813"/>
        <v/>
      </c>
      <c r="EK101" s="236" t="str">
        <f t="shared" si="814"/>
        <v/>
      </c>
      <c r="EL101" s="238" t="str">
        <f t="shared" si="815"/>
        <v/>
      </c>
      <c r="EM101" s="4" t="str">
        <f t="shared" si="816"/>
        <v/>
      </c>
      <c r="EN101" s="5" t="str">
        <f t="shared" si="817"/>
        <v/>
      </c>
      <c r="EO101" s="10" t="str">
        <f t="shared" si="818"/>
        <v/>
      </c>
      <c r="EP101" s="9" t="str">
        <f t="shared" si="819"/>
        <v/>
      </c>
      <c r="EQ101" s="5" t="str">
        <f t="shared" si="820"/>
        <v/>
      </c>
      <c r="ER101" s="7" t="str">
        <f t="shared" si="821"/>
        <v/>
      </c>
      <c r="ES101" s="21" t="str">
        <f t="shared" si="664"/>
        <v/>
      </c>
      <c r="ET101" s="5" t="str">
        <f t="shared" si="665"/>
        <v/>
      </c>
      <c r="EU101" s="10" t="str">
        <f t="shared" si="666"/>
        <v/>
      </c>
      <c r="EV101" s="174" t="str">
        <f t="shared" si="667"/>
        <v/>
      </c>
      <c r="EW101" s="9" t="str">
        <f t="shared" si="668"/>
        <v/>
      </c>
      <c r="EX101" s="5" t="str">
        <f t="shared" si="669"/>
        <v/>
      </c>
      <c r="EY101" s="6" t="str">
        <f t="shared" si="822"/>
        <v/>
      </c>
      <c r="EZ101" s="51" t="str">
        <f t="shared" si="823"/>
        <v/>
      </c>
      <c r="FA101" s="173" t="str">
        <f t="shared" si="670"/>
        <v/>
      </c>
      <c r="FB101" s="5" t="str">
        <f t="shared" si="671"/>
        <v/>
      </c>
      <c r="FC101" s="6" t="str">
        <f t="shared" si="672"/>
        <v/>
      </c>
      <c r="FD101" s="4" t="str">
        <f t="shared" si="673"/>
        <v/>
      </c>
      <c r="FE101" s="5" t="str">
        <f t="shared" si="674"/>
        <v/>
      </c>
      <c r="FF101" s="7" t="str">
        <f t="shared" si="824"/>
        <v/>
      </c>
      <c r="FG101" s="173" t="str">
        <f t="shared" si="675"/>
        <v/>
      </c>
      <c r="FH101" s="5" t="str">
        <f t="shared" si="676"/>
        <v/>
      </c>
      <c r="FI101" s="10" t="str">
        <f t="shared" si="677"/>
        <v/>
      </c>
      <c r="FJ101" s="279" t="str">
        <f t="shared" si="825"/>
        <v/>
      </c>
      <c r="FK101" s="4" t="str">
        <f t="shared" si="678"/>
        <v/>
      </c>
      <c r="FL101" s="5" t="str">
        <f t="shared" si="746"/>
        <v/>
      </c>
      <c r="FM101" s="8" t="str">
        <f t="shared" si="747"/>
        <v/>
      </c>
      <c r="FN101" s="9" t="str">
        <f t="shared" si="748"/>
        <v/>
      </c>
      <c r="FO101" s="10" t="str">
        <f t="shared" si="679"/>
        <v/>
      </c>
      <c r="FP101" s="277" t="str">
        <f t="shared" si="749"/>
        <v/>
      </c>
      <c r="FQ101" s="173" t="str">
        <f t="shared" si="826"/>
        <v/>
      </c>
      <c r="FR101" s="10" t="str">
        <f t="shared" si="827"/>
        <v/>
      </c>
      <c r="FS101" s="9" t="str">
        <f t="shared" si="828"/>
        <v/>
      </c>
      <c r="FT101" s="6" t="str">
        <f t="shared" si="829"/>
        <v/>
      </c>
      <c r="FU101" s="4" t="str">
        <f t="shared" si="830"/>
        <v/>
      </c>
      <c r="FV101" s="5" t="str">
        <f t="shared" si="831"/>
        <v/>
      </c>
      <c r="FW101" s="8" t="str">
        <f t="shared" si="832"/>
        <v/>
      </c>
      <c r="FX101" s="9" t="str">
        <f t="shared" si="833"/>
        <v/>
      </c>
      <c r="FY101" s="10" t="str">
        <f t="shared" si="680"/>
        <v/>
      </c>
      <c r="FZ101" s="277" t="str">
        <f t="shared" si="834"/>
        <v/>
      </c>
      <c r="GA101" s="177" t="str">
        <f t="shared" si="835"/>
        <v/>
      </c>
      <c r="GB101" s="4" t="str">
        <f t="shared" si="836"/>
        <v/>
      </c>
      <c r="GC101" s="5" t="str">
        <f t="shared" si="837"/>
        <v/>
      </c>
      <c r="GD101" s="10" t="str">
        <f t="shared" si="838"/>
        <v/>
      </c>
      <c r="GE101" s="311" t="str">
        <f t="shared" si="839"/>
        <v/>
      </c>
      <c r="GF101" s="341" t="str">
        <f t="shared" si="840"/>
        <v/>
      </c>
      <c r="GG101" s="285" t="str">
        <f t="shared" si="681"/>
        <v/>
      </c>
      <c r="GH101" s="286" t="str">
        <f t="shared" si="682"/>
        <v/>
      </c>
      <c r="GI101" s="281" t="str">
        <f t="shared" si="683"/>
        <v/>
      </c>
      <c r="GJ101" s="167" t="str">
        <f t="shared" si="841"/>
        <v/>
      </c>
      <c r="GK101" s="174" t="str">
        <f t="shared" si="684"/>
        <v/>
      </c>
      <c r="GL101" s="174" t="str">
        <f t="shared" si="842"/>
        <v/>
      </c>
      <c r="GM101" s="177" t="str">
        <f t="shared" si="843"/>
        <v/>
      </c>
      <c r="GN101" s="280" t="str">
        <f t="shared" si="844"/>
        <v/>
      </c>
      <c r="GO101" s="4" t="str">
        <f t="shared" si="845"/>
        <v/>
      </c>
      <c r="GP101" s="8" t="str">
        <f t="shared" si="846"/>
        <v/>
      </c>
      <c r="GQ101" s="177" t="str">
        <f t="shared" si="847"/>
        <v/>
      </c>
      <c r="GR101" s="371" t="str">
        <f t="shared" si="848"/>
        <v/>
      </c>
      <c r="GS101" s="342" t="str">
        <f t="shared" si="685"/>
        <v/>
      </c>
      <c r="GT101" s="343" t="str">
        <f t="shared" si="686"/>
        <v/>
      </c>
      <c r="GU101" s="344" t="str">
        <f t="shared" si="687"/>
        <v/>
      </c>
      <c r="GV101" s="343" t="str">
        <f t="shared" si="849"/>
        <v/>
      </c>
      <c r="GW101" s="345" t="str">
        <f t="shared" si="688"/>
        <v/>
      </c>
      <c r="GX101" s="346" t="str">
        <f t="shared" si="689"/>
        <v/>
      </c>
      <c r="GY101" s="344" t="str">
        <f t="shared" si="690"/>
        <v/>
      </c>
      <c r="GZ101" s="345" t="str">
        <f t="shared" si="691"/>
        <v/>
      </c>
      <c r="HA101" s="342" t="str">
        <f t="shared" si="692"/>
        <v/>
      </c>
      <c r="HB101" s="5" t="str">
        <f t="shared" si="850"/>
        <v/>
      </c>
      <c r="HC101" s="343" t="str">
        <f t="shared" si="851"/>
        <v/>
      </c>
      <c r="HD101" s="363" t="str">
        <f t="shared" si="852"/>
        <v/>
      </c>
      <c r="HE101" s="344" t="str">
        <f t="shared" si="693"/>
        <v/>
      </c>
      <c r="HF101" s="5" t="str">
        <f t="shared" si="694"/>
        <v/>
      </c>
      <c r="HG101" s="343" t="str">
        <f t="shared" si="853"/>
        <v/>
      </c>
      <c r="HH101" s="349" t="str">
        <f t="shared" si="854"/>
        <v/>
      </c>
      <c r="HI101" s="317" t="str">
        <f t="shared" si="695"/>
        <v/>
      </c>
      <c r="HK101" s="310" t="str">
        <f t="shared" si="750"/>
        <v/>
      </c>
      <c r="HL101" s="348" t="str">
        <f t="shared" si="696"/>
        <v/>
      </c>
      <c r="HM101" s="923" t="str">
        <f t="shared" si="697"/>
        <v/>
      </c>
      <c r="HN101" s="924" t="str">
        <f t="shared" si="698"/>
        <v/>
      </c>
      <c r="HO101" s="925"/>
      <c r="HP101" s="926"/>
      <c r="HQ101" s="924" t="str">
        <f t="shared" si="699"/>
        <v/>
      </c>
      <c r="HR101" s="927" t="str">
        <f t="shared" si="700"/>
        <v/>
      </c>
      <c r="HS101" s="879" t="str">
        <f t="shared" si="751"/>
        <v/>
      </c>
      <c r="HT101" s="889" t="str">
        <f t="shared" si="701"/>
        <v/>
      </c>
      <c r="HU101" s="890" t="str">
        <f t="shared" si="702"/>
        <v/>
      </c>
      <c r="HV101" s="886" t="str">
        <f t="shared" si="703"/>
        <v/>
      </c>
      <c r="HW101" s="880" t="str">
        <f t="shared" si="704"/>
        <v/>
      </c>
      <c r="HX101" s="881" t="str">
        <f t="shared" si="705"/>
        <v/>
      </c>
      <c r="HY101" s="880" t="str">
        <f t="shared" si="706"/>
        <v/>
      </c>
      <c r="HZ101" s="882" t="str">
        <f t="shared" si="707"/>
        <v/>
      </c>
      <c r="IA101" s="883" t="str">
        <f t="shared" si="708"/>
        <v/>
      </c>
      <c r="IB101" s="884" t="str">
        <f t="shared" si="709"/>
        <v/>
      </c>
      <c r="IC101" s="855" t="str">
        <f t="shared" si="710"/>
        <v/>
      </c>
      <c r="ID101" s="351" t="str">
        <f t="shared" si="711"/>
        <v/>
      </c>
      <c r="IE101" s="857" t="str">
        <f t="shared" si="712"/>
        <v/>
      </c>
      <c r="IF101" s="858"/>
      <c r="IG101" s="790" t="str">
        <f>IFERROR(IF($IW101="","",IF($IW101&lt;(((Settings!$C$19/2)*-1)*$IG$8),"Taper","Nose")),"")</f>
        <v/>
      </c>
      <c r="IH101" s="482" t="str">
        <f>IFERROR(IF((((($IY101*COS(RADIANS(180-$JA101)))*COS(RADIANS($JA101)))-(($IZ101*SIN(RADIANS(180-$JA101)))*SIN(RADIANS($JA101))))+$IW101)&lt;(((Settings!$C$19+$IH$8)/2)*-1),"Gage",""),"")</f>
        <v/>
      </c>
      <c r="II101" s="788" t="str">
        <f t="shared" si="855"/>
        <v/>
      </c>
      <c r="IJ101" s="674" t="str" cm="1">
        <f t="array" ref="IJ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K101" s="677" t="str" cm="1">
        <f t="array" ref="IK101">IFERROR(ROUND(VALUE(IF($IJ101&lt;1,$IJ101+LARGE((IF($M$9:$M$150="",0,$M$9:$M$150)-MOD(IF($M$9:$M$150="",0,$M$9:$M$150),1)),1),$IJ101)),4),"")</f>
        <v/>
      </c>
      <c r="IL101" s="482" t="str">
        <f t="shared" si="713"/>
        <v/>
      </c>
      <c r="IM101" s="482" t="str">
        <f t="shared" si="856"/>
        <v/>
      </c>
      <c r="IN101" s="670" t="str">
        <f t="shared" si="714"/>
        <v/>
      </c>
      <c r="IO101" s="702"/>
      <c r="IP101" s="5" t="str">
        <f t="shared" si="715"/>
        <v/>
      </c>
      <c r="IQ101" s="714"/>
      <c r="IR101" s="9" t="str">
        <f t="shared" si="716"/>
        <v/>
      </c>
      <c r="IS101" s="5" t="str">
        <f t="shared" si="717"/>
        <v/>
      </c>
      <c r="IT101" s="5" t="str">
        <f t="shared" si="718"/>
        <v/>
      </c>
      <c r="IU101" s="5" t="str">
        <f t="shared" si="719"/>
        <v/>
      </c>
      <c r="IV101" s="670" t="str">
        <f t="shared" si="720"/>
        <v/>
      </c>
      <c r="IW101" s="9" t="str">
        <f t="shared" si="721"/>
        <v/>
      </c>
      <c r="IX101" s="5" t="str">
        <f t="shared" si="722"/>
        <v/>
      </c>
      <c r="IY101" s="5" t="str">
        <f t="shared" si="723"/>
        <v/>
      </c>
      <c r="IZ101" s="5" t="str">
        <f t="shared" si="724"/>
        <v/>
      </c>
      <c r="JA101" s="705" t="str">
        <f t="shared" si="725"/>
        <v/>
      </c>
      <c r="JN101" s="960"/>
      <c r="JO101" s="162"/>
      <c r="JP101" s="961"/>
      <c r="JQ101" s="961"/>
    </row>
    <row r="102" spans="1:277" ht="15" customHeight="1" x14ac:dyDescent="0.25">
      <c r="A102" s="75" t="str">
        <f t="shared" si="640"/>
        <v/>
      </c>
      <c r="B102" s="578" t="str">
        <f t="shared" ref="B102:D102" si="911">IFERROR(O257+($A102*-E102),"")</f>
        <v/>
      </c>
      <c r="C102" s="572" t="str">
        <f t="shared" si="911"/>
        <v/>
      </c>
      <c r="D102" s="576" t="str">
        <f t="shared" si="911"/>
        <v/>
      </c>
      <c r="E102" s="580" t="str">
        <f t="shared" ref="E102:K102" si="912">R257</f>
        <v/>
      </c>
      <c r="F102" s="572" t="str">
        <f t="shared" si="912"/>
        <v/>
      </c>
      <c r="G102" s="579" t="str">
        <f t="shared" si="912"/>
        <v/>
      </c>
      <c r="H102" s="580" t="str">
        <f t="shared" si="912"/>
        <v/>
      </c>
      <c r="I102" s="572" t="str">
        <f t="shared" si="912"/>
        <v/>
      </c>
      <c r="J102" s="483" t="str">
        <f t="shared" si="728"/>
        <v/>
      </c>
      <c r="K102" s="806" t="str">
        <f t="shared" si="912"/>
        <v/>
      </c>
      <c r="L102" s="309"/>
      <c r="M102" s="164" t="str">
        <f t="shared" si="643"/>
        <v/>
      </c>
      <c r="N102" s="575" t="str">
        <f t="shared" si="644"/>
        <v/>
      </c>
      <c r="O102" s="572" t="str">
        <f t="shared" si="645"/>
        <v/>
      </c>
      <c r="P102" s="576" t="str">
        <f t="shared" si="646"/>
        <v/>
      </c>
      <c r="Q102" s="528" t="str">
        <f t="shared" si="729"/>
        <v/>
      </c>
      <c r="R102" s="572" t="str">
        <f t="shared" si="95"/>
        <v/>
      </c>
      <c r="S102" s="577" t="str">
        <f t="shared" si="96"/>
        <v/>
      </c>
      <c r="T102" s="578" t="str">
        <f t="shared" si="97"/>
        <v/>
      </c>
      <c r="U102" s="572" t="str">
        <f t="shared" si="98"/>
        <v/>
      </c>
      <c r="V102" s="579" t="str">
        <f t="shared" si="145"/>
        <v/>
      </c>
      <c r="W102" s="528" t="str">
        <f t="shared" si="866"/>
        <v/>
      </c>
      <c r="X102" s="572" t="str">
        <f t="shared" si="99"/>
        <v/>
      </c>
      <c r="Y102" s="573" t="str">
        <f t="shared" si="859"/>
        <v/>
      </c>
      <c r="Z102" s="575" t="str">
        <f t="shared" si="647"/>
        <v/>
      </c>
      <c r="AA102" s="572" t="str">
        <f t="shared" si="648"/>
        <v/>
      </c>
      <c r="AB102" s="572" t="str">
        <f t="shared" si="649"/>
        <v/>
      </c>
      <c r="AC102" s="579" t="str">
        <f t="shared" si="100"/>
        <v/>
      </c>
      <c r="AD102" s="580" t="str">
        <f t="shared" si="146"/>
        <v/>
      </c>
      <c r="AE102" s="572" t="str">
        <f t="shared" si="101"/>
        <v/>
      </c>
      <c r="AF102" s="576" t="str">
        <f t="shared" si="102"/>
        <v/>
      </c>
      <c r="AG102" s="545" t="str">
        <f t="shared" si="103"/>
        <v/>
      </c>
      <c r="AH102" s="546" t="str">
        <f t="shared" si="104"/>
        <v/>
      </c>
      <c r="AI102" s="528" t="str">
        <f t="shared" si="105"/>
        <v/>
      </c>
      <c r="AJ102" s="529" t="str">
        <f t="shared" si="106"/>
        <v/>
      </c>
      <c r="AK102" s="578" t="str">
        <f t="shared" si="247"/>
        <v/>
      </c>
      <c r="AL102" s="572" t="str">
        <f t="shared" si="107"/>
        <v/>
      </c>
      <c r="AM102" s="577" t="str">
        <f t="shared" si="108"/>
        <v/>
      </c>
      <c r="AN102" s="524" t="str">
        <f t="shared" si="109"/>
        <v/>
      </c>
      <c r="AO102" s="525" t="str">
        <f t="shared" si="604"/>
        <v/>
      </c>
      <c r="AP102" s="528" t="str">
        <f t="shared" si="111"/>
        <v/>
      </c>
      <c r="AQ102" s="529" t="str">
        <f t="shared" si="650"/>
        <v/>
      </c>
      <c r="AS102" s="954" t="str">
        <f t="shared" si="755"/>
        <v/>
      </c>
      <c r="AT102" s="950" t="str">
        <f t="shared" si="651"/>
        <v/>
      </c>
      <c r="AU102" s="418"/>
      <c r="AV102" s="164" t="str">
        <f t="shared" si="652"/>
        <v/>
      </c>
      <c r="AW102" s="797" t="str">
        <f>IFERROR(INDEX(MassProp!C$9:C$150,MATCH($M102,MassProp!$B$9:$B$150,0)),"")</f>
        <v/>
      </c>
      <c r="AX102" s="744" t="str">
        <f>IFERROR(INDEX(MassProp!D$9:D$150,MATCH($M102,MassProp!$B$9:$B$150,0)),"")</f>
        <v/>
      </c>
      <c r="AY102" s="731" t="str">
        <f>IFERROR(INDEX(MassProp!E$9:E$150,MATCH($M102,MassProp!$B$9:$B$150,0)),"")</f>
        <v/>
      </c>
      <c r="AZ102" s="297" t="str">
        <f t="shared" si="756"/>
        <v/>
      </c>
      <c r="BA102" s="296" t="str">
        <f t="shared" si="653"/>
        <v/>
      </c>
      <c r="BB102" s="177" t="str">
        <f t="shared" si="730"/>
        <v/>
      </c>
      <c r="BC102" s="9"/>
      <c r="BD102" s="5" t="str">
        <f t="shared" si="731"/>
        <v/>
      </c>
      <c r="BE102" s="6" t="str">
        <f t="shared" si="654"/>
        <v/>
      </c>
      <c r="BF102" s="4" t="str">
        <f t="shared" si="655"/>
        <v/>
      </c>
      <c r="BG102" s="5" t="str">
        <f t="shared" si="656"/>
        <v/>
      </c>
      <c r="BH102" s="10" t="str">
        <f t="shared" si="657"/>
        <v/>
      </c>
      <c r="BI102" s="9" t="str">
        <f t="shared" si="757"/>
        <v/>
      </c>
      <c r="BJ102" s="5" t="str">
        <f t="shared" si="658"/>
        <v/>
      </c>
      <c r="BK102" s="8" t="str">
        <f t="shared" si="659"/>
        <v/>
      </c>
      <c r="BL102" s="173" t="str">
        <f t="shared" si="660"/>
        <v/>
      </c>
      <c r="BM102" s="5" t="str">
        <f t="shared" si="661"/>
        <v/>
      </c>
      <c r="BN102" s="6" t="str">
        <f t="shared" si="662"/>
        <v/>
      </c>
      <c r="BO102" s="4" t="str">
        <f t="shared" si="758"/>
        <v/>
      </c>
      <c r="BP102" s="5" t="str">
        <f t="shared" si="759"/>
        <v/>
      </c>
      <c r="BQ102" s="5" t="str">
        <f t="shared" si="760"/>
        <v/>
      </c>
      <c r="BR102" s="6" t="str">
        <f t="shared" si="761"/>
        <v/>
      </c>
      <c r="BS102" s="4" t="str">
        <f t="shared" si="732"/>
        <v/>
      </c>
      <c r="BT102" s="5" t="str">
        <f t="shared" si="732"/>
        <v/>
      </c>
      <c r="BU102" s="10" t="str">
        <f t="shared" si="733"/>
        <v/>
      </c>
      <c r="BV102" s="9" t="str">
        <f t="shared" si="734"/>
        <v/>
      </c>
      <c r="BW102" s="5" t="str">
        <f t="shared" si="735"/>
        <v/>
      </c>
      <c r="BX102" s="8" t="str">
        <f t="shared" si="736"/>
        <v/>
      </c>
      <c r="BY102" s="173" t="str">
        <f t="shared" si="737"/>
        <v/>
      </c>
      <c r="BZ102" s="5" t="str">
        <f t="shared" si="738"/>
        <v/>
      </c>
      <c r="CA102" s="6" t="str">
        <f t="shared" si="739"/>
        <v/>
      </c>
      <c r="CB102" s="4" t="str">
        <f t="shared" si="762"/>
        <v/>
      </c>
      <c r="CC102" s="5" t="str">
        <f t="shared" si="763"/>
        <v/>
      </c>
      <c r="CD102" s="5" t="str">
        <f t="shared" si="764"/>
        <v/>
      </c>
      <c r="CE102" s="6" t="str">
        <f t="shared" si="765"/>
        <v/>
      </c>
      <c r="CF102" s="4" t="str">
        <f t="shared" si="766"/>
        <v/>
      </c>
      <c r="CG102" s="5" t="str">
        <f t="shared" si="767"/>
        <v/>
      </c>
      <c r="CH102" s="5" t="str">
        <f t="shared" si="768"/>
        <v/>
      </c>
      <c r="CI102" s="4" t="str">
        <f t="shared" si="740"/>
        <v/>
      </c>
      <c r="CJ102" s="5" t="str">
        <f t="shared" si="741"/>
        <v/>
      </c>
      <c r="CK102" s="8" t="str">
        <f t="shared" si="742"/>
        <v/>
      </c>
      <c r="CL102" s="173" t="str">
        <f t="shared" si="743"/>
        <v/>
      </c>
      <c r="CM102" s="5" t="str">
        <f t="shared" si="744"/>
        <v/>
      </c>
      <c r="CN102" s="6" t="str">
        <f t="shared" si="745"/>
        <v/>
      </c>
      <c r="CO102" s="167" t="str">
        <f t="shared" si="663"/>
        <v/>
      </c>
      <c r="CP102" s="4" t="str">
        <f t="shared" si="769"/>
        <v/>
      </c>
      <c r="CQ102" s="5" t="str">
        <f t="shared" si="770"/>
        <v/>
      </c>
      <c r="CR102" s="5" t="str">
        <f t="shared" si="771"/>
        <v/>
      </c>
      <c r="CS102" s="8" t="str">
        <f t="shared" si="772"/>
        <v/>
      </c>
      <c r="CT102" s="9" t="str">
        <f t="shared" si="773"/>
        <v/>
      </c>
      <c r="CU102" s="6" t="str">
        <f t="shared" si="774"/>
        <v/>
      </c>
      <c r="CV102" s="4" t="str">
        <f t="shared" si="775"/>
        <v/>
      </c>
      <c r="CW102" s="5" t="str">
        <f t="shared" si="776"/>
        <v/>
      </c>
      <c r="CX102" s="8" t="str">
        <f t="shared" si="777"/>
        <v/>
      </c>
      <c r="CY102" s="9" t="str">
        <f t="shared" si="778"/>
        <v/>
      </c>
      <c r="CZ102" s="5" t="str">
        <f t="shared" si="779"/>
        <v/>
      </c>
      <c r="DA102" s="6" t="str">
        <f t="shared" si="780"/>
        <v/>
      </c>
      <c r="DB102" s="4" t="str">
        <f t="shared" si="781"/>
        <v/>
      </c>
      <c r="DC102" s="5" t="str">
        <f t="shared" si="781"/>
        <v/>
      </c>
      <c r="DD102" s="10" t="str">
        <f t="shared" si="782"/>
        <v/>
      </c>
      <c r="DE102" s="9" t="str">
        <f t="shared" si="783"/>
        <v/>
      </c>
      <c r="DF102" s="5" t="str">
        <f t="shared" si="783"/>
        <v/>
      </c>
      <c r="DG102" s="10" t="str">
        <f t="shared" si="784"/>
        <v/>
      </c>
      <c r="DH102" s="70" t="str">
        <f t="shared" si="785"/>
        <v/>
      </c>
      <c r="DI102" s="4" t="str">
        <f t="shared" si="786"/>
        <v/>
      </c>
      <c r="DJ102" s="5" t="str">
        <f t="shared" si="787"/>
        <v/>
      </c>
      <c r="DK102" s="10" t="str">
        <f t="shared" si="788"/>
        <v/>
      </c>
      <c r="DL102" s="9" t="str">
        <f t="shared" si="789"/>
        <v/>
      </c>
      <c r="DM102" s="173" t="str">
        <f t="shared" si="790"/>
        <v/>
      </c>
      <c r="DN102" s="178" t="str">
        <f t="shared" si="791"/>
        <v/>
      </c>
      <c r="DO102" s="9" t="str">
        <f t="shared" si="792"/>
        <v/>
      </c>
      <c r="DP102" s="173" t="str">
        <f t="shared" si="793"/>
        <v/>
      </c>
      <c r="DQ102" s="11" t="str">
        <f t="shared" si="794"/>
        <v/>
      </c>
      <c r="DR102" s="173" t="str">
        <f t="shared" si="795"/>
        <v/>
      </c>
      <c r="DS102" s="5" t="str">
        <f t="shared" si="796"/>
        <v/>
      </c>
      <c r="DT102" s="5" t="str">
        <f t="shared" si="797"/>
        <v/>
      </c>
      <c r="DU102" s="5" t="str">
        <f t="shared" si="798"/>
        <v/>
      </c>
      <c r="DV102" s="5" t="str">
        <f t="shared" si="799"/>
        <v/>
      </c>
      <c r="DW102" s="5" t="str">
        <f t="shared" si="800"/>
        <v/>
      </c>
      <c r="DX102" s="167" t="str">
        <f t="shared" si="801"/>
        <v/>
      </c>
      <c r="DY102" s="9" t="str">
        <f t="shared" si="802"/>
        <v/>
      </c>
      <c r="DZ102" s="5" t="str">
        <f t="shared" si="803"/>
        <v/>
      </c>
      <c r="EA102" s="10" t="str">
        <f t="shared" si="804"/>
        <v/>
      </c>
      <c r="EB102" s="6" t="str">
        <f t="shared" si="805"/>
        <v/>
      </c>
      <c r="EC102" s="173" t="str">
        <f t="shared" si="806"/>
        <v/>
      </c>
      <c r="ED102" s="5" t="str">
        <f t="shared" si="807"/>
        <v/>
      </c>
      <c r="EE102" s="4" t="str">
        <f t="shared" si="808"/>
        <v/>
      </c>
      <c r="EF102" s="5" t="str">
        <f t="shared" si="809"/>
        <v/>
      </c>
      <c r="EG102" s="10" t="str">
        <f t="shared" si="810"/>
        <v/>
      </c>
      <c r="EH102" s="9" t="str">
        <f t="shared" si="811"/>
        <v/>
      </c>
      <c r="EI102" s="5" t="str">
        <f t="shared" si="812"/>
        <v/>
      </c>
      <c r="EJ102" s="6" t="str">
        <f t="shared" si="813"/>
        <v/>
      </c>
      <c r="EK102" s="236" t="str">
        <f t="shared" si="814"/>
        <v/>
      </c>
      <c r="EL102" s="238" t="str">
        <f t="shared" si="815"/>
        <v/>
      </c>
      <c r="EM102" s="4" t="str">
        <f t="shared" si="816"/>
        <v/>
      </c>
      <c r="EN102" s="5" t="str">
        <f t="shared" si="817"/>
        <v/>
      </c>
      <c r="EO102" s="10" t="str">
        <f t="shared" si="818"/>
        <v/>
      </c>
      <c r="EP102" s="9" t="str">
        <f t="shared" si="819"/>
        <v/>
      </c>
      <c r="EQ102" s="5" t="str">
        <f t="shared" si="820"/>
        <v/>
      </c>
      <c r="ER102" s="7" t="str">
        <f t="shared" si="821"/>
        <v/>
      </c>
      <c r="ES102" s="21" t="str">
        <f t="shared" si="664"/>
        <v/>
      </c>
      <c r="ET102" s="5" t="str">
        <f t="shared" si="665"/>
        <v/>
      </c>
      <c r="EU102" s="10" t="str">
        <f t="shared" si="666"/>
        <v/>
      </c>
      <c r="EV102" s="174" t="str">
        <f t="shared" si="667"/>
        <v/>
      </c>
      <c r="EW102" s="9" t="str">
        <f t="shared" si="668"/>
        <v/>
      </c>
      <c r="EX102" s="5" t="str">
        <f t="shared" si="669"/>
        <v/>
      </c>
      <c r="EY102" s="6" t="str">
        <f t="shared" si="822"/>
        <v/>
      </c>
      <c r="EZ102" s="51" t="str">
        <f t="shared" si="823"/>
        <v/>
      </c>
      <c r="FA102" s="173" t="str">
        <f t="shared" si="670"/>
        <v/>
      </c>
      <c r="FB102" s="5" t="str">
        <f t="shared" si="671"/>
        <v/>
      </c>
      <c r="FC102" s="6" t="str">
        <f t="shared" si="672"/>
        <v/>
      </c>
      <c r="FD102" s="4" t="str">
        <f t="shared" si="673"/>
        <v/>
      </c>
      <c r="FE102" s="5" t="str">
        <f t="shared" si="674"/>
        <v/>
      </c>
      <c r="FF102" s="7" t="str">
        <f t="shared" si="824"/>
        <v/>
      </c>
      <c r="FG102" s="173" t="str">
        <f t="shared" si="675"/>
        <v/>
      </c>
      <c r="FH102" s="5" t="str">
        <f t="shared" si="676"/>
        <v/>
      </c>
      <c r="FI102" s="10" t="str">
        <f t="shared" si="677"/>
        <v/>
      </c>
      <c r="FJ102" s="279" t="str">
        <f t="shared" si="825"/>
        <v/>
      </c>
      <c r="FK102" s="4" t="str">
        <f t="shared" si="678"/>
        <v/>
      </c>
      <c r="FL102" s="5" t="str">
        <f t="shared" si="746"/>
        <v/>
      </c>
      <c r="FM102" s="8" t="str">
        <f t="shared" si="747"/>
        <v/>
      </c>
      <c r="FN102" s="9" t="str">
        <f t="shared" si="748"/>
        <v/>
      </c>
      <c r="FO102" s="10" t="str">
        <f t="shared" si="679"/>
        <v/>
      </c>
      <c r="FP102" s="277" t="str">
        <f t="shared" si="749"/>
        <v/>
      </c>
      <c r="FQ102" s="173" t="str">
        <f t="shared" si="826"/>
        <v/>
      </c>
      <c r="FR102" s="10" t="str">
        <f t="shared" si="827"/>
        <v/>
      </c>
      <c r="FS102" s="9" t="str">
        <f t="shared" si="828"/>
        <v/>
      </c>
      <c r="FT102" s="6" t="str">
        <f t="shared" si="829"/>
        <v/>
      </c>
      <c r="FU102" s="4" t="str">
        <f t="shared" si="830"/>
        <v/>
      </c>
      <c r="FV102" s="5" t="str">
        <f t="shared" si="831"/>
        <v/>
      </c>
      <c r="FW102" s="8" t="str">
        <f t="shared" si="832"/>
        <v/>
      </c>
      <c r="FX102" s="9" t="str">
        <f t="shared" si="833"/>
        <v/>
      </c>
      <c r="FY102" s="10" t="str">
        <f t="shared" si="680"/>
        <v/>
      </c>
      <c r="FZ102" s="277" t="str">
        <f t="shared" si="834"/>
        <v/>
      </c>
      <c r="GA102" s="177" t="str">
        <f t="shared" si="835"/>
        <v/>
      </c>
      <c r="GB102" s="4" t="str">
        <f t="shared" si="836"/>
        <v/>
      </c>
      <c r="GC102" s="5" t="str">
        <f t="shared" si="837"/>
        <v/>
      </c>
      <c r="GD102" s="10" t="str">
        <f t="shared" si="838"/>
        <v/>
      </c>
      <c r="GE102" s="311" t="str">
        <f t="shared" si="839"/>
        <v/>
      </c>
      <c r="GF102" s="341" t="str">
        <f t="shared" si="840"/>
        <v/>
      </c>
      <c r="GG102" s="285" t="str">
        <f t="shared" si="681"/>
        <v/>
      </c>
      <c r="GH102" s="286" t="str">
        <f t="shared" si="682"/>
        <v/>
      </c>
      <c r="GI102" s="281" t="str">
        <f t="shared" si="683"/>
        <v/>
      </c>
      <c r="GJ102" s="167" t="str">
        <f t="shared" si="841"/>
        <v/>
      </c>
      <c r="GK102" s="174" t="str">
        <f t="shared" si="684"/>
        <v/>
      </c>
      <c r="GL102" s="174" t="str">
        <f t="shared" si="842"/>
        <v/>
      </c>
      <c r="GM102" s="177" t="str">
        <f t="shared" si="843"/>
        <v/>
      </c>
      <c r="GN102" s="280" t="str">
        <f t="shared" si="844"/>
        <v/>
      </c>
      <c r="GO102" s="4" t="str">
        <f t="shared" si="845"/>
        <v/>
      </c>
      <c r="GP102" s="8" t="str">
        <f t="shared" si="846"/>
        <v/>
      </c>
      <c r="GQ102" s="177" t="str">
        <f t="shared" si="847"/>
        <v/>
      </c>
      <c r="GR102" s="371" t="str">
        <f t="shared" si="848"/>
        <v/>
      </c>
      <c r="GS102" s="342" t="str">
        <f t="shared" si="685"/>
        <v/>
      </c>
      <c r="GT102" s="343" t="str">
        <f t="shared" si="686"/>
        <v/>
      </c>
      <c r="GU102" s="344" t="str">
        <f t="shared" si="687"/>
        <v/>
      </c>
      <c r="GV102" s="343" t="str">
        <f t="shared" si="849"/>
        <v/>
      </c>
      <c r="GW102" s="345" t="str">
        <f t="shared" si="688"/>
        <v/>
      </c>
      <c r="GX102" s="346" t="str">
        <f t="shared" si="689"/>
        <v/>
      </c>
      <c r="GY102" s="344" t="str">
        <f t="shared" si="690"/>
        <v/>
      </c>
      <c r="GZ102" s="345" t="str">
        <f t="shared" si="691"/>
        <v/>
      </c>
      <c r="HA102" s="342" t="str">
        <f t="shared" si="692"/>
        <v/>
      </c>
      <c r="HB102" s="5" t="str">
        <f t="shared" si="850"/>
        <v/>
      </c>
      <c r="HC102" s="343" t="str">
        <f t="shared" si="851"/>
        <v/>
      </c>
      <c r="HD102" s="363" t="str">
        <f t="shared" si="852"/>
        <v/>
      </c>
      <c r="HE102" s="344" t="str">
        <f t="shared" si="693"/>
        <v/>
      </c>
      <c r="HF102" s="5" t="str">
        <f t="shared" si="694"/>
        <v/>
      </c>
      <c r="HG102" s="343" t="str">
        <f t="shared" si="853"/>
        <v/>
      </c>
      <c r="HH102" s="349" t="str">
        <f t="shared" si="854"/>
        <v/>
      </c>
      <c r="HI102" s="317" t="str">
        <f t="shared" si="695"/>
        <v/>
      </c>
      <c r="HK102" s="310" t="str">
        <f t="shared" si="750"/>
        <v/>
      </c>
      <c r="HL102" s="348" t="str">
        <f t="shared" si="696"/>
        <v/>
      </c>
      <c r="HM102" s="923" t="str">
        <f t="shared" si="697"/>
        <v/>
      </c>
      <c r="HN102" s="924" t="str">
        <f t="shared" si="698"/>
        <v/>
      </c>
      <c r="HO102" s="925"/>
      <c r="HP102" s="926"/>
      <c r="HQ102" s="924" t="str">
        <f t="shared" si="699"/>
        <v/>
      </c>
      <c r="HR102" s="927" t="str">
        <f t="shared" si="700"/>
        <v/>
      </c>
      <c r="HS102" s="879" t="str">
        <f t="shared" si="751"/>
        <v/>
      </c>
      <c r="HT102" s="889" t="str">
        <f t="shared" si="701"/>
        <v/>
      </c>
      <c r="HU102" s="890" t="str">
        <f t="shared" si="702"/>
        <v/>
      </c>
      <c r="HV102" s="886" t="str">
        <f t="shared" si="703"/>
        <v/>
      </c>
      <c r="HW102" s="880" t="str">
        <f t="shared" si="704"/>
        <v/>
      </c>
      <c r="HX102" s="881" t="str">
        <f t="shared" si="705"/>
        <v/>
      </c>
      <c r="HY102" s="880" t="str">
        <f t="shared" si="706"/>
        <v/>
      </c>
      <c r="HZ102" s="882" t="str">
        <f t="shared" si="707"/>
        <v/>
      </c>
      <c r="IA102" s="883" t="str">
        <f t="shared" si="708"/>
        <v/>
      </c>
      <c r="IB102" s="884" t="str">
        <f t="shared" si="709"/>
        <v/>
      </c>
      <c r="IC102" s="855" t="str">
        <f t="shared" si="710"/>
        <v/>
      </c>
      <c r="ID102" s="351" t="str">
        <f t="shared" si="711"/>
        <v/>
      </c>
      <c r="IE102" s="857" t="str">
        <f t="shared" si="712"/>
        <v/>
      </c>
      <c r="IF102" s="858"/>
      <c r="IG102" s="790" t="str">
        <f>IFERROR(IF($IW102="","",IF($IW102&lt;(((Settings!$C$19/2)*-1)*$IG$8),"Taper","Nose")),"")</f>
        <v/>
      </c>
      <c r="IH102" s="482" t="str">
        <f>IFERROR(IF((((($IY102*COS(RADIANS(180-$JA102)))*COS(RADIANS($JA102)))-(($IZ102*SIN(RADIANS(180-$JA102)))*SIN(RADIANS($JA102))))+$IW102)&lt;(((Settings!$C$19+$IH$8)/2)*-1),"Gage",""),"")</f>
        <v/>
      </c>
      <c r="II102" s="788" t="str">
        <f t="shared" si="855"/>
        <v/>
      </c>
      <c r="IJ102" s="674" t="str" cm="1">
        <f t="array" ref="IJ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K102" s="677" t="str" cm="1">
        <f t="array" ref="IK102">IFERROR(ROUND(VALUE(IF($IJ102&lt;1,$IJ102+LARGE((IF($M$9:$M$150="",0,$M$9:$M$150)-MOD(IF($M$9:$M$150="",0,$M$9:$M$150),1)),1),$IJ102)),4),"")</f>
        <v/>
      </c>
      <c r="IL102" s="482" t="str">
        <f t="shared" si="713"/>
        <v/>
      </c>
      <c r="IM102" s="482" t="str">
        <f t="shared" si="856"/>
        <v/>
      </c>
      <c r="IN102" s="670" t="str">
        <f t="shared" si="714"/>
        <v/>
      </c>
      <c r="IO102" s="702"/>
      <c r="IP102" s="5" t="str">
        <f t="shared" si="715"/>
        <v/>
      </c>
      <c r="IQ102" s="714"/>
      <c r="IR102" s="9" t="str">
        <f t="shared" si="716"/>
        <v/>
      </c>
      <c r="IS102" s="5" t="str">
        <f t="shared" si="717"/>
        <v/>
      </c>
      <c r="IT102" s="5" t="str">
        <f t="shared" si="718"/>
        <v/>
      </c>
      <c r="IU102" s="5" t="str">
        <f t="shared" si="719"/>
        <v/>
      </c>
      <c r="IV102" s="670" t="str">
        <f t="shared" si="720"/>
        <v/>
      </c>
      <c r="IW102" s="9" t="str">
        <f t="shared" si="721"/>
        <v/>
      </c>
      <c r="IX102" s="5" t="str">
        <f t="shared" si="722"/>
        <v/>
      </c>
      <c r="IY102" s="5" t="str">
        <f t="shared" si="723"/>
        <v/>
      </c>
      <c r="IZ102" s="5" t="str">
        <f t="shared" si="724"/>
        <v/>
      </c>
      <c r="JA102" s="705" t="str">
        <f t="shared" si="725"/>
        <v/>
      </c>
      <c r="JN102" s="960"/>
      <c r="JO102" s="162"/>
      <c r="JP102" s="961"/>
      <c r="JQ102" s="961"/>
    </row>
    <row r="103" spans="1:277" ht="15" customHeight="1" x14ac:dyDescent="0.25">
      <c r="A103" s="75" t="str">
        <f t="shared" si="640"/>
        <v/>
      </c>
      <c r="B103" s="578" t="str">
        <f t="shared" ref="B103:D103" si="913">IFERROR(O258+($A103*-E103),"")</f>
        <v/>
      </c>
      <c r="C103" s="572" t="str">
        <f t="shared" si="913"/>
        <v/>
      </c>
      <c r="D103" s="576" t="str">
        <f t="shared" si="913"/>
        <v/>
      </c>
      <c r="E103" s="580" t="str">
        <f t="shared" ref="E103:K103" si="914">R258</f>
        <v/>
      </c>
      <c r="F103" s="572" t="str">
        <f t="shared" si="914"/>
        <v/>
      </c>
      <c r="G103" s="579" t="str">
        <f t="shared" si="914"/>
        <v/>
      </c>
      <c r="H103" s="580" t="str">
        <f t="shared" si="914"/>
        <v/>
      </c>
      <c r="I103" s="572" t="str">
        <f t="shared" si="914"/>
        <v/>
      </c>
      <c r="J103" s="483" t="str">
        <f t="shared" si="728"/>
        <v/>
      </c>
      <c r="K103" s="806" t="str">
        <f t="shared" si="914"/>
        <v/>
      </c>
      <c r="L103" s="309"/>
      <c r="M103" s="164" t="str">
        <f t="shared" si="643"/>
        <v/>
      </c>
      <c r="N103" s="575" t="str">
        <f t="shared" si="644"/>
        <v/>
      </c>
      <c r="O103" s="572" t="str">
        <f t="shared" si="645"/>
        <v/>
      </c>
      <c r="P103" s="576" t="str">
        <f t="shared" si="646"/>
        <v/>
      </c>
      <c r="Q103" s="528" t="str">
        <f t="shared" si="729"/>
        <v/>
      </c>
      <c r="R103" s="572" t="str">
        <f t="shared" si="95"/>
        <v/>
      </c>
      <c r="S103" s="577" t="str">
        <f t="shared" si="96"/>
        <v/>
      </c>
      <c r="T103" s="578" t="str">
        <f t="shared" si="97"/>
        <v/>
      </c>
      <c r="U103" s="572" t="str">
        <f t="shared" si="98"/>
        <v/>
      </c>
      <c r="V103" s="579" t="str">
        <f t="shared" si="145"/>
        <v/>
      </c>
      <c r="W103" s="528" t="str">
        <f t="shared" si="866"/>
        <v/>
      </c>
      <c r="X103" s="572" t="str">
        <f t="shared" si="99"/>
        <v/>
      </c>
      <c r="Y103" s="573" t="str">
        <f t="shared" si="859"/>
        <v/>
      </c>
      <c r="Z103" s="575" t="str">
        <f t="shared" si="647"/>
        <v/>
      </c>
      <c r="AA103" s="572" t="str">
        <f t="shared" si="648"/>
        <v/>
      </c>
      <c r="AB103" s="572" t="str">
        <f t="shared" si="649"/>
        <v/>
      </c>
      <c r="AC103" s="579" t="str">
        <f t="shared" si="100"/>
        <v/>
      </c>
      <c r="AD103" s="580" t="str">
        <f t="shared" si="146"/>
        <v/>
      </c>
      <c r="AE103" s="572" t="str">
        <f t="shared" si="101"/>
        <v/>
      </c>
      <c r="AF103" s="576" t="str">
        <f t="shared" si="102"/>
        <v/>
      </c>
      <c r="AG103" s="545" t="str">
        <f t="shared" si="103"/>
        <v/>
      </c>
      <c r="AH103" s="546" t="str">
        <f t="shared" si="104"/>
        <v/>
      </c>
      <c r="AI103" s="528" t="str">
        <f t="shared" si="105"/>
        <v/>
      </c>
      <c r="AJ103" s="529" t="str">
        <f t="shared" si="106"/>
        <v/>
      </c>
      <c r="AK103" s="578" t="str">
        <f t="shared" si="247"/>
        <v/>
      </c>
      <c r="AL103" s="572" t="str">
        <f t="shared" si="107"/>
        <v/>
      </c>
      <c r="AM103" s="577" t="str">
        <f t="shared" si="108"/>
        <v/>
      </c>
      <c r="AN103" s="524" t="str">
        <f t="shared" si="109"/>
        <v/>
      </c>
      <c r="AO103" s="525" t="str">
        <f t="shared" si="604"/>
        <v/>
      </c>
      <c r="AP103" s="528" t="str">
        <f t="shared" si="111"/>
        <v/>
      </c>
      <c r="AQ103" s="529" t="str">
        <f t="shared" si="650"/>
        <v/>
      </c>
      <c r="AS103" s="954" t="str">
        <f t="shared" si="755"/>
        <v/>
      </c>
      <c r="AT103" s="950" t="str">
        <f t="shared" si="651"/>
        <v/>
      </c>
      <c r="AU103" s="418"/>
      <c r="AV103" s="164" t="str">
        <f t="shared" si="652"/>
        <v/>
      </c>
      <c r="AW103" s="797" t="str">
        <f>IFERROR(INDEX(MassProp!C$9:C$150,MATCH($M103,MassProp!$B$9:$B$150,0)),"")</f>
        <v/>
      </c>
      <c r="AX103" s="744" t="str">
        <f>IFERROR(INDEX(MassProp!D$9:D$150,MATCH($M103,MassProp!$B$9:$B$150,0)),"")</f>
        <v/>
      </c>
      <c r="AY103" s="731" t="str">
        <f>IFERROR(INDEX(MassProp!E$9:E$150,MATCH($M103,MassProp!$B$9:$B$150,0)),"")</f>
        <v/>
      </c>
      <c r="AZ103" s="297" t="str">
        <f t="shared" si="756"/>
        <v/>
      </c>
      <c r="BA103" s="296" t="str">
        <f t="shared" si="653"/>
        <v/>
      </c>
      <c r="BB103" s="177" t="str">
        <f t="shared" si="730"/>
        <v/>
      </c>
      <c r="BC103" s="9"/>
      <c r="BD103" s="5" t="str">
        <f t="shared" si="731"/>
        <v/>
      </c>
      <c r="BE103" s="6" t="str">
        <f t="shared" si="654"/>
        <v/>
      </c>
      <c r="BF103" s="4" t="str">
        <f t="shared" si="655"/>
        <v/>
      </c>
      <c r="BG103" s="5" t="str">
        <f t="shared" si="656"/>
        <v/>
      </c>
      <c r="BH103" s="10" t="str">
        <f t="shared" si="657"/>
        <v/>
      </c>
      <c r="BI103" s="9" t="str">
        <f t="shared" si="757"/>
        <v/>
      </c>
      <c r="BJ103" s="5" t="str">
        <f t="shared" si="658"/>
        <v/>
      </c>
      <c r="BK103" s="8" t="str">
        <f t="shared" si="659"/>
        <v/>
      </c>
      <c r="BL103" s="173" t="str">
        <f t="shared" si="660"/>
        <v/>
      </c>
      <c r="BM103" s="5" t="str">
        <f t="shared" si="661"/>
        <v/>
      </c>
      <c r="BN103" s="6" t="str">
        <f t="shared" si="662"/>
        <v/>
      </c>
      <c r="BO103" s="4" t="str">
        <f t="shared" si="758"/>
        <v/>
      </c>
      <c r="BP103" s="5" t="str">
        <f t="shared" si="759"/>
        <v/>
      </c>
      <c r="BQ103" s="5" t="str">
        <f t="shared" si="760"/>
        <v/>
      </c>
      <c r="BR103" s="6" t="str">
        <f t="shared" si="761"/>
        <v/>
      </c>
      <c r="BS103" s="4" t="str">
        <f t="shared" si="732"/>
        <v/>
      </c>
      <c r="BT103" s="5" t="str">
        <f t="shared" si="732"/>
        <v/>
      </c>
      <c r="BU103" s="10" t="str">
        <f t="shared" si="733"/>
        <v/>
      </c>
      <c r="BV103" s="9" t="str">
        <f t="shared" si="734"/>
        <v/>
      </c>
      <c r="BW103" s="5" t="str">
        <f t="shared" si="735"/>
        <v/>
      </c>
      <c r="BX103" s="8" t="str">
        <f t="shared" si="736"/>
        <v/>
      </c>
      <c r="BY103" s="173" t="str">
        <f t="shared" si="737"/>
        <v/>
      </c>
      <c r="BZ103" s="5" t="str">
        <f t="shared" si="738"/>
        <v/>
      </c>
      <c r="CA103" s="6" t="str">
        <f t="shared" si="739"/>
        <v/>
      </c>
      <c r="CB103" s="4" t="str">
        <f t="shared" si="762"/>
        <v/>
      </c>
      <c r="CC103" s="5" t="str">
        <f t="shared" si="763"/>
        <v/>
      </c>
      <c r="CD103" s="5" t="str">
        <f t="shared" si="764"/>
        <v/>
      </c>
      <c r="CE103" s="6" t="str">
        <f t="shared" si="765"/>
        <v/>
      </c>
      <c r="CF103" s="4" t="str">
        <f t="shared" si="766"/>
        <v/>
      </c>
      <c r="CG103" s="5" t="str">
        <f t="shared" si="767"/>
        <v/>
      </c>
      <c r="CH103" s="5" t="str">
        <f t="shared" si="768"/>
        <v/>
      </c>
      <c r="CI103" s="4" t="str">
        <f t="shared" si="740"/>
        <v/>
      </c>
      <c r="CJ103" s="5" t="str">
        <f t="shared" si="741"/>
        <v/>
      </c>
      <c r="CK103" s="8" t="str">
        <f t="shared" si="742"/>
        <v/>
      </c>
      <c r="CL103" s="173" t="str">
        <f t="shared" si="743"/>
        <v/>
      </c>
      <c r="CM103" s="5" t="str">
        <f t="shared" si="744"/>
        <v/>
      </c>
      <c r="CN103" s="6" t="str">
        <f t="shared" si="745"/>
        <v/>
      </c>
      <c r="CO103" s="167" t="str">
        <f t="shared" si="663"/>
        <v/>
      </c>
      <c r="CP103" s="4" t="str">
        <f t="shared" si="769"/>
        <v/>
      </c>
      <c r="CQ103" s="5" t="str">
        <f t="shared" si="770"/>
        <v/>
      </c>
      <c r="CR103" s="5" t="str">
        <f t="shared" si="771"/>
        <v/>
      </c>
      <c r="CS103" s="8" t="str">
        <f t="shared" si="772"/>
        <v/>
      </c>
      <c r="CT103" s="9" t="str">
        <f t="shared" si="773"/>
        <v/>
      </c>
      <c r="CU103" s="6" t="str">
        <f t="shared" si="774"/>
        <v/>
      </c>
      <c r="CV103" s="4" t="str">
        <f t="shared" si="775"/>
        <v/>
      </c>
      <c r="CW103" s="5" t="str">
        <f t="shared" si="776"/>
        <v/>
      </c>
      <c r="CX103" s="8" t="str">
        <f t="shared" si="777"/>
        <v/>
      </c>
      <c r="CY103" s="9" t="str">
        <f t="shared" si="778"/>
        <v/>
      </c>
      <c r="CZ103" s="5" t="str">
        <f t="shared" si="779"/>
        <v/>
      </c>
      <c r="DA103" s="6" t="str">
        <f t="shared" si="780"/>
        <v/>
      </c>
      <c r="DB103" s="4" t="str">
        <f t="shared" si="781"/>
        <v/>
      </c>
      <c r="DC103" s="5" t="str">
        <f t="shared" si="781"/>
        <v/>
      </c>
      <c r="DD103" s="10" t="str">
        <f t="shared" si="782"/>
        <v/>
      </c>
      <c r="DE103" s="9" t="str">
        <f t="shared" si="783"/>
        <v/>
      </c>
      <c r="DF103" s="5" t="str">
        <f t="shared" si="783"/>
        <v/>
      </c>
      <c r="DG103" s="10" t="str">
        <f t="shared" si="784"/>
        <v/>
      </c>
      <c r="DH103" s="70" t="str">
        <f t="shared" si="785"/>
        <v/>
      </c>
      <c r="DI103" s="4" t="str">
        <f t="shared" si="786"/>
        <v/>
      </c>
      <c r="DJ103" s="5" t="str">
        <f t="shared" si="787"/>
        <v/>
      </c>
      <c r="DK103" s="10" t="str">
        <f t="shared" si="788"/>
        <v/>
      </c>
      <c r="DL103" s="9" t="str">
        <f t="shared" si="789"/>
        <v/>
      </c>
      <c r="DM103" s="173" t="str">
        <f t="shared" si="790"/>
        <v/>
      </c>
      <c r="DN103" s="178" t="str">
        <f t="shared" si="791"/>
        <v/>
      </c>
      <c r="DO103" s="9" t="str">
        <f t="shared" si="792"/>
        <v/>
      </c>
      <c r="DP103" s="173" t="str">
        <f t="shared" si="793"/>
        <v/>
      </c>
      <c r="DQ103" s="11" t="str">
        <f t="shared" si="794"/>
        <v/>
      </c>
      <c r="DR103" s="173" t="str">
        <f t="shared" si="795"/>
        <v/>
      </c>
      <c r="DS103" s="5" t="str">
        <f t="shared" si="796"/>
        <v/>
      </c>
      <c r="DT103" s="5" t="str">
        <f t="shared" si="797"/>
        <v/>
      </c>
      <c r="DU103" s="5" t="str">
        <f t="shared" si="798"/>
        <v/>
      </c>
      <c r="DV103" s="5" t="str">
        <f t="shared" si="799"/>
        <v/>
      </c>
      <c r="DW103" s="5" t="str">
        <f t="shared" si="800"/>
        <v/>
      </c>
      <c r="DX103" s="167" t="str">
        <f t="shared" si="801"/>
        <v/>
      </c>
      <c r="DY103" s="9" t="str">
        <f t="shared" si="802"/>
        <v/>
      </c>
      <c r="DZ103" s="5" t="str">
        <f t="shared" si="803"/>
        <v/>
      </c>
      <c r="EA103" s="10" t="str">
        <f t="shared" si="804"/>
        <v/>
      </c>
      <c r="EB103" s="6" t="str">
        <f t="shared" si="805"/>
        <v/>
      </c>
      <c r="EC103" s="173" t="str">
        <f t="shared" si="806"/>
        <v/>
      </c>
      <c r="ED103" s="5" t="str">
        <f t="shared" si="807"/>
        <v/>
      </c>
      <c r="EE103" s="4" t="str">
        <f t="shared" si="808"/>
        <v/>
      </c>
      <c r="EF103" s="5" t="str">
        <f t="shared" si="809"/>
        <v/>
      </c>
      <c r="EG103" s="10" t="str">
        <f t="shared" si="810"/>
        <v/>
      </c>
      <c r="EH103" s="9" t="str">
        <f t="shared" si="811"/>
        <v/>
      </c>
      <c r="EI103" s="5" t="str">
        <f t="shared" si="812"/>
        <v/>
      </c>
      <c r="EJ103" s="6" t="str">
        <f t="shared" si="813"/>
        <v/>
      </c>
      <c r="EK103" s="236" t="str">
        <f t="shared" si="814"/>
        <v/>
      </c>
      <c r="EL103" s="238" t="str">
        <f t="shared" si="815"/>
        <v/>
      </c>
      <c r="EM103" s="4" t="str">
        <f t="shared" si="816"/>
        <v/>
      </c>
      <c r="EN103" s="5" t="str">
        <f t="shared" si="817"/>
        <v/>
      </c>
      <c r="EO103" s="10" t="str">
        <f t="shared" si="818"/>
        <v/>
      </c>
      <c r="EP103" s="9" t="str">
        <f t="shared" si="819"/>
        <v/>
      </c>
      <c r="EQ103" s="5" t="str">
        <f t="shared" si="820"/>
        <v/>
      </c>
      <c r="ER103" s="7" t="str">
        <f t="shared" si="821"/>
        <v/>
      </c>
      <c r="ES103" s="21" t="str">
        <f t="shared" si="664"/>
        <v/>
      </c>
      <c r="ET103" s="5" t="str">
        <f t="shared" si="665"/>
        <v/>
      </c>
      <c r="EU103" s="10" t="str">
        <f t="shared" si="666"/>
        <v/>
      </c>
      <c r="EV103" s="174" t="str">
        <f t="shared" si="667"/>
        <v/>
      </c>
      <c r="EW103" s="9" t="str">
        <f t="shared" si="668"/>
        <v/>
      </c>
      <c r="EX103" s="5" t="str">
        <f t="shared" si="669"/>
        <v/>
      </c>
      <c r="EY103" s="6" t="str">
        <f t="shared" si="822"/>
        <v/>
      </c>
      <c r="EZ103" s="51" t="str">
        <f t="shared" si="823"/>
        <v/>
      </c>
      <c r="FA103" s="173" t="str">
        <f t="shared" si="670"/>
        <v/>
      </c>
      <c r="FB103" s="5" t="str">
        <f t="shared" si="671"/>
        <v/>
      </c>
      <c r="FC103" s="6" t="str">
        <f t="shared" si="672"/>
        <v/>
      </c>
      <c r="FD103" s="4" t="str">
        <f t="shared" si="673"/>
        <v/>
      </c>
      <c r="FE103" s="5" t="str">
        <f t="shared" si="674"/>
        <v/>
      </c>
      <c r="FF103" s="7" t="str">
        <f t="shared" si="824"/>
        <v/>
      </c>
      <c r="FG103" s="173" t="str">
        <f t="shared" si="675"/>
        <v/>
      </c>
      <c r="FH103" s="5" t="str">
        <f t="shared" si="676"/>
        <v/>
      </c>
      <c r="FI103" s="10" t="str">
        <f t="shared" si="677"/>
        <v/>
      </c>
      <c r="FJ103" s="279" t="str">
        <f t="shared" si="825"/>
        <v/>
      </c>
      <c r="FK103" s="4" t="str">
        <f t="shared" si="678"/>
        <v/>
      </c>
      <c r="FL103" s="5" t="str">
        <f t="shared" si="746"/>
        <v/>
      </c>
      <c r="FM103" s="8" t="str">
        <f t="shared" si="747"/>
        <v/>
      </c>
      <c r="FN103" s="9" t="str">
        <f t="shared" si="748"/>
        <v/>
      </c>
      <c r="FO103" s="10" t="str">
        <f t="shared" si="679"/>
        <v/>
      </c>
      <c r="FP103" s="277" t="str">
        <f t="shared" si="749"/>
        <v/>
      </c>
      <c r="FQ103" s="173" t="str">
        <f t="shared" si="826"/>
        <v/>
      </c>
      <c r="FR103" s="10" t="str">
        <f t="shared" si="827"/>
        <v/>
      </c>
      <c r="FS103" s="9" t="str">
        <f t="shared" si="828"/>
        <v/>
      </c>
      <c r="FT103" s="6" t="str">
        <f t="shared" si="829"/>
        <v/>
      </c>
      <c r="FU103" s="4" t="str">
        <f t="shared" si="830"/>
        <v/>
      </c>
      <c r="FV103" s="5" t="str">
        <f t="shared" si="831"/>
        <v/>
      </c>
      <c r="FW103" s="8" t="str">
        <f t="shared" si="832"/>
        <v/>
      </c>
      <c r="FX103" s="9" t="str">
        <f t="shared" si="833"/>
        <v/>
      </c>
      <c r="FY103" s="10" t="str">
        <f t="shared" si="680"/>
        <v/>
      </c>
      <c r="FZ103" s="277" t="str">
        <f t="shared" si="834"/>
        <v/>
      </c>
      <c r="GA103" s="177" t="str">
        <f t="shared" si="835"/>
        <v/>
      </c>
      <c r="GB103" s="4" t="str">
        <f t="shared" si="836"/>
        <v/>
      </c>
      <c r="GC103" s="5" t="str">
        <f t="shared" si="837"/>
        <v/>
      </c>
      <c r="GD103" s="10" t="str">
        <f t="shared" si="838"/>
        <v/>
      </c>
      <c r="GE103" s="311" t="str">
        <f t="shared" si="839"/>
        <v/>
      </c>
      <c r="GF103" s="341" t="str">
        <f t="shared" si="840"/>
        <v/>
      </c>
      <c r="GG103" s="285" t="str">
        <f t="shared" si="681"/>
        <v/>
      </c>
      <c r="GH103" s="286" t="str">
        <f t="shared" si="682"/>
        <v/>
      </c>
      <c r="GI103" s="281" t="str">
        <f t="shared" si="683"/>
        <v/>
      </c>
      <c r="GJ103" s="167" t="str">
        <f t="shared" si="841"/>
        <v/>
      </c>
      <c r="GK103" s="174" t="str">
        <f t="shared" si="684"/>
        <v/>
      </c>
      <c r="GL103" s="174" t="str">
        <f t="shared" si="842"/>
        <v/>
      </c>
      <c r="GM103" s="177" t="str">
        <f t="shared" si="843"/>
        <v/>
      </c>
      <c r="GN103" s="280" t="str">
        <f t="shared" si="844"/>
        <v/>
      </c>
      <c r="GO103" s="4" t="str">
        <f t="shared" si="845"/>
        <v/>
      </c>
      <c r="GP103" s="8" t="str">
        <f t="shared" si="846"/>
        <v/>
      </c>
      <c r="GQ103" s="177" t="str">
        <f t="shared" si="847"/>
        <v/>
      </c>
      <c r="GR103" s="371" t="str">
        <f t="shared" si="848"/>
        <v/>
      </c>
      <c r="GS103" s="342" t="str">
        <f t="shared" si="685"/>
        <v/>
      </c>
      <c r="GT103" s="343" t="str">
        <f t="shared" si="686"/>
        <v/>
      </c>
      <c r="GU103" s="344" t="str">
        <f t="shared" si="687"/>
        <v/>
      </c>
      <c r="GV103" s="343" t="str">
        <f t="shared" si="849"/>
        <v/>
      </c>
      <c r="GW103" s="345" t="str">
        <f t="shared" si="688"/>
        <v/>
      </c>
      <c r="GX103" s="346" t="str">
        <f t="shared" si="689"/>
        <v/>
      </c>
      <c r="GY103" s="344" t="str">
        <f t="shared" si="690"/>
        <v/>
      </c>
      <c r="GZ103" s="345" t="str">
        <f t="shared" si="691"/>
        <v/>
      </c>
      <c r="HA103" s="342" t="str">
        <f t="shared" si="692"/>
        <v/>
      </c>
      <c r="HB103" s="5" t="str">
        <f t="shared" si="850"/>
        <v/>
      </c>
      <c r="HC103" s="343" t="str">
        <f t="shared" si="851"/>
        <v/>
      </c>
      <c r="HD103" s="363" t="str">
        <f t="shared" si="852"/>
        <v/>
      </c>
      <c r="HE103" s="344" t="str">
        <f t="shared" si="693"/>
        <v/>
      </c>
      <c r="HF103" s="5" t="str">
        <f t="shared" si="694"/>
        <v/>
      </c>
      <c r="HG103" s="343" t="str">
        <f t="shared" si="853"/>
        <v/>
      </c>
      <c r="HH103" s="349" t="str">
        <f t="shared" si="854"/>
        <v/>
      </c>
      <c r="HI103" s="317" t="str">
        <f t="shared" si="695"/>
        <v/>
      </c>
      <c r="HK103" s="310" t="str">
        <f t="shared" si="750"/>
        <v/>
      </c>
      <c r="HL103" s="348" t="str">
        <f t="shared" si="696"/>
        <v/>
      </c>
      <c r="HM103" s="923" t="str">
        <f t="shared" si="697"/>
        <v/>
      </c>
      <c r="HN103" s="924" t="str">
        <f t="shared" si="698"/>
        <v/>
      </c>
      <c r="HO103" s="925"/>
      <c r="HP103" s="926"/>
      <c r="HQ103" s="924" t="str">
        <f t="shared" si="699"/>
        <v/>
      </c>
      <c r="HR103" s="927" t="str">
        <f t="shared" si="700"/>
        <v/>
      </c>
      <c r="HS103" s="879" t="str">
        <f t="shared" si="751"/>
        <v/>
      </c>
      <c r="HT103" s="889" t="str">
        <f t="shared" si="701"/>
        <v/>
      </c>
      <c r="HU103" s="890" t="str">
        <f t="shared" si="702"/>
        <v/>
      </c>
      <c r="HV103" s="886" t="str">
        <f t="shared" si="703"/>
        <v/>
      </c>
      <c r="HW103" s="880" t="str">
        <f t="shared" si="704"/>
        <v/>
      </c>
      <c r="HX103" s="881" t="str">
        <f t="shared" si="705"/>
        <v/>
      </c>
      <c r="HY103" s="880" t="str">
        <f t="shared" si="706"/>
        <v/>
      </c>
      <c r="HZ103" s="882" t="str">
        <f t="shared" si="707"/>
        <v/>
      </c>
      <c r="IA103" s="883" t="str">
        <f t="shared" si="708"/>
        <v/>
      </c>
      <c r="IB103" s="884" t="str">
        <f t="shared" si="709"/>
        <v/>
      </c>
      <c r="IC103" s="855" t="str">
        <f t="shared" si="710"/>
        <v/>
      </c>
      <c r="ID103" s="351" t="str">
        <f t="shared" si="711"/>
        <v/>
      </c>
      <c r="IE103" s="857" t="str">
        <f t="shared" si="712"/>
        <v/>
      </c>
      <c r="IF103" s="858"/>
      <c r="IG103" s="790" t="str">
        <f>IFERROR(IF($IW103="","",IF($IW103&lt;(((Settings!$C$19/2)*-1)*$IG$8),"Taper","Nose")),"")</f>
        <v/>
      </c>
      <c r="IH103" s="482" t="str">
        <f>IFERROR(IF((((($IY103*COS(RADIANS(180-$JA103)))*COS(RADIANS($JA103)))-(($IZ103*SIN(RADIANS(180-$JA103)))*SIN(RADIANS($JA103))))+$IW103)&lt;(((Settings!$C$19+$IH$8)/2)*-1),"Gage",""),"")</f>
        <v/>
      </c>
      <c r="II103" s="788" t="str">
        <f t="shared" si="855"/>
        <v/>
      </c>
      <c r="IJ103" s="674" t="str" cm="1">
        <f t="array" ref="IJ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K103" s="677" t="str" cm="1">
        <f t="array" ref="IK103">IFERROR(ROUND(VALUE(IF($IJ103&lt;1,$IJ103+LARGE((IF($M$9:$M$150="",0,$M$9:$M$150)-MOD(IF($M$9:$M$150="",0,$M$9:$M$150),1)),1),$IJ103)),4),"")</f>
        <v/>
      </c>
      <c r="IL103" s="482" t="str">
        <f t="shared" si="713"/>
        <v/>
      </c>
      <c r="IM103" s="482" t="str">
        <f t="shared" si="856"/>
        <v/>
      </c>
      <c r="IN103" s="670" t="str">
        <f t="shared" si="714"/>
        <v/>
      </c>
      <c r="IO103" s="702"/>
      <c r="IP103" s="5" t="str">
        <f t="shared" si="715"/>
        <v/>
      </c>
      <c r="IQ103" s="714"/>
      <c r="IR103" s="9" t="str">
        <f t="shared" si="716"/>
        <v/>
      </c>
      <c r="IS103" s="5" t="str">
        <f t="shared" si="717"/>
        <v/>
      </c>
      <c r="IT103" s="5" t="str">
        <f t="shared" si="718"/>
        <v/>
      </c>
      <c r="IU103" s="5" t="str">
        <f t="shared" si="719"/>
        <v/>
      </c>
      <c r="IV103" s="670" t="str">
        <f t="shared" si="720"/>
        <v/>
      </c>
      <c r="IW103" s="9" t="str">
        <f t="shared" si="721"/>
        <v/>
      </c>
      <c r="IX103" s="5" t="str">
        <f t="shared" si="722"/>
        <v/>
      </c>
      <c r="IY103" s="5" t="str">
        <f t="shared" si="723"/>
        <v/>
      </c>
      <c r="IZ103" s="5" t="str">
        <f t="shared" si="724"/>
        <v/>
      </c>
      <c r="JA103" s="705" t="str">
        <f t="shared" si="725"/>
        <v/>
      </c>
      <c r="JN103" s="960"/>
      <c r="JO103" s="162"/>
      <c r="JP103" s="961"/>
      <c r="JQ103" s="961"/>
    </row>
    <row r="104" spans="1:277" ht="15" customHeight="1" x14ac:dyDescent="0.25">
      <c r="A104" s="75" t="str">
        <f t="shared" si="640"/>
        <v/>
      </c>
      <c r="B104" s="578" t="str">
        <f t="shared" ref="B104:D104" si="915">IFERROR(O259+($A104*-E104),"")</f>
        <v/>
      </c>
      <c r="C104" s="572" t="str">
        <f t="shared" si="915"/>
        <v/>
      </c>
      <c r="D104" s="576" t="str">
        <f t="shared" si="915"/>
        <v/>
      </c>
      <c r="E104" s="580" t="str">
        <f t="shared" ref="E104:K104" si="916">R259</f>
        <v/>
      </c>
      <c r="F104" s="572" t="str">
        <f t="shared" si="916"/>
        <v/>
      </c>
      <c r="G104" s="579" t="str">
        <f t="shared" si="916"/>
        <v/>
      </c>
      <c r="H104" s="580" t="str">
        <f t="shared" si="916"/>
        <v/>
      </c>
      <c r="I104" s="572" t="str">
        <f t="shared" si="916"/>
        <v/>
      </c>
      <c r="J104" s="483" t="str">
        <f t="shared" si="728"/>
        <v/>
      </c>
      <c r="K104" s="806" t="str">
        <f t="shared" si="916"/>
        <v/>
      </c>
      <c r="L104" s="309"/>
      <c r="M104" s="164" t="str">
        <f t="shared" si="643"/>
        <v/>
      </c>
      <c r="N104" s="575" t="str">
        <f t="shared" si="644"/>
        <v/>
      </c>
      <c r="O104" s="572" t="str">
        <f t="shared" si="645"/>
        <v/>
      </c>
      <c r="P104" s="576" t="str">
        <f t="shared" si="646"/>
        <v/>
      </c>
      <c r="Q104" s="528" t="str">
        <f t="shared" si="729"/>
        <v/>
      </c>
      <c r="R104" s="572" t="str">
        <f t="shared" si="95"/>
        <v/>
      </c>
      <c r="S104" s="577" t="str">
        <f t="shared" si="96"/>
        <v/>
      </c>
      <c r="T104" s="578" t="str">
        <f t="shared" si="97"/>
        <v/>
      </c>
      <c r="U104" s="572" t="str">
        <f t="shared" si="98"/>
        <v/>
      </c>
      <c r="V104" s="579" t="str">
        <f t="shared" si="145"/>
        <v/>
      </c>
      <c r="W104" s="528" t="str">
        <f t="shared" si="866"/>
        <v/>
      </c>
      <c r="X104" s="572" t="str">
        <f t="shared" si="99"/>
        <v/>
      </c>
      <c r="Y104" s="573" t="str">
        <f t="shared" si="859"/>
        <v/>
      </c>
      <c r="Z104" s="575" t="str">
        <f t="shared" si="647"/>
        <v/>
      </c>
      <c r="AA104" s="572" t="str">
        <f t="shared" si="648"/>
        <v/>
      </c>
      <c r="AB104" s="572" t="str">
        <f t="shared" si="649"/>
        <v/>
      </c>
      <c r="AC104" s="579" t="str">
        <f t="shared" si="100"/>
        <v/>
      </c>
      <c r="AD104" s="580" t="str">
        <f t="shared" si="146"/>
        <v/>
      </c>
      <c r="AE104" s="572" t="str">
        <f t="shared" si="101"/>
        <v/>
      </c>
      <c r="AF104" s="576" t="str">
        <f t="shared" si="102"/>
        <v/>
      </c>
      <c r="AG104" s="545" t="str">
        <f t="shared" si="103"/>
        <v/>
      </c>
      <c r="AH104" s="546" t="str">
        <f t="shared" si="104"/>
        <v/>
      </c>
      <c r="AI104" s="528" t="str">
        <f t="shared" si="105"/>
        <v/>
      </c>
      <c r="AJ104" s="529" t="str">
        <f t="shared" si="106"/>
        <v/>
      </c>
      <c r="AK104" s="578" t="str">
        <f t="shared" si="247"/>
        <v/>
      </c>
      <c r="AL104" s="572" t="str">
        <f t="shared" si="107"/>
        <v/>
      </c>
      <c r="AM104" s="577" t="str">
        <f t="shared" si="108"/>
        <v/>
      </c>
      <c r="AN104" s="524" t="str">
        <f t="shared" si="109"/>
        <v/>
      </c>
      <c r="AO104" s="525" t="str">
        <f t="shared" si="604"/>
        <v/>
      </c>
      <c r="AP104" s="528" t="str">
        <f t="shared" si="111"/>
        <v/>
      </c>
      <c r="AQ104" s="529" t="str">
        <f t="shared" si="650"/>
        <v/>
      </c>
      <c r="AS104" s="954" t="str">
        <f t="shared" si="755"/>
        <v/>
      </c>
      <c r="AT104" s="950" t="str">
        <f t="shared" si="651"/>
        <v/>
      </c>
      <c r="AU104" s="418"/>
      <c r="AV104" s="164" t="str">
        <f t="shared" si="652"/>
        <v/>
      </c>
      <c r="AW104" s="797" t="str">
        <f>IFERROR(INDEX(MassProp!C$9:C$150,MATCH($M104,MassProp!$B$9:$B$150,0)),"")</f>
        <v/>
      </c>
      <c r="AX104" s="744" t="str">
        <f>IFERROR(INDEX(MassProp!D$9:D$150,MATCH($M104,MassProp!$B$9:$B$150,0)),"")</f>
        <v/>
      </c>
      <c r="AY104" s="731" t="str">
        <f>IFERROR(INDEX(MassProp!E$9:E$150,MATCH($M104,MassProp!$B$9:$B$150,0)),"")</f>
        <v/>
      </c>
      <c r="AZ104" s="297" t="str">
        <f t="shared" si="756"/>
        <v/>
      </c>
      <c r="BA104" s="296" t="str">
        <f t="shared" si="653"/>
        <v/>
      </c>
      <c r="BB104" s="177" t="str">
        <f t="shared" si="730"/>
        <v/>
      </c>
      <c r="BC104" s="9"/>
      <c r="BD104" s="5" t="str">
        <f t="shared" si="731"/>
        <v/>
      </c>
      <c r="BE104" s="6" t="str">
        <f t="shared" si="654"/>
        <v/>
      </c>
      <c r="BF104" s="4" t="str">
        <f t="shared" si="655"/>
        <v/>
      </c>
      <c r="BG104" s="5" t="str">
        <f t="shared" si="656"/>
        <v/>
      </c>
      <c r="BH104" s="10" t="str">
        <f t="shared" si="657"/>
        <v/>
      </c>
      <c r="BI104" s="9" t="str">
        <f t="shared" si="757"/>
        <v/>
      </c>
      <c r="BJ104" s="5" t="str">
        <f t="shared" si="658"/>
        <v/>
      </c>
      <c r="BK104" s="8" t="str">
        <f t="shared" si="659"/>
        <v/>
      </c>
      <c r="BL104" s="173" t="str">
        <f t="shared" si="660"/>
        <v/>
      </c>
      <c r="BM104" s="5" t="str">
        <f t="shared" si="661"/>
        <v/>
      </c>
      <c r="BN104" s="6" t="str">
        <f t="shared" si="662"/>
        <v/>
      </c>
      <c r="BO104" s="4" t="str">
        <f t="shared" si="758"/>
        <v/>
      </c>
      <c r="BP104" s="5" t="str">
        <f t="shared" si="759"/>
        <v/>
      </c>
      <c r="BQ104" s="5" t="str">
        <f t="shared" si="760"/>
        <v/>
      </c>
      <c r="BR104" s="6" t="str">
        <f t="shared" si="761"/>
        <v/>
      </c>
      <c r="BS104" s="4" t="str">
        <f t="shared" si="732"/>
        <v/>
      </c>
      <c r="BT104" s="5" t="str">
        <f t="shared" si="732"/>
        <v/>
      </c>
      <c r="BU104" s="10" t="str">
        <f t="shared" si="733"/>
        <v/>
      </c>
      <c r="BV104" s="9" t="str">
        <f t="shared" si="734"/>
        <v/>
      </c>
      <c r="BW104" s="5" t="str">
        <f t="shared" si="735"/>
        <v/>
      </c>
      <c r="BX104" s="8" t="str">
        <f t="shared" si="736"/>
        <v/>
      </c>
      <c r="BY104" s="173" t="str">
        <f t="shared" si="737"/>
        <v/>
      </c>
      <c r="BZ104" s="5" t="str">
        <f t="shared" si="738"/>
        <v/>
      </c>
      <c r="CA104" s="6" t="str">
        <f t="shared" si="739"/>
        <v/>
      </c>
      <c r="CB104" s="4" t="str">
        <f t="shared" si="762"/>
        <v/>
      </c>
      <c r="CC104" s="5" t="str">
        <f t="shared" si="763"/>
        <v/>
      </c>
      <c r="CD104" s="5" t="str">
        <f t="shared" si="764"/>
        <v/>
      </c>
      <c r="CE104" s="6" t="str">
        <f t="shared" si="765"/>
        <v/>
      </c>
      <c r="CF104" s="4" t="str">
        <f t="shared" si="766"/>
        <v/>
      </c>
      <c r="CG104" s="5" t="str">
        <f t="shared" si="767"/>
        <v/>
      </c>
      <c r="CH104" s="5" t="str">
        <f t="shared" si="768"/>
        <v/>
      </c>
      <c r="CI104" s="4" t="str">
        <f t="shared" si="740"/>
        <v/>
      </c>
      <c r="CJ104" s="5" t="str">
        <f t="shared" si="741"/>
        <v/>
      </c>
      <c r="CK104" s="8" t="str">
        <f t="shared" si="742"/>
        <v/>
      </c>
      <c r="CL104" s="173" t="str">
        <f t="shared" si="743"/>
        <v/>
      </c>
      <c r="CM104" s="5" t="str">
        <f t="shared" si="744"/>
        <v/>
      </c>
      <c r="CN104" s="6" t="str">
        <f t="shared" si="745"/>
        <v/>
      </c>
      <c r="CO104" s="167" t="str">
        <f t="shared" si="663"/>
        <v/>
      </c>
      <c r="CP104" s="4" t="str">
        <f t="shared" si="769"/>
        <v/>
      </c>
      <c r="CQ104" s="5" t="str">
        <f t="shared" si="770"/>
        <v/>
      </c>
      <c r="CR104" s="5" t="str">
        <f t="shared" si="771"/>
        <v/>
      </c>
      <c r="CS104" s="8" t="str">
        <f t="shared" si="772"/>
        <v/>
      </c>
      <c r="CT104" s="9" t="str">
        <f t="shared" si="773"/>
        <v/>
      </c>
      <c r="CU104" s="6" t="str">
        <f t="shared" si="774"/>
        <v/>
      </c>
      <c r="CV104" s="4" t="str">
        <f t="shared" si="775"/>
        <v/>
      </c>
      <c r="CW104" s="5" t="str">
        <f t="shared" si="776"/>
        <v/>
      </c>
      <c r="CX104" s="8" t="str">
        <f t="shared" si="777"/>
        <v/>
      </c>
      <c r="CY104" s="9" t="str">
        <f t="shared" si="778"/>
        <v/>
      </c>
      <c r="CZ104" s="5" t="str">
        <f t="shared" si="779"/>
        <v/>
      </c>
      <c r="DA104" s="6" t="str">
        <f t="shared" si="780"/>
        <v/>
      </c>
      <c r="DB104" s="4" t="str">
        <f t="shared" si="781"/>
        <v/>
      </c>
      <c r="DC104" s="5" t="str">
        <f t="shared" si="781"/>
        <v/>
      </c>
      <c r="DD104" s="10" t="str">
        <f t="shared" si="782"/>
        <v/>
      </c>
      <c r="DE104" s="9" t="str">
        <f t="shared" si="783"/>
        <v/>
      </c>
      <c r="DF104" s="5" t="str">
        <f t="shared" si="783"/>
        <v/>
      </c>
      <c r="DG104" s="10" t="str">
        <f t="shared" si="784"/>
        <v/>
      </c>
      <c r="DH104" s="70" t="str">
        <f t="shared" si="785"/>
        <v/>
      </c>
      <c r="DI104" s="4" t="str">
        <f t="shared" si="786"/>
        <v/>
      </c>
      <c r="DJ104" s="5" t="str">
        <f t="shared" si="787"/>
        <v/>
      </c>
      <c r="DK104" s="10" t="str">
        <f t="shared" si="788"/>
        <v/>
      </c>
      <c r="DL104" s="9" t="str">
        <f t="shared" si="789"/>
        <v/>
      </c>
      <c r="DM104" s="173" t="str">
        <f t="shared" si="790"/>
        <v/>
      </c>
      <c r="DN104" s="178" t="str">
        <f t="shared" si="791"/>
        <v/>
      </c>
      <c r="DO104" s="9" t="str">
        <f t="shared" si="792"/>
        <v/>
      </c>
      <c r="DP104" s="173" t="str">
        <f t="shared" si="793"/>
        <v/>
      </c>
      <c r="DQ104" s="11" t="str">
        <f t="shared" si="794"/>
        <v/>
      </c>
      <c r="DR104" s="173" t="str">
        <f t="shared" si="795"/>
        <v/>
      </c>
      <c r="DS104" s="5" t="str">
        <f t="shared" si="796"/>
        <v/>
      </c>
      <c r="DT104" s="5" t="str">
        <f t="shared" si="797"/>
        <v/>
      </c>
      <c r="DU104" s="5" t="str">
        <f t="shared" si="798"/>
        <v/>
      </c>
      <c r="DV104" s="5" t="str">
        <f t="shared" si="799"/>
        <v/>
      </c>
      <c r="DW104" s="5" t="str">
        <f t="shared" si="800"/>
        <v/>
      </c>
      <c r="DX104" s="167" t="str">
        <f t="shared" si="801"/>
        <v/>
      </c>
      <c r="DY104" s="9" t="str">
        <f t="shared" si="802"/>
        <v/>
      </c>
      <c r="DZ104" s="5" t="str">
        <f t="shared" si="803"/>
        <v/>
      </c>
      <c r="EA104" s="10" t="str">
        <f t="shared" si="804"/>
        <v/>
      </c>
      <c r="EB104" s="6" t="str">
        <f t="shared" si="805"/>
        <v/>
      </c>
      <c r="EC104" s="173" t="str">
        <f t="shared" si="806"/>
        <v/>
      </c>
      <c r="ED104" s="5" t="str">
        <f t="shared" si="807"/>
        <v/>
      </c>
      <c r="EE104" s="4" t="str">
        <f t="shared" si="808"/>
        <v/>
      </c>
      <c r="EF104" s="5" t="str">
        <f t="shared" si="809"/>
        <v/>
      </c>
      <c r="EG104" s="10" t="str">
        <f t="shared" si="810"/>
        <v/>
      </c>
      <c r="EH104" s="9" t="str">
        <f t="shared" si="811"/>
        <v/>
      </c>
      <c r="EI104" s="5" t="str">
        <f t="shared" si="812"/>
        <v/>
      </c>
      <c r="EJ104" s="6" t="str">
        <f t="shared" si="813"/>
        <v/>
      </c>
      <c r="EK104" s="236" t="str">
        <f t="shared" si="814"/>
        <v/>
      </c>
      <c r="EL104" s="238" t="str">
        <f t="shared" si="815"/>
        <v/>
      </c>
      <c r="EM104" s="4" t="str">
        <f t="shared" si="816"/>
        <v/>
      </c>
      <c r="EN104" s="5" t="str">
        <f t="shared" si="817"/>
        <v/>
      </c>
      <c r="EO104" s="10" t="str">
        <f t="shared" si="818"/>
        <v/>
      </c>
      <c r="EP104" s="9" t="str">
        <f t="shared" si="819"/>
        <v/>
      </c>
      <c r="EQ104" s="5" t="str">
        <f t="shared" si="820"/>
        <v/>
      </c>
      <c r="ER104" s="7" t="str">
        <f t="shared" si="821"/>
        <v/>
      </c>
      <c r="ES104" s="21" t="str">
        <f t="shared" si="664"/>
        <v/>
      </c>
      <c r="ET104" s="5" t="str">
        <f t="shared" si="665"/>
        <v/>
      </c>
      <c r="EU104" s="10" t="str">
        <f t="shared" si="666"/>
        <v/>
      </c>
      <c r="EV104" s="174" t="str">
        <f t="shared" si="667"/>
        <v/>
      </c>
      <c r="EW104" s="9" t="str">
        <f t="shared" si="668"/>
        <v/>
      </c>
      <c r="EX104" s="5" t="str">
        <f t="shared" si="669"/>
        <v/>
      </c>
      <c r="EY104" s="6" t="str">
        <f t="shared" si="822"/>
        <v/>
      </c>
      <c r="EZ104" s="51" t="str">
        <f t="shared" si="823"/>
        <v/>
      </c>
      <c r="FA104" s="173" t="str">
        <f t="shared" si="670"/>
        <v/>
      </c>
      <c r="FB104" s="5" t="str">
        <f t="shared" si="671"/>
        <v/>
      </c>
      <c r="FC104" s="6" t="str">
        <f t="shared" si="672"/>
        <v/>
      </c>
      <c r="FD104" s="4" t="str">
        <f t="shared" si="673"/>
        <v/>
      </c>
      <c r="FE104" s="5" t="str">
        <f t="shared" si="674"/>
        <v/>
      </c>
      <c r="FF104" s="7" t="str">
        <f t="shared" si="824"/>
        <v/>
      </c>
      <c r="FG104" s="173" t="str">
        <f t="shared" si="675"/>
        <v/>
      </c>
      <c r="FH104" s="5" t="str">
        <f t="shared" si="676"/>
        <v/>
      </c>
      <c r="FI104" s="10" t="str">
        <f t="shared" si="677"/>
        <v/>
      </c>
      <c r="FJ104" s="279" t="str">
        <f t="shared" si="825"/>
        <v/>
      </c>
      <c r="FK104" s="4" t="str">
        <f t="shared" si="678"/>
        <v/>
      </c>
      <c r="FL104" s="5" t="str">
        <f t="shared" si="746"/>
        <v/>
      </c>
      <c r="FM104" s="8" t="str">
        <f t="shared" si="747"/>
        <v/>
      </c>
      <c r="FN104" s="9" t="str">
        <f t="shared" si="748"/>
        <v/>
      </c>
      <c r="FO104" s="10" t="str">
        <f t="shared" si="679"/>
        <v/>
      </c>
      <c r="FP104" s="277" t="str">
        <f t="shared" si="749"/>
        <v/>
      </c>
      <c r="FQ104" s="173" t="str">
        <f t="shared" si="826"/>
        <v/>
      </c>
      <c r="FR104" s="10" t="str">
        <f t="shared" si="827"/>
        <v/>
      </c>
      <c r="FS104" s="9" t="str">
        <f t="shared" si="828"/>
        <v/>
      </c>
      <c r="FT104" s="6" t="str">
        <f t="shared" si="829"/>
        <v/>
      </c>
      <c r="FU104" s="4" t="str">
        <f t="shared" si="830"/>
        <v/>
      </c>
      <c r="FV104" s="5" t="str">
        <f t="shared" si="831"/>
        <v/>
      </c>
      <c r="FW104" s="8" t="str">
        <f t="shared" si="832"/>
        <v/>
      </c>
      <c r="FX104" s="9" t="str">
        <f t="shared" si="833"/>
        <v/>
      </c>
      <c r="FY104" s="10" t="str">
        <f t="shared" si="680"/>
        <v/>
      </c>
      <c r="FZ104" s="277" t="str">
        <f t="shared" si="834"/>
        <v/>
      </c>
      <c r="GA104" s="177" t="str">
        <f t="shared" si="835"/>
        <v/>
      </c>
      <c r="GB104" s="4" t="str">
        <f t="shared" si="836"/>
        <v/>
      </c>
      <c r="GC104" s="5" t="str">
        <f t="shared" si="837"/>
        <v/>
      </c>
      <c r="GD104" s="10" t="str">
        <f t="shared" si="838"/>
        <v/>
      </c>
      <c r="GE104" s="311" t="str">
        <f t="shared" si="839"/>
        <v/>
      </c>
      <c r="GF104" s="341" t="str">
        <f t="shared" si="840"/>
        <v/>
      </c>
      <c r="GG104" s="285" t="str">
        <f t="shared" si="681"/>
        <v/>
      </c>
      <c r="GH104" s="286" t="str">
        <f t="shared" si="682"/>
        <v/>
      </c>
      <c r="GI104" s="281" t="str">
        <f t="shared" si="683"/>
        <v/>
      </c>
      <c r="GJ104" s="167" t="str">
        <f t="shared" si="841"/>
        <v/>
      </c>
      <c r="GK104" s="174" t="str">
        <f t="shared" si="684"/>
        <v/>
      </c>
      <c r="GL104" s="174" t="str">
        <f t="shared" si="842"/>
        <v/>
      </c>
      <c r="GM104" s="177" t="str">
        <f t="shared" si="843"/>
        <v/>
      </c>
      <c r="GN104" s="280" t="str">
        <f t="shared" si="844"/>
        <v/>
      </c>
      <c r="GO104" s="4" t="str">
        <f t="shared" si="845"/>
        <v/>
      </c>
      <c r="GP104" s="8" t="str">
        <f t="shared" si="846"/>
        <v/>
      </c>
      <c r="GQ104" s="177" t="str">
        <f t="shared" si="847"/>
        <v/>
      </c>
      <c r="GR104" s="371" t="str">
        <f t="shared" si="848"/>
        <v/>
      </c>
      <c r="GS104" s="342" t="str">
        <f t="shared" si="685"/>
        <v/>
      </c>
      <c r="GT104" s="343" t="str">
        <f t="shared" si="686"/>
        <v/>
      </c>
      <c r="GU104" s="344" t="str">
        <f t="shared" si="687"/>
        <v/>
      </c>
      <c r="GV104" s="343" t="str">
        <f t="shared" si="849"/>
        <v/>
      </c>
      <c r="GW104" s="345" t="str">
        <f t="shared" si="688"/>
        <v/>
      </c>
      <c r="GX104" s="346" t="str">
        <f t="shared" si="689"/>
        <v/>
      </c>
      <c r="GY104" s="344" t="str">
        <f t="shared" si="690"/>
        <v/>
      </c>
      <c r="GZ104" s="345" t="str">
        <f t="shared" si="691"/>
        <v/>
      </c>
      <c r="HA104" s="342" t="str">
        <f t="shared" si="692"/>
        <v/>
      </c>
      <c r="HB104" s="5" t="str">
        <f t="shared" si="850"/>
        <v/>
      </c>
      <c r="HC104" s="343" t="str">
        <f t="shared" si="851"/>
        <v/>
      </c>
      <c r="HD104" s="363" t="str">
        <f t="shared" si="852"/>
        <v/>
      </c>
      <c r="HE104" s="344" t="str">
        <f t="shared" si="693"/>
        <v/>
      </c>
      <c r="HF104" s="5" t="str">
        <f t="shared" si="694"/>
        <v/>
      </c>
      <c r="HG104" s="343" t="str">
        <f t="shared" si="853"/>
        <v/>
      </c>
      <c r="HH104" s="349" t="str">
        <f t="shared" si="854"/>
        <v/>
      </c>
      <c r="HI104" s="317" t="str">
        <f t="shared" si="695"/>
        <v/>
      </c>
      <c r="HK104" s="310" t="str">
        <f t="shared" si="750"/>
        <v/>
      </c>
      <c r="HL104" s="348" t="str">
        <f t="shared" si="696"/>
        <v/>
      </c>
      <c r="HM104" s="923" t="str">
        <f t="shared" si="697"/>
        <v/>
      </c>
      <c r="HN104" s="924" t="str">
        <f t="shared" si="698"/>
        <v/>
      </c>
      <c r="HO104" s="925"/>
      <c r="HP104" s="926"/>
      <c r="HQ104" s="924" t="str">
        <f t="shared" si="699"/>
        <v/>
      </c>
      <c r="HR104" s="927" t="str">
        <f t="shared" si="700"/>
        <v/>
      </c>
      <c r="HS104" s="879" t="str">
        <f t="shared" si="751"/>
        <v/>
      </c>
      <c r="HT104" s="889" t="str">
        <f t="shared" si="701"/>
        <v/>
      </c>
      <c r="HU104" s="890" t="str">
        <f t="shared" si="702"/>
        <v/>
      </c>
      <c r="HV104" s="886" t="str">
        <f t="shared" si="703"/>
        <v/>
      </c>
      <c r="HW104" s="880" t="str">
        <f t="shared" si="704"/>
        <v/>
      </c>
      <c r="HX104" s="881" t="str">
        <f t="shared" si="705"/>
        <v/>
      </c>
      <c r="HY104" s="880" t="str">
        <f t="shared" si="706"/>
        <v/>
      </c>
      <c r="HZ104" s="882" t="str">
        <f t="shared" si="707"/>
        <v/>
      </c>
      <c r="IA104" s="883" t="str">
        <f t="shared" si="708"/>
        <v/>
      </c>
      <c r="IB104" s="884" t="str">
        <f t="shared" si="709"/>
        <v/>
      </c>
      <c r="IC104" s="855" t="str">
        <f t="shared" si="710"/>
        <v/>
      </c>
      <c r="ID104" s="351" t="str">
        <f t="shared" si="711"/>
        <v/>
      </c>
      <c r="IE104" s="857" t="str">
        <f t="shared" si="712"/>
        <v/>
      </c>
      <c r="IF104" s="858"/>
      <c r="IG104" s="790" t="str">
        <f>IFERROR(IF($IW104="","",IF($IW104&lt;(((Settings!$C$19/2)*-1)*$IG$8),"Taper","Nose")),"")</f>
        <v/>
      </c>
      <c r="IH104" s="482" t="str">
        <f>IFERROR(IF((((($IY104*COS(RADIANS(180-$JA104)))*COS(RADIANS($JA104)))-(($IZ104*SIN(RADIANS(180-$JA104)))*SIN(RADIANS($JA104))))+$IW104)&lt;(((Settings!$C$19+$IH$8)/2)*-1),"Gage",""),"")</f>
        <v/>
      </c>
      <c r="II104" s="788" t="str">
        <f t="shared" si="855"/>
        <v/>
      </c>
      <c r="IJ104" s="674" t="str" cm="1">
        <f t="array" ref="IJ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K104" s="677" t="str" cm="1">
        <f t="array" ref="IK104">IFERROR(ROUND(VALUE(IF($IJ104&lt;1,$IJ104+LARGE((IF($M$9:$M$150="",0,$M$9:$M$150)-MOD(IF($M$9:$M$150="",0,$M$9:$M$150),1)),1),$IJ104)),4),"")</f>
        <v/>
      </c>
      <c r="IL104" s="482" t="str">
        <f t="shared" si="713"/>
        <v/>
      </c>
      <c r="IM104" s="482" t="str">
        <f t="shared" si="856"/>
        <v/>
      </c>
      <c r="IN104" s="670" t="str">
        <f t="shared" si="714"/>
        <v/>
      </c>
      <c r="IO104" s="702"/>
      <c r="IP104" s="5" t="str">
        <f t="shared" si="715"/>
        <v/>
      </c>
      <c r="IQ104" s="714"/>
      <c r="IR104" s="9" t="str">
        <f t="shared" si="716"/>
        <v/>
      </c>
      <c r="IS104" s="5" t="str">
        <f t="shared" si="717"/>
        <v/>
      </c>
      <c r="IT104" s="5" t="str">
        <f t="shared" si="718"/>
        <v/>
      </c>
      <c r="IU104" s="5" t="str">
        <f t="shared" si="719"/>
        <v/>
      </c>
      <c r="IV104" s="670" t="str">
        <f t="shared" si="720"/>
        <v/>
      </c>
      <c r="IW104" s="9" t="str">
        <f t="shared" si="721"/>
        <v/>
      </c>
      <c r="IX104" s="5" t="str">
        <f t="shared" si="722"/>
        <v/>
      </c>
      <c r="IY104" s="5" t="str">
        <f t="shared" si="723"/>
        <v/>
      </c>
      <c r="IZ104" s="5" t="str">
        <f t="shared" si="724"/>
        <v/>
      </c>
      <c r="JA104" s="705" t="str">
        <f t="shared" si="725"/>
        <v/>
      </c>
      <c r="JN104" s="960"/>
      <c r="JO104" s="162"/>
      <c r="JP104" s="961"/>
      <c r="JQ104" s="961"/>
    </row>
    <row r="105" spans="1:277" ht="15" customHeight="1" x14ac:dyDescent="0.25">
      <c r="A105" s="75" t="str">
        <f t="shared" ref="A105:A136" si="917">IF($K105="","",IF(AND($A$8="Y",ISNUMBER($K105)),$A$5,0))</f>
        <v/>
      </c>
      <c r="B105" s="578" t="str">
        <f t="shared" ref="B105:D105" si="918">IFERROR(O260+($A105*-E105),"")</f>
        <v/>
      </c>
      <c r="C105" s="572" t="str">
        <f t="shared" si="918"/>
        <v/>
      </c>
      <c r="D105" s="576" t="str">
        <f t="shared" si="918"/>
        <v/>
      </c>
      <c r="E105" s="580" t="str">
        <f t="shared" ref="E105:K105" si="919">R260</f>
        <v/>
      </c>
      <c r="F105" s="572" t="str">
        <f t="shared" si="919"/>
        <v/>
      </c>
      <c r="G105" s="579" t="str">
        <f t="shared" si="919"/>
        <v/>
      </c>
      <c r="H105" s="580" t="str">
        <f t="shared" si="919"/>
        <v/>
      </c>
      <c r="I105" s="572" t="str">
        <f t="shared" si="919"/>
        <v/>
      </c>
      <c r="J105" s="483" t="str">
        <f t="shared" si="728"/>
        <v/>
      </c>
      <c r="K105" s="806" t="str">
        <f t="shared" si="919"/>
        <v/>
      </c>
      <c r="L105" s="309"/>
      <c r="M105" s="164" t="str">
        <f t="shared" ref="M105:M136" si="920">IF(J105="","",VALUE(J105))</f>
        <v/>
      </c>
      <c r="N105" s="575" t="str">
        <f t="shared" ref="N105:N136" si="921">IF(M105="","",B105)</f>
        <v/>
      </c>
      <c r="O105" s="572" t="str">
        <f t="shared" ref="O105:O136" si="922">IF(M105="","",C105)</f>
        <v/>
      </c>
      <c r="P105" s="576" t="str">
        <f t="shared" ref="P105:P136" si="923">IF(M105="","",D105)</f>
        <v/>
      </c>
      <c r="Q105" s="528" t="str">
        <f t="shared" si="729"/>
        <v/>
      </c>
      <c r="R105" s="572" t="str">
        <f t="shared" si="95"/>
        <v/>
      </c>
      <c r="S105" s="577" t="str">
        <f t="shared" si="96"/>
        <v/>
      </c>
      <c r="T105" s="578" t="str">
        <f t="shared" si="97"/>
        <v/>
      </c>
      <c r="U105" s="572" t="str">
        <f t="shared" si="98"/>
        <v/>
      </c>
      <c r="V105" s="579" t="str">
        <f t="shared" si="145"/>
        <v/>
      </c>
      <c r="W105" s="528" t="str">
        <f t="shared" si="866"/>
        <v/>
      </c>
      <c r="X105" s="572" t="str">
        <f t="shared" si="99"/>
        <v/>
      </c>
      <c r="Y105" s="573" t="str">
        <f t="shared" si="859"/>
        <v/>
      </c>
      <c r="Z105" s="575" t="str">
        <f t="shared" ref="Z105:Z136" si="924">IF(M105="","",-E105)</f>
        <v/>
      </c>
      <c r="AA105" s="572" t="str">
        <f t="shared" ref="AA105:AA136" si="925">IF(M105="","",-F105)</f>
        <v/>
      </c>
      <c r="AB105" s="572" t="str">
        <f t="shared" ref="AB105:AB136" si="926">IF(M105="","",-G105)</f>
        <v/>
      </c>
      <c r="AC105" s="579" t="str">
        <f t="shared" si="100"/>
        <v/>
      </c>
      <c r="AD105" s="580" t="str">
        <f t="shared" si="146"/>
        <v/>
      </c>
      <c r="AE105" s="572" t="str">
        <f t="shared" si="101"/>
        <v/>
      </c>
      <c r="AF105" s="576" t="str">
        <f t="shared" si="102"/>
        <v/>
      </c>
      <c r="AG105" s="545" t="str">
        <f t="shared" si="103"/>
        <v/>
      </c>
      <c r="AH105" s="546" t="str">
        <f t="shared" si="104"/>
        <v/>
      </c>
      <c r="AI105" s="528" t="str">
        <f t="shared" si="105"/>
        <v/>
      </c>
      <c r="AJ105" s="529" t="str">
        <f t="shared" si="106"/>
        <v/>
      </c>
      <c r="AK105" s="578" t="str">
        <f t="shared" si="247"/>
        <v/>
      </c>
      <c r="AL105" s="572" t="str">
        <f t="shared" si="107"/>
        <v/>
      </c>
      <c r="AM105" s="577" t="str">
        <f t="shared" si="108"/>
        <v/>
      </c>
      <c r="AN105" s="524" t="str">
        <f t="shared" si="109"/>
        <v/>
      </c>
      <c r="AO105" s="525" t="str">
        <f t="shared" si="604"/>
        <v/>
      </c>
      <c r="AP105" s="528" t="str">
        <f t="shared" si="111"/>
        <v/>
      </c>
      <c r="AQ105" s="529" t="str">
        <f t="shared" ref="AQ105:AQ136" si="927">IF(M105="","",DEGREES(ATAN(($AS$5*SIN(RADIANS(90)))/(($X105*2*PI())-($AS$5*COS(RADIANS(90)))))))</f>
        <v/>
      </c>
      <c r="AS105" s="954" t="str">
        <f t="shared" si="755"/>
        <v/>
      </c>
      <c r="AT105" s="950" t="str">
        <f t="shared" ref="AT105:AT136" si="928">IF(M105="","",Y105+(((AS105-$AS$9)*$AS$6)*-1))</f>
        <v/>
      </c>
      <c r="AU105" s="418"/>
      <c r="AV105" s="164" t="str">
        <f t="shared" ref="AV105:AV136" si="929">IF(AND(ISNUMBER(VALUE(K105)),ISNUMBER(AW105),ISNUMBER(AX105),ISNUMBER(AY105),AY105&gt;=0.0001),$M105,"")</f>
        <v/>
      </c>
      <c r="AW105" s="797" t="str">
        <f>IFERROR(INDEX(MassProp!C$9:C$150,MATCH($M105,MassProp!$B$9:$B$150,0)),"")</f>
        <v/>
      </c>
      <c r="AX105" s="744" t="str">
        <f>IFERROR(INDEX(MassProp!D$9:D$150,MATCH($M105,MassProp!$B$9:$B$150,0)),"")</f>
        <v/>
      </c>
      <c r="AY105" s="731" t="str">
        <f>IFERROR(INDEX(MassProp!E$9:E$150,MATCH($M105,MassProp!$B$9:$B$150,0)),"")</f>
        <v/>
      </c>
      <c r="AZ105" s="297" t="str">
        <f t="shared" si="756"/>
        <v/>
      </c>
      <c r="BA105" s="296" t="str">
        <f t="shared" ref="BA105:BA129" si="930">IF(ISNUMBER(AV105),AZ105/$AZ$151,"")</f>
        <v/>
      </c>
      <c r="BB105" s="177" t="str">
        <f t="shared" si="730"/>
        <v/>
      </c>
      <c r="BC105" s="9"/>
      <c r="BD105" s="5" t="str">
        <f t="shared" si="731"/>
        <v/>
      </c>
      <c r="BE105" s="6" t="str">
        <f t="shared" ref="BE105:BE136" si="931">IF(ISNUMBER(AV105),Y105+BB105,"")</f>
        <v/>
      </c>
      <c r="BF105" s="4" t="str">
        <f t="shared" ref="BF105:BF136" si="932">IF(ISNUMBER($AV105),N105,"")</f>
        <v/>
      </c>
      <c r="BG105" s="5" t="str">
        <f t="shared" ref="BG105:BG136" si="933">IF(ISNUMBER($AV105),O105,"")</f>
        <v/>
      </c>
      <c r="BH105" s="10" t="str">
        <f t="shared" ref="BH105:BH136" si="934">IF(ISNUMBER($AV105),P105,"")</f>
        <v/>
      </c>
      <c r="BI105" s="9" t="str">
        <f t="shared" si="757"/>
        <v/>
      </c>
      <c r="BJ105" s="5" t="str">
        <f t="shared" ref="BJ105:BJ136" si="935">IF(ISNUMBER($AV105),BG105+COS(RADIANS($AG105)),"")</f>
        <v/>
      </c>
      <c r="BK105" s="8" t="str">
        <f t="shared" ref="BK105:BK136" si="936">IF(ISNUMBER($AV105),BH105+SIN(RADIANS($AG105)),"")</f>
        <v/>
      </c>
      <c r="BL105" s="173" t="str">
        <f t="shared" ref="BL105:BL136" si="937">IF(ISNUMBER($AV105),BF105+SIN(RADIANS($AH105)),"")</f>
        <v/>
      </c>
      <c r="BM105" s="5" t="str">
        <f t="shared" ref="BM105:BM136" si="938">IF(ISNUMBER($AV105),BG105-SIN(RADIANS($AG105))*COS(RADIANS($AH105)),"")</f>
        <v/>
      </c>
      <c r="BN105" s="6" t="str">
        <f t="shared" ref="BN105:BN136" si="939">IF(ISNUMBER($AV105),BH105+COS(RADIANS($AG105))*COS(RADIANS($AH105)),"")</f>
        <v/>
      </c>
      <c r="BO105" s="4" t="str">
        <f t="shared" si="758"/>
        <v/>
      </c>
      <c r="BP105" s="5" t="str">
        <f t="shared" si="759"/>
        <v/>
      </c>
      <c r="BQ105" s="5" t="str">
        <f t="shared" si="760"/>
        <v/>
      </c>
      <c r="BR105" s="6" t="str">
        <f t="shared" si="761"/>
        <v/>
      </c>
      <c r="BS105" s="4" t="str">
        <f t="shared" si="732"/>
        <v/>
      </c>
      <c r="BT105" s="5" t="str">
        <f t="shared" si="732"/>
        <v/>
      </c>
      <c r="BU105" s="10" t="str">
        <f t="shared" si="733"/>
        <v/>
      </c>
      <c r="BV105" s="9" t="str">
        <f t="shared" si="734"/>
        <v/>
      </c>
      <c r="BW105" s="5" t="str">
        <f t="shared" si="735"/>
        <v/>
      </c>
      <c r="BX105" s="8" t="str">
        <f t="shared" si="736"/>
        <v/>
      </c>
      <c r="BY105" s="173" t="str">
        <f t="shared" si="737"/>
        <v/>
      </c>
      <c r="BZ105" s="5" t="str">
        <f t="shared" si="738"/>
        <v/>
      </c>
      <c r="CA105" s="6" t="str">
        <f t="shared" si="739"/>
        <v/>
      </c>
      <c r="CB105" s="4" t="str">
        <f t="shared" si="762"/>
        <v/>
      </c>
      <c r="CC105" s="5" t="str">
        <f t="shared" si="763"/>
        <v/>
      </c>
      <c r="CD105" s="5" t="str">
        <f t="shared" si="764"/>
        <v/>
      </c>
      <c r="CE105" s="6" t="str">
        <f t="shared" si="765"/>
        <v/>
      </c>
      <c r="CF105" s="4" t="str">
        <f t="shared" si="766"/>
        <v/>
      </c>
      <c r="CG105" s="5" t="str">
        <f t="shared" si="767"/>
        <v/>
      </c>
      <c r="CH105" s="5" t="str">
        <f t="shared" si="768"/>
        <v/>
      </c>
      <c r="CI105" s="4" t="str">
        <f t="shared" si="740"/>
        <v/>
      </c>
      <c r="CJ105" s="5" t="str">
        <f t="shared" si="741"/>
        <v/>
      </c>
      <c r="CK105" s="8" t="str">
        <f t="shared" si="742"/>
        <v/>
      </c>
      <c r="CL105" s="173" t="str">
        <f t="shared" si="743"/>
        <v/>
      </c>
      <c r="CM105" s="5" t="str">
        <f t="shared" si="744"/>
        <v/>
      </c>
      <c r="CN105" s="6" t="str">
        <f t="shared" si="745"/>
        <v/>
      </c>
      <c r="CO105" s="167" t="str">
        <f t="shared" ref="CO105:CO136" si="940">IF(ISNUMBER($AV105),IF(AND(($H105*2)&gt;=$AB$161,($H105*2)&lt;=$AC$161),($AA$161/2),IF(AND(($H105*2)&gt;=$AB$163,($H105*2)&lt;=$AC$163),($AA$163/2),IF(AND(($H105*2)&gt;=$AB$165,($H105*2)&lt;=$AC$165),($AA$165/2),IF(AND(($H105*2)&gt;=$AB$168,($H105*2)&lt;=$AC$168),($AA$168/2),"Radius")))),"")</f>
        <v/>
      </c>
      <c r="CP105" s="4" t="str">
        <f t="shared" si="769"/>
        <v/>
      </c>
      <c r="CQ105" s="5" t="str">
        <f t="shared" si="770"/>
        <v/>
      </c>
      <c r="CR105" s="5" t="str">
        <f t="shared" si="771"/>
        <v/>
      </c>
      <c r="CS105" s="8" t="str">
        <f t="shared" si="772"/>
        <v/>
      </c>
      <c r="CT105" s="9" t="str">
        <f t="shared" si="773"/>
        <v/>
      </c>
      <c r="CU105" s="6" t="str">
        <f t="shared" si="774"/>
        <v/>
      </c>
      <c r="CV105" s="4" t="str">
        <f t="shared" si="775"/>
        <v/>
      </c>
      <c r="CW105" s="5" t="str">
        <f t="shared" si="776"/>
        <v/>
      </c>
      <c r="CX105" s="8" t="str">
        <f t="shared" si="777"/>
        <v/>
      </c>
      <c r="CY105" s="9" t="str">
        <f t="shared" si="778"/>
        <v/>
      </c>
      <c r="CZ105" s="5" t="str">
        <f t="shared" si="779"/>
        <v/>
      </c>
      <c r="DA105" s="6" t="str">
        <f t="shared" si="780"/>
        <v/>
      </c>
      <c r="DB105" s="4" t="str">
        <f t="shared" si="781"/>
        <v/>
      </c>
      <c r="DC105" s="5" t="str">
        <f t="shared" si="781"/>
        <v/>
      </c>
      <c r="DD105" s="10" t="str">
        <f t="shared" si="782"/>
        <v/>
      </c>
      <c r="DE105" s="9" t="str">
        <f t="shared" si="783"/>
        <v/>
      </c>
      <c r="DF105" s="5" t="str">
        <f t="shared" si="783"/>
        <v/>
      </c>
      <c r="DG105" s="10" t="str">
        <f t="shared" si="784"/>
        <v/>
      </c>
      <c r="DH105" s="70" t="str">
        <f t="shared" si="785"/>
        <v/>
      </c>
      <c r="DI105" s="4" t="str">
        <f t="shared" si="786"/>
        <v/>
      </c>
      <c r="DJ105" s="5" t="str">
        <f t="shared" si="787"/>
        <v/>
      </c>
      <c r="DK105" s="10" t="str">
        <f t="shared" si="788"/>
        <v/>
      </c>
      <c r="DL105" s="9" t="str">
        <f t="shared" si="789"/>
        <v/>
      </c>
      <c r="DM105" s="173" t="str">
        <f t="shared" si="790"/>
        <v/>
      </c>
      <c r="DN105" s="178" t="str">
        <f t="shared" si="791"/>
        <v/>
      </c>
      <c r="DO105" s="9" t="str">
        <f t="shared" si="792"/>
        <v/>
      </c>
      <c r="DP105" s="173" t="str">
        <f t="shared" si="793"/>
        <v/>
      </c>
      <c r="DQ105" s="11" t="str">
        <f t="shared" si="794"/>
        <v/>
      </c>
      <c r="DR105" s="173" t="str">
        <f t="shared" si="795"/>
        <v/>
      </c>
      <c r="DS105" s="5" t="str">
        <f t="shared" si="796"/>
        <v/>
      </c>
      <c r="DT105" s="5" t="str">
        <f t="shared" si="797"/>
        <v/>
      </c>
      <c r="DU105" s="5" t="str">
        <f t="shared" si="798"/>
        <v/>
      </c>
      <c r="DV105" s="5" t="str">
        <f t="shared" si="799"/>
        <v/>
      </c>
      <c r="DW105" s="5" t="str">
        <f t="shared" si="800"/>
        <v/>
      </c>
      <c r="DX105" s="167" t="str">
        <f t="shared" si="801"/>
        <v/>
      </c>
      <c r="DY105" s="9" t="str">
        <f t="shared" si="802"/>
        <v/>
      </c>
      <c r="DZ105" s="5" t="str">
        <f t="shared" si="803"/>
        <v/>
      </c>
      <c r="EA105" s="10" t="str">
        <f t="shared" si="804"/>
        <v/>
      </c>
      <c r="EB105" s="6" t="str">
        <f t="shared" si="805"/>
        <v/>
      </c>
      <c r="EC105" s="173" t="str">
        <f t="shared" si="806"/>
        <v/>
      </c>
      <c r="ED105" s="5" t="str">
        <f t="shared" si="807"/>
        <v/>
      </c>
      <c r="EE105" s="4" t="str">
        <f t="shared" si="808"/>
        <v/>
      </c>
      <c r="EF105" s="5" t="str">
        <f t="shared" si="809"/>
        <v/>
      </c>
      <c r="EG105" s="10" t="str">
        <f t="shared" si="810"/>
        <v/>
      </c>
      <c r="EH105" s="9" t="str">
        <f t="shared" si="811"/>
        <v/>
      </c>
      <c r="EI105" s="5" t="str">
        <f t="shared" si="812"/>
        <v/>
      </c>
      <c r="EJ105" s="6" t="str">
        <f t="shared" si="813"/>
        <v/>
      </c>
      <c r="EK105" s="236" t="str">
        <f t="shared" si="814"/>
        <v/>
      </c>
      <c r="EL105" s="238" t="str">
        <f t="shared" si="815"/>
        <v/>
      </c>
      <c r="EM105" s="4" t="str">
        <f t="shared" si="816"/>
        <v/>
      </c>
      <c r="EN105" s="5" t="str">
        <f t="shared" si="817"/>
        <v/>
      </c>
      <c r="EO105" s="10" t="str">
        <f t="shared" si="818"/>
        <v/>
      </c>
      <c r="EP105" s="9" t="str">
        <f t="shared" si="819"/>
        <v/>
      </c>
      <c r="EQ105" s="5" t="str">
        <f t="shared" si="820"/>
        <v/>
      </c>
      <c r="ER105" s="7" t="str">
        <f t="shared" si="821"/>
        <v/>
      </c>
      <c r="ES105" s="21" t="str">
        <f t="shared" ref="ES105:ES136" si="941">IF(ISNUMBER($AV105),AD105,"")</f>
        <v/>
      </c>
      <c r="ET105" s="5" t="str">
        <f t="shared" ref="ET105:ET136" si="942">IF(ISNUMBER($AV105),AE105,"")</f>
        <v/>
      </c>
      <c r="EU105" s="10" t="str">
        <f t="shared" ref="EU105:EU136" si="943">IF(ISNUMBER($AV105),AF105,"")</f>
        <v/>
      </c>
      <c r="EV105" s="174" t="str">
        <f t="shared" ref="EV105:EV129" si="944">IF(ISNUMBER($AV105),IF(($EV$1-EP105)&lt;0,(360+($EV$1-EP105)),($EV$1-EP105)),"")</f>
        <v/>
      </c>
      <c r="EW105" s="9" t="str">
        <f t="shared" ref="EW105:EW129" si="945">IF(ISNUMBER($AV105),(COS(RADIANS($EV105))*ES105)+(-SIN(RADIANS($EV105))*ET105),"")</f>
        <v/>
      </c>
      <c r="EX105" s="5" t="str">
        <f t="shared" ref="EX105:EX129" si="946">IF(ISNUMBER($AV105),(SIN(RADIANS($EV105))*ES105)+(COS(RADIANS($EV105))*ET105),"")</f>
        <v/>
      </c>
      <c r="EY105" s="6" t="str">
        <f t="shared" si="822"/>
        <v/>
      </c>
      <c r="EZ105" s="51" t="str">
        <f t="shared" si="823"/>
        <v/>
      </c>
      <c r="FA105" s="173" t="str">
        <f t="shared" ref="FA105:FA150" si="947">IF(ISNUMBER($AV105),SIN(RADIANS($EP105))*COS(RADIANS($EZ105)),"")</f>
        <v/>
      </c>
      <c r="FB105" s="5" t="str">
        <f t="shared" ref="FB105:FB150" si="948">IF(ISNUMBER($AV105),-1*COS(RADIANS($EP105))*COS(RADIANS($EZ105)),"")</f>
        <v/>
      </c>
      <c r="FC105" s="6" t="str">
        <f t="shared" ref="FC105:FC150" si="949">IF(ISNUMBER($AV105),-1*SIN(RADIANS($EZ105)),"")</f>
        <v/>
      </c>
      <c r="FD105" s="4" t="str">
        <f t="shared" ref="FD105:FD129" si="950">IF(ISNUMBER($AV105),(COS(RADIANS($EV105))*FA105)+(-SIN(RADIANS($EV105))*FB105),"")</f>
        <v/>
      </c>
      <c r="FE105" s="5" t="str">
        <f t="shared" ref="FE105:FE129" si="951">IF(ISNUMBER($AV105),(SIN(RADIANS($EV105))*FA105)+(COS(RADIANS($EV105))*FB105),"")</f>
        <v/>
      </c>
      <c r="FF105" s="7" t="str">
        <f t="shared" si="824"/>
        <v/>
      </c>
      <c r="FG105" s="173" t="str">
        <f t="shared" ref="FG105:FG129" si="952">IF(ISNUMBER($AV105),EW105-FD105,"")</f>
        <v/>
      </c>
      <c r="FH105" s="5" t="str">
        <f t="shared" ref="FH105:FH129" si="953">IF(ISNUMBER($AV105),EX105-FE105,"")</f>
        <v/>
      </c>
      <c r="FI105" s="10" t="str">
        <f t="shared" ref="FI105:FI129" si="954">IF(ISNUMBER($AV105),EY105-FF105,"")</f>
        <v/>
      </c>
      <c r="FJ105" s="279" t="str">
        <f t="shared" si="825"/>
        <v/>
      </c>
      <c r="FK105" s="4" t="str">
        <f t="shared" ref="FK105:FK129" si="955">IF(ISNUMBER($AV105),SQRT(ES105^2+ET105^2),"")</f>
        <v/>
      </c>
      <c r="FL105" s="5" t="str">
        <f t="shared" si="746"/>
        <v/>
      </c>
      <c r="FM105" s="8" t="str">
        <f t="shared" si="747"/>
        <v/>
      </c>
      <c r="FN105" s="9" t="str">
        <f t="shared" si="748"/>
        <v/>
      </c>
      <c r="FO105" s="10" t="str">
        <f t="shared" ref="FO105:FO129" si="956">IF(ISNUMBER($AV105),IF(SQRT((EM105+(ES105/SQRT(ES105^2+(ET105/SQRT(ES105^2+ET105^2))^2)))^2+(EN105+ET105)^2)&gt;SQRT((EM105+(FA105/SQRT(FA105^2+FB105^2)))^2+(EN105+(FB105/SQRT(FA105^2+FB105^2)))^2),-1,1),"")</f>
        <v/>
      </c>
      <c r="FP105" s="277" t="str">
        <f t="shared" si="749"/>
        <v/>
      </c>
      <c r="FQ105" s="173" t="str">
        <f t="shared" si="826"/>
        <v/>
      </c>
      <c r="FR105" s="10" t="str">
        <f t="shared" si="827"/>
        <v/>
      </c>
      <c r="FS105" s="9" t="str">
        <f t="shared" si="828"/>
        <v/>
      </c>
      <c r="FT105" s="6" t="str">
        <f t="shared" si="829"/>
        <v/>
      </c>
      <c r="FU105" s="4" t="str">
        <f t="shared" si="830"/>
        <v/>
      </c>
      <c r="FV105" s="5" t="str">
        <f t="shared" si="831"/>
        <v/>
      </c>
      <c r="FW105" s="8" t="str">
        <f t="shared" si="832"/>
        <v/>
      </c>
      <c r="FX105" s="9" t="str">
        <f t="shared" si="833"/>
        <v/>
      </c>
      <c r="FY105" s="10" t="str">
        <f t="shared" ref="FY105:FY129" si="957">IF(ISNUMBER($AV105),IF(EU105&lt;FC105,1,-1),"")</f>
        <v/>
      </c>
      <c r="FZ105" s="277" t="str">
        <f t="shared" si="834"/>
        <v/>
      </c>
      <c r="GA105" s="177" t="str">
        <f t="shared" si="835"/>
        <v/>
      </c>
      <c r="GB105" s="4" t="str">
        <f t="shared" si="836"/>
        <v/>
      </c>
      <c r="GC105" s="5" t="str">
        <f t="shared" si="837"/>
        <v/>
      </c>
      <c r="GD105" s="10" t="str">
        <f t="shared" si="838"/>
        <v/>
      </c>
      <c r="GE105" s="311" t="str">
        <f t="shared" si="839"/>
        <v/>
      </c>
      <c r="GF105" s="341" t="str">
        <f t="shared" si="840"/>
        <v/>
      </c>
      <c r="GG105" s="285" t="str">
        <f t="shared" ref="GG105:GG129" si="958">IF(ISNUMBER($AV105),ABS(GB105)/(ABS($GB105)+ABS($GC105)+ABS($GD105)),"")</f>
        <v/>
      </c>
      <c r="GH105" s="286" t="str">
        <f t="shared" ref="GH105:GH129" si="959">IF(ISNUMBER($AV105),ABS(GC105)/(ABS($GB105)+ABS($GC105)+ABS($GD105)),"")</f>
        <v/>
      </c>
      <c r="GI105" s="281" t="str">
        <f t="shared" ref="GI105:GI129" si="960">IF(ISNUMBER($AV105),ABS(GD105)/(ABS($GB105)+ABS($GC105)+ABS($GD105)),"")</f>
        <v/>
      </c>
      <c r="GJ105" s="167" t="str">
        <f t="shared" si="841"/>
        <v/>
      </c>
      <c r="GK105" s="174" t="str">
        <f t="shared" ref="GK105:GK150" si="961">IF(ISNUMBER($AV105),SQRT((2*PI()*$GJ105)^2+$AS$5^2)/12,"")</f>
        <v/>
      </c>
      <c r="GL105" s="174" t="str">
        <f t="shared" si="842"/>
        <v/>
      </c>
      <c r="GM105" s="177" t="str">
        <f t="shared" si="843"/>
        <v/>
      </c>
      <c r="GN105" s="280" t="str">
        <f t="shared" si="844"/>
        <v/>
      </c>
      <c r="GO105" s="4" t="str">
        <f t="shared" si="845"/>
        <v/>
      </c>
      <c r="GP105" s="8" t="str">
        <f t="shared" si="846"/>
        <v/>
      </c>
      <c r="GQ105" s="177" t="str">
        <f t="shared" si="847"/>
        <v/>
      </c>
      <c r="GR105" s="371" t="str">
        <f t="shared" si="848"/>
        <v/>
      </c>
      <c r="GS105" s="342" t="str">
        <f t="shared" ref="GS105:GS129" si="962">IF(ISNUMBER($AV105),GU105/GH105*GG105,"")</f>
        <v/>
      </c>
      <c r="GT105" s="343" t="str">
        <f t="shared" ref="GT105:GT129" si="963">IF(ISNUMBER($AV105),GS105/$GK105,"")</f>
        <v/>
      </c>
      <c r="GU105" s="344" t="str">
        <f t="shared" ref="GU105:GU150" si="964">IF(ISNUMBER($AV105),$GV105*$GK105,"")</f>
        <v/>
      </c>
      <c r="GV105" s="343" t="str">
        <f t="shared" si="849"/>
        <v/>
      </c>
      <c r="GW105" s="345" t="str">
        <f t="shared" ref="GW105:GW150" si="965">IF(ISNUMBER($AV105),$GW$2,"")</f>
        <v/>
      </c>
      <c r="GX105" s="346" t="str">
        <f t="shared" ref="GX105:GX150" si="966">IF(ISNUMBER($AV105),($GJ105/12)*$GV105,"")</f>
        <v/>
      </c>
      <c r="GY105" s="344" t="str">
        <f t="shared" ref="GY105:GY129" si="967">IF(ISNUMBER($AV105),GU105/GH105*GI105,"")</f>
        <v/>
      </c>
      <c r="GZ105" s="345" t="str">
        <f t="shared" ref="GZ105:GZ129" si="968">IF(ISNUMBER($AV105),GY105/$GK105,"")</f>
        <v/>
      </c>
      <c r="HA105" s="342" t="str">
        <f t="shared" ref="HA105:HA150" si="969">IF(ISNUMBER($AV105),$FO105*$GS105,"")</f>
        <v/>
      </c>
      <c r="HB105" s="5" t="str">
        <f t="shared" si="850"/>
        <v/>
      </c>
      <c r="HC105" s="343" t="str">
        <f t="shared" si="851"/>
        <v/>
      </c>
      <c r="HD105" s="363" t="str">
        <f t="shared" si="852"/>
        <v/>
      </c>
      <c r="HE105" s="344" t="str">
        <f t="shared" ref="HE105:HE150" si="970">IF(ISNUMBER($AV105),$FY105*$GV105,"")</f>
        <v/>
      </c>
      <c r="HF105" s="5" t="str">
        <f t="shared" ref="HF105:HF150" si="971">IF(ISNUMBER($AV105),IF(($HB105+90)&lt;0,(360+($HB105+90)),($HB105+90)),"")</f>
        <v/>
      </c>
      <c r="HG105" s="343" t="str">
        <f t="shared" si="853"/>
        <v/>
      </c>
      <c r="HH105" s="349" t="str">
        <f t="shared" si="854"/>
        <v/>
      </c>
      <c r="HI105" s="317" t="str">
        <f t="shared" ref="HI105:HI136" si="972">IF(ISNUMBER($AV105),$M105,"")</f>
        <v/>
      </c>
      <c r="HK105" s="310" t="str">
        <f t="shared" si="750"/>
        <v/>
      </c>
      <c r="HL105" s="348" t="str">
        <f t="shared" ref="HL105:HL136" si="973">IF(ISNUMBER($HS105),INDEX(HI$9:HI$150,MATCH($HS105,$GJ$9:$GJ$150,0)),"")</f>
        <v/>
      </c>
      <c r="HM105" s="923" t="str">
        <f t="shared" ref="HM105:HM136" si="974">IF(ISNUMBER($HL105),INDEX(GO$9:GO$150,MATCH($HL105,$AV$9:$AV$150,0)),"")</f>
        <v/>
      </c>
      <c r="HN105" s="924" t="str">
        <f t="shared" ref="HN105:HN136" si="975">IF(ISNUMBER($HL105),INDEX(AO$9:AO$150,MATCH($HL105,$AV$9:$AV$150,0)),"")</f>
        <v/>
      </c>
      <c r="HO105" s="925"/>
      <c r="HP105" s="926"/>
      <c r="HQ105" s="924" t="str">
        <f t="shared" ref="HQ105:HQ136" si="976">IF(ISNUMBER($HL105),INDEX(GQ$9:GQ$150,MATCH($HL105,$AV$9:$AV$150,0)),"")</f>
        <v/>
      </c>
      <c r="HR105" s="927" t="str">
        <f t="shared" ref="HR105:HR136" si="977">IF(ISNUMBER($HL105),INDEX(GP$9:GP$150,MATCH($HL105,$AV$9:$AV$150,0)),"")</f>
        <v/>
      </c>
      <c r="HS105" s="879" t="str">
        <f t="shared" si="751"/>
        <v/>
      </c>
      <c r="HT105" s="889" t="str">
        <f t="shared" ref="HT105:HT136" si="978">IF(ISNUMBER($HL105),INDEX(GL$9:GL$150,MATCH($HL105,$AV$9:$AV$150,0)),"")</f>
        <v/>
      </c>
      <c r="HU105" s="890" t="str">
        <f t="shared" ref="HU105:HU136" si="979">IF(ISNUMBER($HL105),INDEX(GM$9:GM$150,MATCH($HL105,$AV$9:$AV$150,0)),"")</f>
        <v/>
      </c>
      <c r="HV105" s="886" t="str">
        <f t="shared" ref="HV105:HV136" si="980">IF(ISNUMBER($HL105),INDEX(GN$9:GN$150,MATCH($HL105,$AV$9:$AV$150,0)),"")</f>
        <v/>
      </c>
      <c r="HW105" s="880" t="str">
        <f t="shared" ref="HW105:HW136" si="981">IF(ISNUMBER($HL105),INDEX(GW$9:GW$150,MATCH($HL105,$AV$9:$AV$150,0)),"")</f>
        <v/>
      </c>
      <c r="HX105" s="881" t="str">
        <f t="shared" ref="HX105:HX136" si="982">IF(ISNUMBER($HL105),INDEX(GX$9:GX$150,MATCH($HL105,$AV$9:$AV$150,0)),"")</f>
        <v/>
      </c>
      <c r="HY105" s="880" t="str">
        <f t="shared" ref="HY105:HY136" si="983">IF(ISNUMBER($HL105),INDEX(GS$9:GS$150,MATCH($HL105,$AV$9:$AV$150,0)),"")</f>
        <v/>
      </c>
      <c r="HZ105" s="882" t="str">
        <f t="shared" ref="HZ105:HZ136" si="984">IF(ISNUMBER($HL105),INDEX(GU$9:GU$150,MATCH($HL105,$AV$9:$AV$150,0)),"")</f>
        <v/>
      </c>
      <c r="IA105" s="883" t="str">
        <f t="shared" ref="IA105:IA136" si="985">IF(ISNUMBER($HL105),INDEX(GY$9:GY$150,MATCH($HL105,$AV$9:$AV$150,0)),"")</f>
        <v/>
      </c>
      <c r="IB105" s="884" t="str">
        <f t="shared" ref="IB105:IB136" si="986">IF(ISNUMBER($HL105),INDEX(GR$9:GR$150,MATCH($HL105,$AV$9:$AV$150,0)),"")</f>
        <v/>
      </c>
      <c r="IC105" s="855" t="str">
        <f t="shared" ref="IC105:IC136" si="987">IF(ISNUMBER($HL105),INDEX(GT$9:GT$150,MATCH($HL105,$AV$9:$AV$150,0)),"")</f>
        <v/>
      </c>
      <c r="ID105" s="351" t="str">
        <f t="shared" ref="ID105:ID136" si="988">IF(ISNUMBER($HL105),INDEX(GV$9:GV$150,MATCH($HL105,$AV$9:$AV$150,0)),"")</f>
        <v/>
      </c>
      <c r="IE105" s="857" t="str">
        <f t="shared" ref="IE105:IE136" si="989">IF(ISNUMBER($HL105),INDEX(GZ$9:GZ$150,MATCH($HL105,$AV$9:$AV$150,0)),"")</f>
        <v/>
      </c>
      <c r="IF105" s="858"/>
      <c r="IG105" s="790" t="str">
        <f>IFERROR(IF($IW105="","",IF($IW105&lt;(((Settings!$C$19/2)*-1)*$IG$8),"Taper","Nose")),"")</f>
        <v/>
      </c>
      <c r="IH105" s="482" t="str">
        <f>IFERROR(IF((((($IY105*COS(RADIANS(180-$JA105)))*COS(RADIANS($JA105)))-(($IZ105*SIN(RADIANS(180-$JA105)))*SIN(RADIANS($JA105))))+$IW105)&lt;(((Settings!$C$19+$IH$8)/2)*-1),"Gage",""),"")</f>
        <v/>
      </c>
      <c r="II105" s="788" t="str">
        <f t="shared" si="855"/>
        <v/>
      </c>
      <c r="IJ105" s="674" t="str" cm="1">
        <f t="array" ref="IJ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K105" s="677" t="str" cm="1">
        <f t="array" ref="IK105">IFERROR(ROUND(VALUE(IF($IJ105&lt;1,$IJ105+LARGE((IF($M$9:$M$150="",0,$M$9:$M$150)-MOD(IF($M$9:$M$150="",0,$M$9:$M$150),1)),1),$IJ105)),4),"")</f>
        <v/>
      </c>
      <c r="IL105" s="482" t="str">
        <f t="shared" ref="IL105:IL136" si="990">IF(ISNUMBER($IK105),INDEX($K$9:$K$150,MATCH($IK105,$M$9:$M$150,0)),$K105)</f>
        <v/>
      </c>
      <c r="IM105" s="482" t="str">
        <f t="shared" si="856"/>
        <v/>
      </c>
      <c r="IN105" s="670" t="str">
        <f t="shared" ref="IN105:IN136" si="991">IF(ISNUMBER($IK105),IFERROR(IF(INDEX($W$9:$W$150,MATCH($IK105,$M$9:$M$150,0))&lt;$W105,((INDEX($W$9:$W$150,MATCH($IK105,$M$9:$M$150,0))+360)-$W105),INDEX($W$9:$W$150,MATCH($IK105,$M$9:$M$150,0))-$W105),""),"")</f>
        <v/>
      </c>
      <c r="IO105" s="702"/>
      <c r="IP105" s="5" t="str">
        <f t="shared" ref="IP105:IP136" si="992">IF(ISNUMBER($IK105),(($IQ105*12)/60)/$AS$3,"")</f>
        <v/>
      </c>
      <c r="IQ105" s="714"/>
      <c r="IR105" s="9" t="str">
        <f t="shared" ref="IR105:IR136" si="993">IF(ISNUMBER($IK105),(INDEX($X$9:$X$150,MATCH($IK105,$M$9:$M$150,0))*-1),"")</f>
        <v/>
      </c>
      <c r="IS105" s="5" t="str">
        <f t="shared" ref="IS105:IS136" si="994">IF(ISNUMBER($IK105),INDEX($Y$9:$Y$150,MATCH($IK105,$M$9:$M$150,0)),"")</f>
        <v/>
      </c>
      <c r="IT105" s="5" t="str">
        <f t="shared" ref="IT105:IT136" si="995">IF(ISNUMBER($IK105),INDEX($H$9:$H$150,MATCH($IK105,$M$9:$M$150,0)),"")</f>
        <v/>
      </c>
      <c r="IU105" s="5" t="str">
        <f t="shared" ref="IU105:IU136" si="996">IF(ISNUMBER($IK105),$IT105*COS(RADIANS(INDEX($AO$9:$AO$150,MATCH($IK105,$M$9:$M$150,0)))),"")</f>
        <v/>
      </c>
      <c r="IV105" s="670" t="str">
        <f t="shared" ref="IV105:IV136" si="997">IF(ISNUMBER($IK105),(-1*INDEX($AN$9:$AN$150,MATCH($IK105,$M$9:$M$150,0))),"")</f>
        <v/>
      </c>
      <c r="IW105" s="9" t="str">
        <f t="shared" ref="IW105:IW136" si="998">IF(ISNUMBER($IK105),-$X105,"")</f>
        <v/>
      </c>
      <c r="IX105" s="5" t="str">
        <f t="shared" ref="IX105:IX136" si="999">IF(ISNUMBER($IK105),$Y105,"")</f>
        <v/>
      </c>
      <c r="IY105" s="5" t="str">
        <f t="shared" ref="IY105:IY136" si="1000">IF(ISNUMBER($IK105),$H105,"")</f>
        <v/>
      </c>
      <c r="IZ105" s="5" t="str">
        <f t="shared" ref="IZ105:IZ136" si="1001">IF(ISNUMBER($IK105),$IY105*COS(RADIANS($AO105)),"")</f>
        <v/>
      </c>
      <c r="JA105" s="705" t="str">
        <f t="shared" ref="JA105:JA136" si="1002">IF(ISNUMBER($IK105),(-1*$AN105),"")</f>
        <v/>
      </c>
      <c r="JN105" s="960"/>
      <c r="JO105" s="162"/>
      <c r="JP105" s="961"/>
      <c r="JQ105" s="961"/>
    </row>
    <row r="106" spans="1:277" ht="15" customHeight="1" x14ac:dyDescent="0.25">
      <c r="A106" s="75" t="str">
        <f t="shared" si="917"/>
        <v/>
      </c>
      <c r="B106" s="578" t="str">
        <f t="shared" ref="B106:D106" si="1003">IFERROR(O261+($A106*-E106),"")</f>
        <v/>
      </c>
      <c r="C106" s="572" t="str">
        <f t="shared" si="1003"/>
        <v/>
      </c>
      <c r="D106" s="576" t="str">
        <f t="shared" si="1003"/>
        <v/>
      </c>
      <c r="E106" s="580" t="str">
        <f t="shared" ref="E106:K106" si="1004">R261</f>
        <v/>
      </c>
      <c r="F106" s="572" t="str">
        <f t="shared" si="1004"/>
        <v/>
      </c>
      <c r="G106" s="579" t="str">
        <f t="shared" si="1004"/>
        <v/>
      </c>
      <c r="H106" s="580" t="str">
        <f t="shared" si="1004"/>
        <v/>
      </c>
      <c r="I106" s="572" t="str">
        <f t="shared" si="1004"/>
        <v/>
      </c>
      <c r="J106" s="483" t="str">
        <f t="shared" si="728"/>
        <v/>
      </c>
      <c r="K106" s="806" t="str">
        <f t="shared" si="1004"/>
        <v/>
      </c>
      <c r="L106" s="309"/>
      <c r="M106" s="164" t="str">
        <f t="shared" si="920"/>
        <v/>
      </c>
      <c r="N106" s="575" t="str">
        <f t="shared" si="921"/>
        <v/>
      </c>
      <c r="O106" s="572" t="str">
        <f t="shared" si="922"/>
        <v/>
      </c>
      <c r="P106" s="576" t="str">
        <f t="shared" si="923"/>
        <v/>
      </c>
      <c r="Q106" s="528" t="str">
        <f t="shared" si="729"/>
        <v/>
      </c>
      <c r="R106" s="572" t="str">
        <f t="shared" ref="R106:R129" si="1005">IF(M106="","",SQRT(N106^2+O106^2))</f>
        <v/>
      </c>
      <c r="S106" s="577" t="str">
        <f t="shared" ref="S106:S129" si="1006">IF(M106="","",P106)</f>
        <v/>
      </c>
      <c r="T106" s="578" t="str">
        <f t="shared" ref="T106:T129" si="1007">IF(M106="","",X106*COS(RADIANS(W106)))</f>
        <v/>
      </c>
      <c r="U106" s="572" t="str">
        <f t="shared" ref="U106:U129" si="1008">IF(M106="","",X106*SIN(RADIANS(W106)))</f>
        <v/>
      </c>
      <c r="V106" s="579" t="str">
        <f t="shared" ref="V106:V129" si="1009">IF(M106="","",Y106)</f>
        <v/>
      </c>
      <c r="W106" s="528" t="str">
        <f t="shared" si="866"/>
        <v/>
      </c>
      <c r="X106" s="572" t="str">
        <f t="shared" ref="X106:X129" si="1010">IF(M106="","",R106)</f>
        <v/>
      </c>
      <c r="Y106" s="573" t="str">
        <f t="shared" si="859"/>
        <v/>
      </c>
      <c r="Z106" s="575" t="str">
        <f t="shared" si="924"/>
        <v/>
      </c>
      <c r="AA106" s="572" t="str">
        <f t="shared" si="925"/>
        <v/>
      </c>
      <c r="AB106" s="572" t="str">
        <f t="shared" si="926"/>
        <v/>
      </c>
      <c r="AC106" s="579" t="str">
        <f t="shared" ref="AC106:AC129" si="1011">IF(M106="","",SQRT(Z106^2+AA106^2+AB106^2))</f>
        <v/>
      </c>
      <c r="AD106" s="580" t="str">
        <f t="shared" ref="AD106:AD129" si="1012">IF(M106="","",Z106*(1/SQRT(Z106^2+AA106^2+AB106^2)))</f>
        <v/>
      </c>
      <c r="AE106" s="572" t="str">
        <f t="shared" ref="AE106:AE129" si="1013">IF(M106="","",AA106*(1/SQRT(Z106^2+AA106^2+AB106^2)))</f>
        <v/>
      </c>
      <c r="AF106" s="576" t="str">
        <f t="shared" ref="AF106:AF129" si="1014">IF(M106="","",AB106*(1/SQRT(Z106^2+AA106^2+AB106^2)))</f>
        <v/>
      </c>
      <c r="AG106" s="545" t="str">
        <f t="shared" ref="AG106:AG129" si="1015">IF(M106="","",DEGREES(ATAN2(-AF106,AE106)))</f>
        <v/>
      </c>
      <c r="AH106" s="546" t="str">
        <f t="shared" ref="AH106:AH129" si="1016">IF(M106="","",DEGREES(ACOS(AD106)))</f>
        <v/>
      </c>
      <c r="AI106" s="528" t="str">
        <f t="shared" ref="AI106:AI129" si="1017">IF(M106="","",DEGREES(-ACOS(-AF106)))</f>
        <v/>
      </c>
      <c r="AJ106" s="529" t="str">
        <f t="shared" ref="AJ106:AJ129" si="1018">IF(M106="","",DEGREES(ATAN2(-AE106,AD106)))</f>
        <v/>
      </c>
      <c r="AK106" s="578" t="str">
        <f t="shared" ref="AK106:AK129" si="1019">IF(M106="","",(COS(RADIANS((90-$Q$8)-W106))*AD106)+(-SIN(RADIANS((90-$Q$8)-W106))*AE106))</f>
        <v/>
      </c>
      <c r="AL106" s="572" t="str">
        <f t="shared" ref="AL106:AL129" si="1020">IF(M106="","",(SIN(RADIANS((90-$Q$8)-W106))*AD106)+(COS(RADIANS((90-$Q$8)-W106))*AE106))</f>
        <v/>
      </c>
      <c r="AM106" s="577" t="str">
        <f t="shared" ref="AM106:AM129" si="1021">IF(M106="","",AF106)</f>
        <v/>
      </c>
      <c r="AN106" s="524" t="str">
        <f t="shared" ref="AN106:AN129" si="1022">IF(M106="","",DEGREES(ATAN2(-AM106,AL106)))</f>
        <v/>
      </c>
      <c r="AO106" s="525" t="str">
        <f t="shared" si="604"/>
        <v/>
      </c>
      <c r="AP106" s="528" t="str">
        <f t="shared" ref="AP106:AP129" si="1023">IF(M106="","",DEGREES(ATAN2(AK106,AL106)))</f>
        <v/>
      </c>
      <c r="AQ106" s="529" t="str">
        <f t="shared" si="927"/>
        <v/>
      </c>
      <c r="AS106" s="954" t="str">
        <f t="shared" si="755"/>
        <v/>
      </c>
      <c r="AT106" s="950" t="str">
        <f t="shared" si="928"/>
        <v/>
      </c>
      <c r="AU106" s="418"/>
      <c r="AV106" s="164" t="str">
        <f t="shared" si="929"/>
        <v/>
      </c>
      <c r="AW106" s="797" t="str">
        <f>IFERROR(INDEX(MassProp!C$9:C$150,MATCH($M106,MassProp!$B$9:$B$150,0)),"")</f>
        <v/>
      </c>
      <c r="AX106" s="744" t="str">
        <f>IFERROR(INDEX(MassProp!D$9:D$150,MATCH($M106,MassProp!$B$9:$B$150,0)),"")</f>
        <v/>
      </c>
      <c r="AY106" s="731" t="str">
        <f>IFERROR(INDEX(MassProp!E$9:E$150,MATCH($M106,MassProp!$B$9:$B$150,0)),"")</f>
        <v/>
      </c>
      <c r="AZ106" s="297" t="str">
        <f t="shared" si="756"/>
        <v/>
      </c>
      <c r="BA106" s="296" t="str">
        <f t="shared" si="930"/>
        <v/>
      </c>
      <c r="BB106" s="177" t="str">
        <f t="shared" si="730"/>
        <v/>
      </c>
      <c r="BC106" s="9"/>
      <c r="BD106" s="5" t="str">
        <f t="shared" si="731"/>
        <v/>
      </c>
      <c r="BE106" s="6" t="str">
        <f t="shared" si="931"/>
        <v/>
      </c>
      <c r="BF106" s="4" t="str">
        <f t="shared" si="932"/>
        <v/>
      </c>
      <c r="BG106" s="5" t="str">
        <f t="shared" si="933"/>
        <v/>
      </c>
      <c r="BH106" s="10" t="str">
        <f t="shared" si="934"/>
        <v/>
      </c>
      <c r="BI106" s="9" t="str">
        <f t="shared" si="757"/>
        <v/>
      </c>
      <c r="BJ106" s="5" t="str">
        <f t="shared" si="935"/>
        <v/>
      </c>
      <c r="BK106" s="8" t="str">
        <f t="shared" si="936"/>
        <v/>
      </c>
      <c r="BL106" s="173" t="str">
        <f t="shared" si="937"/>
        <v/>
      </c>
      <c r="BM106" s="5" t="str">
        <f t="shared" si="938"/>
        <v/>
      </c>
      <c r="BN106" s="6" t="str">
        <f t="shared" si="939"/>
        <v/>
      </c>
      <c r="BO106" s="4" t="str">
        <f t="shared" si="758"/>
        <v/>
      </c>
      <c r="BP106" s="5" t="str">
        <f t="shared" si="759"/>
        <v/>
      </c>
      <c r="BQ106" s="5" t="str">
        <f t="shared" si="760"/>
        <v/>
      </c>
      <c r="BR106" s="6" t="str">
        <f t="shared" si="761"/>
        <v/>
      </c>
      <c r="BS106" s="4" t="str">
        <f t="shared" ref="BS106:BT150" si="1024">IF(ISNUMBER($AV106),0,"")</f>
        <v/>
      </c>
      <c r="BT106" s="5" t="str">
        <f t="shared" si="1024"/>
        <v/>
      </c>
      <c r="BU106" s="10" t="str">
        <f t="shared" si="733"/>
        <v/>
      </c>
      <c r="BV106" s="9" t="str">
        <f t="shared" si="734"/>
        <v/>
      </c>
      <c r="BW106" s="5" t="str">
        <f t="shared" si="735"/>
        <v/>
      </c>
      <c r="BX106" s="8" t="str">
        <f t="shared" si="736"/>
        <v/>
      </c>
      <c r="BY106" s="173" t="str">
        <f t="shared" si="737"/>
        <v/>
      </c>
      <c r="BZ106" s="5" t="str">
        <f t="shared" si="738"/>
        <v/>
      </c>
      <c r="CA106" s="6" t="str">
        <f t="shared" si="739"/>
        <v/>
      </c>
      <c r="CB106" s="4" t="str">
        <f t="shared" si="762"/>
        <v/>
      </c>
      <c r="CC106" s="5" t="str">
        <f t="shared" si="763"/>
        <v/>
      </c>
      <c r="CD106" s="5" t="str">
        <f t="shared" si="764"/>
        <v/>
      </c>
      <c r="CE106" s="6" t="str">
        <f t="shared" si="765"/>
        <v/>
      </c>
      <c r="CF106" s="4" t="str">
        <f t="shared" si="766"/>
        <v/>
      </c>
      <c r="CG106" s="5" t="str">
        <f t="shared" si="767"/>
        <v/>
      </c>
      <c r="CH106" s="5" t="str">
        <f t="shared" si="768"/>
        <v/>
      </c>
      <c r="CI106" s="4" t="str">
        <f t="shared" si="740"/>
        <v/>
      </c>
      <c r="CJ106" s="5" t="str">
        <f t="shared" si="741"/>
        <v/>
      </c>
      <c r="CK106" s="8" t="str">
        <f t="shared" si="742"/>
        <v/>
      </c>
      <c r="CL106" s="173" t="str">
        <f t="shared" si="743"/>
        <v/>
      </c>
      <c r="CM106" s="5" t="str">
        <f t="shared" si="744"/>
        <v/>
      </c>
      <c r="CN106" s="6" t="str">
        <f t="shared" si="745"/>
        <v/>
      </c>
      <c r="CO106" s="167" t="str">
        <f t="shared" si="940"/>
        <v/>
      </c>
      <c r="CP106" s="4" t="str">
        <f t="shared" si="769"/>
        <v/>
      </c>
      <c r="CQ106" s="5" t="str">
        <f t="shared" si="770"/>
        <v/>
      </c>
      <c r="CR106" s="5" t="str">
        <f t="shared" si="771"/>
        <v/>
      </c>
      <c r="CS106" s="8" t="str">
        <f t="shared" si="772"/>
        <v/>
      </c>
      <c r="CT106" s="9" t="str">
        <f t="shared" si="773"/>
        <v/>
      </c>
      <c r="CU106" s="6" t="str">
        <f t="shared" si="774"/>
        <v/>
      </c>
      <c r="CV106" s="4" t="str">
        <f t="shared" si="775"/>
        <v/>
      </c>
      <c r="CW106" s="5" t="str">
        <f t="shared" si="776"/>
        <v/>
      </c>
      <c r="CX106" s="8" t="str">
        <f t="shared" si="777"/>
        <v/>
      </c>
      <c r="CY106" s="9" t="str">
        <f t="shared" si="778"/>
        <v/>
      </c>
      <c r="CZ106" s="5" t="str">
        <f t="shared" si="779"/>
        <v/>
      </c>
      <c r="DA106" s="6" t="str">
        <f t="shared" si="780"/>
        <v/>
      </c>
      <c r="DB106" s="4" t="str">
        <f t="shared" si="781"/>
        <v/>
      </c>
      <c r="DC106" s="5" t="str">
        <f t="shared" si="781"/>
        <v/>
      </c>
      <c r="DD106" s="10" t="str">
        <f t="shared" si="782"/>
        <v/>
      </c>
      <c r="DE106" s="9" t="str">
        <f t="shared" si="783"/>
        <v/>
      </c>
      <c r="DF106" s="5" t="str">
        <f t="shared" si="783"/>
        <v/>
      </c>
      <c r="DG106" s="10" t="str">
        <f t="shared" si="784"/>
        <v/>
      </c>
      <c r="DH106" s="70" t="str">
        <f t="shared" si="785"/>
        <v/>
      </c>
      <c r="DI106" s="4" t="str">
        <f t="shared" si="786"/>
        <v/>
      </c>
      <c r="DJ106" s="5" t="str">
        <f t="shared" si="787"/>
        <v/>
      </c>
      <c r="DK106" s="10" t="str">
        <f t="shared" si="788"/>
        <v/>
      </c>
      <c r="DL106" s="9" t="str">
        <f t="shared" si="789"/>
        <v/>
      </c>
      <c r="DM106" s="173" t="str">
        <f t="shared" si="790"/>
        <v/>
      </c>
      <c r="DN106" s="178" t="str">
        <f t="shared" si="791"/>
        <v/>
      </c>
      <c r="DO106" s="9" t="str">
        <f t="shared" si="792"/>
        <v/>
      </c>
      <c r="DP106" s="173" t="str">
        <f t="shared" si="793"/>
        <v/>
      </c>
      <c r="DQ106" s="11" t="str">
        <f t="shared" si="794"/>
        <v/>
      </c>
      <c r="DR106" s="173" t="str">
        <f t="shared" si="795"/>
        <v/>
      </c>
      <c r="DS106" s="5" t="str">
        <f t="shared" si="796"/>
        <v/>
      </c>
      <c r="DT106" s="5" t="str">
        <f t="shared" si="797"/>
        <v/>
      </c>
      <c r="DU106" s="5" t="str">
        <f t="shared" si="798"/>
        <v/>
      </c>
      <c r="DV106" s="5" t="str">
        <f t="shared" si="799"/>
        <v/>
      </c>
      <c r="DW106" s="5" t="str">
        <f t="shared" si="800"/>
        <v/>
      </c>
      <c r="DX106" s="167" t="str">
        <f t="shared" si="801"/>
        <v/>
      </c>
      <c r="DY106" s="9" t="str">
        <f t="shared" si="802"/>
        <v/>
      </c>
      <c r="DZ106" s="5" t="str">
        <f t="shared" si="803"/>
        <v/>
      </c>
      <c r="EA106" s="10" t="str">
        <f t="shared" si="804"/>
        <v/>
      </c>
      <c r="EB106" s="6" t="str">
        <f t="shared" si="805"/>
        <v/>
      </c>
      <c r="EC106" s="173" t="str">
        <f t="shared" si="806"/>
        <v/>
      </c>
      <c r="ED106" s="5" t="str">
        <f t="shared" si="807"/>
        <v/>
      </c>
      <c r="EE106" s="4" t="str">
        <f t="shared" si="808"/>
        <v/>
      </c>
      <c r="EF106" s="5" t="str">
        <f t="shared" si="809"/>
        <v/>
      </c>
      <c r="EG106" s="10" t="str">
        <f t="shared" si="810"/>
        <v/>
      </c>
      <c r="EH106" s="9" t="str">
        <f t="shared" si="811"/>
        <v/>
      </c>
      <c r="EI106" s="5" t="str">
        <f t="shared" si="812"/>
        <v/>
      </c>
      <c r="EJ106" s="6" t="str">
        <f t="shared" si="813"/>
        <v/>
      </c>
      <c r="EK106" s="236" t="str">
        <f t="shared" si="814"/>
        <v/>
      </c>
      <c r="EL106" s="238" t="str">
        <f t="shared" si="815"/>
        <v/>
      </c>
      <c r="EM106" s="4" t="str">
        <f t="shared" si="816"/>
        <v/>
      </c>
      <c r="EN106" s="5" t="str">
        <f t="shared" si="817"/>
        <v/>
      </c>
      <c r="EO106" s="10" t="str">
        <f t="shared" si="818"/>
        <v/>
      </c>
      <c r="EP106" s="9" t="str">
        <f t="shared" si="819"/>
        <v/>
      </c>
      <c r="EQ106" s="5" t="str">
        <f t="shared" si="820"/>
        <v/>
      </c>
      <c r="ER106" s="7" t="str">
        <f t="shared" si="821"/>
        <v/>
      </c>
      <c r="ES106" s="21" t="str">
        <f t="shared" si="941"/>
        <v/>
      </c>
      <c r="ET106" s="5" t="str">
        <f t="shared" si="942"/>
        <v/>
      </c>
      <c r="EU106" s="10" t="str">
        <f t="shared" si="943"/>
        <v/>
      </c>
      <c r="EV106" s="174" t="str">
        <f t="shared" si="944"/>
        <v/>
      </c>
      <c r="EW106" s="9" t="str">
        <f t="shared" si="945"/>
        <v/>
      </c>
      <c r="EX106" s="5" t="str">
        <f t="shared" si="946"/>
        <v/>
      </c>
      <c r="EY106" s="6" t="str">
        <f t="shared" si="822"/>
        <v/>
      </c>
      <c r="EZ106" s="51" t="str">
        <f t="shared" si="823"/>
        <v/>
      </c>
      <c r="FA106" s="173" t="str">
        <f t="shared" si="947"/>
        <v/>
      </c>
      <c r="FB106" s="5" t="str">
        <f t="shared" si="948"/>
        <v/>
      </c>
      <c r="FC106" s="6" t="str">
        <f t="shared" si="949"/>
        <v/>
      </c>
      <c r="FD106" s="4" t="str">
        <f t="shared" si="950"/>
        <v/>
      </c>
      <c r="FE106" s="5" t="str">
        <f t="shared" si="951"/>
        <v/>
      </c>
      <c r="FF106" s="7" t="str">
        <f t="shared" si="824"/>
        <v/>
      </c>
      <c r="FG106" s="173" t="str">
        <f t="shared" si="952"/>
        <v/>
      </c>
      <c r="FH106" s="5" t="str">
        <f t="shared" si="953"/>
        <v/>
      </c>
      <c r="FI106" s="10" t="str">
        <f t="shared" si="954"/>
        <v/>
      </c>
      <c r="FJ106" s="279" t="str">
        <f t="shared" si="825"/>
        <v/>
      </c>
      <c r="FK106" s="4" t="str">
        <f t="shared" si="955"/>
        <v/>
      </c>
      <c r="FL106" s="5" t="str">
        <f t="shared" si="746"/>
        <v/>
      </c>
      <c r="FM106" s="8" t="str">
        <f t="shared" si="747"/>
        <v/>
      </c>
      <c r="FN106" s="9" t="str">
        <f t="shared" si="748"/>
        <v/>
      </c>
      <c r="FO106" s="10" t="str">
        <f t="shared" si="956"/>
        <v/>
      </c>
      <c r="FP106" s="277" t="str">
        <f t="shared" si="749"/>
        <v/>
      </c>
      <c r="FQ106" s="173" t="str">
        <f t="shared" si="826"/>
        <v/>
      </c>
      <c r="FR106" s="10" t="str">
        <f t="shared" si="827"/>
        <v/>
      </c>
      <c r="FS106" s="9" t="str">
        <f t="shared" si="828"/>
        <v/>
      </c>
      <c r="FT106" s="6" t="str">
        <f t="shared" si="829"/>
        <v/>
      </c>
      <c r="FU106" s="4" t="str">
        <f t="shared" si="830"/>
        <v/>
      </c>
      <c r="FV106" s="5" t="str">
        <f t="shared" si="831"/>
        <v/>
      </c>
      <c r="FW106" s="8" t="str">
        <f t="shared" si="832"/>
        <v/>
      </c>
      <c r="FX106" s="9" t="str">
        <f t="shared" si="833"/>
        <v/>
      </c>
      <c r="FY106" s="10" t="str">
        <f t="shared" si="957"/>
        <v/>
      </c>
      <c r="FZ106" s="277" t="str">
        <f t="shared" si="834"/>
        <v/>
      </c>
      <c r="GA106" s="177" t="str">
        <f t="shared" si="835"/>
        <v/>
      </c>
      <c r="GB106" s="4" t="str">
        <f t="shared" si="836"/>
        <v/>
      </c>
      <c r="GC106" s="5" t="str">
        <f t="shared" si="837"/>
        <v/>
      </c>
      <c r="GD106" s="10" t="str">
        <f t="shared" si="838"/>
        <v/>
      </c>
      <c r="GE106" s="311" t="str">
        <f t="shared" si="839"/>
        <v/>
      </c>
      <c r="GF106" s="341" t="str">
        <f t="shared" si="840"/>
        <v/>
      </c>
      <c r="GG106" s="285" t="str">
        <f t="shared" si="958"/>
        <v/>
      </c>
      <c r="GH106" s="286" t="str">
        <f t="shared" si="959"/>
        <v/>
      </c>
      <c r="GI106" s="281" t="str">
        <f t="shared" si="960"/>
        <v/>
      </c>
      <c r="GJ106" s="167" t="str">
        <f t="shared" si="841"/>
        <v/>
      </c>
      <c r="GK106" s="174" t="str">
        <f t="shared" si="961"/>
        <v/>
      </c>
      <c r="GL106" s="174" t="str">
        <f t="shared" si="842"/>
        <v/>
      </c>
      <c r="GM106" s="177" t="str">
        <f t="shared" si="843"/>
        <v/>
      </c>
      <c r="GN106" s="280" t="str">
        <f t="shared" si="844"/>
        <v/>
      </c>
      <c r="GO106" s="4" t="str">
        <f t="shared" si="845"/>
        <v/>
      </c>
      <c r="GP106" s="8" t="str">
        <f t="shared" si="846"/>
        <v/>
      </c>
      <c r="GQ106" s="177" t="str">
        <f t="shared" si="847"/>
        <v/>
      </c>
      <c r="GR106" s="371" t="str">
        <f t="shared" si="848"/>
        <v/>
      </c>
      <c r="GS106" s="342" t="str">
        <f t="shared" si="962"/>
        <v/>
      </c>
      <c r="GT106" s="343" t="str">
        <f t="shared" si="963"/>
        <v/>
      </c>
      <c r="GU106" s="344" t="str">
        <f t="shared" si="964"/>
        <v/>
      </c>
      <c r="GV106" s="343" t="str">
        <f t="shared" si="849"/>
        <v/>
      </c>
      <c r="GW106" s="345" t="str">
        <f t="shared" si="965"/>
        <v/>
      </c>
      <c r="GX106" s="346" t="str">
        <f t="shared" si="966"/>
        <v/>
      </c>
      <c r="GY106" s="344" t="str">
        <f t="shared" si="967"/>
        <v/>
      </c>
      <c r="GZ106" s="345" t="str">
        <f t="shared" si="968"/>
        <v/>
      </c>
      <c r="HA106" s="342" t="str">
        <f t="shared" si="969"/>
        <v/>
      </c>
      <c r="HB106" s="5" t="str">
        <f t="shared" si="850"/>
        <v/>
      </c>
      <c r="HC106" s="343" t="str">
        <f t="shared" si="851"/>
        <v/>
      </c>
      <c r="HD106" s="363" t="str">
        <f t="shared" si="852"/>
        <v/>
      </c>
      <c r="HE106" s="344" t="str">
        <f t="shared" si="970"/>
        <v/>
      </c>
      <c r="HF106" s="5" t="str">
        <f t="shared" si="971"/>
        <v/>
      </c>
      <c r="HG106" s="343" t="str">
        <f t="shared" si="853"/>
        <v/>
      </c>
      <c r="HH106" s="349" t="str">
        <f t="shared" si="854"/>
        <v/>
      </c>
      <c r="HI106" s="317" t="str">
        <f t="shared" si="972"/>
        <v/>
      </c>
      <c r="HK106" s="310" t="str">
        <f t="shared" ref="HK106:HK137" si="1025">IF(ISNUMBER(HS106),HK105+1,"")</f>
        <v/>
      </c>
      <c r="HL106" s="348" t="str">
        <f t="shared" si="973"/>
        <v/>
      </c>
      <c r="HM106" s="923" t="str">
        <f t="shared" si="974"/>
        <v/>
      </c>
      <c r="HN106" s="924" t="str">
        <f t="shared" si="975"/>
        <v/>
      </c>
      <c r="HO106" s="925"/>
      <c r="HP106" s="926"/>
      <c r="HQ106" s="924" t="str">
        <f t="shared" si="976"/>
        <v/>
      </c>
      <c r="HR106" s="927" t="str">
        <f t="shared" si="977"/>
        <v/>
      </c>
      <c r="HS106" s="879" t="str">
        <f t="shared" ref="HS106:HS129" si="1026">IFERROR(SMALL($GJ$9:$GJ$150,($HK105+1)),"")</f>
        <v/>
      </c>
      <c r="HT106" s="889" t="str">
        <f t="shared" si="978"/>
        <v/>
      </c>
      <c r="HU106" s="890" t="str">
        <f t="shared" si="979"/>
        <v/>
      </c>
      <c r="HV106" s="886" t="str">
        <f t="shared" si="980"/>
        <v/>
      </c>
      <c r="HW106" s="880" t="str">
        <f t="shared" si="981"/>
        <v/>
      </c>
      <c r="HX106" s="881" t="str">
        <f t="shared" si="982"/>
        <v/>
      </c>
      <c r="HY106" s="880" t="str">
        <f t="shared" si="983"/>
        <v/>
      </c>
      <c r="HZ106" s="882" t="str">
        <f t="shared" si="984"/>
        <v/>
      </c>
      <c r="IA106" s="883" t="str">
        <f t="shared" si="985"/>
        <v/>
      </c>
      <c r="IB106" s="884" t="str">
        <f t="shared" si="986"/>
        <v/>
      </c>
      <c r="IC106" s="855" t="str">
        <f t="shared" si="987"/>
        <v/>
      </c>
      <c r="ID106" s="351" t="str">
        <f t="shared" si="988"/>
        <v/>
      </c>
      <c r="IE106" s="857" t="str">
        <f t="shared" si="989"/>
        <v/>
      </c>
      <c r="IF106" s="858"/>
      <c r="IG106" s="790" t="str">
        <f>IFERROR(IF($IW106="","",IF($IW106&lt;(((Settings!$C$19/2)*-1)*$IG$8),"Taper","Nose")),"")</f>
        <v/>
      </c>
      <c r="IH106" s="482" t="str">
        <f>IFERROR(IF((((($IY106*COS(RADIANS(180-$JA106)))*COS(RADIANS($JA106)))-(($IZ106*SIN(RADIANS(180-$JA106)))*SIN(RADIANS($JA106))))+$IW106)&lt;(((Settings!$C$19+$IH$8)/2)*-1),"Gage",""),"")</f>
        <v/>
      </c>
      <c r="II106" s="788" t="str">
        <f t="shared" si="855"/>
        <v/>
      </c>
      <c r="IJ106" s="674" t="str" cm="1">
        <f t="array" ref="IJ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K106" s="677" t="str" cm="1">
        <f t="array" ref="IK106">IFERROR(ROUND(VALUE(IF($IJ106&lt;1,$IJ106+LARGE((IF($M$9:$M$150="",0,$M$9:$M$150)-MOD(IF($M$9:$M$150="",0,$M$9:$M$150),1)),1),$IJ106)),4),"")</f>
        <v/>
      </c>
      <c r="IL106" s="482" t="str">
        <f t="shared" si="990"/>
        <v/>
      </c>
      <c r="IM106" s="482" t="str">
        <f t="shared" si="856"/>
        <v/>
      </c>
      <c r="IN106" s="670" t="str">
        <f t="shared" si="991"/>
        <v/>
      </c>
      <c r="IO106" s="702"/>
      <c r="IP106" s="5" t="str">
        <f t="shared" si="992"/>
        <v/>
      </c>
      <c r="IQ106" s="714"/>
      <c r="IR106" s="9" t="str">
        <f t="shared" si="993"/>
        <v/>
      </c>
      <c r="IS106" s="5" t="str">
        <f t="shared" si="994"/>
        <v/>
      </c>
      <c r="IT106" s="5" t="str">
        <f t="shared" si="995"/>
        <v/>
      </c>
      <c r="IU106" s="5" t="str">
        <f t="shared" si="996"/>
        <v/>
      </c>
      <c r="IV106" s="670" t="str">
        <f t="shared" si="997"/>
        <v/>
      </c>
      <c r="IW106" s="9" t="str">
        <f t="shared" si="998"/>
        <v/>
      </c>
      <c r="IX106" s="5" t="str">
        <f t="shared" si="999"/>
        <v/>
      </c>
      <c r="IY106" s="5" t="str">
        <f t="shared" si="1000"/>
        <v/>
      </c>
      <c r="IZ106" s="5" t="str">
        <f t="shared" si="1001"/>
        <v/>
      </c>
      <c r="JA106" s="705" t="str">
        <f t="shared" si="1002"/>
        <v/>
      </c>
      <c r="JN106" s="960"/>
      <c r="JO106" s="162"/>
      <c r="JP106" s="961"/>
      <c r="JQ106" s="961"/>
    </row>
    <row r="107" spans="1:277" ht="15" customHeight="1" x14ac:dyDescent="0.25">
      <c r="A107" s="75" t="str">
        <f t="shared" si="917"/>
        <v/>
      </c>
      <c r="B107" s="578" t="str">
        <f t="shared" ref="B107:D107" si="1027">IFERROR(O262+($A107*-E107),"")</f>
        <v/>
      </c>
      <c r="C107" s="572" t="str">
        <f t="shared" si="1027"/>
        <v/>
      </c>
      <c r="D107" s="576" t="str">
        <f t="shared" si="1027"/>
        <v/>
      </c>
      <c r="E107" s="580" t="str">
        <f t="shared" ref="E107:K107" si="1028">R262</f>
        <v/>
      </c>
      <c r="F107" s="572" t="str">
        <f t="shared" si="1028"/>
        <v/>
      </c>
      <c r="G107" s="579" t="str">
        <f t="shared" si="1028"/>
        <v/>
      </c>
      <c r="H107" s="580" t="str">
        <f t="shared" si="1028"/>
        <v/>
      </c>
      <c r="I107" s="572" t="str">
        <f t="shared" si="1028"/>
        <v/>
      </c>
      <c r="J107" s="483" t="str">
        <f t="shared" si="728"/>
        <v/>
      </c>
      <c r="K107" s="806" t="str">
        <f t="shared" si="1028"/>
        <v/>
      </c>
      <c r="L107" s="309"/>
      <c r="M107" s="164" t="str">
        <f t="shared" si="920"/>
        <v/>
      </c>
      <c r="N107" s="575" t="str">
        <f t="shared" si="921"/>
        <v/>
      </c>
      <c r="O107" s="572" t="str">
        <f t="shared" si="922"/>
        <v/>
      </c>
      <c r="P107" s="576" t="str">
        <f t="shared" si="923"/>
        <v/>
      </c>
      <c r="Q107" s="528" t="str">
        <f t="shared" si="729"/>
        <v/>
      </c>
      <c r="R107" s="572" t="str">
        <f t="shared" si="1005"/>
        <v/>
      </c>
      <c r="S107" s="577" t="str">
        <f t="shared" si="1006"/>
        <v/>
      </c>
      <c r="T107" s="578" t="str">
        <f t="shared" si="1007"/>
        <v/>
      </c>
      <c r="U107" s="572" t="str">
        <f t="shared" si="1008"/>
        <v/>
      </c>
      <c r="V107" s="579" t="str">
        <f t="shared" si="1009"/>
        <v/>
      </c>
      <c r="W107" s="528" t="str">
        <f t="shared" si="866"/>
        <v/>
      </c>
      <c r="X107" s="572" t="str">
        <f t="shared" si="1010"/>
        <v/>
      </c>
      <c r="Y107" s="573" t="str">
        <f t="shared" si="859"/>
        <v/>
      </c>
      <c r="Z107" s="575" t="str">
        <f t="shared" si="924"/>
        <v/>
      </c>
      <c r="AA107" s="572" t="str">
        <f t="shared" si="925"/>
        <v/>
      </c>
      <c r="AB107" s="572" t="str">
        <f t="shared" si="926"/>
        <v/>
      </c>
      <c r="AC107" s="579" t="str">
        <f t="shared" si="1011"/>
        <v/>
      </c>
      <c r="AD107" s="580" t="str">
        <f t="shared" si="1012"/>
        <v/>
      </c>
      <c r="AE107" s="572" t="str">
        <f t="shared" si="1013"/>
        <v/>
      </c>
      <c r="AF107" s="576" t="str">
        <f t="shared" si="1014"/>
        <v/>
      </c>
      <c r="AG107" s="545" t="str">
        <f t="shared" si="1015"/>
        <v/>
      </c>
      <c r="AH107" s="546" t="str">
        <f t="shared" si="1016"/>
        <v/>
      </c>
      <c r="AI107" s="528" t="str">
        <f t="shared" si="1017"/>
        <v/>
      </c>
      <c r="AJ107" s="529" t="str">
        <f t="shared" si="1018"/>
        <v/>
      </c>
      <c r="AK107" s="578" t="str">
        <f t="shared" si="1019"/>
        <v/>
      </c>
      <c r="AL107" s="572" t="str">
        <f t="shared" si="1020"/>
        <v/>
      </c>
      <c r="AM107" s="577" t="str">
        <f t="shared" si="1021"/>
        <v/>
      </c>
      <c r="AN107" s="524" t="str">
        <f t="shared" si="1022"/>
        <v/>
      </c>
      <c r="AO107" s="525" t="str">
        <f t="shared" si="604"/>
        <v/>
      </c>
      <c r="AP107" s="528" t="str">
        <f t="shared" si="1023"/>
        <v/>
      </c>
      <c r="AQ107" s="529" t="str">
        <f t="shared" si="927"/>
        <v/>
      </c>
      <c r="AS107" s="954" t="str">
        <f t="shared" ref="AS107:AS138" si="1029">IF(G107="","",IF(AND(W107&lt;(AS106+180),W107&gt;(AS106-180)),W107,IF(W107&gt;(AS106+180),W107-360,IF(W107&lt;(AS106-180),W107+360,"Error"))))</f>
        <v/>
      </c>
      <c r="AT107" s="950" t="str">
        <f t="shared" si="928"/>
        <v/>
      </c>
      <c r="AU107" s="418"/>
      <c r="AV107" s="164" t="str">
        <f t="shared" si="929"/>
        <v/>
      </c>
      <c r="AW107" s="797" t="str">
        <f>IFERROR(INDEX(MassProp!C$9:C$150,MATCH($M107,MassProp!$B$9:$B$150,0)),"")</f>
        <v/>
      </c>
      <c r="AX107" s="744" t="str">
        <f>IFERROR(INDEX(MassProp!D$9:D$150,MATCH($M107,MassProp!$B$9:$B$150,0)),"")</f>
        <v/>
      </c>
      <c r="AY107" s="731" t="str">
        <f>IFERROR(INDEX(MassProp!E$9:E$150,MATCH($M107,MassProp!$B$9:$B$150,0)),"")</f>
        <v/>
      </c>
      <c r="AZ107" s="297" t="str">
        <f t="shared" si="756"/>
        <v/>
      </c>
      <c r="BA107" s="296" t="str">
        <f t="shared" si="930"/>
        <v/>
      </c>
      <c r="BB107" s="177" t="str">
        <f t="shared" si="730"/>
        <v/>
      </c>
      <c r="BC107" s="9"/>
      <c r="BD107" s="5" t="str">
        <f t="shared" si="731"/>
        <v/>
      </c>
      <c r="BE107" s="6" t="str">
        <f t="shared" si="931"/>
        <v/>
      </c>
      <c r="BF107" s="4" t="str">
        <f t="shared" si="932"/>
        <v/>
      </c>
      <c r="BG107" s="5" t="str">
        <f t="shared" si="933"/>
        <v/>
      </c>
      <c r="BH107" s="10" t="str">
        <f t="shared" si="934"/>
        <v/>
      </c>
      <c r="BI107" s="9" t="str">
        <f t="shared" si="757"/>
        <v/>
      </c>
      <c r="BJ107" s="5" t="str">
        <f t="shared" si="935"/>
        <v/>
      </c>
      <c r="BK107" s="8" t="str">
        <f t="shared" si="936"/>
        <v/>
      </c>
      <c r="BL107" s="173" t="str">
        <f t="shared" si="937"/>
        <v/>
      </c>
      <c r="BM107" s="5" t="str">
        <f t="shared" si="938"/>
        <v/>
      </c>
      <c r="BN107" s="6" t="str">
        <f t="shared" si="939"/>
        <v/>
      </c>
      <c r="BO107" s="4" t="str">
        <f t="shared" si="758"/>
        <v/>
      </c>
      <c r="BP107" s="5" t="str">
        <f t="shared" si="759"/>
        <v/>
      </c>
      <c r="BQ107" s="5" t="str">
        <f t="shared" si="760"/>
        <v/>
      </c>
      <c r="BR107" s="6" t="str">
        <f t="shared" si="761"/>
        <v/>
      </c>
      <c r="BS107" s="4" t="str">
        <f t="shared" si="1024"/>
        <v/>
      </c>
      <c r="BT107" s="5" t="str">
        <f t="shared" si="1024"/>
        <v/>
      </c>
      <c r="BU107" s="10" t="str">
        <f t="shared" si="733"/>
        <v/>
      </c>
      <c r="BV107" s="9" t="str">
        <f t="shared" si="734"/>
        <v/>
      </c>
      <c r="BW107" s="5" t="str">
        <f t="shared" si="735"/>
        <v/>
      </c>
      <c r="BX107" s="8" t="str">
        <f t="shared" si="736"/>
        <v/>
      </c>
      <c r="BY107" s="173" t="str">
        <f t="shared" si="737"/>
        <v/>
      </c>
      <c r="BZ107" s="5" t="str">
        <f t="shared" si="738"/>
        <v/>
      </c>
      <c r="CA107" s="6" t="str">
        <f t="shared" si="739"/>
        <v/>
      </c>
      <c r="CB107" s="4" t="str">
        <f t="shared" si="762"/>
        <v/>
      </c>
      <c r="CC107" s="5" t="str">
        <f t="shared" si="763"/>
        <v/>
      </c>
      <c r="CD107" s="5" t="str">
        <f t="shared" si="764"/>
        <v/>
      </c>
      <c r="CE107" s="6" t="str">
        <f t="shared" si="765"/>
        <v/>
      </c>
      <c r="CF107" s="4" t="str">
        <f t="shared" si="766"/>
        <v/>
      </c>
      <c r="CG107" s="5" t="str">
        <f t="shared" si="767"/>
        <v/>
      </c>
      <c r="CH107" s="5" t="str">
        <f t="shared" si="768"/>
        <v/>
      </c>
      <c r="CI107" s="4" t="str">
        <f t="shared" si="740"/>
        <v/>
      </c>
      <c r="CJ107" s="5" t="str">
        <f t="shared" si="741"/>
        <v/>
      </c>
      <c r="CK107" s="8" t="str">
        <f t="shared" si="742"/>
        <v/>
      </c>
      <c r="CL107" s="173" t="str">
        <f t="shared" si="743"/>
        <v/>
      </c>
      <c r="CM107" s="5" t="str">
        <f t="shared" si="744"/>
        <v/>
      </c>
      <c r="CN107" s="6" t="str">
        <f t="shared" si="745"/>
        <v/>
      </c>
      <c r="CO107" s="167" t="str">
        <f t="shared" si="940"/>
        <v/>
      </c>
      <c r="CP107" s="4" t="str">
        <f t="shared" si="769"/>
        <v/>
      </c>
      <c r="CQ107" s="5" t="str">
        <f t="shared" si="770"/>
        <v/>
      </c>
      <c r="CR107" s="5" t="str">
        <f t="shared" si="771"/>
        <v/>
      </c>
      <c r="CS107" s="8" t="str">
        <f t="shared" si="772"/>
        <v/>
      </c>
      <c r="CT107" s="9" t="str">
        <f t="shared" si="773"/>
        <v/>
      </c>
      <c r="CU107" s="6" t="str">
        <f t="shared" si="774"/>
        <v/>
      </c>
      <c r="CV107" s="4" t="str">
        <f t="shared" si="775"/>
        <v/>
      </c>
      <c r="CW107" s="5" t="str">
        <f t="shared" si="776"/>
        <v/>
      </c>
      <c r="CX107" s="8" t="str">
        <f t="shared" si="777"/>
        <v/>
      </c>
      <c r="CY107" s="9" t="str">
        <f t="shared" si="778"/>
        <v/>
      </c>
      <c r="CZ107" s="5" t="str">
        <f t="shared" si="779"/>
        <v/>
      </c>
      <c r="DA107" s="6" t="str">
        <f t="shared" si="780"/>
        <v/>
      </c>
      <c r="DB107" s="4" t="str">
        <f t="shared" ref="DB107:DC150" si="1030">IF(ISNUMBER($AV107),0,"")</f>
        <v/>
      </c>
      <c r="DC107" s="5" t="str">
        <f t="shared" si="1030"/>
        <v/>
      </c>
      <c r="DD107" s="10" t="str">
        <f t="shared" si="782"/>
        <v/>
      </c>
      <c r="DE107" s="9" t="str">
        <f t="shared" ref="DE107:DF150" si="1031">IF(ISNUMBER($AV107),0,"")</f>
        <v/>
      </c>
      <c r="DF107" s="5" t="str">
        <f t="shared" si="1031"/>
        <v/>
      </c>
      <c r="DG107" s="10" t="str">
        <f t="shared" si="784"/>
        <v/>
      </c>
      <c r="DH107" s="70" t="str">
        <f t="shared" si="785"/>
        <v/>
      </c>
      <c r="DI107" s="4" t="str">
        <f t="shared" si="786"/>
        <v/>
      </c>
      <c r="DJ107" s="5" t="str">
        <f t="shared" si="787"/>
        <v/>
      </c>
      <c r="DK107" s="10" t="str">
        <f t="shared" si="788"/>
        <v/>
      </c>
      <c r="DL107" s="9" t="str">
        <f t="shared" si="789"/>
        <v/>
      </c>
      <c r="DM107" s="173" t="str">
        <f t="shared" si="790"/>
        <v/>
      </c>
      <c r="DN107" s="178" t="str">
        <f t="shared" si="791"/>
        <v/>
      </c>
      <c r="DO107" s="9" t="str">
        <f t="shared" si="792"/>
        <v/>
      </c>
      <c r="DP107" s="173" t="str">
        <f t="shared" si="793"/>
        <v/>
      </c>
      <c r="DQ107" s="11" t="str">
        <f t="shared" si="794"/>
        <v/>
      </c>
      <c r="DR107" s="173" t="str">
        <f t="shared" si="795"/>
        <v/>
      </c>
      <c r="DS107" s="5" t="str">
        <f t="shared" si="796"/>
        <v/>
      </c>
      <c r="DT107" s="5" t="str">
        <f t="shared" si="797"/>
        <v/>
      </c>
      <c r="DU107" s="5" t="str">
        <f t="shared" si="798"/>
        <v/>
      </c>
      <c r="DV107" s="5" t="str">
        <f t="shared" si="799"/>
        <v/>
      </c>
      <c r="DW107" s="5" t="str">
        <f t="shared" si="800"/>
        <v/>
      </c>
      <c r="DX107" s="167" t="str">
        <f t="shared" si="801"/>
        <v/>
      </c>
      <c r="DY107" s="9" t="str">
        <f t="shared" si="802"/>
        <v/>
      </c>
      <c r="DZ107" s="5" t="str">
        <f t="shared" si="803"/>
        <v/>
      </c>
      <c r="EA107" s="10" t="str">
        <f t="shared" si="804"/>
        <v/>
      </c>
      <c r="EB107" s="6" t="str">
        <f t="shared" si="805"/>
        <v/>
      </c>
      <c r="EC107" s="173" t="str">
        <f t="shared" si="806"/>
        <v/>
      </c>
      <c r="ED107" s="5" t="str">
        <f t="shared" si="807"/>
        <v/>
      </c>
      <c r="EE107" s="4" t="str">
        <f t="shared" si="808"/>
        <v/>
      </c>
      <c r="EF107" s="5" t="str">
        <f t="shared" si="809"/>
        <v/>
      </c>
      <c r="EG107" s="10" t="str">
        <f t="shared" si="810"/>
        <v/>
      </c>
      <c r="EH107" s="9" t="str">
        <f t="shared" si="811"/>
        <v/>
      </c>
      <c r="EI107" s="5" t="str">
        <f t="shared" si="812"/>
        <v/>
      </c>
      <c r="EJ107" s="6" t="str">
        <f t="shared" si="813"/>
        <v/>
      </c>
      <c r="EK107" s="236" t="str">
        <f t="shared" si="814"/>
        <v/>
      </c>
      <c r="EL107" s="238" t="str">
        <f t="shared" si="815"/>
        <v/>
      </c>
      <c r="EM107" s="4" t="str">
        <f t="shared" si="816"/>
        <v/>
      </c>
      <c r="EN107" s="5" t="str">
        <f t="shared" si="817"/>
        <v/>
      </c>
      <c r="EO107" s="10" t="str">
        <f t="shared" si="818"/>
        <v/>
      </c>
      <c r="EP107" s="9" t="str">
        <f t="shared" si="819"/>
        <v/>
      </c>
      <c r="EQ107" s="5" t="str">
        <f t="shared" si="820"/>
        <v/>
      </c>
      <c r="ER107" s="7" t="str">
        <f t="shared" si="821"/>
        <v/>
      </c>
      <c r="ES107" s="21" t="str">
        <f t="shared" si="941"/>
        <v/>
      </c>
      <c r="ET107" s="5" t="str">
        <f t="shared" si="942"/>
        <v/>
      </c>
      <c r="EU107" s="10" t="str">
        <f t="shared" si="943"/>
        <v/>
      </c>
      <c r="EV107" s="174" t="str">
        <f t="shared" si="944"/>
        <v/>
      </c>
      <c r="EW107" s="9" t="str">
        <f t="shared" si="945"/>
        <v/>
      </c>
      <c r="EX107" s="5" t="str">
        <f t="shared" si="946"/>
        <v/>
      </c>
      <c r="EY107" s="6" t="str">
        <f t="shared" si="822"/>
        <v/>
      </c>
      <c r="EZ107" s="51" t="str">
        <f t="shared" si="823"/>
        <v/>
      </c>
      <c r="FA107" s="173" t="str">
        <f t="shared" si="947"/>
        <v/>
      </c>
      <c r="FB107" s="5" t="str">
        <f t="shared" si="948"/>
        <v/>
      </c>
      <c r="FC107" s="6" t="str">
        <f t="shared" si="949"/>
        <v/>
      </c>
      <c r="FD107" s="4" t="str">
        <f t="shared" si="950"/>
        <v/>
      </c>
      <c r="FE107" s="5" t="str">
        <f t="shared" si="951"/>
        <v/>
      </c>
      <c r="FF107" s="7" t="str">
        <f t="shared" si="824"/>
        <v/>
      </c>
      <c r="FG107" s="173" t="str">
        <f t="shared" si="952"/>
        <v/>
      </c>
      <c r="FH107" s="5" t="str">
        <f t="shared" si="953"/>
        <v/>
      </c>
      <c r="FI107" s="10" t="str">
        <f t="shared" si="954"/>
        <v/>
      </c>
      <c r="FJ107" s="279" t="str">
        <f t="shared" si="825"/>
        <v/>
      </c>
      <c r="FK107" s="4" t="str">
        <f t="shared" si="955"/>
        <v/>
      </c>
      <c r="FL107" s="5" t="str">
        <f t="shared" si="746"/>
        <v/>
      </c>
      <c r="FM107" s="8" t="str">
        <f t="shared" si="747"/>
        <v/>
      </c>
      <c r="FN107" s="9" t="str">
        <f t="shared" si="748"/>
        <v/>
      </c>
      <c r="FO107" s="10" t="str">
        <f t="shared" si="956"/>
        <v/>
      </c>
      <c r="FP107" s="277" t="str">
        <f t="shared" si="749"/>
        <v/>
      </c>
      <c r="FQ107" s="173" t="str">
        <f t="shared" si="826"/>
        <v/>
      </c>
      <c r="FR107" s="10" t="str">
        <f t="shared" si="827"/>
        <v/>
      </c>
      <c r="FS107" s="9" t="str">
        <f t="shared" si="828"/>
        <v/>
      </c>
      <c r="FT107" s="6" t="str">
        <f t="shared" si="829"/>
        <v/>
      </c>
      <c r="FU107" s="4" t="str">
        <f t="shared" si="830"/>
        <v/>
      </c>
      <c r="FV107" s="5" t="str">
        <f t="shared" si="831"/>
        <v/>
      </c>
      <c r="FW107" s="8" t="str">
        <f t="shared" si="832"/>
        <v/>
      </c>
      <c r="FX107" s="9" t="str">
        <f t="shared" si="833"/>
        <v/>
      </c>
      <c r="FY107" s="10" t="str">
        <f t="shared" si="957"/>
        <v/>
      </c>
      <c r="FZ107" s="277" t="str">
        <f t="shared" si="834"/>
        <v/>
      </c>
      <c r="GA107" s="177" t="str">
        <f t="shared" si="835"/>
        <v/>
      </c>
      <c r="GB107" s="4" t="str">
        <f t="shared" si="836"/>
        <v/>
      </c>
      <c r="GC107" s="5" t="str">
        <f t="shared" si="837"/>
        <v/>
      </c>
      <c r="GD107" s="10" t="str">
        <f t="shared" si="838"/>
        <v/>
      </c>
      <c r="GE107" s="311" t="str">
        <f t="shared" si="839"/>
        <v/>
      </c>
      <c r="GF107" s="341" t="str">
        <f t="shared" si="840"/>
        <v/>
      </c>
      <c r="GG107" s="285" t="str">
        <f t="shared" si="958"/>
        <v/>
      </c>
      <c r="GH107" s="286" t="str">
        <f t="shared" si="959"/>
        <v/>
      </c>
      <c r="GI107" s="281" t="str">
        <f t="shared" si="960"/>
        <v/>
      </c>
      <c r="GJ107" s="167" t="str">
        <f t="shared" si="841"/>
        <v/>
      </c>
      <c r="GK107" s="174" t="str">
        <f t="shared" si="961"/>
        <v/>
      </c>
      <c r="GL107" s="174" t="str">
        <f t="shared" si="842"/>
        <v/>
      </c>
      <c r="GM107" s="177" t="str">
        <f t="shared" si="843"/>
        <v/>
      </c>
      <c r="GN107" s="280" t="str">
        <f t="shared" si="844"/>
        <v/>
      </c>
      <c r="GO107" s="4" t="str">
        <f t="shared" si="845"/>
        <v/>
      </c>
      <c r="GP107" s="8" t="str">
        <f t="shared" si="846"/>
        <v/>
      </c>
      <c r="GQ107" s="177" t="str">
        <f t="shared" si="847"/>
        <v/>
      </c>
      <c r="GR107" s="371" t="str">
        <f t="shared" si="848"/>
        <v/>
      </c>
      <c r="GS107" s="342" t="str">
        <f t="shared" si="962"/>
        <v/>
      </c>
      <c r="GT107" s="343" t="str">
        <f t="shared" si="963"/>
        <v/>
      </c>
      <c r="GU107" s="344" t="str">
        <f t="shared" si="964"/>
        <v/>
      </c>
      <c r="GV107" s="343" t="str">
        <f t="shared" si="849"/>
        <v/>
      </c>
      <c r="GW107" s="345" t="str">
        <f t="shared" si="965"/>
        <v/>
      </c>
      <c r="GX107" s="346" t="str">
        <f t="shared" si="966"/>
        <v/>
      </c>
      <c r="GY107" s="344" t="str">
        <f t="shared" si="967"/>
        <v/>
      </c>
      <c r="GZ107" s="345" t="str">
        <f t="shared" si="968"/>
        <v/>
      </c>
      <c r="HA107" s="342" t="str">
        <f t="shared" si="969"/>
        <v/>
      </c>
      <c r="HB107" s="5" t="str">
        <f t="shared" si="850"/>
        <v/>
      </c>
      <c r="HC107" s="343" t="str">
        <f t="shared" si="851"/>
        <v/>
      </c>
      <c r="HD107" s="363" t="str">
        <f t="shared" si="852"/>
        <v/>
      </c>
      <c r="HE107" s="344" t="str">
        <f t="shared" si="970"/>
        <v/>
      </c>
      <c r="HF107" s="5" t="str">
        <f t="shared" si="971"/>
        <v/>
      </c>
      <c r="HG107" s="343" t="str">
        <f t="shared" si="853"/>
        <v/>
      </c>
      <c r="HH107" s="349" t="str">
        <f t="shared" si="854"/>
        <v/>
      </c>
      <c r="HI107" s="317" t="str">
        <f t="shared" si="972"/>
        <v/>
      </c>
      <c r="HK107" s="310" t="str">
        <f t="shared" si="1025"/>
        <v/>
      </c>
      <c r="HL107" s="348" t="str">
        <f t="shared" si="973"/>
        <v/>
      </c>
      <c r="HM107" s="923" t="str">
        <f t="shared" si="974"/>
        <v/>
      </c>
      <c r="HN107" s="924" t="str">
        <f t="shared" si="975"/>
        <v/>
      </c>
      <c r="HO107" s="925"/>
      <c r="HP107" s="926"/>
      <c r="HQ107" s="924" t="str">
        <f t="shared" si="976"/>
        <v/>
      </c>
      <c r="HR107" s="927" t="str">
        <f t="shared" si="977"/>
        <v/>
      </c>
      <c r="HS107" s="879" t="str">
        <f t="shared" si="1026"/>
        <v/>
      </c>
      <c r="HT107" s="889" t="str">
        <f t="shared" si="978"/>
        <v/>
      </c>
      <c r="HU107" s="890" t="str">
        <f t="shared" si="979"/>
        <v/>
      </c>
      <c r="HV107" s="886" t="str">
        <f t="shared" si="980"/>
        <v/>
      </c>
      <c r="HW107" s="880" t="str">
        <f t="shared" si="981"/>
        <v/>
      </c>
      <c r="HX107" s="881" t="str">
        <f t="shared" si="982"/>
        <v/>
      </c>
      <c r="HY107" s="880" t="str">
        <f t="shared" si="983"/>
        <v/>
      </c>
      <c r="HZ107" s="882" t="str">
        <f t="shared" si="984"/>
        <v/>
      </c>
      <c r="IA107" s="883" t="str">
        <f t="shared" si="985"/>
        <v/>
      </c>
      <c r="IB107" s="884" t="str">
        <f t="shared" si="986"/>
        <v/>
      </c>
      <c r="IC107" s="855" t="str">
        <f t="shared" si="987"/>
        <v/>
      </c>
      <c r="ID107" s="351" t="str">
        <f t="shared" si="988"/>
        <v/>
      </c>
      <c r="IE107" s="857" t="str">
        <f t="shared" si="989"/>
        <v/>
      </c>
      <c r="IF107" s="858"/>
      <c r="IG107" s="790" t="str">
        <f>IFERROR(IF($IW107="","",IF($IW107&lt;(((Settings!$C$19/2)*-1)*$IG$8),"Taper","Nose")),"")</f>
        <v/>
      </c>
      <c r="IH107" s="482" t="str">
        <f>IFERROR(IF((((($IY107*COS(RADIANS(180-$JA107)))*COS(RADIANS($JA107)))-(($IZ107*SIN(RADIANS(180-$JA107)))*SIN(RADIANS($JA107))))+$IW107)&lt;(((Settings!$C$19+$IH$8)/2)*-1),"Gage",""),"")</f>
        <v/>
      </c>
      <c r="II107" s="788" t="str">
        <f t="shared" si="855"/>
        <v/>
      </c>
      <c r="IJ107" s="674" t="str" cm="1">
        <f t="array" ref="IJ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K107" s="677" t="str" cm="1">
        <f t="array" ref="IK107">IFERROR(ROUND(VALUE(IF($IJ107&lt;1,$IJ107+LARGE((IF($M$9:$M$150="",0,$M$9:$M$150)-MOD(IF($M$9:$M$150="",0,$M$9:$M$150),1)),1),$IJ107)),4),"")</f>
        <v/>
      </c>
      <c r="IL107" s="482" t="str">
        <f t="shared" si="990"/>
        <v/>
      </c>
      <c r="IM107" s="482" t="str">
        <f t="shared" si="856"/>
        <v/>
      </c>
      <c r="IN107" s="670" t="str">
        <f t="shared" si="991"/>
        <v/>
      </c>
      <c r="IO107" s="702"/>
      <c r="IP107" s="5" t="str">
        <f t="shared" si="992"/>
        <v/>
      </c>
      <c r="IQ107" s="714"/>
      <c r="IR107" s="9" t="str">
        <f t="shared" si="993"/>
        <v/>
      </c>
      <c r="IS107" s="5" t="str">
        <f t="shared" si="994"/>
        <v/>
      </c>
      <c r="IT107" s="5" t="str">
        <f t="shared" si="995"/>
        <v/>
      </c>
      <c r="IU107" s="5" t="str">
        <f t="shared" si="996"/>
        <v/>
      </c>
      <c r="IV107" s="670" t="str">
        <f t="shared" si="997"/>
        <v/>
      </c>
      <c r="IW107" s="9" t="str">
        <f t="shared" si="998"/>
        <v/>
      </c>
      <c r="IX107" s="5" t="str">
        <f t="shared" si="999"/>
        <v/>
      </c>
      <c r="IY107" s="5" t="str">
        <f t="shared" si="1000"/>
        <v/>
      </c>
      <c r="IZ107" s="5" t="str">
        <f t="shared" si="1001"/>
        <v/>
      </c>
      <c r="JA107" s="705" t="str">
        <f t="shared" si="1002"/>
        <v/>
      </c>
      <c r="JN107" s="960"/>
      <c r="JO107" s="162"/>
      <c r="JP107" s="961"/>
      <c r="JQ107" s="961"/>
    </row>
    <row r="108" spans="1:277" ht="15" customHeight="1" x14ac:dyDescent="0.25">
      <c r="A108" s="75" t="str">
        <f t="shared" si="917"/>
        <v/>
      </c>
      <c r="B108" s="578" t="str">
        <f t="shared" ref="B108:D108" si="1032">IFERROR(O263+($A108*-E108),"")</f>
        <v/>
      </c>
      <c r="C108" s="572" t="str">
        <f t="shared" si="1032"/>
        <v/>
      </c>
      <c r="D108" s="576" t="str">
        <f t="shared" si="1032"/>
        <v/>
      </c>
      <c r="E108" s="580" t="str">
        <f t="shared" ref="E108:K108" si="1033">R263</f>
        <v/>
      </c>
      <c r="F108" s="572" t="str">
        <f t="shared" si="1033"/>
        <v/>
      </c>
      <c r="G108" s="579" t="str">
        <f t="shared" si="1033"/>
        <v/>
      </c>
      <c r="H108" s="580" t="str">
        <f t="shared" si="1033"/>
        <v/>
      </c>
      <c r="I108" s="572" t="str">
        <f t="shared" si="1033"/>
        <v/>
      </c>
      <c r="J108" s="483" t="str">
        <f t="shared" si="728"/>
        <v/>
      </c>
      <c r="K108" s="806" t="str">
        <f t="shared" si="1033"/>
        <v/>
      </c>
      <c r="L108" s="309"/>
      <c r="M108" s="164" t="str">
        <f t="shared" si="920"/>
        <v/>
      </c>
      <c r="N108" s="575" t="str">
        <f t="shared" si="921"/>
        <v/>
      </c>
      <c r="O108" s="572" t="str">
        <f t="shared" si="922"/>
        <v/>
      </c>
      <c r="P108" s="576" t="str">
        <f t="shared" si="923"/>
        <v/>
      </c>
      <c r="Q108" s="528" t="str">
        <f t="shared" si="729"/>
        <v/>
      </c>
      <c r="R108" s="572" t="str">
        <f t="shared" si="1005"/>
        <v/>
      </c>
      <c r="S108" s="577" t="str">
        <f t="shared" si="1006"/>
        <v/>
      </c>
      <c r="T108" s="578" t="str">
        <f t="shared" si="1007"/>
        <v/>
      </c>
      <c r="U108" s="572" t="str">
        <f t="shared" si="1008"/>
        <v/>
      </c>
      <c r="V108" s="579" t="str">
        <f t="shared" si="1009"/>
        <v/>
      </c>
      <c r="W108" s="528" t="str">
        <f t="shared" si="866"/>
        <v/>
      </c>
      <c r="X108" s="572" t="str">
        <f t="shared" si="1010"/>
        <v/>
      </c>
      <c r="Y108" s="573" t="str">
        <f t="shared" si="859"/>
        <v/>
      </c>
      <c r="Z108" s="575" t="str">
        <f t="shared" si="924"/>
        <v/>
      </c>
      <c r="AA108" s="572" t="str">
        <f t="shared" si="925"/>
        <v/>
      </c>
      <c r="AB108" s="572" t="str">
        <f t="shared" si="926"/>
        <v/>
      </c>
      <c r="AC108" s="579" t="str">
        <f t="shared" si="1011"/>
        <v/>
      </c>
      <c r="AD108" s="580" t="str">
        <f t="shared" si="1012"/>
        <v/>
      </c>
      <c r="AE108" s="572" t="str">
        <f t="shared" si="1013"/>
        <v/>
      </c>
      <c r="AF108" s="576" t="str">
        <f t="shared" si="1014"/>
        <v/>
      </c>
      <c r="AG108" s="545" t="str">
        <f t="shared" si="1015"/>
        <v/>
      </c>
      <c r="AH108" s="546" t="str">
        <f t="shared" si="1016"/>
        <v/>
      </c>
      <c r="AI108" s="528" t="str">
        <f t="shared" si="1017"/>
        <v/>
      </c>
      <c r="AJ108" s="529" t="str">
        <f t="shared" si="1018"/>
        <v/>
      </c>
      <c r="AK108" s="578" t="str">
        <f t="shared" si="1019"/>
        <v/>
      </c>
      <c r="AL108" s="572" t="str">
        <f t="shared" si="1020"/>
        <v/>
      </c>
      <c r="AM108" s="577" t="str">
        <f t="shared" si="1021"/>
        <v/>
      </c>
      <c r="AN108" s="524" t="str">
        <f t="shared" si="1022"/>
        <v/>
      </c>
      <c r="AO108" s="525" t="str">
        <f t="shared" si="604"/>
        <v/>
      </c>
      <c r="AP108" s="528" t="str">
        <f t="shared" si="1023"/>
        <v/>
      </c>
      <c r="AQ108" s="529" t="str">
        <f t="shared" si="927"/>
        <v/>
      </c>
      <c r="AS108" s="954" t="str">
        <f t="shared" si="1029"/>
        <v/>
      </c>
      <c r="AT108" s="950" t="str">
        <f t="shared" si="928"/>
        <v/>
      </c>
      <c r="AU108" s="418"/>
      <c r="AV108" s="164" t="str">
        <f t="shared" si="929"/>
        <v/>
      </c>
      <c r="AW108" s="797" t="str">
        <f>IFERROR(INDEX(MassProp!C$9:C$150,MATCH($M108,MassProp!$B$9:$B$150,0)),"")</f>
        <v/>
      </c>
      <c r="AX108" s="744" t="str">
        <f>IFERROR(INDEX(MassProp!D$9:D$150,MATCH($M108,MassProp!$B$9:$B$150,0)),"")</f>
        <v/>
      </c>
      <c r="AY108" s="731" t="str">
        <f>IFERROR(INDEX(MassProp!E$9:E$150,MATCH($M108,MassProp!$B$9:$B$150,0)),"")</f>
        <v/>
      </c>
      <c r="AZ108" s="297" t="str">
        <f t="shared" si="756"/>
        <v/>
      </c>
      <c r="BA108" s="296" t="str">
        <f t="shared" si="930"/>
        <v/>
      </c>
      <c r="BB108" s="177" t="str">
        <f t="shared" si="730"/>
        <v/>
      </c>
      <c r="BC108" s="9"/>
      <c r="BD108" s="5" t="str">
        <f t="shared" si="731"/>
        <v/>
      </c>
      <c r="BE108" s="6" t="str">
        <f t="shared" si="931"/>
        <v/>
      </c>
      <c r="BF108" s="4" t="str">
        <f t="shared" si="932"/>
        <v/>
      </c>
      <c r="BG108" s="5" t="str">
        <f t="shared" si="933"/>
        <v/>
      </c>
      <c r="BH108" s="10" t="str">
        <f t="shared" si="934"/>
        <v/>
      </c>
      <c r="BI108" s="9" t="str">
        <f t="shared" si="757"/>
        <v/>
      </c>
      <c r="BJ108" s="5" t="str">
        <f t="shared" si="935"/>
        <v/>
      </c>
      <c r="BK108" s="8" t="str">
        <f t="shared" si="936"/>
        <v/>
      </c>
      <c r="BL108" s="173" t="str">
        <f t="shared" si="937"/>
        <v/>
      </c>
      <c r="BM108" s="5" t="str">
        <f t="shared" si="938"/>
        <v/>
      </c>
      <c r="BN108" s="6" t="str">
        <f t="shared" si="939"/>
        <v/>
      </c>
      <c r="BO108" s="4" t="str">
        <f t="shared" si="758"/>
        <v/>
      </c>
      <c r="BP108" s="5" t="str">
        <f t="shared" si="759"/>
        <v/>
      </c>
      <c r="BQ108" s="5" t="str">
        <f t="shared" si="760"/>
        <v/>
      </c>
      <c r="BR108" s="6" t="str">
        <f t="shared" si="761"/>
        <v/>
      </c>
      <c r="BS108" s="4" t="str">
        <f t="shared" si="1024"/>
        <v/>
      </c>
      <c r="BT108" s="5" t="str">
        <f t="shared" si="1024"/>
        <v/>
      </c>
      <c r="BU108" s="10" t="str">
        <f t="shared" si="733"/>
        <v/>
      </c>
      <c r="BV108" s="9" t="str">
        <f t="shared" si="734"/>
        <v/>
      </c>
      <c r="BW108" s="5" t="str">
        <f t="shared" si="735"/>
        <v/>
      </c>
      <c r="BX108" s="8" t="str">
        <f t="shared" si="736"/>
        <v/>
      </c>
      <c r="BY108" s="173" t="str">
        <f t="shared" si="737"/>
        <v/>
      </c>
      <c r="BZ108" s="5" t="str">
        <f t="shared" si="738"/>
        <v/>
      </c>
      <c r="CA108" s="6" t="str">
        <f t="shared" si="739"/>
        <v/>
      </c>
      <c r="CB108" s="4" t="str">
        <f t="shared" si="762"/>
        <v/>
      </c>
      <c r="CC108" s="5" t="str">
        <f t="shared" si="763"/>
        <v/>
      </c>
      <c r="CD108" s="5" t="str">
        <f t="shared" si="764"/>
        <v/>
      </c>
      <c r="CE108" s="6" t="str">
        <f t="shared" si="765"/>
        <v/>
      </c>
      <c r="CF108" s="4" t="str">
        <f t="shared" si="766"/>
        <v/>
      </c>
      <c r="CG108" s="5" t="str">
        <f t="shared" si="767"/>
        <v/>
      </c>
      <c r="CH108" s="5" t="str">
        <f t="shared" si="768"/>
        <v/>
      </c>
      <c r="CI108" s="4" t="str">
        <f t="shared" si="740"/>
        <v/>
      </c>
      <c r="CJ108" s="5" t="str">
        <f t="shared" si="741"/>
        <v/>
      </c>
      <c r="CK108" s="8" t="str">
        <f t="shared" si="742"/>
        <v/>
      </c>
      <c r="CL108" s="173" t="str">
        <f t="shared" si="743"/>
        <v/>
      </c>
      <c r="CM108" s="5" t="str">
        <f t="shared" si="744"/>
        <v/>
      </c>
      <c r="CN108" s="6" t="str">
        <f t="shared" si="745"/>
        <v/>
      </c>
      <c r="CO108" s="167" t="str">
        <f t="shared" si="940"/>
        <v/>
      </c>
      <c r="CP108" s="4" t="str">
        <f t="shared" si="769"/>
        <v/>
      </c>
      <c r="CQ108" s="5" t="str">
        <f t="shared" si="770"/>
        <v/>
      </c>
      <c r="CR108" s="5" t="str">
        <f t="shared" si="771"/>
        <v/>
      </c>
      <c r="CS108" s="8" t="str">
        <f t="shared" si="772"/>
        <v/>
      </c>
      <c r="CT108" s="9" t="str">
        <f t="shared" si="773"/>
        <v/>
      </c>
      <c r="CU108" s="6" t="str">
        <f t="shared" si="774"/>
        <v/>
      </c>
      <c r="CV108" s="4" t="str">
        <f t="shared" si="775"/>
        <v/>
      </c>
      <c r="CW108" s="5" t="str">
        <f t="shared" si="776"/>
        <v/>
      </c>
      <c r="CX108" s="8" t="str">
        <f t="shared" si="777"/>
        <v/>
      </c>
      <c r="CY108" s="9" t="str">
        <f t="shared" si="778"/>
        <v/>
      </c>
      <c r="CZ108" s="5" t="str">
        <f t="shared" si="779"/>
        <v/>
      </c>
      <c r="DA108" s="6" t="str">
        <f t="shared" si="780"/>
        <v/>
      </c>
      <c r="DB108" s="4" t="str">
        <f t="shared" si="1030"/>
        <v/>
      </c>
      <c r="DC108" s="5" t="str">
        <f t="shared" si="1030"/>
        <v/>
      </c>
      <c r="DD108" s="10" t="str">
        <f t="shared" si="782"/>
        <v/>
      </c>
      <c r="DE108" s="9" t="str">
        <f t="shared" si="1031"/>
        <v/>
      </c>
      <c r="DF108" s="5" t="str">
        <f t="shared" si="1031"/>
        <v/>
      </c>
      <c r="DG108" s="10" t="str">
        <f t="shared" si="784"/>
        <v/>
      </c>
      <c r="DH108" s="70" t="str">
        <f t="shared" si="785"/>
        <v/>
      </c>
      <c r="DI108" s="4" t="str">
        <f t="shared" si="786"/>
        <v/>
      </c>
      <c r="DJ108" s="5" t="str">
        <f t="shared" si="787"/>
        <v/>
      </c>
      <c r="DK108" s="10" t="str">
        <f t="shared" si="788"/>
        <v/>
      </c>
      <c r="DL108" s="9" t="str">
        <f t="shared" si="789"/>
        <v/>
      </c>
      <c r="DM108" s="173" t="str">
        <f t="shared" si="790"/>
        <v/>
      </c>
      <c r="DN108" s="178" t="str">
        <f t="shared" si="791"/>
        <v/>
      </c>
      <c r="DO108" s="9" t="str">
        <f t="shared" si="792"/>
        <v/>
      </c>
      <c r="DP108" s="173" t="str">
        <f t="shared" si="793"/>
        <v/>
      </c>
      <c r="DQ108" s="11" t="str">
        <f t="shared" si="794"/>
        <v/>
      </c>
      <c r="DR108" s="173" t="str">
        <f t="shared" si="795"/>
        <v/>
      </c>
      <c r="DS108" s="5" t="str">
        <f t="shared" si="796"/>
        <v/>
      </c>
      <c r="DT108" s="5" t="str">
        <f t="shared" si="797"/>
        <v/>
      </c>
      <c r="DU108" s="5" t="str">
        <f t="shared" si="798"/>
        <v/>
      </c>
      <c r="DV108" s="5" t="str">
        <f t="shared" si="799"/>
        <v/>
      </c>
      <c r="DW108" s="5" t="str">
        <f t="shared" si="800"/>
        <v/>
      </c>
      <c r="DX108" s="167" t="str">
        <f t="shared" si="801"/>
        <v/>
      </c>
      <c r="DY108" s="9" t="str">
        <f t="shared" si="802"/>
        <v/>
      </c>
      <c r="DZ108" s="5" t="str">
        <f t="shared" si="803"/>
        <v/>
      </c>
      <c r="EA108" s="10" t="str">
        <f t="shared" si="804"/>
        <v/>
      </c>
      <c r="EB108" s="6" t="str">
        <f t="shared" si="805"/>
        <v/>
      </c>
      <c r="EC108" s="173" t="str">
        <f t="shared" si="806"/>
        <v/>
      </c>
      <c r="ED108" s="5" t="str">
        <f t="shared" si="807"/>
        <v/>
      </c>
      <c r="EE108" s="4" t="str">
        <f t="shared" si="808"/>
        <v/>
      </c>
      <c r="EF108" s="5" t="str">
        <f t="shared" si="809"/>
        <v/>
      </c>
      <c r="EG108" s="10" t="str">
        <f t="shared" si="810"/>
        <v/>
      </c>
      <c r="EH108" s="9" t="str">
        <f t="shared" si="811"/>
        <v/>
      </c>
      <c r="EI108" s="5" t="str">
        <f t="shared" si="812"/>
        <v/>
      </c>
      <c r="EJ108" s="6" t="str">
        <f t="shared" si="813"/>
        <v/>
      </c>
      <c r="EK108" s="236" t="str">
        <f t="shared" si="814"/>
        <v/>
      </c>
      <c r="EL108" s="238" t="str">
        <f t="shared" si="815"/>
        <v/>
      </c>
      <c r="EM108" s="4" t="str">
        <f t="shared" si="816"/>
        <v/>
      </c>
      <c r="EN108" s="5" t="str">
        <f t="shared" si="817"/>
        <v/>
      </c>
      <c r="EO108" s="10" t="str">
        <f t="shared" si="818"/>
        <v/>
      </c>
      <c r="EP108" s="9" t="str">
        <f t="shared" si="819"/>
        <v/>
      </c>
      <c r="EQ108" s="5" t="str">
        <f t="shared" si="820"/>
        <v/>
      </c>
      <c r="ER108" s="7" t="str">
        <f t="shared" si="821"/>
        <v/>
      </c>
      <c r="ES108" s="21" t="str">
        <f t="shared" si="941"/>
        <v/>
      </c>
      <c r="ET108" s="5" t="str">
        <f t="shared" si="942"/>
        <v/>
      </c>
      <c r="EU108" s="10" t="str">
        <f t="shared" si="943"/>
        <v/>
      </c>
      <c r="EV108" s="174" t="str">
        <f t="shared" si="944"/>
        <v/>
      </c>
      <c r="EW108" s="9" t="str">
        <f t="shared" si="945"/>
        <v/>
      </c>
      <c r="EX108" s="5" t="str">
        <f t="shared" si="946"/>
        <v/>
      </c>
      <c r="EY108" s="6" t="str">
        <f t="shared" si="822"/>
        <v/>
      </c>
      <c r="EZ108" s="51" t="str">
        <f t="shared" si="823"/>
        <v/>
      </c>
      <c r="FA108" s="173" t="str">
        <f t="shared" si="947"/>
        <v/>
      </c>
      <c r="FB108" s="5" t="str">
        <f t="shared" si="948"/>
        <v/>
      </c>
      <c r="FC108" s="6" t="str">
        <f t="shared" si="949"/>
        <v/>
      </c>
      <c r="FD108" s="4" t="str">
        <f t="shared" si="950"/>
        <v/>
      </c>
      <c r="FE108" s="5" t="str">
        <f t="shared" si="951"/>
        <v/>
      </c>
      <c r="FF108" s="7" t="str">
        <f t="shared" si="824"/>
        <v/>
      </c>
      <c r="FG108" s="173" t="str">
        <f t="shared" si="952"/>
        <v/>
      </c>
      <c r="FH108" s="5" t="str">
        <f t="shared" si="953"/>
        <v/>
      </c>
      <c r="FI108" s="10" t="str">
        <f t="shared" si="954"/>
        <v/>
      </c>
      <c r="FJ108" s="279" t="str">
        <f t="shared" si="825"/>
        <v/>
      </c>
      <c r="FK108" s="4" t="str">
        <f t="shared" si="955"/>
        <v/>
      </c>
      <c r="FL108" s="5" t="str">
        <f t="shared" si="746"/>
        <v/>
      </c>
      <c r="FM108" s="8" t="str">
        <f t="shared" si="747"/>
        <v/>
      </c>
      <c r="FN108" s="9" t="str">
        <f t="shared" si="748"/>
        <v/>
      </c>
      <c r="FO108" s="10" t="str">
        <f t="shared" si="956"/>
        <v/>
      </c>
      <c r="FP108" s="277" t="str">
        <f t="shared" si="749"/>
        <v/>
      </c>
      <c r="FQ108" s="173" t="str">
        <f t="shared" si="826"/>
        <v/>
      </c>
      <c r="FR108" s="10" t="str">
        <f t="shared" si="827"/>
        <v/>
      </c>
      <c r="FS108" s="9" t="str">
        <f t="shared" si="828"/>
        <v/>
      </c>
      <c r="FT108" s="6" t="str">
        <f t="shared" si="829"/>
        <v/>
      </c>
      <c r="FU108" s="4" t="str">
        <f t="shared" si="830"/>
        <v/>
      </c>
      <c r="FV108" s="5" t="str">
        <f t="shared" si="831"/>
        <v/>
      </c>
      <c r="FW108" s="8" t="str">
        <f t="shared" si="832"/>
        <v/>
      </c>
      <c r="FX108" s="9" t="str">
        <f t="shared" si="833"/>
        <v/>
      </c>
      <c r="FY108" s="10" t="str">
        <f t="shared" si="957"/>
        <v/>
      </c>
      <c r="FZ108" s="277" t="str">
        <f t="shared" si="834"/>
        <v/>
      </c>
      <c r="GA108" s="177" t="str">
        <f t="shared" si="835"/>
        <v/>
      </c>
      <c r="GB108" s="4" t="str">
        <f t="shared" si="836"/>
        <v/>
      </c>
      <c r="GC108" s="5" t="str">
        <f t="shared" si="837"/>
        <v/>
      </c>
      <c r="GD108" s="10" t="str">
        <f t="shared" si="838"/>
        <v/>
      </c>
      <c r="GE108" s="311" t="str">
        <f t="shared" si="839"/>
        <v/>
      </c>
      <c r="GF108" s="341" t="str">
        <f t="shared" si="840"/>
        <v/>
      </c>
      <c r="GG108" s="285" t="str">
        <f t="shared" si="958"/>
        <v/>
      </c>
      <c r="GH108" s="286" t="str">
        <f t="shared" si="959"/>
        <v/>
      </c>
      <c r="GI108" s="281" t="str">
        <f t="shared" si="960"/>
        <v/>
      </c>
      <c r="GJ108" s="167" t="str">
        <f t="shared" si="841"/>
        <v/>
      </c>
      <c r="GK108" s="174" t="str">
        <f t="shared" si="961"/>
        <v/>
      </c>
      <c r="GL108" s="174" t="str">
        <f t="shared" si="842"/>
        <v/>
      </c>
      <c r="GM108" s="177" t="str">
        <f t="shared" si="843"/>
        <v/>
      </c>
      <c r="GN108" s="280" t="str">
        <f t="shared" si="844"/>
        <v/>
      </c>
      <c r="GO108" s="4" t="str">
        <f t="shared" si="845"/>
        <v/>
      </c>
      <c r="GP108" s="8" t="str">
        <f t="shared" si="846"/>
        <v/>
      </c>
      <c r="GQ108" s="177" t="str">
        <f t="shared" si="847"/>
        <v/>
      </c>
      <c r="GR108" s="371" t="str">
        <f t="shared" si="848"/>
        <v/>
      </c>
      <c r="GS108" s="342" t="str">
        <f t="shared" si="962"/>
        <v/>
      </c>
      <c r="GT108" s="343" t="str">
        <f t="shared" si="963"/>
        <v/>
      </c>
      <c r="GU108" s="344" t="str">
        <f t="shared" si="964"/>
        <v/>
      </c>
      <c r="GV108" s="343" t="str">
        <f t="shared" si="849"/>
        <v/>
      </c>
      <c r="GW108" s="345" t="str">
        <f t="shared" si="965"/>
        <v/>
      </c>
      <c r="GX108" s="346" t="str">
        <f t="shared" si="966"/>
        <v/>
      </c>
      <c r="GY108" s="344" t="str">
        <f t="shared" si="967"/>
        <v/>
      </c>
      <c r="GZ108" s="345" t="str">
        <f t="shared" si="968"/>
        <v/>
      </c>
      <c r="HA108" s="342" t="str">
        <f t="shared" si="969"/>
        <v/>
      </c>
      <c r="HB108" s="5" t="str">
        <f t="shared" si="850"/>
        <v/>
      </c>
      <c r="HC108" s="343" t="str">
        <f t="shared" si="851"/>
        <v/>
      </c>
      <c r="HD108" s="363" t="str">
        <f t="shared" si="852"/>
        <v/>
      </c>
      <c r="HE108" s="344" t="str">
        <f t="shared" si="970"/>
        <v/>
      </c>
      <c r="HF108" s="5" t="str">
        <f t="shared" si="971"/>
        <v/>
      </c>
      <c r="HG108" s="343" t="str">
        <f t="shared" si="853"/>
        <v/>
      </c>
      <c r="HH108" s="349" t="str">
        <f t="shared" si="854"/>
        <v/>
      </c>
      <c r="HI108" s="317" t="str">
        <f t="shared" si="972"/>
        <v/>
      </c>
      <c r="HK108" s="310" t="str">
        <f t="shared" si="1025"/>
        <v/>
      </c>
      <c r="HL108" s="348" t="str">
        <f t="shared" si="973"/>
        <v/>
      </c>
      <c r="HM108" s="923" t="str">
        <f t="shared" si="974"/>
        <v/>
      </c>
      <c r="HN108" s="924" t="str">
        <f t="shared" si="975"/>
        <v/>
      </c>
      <c r="HO108" s="925"/>
      <c r="HP108" s="926"/>
      <c r="HQ108" s="924" t="str">
        <f t="shared" si="976"/>
        <v/>
      </c>
      <c r="HR108" s="927" t="str">
        <f t="shared" si="977"/>
        <v/>
      </c>
      <c r="HS108" s="879" t="str">
        <f t="shared" si="1026"/>
        <v/>
      </c>
      <c r="HT108" s="889" t="str">
        <f t="shared" si="978"/>
        <v/>
      </c>
      <c r="HU108" s="890" t="str">
        <f t="shared" si="979"/>
        <v/>
      </c>
      <c r="HV108" s="886" t="str">
        <f t="shared" si="980"/>
        <v/>
      </c>
      <c r="HW108" s="880" t="str">
        <f t="shared" si="981"/>
        <v/>
      </c>
      <c r="HX108" s="881" t="str">
        <f t="shared" si="982"/>
        <v/>
      </c>
      <c r="HY108" s="880" t="str">
        <f t="shared" si="983"/>
        <v/>
      </c>
      <c r="HZ108" s="882" t="str">
        <f t="shared" si="984"/>
        <v/>
      </c>
      <c r="IA108" s="883" t="str">
        <f t="shared" si="985"/>
        <v/>
      </c>
      <c r="IB108" s="884" t="str">
        <f t="shared" si="986"/>
        <v/>
      </c>
      <c r="IC108" s="855" t="str">
        <f t="shared" si="987"/>
        <v/>
      </c>
      <c r="ID108" s="351" t="str">
        <f t="shared" si="988"/>
        <v/>
      </c>
      <c r="IE108" s="857" t="str">
        <f t="shared" si="989"/>
        <v/>
      </c>
      <c r="IF108" s="858"/>
      <c r="IG108" s="790" t="str">
        <f>IFERROR(IF($IW108="","",IF($IW108&lt;(((Settings!$C$19/2)*-1)*$IG$8),"Taper","Nose")),"")</f>
        <v/>
      </c>
      <c r="IH108" s="482" t="str">
        <f>IFERROR(IF((((($IY108*COS(RADIANS(180-$JA108)))*COS(RADIANS($JA108)))-(($IZ108*SIN(RADIANS(180-$JA108)))*SIN(RADIANS($JA108))))+$IW108)&lt;(((Settings!$C$19+$IH$8)/2)*-1),"Gage",""),"")</f>
        <v/>
      </c>
      <c r="II108" s="788" t="str">
        <f t="shared" si="855"/>
        <v/>
      </c>
      <c r="IJ108" s="674" t="str" cm="1">
        <f t="array" ref="IJ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K108" s="677" t="str" cm="1">
        <f t="array" ref="IK108">IFERROR(ROUND(VALUE(IF($IJ108&lt;1,$IJ108+LARGE((IF($M$9:$M$150="",0,$M$9:$M$150)-MOD(IF($M$9:$M$150="",0,$M$9:$M$150),1)),1),$IJ108)),4),"")</f>
        <v/>
      </c>
      <c r="IL108" s="482" t="str">
        <f t="shared" si="990"/>
        <v/>
      </c>
      <c r="IM108" s="482" t="str">
        <f t="shared" si="856"/>
        <v/>
      </c>
      <c r="IN108" s="670" t="str">
        <f t="shared" si="991"/>
        <v/>
      </c>
      <c r="IO108" s="702"/>
      <c r="IP108" s="5" t="str">
        <f t="shared" si="992"/>
        <v/>
      </c>
      <c r="IQ108" s="714"/>
      <c r="IR108" s="9" t="str">
        <f t="shared" si="993"/>
        <v/>
      </c>
      <c r="IS108" s="5" t="str">
        <f t="shared" si="994"/>
        <v/>
      </c>
      <c r="IT108" s="5" t="str">
        <f t="shared" si="995"/>
        <v/>
      </c>
      <c r="IU108" s="5" t="str">
        <f t="shared" si="996"/>
        <v/>
      </c>
      <c r="IV108" s="670" t="str">
        <f t="shared" si="997"/>
        <v/>
      </c>
      <c r="IW108" s="9" t="str">
        <f t="shared" si="998"/>
        <v/>
      </c>
      <c r="IX108" s="5" t="str">
        <f t="shared" si="999"/>
        <v/>
      </c>
      <c r="IY108" s="5" t="str">
        <f t="shared" si="1000"/>
        <v/>
      </c>
      <c r="IZ108" s="5" t="str">
        <f t="shared" si="1001"/>
        <v/>
      </c>
      <c r="JA108" s="705" t="str">
        <f t="shared" si="1002"/>
        <v/>
      </c>
      <c r="JN108" s="960"/>
      <c r="JO108" s="162"/>
      <c r="JP108" s="961"/>
      <c r="JQ108" s="961"/>
    </row>
    <row r="109" spans="1:277" ht="15" customHeight="1" x14ac:dyDescent="0.25">
      <c r="A109" s="75" t="str">
        <f t="shared" si="917"/>
        <v/>
      </c>
      <c r="B109" s="578" t="str">
        <f t="shared" ref="B109:D109" si="1034">IFERROR(O264+($A109*-E109),"")</f>
        <v/>
      </c>
      <c r="C109" s="572" t="str">
        <f t="shared" si="1034"/>
        <v/>
      </c>
      <c r="D109" s="576" t="str">
        <f t="shared" si="1034"/>
        <v/>
      </c>
      <c r="E109" s="580" t="str">
        <f t="shared" ref="E109:K109" si="1035">R264</f>
        <v/>
      </c>
      <c r="F109" s="572" t="str">
        <f t="shared" si="1035"/>
        <v/>
      </c>
      <c r="G109" s="579" t="str">
        <f t="shared" si="1035"/>
        <v/>
      </c>
      <c r="H109" s="580" t="str">
        <f t="shared" si="1035"/>
        <v/>
      </c>
      <c r="I109" s="572" t="str">
        <f t="shared" si="1035"/>
        <v/>
      </c>
      <c r="J109" s="483" t="str">
        <f t="shared" si="728"/>
        <v/>
      </c>
      <c r="K109" s="806" t="str">
        <f t="shared" si="1035"/>
        <v/>
      </c>
      <c r="L109" s="309"/>
      <c r="M109" s="164" t="str">
        <f t="shared" si="920"/>
        <v/>
      </c>
      <c r="N109" s="575" t="str">
        <f t="shared" si="921"/>
        <v/>
      </c>
      <c r="O109" s="572" t="str">
        <f t="shared" si="922"/>
        <v/>
      </c>
      <c r="P109" s="576" t="str">
        <f t="shared" si="923"/>
        <v/>
      </c>
      <c r="Q109" s="528" t="str">
        <f t="shared" si="729"/>
        <v/>
      </c>
      <c r="R109" s="572" t="str">
        <f t="shared" si="1005"/>
        <v/>
      </c>
      <c r="S109" s="577" t="str">
        <f t="shared" si="1006"/>
        <v/>
      </c>
      <c r="T109" s="578" t="str">
        <f t="shared" si="1007"/>
        <v/>
      </c>
      <c r="U109" s="572" t="str">
        <f t="shared" si="1008"/>
        <v/>
      </c>
      <c r="V109" s="579" t="str">
        <f t="shared" si="1009"/>
        <v/>
      </c>
      <c r="W109" s="528" t="str">
        <f t="shared" si="866"/>
        <v/>
      </c>
      <c r="X109" s="572" t="str">
        <f t="shared" si="1010"/>
        <v/>
      </c>
      <c r="Y109" s="573" t="str">
        <f t="shared" si="859"/>
        <v/>
      </c>
      <c r="Z109" s="575" t="str">
        <f t="shared" si="924"/>
        <v/>
      </c>
      <c r="AA109" s="572" t="str">
        <f t="shared" si="925"/>
        <v/>
      </c>
      <c r="AB109" s="572" t="str">
        <f t="shared" si="926"/>
        <v/>
      </c>
      <c r="AC109" s="579" t="str">
        <f t="shared" si="1011"/>
        <v/>
      </c>
      <c r="AD109" s="580" t="str">
        <f t="shared" si="1012"/>
        <v/>
      </c>
      <c r="AE109" s="572" t="str">
        <f t="shared" si="1013"/>
        <v/>
      </c>
      <c r="AF109" s="576" t="str">
        <f t="shared" si="1014"/>
        <v/>
      </c>
      <c r="AG109" s="545" t="str">
        <f t="shared" si="1015"/>
        <v/>
      </c>
      <c r="AH109" s="546" t="str">
        <f t="shared" si="1016"/>
        <v/>
      </c>
      <c r="AI109" s="528" t="str">
        <f t="shared" si="1017"/>
        <v/>
      </c>
      <c r="AJ109" s="529" t="str">
        <f t="shared" si="1018"/>
        <v/>
      </c>
      <c r="AK109" s="578" t="str">
        <f t="shared" si="1019"/>
        <v/>
      </c>
      <c r="AL109" s="572" t="str">
        <f t="shared" si="1020"/>
        <v/>
      </c>
      <c r="AM109" s="577" t="str">
        <f t="shared" si="1021"/>
        <v/>
      </c>
      <c r="AN109" s="524" t="str">
        <f t="shared" si="1022"/>
        <v/>
      </c>
      <c r="AO109" s="525" t="str">
        <f t="shared" si="604"/>
        <v/>
      </c>
      <c r="AP109" s="528" t="str">
        <f t="shared" si="1023"/>
        <v/>
      </c>
      <c r="AQ109" s="529" t="str">
        <f t="shared" si="927"/>
        <v/>
      </c>
      <c r="AS109" s="954" t="str">
        <f t="shared" si="1029"/>
        <v/>
      </c>
      <c r="AT109" s="950" t="str">
        <f t="shared" si="928"/>
        <v/>
      </c>
      <c r="AU109" s="418"/>
      <c r="AV109" s="164" t="str">
        <f t="shared" si="929"/>
        <v/>
      </c>
      <c r="AW109" s="797" t="str">
        <f>IFERROR(INDEX(MassProp!C$9:C$150,MATCH($M109,MassProp!$B$9:$B$150,0)),"")</f>
        <v/>
      </c>
      <c r="AX109" s="744" t="str">
        <f>IFERROR(INDEX(MassProp!D$9:D$150,MATCH($M109,MassProp!$B$9:$B$150,0)),"")</f>
        <v/>
      </c>
      <c r="AY109" s="731" t="str">
        <f>IFERROR(INDEX(MassProp!E$9:E$150,MATCH($M109,MassProp!$B$9:$B$150,0)),"")</f>
        <v/>
      </c>
      <c r="AZ109" s="297" t="str">
        <f t="shared" si="756"/>
        <v/>
      </c>
      <c r="BA109" s="296" t="str">
        <f t="shared" si="930"/>
        <v/>
      </c>
      <c r="BB109" s="177" t="str">
        <f t="shared" si="730"/>
        <v/>
      </c>
      <c r="BC109" s="9"/>
      <c r="BD109" s="5" t="str">
        <f t="shared" si="731"/>
        <v/>
      </c>
      <c r="BE109" s="6" t="str">
        <f t="shared" si="931"/>
        <v/>
      </c>
      <c r="BF109" s="4" t="str">
        <f t="shared" si="932"/>
        <v/>
      </c>
      <c r="BG109" s="5" t="str">
        <f t="shared" si="933"/>
        <v/>
      </c>
      <c r="BH109" s="10" t="str">
        <f t="shared" si="934"/>
        <v/>
      </c>
      <c r="BI109" s="9" t="str">
        <f t="shared" si="757"/>
        <v/>
      </c>
      <c r="BJ109" s="5" t="str">
        <f t="shared" si="935"/>
        <v/>
      </c>
      <c r="BK109" s="8" t="str">
        <f t="shared" si="936"/>
        <v/>
      </c>
      <c r="BL109" s="173" t="str">
        <f t="shared" si="937"/>
        <v/>
      </c>
      <c r="BM109" s="5" t="str">
        <f t="shared" si="938"/>
        <v/>
      </c>
      <c r="BN109" s="6" t="str">
        <f t="shared" si="939"/>
        <v/>
      </c>
      <c r="BO109" s="4" t="str">
        <f t="shared" si="758"/>
        <v/>
      </c>
      <c r="BP109" s="5" t="str">
        <f t="shared" si="759"/>
        <v/>
      </c>
      <c r="BQ109" s="5" t="str">
        <f t="shared" si="760"/>
        <v/>
      </c>
      <c r="BR109" s="6" t="str">
        <f t="shared" si="761"/>
        <v/>
      </c>
      <c r="BS109" s="4" t="str">
        <f t="shared" si="1024"/>
        <v/>
      </c>
      <c r="BT109" s="5" t="str">
        <f t="shared" si="1024"/>
        <v/>
      </c>
      <c r="BU109" s="10" t="str">
        <f t="shared" si="733"/>
        <v/>
      </c>
      <c r="BV109" s="9" t="str">
        <f t="shared" si="734"/>
        <v/>
      </c>
      <c r="BW109" s="5" t="str">
        <f t="shared" si="735"/>
        <v/>
      </c>
      <c r="BX109" s="8" t="str">
        <f t="shared" si="736"/>
        <v/>
      </c>
      <c r="BY109" s="173" t="str">
        <f t="shared" si="737"/>
        <v/>
      </c>
      <c r="BZ109" s="5" t="str">
        <f t="shared" si="738"/>
        <v/>
      </c>
      <c r="CA109" s="6" t="str">
        <f t="shared" si="739"/>
        <v/>
      </c>
      <c r="CB109" s="4" t="str">
        <f t="shared" si="762"/>
        <v/>
      </c>
      <c r="CC109" s="5" t="str">
        <f t="shared" si="763"/>
        <v/>
      </c>
      <c r="CD109" s="5" t="str">
        <f t="shared" si="764"/>
        <v/>
      </c>
      <c r="CE109" s="6" t="str">
        <f t="shared" si="765"/>
        <v/>
      </c>
      <c r="CF109" s="4" t="str">
        <f t="shared" si="766"/>
        <v/>
      </c>
      <c r="CG109" s="5" t="str">
        <f t="shared" si="767"/>
        <v/>
      </c>
      <c r="CH109" s="5" t="str">
        <f t="shared" si="768"/>
        <v/>
      </c>
      <c r="CI109" s="4" t="str">
        <f t="shared" si="740"/>
        <v/>
      </c>
      <c r="CJ109" s="5" t="str">
        <f t="shared" si="741"/>
        <v/>
      </c>
      <c r="CK109" s="8" t="str">
        <f t="shared" si="742"/>
        <v/>
      </c>
      <c r="CL109" s="173" t="str">
        <f t="shared" si="743"/>
        <v/>
      </c>
      <c r="CM109" s="5" t="str">
        <f t="shared" si="744"/>
        <v/>
      </c>
      <c r="CN109" s="6" t="str">
        <f t="shared" si="745"/>
        <v/>
      </c>
      <c r="CO109" s="167" t="str">
        <f t="shared" si="940"/>
        <v/>
      </c>
      <c r="CP109" s="4" t="str">
        <f t="shared" si="769"/>
        <v/>
      </c>
      <c r="CQ109" s="5" t="str">
        <f t="shared" si="770"/>
        <v/>
      </c>
      <c r="CR109" s="5" t="str">
        <f t="shared" si="771"/>
        <v/>
      </c>
      <c r="CS109" s="8" t="str">
        <f t="shared" si="772"/>
        <v/>
      </c>
      <c r="CT109" s="9" t="str">
        <f t="shared" si="773"/>
        <v/>
      </c>
      <c r="CU109" s="6" t="str">
        <f t="shared" si="774"/>
        <v/>
      </c>
      <c r="CV109" s="4" t="str">
        <f t="shared" si="775"/>
        <v/>
      </c>
      <c r="CW109" s="5" t="str">
        <f t="shared" si="776"/>
        <v/>
      </c>
      <c r="CX109" s="8" t="str">
        <f t="shared" si="777"/>
        <v/>
      </c>
      <c r="CY109" s="9" t="str">
        <f t="shared" si="778"/>
        <v/>
      </c>
      <c r="CZ109" s="5" t="str">
        <f t="shared" si="779"/>
        <v/>
      </c>
      <c r="DA109" s="6" t="str">
        <f t="shared" si="780"/>
        <v/>
      </c>
      <c r="DB109" s="4" t="str">
        <f t="shared" si="1030"/>
        <v/>
      </c>
      <c r="DC109" s="5" t="str">
        <f t="shared" si="1030"/>
        <v/>
      </c>
      <c r="DD109" s="10" t="str">
        <f t="shared" si="782"/>
        <v/>
      </c>
      <c r="DE109" s="9" t="str">
        <f t="shared" si="1031"/>
        <v/>
      </c>
      <c r="DF109" s="5" t="str">
        <f t="shared" si="1031"/>
        <v/>
      </c>
      <c r="DG109" s="10" t="str">
        <f t="shared" si="784"/>
        <v/>
      </c>
      <c r="DH109" s="70" t="str">
        <f t="shared" si="785"/>
        <v/>
      </c>
      <c r="DI109" s="4" t="str">
        <f t="shared" si="786"/>
        <v/>
      </c>
      <c r="DJ109" s="5" t="str">
        <f t="shared" si="787"/>
        <v/>
      </c>
      <c r="DK109" s="10" t="str">
        <f t="shared" si="788"/>
        <v/>
      </c>
      <c r="DL109" s="9" t="str">
        <f t="shared" si="789"/>
        <v/>
      </c>
      <c r="DM109" s="173" t="str">
        <f t="shared" si="790"/>
        <v/>
      </c>
      <c r="DN109" s="178" t="str">
        <f t="shared" si="791"/>
        <v/>
      </c>
      <c r="DO109" s="9" t="str">
        <f t="shared" si="792"/>
        <v/>
      </c>
      <c r="DP109" s="173" t="str">
        <f t="shared" si="793"/>
        <v/>
      </c>
      <c r="DQ109" s="11" t="str">
        <f t="shared" si="794"/>
        <v/>
      </c>
      <c r="DR109" s="173" t="str">
        <f t="shared" si="795"/>
        <v/>
      </c>
      <c r="DS109" s="5" t="str">
        <f t="shared" si="796"/>
        <v/>
      </c>
      <c r="DT109" s="5" t="str">
        <f t="shared" si="797"/>
        <v/>
      </c>
      <c r="DU109" s="5" t="str">
        <f t="shared" si="798"/>
        <v/>
      </c>
      <c r="DV109" s="5" t="str">
        <f t="shared" si="799"/>
        <v/>
      </c>
      <c r="DW109" s="5" t="str">
        <f t="shared" si="800"/>
        <v/>
      </c>
      <c r="DX109" s="167" t="str">
        <f t="shared" si="801"/>
        <v/>
      </c>
      <c r="DY109" s="9" t="str">
        <f t="shared" si="802"/>
        <v/>
      </c>
      <c r="DZ109" s="5" t="str">
        <f t="shared" si="803"/>
        <v/>
      </c>
      <c r="EA109" s="10" t="str">
        <f t="shared" si="804"/>
        <v/>
      </c>
      <c r="EB109" s="6" t="str">
        <f t="shared" si="805"/>
        <v/>
      </c>
      <c r="EC109" s="173" t="str">
        <f t="shared" si="806"/>
        <v/>
      </c>
      <c r="ED109" s="5" t="str">
        <f t="shared" si="807"/>
        <v/>
      </c>
      <c r="EE109" s="4" t="str">
        <f t="shared" si="808"/>
        <v/>
      </c>
      <c r="EF109" s="5" t="str">
        <f t="shared" si="809"/>
        <v/>
      </c>
      <c r="EG109" s="10" t="str">
        <f t="shared" si="810"/>
        <v/>
      </c>
      <c r="EH109" s="9" t="str">
        <f t="shared" si="811"/>
        <v/>
      </c>
      <c r="EI109" s="5" t="str">
        <f t="shared" si="812"/>
        <v/>
      </c>
      <c r="EJ109" s="6" t="str">
        <f t="shared" si="813"/>
        <v/>
      </c>
      <c r="EK109" s="236" t="str">
        <f t="shared" si="814"/>
        <v/>
      </c>
      <c r="EL109" s="238" t="str">
        <f t="shared" si="815"/>
        <v/>
      </c>
      <c r="EM109" s="4" t="str">
        <f t="shared" si="816"/>
        <v/>
      </c>
      <c r="EN109" s="5" t="str">
        <f t="shared" si="817"/>
        <v/>
      </c>
      <c r="EO109" s="10" t="str">
        <f t="shared" si="818"/>
        <v/>
      </c>
      <c r="EP109" s="9" t="str">
        <f t="shared" si="819"/>
        <v/>
      </c>
      <c r="EQ109" s="5" t="str">
        <f t="shared" si="820"/>
        <v/>
      </c>
      <c r="ER109" s="7" t="str">
        <f t="shared" si="821"/>
        <v/>
      </c>
      <c r="ES109" s="21" t="str">
        <f t="shared" si="941"/>
        <v/>
      </c>
      <c r="ET109" s="5" t="str">
        <f t="shared" si="942"/>
        <v/>
      </c>
      <c r="EU109" s="10" t="str">
        <f t="shared" si="943"/>
        <v/>
      </c>
      <c r="EV109" s="174" t="str">
        <f t="shared" si="944"/>
        <v/>
      </c>
      <c r="EW109" s="9" t="str">
        <f t="shared" si="945"/>
        <v/>
      </c>
      <c r="EX109" s="5" t="str">
        <f t="shared" si="946"/>
        <v/>
      </c>
      <c r="EY109" s="6" t="str">
        <f t="shared" si="822"/>
        <v/>
      </c>
      <c r="EZ109" s="51" t="str">
        <f t="shared" si="823"/>
        <v/>
      </c>
      <c r="FA109" s="173" t="str">
        <f t="shared" si="947"/>
        <v/>
      </c>
      <c r="FB109" s="5" t="str">
        <f t="shared" si="948"/>
        <v/>
      </c>
      <c r="FC109" s="6" t="str">
        <f t="shared" si="949"/>
        <v/>
      </c>
      <c r="FD109" s="4" t="str">
        <f t="shared" si="950"/>
        <v/>
      </c>
      <c r="FE109" s="5" t="str">
        <f t="shared" si="951"/>
        <v/>
      </c>
      <c r="FF109" s="7" t="str">
        <f t="shared" si="824"/>
        <v/>
      </c>
      <c r="FG109" s="173" t="str">
        <f t="shared" si="952"/>
        <v/>
      </c>
      <c r="FH109" s="5" t="str">
        <f t="shared" si="953"/>
        <v/>
      </c>
      <c r="FI109" s="10" t="str">
        <f t="shared" si="954"/>
        <v/>
      </c>
      <c r="FJ109" s="279" t="str">
        <f t="shared" si="825"/>
        <v/>
      </c>
      <c r="FK109" s="4" t="str">
        <f t="shared" si="955"/>
        <v/>
      </c>
      <c r="FL109" s="5" t="str">
        <f t="shared" si="746"/>
        <v/>
      </c>
      <c r="FM109" s="8" t="str">
        <f t="shared" si="747"/>
        <v/>
      </c>
      <c r="FN109" s="9" t="str">
        <f t="shared" si="748"/>
        <v/>
      </c>
      <c r="FO109" s="10" t="str">
        <f t="shared" si="956"/>
        <v/>
      </c>
      <c r="FP109" s="277" t="str">
        <f t="shared" si="749"/>
        <v/>
      </c>
      <c r="FQ109" s="173" t="str">
        <f t="shared" si="826"/>
        <v/>
      </c>
      <c r="FR109" s="10" t="str">
        <f t="shared" si="827"/>
        <v/>
      </c>
      <c r="FS109" s="9" t="str">
        <f t="shared" si="828"/>
        <v/>
      </c>
      <c r="FT109" s="6" t="str">
        <f t="shared" si="829"/>
        <v/>
      </c>
      <c r="FU109" s="4" t="str">
        <f t="shared" si="830"/>
        <v/>
      </c>
      <c r="FV109" s="5" t="str">
        <f t="shared" si="831"/>
        <v/>
      </c>
      <c r="FW109" s="8" t="str">
        <f t="shared" si="832"/>
        <v/>
      </c>
      <c r="FX109" s="9" t="str">
        <f t="shared" si="833"/>
        <v/>
      </c>
      <c r="FY109" s="10" t="str">
        <f t="shared" si="957"/>
        <v/>
      </c>
      <c r="FZ109" s="277" t="str">
        <f t="shared" si="834"/>
        <v/>
      </c>
      <c r="GA109" s="177" t="str">
        <f t="shared" si="835"/>
        <v/>
      </c>
      <c r="GB109" s="4" t="str">
        <f t="shared" si="836"/>
        <v/>
      </c>
      <c r="GC109" s="5" t="str">
        <f t="shared" si="837"/>
        <v/>
      </c>
      <c r="GD109" s="10" t="str">
        <f t="shared" si="838"/>
        <v/>
      </c>
      <c r="GE109" s="311" t="str">
        <f t="shared" si="839"/>
        <v/>
      </c>
      <c r="GF109" s="341" t="str">
        <f t="shared" si="840"/>
        <v/>
      </c>
      <c r="GG109" s="285" t="str">
        <f t="shared" si="958"/>
        <v/>
      </c>
      <c r="GH109" s="286" t="str">
        <f t="shared" si="959"/>
        <v/>
      </c>
      <c r="GI109" s="281" t="str">
        <f t="shared" si="960"/>
        <v/>
      </c>
      <c r="GJ109" s="167" t="str">
        <f t="shared" si="841"/>
        <v/>
      </c>
      <c r="GK109" s="174" t="str">
        <f t="shared" si="961"/>
        <v/>
      </c>
      <c r="GL109" s="174" t="str">
        <f t="shared" si="842"/>
        <v/>
      </c>
      <c r="GM109" s="177" t="str">
        <f t="shared" si="843"/>
        <v/>
      </c>
      <c r="GN109" s="280" t="str">
        <f t="shared" si="844"/>
        <v/>
      </c>
      <c r="GO109" s="4" t="str">
        <f t="shared" si="845"/>
        <v/>
      </c>
      <c r="GP109" s="8" t="str">
        <f t="shared" si="846"/>
        <v/>
      </c>
      <c r="GQ109" s="177" t="str">
        <f t="shared" si="847"/>
        <v/>
      </c>
      <c r="GR109" s="371" t="str">
        <f t="shared" si="848"/>
        <v/>
      </c>
      <c r="GS109" s="342" t="str">
        <f t="shared" si="962"/>
        <v/>
      </c>
      <c r="GT109" s="343" t="str">
        <f t="shared" si="963"/>
        <v/>
      </c>
      <c r="GU109" s="344" t="str">
        <f t="shared" si="964"/>
        <v/>
      </c>
      <c r="GV109" s="343" t="str">
        <f t="shared" si="849"/>
        <v/>
      </c>
      <c r="GW109" s="345" t="str">
        <f t="shared" si="965"/>
        <v/>
      </c>
      <c r="GX109" s="346" t="str">
        <f t="shared" si="966"/>
        <v/>
      </c>
      <c r="GY109" s="344" t="str">
        <f t="shared" si="967"/>
        <v/>
      </c>
      <c r="GZ109" s="345" t="str">
        <f t="shared" si="968"/>
        <v/>
      </c>
      <c r="HA109" s="342" t="str">
        <f t="shared" si="969"/>
        <v/>
      </c>
      <c r="HB109" s="5" t="str">
        <f t="shared" si="850"/>
        <v/>
      </c>
      <c r="HC109" s="343" t="str">
        <f t="shared" si="851"/>
        <v/>
      </c>
      <c r="HD109" s="363" t="str">
        <f t="shared" si="852"/>
        <v/>
      </c>
      <c r="HE109" s="344" t="str">
        <f t="shared" si="970"/>
        <v/>
      </c>
      <c r="HF109" s="5" t="str">
        <f t="shared" si="971"/>
        <v/>
      </c>
      <c r="HG109" s="343" t="str">
        <f t="shared" si="853"/>
        <v/>
      </c>
      <c r="HH109" s="349" t="str">
        <f t="shared" si="854"/>
        <v/>
      </c>
      <c r="HI109" s="317" t="str">
        <f t="shared" si="972"/>
        <v/>
      </c>
      <c r="HK109" s="310" t="str">
        <f t="shared" si="1025"/>
        <v/>
      </c>
      <c r="HL109" s="348" t="str">
        <f t="shared" si="973"/>
        <v/>
      </c>
      <c r="HM109" s="923" t="str">
        <f t="shared" si="974"/>
        <v/>
      </c>
      <c r="HN109" s="924" t="str">
        <f t="shared" si="975"/>
        <v/>
      </c>
      <c r="HO109" s="925"/>
      <c r="HP109" s="926"/>
      <c r="HQ109" s="924" t="str">
        <f t="shared" si="976"/>
        <v/>
      </c>
      <c r="HR109" s="927" t="str">
        <f t="shared" si="977"/>
        <v/>
      </c>
      <c r="HS109" s="879" t="str">
        <f t="shared" si="1026"/>
        <v/>
      </c>
      <c r="HT109" s="889" t="str">
        <f t="shared" si="978"/>
        <v/>
      </c>
      <c r="HU109" s="890" t="str">
        <f t="shared" si="979"/>
        <v/>
      </c>
      <c r="HV109" s="886" t="str">
        <f t="shared" si="980"/>
        <v/>
      </c>
      <c r="HW109" s="880" t="str">
        <f t="shared" si="981"/>
        <v/>
      </c>
      <c r="HX109" s="881" t="str">
        <f t="shared" si="982"/>
        <v/>
      </c>
      <c r="HY109" s="880" t="str">
        <f t="shared" si="983"/>
        <v/>
      </c>
      <c r="HZ109" s="882" t="str">
        <f t="shared" si="984"/>
        <v/>
      </c>
      <c r="IA109" s="883" t="str">
        <f t="shared" si="985"/>
        <v/>
      </c>
      <c r="IB109" s="884" t="str">
        <f t="shared" si="986"/>
        <v/>
      </c>
      <c r="IC109" s="855" t="str">
        <f t="shared" si="987"/>
        <v/>
      </c>
      <c r="ID109" s="351" t="str">
        <f t="shared" si="988"/>
        <v/>
      </c>
      <c r="IE109" s="857" t="str">
        <f t="shared" si="989"/>
        <v/>
      </c>
      <c r="IF109" s="858"/>
      <c r="IG109" s="790" t="str">
        <f>IFERROR(IF($IW109="","",IF($IW109&lt;(((Settings!$C$19/2)*-1)*$IG$8),"Taper","Nose")),"")</f>
        <v/>
      </c>
      <c r="IH109" s="482" t="str">
        <f>IFERROR(IF((((($IY109*COS(RADIANS(180-$JA109)))*COS(RADIANS($JA109)))-(($IZ109*SIN(RADIANS(180-$JA109)))*SIN(RADIANS($JA109))))+$IW109)&lt;(((Settings!$C$19+$IH$8)/2)*-1),"Gage",""),"")</f>
        <v/>
      </c>
      <c r="II109" s="788" t="str">
        <f t="shared" si="855"/>
        <v/>
      </c>
      <c r="IJ109" s="674" t="str" cm="1">
        <f t="array" ref="IJ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K109" s="677" t="str" cm="1">
        <f t="array" ref="IK109">IFERROR(ROUND(VALUE(IF($IJ109&lt;1,$IJ109+LARGE((IF($M$9:$M$150="",0,$M$9:$M$150)-MOD(IF($M$9:$M$150="",0,$M$9:$M$150),1)),1),$IJ109)),4),"")</f>
        <v/>
      </c>
      <c r="IL109" s="482" t="str">
        <f t="shared" si="990"/>
        <v/>
      </c>
      <c r="IM109" s="482" t="str">
        <f t="shared" si="856"/>
        <v/>
      </c>
      <c r="IN109" s="670" t="str">
        <f t="shared" si="991"/>
        <v/>
      </c>
      <c r="IO109" s="702"/>
      <c r="IP109" s="5" t="str">
        <f t="shared" si="992"/>
        <v/>
      </c>
      <c r="IQ109" s="714"/>
      <c r="IR109" s="9" t="str">
        <f t="shared" si="993"/>
        <v/>
      </c>
      <c r="IS109" s="5" t="str">
        <f t="shared" si="994"/>
        <v/>
      </c>
      <c r="IT109" s="5" t="str">
        <f t="shared" si="995"/>
        <v/>
      </c>
      <c r="IU109" s="5" t="str">
        <f t="shared" si="996"/>
        <v/>
      </c>
      <c r="IV109" s="670" t="str">
        <f t="shared" si="997"/>
        <v/>
      </c>
      <c r="IW109" s="9" t="str">
        <f t="shared" si="998"/>
        <v/>
      </c>
      <c r="IX109" s="5" t="str">
        <f t="shared" si="999"/>
        <v/>
      </c>
      <c r="IY109" s="5" t="str">
        <f t="shared" si="1000"/>
        <v/>
      </c>
      <c r="IZ109" s="5" t="str">
        <f t="shared" si="1001"/>
        <v/>
      </c>
      <c r="JA109" s="705" t="str">
        <f t="shared" si="1002"/>
        <v/>
      </c>
      <c r="JN109" s="960"/>
      <c r="JO109" s="162"/>
      <c r="JP109" s="961"/>
      <c r="JQ109" s="961"/>
    </row>
    <row r="110" spans="1:277" ht="15" customHeight="1" x14ac:dyDescent="0.25">
      <c r="A110" s="75" t="str">
        <f t="shared" si="917"/>
        <v/>
      </c>
      <c r="B110" s="578" t="str">
        <f t="shared" ref="B110:D110" si="1036">IFERROR(O265+($A110*-E110),"")</f>
        <v/>
      </c>
      <c r="C110" s="572" t="str">
        <f t="shared" si="1036"/>
        <v/>
      </c>
      <c r="D110" s="576" t="str">
        <f t="shared" si="1036"/>
        <v/>
      </c>
      <c r="E110" s="580" t="str">
        <f t="shared" ref="E110:K110" si="1037">R265</f>
        <v/>
      </c>
      <c r="F110" s="572" t="str">
        <f t="shared" si="1037"/>
        <v/>
      </c>
      <c r="G110" s="579" t="str">
        <f t="shared" si="1037"/>
        <v/>
      </c>
      <c r="H110" s="580" t="str">
        <f t="shared" si="1037"/>
        <v/>
      </c>
      <c r="I110" s="572" t="str">
        <f t="shared" si="1037"/>
        <v/>
      </c>
      <c r="J110" s="483" t="str">
        <f t="shared" si="728"/>
        <v/>
      </c>
      <c r="K110" s="806" t="str">
        <f t="shared" si="1037"/>
        <v/>
      </c>
      <c r="L110" s="309"/>
      <c r="M110" s="164" t="str">
        <f t="shared" si="920"/>
        <v/>
      </c>
      <c r="N110" s="575" t="str">
        <f t="shared" si="921"/>
        <v/>
      </c>
      <c r="O110" s="572" t="str">
        <f t="shared" si="922"/>
        <v/>
      </c>
      <c r="P110" s="576" t="str">
        <f t="shared" si="923"/>
        <v/>
      </c>
      <c r="Q110" s="528" t="str">
        <f t="shared" si="729"/>
        <v/>
      </c>
      <c r="R110" s="572" t="str">
        <f t="shared" si="1005"/>
        <v/>
      </c>
      <c r="S110" s="577" t="str">
        <f t="shared" si="1006"/>
        <v/>
      </c>
      <c r="T110" s="578" t="str">
        <f t="shared" si="1007"/>
        <v/>
      </c>
      <c r="U110" s="572" t="str">
        <f t="shared" si="1008"/>
        <v/>
      </c>
      <c r="V110" s="579" t="str">
        <f t="shared" si="1009"/>
        <v/>
      </c>
      <c r="W110" s="528" t="str">
        <f t="shared" si="866"/>
        <v/>
      </c>
      <c r="X110" s="572" t="str">
        <f t="shared" si="1010"/>
        <v/>
      </c>
      <c r="Y110" s="573" t="str">
        <f t="shared" si="859"/>
        <v/>
      </c>
      <c r="Z110" s="575" t="str">
        <f t="shared" si="924"/>
        <v/>
      </c>
      <c r="AA110" s="572" t="str">
        <f t="shared" si="925"/>
        <v/>
      </c>
      <c r="AB110" s="572" t="str">
        <f t="shared" si="926"/>
        <v/>
      </c>
      <c r="AC110" s="579" t="str">
        <f t="shared" si="1011"/>
        <v/>
      </c>
      <c r="AD110" s="580" t="str">
        <f t="shared" si="1012"/>
        <v/>
      </c>
      <c r="AE110" s="572" t="str">
        <f t="shared" si="1013"/>
        <v/>
      </c>
      <c r="AF110" s="576" t="str">
        <f t="shared" si="1014"/>
        <v/>
      </c>
      <c r="AG110" s="545" t="str">
        <f t="shared" si="1015"/>
        <v/>
      </c>
      <c r="AH110" s="546" t="str">
        <f t="shared" si="1016"/>
        <v/>
      </c>
      <c r="AI110" s="528" t="str">
        <f t="shared" si="1017"/>
        <v/>
      </c>
      <c r="AJ110" s="529" t="str">
        <f t="shared" si="1018"/>
        <v/>
      </c>
      <c r="AK110" s="578" t="str">
        <f t="shared" si="1019"/>
        <v/>
      </c>
      <c r="AL110" s="572" t="str">
        <f t="shared" si="1020"/>
        <v/>
      </c>
      <c r="AM110" s="577" t="str">
        <f t="shared" si="1021"/>
        <v/>
      </c>
      <c r="AN110" s="524" t="str">
        <f t="shared" si="1022"/>
        <v/>
      </c>
      <c r="AO110" s="525" t="str">
        <f t="shared" si="604"/>
        <v/>
      </c>
      <c r="AP110" s="528" t="str">
        <f t="shared" si="1023"/>
        <v/>
      </c>
      <c r="AQ110" s="529" t="str">
        <f t="shared" si="927"/>
        <v/>
      </c>
      <c r="AS110" s="954" t="str">
        <f t="shared" si="1029"/>
        <v/>
      </c>
      <c r="AT110" s="950" t="str">
        <f t="shared" si="928"/>
        <v/>
      </c>
      <c r="AU110" s="418"/>
      <c r="AV110" s="164" t="str">
        <f t="shared" si="929"/>
        <v/>
      </c>
      <c r="AW110" s="797" t="str">
        <f>IFERROR(INDEX(MassProp!C$9:C$150,MATCH($M110,MassProp!$B$9:$B$150,0)),"")</f>
        <v/>
      </c>
      <c r="AX110" s="744" t="str">
        <f>IFERROR(INDEX(MassProp!D$9:D$150,MATCH($M110,MassProp!$B$9:$B$150,0)),"")</f>
        <v/>
      </c>
      <c r="AY110" s="731" t="str">
        <f>IFERROR(INDEX(MassProp!E$9:E$150,MATCH($M110,MassProp!$B$9:$B$150,0)),"")</f>
        <v/>
      </c>
      <c r="AZ110" s="297" t="str">
        <f t="shared" si="756"/>
        <v/>
      </c>
      <c r="BA110" s="296" t="str">
        <f t="shared" si="930"/>
        <v/>
      </c>
      <c r="BB110" s="177" t="str">
        <f t="shared" si="730"/>
        <v/>
      </c>
      <c r="BC110" s="9"/>
      <c r="BD110" s="5" t="str">
        <f t="shared" si="731"/>
        <v/>
      </c>
      <c r="BE110" s="6" t="str">
        <f t="shared" si="931"/>
        <v/>
      </c>
      <c r="BF110" s="4" t="str">
        <f t="shared" si="932"/>
        <v/>
      </c>
      <c r="BG110" s="5" t="str">
        <f t="shared" si="933"/>
        <v/>
      </c>
      <c r="BH110" s="10" t="str">
        <f t="shared" si="934"/>
        <v/>
      </c>
      <c r="BI110" s="9" t="str">
        <f t="shared" si="757"/>
        <v/>
      </c>
      <c r="BJ110" s="5" t="str">
        <f t="shared" si="935"/>
        <v/>
      </c>
      <c r="BK110" s="8" t="str">
        <f t="shared" si="936"/>
        <v/>
      </c>
      <c r="BL110" s="173" t="str">
        <f t="shared" si="937"/>
        <v/>
      </c>
      <c r="BM110" s="5" t="str">
        <f t="shared" si="938"/>
        <v/>
      </c>
      <c r="BN110" s="6" t="str">
        <f t="shared" si="939"/>
        <v/>
      </c>
      <c r="BO110" s="4" t="str">
        <f t="shared" si="758"/>
        <v/>
      </c>
      <c r="BP110" s="5" t="str">
        <f t="shared" si="759"/>
        <v/>
      </c>
      <c r="BQ110" s="5" t="str">
        <f t="shared" si="760"/>
        <v/>
      </c>
      <c r="BR110" s="6" t="str">
        <f t="shared" si="761"/>
        <v/>
      </c>
      <c r="BS110" s="4" t="str">
        <f t="shared" si="1024"/>
        <v/>
      </c>
      <c r="BT110" s="5" t="str">
        <f t="shared" si="1024"/>
        <v/>
      </c>
      <c r="BU110" s="10" t="str">
        <f t="shared" si="733"/>
        <v/>
      </c>
      <c r="BV110" s="9" t="str">
        <f t="shared" si="734"/>
        <v/>
      </c>
      <c r="BW110" s="5" t="str">
        <f t="shared" si="735"/>
        <v/>
      </c>
      <c r="BX110" s="8" t="str">
        <f t="shared" si="736"/>
        <v/>
      </c>
      <c r="BY110" s="173" t="str">
        <f t="shared" si="737"/>
        <v/>
      </c>
      <c r="BZ110" s="5" t="str">
        <f t="shared" si="738"/>
        <v/>
      </c>
      <c r="CA110" s="6" t="str">
        <f t="shared" si="739"/>
        <v/>
      </c>
      <c r="CB110" s="4" t="str">
        <f t="shared" si="762"/>
        <v/>
      </c>
      <c r="CC110" s="5" t="str">
        <f t="shared" si="763"/>
        <v/>
      </c>
      <c r="CD110" s="5" t="str">
        <f t="shared" si="764"/>
        <v/>
      </c>
      <c r="CE110" s="6" t="str">
        <f t="shared" si="765"/>
        <v/>
      </c>
      <c r="CF110" s="4" t="str">
        <f t="shared" si="766"/>
        <v/>
      </c>
      <c r="CG110" s="5" t="str">
        <f t="shared" si="767"/>
        <v/>
      </c>
      <c r="CH110" s="5" t="str">
        <f t="shared" si="768"/>
        <v/>
      </c>
      <c r="CI110" s="4" t="str">
        <f t="shared" si="740"/>
        <v/>
      </c>
      <c r="CJ110" s="5" t="str">
        <f t="shared" si="741"/>
        <v/>
      </c>
      <c r="CK110" s="8" t="str">
        <f t="shared" si="742"/>
        <v/>
      </c>
      <c r="CL110" s="173" t="str">
        <f t="shared" si="743"/>
        <v/>
      </c>
      <c r="CM110" s="5" t="str">
        <f t="shared" si="744"/>
        <v/>
      </c>
      <c r="CN110" s="6" t="str">
        <f t="shared" si="745"/>
        <v/>
      </c>
      <c r="CO110" s="167" t="str">
        <f t="shared" si="940"/>
        <v/>
      </c>
      <c r="CP110" s="4" t="str">
        <f t="shared" si="769"/>
        <v/>
      </c>
      <c r="CQ110" s="5" t="str">
        <f t="shared" si="770"/>
        <v/>
      </c>
      <c r="CR110" s="5" t="str">
        <f t="shared" si="771"/>
        <v/>
      </c>
      <c r="CS110" s="8" t="str">
        <f t="shared" si="772"/>
        <v/>
      </c>
      <c r="CT110" s="9" t="str">
        <f t="shared" si="773"/>
        <v/>
      </c>
      <c r="CU110" s="6" t="str">
        <f t="shared" si="774"/>
        <v/>
      </c>
      <c r="CV110" s="4" t="str">
        <f t="shared" si="775"/>
        <v/>
      </c>
      <c r="CW110" s="5" t="str">
        <f t="shared" si="776"/>
        <v/>
      </c>
      <c r="CX110" s="8" t="str">
        <f t="shared" si="777"/>
        <v/>
      </c>
      <c r="CY110" s="9" t="str">
        <f t="shared" si="778"/>
        <v/>
      </c>
      <c r="CZ110" s="5" t="str">
        <f t="shared" si="779"/>
        <v/>
      </c>
      <c r="DA110" s="6" t="str">
        <f t="shared" si="780"/>
        <v/>
      </c>
      <c r="DB110" s="4" t="str">
        <f t="shared" si="1030"/>
        <v/>
      </c>
      <c r="DC110" s="5" t="str">
        <f t="shared" si="1030"/>
        <v/>
      </c>
      <c r="DD110" s="10" t="str">
        <f t="shared" si="782"/>
        <v/>
      </c>
      <c r="DE110" s="9" t="str">
        <f t="shared" si="1031"/>
        <v/>
      </c>
      <c r="DF110" s="5" t="str">
        <f t="shared" si="1031"/>
        <v/>
      </c>
      <c r="DG110" s="10" t="str">
        <f t="shared" si="784"/>
        <v/>
      </c>
      <c r="DH110" s="70" t="str">
        <f t="shared" si="785"/>
        <v/>
      </c>
      <c r="DI110" s="4" t="str">
        <f t="shared" si="786"/>
        <v/>
      </c>
      <c r="DJ110" s="5" t="str">
        <f t="shared" si="787"/>
        <v/>
      </c>
      <c r="DK110" s="10" t="str">
        <f t="shared" si="788"/>
        <v/>
      </c>
      <c r="DL110" s="9" t="str">
        <f t="shared" si="789"/>
        <v/>
      </c>
      <c r="DM110" s="173" t="str">
        <f t="shared" si="790"/>
        <v/>
      </c>
      <c r="DN110" s="178" t="str">
        <f t="shared" si="791"/>
        <v/>
      </c>
      <c r="DO110" s="9" t="str">
        <f t="shared" si="792"/>
        <v/>
      </c>
      <c r="DP110" s="173" t="str">
        <f t="shared" si="793"/>
        <v/>
      </c>
      <c r="DQ110" s="11" t="str">
        <f t="shared" si="794"/>
        <v/>
      </c>
      <c r="DR110" s="173" t="str">
        <f t="shared" si="795"/>
        <v/>
      </c>
      <c r="DS110" s="5" t="str">
        <f t="shared" si="796"/>
        <v/>
      </c>
      <c r="DT110" s="5" t="str">
        <f t="shared" si="797"/>
        <v/>
      </c>
      <c r="DU110" s="5" t="str">
        <f t="shared" si="798"/>
        <v/>
      </c>
      <c r="DV110" s="5" t="str">
        <f t="shared" si="799"/>
        <v/>
      </c>
      <c r="DW110" s="5" t="str">
        <f t="shared" si="800"/>
        <v/>
      </c>
      <c r="DX110" s="167" t="str">
        <f t="shared" si="801"/>
        <v/>
      </c>
      <c r="DY110" s="9" t="str">
        <f t="shared" si="802"/>
        <v/>
      </c>
      <c r="DZ110" s="5" t="str">
        <f t="shared" si="803"/>
        <v/>
      </c>
      <c r="EA110" s="10" t="str">
        <f t="shared" si="804"/>
        <v/>
      </c>
      <c r="EB110" s="6" t="str">
        <f t="shared" si="805"/>
        <v/>
      </c>
      <c r="EC110" s="173" t="str">
        <f t="shared" si="806"/>
        <v/>
      </c>
      <c r="ED110" s="5" t="str">
        <f t="shared" si="807"/>
        <v/>
      </c>
      <c r="EE110" s="4" t="str">
        <f t="shared" si="808"/>
        <v/>
      </c>
      <c r="EF110" s="5" t="str">
        <f t="shared" si="809"/>
        <v/>
      </c>
      <c r="EG110" s="10" t="str">
        <f t="shared" si="810"/>
        <v/>
      </c>
      <c r="EH110" s="9" t="str">
        <f t="shared" si="811"/>
        <v/>
      </c>
      <c r="EI110" s="5" t="str">
        <f t="shared" si="812"/>
        <v/>
      </c>
      <c r="EJ110" s="6" t="str">
        <f t="shared" si="813"/>
        <v/>
      </c>
      <c r="EK110" s="236" t="str">
        <f t="shared" si="814"/>
        <v/>
      </c>
      <c r="EL110" s="238" t="str">
        <f t="shared" si="815"/>
        <v/>
      </c>
      <c r="EM110" s="4" t="str">
        <f t="shared" si="816"/>
        <v/>
      </c>
      <c r="EN110" s="5" t="str">
        <f t="shared" si="817"/>
        <v/>
      </c>
      <c r="EO110" s="10" t="str">
        <f t="shared" si="818"/>
        <v/>
      </c>
      <c r="EP110" s="9" t="str">
        <f t="shared" si="819"/>
        <v/>
      </c>
      <c r="EQ110" s="5" t="str">
        <f t="shared" si="820"/>
        <v/>
      </c>
      <c r="ER110" s="7" t="str">
        <f t="shared" si="821"/>
        <v/>
      </c>
      <c r="ES110" s="21" t="str">
        <f t="shared" si="941"/>
        <v/>
      </c>
      <c r="ET110" s="5" t="str">
        <f t="shared" si="942"/>
        <v/>
      </c>
      <c r="EU110" s="10" t="str">
        <f t="shared" si="943"/>
        <v/>
      </c>
      <c r="EV110" s="174" t="str">
        <f t="shared" si="944"/>
        <v/>
      </c>
      <c r="EW110" s="9" t="str">
        <f t="shared" si="945"/>
        <v/>
      </c>
      <c r="EX110" s="5" t="str">
        <f t="shared" si="946"/>
        <v/>
      </c>
      <c r="EY110" s="6" t="str">
        <f t="shared" si="822"/>
        <v/>
      </c>
      <c r="EZ110" s="51" t="str">
        <f t="shared" si="823"/>
        <v/>
      </c>
      <c r="FA110" s="173" t="str">
        <f t="shared" si="947"/>
        <v/>
      </c>
      <c r="FB110" s="5" t="str">
        <f t="shared" si="948"/>
        <v/>
      </c>
      <c r="FC110" s="6" t="str">
        <f t="shared" si="949"/>
        <v/>
      </c>
      <c r="FD110" s="4" t="str">
        <f t="shared" si="950"/>
        <v/>
      </c>
      <c r="FE110" s="5" t="str">
        <f t="shared" si="951"/>
        <v/>
      </c>
      <c r="FF110" s="7" t="str">
        <f t="shared" si="824"/>
        <v/>
      </c>
      <c r="FG110" s="173" t="str">
        <f t="shared" si="952"/>
        <v/>
      </c>
      <c r="FH110" s="5" t="str">
        <f t="shared" si="953"/>
        <v/>
      </c>
      <c r="FI110" s="10" t="str">
        <f t="shared" si="954"/>
        <v/>
      </c>
      <c r="FJ110" s="279" t="str">
        <f t="shared" si="825"/>
        <v/>
      </c>
      <c r="FK110" s="4" t="str">
        <f t="shared" si="955"/>
        <v/>
      </c>
      <c r="FL110" s="5" t="str">
        <f t="shared" si="746"/>
        <v/>
      </c>
      <c r="FM110" s="8" t="str">
        <f t="shared" si="747"/>
        <v/>
      </c>
      <c r="FN110" s="9" t="str">
        <f t="shared" si="748"/>
        <v/>
      </c>
      <c r="FO110" s="10" t="str">
        <f t="shared" si="956"/>
        <v/>
      </c>
      <c r="FP110" s="277" t="str">
        <f t="shared" si="749"/>
        <v/>
      </c>
      <c r="FQ110" s="173" t="str">
        <f t="shared" si="826"/>
        <v/>
      </c>
      <c r="FR110" s="10" t="str">
        <f t="shared" si="827"/>
        <v/>
      </c>
      <c r="FS110" s="9" t="str">
        <f t="shared" si="828"/>
        <v/>
      </c>
      <c r="FT110" s="6" t="str">
        <f t="shared" si="829"/>
        <v/>
      </c>
      <c r="FU110" s="4" t="str">
        <f t="shared" si="830"/>
        <v/>
      </c>
      <c r="FV110" s="5" t="str">
        <f t="shared" si="831"/>
        <v/>
      </c>
      <c r="FW110" s="8" t="str">
        <f t="shared" si="832"/>
        <v/>
      </c>
      <c r="FX110" s="9" t="str">
        <f t="shared" si="833"/>
        <v/>
      </c>
      <c r="FY110" s="10" t="str">
        <f t="shared" si="957"/>
        <v/>
      </c>
      <c r="FZ110" s="277" t="str">
        <f t="shared" si="834"/>
        <v/>
      </c>
      <c r="GA110" s="177" t="str">
        <f t="shared" si="835"/>
        <v/>
      </c>
      <c r="GB110" s="4" t="str">
        <f t="shared" si="836"/>
        <v/>
      </c>
      <c r="GC110" s="5" t="str">
        <f t="shared" si="837"/>
        <v/>
      </c>
      <c r="GD110" s="10" t="str">
        <f t="shared" si="838"/>
        <v/>
      </c>
      <c r="GE110" s="311" t="str">
        <f t="shared" si="839"/>
        <v/>
      </c>
      <c r="GF110" s="341" t="str">
        <f t="shared" si="840"/>
        <v/>
      </c>
      <c r="GG110" s="285" t="str">
        <f t="shared" si="958"/>
        <v/>
      </c>
      <c r="GH110" s="286" t="str">
        <f t="shared" si="959"/>
        <v/>
      </c>
      <c r="GI110" s="281" t="str">
        <f t="shared" si="960"/>
        <v/>
      </c>
      <c r="GJ110" s="167" t="str">
        <f t="shared" si="841"/>
        <v/>
      </c>
      <c r="GK110" s="174" t="str">
        <f t="shared" si="961"/>
        <v/>
      </c>
      <c r="GL110" s="174" t="str">
        <f t="shared" si="842"/>
        <v/>
      </c>
      <c r="GM110" s="177" t="str">
        <f t="shared" si="843"/>
        <v/>
      </c>
      <c r="GN110" s="280" t="str">
        <f t="shared" si="844"/>
        <v/>
      </c>
      <c r="GO110" s="4" t="str">
        <f t="shared" si="845"/>
        <v/>
      </c>
      <c r="GP110" s="8" t="str">
        <f t="shared" si="846"/>
        <v/>
      </c>
      <c r="GQ110" s="177" t="str">
        <f t="shared" si="847"/>
        <v/>
      </c>
      <c r="GR110" s="371" t="str">
        <f t="shared" si="848"/>
        <v/>
      </c>
      <c r="GS110" s="342" t="str">
        <f t="shared" si="962"/>
        <v/>
      </c>
      <c r="GT110" s="343" t="str">
        <f t="shared" si="963"/>
        <v/>
      </c>
      <c r="GU110" s="344" t="str">
        <f t="shared" si="964"/>
        <v/>
      </c>
      <c r="GV110" s="343" t="str">
        <f t="shared" si="849"/>
        <v/>
      </c>
      <c r="GW110" s="345" t="str">
        <f t="shared" si="965"/>
        <v/>
      </c>
      <c r="GX110" s="346" t="str">
        <f t="shared" si="966"/>
        <v/>
      </c>
      <c r="GY110" s="344" t="str">
        <f t="shared" si="967"/>
        <v/>
      </c>
      <c r="GZ110" s="345" t="str">
        <f t="shared" si="968"/>
        <v/>
      </c>
      <c r="HA110" s="342" t="str">
        <f t="shared" si="969"/>
        <v/>
      </c>
      <c r="HB110" s="5" t="str">
        <f t="shared" si="850"/>
        <v/>
      </c>
      <c r="HC110" s="343" t="str">
        <f t="shared" si="851"/>
        <v/>
      </c>
      <c r="HD110" s="363" t="str">
        <f t="shared" si="852"/>
        <v/>
      </c>
      <c r="HE110" s="344" t="str">
        <f t="shared" si="970"/>
        <v/>
      </c>
      <c r="HF110" s="5" t="str">
        <f t="shared" si="971"/>
        <v/>
      </c>
      <c r="HG110" s="343" t="str">
        <f t="shared" si="853"/>
        <v/>
      </c>
      <c r="HH110" s="349" t="str">
        <f t="shared" si="854"/>
        <v/>
      </c>
      <c r="HI110" s="317" t="str">
        <f t="shared" si="972"/>
        <v/>
      </c>
      <c r="HK110" s="310" t="str">
        <f t="shared" si="1025"/>
        <v/>
      </c>
      <c r="HL110" s="348" t="str">
        <f t="shared" si="973"/>
        <v/>
      </c>
      <c r="HM110" s="923" t="str">
        <f t="shared" si="974"/>
        <v/>
      </c>
      <c r="HN110" s="924" t="str">
        <f t="shared" si="975"/>
        <v/>
      </c>
      <c r="HO110" s="925"/>
      <c r="HP110" s="926"/>
      <c r="HQ110" s="924" t="str">
        <f t="shared" si="976"/>
        <v/>
      </c>
      <c r="HR110" s="927" t="str">
        <f t="shared" si="977"/>
        <v/>
      </c>
      <c r="HS110" s="879" t="str">
        <f t="shared" si="1026"/>
        <v/>
      </c>
      <c r="HT110" s="889" t="str">
        <f t="shared" si="978"/>
        <v/>
      </c>
      <c r="HU110" s="890" t="str">
        <f t="shared" si="979"/>
        <v/>
      </c>
      <c r="HV110" s="886" t="str">
        <f t="shared" si="980"/>
        <v/>
      </c>
      <c r="HW110" s="880" t="str">
        <f t="shared" si="981"/>
        <v/>
      </c>
      <c r="HX110" s="881" t="str">
        <f t="shared" si="982"/>
        <v/>
      </c>
      <c r="HY110" s="880" t="str">
        <f t="shared" si="983"/>
        <v/>
      </c>
      <c r="HZ110" s="882" t="str">
        <f t="shared" si="984"/>
        <v/>
      </c>
      <c r="IA110" s="883" t="str">
        <f t="shared" si="985"/>
        <v/>
      </c>
      <c r="IB110" s="884" t="str">
        <f t="shared" si="986"/>
        <v/>
      </c>
      <c r="IC110" s="855" t="str">
        <f t="shared" si="987"/>
        <v/>
      </c>
      <c r="ID110" s="351" t="str">
        <f t="shared" si="988"/>
        <v/>
      </c>
      <c r="IE110" s="857" t="str">
        <f t="shared" si="989"/>
        <v/>
      </c>
      <c r="IF110" s="858"/>
      <c r="IG110" s="790" t="str">
        <f>IFERROR(IF($IW110="","",IF($IW110&lt;(((Settings!$C$19/2)*-1)*$IG$8),"Taper","Nose")),"")</f>
        <v/>
      </c>
      <c r="IH110" s="482" t="str">
        <f>IFERROR(IF((((($IY110*COS(RADIANS(180-$JA110)))*COS(RADIANS($JA110)))-(($IZ110*SIN(RADIANS(180-$JA110)))*SIN(RADIANS($JA110))))+$IW110)&lt;(((Settings!$C$19+$IH$8)/2)*-1),"Gage",""),"")</f>
        <v/>
      </c>
      <c r="II110" s="788" t="str">
        <f t="shared" si="855"/>
        <v/>
      </c>
      <c r="IJ110" s="674" t="str" cm="1">
        <f t="array" ref="IJ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K110" s="677" t="str" cm="1">
        <f t="array" ref="IK110">IFERROR(ROUND(VALUE(IF($IJ110&lt;1,$IJ110+LARGE((IF($M$9:$M$150="",0,$M$9:$M$150)-MOD(IF($M$9:$M$150="",0,$M$9:$M$150),1)),1),$IJ110)),4),"")</f>
        <v/>
      </c>
      <c r="IL110" s="482" t="str">
        <f t="shared" si="990"/>
        <v/>
      </c>
      <c r="IM110" s="482" t="str">
        <f t="shared" si="856"/>
        <v/>
      </c>
      <c r="IN110" s="670" t="str">
        <f t="shared" si="991"/>
        <v/>
      </c>
      <c r="IO110" s="702"/>
      <c r="IP110" s="5" t="str">
        <f t="shared" si="992"/>
        <v/>
      </c>
      <c r="IQ110" s="714"/>
      <c r="IR110" s="9" t="str">
        <f t="shared" si="993"/>
        <v/>
      </c>
      <c r="IS110" s="5" t="str">
        <f t="shared" si="994"/>
        <v/>
      </c>
      <c r="IT110" s="5" t="str">
        <f t="shared" si="995"/>
        <v/>
      </c>
      <c r="IU110" s="5" t="str">
        <f t="shared" si="996"/>
        <v/>
      </c>
      <c r="IV110" s="670" t="str">
        <f t="shared" si="997"/>
        <v/>
      </c>
      <c r="IW110" s="9" t="str">
        <f t="shared" si="998"/>
        <v/>
      </c>
      <c r="IX110" s="5" t="str">
        <f t="shared" si="999"/>
        <v/>
      </c>
      <c r="IY110" s="5" t="str">
        <f t="shared" si="1000"/>
        <v/>
      </c>
      <c r="IZ110" s="5" t="str">
        <f t="shared" si="1001"/>
        <v/>
      </c>
      <c r="JA110" s="705" t="str">
        <f t="shared" si="1002"/>
        <v/>
      </c>
      <c r="JN110" s="960"/>
      <c r="JO110" s="162"/>
      <c r="JP110" s="961"/>
      <c r="JQ110" s="961"/>
    </row>
    <row r="111" spans="1:277" ht="15" customHeight="1" x14ac:dyDescent="0.25">
      <c r="A111" s="75" t="str">
        <f t="shared" si="917"/>
        <v/>
      </c>
      <c r="B111" s="578" t="str">
        <f t="shared" ref="B111:D111" si="1038">IFERROR(O266+($A111*-E111),"")</f>
        <v/>
      </c>
      <c r="C111" s="572" t="str">
        <f t="shared" si="1038"/>
        <v/>
      </c>
      <c r="D111" s="576" t="str">
        <f t="shared" si="1038"/>
        <v/>
      </c>
      <c r="E111" s="580" t="str">
        <f t="shared" ref="E111:K111" si="1039">R266</f>
        <v/>
      </c>
      <c r="F111" s="572" t="str">
        <f t="shared" si="1039"/>
        <v/>
      </c>
      <c r="G111" s="579" t="str">
        <f t="shared" si="1039"/>
        <v/>
      </c>
      <c r="H111" s="580" t="str">
        <f t="shared" si="1039"/>
        <v/>
      </c>
      <c r="I111" s="572" t="str">
        <f t="shared" si="1039"/>
        <v/>
      </c>
      <c r="J111" s="483" t="str">
        <f t="shared" si="728"/>
        <v/>
      </c>
      <c r="K111" s="806" t="str">
        <f t="shared" si="1039"/>
        <v/>
      </c>
      <c r="L111" s="309"/>
      <c r="M111" s="164" t="str">
        <f t="shared" si="920"/>
        <v/>
      </c>
      <c r="N111" s="575" t="str">
        <f t="shared" si="921"/>
        <v/>
      </c>
      <c r="O111" s="572" t="str">
        <f t="shared" si="922"/>
        <v/>
      </c>
      <c r="P111" s="576" t="str">
        <f t="shared" si="923"/>
        <v/>
      </c>
      <c r="Q111" s="528" t="str">
        <f t="shared" si="729"/>
        <v/>
      </c>
      <c r="R111" s="572" t="str">
        <f t="shared" si="1005"/>
        <v/>
      </c>
      <c r="S111" s="577" t="str">
        <f t="shared" si="1006"/>
        <v/>
      </c>
      <c r="T111" s="578" t="str">
        <f t="shared" si="1007"/>
        <v/>
      </c>
      <c r="U111" s="572" t="str">
        <f t="shared" si="1008"/>
        <v/>
      </c>
      <c r="V111" s="579" t="str">
        <f t="shared" si="1009"/>
        <v/>
      </c>
      <c r="W111" s="528" t="str">
        <f t="shared" si="866"/>
        <v/>
      </c>
      <c r="X111" s="572" t="str">
        <f t="shared" si="1010"/>
        <v/>
      </c>
      <c r="Y111" s="573" t="str">
        <f t="shared" si="859"/>
        <v/>
      </c>
      <c r="Z111" s="575" t="str">
        <f t="shared" si="924"/>
        <v/>
      </c>
      <c r="AA111" s="572" t="str">
        <f t="shared" si="925"/>
        <v/>
      </c>
      <c r="AB111" s="572" t="str">
        <f t="shared" si="926"/>
        <v/>
      </c>
      <c r="AC111" s="579" t="str">
        <f t="shared" si="1011"/>
        <v/>
      </c>
      <c r="AD111" s="580" t="str">
        <f t="shared" si="1012"/>
        <v/>
      </c>
      <c r="AE111" s="572" t="str">
        <f t="shared" si="1013"/>
        <v/>
      </c>
      <c r="AF111" s="576" t="str">
        <f t="shared" si="1014"/>
        <v/>
      </c>
      <c r="AG111" s="545" t="str">
        <f t="shared" si="1015"/>
        <v/>
      </c>
      <c r="AH111" s="546" t="str">
        <f t="shared" si="1016"/>
        <v/>
      </c>
      <c r="AI111" s="528" t="str">
        <f t="shared" si="1017"/>
        <v/>
      </c>
      <c r="AJ111" s="529" t="str">
        <f t="shared" si="1018"/>
        <v/>
      </c>
      <c r="AK111" s="578" t="str">
        <f t="shared" si="1019"/>
        <v/>
      </c>
      <c r="AL111" s="572" t="str">
        <f t="shared" si="1020"/>
        <v/>
      </c>
      <c r="AM111" s="577" t="str">
        <f t="shared" si="1021"/>
        <v/>
      </c>
      <c r="AN111" s="524" t="str">
        <f t="shared" si="1022"/>
        <v/>
      </c>
      <c r="AO111" s="525" t="str">
        <f t="shared" si="604"/>
        <v/>
      </c>
      <c r="AP111" s="528" t="str">
        <f t="shared" si="1023"/>
        <v/>
      </c>
      <c r="AQ111" s="529" t="str">
        <f t="shared" si="927"/>
        <v/>
      </c>
      <c r="AS111" s="954" t="str">
        <f t="shared" si="1029"/>
        <v/>
      </c>
      <c r="AT111" s="950" t="str">
        <f t="shared" si="928"/>
        <v/>
      </c>
      <c r="AU111" s="418"/>
      <c r="AV111" s="164" t="str">
        <f t="shared" si="929"/>
        <v/>
      </c>
      <c r="AW111" s="797" t="str">
        <f>IFERROR(INDEX(MassProp!C$9:C$150,MATCH($M111,MassProp!$B$9:$B$150,0)),"")</f>
        <v/>
      </c>
      <c r="AX111" s="744" t="str">
        <f>IFERROR(INDEX(MassProp!D$9:D$150,MATCH($M111,MassProp!$B$9:$B$150,0)),"")</f>
        <v/>
      </c>
      <c r="AY111" s="731" t="str">
        <f>IFERROR(INDEX(MassProp!E$9:E$150,MATCH($M111,MassProp!$B$9:$B$150,0)),"")</f>
        <v/>
      </c>
      <c r="AZ111" s="297" t="str">
        <f t="shared" si="756"/>
        <v/>
      </c>
      <c r="BA111" s="296" t="str">
        <f t="shared" si="930"/>
        <v/>
      </c>
      <c r="BB111" s="177" t="str">
        <f t="shared" si="730"/>
        <v/>
      </c>
      <c r="BC111" s="9"/>
      <c r="BD111" s="5" t="str">
        <f t="shared" si="731"/>
        <v/>
      </c>
      <c r="BE111" s="6" t="str">
        <f t="shared" si="931"/>
        <v/>
      </c>
      <c r="BF111" s="4" t="str">
        <f t="shared" si="932"/>
        <v/>
      </c>
      <c r="BG111" s="5" t="str">
        <f t="shared" si="933"/>
        <v/>
      </c>
      <c r="BH111" s="10" t="str">
        <f t="shared" si="934"/>
        <v/>
      </c>
      <c r="BI111" s="9" t="str">
        <f t="shared" si="757"/>
        <v/>
      </c>
      <c r="BJ111" s="5" t="str">
        <f t="shared" si="935"/>
        <v/>
      </c>
      <c r="BK111" s="8" t="str">
        <f t="shared" si="936"/>
        <v/>
      </c>
      <c r="BL111" s="173" t="str">
        <f t="shared" si="937"/>
        <v/>
      </c>
      <c r="BM111" s="5" t="str">
        <f t="shared" si="938"/>
        <v/>
      </c>
      <c r="BN111" s="6" t="str">
        <f t="shared" si="939"/>
        <v/>
      </c>
      <c r="BO111" s="4" t="str">
        <f t="shared" si="758"/>
        <v/>
      </c>
      <c r="BP111" s="5" t="str">
        <f t="shared" si="759"/>
        <v/>
      </c>
      <c r="BQ111" s="5" t="str">
        <f t="shared" si="760"/>
        <v/>
      </c>
      <c r="BR111" s="6" t="str">
        <f t="shared" si="761"/>
        <v/>
      </c>
      <c r="BS111" s="4" t="str">
        <f t="shared" si="1024"/>
        <v/>
      </c>
      <c r="BT111" s="5" t="str">
        <f t="shared" si="1024"/>
        <v/>
      </c>
      <c r="BU111" s="10" t="str">
        <f t="shared" si="733"/>
        <v/>
      </c>
      <c r="BV111" s="9" t="str">
        <f t="shared" si="734"/>
        <v/>
      </c>
      <c r="BW111" s="5" t="str">
        <f t="shared" si="735"/>
        <v/>
      </c>
      <c r="BX111" s="8" t="str">
        <f t="shared" si="736"/>
        <v/>
      </c>
      <c r="BY111" s="173" t="str">
        <f t="shared" si="737"/>
        <v/>
      </c>
      <c r="BZ111" s="5" t="str">
        <f t="shared" si="738"/>
        <v/>
      </c>
      <c r="CA111" s="6" t="str">
        <f t="shared" si="739"/>
        <v/>
      </c>
      <c r="CB111" s="4" t="str">
        <f t="shared" si="762"/>
        <v/>
      </c>
      <c r="CC111" s="5" t="str">
        <f t="shared" si="763"/>
        <v/>
      </c>
      <c r="CD111" s="5" t="str">
        <f t="shared" si="764"/>
        <v/>
      </c>
      <c r="CE111" s="6" t="str">
        <f t="shared" si="765"/>
        <v/>
      </c>
      <c r="CF111" s="4" t="str">
        <f t="shared" si="766"/>
        <v/>
      </c>
      <c r="CG111" s="5" t="str">
        <f t="shared" si="767"/>
        <v/>
      </c>
      <c r="CH111" s="5" t="str">
        <f t="shared" si="768"/>
        <v/>
      </c>
      <c r="CI111" s="4" t="str">
        <f t="shared" si="740"/>
        <v/>
      </c>
      <c r="CJ111" s="5" t="str">
        <f t="shared" si="741"/>
        <v/>
      </c>
      <c r="CK111" s="8" t="str">
        <f t="shared" si="742"/>
        <v/>
      </c>
      <c r="CL111" s="173" t="str">
        <f t="shared" si="743"/>
        <v/>
      </c>
      <c r="CM111" s="5" t="str">
        <f t="shared" si="744"/>
        <v/>
      </c>
      <c r="CN111" s="6" t="str">
        <f t="shared" si="745"/>
        <v/>
      </c>
      <c r="CO111" s="167" t="str">
        <f t="shared" si="940"/>
        <v/>
      </c>
      <c r="CP111" s="4" t="str">
        <f t="shared" si="769"/>
        <v/>
      </c>
      <c r="CQ111" s="5" t="str">
        <f t="shared" si="770"/>
        <v/>
      </c>
      <c r="CR111" s="5" t="str">
        <f t="shared" si="771"/>
        <v/>
      </c>
      <c r="CS111" s="8" t="str">
        <f t="shared" si="772"/>
        <v/>
      </c>
      <c r="CT111" s="9" t="str">
        <f t="shared" si="773"/>
        <v/>
      </c>
      <c r="CU111" s="6" t="str">
        <f t="shared" si="774"/>
        <v/>
      </c>
      <c r="CV111" s="4" t="str">
        <f t="shared" si="775"/>
        <v/>
      </c>
      <c r="CW111" s="5" t="str">
        <f t="shared" si="776"/>
        <v/>
      </c>
      <c r="CX111" s="8" t="str">
        <f t="shared" si="777"/>
        <v/>
      </c>
      <c r="CY111" s="9" t="str">
        <f t="shared" si="778"/>
        <v/>
      </c>
      <c r="CZ111" s="5" t="str">
        <f t="shared" si="779"/>
        <v/>
      </c>
      <c r="DA111" s="6" t="str">
        <f t="shared" si="780"/>
        <v/>
      </c>
      <c r="DB111" s="4" t="str">
        <f t="shared" si="1030"/>
        <v/>
      </c>
      <c r="DC111" s="5" t="str">
        <f t="shared" si="1030"/>
        <v/>
      </c>
      <c r="DD111" s="10" t="str">
        <f t="shared" si="782"/>
        <v/>
      </c>
      <c r="DE111" s="9" t="str">
        <f t="shared" si="1031"/>
        <v/>
      </c>
      <c r="DF111" s="5" t="str">
        <f t="shared" si="1031"/>
        <v/>
      </c>
      <c r="DG111" s="10" t="str">
        <f t="shared" si="784"/>
        <v/>
      </c>
      <c r="DH111" s="70" t="str">
        <f t="shared" si="785"/>
        <v/>
      </c>
      <c r="DI111" s="4" t="str">
        <f t="shared" si="786"/>
        <v/>
      </c>
      <c r="DJ111" s="5" t="str">
        <f t="shared" si="787"/>
        <v/>
      </c>
      <c r="DK111" s="10" t="str">
        <f t="shared" si="788"/>
        <v/>
      </c>
      <c r="DL111" s="9" t="str">
        <f t="shared" si="789"/>
        <v/>
      </c>
      <c r="DM111" s="173" t="str">
        <f t="shared" si="790"/>
        <v/>
      </c>
      <c r="DN111" s="178" t="str">
        <f t="shared" si="791"/>
        <v/>
      </c>
      <c r="DO111" s="9" t="str">
        <f t="shared" si="792"/>
        <v/>
      </c>
      <c r="DP111" s="173" t="str">
        <f t="shared" si="793"/>
        <v/>
      </c>
      <c r="DQ111" s="11" t="str">
        <f t="shared" si="794"/>
        <v/>
      </c>
      <c r="DR111" s="173" t="str">
        <f t="shared" si="795"/>
        <v/>
      </c>
      <c r="DS111" s="5" t="str">
        <f t="shared" si="796"/>
        <v/>
      </c>
      <c r="DT111" s="5" t="str">
        <f t="shared" si="797"/>
        <v/>
      </c>
      <c r="DU111" s="5" t="str">
        <f t="shared" si="798"/>
        <v/>
      </c>
      <c r="DV111" s="5" t="str">
        <f t="shared" si="799"/>
        <v/>
      </c>
      <c r="DW111" s="5" t="str">
        <f t="shared" si="800"/>
        <v/>
      </c>
      <c r="DX111" s="167" t="str">
        <f t="shared" si="801"/>
        <v/>
      </c>
      <c r="DY111" s="9" t="str">
        <f t="shared" si="802"/>
        <v/>
      </c>
      <c r="DZ111" s="5" t="str">
        <f t="shared" si="803"/>
        <v/>
      </c>
      <c r="EA111" s="10" t="str">
        <f t="shared" si="804"/>
        <v/>
      </c>
      <c r="EB111" s="6" t="str">
        <f t="shared" si="805"/>
        <v/>
      </c>
      <c r="EC111" s="173" t="str">
        <f t="shared" si="806"/>
        <v/>
      </c>
      <c r="ED111" s="5" t="str">
        <f t="shared" si="807"/>
        <v/>
      </c>
      <c r="EE111" s="4" t="str">
        <f t="shared" si="808"/>
        <v/>
      </c>
      <c r="EF111" s="5" t="str">
        <f t="shared" si="809"/>
        <v/>
      </c>
      <c r="EG111" s="10" t="str">
        <f t="shared" si="810"/>
        <v/>
      </c>
      <c r="EH111" s="9" t="str">
        <f t="shared" si="811"/>
        <v/>
      </c>
      <c r="EI111" s="5" t="str">
        <f t="shared" si="812"/>
        <v/>
      </c>
      <c r="EJ111" s="6" t="str">
        <f t="shared" si="813"/>
        <v/>
      </c>
      <c r="EK111" s="236" t="str">
        <f t="shared" si="814"/>
        <v/>
      </c>
      <c r="EL111" s="238" t="str">
        <f t="shared" si="815"/>
        <v/>
      </c>
      <c r="EM111" s="4" t="str">
        <f t="shared" si="816"/>
        <v/>
      </c>
      <c r="EN111" s="5" t="str">
        <f t="shared" si="817"/>
        <v/>
      </c>
      <c r="EO111" s="10" t="str">
        <f t="shared" si="818"/>
        <v/>
      </c>
      <c r="EP111" s="9" t="str">
        <f t="shared" si="819"/>
        <v/>
      </c>
      <c r="EQ111" s="5" t="str">
        <f t="shared" si="820"/>
        <v/>
      </c>
      <c r="ER111" s="7" t="str">
        <f t="shared" si="821"/>
        <v/>
      </c>
      <c r="ES111" s="21" t="str">
        <f t="shared" si="941"/>
        <v/>
      </c>
      <c r="ET111" s="5" t="str">
        <f t="shared" si="942"/>
        <v/>
      </c>
      <c r="EU111" s="10" t="str">
        <f t="shared" si="943"/>
        <v/>
      </c>
      <c r="EV111" s="174" t="str">
        <f t="shared" si="944"/>
        <v/>
      </c>
      <c r="EW111" s="9" t="str">
        <f t="shared" si="945"/>
        <v/>
      </c>
      <c r="EX111" s="5" t="str">
        <f t="shared" si="946"/>
        <v/>
      </c>
      <c r="EY111" s="6" t="str">
        <f t="shared" si="822"/>
        <v/>
      </c>
      <c r="EZ111" s="51" t="str">
        <f t="shared" si="823"/>
        <v/>
      </c>
      <c r="FA111" s="173" t="str">
        <f t="shared" si="947"/>
        <v/>
      </c>
      <c r="FB111" s="5" t="str">
        <f t="shared" si="948"/>
        <v/>
      </c>
      <c r="FC111" s="6" t="str">
        <f t="shared" si="949"/>
        <v/>
      </c>
      <c r="FD111" s="4" t="str">
        <f t="shared" si="950"/>
        <v/>
      </c>
      <c r="FE111" s="5" t="str">
        <f t="shared" si="951"/>
        <v/>
      </c>
      <c r="FF111" s="7" t="str">
        <f t="shared" si="824"/>
        <v/>
      </c>
      <c r="FG111" s="173" t="str">
        <f t="shared" si="952"/>
        <v/>
      </c>
      <c r="FH111" s="5" t="str">
        <f t="shared" si="953"/>
        <v/>
      </c>
      <c r="FI111" s="10" t="str">
        <f t="shared" si="954"/>
        <v/>
      </c>
      <c r="FJ111" s="279" t="str">
        <f t="shared" si="825"/>
        <v/>
      </c>
      <c r="FK111" s="4" t="str">
        <f t="shared" si="955"/>
        <v/>
      </c>
      <c r="FL111" s="5" t="str">
        <f t="shared" si="746"/>
        <v/>
      </c>
      <c r="FM111" s="8" t="str">
        <f t="shared" si="747"/>
        <v/>
      </c>
      <c r="FN111" s="9" t="str">
        <f t="shared" si="748"/>
        <v/>
      </c>
      <c r="FO111" s="10" t="str">
        <f t="shared" si="956"/>
        <v/>
      </c>
      <c r="FP111" s="277" t="str">
        <f t="shared" si="749"/>
        <v/>
      </c>
      <c r="FQ111" s="173" t="str">
        <f t="shared" si="826"/>
        <v/>
      </c>
      <c r="FR111" s="10" t="str">
        <f t="shared" si="827"/>
        <v/>
      </c>
      <c r="FS111" s="9" t="str">
        <f t="shared" si="828"/>
        <v/>
      </c>
      <c r="FT111" s="6" t="str">
        <f t="shared" si="829"/>
        <v/>
      </c>
      <c r="FU111" s="4" t="str">
        <f t="shared" si="830"/>
        <v/>
      </c>
      <c r="FV111" s="5" t="str">
        <f t="shared" si="831"/>
        <v/>
      </c>
      <c r="FW111" s="8" t="str">
        <f t="shared" si="832"/>
        <v/>
      </c>
      <c r="FX111" s="9" t="str">
        <f t="shared" si="833"/>
        <v/>
      </c>
      <c r="FY111" s="10" t="str">
        <f t="shared" si="957"/>
        <v/>
      </c>
      <c r="FZ111" s="277" t="str">
        <f t="shared" si="834"/>
        <v/>
      </c>
      <c r="GA111" s="177" t="str">
        <f t="shared" si="835"/>
        <v/>
      </c>
      <c r="GB111" s="4" t="str">
        <f t="shared" si="836"/>
        <v/>
      </c>
      <c r="GC111" s="5" t="str">
        <f t="shared" si="837"/>
        <v/>
      </c>
      <c r="GD111" s="10" t="str">
        <f t="shared" si="838"/>
        <v/>
      </c>
      <c r="GE111" s="311" t="str">
        <f t="shared" si="839"/>
        <v/>
      </c>
      <c r="GF111" s="341" t="str">
        <f t="shared" si="840"/>
        <v/>
      </c>
      <c r="GG111" s="285" t="str">
        <f t="shared" si="958"/>
        <v/>
      </c>
      <c r="GH111" s="286" t="str">
        <f t="shared" si="959"/>
        <v/>
      </c>
      <c r="GI111" s="281" t="str">
        <f t="shared" si="960"/>
        <v/>
      </c>
      <c r="GJ111" s="167" t="str">
        <f t="shared" si="841"/>
        <v/>
      </c>
      <c r="GK111" s="174" t="str">
        <f t="shared" si="961"/>
        <v/>
      </c>
      <c r="GL111" s="174" t="str">
        <f t="shared" si="842"/>
        <v/>
      </c>
      <c r="GM111" s="177" t="str">
        <f t="shared" si="843"/>
        <v/>
      </c>
      <c r="GN111" s="280" t="str">
        <f t="shared" si="844"/>
        <v/>
      </c>
      <c r="GO111" s="4" t="str">
        <f t="shared" si="845"/>
        <v/>
      </c>
      <c r="GP111" s="8" t="str">
        <f t="shared" si="846"/>
        <v/>
      </c>
      <c r="GQ111" s="177" t="str">
        <f t="shared" si="847"/>
        <v/>
      </c>
      <c r="GR111" s="371" t="str">
        <f t="shared" si="848"/>
        <v/>
      </c>
      <c r="GS111" s="342" t="str">
        <f t="shared" si="962"/>
        <v/>
      </c>
      <c r="GT111" s="343" t="str">
        <f t="shared" si="963"/>
        <v/>
      </c>
      <c r="GU111" s="344" t="str">
        <f t="shared" si="964"/>
        <v/>
      </c>
      <c r="GV111" s="343" t="str">
        <f t="shared" si="849"/>
        <v/>
      </c>
      <c r="GW111" s="345" t="str">
        <f t="shared" si="965"/>
        <v/>
      </c>
      <c r="GX111" s="346" t="str">
        <f t="shared" si="966"/>
        <v/>
      </c>
      <c r="GY111" s="344" t="str">
        <f t="shared" si="967"/>
        <v/>
      </c>
      <c r="GZ111" s="345" t="str">
        <f t="shared" si="968"/>
        <v/>
      </c>
      <c r="HA111" s="342" t="str">
        <f t="shared" si="969"/>
        <v/>
      </c>
      <c r="HB111" s="5" t="str">
        <f t="shared" si="850"/>
        <v/>
      </c>
      <c r="HC111" s="343" t="str">
        <f t="shared" si="851"/>
        <v/>
      </c>
      <c r="HD111" s="363" t="str">
        <f t="shared" si="852"/>
        <v/>
      </c>
      <c r="HE111" s="344" t="str">
        <f t="shared" si="970"/>
        <v/>
      </c>
      <c r="HF111" s="5" t="str">
        <f t="shared" si="971"/>
        <v/>
      </c>
      <c r="HG111" s="343" t="str">
        <f t="shared" si="853"/>
        <v/>
      </c>
      <c r="HH111" s="349" t="str">
        <f t="shared" si="854"/>
        <v/>
      </c>
      <c r="HI111" s="317" t="str">
        <f t="shared" si="972"/>
        <v/>
      </c>
      <c r="HK111" s="310" t="str">
        <f t="shared" si="1025"/>
        <v/>
      </c>
      <c r="HL111" s="348" t="str">
        <f t="shared" si="973"/>
        <v/>
      </c>
      <c r="HM111" s="923" t="str">
        <f t="shared" si="974"/>
        <v/>
      </c>
      <c r="HN111" s="924" t="str">
        <f t="shared" si="975"/>
        <v/>
      </c>
      <c r="HO111" s="925"/>
      <c r="HP111" s="926"/>
      <c r="HQ111" s="924" t="str">
        <f t="shared" si="976"/>
        <v/>
      </c>
      <c r="HR111" s="927" t="str">
        <f t="shared" si="977"/>
        <v/>
      </c>
      <c r="HS111" s="879" t="str">
        <f t="shared" si="1026"/>
        <v/>
      </c>
      <c r="HT111" s="889" t="str">
        <f t="shared" si="978"/>
        <v/>
      </c>
      <c r="HU111" s="890" t="str">
        <f t="shared" si="979"/>
        <v/>
      </c>
      <c r="HV111" s="886" t="str">
        <f t="shared" si="980"/>
        <v/>
      </c>
      <c r="HW111" s="880" t="str">
        <f t="shared" si="981"/>
        <v/>
      </c>
      <c r="HX111" s="881" t="str">
        <f t="shared" si="982"/>
        <v/>
      </c>
      <c r="HY111" s="880" t="str">
        <f t="shared" si="983"/>
        <v/>
      </c>
      <c r="HZ111" s="882" t="str">
        <f t="shared" si="984"/>
        <v/>
      </c>
      <c r="IA111" s="883" t="str">
        <f t="shared" si="985"/>
        <v/>
      </c>
      <c r="IB111" s="884" t="str">
        <f t="shared" si="986"/>
        <v/>
      </c>
      <c r="IC111" s="855" t="str">
        <f t="shared" si="987"/>
        <v/>
      </c>
      <c r="ID111" s="351" t="str">
        <f t="shared" si="988"/>
        <v/>
      </c>
      <c r="IE111" s="857" t="str">
        <f t="shared" si="989"/>
        <v/>
      </c>
      <c r="IF111" s="858"/>
      <c r="IG111" s="790" t="str">
        <f>IFERROR(IF($IW111="","",IF($IW111&lt;(((Settings!$C$19/2)*-1)*$IG$8),"Taper","Nose")),"")</f>
        <v/>
      </c>
      <c r="IH111" s="482" t="str">
        <f>IFERROR(IF((((($IY111*COS(RADIANS(180-$JA111)))*COS(RADIANS($JA111)))-(($IZ111*SIN(RADIANS(180-$JA111)))*SIN(RADIANS($JA111))))+$IW111)&lt;(((Settings!$C$19+$IH$8)/2)*-1),"Gage",""),"")</f>
        <v/>
      </c>
      <c r="II111" s="788" t="str">
        <f t="shared" si="855"/>
        <v/>
      </c>
      <c r="IJ111" s="674" t="str" cm="1">
        <f t="array" ref="IJ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K111" s="677" t="str" cm="1">
        <f t="array" ref="IK111">IFERROR(ROUND(VALUE(IF($IJ111&lt;1,$IJ111+LARGE((IF($M$9:$M$150="",0,$M$9:$M$150)-MOD(IF($M$9:$M$150="",0,$M$9:$M$150),1)),1),$IJ111)),4),"")</f>
        <v/>
      </c>
      <c r="IL111" s="482" t="str">
        <f t="shared" si="990"/>
        <v/>
      </c>
      <c r="IM111" s="482" t="str">
        <f t="shared" si="856"/>
        <v/>
      </c>
      <c r="IN111" s="670" t="str">
        <f t="shared" si="991"/>
        <v/>
      </c>
      <c r="IO111" s="702"/>
      <c r="IP111" s="5" t="str">
        <f t="shared" si="992"/>
        <v/>
      </c>
      <c r="IQ111" s="714"/>
      <c r="IR111" s="9" t="str">
        <f t="shared" si="993"/>
        <v/>
      </c>
      <c r="IS111" s="5" t="str">
        <f t="shared" si="994"/>
        <v/>
      </c>
      <c r="IT111" s="5" t="str">
        <f t="shared" si="995"/>
        <v/>
      </c>
      <c r="IU111" s="5" t="str">
        <f t="shared" si="996"/>
        <v/>
      </c>
      <c r="IV111" s="670" t="str">
        <f t="shared" si="997"/>
        <v/>
      </c>
      <c r="IW111" s="9" t="str">
        <f t="shared" si="998"/>
        <v/>
      </c>
      <c r="IX111" s="5" t="str">
        <f t="shared" si="999"/>
        <v/>
      </c>
      <c r="IY111" s="5" t="str">
        <f t="shared" si="1000"/>
        <v/>
      </c>
      <c r="IZ111" s="5" t="str">
        <f t="shared" si="1001"/>
        <v/>
      </c>
      <c r="JA111" s="705" t="str">
        <f t="shared" si="1002"/>
        <v/>
      </c>
      <c r="JN111" s="960"/>
      <c r="JO111" s="162"/>
      <c r="JP111" s="961"/>
      <c r="JQ111" s="961"/>
    </row>
    <row r="112" spans="1:277" ht="15" customHeight="1" x14ac:dyDescent="0.25">
      <c r="A112" s="75" t="str">
        <f t="shared" si="917"/>
        <v/>
      </c>
      <c r="B112" s="578" t="str">
        <f t="shared" ref="B112:D112" si="1040">IFERROR(O267+($A112*-E112),"")</f>
        <v/>
      </c>
      <c r="C112" s="572" t="str">
        <f t="shared" si="1040"/>
        <v/>
      </c>
      <c r="D112" s="576" t="str">
        <f t="shared" si="1040"/>
        <v/>
      </c>
      <c r="E112" s="580" t="str">
        <f t="shared" ref="E112:K112" si="1041">R267</f>
        <v/>
      </c>
      <c r="F112" s="572" t="str">
        <f t="shared" si="1041"/>
        <v/>
      </c>
      <c r="G112" s="579" t="str">
        <f t="shared" si="1041"/>
        <v/>
      </c>
      <c r="H112" s="580" t="str">
        <f t="shared" si="1041"/>
        <v/>
      </c>
      <c r="I112" s="572" t="str">
        <f t="shared" si="1041"/>
        <v/>
      </c>
      <c r="J112" s="483" t="str">
        <f t="shared" si="728"/>
        <v/>
      </c>
      <c r="K112" s="806" t="str">
        <f t="shared" si="1041"/>
        <v/>
      </c>
      <c r="L112" s="309"/>
      <c r="M112" s="164" t="str">
        <f t="shared" si="920"/>
        <v/>
      </c>
      <c r="N112" s="575" t="str">
        <f t="shared" si="921"/>
        <v/>
      </c>
      <c r="O112" s="572" t="str">
        <f t="shared" si="922"/>
        <v/>
      </c>
      <c r="P112" s="576" t="str">
        <f t="shared" si="923"/>
        <v/>
      </c>
      <c r="Q112" s="528" t="str">
        <f t="shared" si="729"/>
        <v/>
      </c>
      <c r="R112" s="572" t="str">
        <f t="shared" si="1005"/>
        <v/>
      </c>
      <c r="S112" s="577" t="str">
        <f t="shared" si="1006"/>
        <v/>
      </c>
      <c r="T112" s="578" t="str">
        <f t="shared" si="1007"/>
        <v/>
      </c>
      <c r="U112" s="572" t="str">
        <f t="shared" si="1008"/>
        <v/>
      </c>
      <c r="V112" s="579" t="str">
        <f t="shared" si="1009"/>
        <v/>
      </c>
      <c r="W112" s="528" t="str">
        <f t="shared" si="866"/>
        <v/>
      </c>
      <c r="X112" s="572" t="str">
        <f t="shared" si="1010"/>
        <v/>
      </c>
      <c r="Y112" s="573" t="str">
        <f t="shared" si="859"/>
        <v/>
      </c>
      <c r="Z112" s="575" t="str">
        <f t="shared" si="924"/>
        <v/>
      </c>
      <c r="AA112" s="572" t="str">
        <f t="shared" si="925"/>
        <v/>
      </c>
      <c r="AB112" s="572" t="str">
        <f t="shared" si="926"/>
        <v/>
      </c>
      <c r="AC112" s="579" t="str">
        <f t="shared" si="1011"/>
        <v/>
      </c>
      <c r="AD112" s="580" t="str">
        <f t="shared" si="1012"/>
        <v/>
      </c>
      <c r="AE112" s="572" t="str">
        <f t="shared" si="1013"/>
        <v/>
      </c>
      <c r="AF112" s="576" t="str">
        <f t="shared" si="1014"/>
        <v/>
      </c>
      <c r="AG112" s="545" t="str">
        <f t="shared" si="1015"/>
        <v/>
      </c>
      <c r="AH112" s="546" t="str">
        <f t="shared" si="1016"/>
        <v/>
      </c>
      <c r="AI112" s="528" t="str">
        <f t="shared" si="1017"/>
        <v/>
      </c>
      <c r="AJ112" s="529" t="str">
        <f t="shared" si="1018"/>
        <v/>
      </c>
      <c r="AK112" s="578" t="str">
        <f t="shared" si="1019"/>
        <v/>
      </c>
      <c r="AL112" s="572" t="str">
        <f t="shared" si="1020"/>
        <v/>
      </c>
      <c r="AM112" s="577" t="str">
        <f t="shared" si="1021"/>
        <v/>
      </c>
      <c r="AN112" s="524" t="str">
        <f t="shared" si="1022"/>
        <v/>
      </c>
      <c r="AO112" s="525" t="str">
        <f t="shared" si="604"/>
        <v/>
      </c>
      <c r="AP112" s="528" t="str">
        <f t="shared" si="1023"/>
        <v/>
      </c>
      <c r="AQ112" s="529" t="str">
        <f t="shared" si="927"/>
        <v/>
      </c>
      <c r="AS112" s="954" t="str">
        <f t="shared" si="1029"/>
        <v/>
      </c>
      <c r="AT112" s="950" t="str">
        <f t="shared" si="928"/>
        <v/>
      </c>
      <c r="AU112" s="418"/>
      <c r="AV112" s="164" t="str">
        <f t="shared" si="929"/>
        <v/>
      </c>
      <c r="AW112" s="797" t="str">
        <f>IFERROR(INDEX(MassProp!C$9:C$150,MATCH($M112,MassProp!$B$9:$B$150,0)),"")</f>
        <v/>
      </c>
      <c r="AX112" s="744" t="str">
        <f>IFERROR(INDEX(MassProp!D$9:D$150,MATCH($M112,MassProp!$B$9:$B$150,0)),"")</f>
        <v/>
      </c>
      <c r="AY112" s="731" t="str">
        <f>IFERROR(INDEX(MassProp!E$9:E$150,MATCH($M112,MassProp!$B$9:$B$150,0)),"")</f>
        <v/>
      </c>
      <c r="AZ112" s="297" t="str">
        <f t="shared" si="756"/>
        <v/>
      </c>
      <c r="BA112" s="296" t="str">
        <f t="shared" si="930"/>
        <v/>
      </c>
      <c r="BB112" s="177" t="str">
        <f t="shared" si="730"/>
        <v/>
      </c>
      <c r="BC112" s="9"/>
      <c r="BD112" s="5" t="str">
        <f t="shared" si="731"/>
        <v/>
      </c>
      <c r="BE112" s="6" t="str">
        <f t="shared" si="931"/>
        <v/>
      </c>
      <c r="BF112" s="4" t="str">
        <f t="shared" si="932"/>
        <v/>
      </c>
      <c r="BG112" s="5" t="str">
        <f t="shared" si="933"/>
        <v/>
      </c>
      <c r="BH112" s="10" t="str">
        <f t="shared" si="934"/>
        <v/>
      </c>
      <c r="BI112" s="9" t="str">
        <f t="shared" si="757"/>
        <v/>
      </c>
      <c r="BJ112" s="5" t="str">
        <f t="shared" si="935"/>
        <v/>
      </c>
      <c r="BK112" s="8" t="str">
        <f t="shared" si="936"/>
        <v/>
      </c>
      <c r="BL112" s="173" t="str">
        <f t="shared" si="937"/>
        <v/>
      </c>
      <c r="BM112" s="5" t="str">
        <f t="shared" si="938"/>
        <v/>
      </c>
      <c r="BN112" s="6" t="str">
        <f t="shared" si="939"/>
        <v/>
      </c>
      <c r="BO112" s="4" t="str">
        <f t="shared" si="758"/>
        <v/>
      </c>
      <c r="BP112" s="5" t="str">
        <f t="shared" si="759"/>
        <v/>
      </c>
      <c r="BQ112" s="5" t="str">
        <f t="shared" si="760"/>
        <v/>
      </c>
      <c r="BR112" s="6" t="str">
        <f t="shared" si="761"/>
        <v/>
      </c>
      <c r="BS112" s="4" t="str">
        <f t="shared" si="1024"/>
        <v/>
      </c>
      <c r="BT112" s="5" t="str">
        <f t="shared" si="1024"/>
        <v/>
      </c>
      <c r="BU112" s="10" t="str">
        <f t="shared" si="733"/>
        <v/>
      </c>
      <c r="BV112" s="9" t="str">
        <f t="shared" si="734"/>
        <v/>
      </c>
      <c r="BW112" s="5" t="str">
        <f t="shared" si="735"/>
        <v/>
      </c>
      <c r="BX112" s="8" t="str">
        <f t="shared" si="736"/>
        <v/>
      </c>
      <c r="BY112" s="173" t="str">
        <f t="shared" si="737"/>
        <v/>
      </c>
      <c r="BZ112" s="5" t="str">
        <f t="shared" si="738"/>
        <v/>
      </c>
      <c r="CA112" s="6" t="str">
        <f t="shared" si="739"/>
        <v/>
      </c>
      <c r="CB112" s="4" t="str">
        <f t="shared" si="762"/>
        <v/>
      </c>
      <c r="CC112" s="5" t="str">
        <f t="shared" si="763"/>
        <v/>
      </c>
      <c r="CD112" s="5" t="str">
        <f t="shared" si="764"/>
        <v/>
      </c>
      <c r="CE112" s="6" t="str">
        <f t="shared" si="765"/>
        <v/>
      </c>
      <c r="CF112" s="4" t="str">
        <f t="shared" si="766"/>
        <v/>
      </c>
      <c r="CG112" s="5" t="str">
        <f t="shared" si="767"/>
        <v/>
      </c>
      <c r="CH112" s="5" t="str">
        <f t="shared" si="768"/>
        <v/>
      </c>
      <c r="CI112" s="4" t="str">
        <f t="shared" si="740"/>
        <v/>
      </c>
      <c r="CJ112" s="5" t="str">
        <f t="shared" si="741"/>
        <v/>
      </c>
      <c r="CK112" s="8" t="str">
        <f t="shared" si="742"/>
        <v/>
      </c>
      <c r="CL112" s="173" t="str">
        <f t="shared" si="743"/>
        <v/>
      </c>
      <c r="CM112" s="5" t="str">
        <f t="shared" si="744"/>
        <v/>
      </c>
      <c r="CN112" s="6" t="str">
        <f t="shared" si="745"/>
        <v/>
      </c>
      <c r="CO112" s="167" t="str">
        <f t="shared" si="940"/>
        <v/>
      </c>
      <c r="CP112" s="4" t="str">
        <f t="shared" si="769"/>
        <v/>
      </c>
      <c r="CQ112" s="5" t="str">
        <f t="shared" si="770"/>
        <v/>
      </c>
      <c r="CR112" s="5" t="str">
        <f t="shared" si="771"/>
        <v/>
      </c>
      <c r="CS112" s="8" t="str">
        <f t="shared" si="772"/>
        <v/>
      </c>
      <c r="CT112" s="9" t="str">
        <f t="shared" si="773"/>
        <v/>
      </c>
      <c r="CU112" s="6" t="str">
        <f t="shared" si="774"/>
        <v/>
      </c>
      <c r="CV112" s="4" t="str">
        <f t="shared" si="775"/>
        <v/>
      </c>
      <c r="CW112" s="5" t="str">
        <f t="shared" si="776"/>
        <v/>
      </c>
      <c r="CX112" s="8" t="str">
        <f t="shared" si="777"/>
        <v/>
      </c>
      <c r="CY112" s="9" t="str">
        <f t="shared" si="778"/>
        <v/>
      </c>
      <c r="CZ112" s="5" t="str">
        <f t="shared" si="779"/>
        <v/>
      </c>
      <c r="DA112" s="6" t="str">
        <f t="shared" si="780"/>
        <v/>
      </c>
      <c r="DB112" s="4" t="str">
        <f t="shared" si="1030"/>
        <v/>
      </c>
      <c r="DC112" s="5" t="str">
        <f t="shared" si="1030"/>
        <v/>
      </c>
      <c r="DD112" s="10" t="str">
        <f t="shared" si="782"/>
        <v/>
      </c>
      <c r="DE112" s="9" t="str">
        <f t="shared" si="1031"/>
        <v/>
      </c>
      <c r="DF112" s="5" t="str">
        <f t="shared" si="1031"/>
        <v/>
      </c>
      <c r="DG112" s="10" t="str">
        <f t="shared" si="784"/>
        <v/>
      </c>
      <c r="DH112" s="70" t="str">
        <f t="shared" si="785"/>
        <v/>
      </c>
      <c r="DI112" s="4" t="str">
        <f t="shared" si="786"/>
        <v/>
      </c>
      <c r="DJ112" s="5" t="str">
        <f t="shared" si="787"/>
        <v/>
      </c>
      <c r="DK112" s="10" t="str">
        <f t="shared" si="788"/>
        <v/>
      </c>
      <c r="DL112" s="9" t="str">
        <f t="shared" si="789"/>
        <v/>
      </c>
      <c r="DM112" s="173" t="str">
        <f t="shared" si="790"/>
        <v/>
      </c>
      <c r="DN112" s="178" t="str">
        <f t="shared" si="791"/>
        <v/>
      </c>
      <c r="DO112" s="9" t="str">
        <f t="shared" si="792"/>
        <v/>
      </c>
      <c r="DP112" s="173" t="str">
        <f t="shared" si="793"/>
        <v/>
      </c>
      <c r="DQ112" s="11" t="str">
        <f t="shared" si="794"/>
        <v/>
      </c>
      <c r="DR112" s="173" t="str">
        <f t="shared" si="795"/>
        <v/>
      </c>
      <c r="DS112" s="5" t="str">
        <f t="shared" si="796"/>
        <v/>
      </c>
      <c r="DT112" s="5" t="str">
        <f t="shared" si="797"/>
        <v/>
      </c>
      <c r="DU112" s="5" t="str">
        <f t="shared" si="798"/>
        <v/>
      </c>
      <c r="DV112" s="5" t="str">
        <f t="shared" si="799"/>
        <v/>
      </c>
      <c r="DW112" s="5" t="str">
        <f t="shared" si="800"/>
        <v/>
      </c>
      <c r="DX112" s="167" t="str">
        <f t="shared" si="801"/>
        <v/>
      </c>
      <c r="DY112" s="9" t="str">
        <f t="shared" si="802"/>
        <v/>
      </c>
      <c r="DZ112" s="5" t="str">
        <f t="shared" si="803"/>
        <v/>
      </c>
      <c r="EA112" s="10" t="str">
        <f t="shared" si="804"/>
        <v/>
      </c>
      <c r="EB112" s="6" t="str">
        <f t="shared" si="805"/>
        <v/>
      </c>
      <c r="EC112" s="173" t="str">
        <f t="shared" si="806"/>
        <v/>
      </c>
      <c r="ED112" s="5" t="str">
        <f t="shared" si="807"/>
        <v/>
      </c>
      <c r="EE112" s="4" t="str">
        <f t="shared" si="808"/>
        <v/>
      </c>
      <c r="EF112" s="5" t="str">
        <f t="shared" si="809"/>
        <v/>
      </c>
      <c r="EG112" s="10" t="str">
        <f t="shared" si="810"/>
        <v/>
      </c>
      <c r="EH112" s="9" t="str">
        <f t="shared" si="811"/>
        <v/>
      </c>
      <c r="EI112" s="5" t="str">
        <f t="shared" si="812"/>
        <v/>
      </c>
      <c r="EJ112" s="6" t="str">
        <f t="shared" si="813"/>
        <v/>
      </c>
      <c r="EK112" s="236" t="str">
        <f t="shared" si="814"/>
        <v/>
      </c>
      <c r="EL112" s="238" t="str">
        <f t="shared" si="815"/>
        <v/>
      </c>
      <c r="EM112" s="4" t="str">
        <f t="shared" si="816"/>
        <v/>
      </c>
      <c r="EN112" s="5" t="str">
        <f t="shared" si="817"/>
        <v/>
      </c>
      <c r="EO112" s="10" t="str">
        <f t="shared" si="818"/>
        <v/>
      </c>
      <c r="EP112" s="9" t="str">
        <f t="shared" si="819"/>
        <v/>
      </c>
      <c r="EQ112" s="5" t="str">
        <f t="shared" si="820"/>
        <v/>
      </c>
      <c r="ER112" s="7" t="str">
        <f t="shared" si="821"/>
        <v/>
      </c>
      <c r="ES112" s="21" t="str">
        <f t="shared" si="941"/>
        <v/>
      </c>
      <c r="ET112" s="5" t="str">
        <f t="shared" si="942"/>
        <v/>
      </c>
      <c r="EU112" s="10" t="str">
        <f t="shared" si="943"/>
        <v/>
      </c>
      <c r="EV112" s="174" t="str">
        <f t="shared" si="944"/>
        <v/>
      </c>
      <c r="EW112" s="9" t="str">
        <f t="shared" si="945"/>
        <v/>
      </c>
      <c r="EX112" s="5" t="str">
        <f t="shared" si="946"/>
        <v/>
      </c>
      <c r="EY112" s="6" t="str">
        <f t="shared" si="822"/>
        <v/>
      </c>
      <c r="EZ112" s="51" t="str">
        <f t="shared" si="823"/>
        <v/>
      </c>
      <c r="FA112" s="173" t="str">
        <f t="shared" si="947"/>
        <v/>
      </c>
      <c r="FB112" s="5" t="str">
        <f t="shared" si="948"/>
        <v/>
      </c>
      <c r="FC112" s="6" t="str">
        <f t="shared" si="949"/>
        <v/>
      </c>
      <c r="FD112" s="4" t="str">
        <f t="shared" si="950"/>
        <v/>
      </c>
      <c r="FE112" s="5" t="str">
        <f t="shared" si="951"/>
        <v/>
      </c>
      <c r="FF112" s="7" t="str">
        <f t="shared" si="824"/>
        <v/>
      </c>
      <c r="FG112" s="173" t="str">
        <f t="shared" si="952"/>
        <v/>
      </c>
      <c r="FH112" s="5" t="str">
        <f t="shared" si="953"/>
        <v/>
      </c>
      <c r="FI112" s="10" t="str">
        <f t="shared" si="954"/>
        <v/>
      </c>
      <c r="FJ112" s="279" t="str">
        <f t="shared" si="825"/>
        <v/>
      </c>
      <c r="FK112" s="4" t="str">
        <f t="shared" si="955"/>
        <v/>
      </c>
      <c r="FL112" s="5" t="str">
        <f t="shared" si="746"/>
        <v/>
      </c>
      <c r="FM112" s="8" t="str">
        <f t="shared" si="747"/>
        <v/>
      </c>
      <c r="FN112" s="9" t="str">
        <f t="shared" si="748"/>
        <v/>
      </c>
      <c r="FO112" s="10" t="str">
        <f t="shared" si="956"/>
        <v/>
      </c>
      <c r="FP112" s="277" t="str">
        <f t="shared" si="749"/>
        <v/>
      </c>
      <c r="FQ112" s="173" t="str">
        <f t="shared" si="826"/>
        <v/>
      </c>
      <c r="FR112" s="10" t="str">
        <f t="shared" si="827"/>
        <v/>
      </c>
      <c r="FS112" s="9" t="str">
        <f t="shared" si="828"/>
        <v/>
      </c>
      <c r="FT112" s="6" t="str">
        <f t="shared" si="829"/>
        <v/>
      </c>
      <c r="FU112" s="4" t="str">
        <f t="shared" si="830"/>
        <v/>
      </c>
      <c r="FV112" s="5" t="str">
        <f t="shared" si="831"/>
        <v/>
      </c>
      <c r="FW112" s="8" t="str">
        <f t="shared" si="832"/>
        <v/>
      </c>
      <c r="FX112" s="9" t="str">
        <f t="shared" si="833"/>
        <v/>
      </c>
      <c r="FY112" s="10" t="str">
        <f t="shared" si="957"/>
        <v/>
      </c>
      <c r="FZ112" s="277" t="str">
        <f t="shared" si="834"/>
        <v/>
      </c>
      <c r="GA112" s="177" t="str">
        <f t="shared" si="835"/>
        <v/>
      </c>
      <c r="GB112" s="4" t="str">
        <f t="shared" si="836"/>
        <v/>
      </c>
      <c r="GC112" s="5" t="str">
        <f t="shared" si="837"/>
        <v/>
      </c>
      <c r="GD112" s="10" t="str">
        <f t="shared" si="838"/>
        <v/>
      </c>
      <c r="GE112" s="311" t="str">
        <f t="shared" si="839"/>
        <v/>
      </c>
      <c r="GF112" s="341" t="str">
        <f t="shared" si="840"/>
        <v/>
      </c>
      <c r="GG112" s="285" t="str">
        <f t="shared" si="958"/>
        <v/>
      </c>
      <c r="GH112" s="286" t="str">
        <f t="shared" si="959"/>
        <v/>
      </c>
      <c r="GI112" s="281" t="str">
        <f t="shared" si="960"/>
        <v/>
      </c>
      <c r="GJ112" s="167" t="str">
        <f t="shared" si="841"/>
        <v/>
      </c>
      <c r="GK112" s="174" t="str">
        <f t="shared" si="961"/>
        <v/>
      </c>
      <c r="GL112" s="174" t="str">
        <f t="shared" si="842"/>
        <v/>
      </c>
      <c r="GM112" s="177" t="str">
        <f t="shared" si="843"/>
        <v/>
      </c>
      <c r="GN112" s="280" t="str">
        <f t="shared" si="844"/>
        <v/>
      </c>
      <c r="GO112" s="4" t="str">
        <f t="shared" si="845"/>
        <v/>
      </c>
      <c r="GP112" s="8" t="str">
        <f t="shared" si="846"/>
        <v/>
      </c>
      <c r="GQ112" s="177" t="str">
        <f t="shared" si="847"/>
        <v/>
      </c>
      <c r="GR112" s="371" t="str">
        <f t="shared" si="848"/>
        <v/>
      </c>
      <c r="GS112" s="342" t="str">
        <f t="shared" si="962"/>
        <v/>
      </c>
      <c r="GT112" s="343" t="str">
        <f t="shared" si="963"/>
        <v/>
      </c>
      <c r="GU112" s="344" t="str">
        <f t="shared" si="964"/>
        <v/>
      </c>
      <c r="GV112" s="343" t="str">
        <f t="shared" si="849"/>
        <v/>
      </c>
      <c r="GW112" s="345" t="str">
        <f t="shared" si="965"/>
        <v/>
      </c>
      <c r="GX112" s="346" t="str">
        <f t="shared" si="966"/>
        <v/>
      </c>
      <c r="GY112" s="344" t="str">
        <f t="shared" si="967"/>
        <v/>
      </c>
      <c r="GZ112" s="345" t="str">
        <f t="shared" si="968"/>
        <v/>
      </c>
      <c r="HA112" s="342" t="str">
        <f t="shared" si="969"/>
        <v/>
      </c>
      <c r="HB112" s="5" t="str">
        <f t="shared" si="850"/>
        <v/>
      </c>
      <c r="HC112" s="343" t="str">
        <f t="shared" si="851"/>
        <v/>
      </c>
      <c r="HD112" s="363" t="str">
        <f t="shared" si="852"/>
        <v/>
      </c>
      <c r="HE112" s="344" t="str">
        <f t="shared" si="970"/>
        <v/>
      </c>
      <c r="HF112" s="5" t="str">
        <f t="shared" si="971"/>
        <v/>
      </c>
      <c r="HG112" s="343" t="str">
        <f t="shared" si="853"/>
        <v/>
      </c>
      <c r="HH112" s="349" t="str">
        <f t="shared" si="854"/>
        <v/>
      </c>
      <c r="HI112" s="317" t="str">
        <f t="shared" si="972"/>
        <v/>
      </c>
      <c r="HK112" s="310" t="str">
        <f t="shared" si="1025"/>
        <v/>
      </c>
      <c r="HL112" s="348" t="str">
        <f t="shared" si="973"/>
        <v/>
      </c>
      <c r="HM112" s="923" t="str">
        <f t="shared" si="974"/>
        <v/>
      </c>
      <c r="HN112" s="924" t="str">
        <f t="shared" si="975"/>
        <v/>
      </c>
      <c r="HO112" s="925"/>
      <c r="HP112" s="926"/>
      <c r="HQ112" s="924" t="str">
        <f t="shared" si="976"/>
        <v/>
      </c>
      <c r="HR112" s="927" t="str">
        <f t="shared" si="977"/>
        <v/>
      </c>
      <c r="HS112" s="879" t="str">
        <f t="shared" si="1026"/>
        <v/>
      </c>
      <c r="HT112" s="889" t="str">
        <f t="shared" si="978"/>
        <v/>
      </c>
      <c r="HU112" s="890" t="str">
        <f t="shared" si="979"/>
        <v/>
      </c>
      <c r="HV112" s="886" t="str">
        <f t="shared" si="980"/>
        <v/>
      </c>
      <c r="HW112" s="880" t="str">
        <f t="shared" si="981"/>
        <v/>
      </c>
      <c r="HX112" s="881" t="str">
        <f t="shared" si="982"/>
        <v/>
      </c>
      <c r="HY112" s="880" t="str">
        <f t="shared" si="983"/>
        <v/>
      </c>
      <c r="HZ112" s="882" t="str">
        <f t="shared" si="984"/>
        <v/>
      </c>
      <c r="IA112" s="883" t="str">
        <f t="shared" si="985"/>
        <v/>
      </c>
      <c r="IB112" s="884" t="str">
        <f t="shared" si="986"/>
        <v/>
      </c>
      <c r="IC112" s="855" t="str">
        <f t="shared" si="987"/>
        <v/>
      </c>
      <c r="ID112" s="351" t="str">
        <f t="shared" si="988"/>
        <v/>
      </c>
      <c r="IE112" s="857" t="str">
        <f t="shared" si="989"/>
        <v/>
      </c>
      <c r="IF112" s="858"/>
      <c r="IG112" s="790" t="str">
        <f>IFERROR(IF($IW112="","",IF($IW112&lt;(((Settings!$C$19/2)*-1)*$IG$8),"Taper","Nose")),"")</f>
        <v/>
      </c>
      <c r="IH112" s="482" t="str">
        <f>IFERROR(IF((((($IY112*COS(RADIANS(180-$JA112)))*COS(RADIANS($JA112)))-(($IZ112*SIN(RADIANS(180-$JA112)))*SIN(RADIANS($JA112))))+$IW112)&lt;(((Settings!$C$19+$IH$8)/2)*-1),"Gage",""),"")</f>
        <v/>
      </c>
      <c r="II112" s="788" t="str">
        <f t="shared" si="855"/>
        <v/>
      </c>
      <c r="IJ112" s="674" t="str" cm="1">
        <f t="array" ref="IJ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K112" s="677" t="str" cm="1">
        <f t="array" ref="IK112">IFERROR(ROUND(VALUE(IF($IJ112&lt;1,$IJ112+LARGE((IF($M$9:$M$150="",0,$M$9:$M$150)-MOD(IF($M$9:$M$150="",0,$M$9:$M$150),1)),1),$IJ112)),4),"")</f>
        <v/>
      </c>
      <c r="IL112" s="482" t="str">
        <f t="shared" si="990"/>
        <v/>
      </c>
      <c r="IM112" s="482" t="str">
        <f t="shared" si="856"/>
        <v/>
      </c>
      <c r="IN112" s="670" t="str">
        <f t="shared" si="991"/>
        <v/>
      </c>
      <c r="IO112" s="702"/>
      <c r="IP112" s="5" t="str">
        <f t="shared" si="992"/>
        <v/>
      </c>
      <c r="IQ112" s="714"/>
      <c r="IR112" s="9" t="str">
        <f t="shared" si="993"/>
        <v/>
      </c>
      <c r="IS112" s="5" t="str">
        <f t="shared" si="994"/>
        <v/>
      </c>
      <c r="IT112" s="5" t="str">
        <f t="shared" si="995"/>
        <v/>
      </c>
      <c r="IU112" s="5" t="str">
        <f t="shared" si="996"/>
        <v/>
      </c>
      <c r="IV112" s="670" t="str">
        <f t="shared" si="997"/>
        <v/>
      </c>
      <c r="IW112" s="9" t="str">
        <f t="shared" si="998"/>
        <v/>
      </c>
      <c r="IX112" s="5" t="str">
        <f t="shared" si="999"/>
        <v/>
      </c>
      <c r="IY112" s="5" t="str">
        <f t="shared" si="1000"/>
        <v/>
      </c>
      <c r="IZ112" s="5" t="str">
        <f t="shared" si="1001"/>
        <v/>
      </c>
      <c r="JA112" s="705" t="str">
        <f t="shared" si="1002"/>
        <v/>
      </c>
      <c r="JN112" s="960"/>
      <c r="JO112" s="162"/>
      <c r="JP112" s="961"/>
      <c r="JQ112" s="961"/>
    </row>
    <row r="113" spans="1:277" ht="15" customHeight="1" x14ac:dyDescent="0.25">
      <c r="A113" s="75" t="str">
        <f t="shared" si="917"/>
        <v/>
      </c>
      <c r="B113" s="578" t="str">
        <f t="shared" ref="B113:D113" si="1042">IFERROR(O268+($A113*-E113),"")</f>
        <v/>
      </c>
      <c r="C113" s="572" t="str">
        <f t="shared" si="1042"/>
        <v/>
      </c>
      <c r="D113" s="576" t="str">
        <f t="shared" si="1042"/>
        <v/>
      </c>
      <c r="E113" s="580" t="str">
        <f t="shared" ref="E113:K113" si="1043">R268</f>
        <v/>
      </c>
      <c r="F113" s="572" t="str">
        <f t="shared" si="1043"/>
        <v/>
      </c>
      <c r="G113" s="579" t="str">
        <f t="shared" si="1043"/>
        <v/>
      </c>
      <c r="H113" s="580" t="str">
        <f t="shared" si="1043"/>
        <v/>
      </c>
      <c r="I113" s="572" t="str">
        <f t="shared" si="1043"/>
        <v/>
      </c>
      <c r="J113" s="483" t="str">
        <f t="shared" si="728"/>
        <v/>
      </c>
      <c r="K113" s="806" t="str">
        <f t="shared" si="1043"/>
        <v/>
      </c>
      <c r="L113" s="309"/>
      <c r="M113" s="164" t="str">
        <f t="shared" si="920"/>
        <v/>
      </c>
      <c r="N113" s="575" t="str">
        <f t="shared" si="921"/>
        <v/>
      </c>
      <c r="O113" s="572" t="str">
        <f t="shared" si="922"/>
        <v/>
      </c>
      <c r="P113" s="576" t="str">
        <f t="shared" si="923"/>
        <v/>
      </c>
      <c r="Q113" s="528" t="str">
        <f t="shared" si="729"/>
        <v/>
      </c>
      <c r="R113" s="572" t="str">
        <f t="shared" si="1005"/>
        <v/>
      </c>
      <c r="S113" s="577" t="str">
        <f t="shared" si="1006"/>
        <v/>
      </c>
      <c r="T113" s="578" t="str">
        <f t="shared" si="1007"/>
        <v/>
      </c>
      <c r="U113" s="572" t="str">
        <f t="shared" si="1008"/>
        <v/>
      </c>
      <c r="V113" s="579" t="str">
        <f t="shared" si="1009"/>
        <v/>
      </c>
      <c r="W113" s="528" t="str">
        <f t="shared" si="866"/>
        <v/>
      </c>
      <c r="X113" s="572" t="str">
        <f t="shared" si="1010"/>
        <v/>
      </c>
      <c r="Y113" s="573" t="str">
        <f t="shared" si="859"/>
        <v/>
      </c>
      <c r="Z113" s="575" t="str">
        <f t="shared" si="924"/>
        <v/>
      </c>
      <c r="AA113" s="572" t="str">
        <f t="shared" si="925"/>
        <v/>
      </c>
      <c r="AB113" s="572" t="str">
        <f t="shared" si="926"/>
        <v/>
      </c>
      <c r="AC113" s="579" t="str">
        <f t="shared" si="1011"/>
        <v/>
      </c>
      <c r="AD113" s="580" t="str">
        <f t="shared" si="1012"/>
        <v/>
      </c>
      <c r="AE113" s="572" t="str">
        <f t="shared" si="1013"/>
        <v/>
      </c>
      <c r="AF113" s="576" t="str">
        <f t="shared" si="1014"/>
        <v/>
      </c>
      <c r="AG113" s="545" t="str">
        <f t="shared" si="1015"/>
        <v/>
      </c>
      <c r="AH113" s="546" t="str">
        <f t="shared" si="1016"/>
        <v/>
      </c>
      <c r="AI113" s="528" t="str">
        <f t="shared" si="1017"/>
        <v/>
      </c>
      <c r="AJ113" s="529" t="str">
        <f t="shared" si="1018"/>
        <v/>
      </c>
      <c r="AK113" s="578" t="str">
        <f t="shared" si="1019"/>
        <v/>
      </c>
      <c r="AL113" s="572" t="str">
        <f t="shared" si="1020"/>
        <v/>
      </c>
      <c r="AM113" s="577" t="str">
        <f t="shared" si="1021"/>
        <v/>
      </c>
      <c r="AN113" s="524" t="str">
        <f t="shared" si="1022"/>
        <v/>
      </c>
      <c r="AO113" s="525" t="str">
        <f t="shared" si="604"/>
        <v/>
      </c>
      <c r="AP113" s="528" t="str">
        <f t="shared" si="1023"/>
        <v/>
      </c>
      <c r="AQ113" s="529" t="str">
        <f t="shared" si="927"/>
        <v/>
      </c>
      <c r="AS113" s="954" t="str">
        <f t="shared" si="1029"/>
        <v/>
      </c>
      <c r="AT113" s="950" t="str">
        <f t="shared" si="928"/>
        <v/>
      </c>
      <c r="AU113" s="418"/>
      <c r="AV113" s="164" t="str">
        <f t="shared" si="929"/>
        <v/>
      </c>
      <c r="AW113" s="797" t="str">
        <f>IFERROR(INDEX(MassProp!C$9:C$150,MATCH($M113,MassProp!$B$9:$B$150,0)),"")</f>
        <v/>
      </c>
      <c r="AX113" s="744" t="str">
        <f>IFERROR(INDEX(MassProp!D$9:D$150,MATCH($M113,MassProp!$B$9:$B$150,0)),"")</f>
        <v/>
      </c>
      <c r="AY113" s="731" t="str">
        <f>IFERROR(INDEX(MassProp!E$9:E$150,MATCH($M113,MassProp!$B$9:$B$150,0)),"")</f>
        <v/>
      </c>
      <c r="AZ113" s="297" t="str">
        <f t="shared" si="756"/>
        <v/>
      </c>
      <c r="BA113" s="296" t="str">
        <f t="shared" si="930"/>
        <v/>
      </c>
      <c r="BB113" s="177" t="str">
        <f t="shared" si="730"/>
        <v/>
      </c>
      <c r="BC113" s="9"/>
      <c r="BD113" s="5" t="str">
        <f t="shared" si="731"/>
        <v/>
      </c>
      <c r="BE113" s="6" t="str">
        <f t="shared" si="931"/>
        <v/>
      </c>
      <c r="BF113" s="4" t="str">
        <f t="shared" si="932"/>
        <v/>
      </c>
      <c r="BG113" s="5" t="str">
        <f t="shared" si="933"/>
        <v/>
      </c>
      <c r="BH113" s="10" t="str">
        <f t="shared" si="934"/>
        <v/>
      </c>
      <c r="BI113" s="9" t="str">
        <f t="shared" si="757"/>
        <v/>
      </c>
      <c r="BJ113" s="5" t="str">
        <f t="shared" si="935"/>
        <v/>
      </c>
      <c r="BK113" s="8" t="str">
        <f t="shared" si="936"/>
        <v/>
      </c>
      <c r="BL113" s="173" t="str">
        <f t="shared" si="937"/>
        <v/>
      </c>
      <c r="BM113" s="5" t="str">
        <f t="shared" si="938"/>
        <v/>
      </c>
      <c r="BN113" s="6" t="str">
        <f t="shared" si="939"/>
        <v/>
      </c>
      <c r="BO113" s="4" t="str">
        <f t="shared" si="758"/>
        <v/>
      </c>
      <c r="BP113" s="5" t="str">
        <f t="shared" si="759"/>
        <v/>
      </c>
      <c r="BQ113" s="5" t="str">
        <f t="shared" si="760"/>
        <v/>
      </c>
      <c r="BR113" s="6" t="str">
        <f t="shared" si="761"/>
        <v/>
      </c>
      <c r="BS113" s="4" t="str">
        <f t="shared" si="1024"/>
        <v/>
      </c>
      <c r="BT113" s="5" t="str">
        <f t="shared" si="1024"/>
        <v/>
      </c>
      <c r="BU113" s="10" t="str">
        <f t="shared" si="733"/>
        <v/>
      </c>
      <c r="BV113" s="9" t="str">
        <f t="shared" si="734"/>
        <v/>
      </c>
      <c r="BW113" s="5" t="str">
        <f t="shared" si="735"/>
        <v/>
      </c>
      <c r="BX113" s="8" t="str">
        <f t="shared" si="736"/>
        <v/>
      </c>
      <c r="BY113" s="173" t="str">
        <f t="shared" si="737"/>
        <v/>
      </c>
      <c r="BZ113" s="5" t="str">
        <f t="shared" si="738"/>
        <v/>
      </c>
      <c r="CA113" s="6" t="str">
        <f t="shared" si="739"/>
        <v/>
      </c>
      <c r="CB113" s="4" t="str">
        <f t="shared" si="762"/>
        <v/>
      </c>
      <c r="CC113" s="5" t="str">
        <f t="shared" si="763"/>
        <v/>
      </c>
      <c r="CD113" s="5" t="str">
        <f t="shared" si="764"/>
        <v/>
      </c>
      <c r="CE113" s="6" t="str">
        <f t="shared" si="765"/>
        <v/>
      </c>
      <c r="CF113" s="4" t="str">
        <f t="shared" si="766"/>
        <v/>
      </c>
      <c r="CG113" s="5" t="str">
        <f t="shared" si="767"/>
        <v/>
      </c>
      <c r="CH113" s="5" t="str">
        <f t="shared" si="768"/>
        <v/>
      </c>
      <c r="CI113" s="4" t="str">
        <f t="shared" si="740"/>
        <v/>
      </c>
      <c r="CJ113" s="5" t="str">
        <f t="shared" si="741"/>
        <v/>
      </c>
      <c r="CK113" s="8" t="str">
        <f t="shared" si="742"/>
        <v/>
      </c>
      <c r="CL113" s="173" t="str">
        <f t="shared" si="743"/>
        <v/>
      </c>
      <c r="CM113" s="5" t="str">
        <f t="shared" si="744"/>
        <v/>
      </c>
      <c r="CN113" s="6" t="str">
        <f t="shared" si="745"/>
        <v/>
      </c>
      <c r="CO113" s="167" t="str">
        <f t="shared" si="940"/>
        <v/>
      </c>
      <c r="CP113" s="4" t="str">
        <f t="shared" si="769"/>
        <v/>
      </c>
      <c r="CQ113" s="5" t="str">
        <f t="shared" si="770"/>
        <v/>
      </c>
      <c r="CR113" s="5" t="str">
        <f t="shared" si="771"/>
        <v/>
      </c>
      <c r="CS113" s="8" t="str">
        <f t="shared" si="772"/>
        <v/>
      </c>
      <c r="CT113" s="9" t="str">
        <f t="shared" si="773"/>
        <v/>
      </c>
      <c r="CU113" s="6" t="str">
        <f t="shared" si="774"/>
        <v/>
      </c>
      <c r="CV113" s="4" t="str">
        <f t="shared" si="775"/>
        <v/>
      </c>
      <c r="CW113" s="5" t="str">
        <f t="shared" si="776"/>
        <v/>
      </c>
      <c r="CX113" s="8" t="str">
        <f t="shared" si="777"/>
        <v/>
      </c>
      <c r="CY113" s="9" t="str">
        <f t="shared" si="778"/>
        <v/>
      </c>
      <c r="CZ113" s="5" t="str">
        <f t="shared" si="779"/>
        <v/>
      </c>
      <c r="DA113" s="6" t="str">
        <f t="shared" si="780"/>
        <v/>
      </c>
      <c r="DB113" s="4" t="str">
        <f t="shared" si="1030"/>
        <v/>
      </c>
      <c r="DC113" s="5" t="str">
        <f t="shared" si="1030"/>
        <v/>
      </c>
      <c r="DD113" s="10" t="str">
        <f t="shared" si="782"/>
        <v/>
      </c>
      <c r="DE113" s="9" t="str">
        <f t="shared" si="1031"/>
        <v/>
      </c>
      <c r="DF113" s="5" t="str">
        <f t="shared" si="1031"/>
        <v/>
      </c>
      <c r="DG113" s="10" t="str">
        <f t="shared" si="784"/>
        <v/>
      </c>
      <c r="DH113" s="70" t="str">
        <f t="shared" si="785"/>
        <v/>
      </c>
      <c r="DI113" s="4" t="str">
        <f t="shared" si="786"/>
        <v/>
      </c>
      <c r="DJ113" s="5" t="str">
        <f t="shared" si="787"/>
        <v/>
      </c>
      <c r="DK113" s="10" t="str">
        <f t="shared" si="788"/>
        <v/>
      </c>
      <c r="DL113" s="9" t="str">
        <f t="shared" si="789"/>
        <v/>
      </c>
      <c r="DM113" s="173" t="str">
        <f t="shared" si="790"/>
        <v/>
      </c>
      <c r="DN113" s="178" t="str">
        <f t="shared" si="791"/>
        <v/>
      </c>
      <c r="DO113" s="9" t="str">
        <f t="shared" si="792"/>
        <v/>
      </c>
      <c r="DP113" s="173" t="str">
        <f t="shared" si="793"/>
        <v/>
      </c>
      <c r="DQ113" s="11" t="str">
        <f t="shared" si="794"/>
        <v/>
      </c>
      <c r="DR113" s="173" t="str">
        <f t="shared" si="795"/>
        <v/>
      </c>
      <c r="DS113" s="5" t="str">
        <f t="shared" si="796"/>
        <v/>
      </c>
      <c r="DT113" s="5" t="str">
        <f t="shared" si="797"/>
        <v/>
      </c>
      <c r="DU113" s="5" t="str">
        <f t="shared" si="798"/>
        <v/>
      </c>
      <c r="DV113" s="5" t="str">
        <f t="shared" si="799"/>
        <v/>
      </c>
      <c r="DW113" s="5" t="str">
        <f t="shared" si="800"/>
        <v/>
      </c>
      <c r="DX113" s="167" t="str">
        <f t="shared" si="801"/>
        <v/>
      </c>
      <c r="DY113" s="9" t="str">
        <f t="shared" si="802"/>
        <v/>
      </c>
      <c r="DZ113" s="5" t="str">
        <f t="shared" si="803"/>
        <v/>
      </c>
      <c r="EA113" s="10" t="str">
        <f t="shared" si="804"/>
        <v/>
      </c>
      <c r="EB113" s="6" t="str">
        <f t="shared" si="805"/>
        <v/>
      </c>
      <c r="EC113" s="173" t="str">
        <f t="shared" si="806"/>
        <v/>
      </c>
      <c r="ED113" s="5" t="str">
        <f t="shared" si="807"/>
        <v/>
      </c>
      <c r="EE113" s="4" t="str">
        <f t="shared" si="808"/>
        <v/>
      </c>
      <c r="EF113" s="5" t="str">
        <f t="shared" si="809"/>
        <v/>
      </c>
      <c r="EG113" s="10" t="str">
        <f t="shared" si="810"/>
        <v/>
      </c>
      <c r="EH113" s="9" t="str">
        <f t="shared" si="811"/>
        <v/>
      </c>
      <c r="EI113" s="5" t="str">
        <f t="shared" si="812"/>
        <v/>
      </c>
      <c r="EJ113" s="6" t="str">
        <f t="shared" si="813"/>
        <v/>
      </c>
      <c r="EK113" s="236" t="str">
        <f t="shared" si="814"/>
        <v/>
      </c>
      <c r="EL113" s="238" t="str">
        <f t="shared" si="815"/>
        <v/>
      </c>
      <c r="EM113" s="4" t="str">
        <f t="shared" si="816"/>
        <v/>
      </c>
      <c r="EN113" s="5" t="str">
        <f t="shared" si="817"/>
        <v/>
      </c>
      <c r="EO113" s="10" t="str">
        <f t="shared" si="818"/>
        <v/>
      </c>
      <c r="EP113" s="9" t="str">
        <f t="shared" si="819"/>
        <v/>
      </c>
      <c r="EQ113" s="5" t="str">
        <f t="shared" si="820"/>
        <v/>
      </c>
      <c r="ER113" s="7" t="str">
        <f t="shared" si="821"/>
        <v/>
      </c>
      <c r="ES113" s="21" t="str">
        <f t="shared" si="941"/>
        <v/>
      </c>
      <c r="ET113" s="5" t="str">
        <f t="shared" si="942"/>
        <v/>
      </c>
      <c r="EU113" s="10" t="str">
        <f t="shared" si="943"/>
        <v/>
      </c>
      <c r="EV113" s="174" t="str">
        <f t="shared" si="944"/>
        <v/>
      </c>
      <c r="EW113" s="9" t="str">
        <f t="shared" si="945"/>
        <v/>
      </c>
      <c r="EX113" s="5" t="str">
        <f t="shared" si="946"/>
        <v/>
      </c>
      <c r="EY113" s="6" t="str">
        <f t="shared" si="822"/>
        <v/>
      </c>
      <c r="EZ113" s="51" t="str">
        <f t="shared" si="823"/>
        <v/>
      </c>
      <c r="FA113" s="173" t="str">
        <f t="shared" si="947"/>
        <v/>
      </c>
      <c r="FB113" s="5" t="str">
        <f t="shared" si="948"/>
        <v/>
      </c>
      <c r="FC113" s="6" t="str">
        <f t="shared" si="949"/>
        <v/>
      </c>
      <c r="FD113" s="4" t="str">
        <f t="shared" si="950"/>
        <v/>
      </c>
      <c r="FE113" s="5" t="str">
        <f t="shared" si="951"/>
        <v/>
      </c>
      <c r="FF113" s="7" t="str">
        <f t="shared" si="824"/>
        <v/>
      </c>
      <c r="FG113" s="173" t="str">
        <f t="shared" si="952"/>
        <v/>
      </c>
      <c r="FH113" s="5" t="str">
        <f t="shared" si="953"/>
        <v/>
      </c>
      <c r="FI113" s="10" t="str">
        <f t="shared" si="954"/>
        <v/>
      </c>
      <c r="FJ113" s="279" t="str">
        <f t="shared" si="825"/>
        <v/>
      </c>
      <c r="FK113" s="4" t="str">
        <f t="shared" si="955"/>
        <v/>
      </c>
      <c r="FL113" s="5" t="str">
        <f t="shared" si="746"/>
        <v/>
      </c>
      <c r="FM113" s="8" t="str">
        <f t="shared" si="747"/>
        <v/>
      </c>
      <c r="FN113" s="9" t="str">
        <f t="shared" si="748"/>
        <v/>
      </c>
      <c r="FO113" s="10" t="str">
        <f t="shared" si="956"/>
        <v/>
      </c>
      <c r="FP113" s="277" t="str">
        <f t="shared" si="749"/>
        <v/>
      </c>
      <c r="FQ113" s="173" t="str">
        <f t="shared" si="826"/>
        <v/>
      </c>
      <c r="FR113" s="10" t="str">
        <f t="shared" si="827"/>
        <v/>
      </c>
      <c r="FS113" s="9" t="str">
        <f t="shared" si="828"/>
        <v/>
      </c>
      <c r="FT113" s="6" t="str">
        <f t="shared" si="829"/>
        <v/>
      </c>
      <c r="FU113" s="4" t="str">
        <f t="shared" si="830"/>
        <v/>
      </c>
      <c r="FV113" s="5" t="str">
        <f t="shared" si="831"/>
        <v/>
      </c>
      <c r="FW113" s="8" t="str">
        <f t="shared" si="832"/>
        <v/>
      </c>
      <c r="FX113" s="9" t="str">
        <f t="shared" si="833"/>
        <v/>
      </c>
      <c r="FY113" s="10" t="str">
        <f t="shared" si="957"/>
        <v/>
      </c>
      <c r="FZ113" s="277" t="str">
        <f t="shared" si="834"/>
        <v/>
      </c>
      <c r="GA113" s="177" t="str">
        <f t="shared" si="835"/>
        <v/>
      </c>
      <c r="GB113" s="4" t="str">
        <f t="shared" si="836"/>
        <v/>
      </c>
      <c r="GC113" s="5" t="str">
        <f t="shared" si="837"/>
        <v/>
      </c>
      <c r="GD113" s="10" t="str">
        <f t="shared" si="838"/>
        <v/>
      </c>
      <c r="GE113" s="311" t="str">
        <f t="shared" si="839"/>
        <v/>
      </c>
      <c r="GF113" s="341" t="str">
        <f t="shared" si="840"/>
        <v/>
      </c>
      <c r="GG113" s="285" t="str">
        <f t="shared" si="958"/>
        <v/>
      </c>
      <c r="GH113" s="286" t="str">
        <f t="shared" si="959"/>
        <v/>
      </c>
      <c r="GI113" s="281" t="str">
        <f t="shared" si="960"/>
        <v/>
      </c>
      <c r="GJ113" s="167" t="str">
        <f t="shared" si="841"/>
        <v/>
      </c>
      <c r="GK113" s="174" t="str">
        <f t="shared" si="961"/>
        <v/>
      </c>
      <c r="GL113" s="174" t="str">
        <f t="shared" si="842"/>
        <v/>
      </c>
      <c r="GM113" s="177" t="str">
        <f t="shared" si="843"/>
        <v/>
      </c>
      <c r="GN113" s="280" t="str">
        <f t="shared" si="844"/>
        <v/>
      </c>
      <c r="GO113" s="4" t="str">
        <f t="shared" si="845"/>
        <v/>
      </c>
      <c r="GP113" s="8" t="str">
        <f t="shared" si="846"/>
        <v/>
      </c>
      <c r="GQ113" s="177" t="str">
        <f t="shared" si="847"/>
        <v/>
      </c>
      <c r="GR113" s="371" t="str">
        <f t="shared" si="848"/>
        <v/>
      </c>
      <c r="GS113" s="342" t="str">
        <f t="shared" si="962"/>
        <v/>
      </c>
      <c r="GT113" s="343" t="str">
        <f t="shared" si="963"/>
        <v/>
      </c>
      <c r="GU113" s="344" t="str">
        <f t="shared" si="964"/>
        <v/>
      </c>
      <c r="GV113" s="343" t="str">
        <f t="shared" si="849"/>
        <v/>
      </c>
      <c r="GW113" s="345" t="str">
        <f t="shared" si="965"/>
        <v/>
      </c>
      <c r="GX113" s="346" t="str">
        <f t="shared" si="966"/>
        <v/>
      </c>
      <c r="GY113" s="344" t="str">
        <f t="shared" si="967"/>
        <v/>
      </c>
      <c r="GZ113" s="345" t="str">
        <f t="shared" si="968"/>
        <v/>
      </c>
      <c r="HA113" s="342" t="str">
        <f t="shared" si="969"/>
        <v/>
      </c>
      <c r="HB113" s="5" t="str">
        <f t="shared" si="850"/>
        <v/>
      </c>
      <c r="HC113" s="343" t="str">
        <f t="shared" si="851"/>
        <v/>
      </c>
      <c r="HD113" s="363" t="str">
        <f t="shared" si="852"/>
        <v/>
      </c>
      <c r="HE113" s="344" t="str">
        <f t="shared" si="970"/>
        <v/>
      </c>
      <c r="HF113" s="5" t="str">
        <f t="shared" si="971"/>
        <v/>
      </c>
      <c r="HG113" s="343" t="str">
        <f t="shared" si="853"/>
        <v/>
      </c>
      <c r="HH113" s="349" t="str">
        <f t="shared" si="854"/>
        <v/>
      </c>
      <c r="HI113" s="317" t="str">
        <f t="shared" si="972"/>
        <v/>
      </c>
      <c r="HK113" s="310" t="str">
        <f t="shared" si="1025"/>
        <v/>
      </c>
      <c r="HL113" s="348" t="str">
        <f t="shared" si="973"/>
        <v/>
      </c>
      <c r="HM113" s="923" t="str">
        <f t="shared" si="974"/>
        <v/>
      </c>
      <c r="HN113" s="924" t="str">
        <f t="shared" si="975"/>
        <v/>
      </c>
      <c r="HO113" s="925"/>
      <c r="HP113" s="926"/>
      <c r="HQ113" s="924" t="str">
        <f t="shared" si="976"/>
        <v/>
      </c>
      <c r="HR113" s="927" t="str">
        <f t="shared" si="977"/>
        <v/>
      </c>
      <c r="HS113" s="879" t="str">
        <f t="shared" si="1026"/>
        <v/>
      </c>
      <c r="HT113" s="889" t="str">
        <f t="shared" si="978"/>
        <v/>
      </c>
      <c r="HU113" s="890" t="str">
        <f t="shared" si="979"/>
        <v/>
      </c>
      <c r="HV113" s="886" t="str">
        <f t="shared" si="980"/>
        <v/>
      </c>
      <c r="HW113" s="880" t="str">
        <f t="shared" si="981"/>
        <v/>
      </c>
      <c r="HX113" s="881" t="str">
        <f t="shared" si="982"/>
        <v/>
      </c>
      <c r="HY113" s="880" t="str">
        <f t="shared" si="983"/>
        <v/>
      </c>
      <c r="HZ113" s="882" t="str">
        <f t="shared" si="984"/>
        <v/>
      </c>
      <c r="IA113" s="883" t="str">
        <f t="shared" si="985"/>
        <v/>
      </c>
      <c r="IB113" s="884" t="str">
        <f t="shared" si="986"/>
        <v/>
      </c>
      <c r="IC113" s="855" t="str">
        <f t="shared" si="987"/>
        <v/>
      </c>
      <c r="ID113" s="351" t="str">
        <f t="shared" si="988"/>
        <v/>
      </c>
      <c r="IE113" s="857" t="str">
        <f t="shared" si="989"/>
        <v/>
      </c>
      <c r="IF113" s="858"/>
      <c r="IG113" s="790" t="str">
        <f>IFERROR(IF($IW113="","",IF($IW113&lt;(((Settings!$C$19/2)*-1)*$IG$8),"Taper","Nose")),"")</f>
        <v/>
      </c>
      <c r="IH113" s="482" t="str">
        <f>IFERROR(IF((((($IY113*COS(RADIANS(180-$JA113)))*COS(RADIANS($JA113)))-(($IZ113*SIN(RADIANS(180-$JA113)))*SIN(RADIANS($JA113))))+$IW113)&lt;(((Settings!$C$19+$IH$8)/2)*-1),"Gage",""),"")</f>
        <v/>
      </c>
      <c r="II113" s="788" t="str">
        <f t="shared" si="855"/>
        <v/>
      </c>
      <c r="IJ113" s="674" t="str" cm="1">
        <f t="array" ref="IJ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K113" s="677" t="str" cm="1">
        <f t="array" ref="IK113">IFERROR(ROUND(VALUE(IF($IJ113&lt;1,$IJ113+LARGE((IF($M$9:$M$150="",0,$M$9:$M$150)-MOD(IF($M$9:$M$150="",0,$M$9:$M$150),1)),1),$IJ113)),4),"")</f>
        <v/>
      </c>
      <c r="IL113" s="482" t="str">
        <f t="shared" si="990"/>
        <v/>
      </c>
      <c r="IM113" s="482" t="str">
        <f t="shared" si="856"/>
        <v/>
      </c>
      <c r="IN113" s="670" t="str">
        <f t="shared" si="991"/>
        <v/>
      </c>
      <c r="IO113" s="702"/>
      <c r="IP113" s="5" t="str">
        <f t="shared" si="992"/>
        <v/>
      </c>
      <c r="IQ113" s="714"/>
      <c r="IR113" s="9" t="str">
        <f t="shared" si="993"/>
        <v/>
      </c>
      <c r="IS113" s="5" t="str">
        <f t="shared" si="994"/>
        <v/>
      </c>
      <c r="IT113" s="5" t="str">
        <f t="shared" si="995"/>
        <v/>
      </c>
      <c r="IU113" s="5" t="str">
        <f t="shared" si="996"/>
        <v/>
      </c>
      <c r="IV113" s="670" t="str">
        <f t="shared" si="997"/>
        <v/>
      </c>
      <c r="IW113" s="9" t="str">
        <f t="shared" si="998"/>
        <v/>
      </c>
      <c r="IX113" s="5" t="str">
        <f t="shared" si="999"/>
        <v/>
      </c>
      <c r="IY113" s="5" t="str">
        <f t="shared" si="1000"/>
        <v/>
      </c>
      <c r="IZ113" s="5" t="str">
        <f t="shared" si="1001"/>
        <v/>
      </c>
      <c r="JA113" s="705" t="str">
        <f t="shared" si="1002"/>
        <v/>
      </c>
      <c r="JN113" s="960"/>
      <c r="JO113" s="162"/>
      <c r="JP113" s="961"/>
      <c r="JQ113" s="961"/>
    </row>
    <row r="114" spans="1:277" ht="15" customHeight="1" x14ac:dyDescent="0.25">
      <c r="A114" s="75" t="str">
        <f t="shared" si="917"/>
        <v/>
      </c>
      <c r="B114" s="578" t="str">
        <f t="shared" ref="B114:D114" si="1044">IFERROR(O269+($A114*-E114),"")</f>
        <v/>
      </c>
      <c r="C114" s="572" t="str">
        <f t="shared" si="1044"/>
        <v/>
      </c>
      <c r="D114" s="576" t="str">
        <f t="shared" si="1044"/>
        <v/>
      </c>
      <c r="E114" s="580" t="str">
        <f t="shared" ref="E114:K114" si="1045">R269</f>
        <v/>
      </c>
      <c r="F114" s="572" t="str">
        <f t="shared" si="1045"/>
        <v/>
      </c>
      <c r="G114" s="579" t="str">
        <f t="shared" si="1045"/>
        <v/>
      </c>
      <c r="H114" s="580" t="str">
        <f t="shared" si="1045"/>
        <v/>
      </c>
      <c r="I114" s="572" t="str">
        <f t="shared" si="1045"/>
        <v/>
      </c>
      <c r="J114" s="483" t="str">
        <f t="shared" si="728"/>
        <v/>
      </c>
      <c r="K114" s="806" t="str">
        <f t="shared" si="1045"/>
        <v/>
      </c>
      <c r="L114" s="309"/>
      <c r="M114" s="164" t="str">
        <f t="shared" si="920"/>
        <v/>
      </c>
      <c r="N114" s="575" t="str">
        <f t="shared" si="921"/>
        <v/>
      </c>
      <c r="O114" s="572" t="str">
        <f t="shared" si="922"/>
        <v/>
      </c>
      <c r="P114" s="576" t="str">
        <f t="shared" si="923"/>
        <v/>
      </c>
      <c r="Q114" s="528" t="str">
        <f t="shared" si="729"/>
        <v/>
      </c>
      <c r="R114" s="572" t="str">
        <f t="shared" si="1005"/>
        <v/>
      </c>
      <c r="S114" s="577" t="str">
        <f t="shared" si="1006"/>
        <v/>
      </c>
      <c r="T114" s="578" t="str">
        <f t="shared" si="1007"/>
        <v/>
      </c>
      <c r="U114" s="572" t="str">
        <f t="shared" si="1008"/>
        <v/>
      </c>
      <c r="V114" s="579" t="str">
        <f t="shared" si="1009"/>
        <v/>
      </c>
      <c r="W114" s="528" t="str">
        <f t="shared" si="866"/>
        <v/>
      </c>
      <c r="X114" s="572" t="str">
        <f t="shared" si="1010"/>
        <v/>
      </c>
      <c r="Y114" s="573" t="str">
        <f t="shared" si="859"/>
        <v/>
      </c>
      <c r="Z114" s="575" t="str">
        <f t="shared" si="924"/>
        <v/>
      </c>
      <c r="AA114" s="572" t="str">
        <f t="shared" si="925"/>
        <v/>
      </c>
      <c r="AB114" s="572" t="str">
        <f t="shared" si="926"/>
        <v/>
      </c>
      <c r="AC114" s="579" t="str">
        <f t="shared" si="1011"/>
        <v/>
      </c>
      <c r="AD114" s="580" t="str">
        <f t="shared" si="1012"/>
        <v/>
      </c>
      <c r="AE114" s="572" t="str">
        <f t="shared" si="1013"/>
        <v/>
      </c>
      <c r="AF114" s="576" t="str">
        <f t="shared" si="1014"/>
        <v/>
      </c>
      <c r="AG114" s="545" t="str">
        <f t="shared" si="1015"/>
        <v/>
      </c>
      <c r="AH114" s="546" t="str">
        <f t="shared" si="1016"/>
        <v/>
      </c>
      <c r="AI114" s="528" t="str">
        <f t="shared" si="1017"/>
        <v/>
      </c>
      <c r="AJ114" s="529" t="str">
        <f t="shared" si="1018"/>
        <v/>
      </c>
      <c r="AK114" s="578" t="str">
        <f t="shared" si="1019"/>
        <v/>
      </c>
      <c r="AL114" s="572" t="str">
        <f t="shared" si="1020"/>
        <v/>
      </c>
      <c r="AM114" s="577" t="str">
        <f t="shared" si="1021"/>
        <v/>
      </c>
      <c r="AN114" s="524" t="str">
        <f t="shared" si="1022"/>
        <v/>
      </c>
      <c r="AO114" s="525" t="str">
        <f t="shared" si="604"/>
        <v/>
      </c>
      <c r="AP114" s="528" t="str">
        <f t="shared" si="1023"/>
        <v/>
      </c>
      <c r="AQ114" s="529" t="str">
        <f t="shared" si="927"/>
        <v/>
      </c>
      <c r="AS114" s="954" t="str">
        <f t="shared" si="1029"/>
        <v/>
      </c>
      <c r="AT114" s="950" t="str">
        <f t="shared" si="928"/>
        <v/>
      </c>
      <c r="AU114" s="418"/>
      <c r="AV114" s="164" t="str">
        <f t="shared" si="929"/>
        <v/>
      </c>
      <c r="AW114" s="797" t="str">
        <f>IFERROR(INDEX(MassProp!C$9:C$150,MATCH($M114,MassProp!$B$9:$B$150,0)),"")</f>
        <v/>
      </c>
      <c r="AX114" s="744" t="str">
        <f>IFERROR(INDEX(MassProp!D$9:D$150,MATCH($M114,MassProp!$B$9:$B$150,0)),"")</f>
        <v/>
      </c>
      <c r="AY114" s="731" t="str">
        <f>IFERROR(INDEX(MassProp!E$9:E$150,MATCH($M114,MassProp!$B$9:$B$150,0)),"")</f>
        <v/>
      </c>
      <c r="AZ114" s="297" t="str">
        <f t="shared" si="756"/>
        <v/>
      </c>
      <c r="BA114" s="296" t="str">
        <f t="shared" si="930"/>
        <v/>
      </c>
      <c r="BB114" s="177" t="str">
        <f t="shared" si="730"/>
        <v/>
      </c>
      <c r="BC114" s="9"/>
      <c r="BD114" s="5" t="str">
        <f t="shared" si="731"/>
        <v/>
      </c>
      <c r="BE114" s="6" t="str">
        <f t="shared" si="931"/>
        <v/>
      </c>
      <c r="BF114" s="4" t="str">
        <f t="shared" si="932"/>
        <v/>
      </c>
      <c r="BG114" s="5" t="str">
        <f t="shared" si="933"/>
        <v/>
      </c>
      <c r="BH114" s="10" t="str">
        <f t="shared" si="934"/>
        <v/>
      </c>
      <c r="BI114" s="9" t="str">
        <f t="shared" si="757"/>
        <v/>
      </c>
      <c r="BJ114" s="5" t="str">
        <f t="shared" si="935"/>
        <v/>
      </c>
      <c r="BK114" s="8" t="str">
        <f t="shared" si="936"/>
        <v/>
      </c>
      <c r="BL114" s="173" t="str">
        <f t="shared" si="937"/>
        <v/>
      </c>
      <c r="BM114" s="5" t="str">
        <f t="shared" si="938"/>
        <v/>
      </c>
      <c r="BN114" s="6" t="str">
        <f t="shared" si="939"/>
        <v/>
      </c>
      <c r="BO114" s="4" t="str">
        <f t="shared" si="758"/>
        <v/>
      </c>
      <c r="BP114" s="5" t="str">
        <f t="shared" si="759"/>
        <v/>
      </c>
      <c r="BQ114" s="5" t="str">
        <f t="shared" si="760"/>
        <v/>
      </c>
      <c r="BR114" s="6" t="str">
        <f t="shared" si="761"/>
        <v/>
      </c>
      <c r="BS114" s="4" t="str">
        <f t="shared" si="1024"/>
        <v/>
      </c>
      <c r="BT114" s="5" t="str">
        <f t="shared" si="1024"/>
        <v/>
      </c>
      <c r="BU114" s="10" t="str">
        <f t="shared" si="733"/>
        <v/>
      </c>
      <c r="BV114" s="9" t="str">
        <f t="shared" si="734"/>
        <v/>
      </c>
      <c r="BW114" s="5" t="str">
        <f t="shared" si="735"/>
        <v/>
      </c>
      <c r="BX114" s="8" t="str">
        <f t="shared" si="736"/>
        <v/>
      </c>
      <c r="BY114" s="173" t="str">
        <f t="shared" si="737"/>
        <v/>
      </c>
      <c r="BZ114" s="5" t="str">
        <f t="shared" si="738"/>
        <v/>
      </c>
      <c r="CA114" s="6" t="str">
        <f t="shared" si="739"/>
        <v/>
      </c>
      <c r="CB114" s="4" t="str">
        <f t="shared" si="762"/>
        <v/>
      </c>
      <c r="CC114" s="5" t="str">
        <f t="shared" si="763"/>
        <v/>
      </c>
      <c r="CD114" s="5" t="str">
        <f t="shared" si="764"/>
        <v/>
      </c>
      <c r="CE114" s="6" t="str">
        <f t="shared" si="765"/>
        <v/>
      </c>
      <c r="CF114" s="4" t="str">
        <f t="shared" si="766"/>
        <v/>
      </c>
      <c r="CG114" s="5" t="str">
        <f t="shared" si="767"/>
        <v/>
      </c>
      <c r="CH114" s="5" t="str">
        <f t="shared" si="768"/>
        <v/>
      </c>
      <c r="CI114" s="4" t="str">
        <f t="shared" si="740"/>
        <v/>
      </c>
      <c r="CJ114" s="5" t="str">
        <f t="shared" si="741"/>
        <v/>
      </c>
      <c r="CK114" s="8" t="str">
        <f t="shared" si="742"/>
        <v/>
      </c>
      <c r="CL114" s="173" t="str">
        <f t="shared" si="743"/>
        <v/>
      </c>
      <c r="CM114" s="5" t="str">
        <f t="shared" si="744"/>
        <v/>
      </c>
      <c r="CN114" s="6" t="str">
        <f t="shared" si="745"/>
        <v/>
      </c>
      <c r="CO114" s="167" t="str">
        <f t="shared" si="940"/>
        <v/>
      </c>
      <c r="CP114" s="4" t="str">
        <f t="shared" si="769"/>
        <v/>
      </c>
      <c r="CQ114" s="5" t="str">
        <f t="shared" si="770"/>
        <v/>
      </c>
      <c r="CR114" s="5" t="str">
        <f t="shared" si="771"/>
        <v/>
      </c>
      <c r="CS114" s="8" t="str">
        <f t="shared" si="772"/>
        <v/>
      </c>
      <c r="CT114" s="9" t="str">
        <f t="shared" si="773"/>
        <v/>
      </c>
      <c r="CU114" s="6" t="str">
        <f t="shared" si="774"/>
        <v/>
      </c>
      <c r="CV114" s="4" t="str">
        <f t="shared" si="775"/>
        <v/>
      </c>
      <c r="CW114" s="5" t="str">
        <f t="shared" si="776"/>
        <v/>
      </c>
      <c r="CX114" s="8" t="str">
        <f t="shared" si="777"/>
        <v/>
      </c>
      <c r="CY114" s="9" t="str">
        <f t="shared" si="778"/>
        <v/>
      </c>
      <c r="CZ114" s="5" t="str">
        <f t="shared" si="779"/>
        <v/>
      </c>
      <c r="DA114" s="6" t="str">
        <f t="shared" si="780"/>
        <v/>
      </c>
      <c r="DB114" s="4" t="str">
        <f t="shared" si="1030"/>
        <v/>
      </c>
      <c r="DC114" s="5" t="str">
        <f t="shared" si="1030"/>
        <v/>
      </c>
      <c r="DD114" s="10" t="str">
        <f t="shared" si="782"/>
        <v/>
      </c>
      <c r="DE114" s="9" t="str">
        <f t="shared" si="1031"/>
        <v/>
      </c>
      <c r="DF114" s="5" t="str">
        <f t="shared" si="1031"/>
        <v/>
      </c>
      <c r="DG114" s="10" t="str">
        <f t="shared" si="784"/>
        <v/>
      </c>
      <c r="DH114" s="70" t="str">
        <f t="shared" si="785"/>
        <v/>
      </c>
      <c r="DI114" s="4" t="str">
        <f t="shared" si="786"/>
        <v/>
      </c>
      <c r="DJ114" s="5" t="str">
        <f t="shared" si="787"/>
        <v/>
      </c>
      <c r="DK114" s="10" t="str">
        <f t="shared" si="788"/>
        <v/>
      </c>
      <c r="DL114" s="9" t="str">
        <f t="shared" si="789"/>
        <v/>
      </c>
      <c r="DM114" s="173" t="str">
        <f t="shared" si="790"/>
        <v/>
      </c>
      <c r="DN114" s="178" t="str">
        <f t="shared" si="791"/>
        <v/>
      </c>
      <c r="DO114" s="9" t="str">
        <f t="shared" si="792"/>
        <v/>
      </c>
      <c r="DP114" s="173" t="str">
        <f t="shared" si="793"/>
        <v/>
      </c>
      <c r="DQ114" s="11" t="str">
        <f t="shared" si="794"/>
        <v/>
      </c>
      <c r="DR114" s="173" t="str">
        <f t="shared" si="795"/>
        <v/>
      </c>
      <c r="DS114" s="5" t="str">
        <f t="shared" si="796"/>
        <v/>
      </c>
      <c r="DT114" s="5" t="str">
        <f t="shared" si="797"/>
        <v/>
      </c>
      <c r="DU114" s="5" t="str">
        <f t="shared" si="798"/>
        <v/>
      </c>
      <c r="DV114" s="5" t="str">
        <f t="shared" si="799"/>
        <v/>
      </c>
      <c r="DW114" s="5" t="str">
        <f t="shared" si="800"/>
        <v/>
      </c>
      <c r="DX114" s="167" t="str">
        <f t="shared" si="801"/>
        <v/>
      </c>
      <c r="DY114" s="9" t="str">
        <f t="shared" si="802"/>
        <v/>
      </c>
      <c r="DZ114" s="5" t="str">
        <f t="shared" si="803"/>
        <v/>
      </c>
      <c r="EA114" s="10" t="str">
        <f t="shared" si="804"/>
        <v/>
      </c>
      <c r="EB114" s="6" t="str">
        <f t="shared" si="805"/>
        <v/>
      </c>
      <c r="EC114" s="173" t="str">
        <f t="shared" si="806"/>
        <v/>
      </c>
      <c r="ED114" s="5" t="str">
        <f t="shared" si="807"/>
        <v/>
      </c>
      <c r="EE114" s="4" t="str">
        <f t="shared" si="808"/>
        <v/>
      </c>
      <c r="EF114" s="5" t="str">
        <f t="shared" si="809"/>
        <v/>
      </c>
      <c r="EG114" s="10" t="str">
        <f t="shared" si="810"/>
        <v/>
      </c>
      <c r="EH114" s="9" t="str">
        <f t="shared" si="811"/>
        <v/>
      </c>
      <c r="EI114" s="5" t="str">
        <f t="shared" si="812"/>
        <v/>
      </c>
      <c r="EJ114" s="6" t="str">
        <f t="shared" si="813"/>
        <v/>
      </c>
      <c r="EK114" s="236" t="str">
        <f t="shared" si="814"/>
        <v/>
      </c>
      <c r="EL114" s="238" t="str">
        <f t="shared" si="815"/>
        <v/>
      </c>
      <c r="EM114" s="4" t="str">
        <f t="shared" si="816"/>
        <v/>
      </c>
      <c r="EN114" s="5" t="str">
        <f t="shared" si="817"/>
        <v/>
      </c>
      <c r="EO114" s="10" t="str">
        <f t="shared" si="818"/>
        <v/>
      </c>
      <c r="EP114" s="9" t="str">
        <f t="shared" si="819"/>
        <v/>
      </c>
      <c r="EQ114" s="5" t="str">
        <f t="shared" si="820"/>
        <v/>
      </c>
      <c r="ER114" s="7" t="str">
        <f t="shared" si="821"/>
        <v/>
      </c>
      <c r="ES114" s="21" t="str">
        <f t="shared" si="941"/>
        <v/>
      </c>
      <c r="ET114" s="5" t="str">
        <f t="shared" si="942"/>
        <v/>
      </c>
      <c r="EU114" s="10" t="str">
        <f t="shared" si="943"/>
        <v/>
      </c>
      <c r="EV114" s="174" t="str">
        <f t="shared" si="944"/>
        <v/>
      </c>
      <c r="EW114" s="9" t="str">
        <f t="shared" si="945"/>
        <v/>
      </c>
      <c r="EX114" s="5" t="str">
        <f t="shared" si="946"/>
        <v/>
      </c>
      <c r="EY114" s="6" t="str">
        <f t="shared" si="822"/>
        <v/>
      </c>
      <c r="EZ114" s="51" t="str">
        <f t="shared" si="823"/>
        <v/>
      </c>
      <c r="FA114" s="173" t="str">
        <f t="shared" si="947"/>
        <v/>
      </c>
      <c r="FB114" s="5" t="str">
        <f t="shared" si="948"/>
        <v/>
      </c>
      <c r="FC114" s="6" t="str">
        <f t="shared" si="949"/>
        <v/>
      </c>
      <c r="FD114" s="4" t="str">
        <f t="shared" si="950"/>
        <v/>
      </c>
      <c r="FE114" s="5" t="str">
        <f t="shared" si="951"/>
        <v/>
      </c>
      <c r="FF114" s="7" t="str">
        <f t="shared" si="824"/>
        <v/>
      </c>
      <c r="FG114" s="173" t="str">
        <f t="shared" si="952"/>
        <v/>
      </c>
      <c r="FH114" s="5" t="str">
        <f t="shared" si="953"/>
        <v/>
      </c>
      <c r="FI114" s="10" t="str">
        <f t="shared" si="954"/>
        <v/>
      </c>
      <c r="FJ114" s="279" t="str">
        <f t="shared" si="825"/>
        <v/>
      </c>
      <c r="FK114" s="4" t="str">
        <f t="shared" si="955"/>
        <v/>
      </c>
      <c r="FL114" s="5" t="str">
        <f t="shared" si="746"/>
        <v/>
      </c>
      <c r="FM114" s="8" t="str">
        <f t="shared" si="747"/>
        <v/>
      </c>
      <c r="FN114" s="9" t="str">
        <f t="shared" si="748"/>
        <v/>
      </c>
      <c r="FO114" s="10" t="str">
        <f t="shared" si="956"/>
        <v/>
      </c>
      <c r="FP114" s="277" t="str">
        <f t="shared" si="749"/>
        <v/>
      </c>
      <c r="FQ114" s="173" t="str">
        <f t="shared" si="826"/>
        <v/>
      </c>
      <c r="FR114" s="10" t="str">
        <f t="shared" si="827"/>
        <v/>
      </c>
      <c r="FS114" s="9" t="str">
        <f t="shared" si="828"/>
        <v/>
      </c>
      <c r="FT114" s="6" t="str">
        <f t="shared" si="829"/>
        <v/>
      </c>
      <c r="FU114" s="4" t="str">
        <f t="shared" si="830"/>
        <v/>
      </c>
      <c r="FV114" s="5" t="str">
        <f t="shared" si="831"/>
        <v/>
      </c>
      <c r="FW114" s="8" t="str">
        <f t="shared" si="832"/>
        <v/>
      </c>
      <c r="FX114" s="9" t="str">
        <f t="shared" si="833"/>
        <v/>
      </c>
      <c r="FY114" s="10" t="str">
        <f t="shared" si="957"/>
        <v/>
      </c>
      <c r="FZ114" s="277" t="str">
        <f t="shared" si="834"/>
        <v/>
      </c>
      <c r="GA114" s="177" t="str">
        <f t="shared" si="835"/>
        <v/>
      </c>
      <c r="GB114" s="4" t="str">
        <f t="shared" si="836"/>
        <v/>
      </c>
      <c r="GC114" s="5" t="str">
        <f t="shared" si="837"/>
        <v/>
      </c>
      <c r="GD114" s="10" t="str">
        <f t="shared" si="838"/>
        <v/>
      </c>
      <c r="GE114" s="311" t="str">
        <f t="shared" si="839"/>
        <v/>
      </c>
      <c r="GF114" s="341" t="str">
        <f t="shared" si="840"/>
        <v/>
      </c>
      <c r="GG114" s="285" t="str">
        <f t="shared" si="958"/>
        <v/>
      </c>
      <c r="GH114" s="286" t="str">
        <f t="shared" si="959"/>
        <v/>
      </c>
      <c r="GI114" s="281" t="str">
        <f t="shared" si="960"/>
        <v/>
      </c>
      <c r="GJ114" s="167" t="str">
        <f t="shared" si="841"/>
        <v/>
      </c>
      <c r="GK114" s="174" t="str">
        <f t="shared" si="961"/>
        <v/>
      </c>
      <c r="GL114" s="174" t="str">
        <f t="shared" si="842"/>
        <v/>
      </c>
      <c r="GM114" s="177" t="str">
        <f t="shared" si="843"/>
        <v/>
      </c>
      <c r="GN114" s="280" t="str">
        <f t="shared" si="844"/>
        <v/>
      </c>
      <c r="GO114" s="4" t="str">
        <f t="shared" si="845"/>
        <v/>
      </c>
      <c r="GP114" s="8" t="str">
        <f t="shared" si="846"/>
        <v/>
      </c>
      <c r="GQ114" s="177" t="str">
        <f t="shared" si="847"/>
        <v/>
      </c>
      <c r="GR114" s="371" t="str">
        <f t="shared" si="848"/>
        <v/>
      </c>
      <c r="GS114" s="342" t="str">
        <f t="shared" si="962"/>
        <v/>
      </c>
      <c r="GT114" s="343" t="str">
        <f t="shared" si="963"/>
        <v/>
      </c>
      <c r="GU114" s="344" t="str">
        <f t="shared" si="964"/>
        <v/>
      </c>
      <c r="GV114" s="343" t="str">
        <f t="shared" si="849"/>
        <v/>
      </c>
      <c r="GW114" s="345" t="str">
        <f t="shared" si="965"/>
        <v/>
      </c>
      <c r="GX114" s="346" t="str">
        <f t="shared" si="966"/>
        <v/>
      </c>
      <c r="GY114" s="344" t="str">
        <f t="shared" si="967"/>
        <v/>
      </c>
      <c r="GZ114" s="345" t="str">
        <f t="shared" si="968"/>
        <v/>
      </c>
      <c r="HA114" s="342" t="str">
        <f t="shared" si="969"/>
        <v/>
      </c>
      <c r="HB114" s="5" t="str">
        <f t="shared" si="850"/>
        <v/>
      </c>
      <c r="HC114" s="343" t="str">
        <f t="shared" si="851"/>
        <v/>
      </c>
      <c r="HD114" s="363" t="str">
        <f t="shared" si="852"/>
        <v/>
      </c>
      <c r="HE114" s="344" t="str">
        <f t="shared" si="970"/>
        <v/>
      </c>
      <c r="HF114" s="5" t="str">
        <f t="shared" si="971"/>
        <v/>
      </c>
      <c r="HG114" s="343" t="str">
        <f t="shared" si="853"/>
        <v/>
      </c>
      <c r="HH114" s="349" t="str">
        <f t="shared" si="854"/>
        <v/>
      </c>
      <c r="HI114" s="317" t="str">
        <f t="shared" si="972"/>
        <v/>
      </c>
      <c r="HK114" s="310" t="str">
        <f t="shared" si="1025"/>
        <v/>
      </c>
      <c r="HL114" s="348" t="str">
        <f t="shared" si="973"/>
        <v/>
      </c>
      <c r="HM114" s="923" t="str">
        <f t="shared" si="974"/>
        <v/>
      </c>
      <c r="HN114" s="924" t="str">
        <f t="shared" si="975"/>
        <v/>
      </c>
      <c r="HO114" s="925"/>
      <c r="HP114" s="926"/>
      <c r="HQ114" s="924" t="str">
        <f t="shared" si="976"/>
        <v/>
      </c>
      <c r="HR114" s="927" t="str">
        <f t="shared" si="977"/>
        <v/>
      </c>
      <c r="HS114" s="879" t="str">
        <f t="shared" si="1026"/>
        <v/>
      </c>
      <c r="HT114" s="889" t="str">
        <f t="shared" si="978"/>
        <v/>
      </c>
      <c r="HU114" s="890" t="str">
        <f t="shared" si="979"/>
        <v/>
      </c>
      <c r="HV114" s="886" t="str">
        <f t="shared" si="980"/>
        <v/>
      </c>
      <c r="HW114" s="880" t="str">
        <f t="shared" si="981"/>
        <v/>
      </c>
      <c r="HX114" s="881" t="str">
        <f t="shared" si="982"/>
        <v/>
      </c>
      <c r="HY114" s="880" t="str">
        <f t="shared" si="983"/>
        <v/>
      </c>
      <c r="HZ114" s="882" t="str">
        <f t="shared" si="984"/>
        <v/>
      </c>
      <c r="IA114" s="883" t="str">
        <f t="shared" si="985"/>
        <v/>
      </c>
      <c r="IB114" s="884" t="str">
        <f t="shared" si="986"/>
        <v/>
      </c>
      <c r="IC114" s="855" t="str">
        <f t="shared" si="987"/>
        <v/>
      </c>
      <c r="ID114" s="351" t="str">
        <f t="shared" si="988"/>
        <v/>
      </c>
      <c r="IE114" s="857" t="str">
        <f t="shared" si="989"/>
        <v/>
      </c>
      <c r="IF114" s="858"/>
      <c r="IG114" s="790" t="str">
        <f>IFERROR(IF($IW114="","",IF($IW114&lt;(((Settings!$C$19/2)*-1)*$IG$8),"Taper","Nose")),"")</f>
        <v/>
      </c>
      <c r="IH114" s="482" t="str">
        <f>IFERROR(IF((((($IY114*COS(RADIANS(180-$JA114)))*COS(RADIANS($JA114)))-(($IZ114*SIN(RADIANS(180-$JA114)))*SIN(RADIANS($JA114))))+$IW114)&lt;(((Settings!$C$19+$IH$8)/2)*-1),"Gage",""),"")</f>
        <v/>
      </c>
      <c r="II114" s="788" t="str">
        <f t="shared" si="855"/>
        <v/>
      </c>
      <c r="IJ114" s="674" t="str" cm="1">
        <f t="array" ref="IJ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K114" s="677" t="str" cm="1">
        <f t="array" ref="IK114">IFERROR(ROUND(VALUE(IF($IJ114&lt;1,$IJ114+LARGE((IF($M$9:$M$150="",0,$M$9:$M$150)-MOD(IF($M$9:$M$150="",0,$M$9:$M$150),1)),1),$IJ114)),4),"")</f>
        <v/>
      </c>
      <c r="IL114" s="482" t="str">
        <f t="shared" si="990"/>
        <v/>
      </c>
      <c r="IM114" s="482" t="str">
        <f t="shared" si="856"/>
        <v/>
      </c>
      <c r="IN114" s="670" t="str">
        <f t="shared" si="991"/>
        <v/>
      </c>
      <c r="IO114" s="702"/>
      <c r="IP114" s="5" t="str">
        <f t="shared" si="992"/>
        <v/>
      </c>
      <c r="IQ114" s="714"/>
      <c r="IR114" s="9" t="str">
        <f t="shared" si="993"/>
        <v/>
      </c>
      <c r="IS114" s="5" t="str">
        <f t="shared" si="994"/>
        <v/>
      </c>
      <c r="IT114" s="5" t="str">
        <f t="shared" si="995"/>
        <v/>
      </c>
      <c r="IU114" s="5" t="str">
        <f t="shared" si="996"/>
        <v/>
      </c>
      <c r="IV114" s="670" t="str">
        <f t="shared" si="997"/>
        <v/>
      </c>
      <c r="IW114" s="9" t="str">
        <f t="shared" si="998"/>
        <v/>
      </c>
      <c r="IX114" s="5" t="str">
        <f t="shared" si="999"/>
        <v/>
      </c>
      <c r="IY114" s="5" t="str">
        <f t="shared" si="1000"/>
        <v/>
      </c>
      <c r="IZ114" s="5" t="str">
        <f t="shared" si="1001"/>
        <v/>
      </c>
      <c r="JA114" s="705" t="str">
        <f t="shared" si="1002"/>
        <v/>
      </c>
      <c r="JN114" s="960"/>
      <c r="JO114" s="162"/>
      <c r="JP114" s="961"/>
      <c r="JQ114" s="961"/>
    </row>
    <row r="115" spans="1:277" ht="15" customHeight="1" x14ac:dyDescent="0.25">
      <c r="A115" s="75" t="str">
        <f t="shared" si="917"/>
        <v/>
      </c>
      <c r="B115" s="578" t="str">
        <f t="shared" ref="B115:D115" si="1046">IFERROR(O270+($A115*-E115),"")</f>
        <v/>
      </c>
      <c r="C115" s="572" t="str">
        <f t="shared" si="1046"/>
        <v/>
      </c>
      <c r="D115" s="576" t="str">
        <f t="shared" si="1046"/>
        <v/>
      </c>
      <c r="E115" s="580" t="str">
        <f t="shared" ref="E115:K115" si="1047">R270</f>
        <v/>
      </c>
      <c r="F115" s="572" t="str">
        <f t="shared" si="1047"/>
        <v/>
      </c>
      <c r="G115" s="579" t="str">
        <f t="shared" si="1047"/>
        <v/>
      </c>
      <c r="H115" s="580" t="str">
        <f t="shared" si="1047"/>
        <v/>
      </c>
      <c r="I115" s="572" t="str">
        <f t="shared" si="1047"/>
        <v/>
      </c>
      <c r="J115" s="483" t="str">
        <f t="shared" si="728"/>
        <v/>
      </c>
      <c r="K115" s="806" t="str">
        <f t="shared" si="1047"/>
        <v/>
      </c>
      <c r="L115" s="309"/>
      <c r="M115" s="164" t="str">
        <f t="shared" si="920"/>
        <v/>
      </c>
      <c r="N115" s="575" t="str">
        <f t="shared" si="921"/>
        <v/>
      </c>
      <c r="O115" s="572" t="str">
        <f t="shared" si="922"/>
        <v/>
      </c>
      <c r="P115" s="576" t="str">
        <f t="shared" si="923"/>
        <v/>
      </c>
      <c r="Q115" s="528" t="str">
        <f t="shared" si="729"/>
        <v/>
      </c>
      <c r="R115" s="572" t="str">
        <f t="shared" si="1005"/>
        <v/>
      </c>
      <c r="S115" s="577" t="str">
        <f t="shared" si="1006"/>
        <v/>
      </c>
      <c r="T115" s="578" t="str">
        <f t="shared" si="1007"/>
        <v/>
      </c>
      <c r="U115" s="572" t="str">
        <f t="shared" si="1008"/>
        <v/>
      </c>
      <c r="V115" s="579" t="str">
        <f t="shared" si="1009"/>
        <v/>
      </c>
      <c r="W115" s="528" t="str">
        <f t="shared" si="866"/>
        <v/>
      </c>
      <c r="X115" s="572" t="str">
        <f t="shared" si="1010"/>
        <v/>
      </c>
      <c r="Y115" s="573" t="str">
        <f t="shared" si="859"/>
        <v/>
      </c>
      <c r="Z115" s="575" t="str">
        <f t="shared" si="924"/>
        <v/>
      </c>
      <c r="AA115" s="572" t="str">
        <f t="shared" si="925"/>
        <v/>
      </c>
      <c r="AB115" s="572" t="str">
        <f t="shared" si="926"/>
        <v/>
      </c>
      <c r="AC115" s="579" t="str">
        <f t="shared" si="1011"/>
        <v/>
      </c>
      <c r="AD115" s="580" t="str">
        <f t="shared" si="1012"/>
        <v/>
      </c>
      <c r="AE115" s="572" t="str">
        <f t="shared" si="1013"/>
        <v/>
      </c>
      <c r="AF115" s="576" t="str">
        <f t="shared" si="1014"/>
        <v/>
      </c>
      <c r="AG115" s="545" t="str">
        <f t="shared" si="1015"/>
        <v/>
      </c>
      <c r="AH115" s="546" t="str">
        <f t="shared" si="1016"/>
        <v/>
      </c>
      <c r="AI115" s="528" t="str">
        <f t="shared" si="1017"/>
        <v/>
      </c>
      <c r="AJ115" s="529" t="str">
        <f t="shared" si="1018"/>
        <v/>
      </c>
      <c r="AK115" s="578" t="str">
        <f t="shared" si="1019"/>
        <v/>
      </c>
      <c r="AL115" s="572" t="str">
        <f t="shared" si="1020"/>
        <v/>
      </c>
      <c r="AM115" s="577" t="str">
        <f t="shared" si="1021"/>
        <v/>
      </c>
      <c r="AN115" s="524" t="str">
        <f t="shared" si="1022"/>
        <v/>
      </c>
      <c r="AO115" s="525" t="str">
        <f t="shared" si="604"/>
        <v/>
      </c>
      <c r="AP115" s="528" t="str">
        <f t="shared" si="1023"/>
        <v/>
      </c>
      <c r="AQ115" s="529" t="str">
        <f t="shared" si="927"/>
        <v/>
      </c>
      <c r="AS115" s="954" t="str">
        <f t="shared" si="1029"/>
        <v/>
      </c>
      <c r="AT115" s="950" t="str">
        <f t="shared" si="928"/>
        <v/>
      </c>
      <c r="AU115" s="418"/>
      <c r="AV115" s="164" t="str">
        <f t="shared" si="929"/>
        <v/>
      </c>
      <c r="AW115" s="797" t="str">
        <f>IFERROR(INDEX(MassProp!C$9:C$150,MATCH($M115,MassProp!$B$9:$B$150,0)),"")</f>
        <v/>
      </c>
      <c r="AX115" s="744" t="str">
        <f>IFERROR(INDEX(MassProp!D$9:D$150,MATCH($M115,MassProp!$B$9:$B$150,0)),"")</f>
        <v/>
      </c>
      <c r="AY115" s="731" t="str">
        <f>IFERROR(INDEX(MassProp!E$9:E$150,MATCH($M115,MassProp!$B$9:$B$150,0)),"")</f>
        <v/>
      </c>
      <c r="AZ115" s="297" t="str">
        <f t="shared" si="756"/>
        <v/>
      </c>
      <c r="BA115" s="296" t="str">
        <f t="shared" si="930"/>
        <v/>
      </c>
      <c r="BB115" s="177" t="str">
        <f t="shared" si="730"/>
        <v/>
      </c>
      <c r="BC115" s="9"/>
      <c r="BD115" s="5" t="str">
        <f t="shared" si="731"/>
        <v/>
      </c>
      <c r="BE115" s="6" t="str">
        <f t="shared" si="931"/>
        <v/>
      </c>
      <c r="BF115" s="4" t="str">
        <f t="shared" si="932"/>
        <v/>
      </c>
      <c r="BG115" s="5" t="str">
        <f t="shared" si="933"/>
        <v/>
      </c>
      <c r="BH115" s="10" t="str">
        <f t="shared" si="934"/>
        <v/>
      </c>
      <c r="BI115" s="9" t="str">
        <f t="shared" si="757"/>
        <v/>
      </c>
      <c r="BJ115" s="5" t="str">
        <f t="shared" si="935"/>
        <v/>
      </c>
      <c r="BK115" s="8" t="str">
        <f t="shared" si="936"/>
        <v/>
      </c>
      <c r="BL115" s="173" t="str">
        <f t="shared" si="937"/>
        <v/>
      </c>
      <c r="BM115" s="5" t="str">
        <f t="shared" si="938"/>
        <v/>
      </c>
      <c r="BN115" s="6" t="str">
        <f t="shared" si="939"/>
        <v/>
      </c>
      <c r="BO115" s="4" t="str">
        <f t="shared" si="758"/>
        <v/>
      </c>
      <c r="BP115" s="5" t="str">
        <f t="shared" si="759"/>
        <v/>
      </c>
      <c r="BQ115" s="5" t="str">
        <f t="shared" si="760"/>
        <v/>
      </c>
      <c r="BR115" s="6" t="str">
        <f t="shared" si="761"/>
        <v/>
      </c>
      <c r="BS115" s="4" t="str">
        <f t="shared" si="1024"/>
        <v/>
      </c>
      <c r="BT115" s="5" t="str">
        <f t="shared" si="1024"/>
        <v/>
      </c>
      <c r="BU115" s="10" t="str">
        <f t="shared" si="733"/>
        <v/>
      </c>
      <c r="BV115" s="9" t="str">
        <f t="shared" si="734"/>
        <v/>
      </c>
      <c r="BW115" s="5" t="str">
        <f t="shared" si="735"/>
        <v/>
      </c>
      <c r="BX115" s="8" t="str">
        <f t="shared" si="736"/>
        <v/>
      </c>
      <c r="BY115" s="173" t="str">
        <f t="shared" si="737"/>
        <v/>
      </c>
      <c r="BZ115" s="5" t="str">
        <f t="shared" si="738"/>
        <v/>
      </c>
      <c r="CA115" s="6" t="str">
        <f t="shared" si="739"/>
        <v/>
      </c>
      <c r="CB115" s="4" t="str">
        <f t="shared" si="762"/>
        <v/>
      </c>
      <c r="CC115" s="5" t="str">
        <f t="shared" si="763"/>
        <v/>
      </c>
      <c r="CD115" s="5" t="str">
        <f t="shared" si="764"/>
        <v/>
      </c>
      <c r="CE115" s="6" t="str">
        <f t="shared" si="765"/>
        <v/>
      </c>
      <c r="CF115" s="4" t="str">
        <f t="shared" si="766"/>
        <v/>
      </c>
      <c r="CG115" s="5" t="str">
        <f t="shared" si="767"/>
        <v/>
      </c>
      <c r="CH115" s="5" t="str">
        <f t="shared" si="768"/>
        <v/>
      </c>
      <c r="CI115" s="4" t="str">
        <f t="shared" si="740"/>
        <v/>
      </c>
      <c r="CJ115" s="5" t="str">
        <f t="shared" si="741"/>
        <v/>
      </c>
      <c r="CK115" s="8" t="str">
        <f t="shared" si="742"/>
        <v/>
      </c>
      <c r="CL115" s="173" t="str">
        <f t="shared" si="743"/>
        <v/>
      </c>
      <c r="CM115" s="5" t="str">
        <f t="shared" si="744"/>
        <v/>
      </c>
      <c r="CN115" s="6" t="str">
        <f t="shared" si="745"/>
        <v/>
      </c>
      <c r="CO115" s="167" t="str">
        <f t="shared" si="940"/>
        <v/>
      </c>
      <c r="CP115" s="4" t="str">
        <f t="shared" si="769"/>
        <v/>
      </c>
      <c r="CQ115" s="5" t="str">
        <f t="shared" si="770"/>
        <v/>
      </c>
      <c r="CR115" s="5" t="str">
        <f t="shared" si="771"/>
        <v/>
      </c>
      <c r="CS115" s="8" t="str">
        <f t="shared" si="772"/>
        <v/>
      </c>
      <c r="CT115" s="9" t="str">
        <f t="shared" si="773"/>
        <v/>
      </c>
      <c r="CU115" s="6" t="str">
        <f t="shared" si="774"/>
        <v/>
      </c>
      <c r="CV115" s="4" t="str">
        <f t="shared" si="775"/>
        <v/>
      </c>
      <c r="CW115" s="5" t="str">
        <f t="shared" si="776"/>
        <v/>
      </c>
      <c r="CX115" s="8" t="str">
        <f t="shared" si="777"/>
        <v/>
      </c>
      <c r="CY115" s="9" t="str">
        <f t="shared" si="778"/>
        <v/>
      </c>
      <c r="CZ115" s="5" t="str">
        <f t="shared" si="779"/>
        <v/>
      </c>
      <c r="DA115" s="6" t="str">
        <f t="shared" si="780"/>
        <v/>
      </c>
      <c r="DB115" s="4" t="str">
        <f t="shared" si="1030"/>
        <v/>
      </c>
      <c r="DC115" s="5" t="str">
        <f t="shared" si="1030"/>
        <v/>
      </c>
      <c r="DD115" s="10" t="str">
        <f t="shared" si="782"/>
        <v/>
      </c>
      <c r="DE115" s="9" t="str">
        <f t="shared" si="1031"/>
        <v/>
      </c>
      <c r="DF115" s="5" t="str">
        <f t="shared" si="1031"/>
        <v/>
      </c>
      <c r="DG115" s="10" t="str">
        <f t="shared" si="784"/>
        <v/>
      </c>
      <c r="DH115" s="70" t="str">
        <f t="shared" si="785"/>
        <v/>
      </c>
      <c r="DI115" s="4" t="str">
        <f t="shared" si="786"/>
        <v/>
      </c>
      <c r="DJ115" s="5" t="str">
        <f t="shared" si="787"/>
        <v/>
      </c>
      <c r="DK115" s="10" t="str">
        <f t="shared" si="788"/>
        <v/>
      </c>
      <c r="DL115" s="9" t="str">
        <f t="shared" si="789"/>
        <v/>
      </c>
      <c r="DM115" s="173" t="str">
        <f t="shared" si="790"/>
        <v/>
      </c>
      <c r="DN115" s="178" t="str">
        <f t="shared" si="791"/>
        <v/>
      </c>
      <c r="DO115" s="9" t="str">
        <f t="shared" si="792"/>
        <v/>
      </c>
      <c r="DP115" s="173" t="str">
        <f t="shared" si="793"/>
        <v/>
      </c>
      <c r="DQ115" s="11" t="str">
        <f t="shared" si="794"/>
        <v/>
      </c>
      <c r="DR115" s="173" t="str">
        <f t="shared" si="795"/>
        <v/>
      </c>
      <c r="DS115" s="5" t="str">
        <f t="shared" si="796"/>
        <v/>
      </c>
      <c r="DT115" s="5" t="str">
        <f t="shared" si="797"/>
        <v/>
      </c>
      <c r="DU115" s="5" t="str">
        <f t="shared" si="798"/>
        <v/>
      </c>
      <c r="DV115" s="5" t="str">
        <f t="shared" si="799"/>
        <v/>
      </c>
      <c r="DW115" s="5" t="str">
        <f t="shared" si="800"/>
        <v/>
      </c>
      <c r="DX115" s="167" t="str">
        <f t="shared" si="801"/>
        <v/>
      </c>
      <c r="DY115" s="9" t="str">
        <f t="shared" si="802"/>
        <v/>
      </c>
      <c r="DZ115" s="5" t="str">
        <f t="shared" si="803"/>
        <v/>
      </c>
      <c r="EA115" s="10" t="str">
        <f t="shared" si="804"/>
        <v/>
      </c>
      <c r="EB115" s="6" t="str">
        <f t="shared" si="805"/>
        <v/>
      </c>
      <c r="EC115" s="173" t="str">
        <f t="shared" si="806"/>
        <v/>
      </c>
      <c r="ED115" s="5" t="str">
        <f t="shared" si="807"/>
        <v/>
      </c>
      <c r="EE115" s="4" t="str">
        <f t="shared" si="808"/>
        <v/>
      </c>
      <c r="EF115" s="5" t="str">
        <f t="shared" si="809"/>
        <v/>
      </c>
      <c r="EG115" s="10" t="str">
        <f t="shared" si="810"/>
        <v/>
      </c>
      <c r="EH115" s="9" t="str">
        <f t="shared" si="811"/>
        <v/>
      </c>
      <c r="EI115" s="5" t="str">
        <f t="shared" si="812"/>
        <v/>
      </c>
      <c r="EJ115" s="6" t="str">
        <f t="shared" si="813"/>
        <v/>
      </c>
      <c r="EK115" s="236" t="str">
        <f t="shared" si="814"/>
        <v/>
      </c>
      <c r="EL115" s="238" t="str">
        <f t="shared" si="815"/>
        <v/>
      </c>
      <c r="EM115" s="4" t="str">
        <f t="shared" si="816"/>
        <v/>
      </c>
      <c r="EN115" s="5" t="str">
        <f t="shared" si="817"/>
        <v/>
      </c>
      <c r="EO115" s="10" t="str">
        <f t="shared" si="818"/>
        <v/>
      </c>
      <c r="EP115" s="9" t="str">
        <f t="shared" si="819"/>
        <v/>
      </c>
      <c r="EQ115" s="5" t="str">
        <f t="shared" si="820"/>
        <v/>
      </c>
      <c r="ER115" s="7" t="str">
        <f t="shared" si="821"/>
        <v/>
      </c>
      <c r="ES115" s="21" t="str">
        <f t="shared" si="941"/>
        <v/>
      </c>
      <c r="ET115" s="5" t="str">
        <f t="shared" si="942"/>
        <v/>
      </c>
      <c r="EU115" s="10" t="str">
        <f t="shared" si="943"/>
        <v/>
      </c>
      <c r="EV115" s="174" t="str">
        <f t="shared" si="944"/>
        <v/>
      </c>
      <c r="EW115" s="9" t="str">
        <f t="shared" si="945"/>
        <v/>
      </c>
      <c r="EX115" s="5" t="str">
        <f t="shared" si="946"/>
        <v/>
      </c>
      <c r="EY115" s="6" t="str">
        <f t="shared" si="822"/>
        <v/>
      </c>
      <c r="EZ115" s="51" t="str">
        <f t="shared" si="823"/>
        <v/>
      </c>
      <c r="FA115" s="173" t="str">
        <f t="shared" si="947"/>
        <v/>
      </c>
      <c r="FB115" s="5" t="str">
        <f t="shared" si="948"/>
        <v/>
      </c>
      <c r="FC115" s="6" t="str">
        <f t="shared" si="949"/>
        <v/>
      </c>
      <c r="FD115" s="4" t="str">
        <f t="shared" si="950"/>
        <v/>
      </c>
      <c r="FE115" s="5" t="str">
        <f t="shared" si="951"/>
        <v/>
      </c>
      <c r="FF115" s="7" t="str">
        <f t="shared" si="824"/>
        <v/>
      </c>
      <c r="FG115" s="173" t="str">
        <f t="shared" si="952"/>
        <v/>
      </c>
      <c r="FH115" s="5" t="str">
        <f t="shared" si="953"/>
        <v/>
      </c>
      <c r="FI115" s="10" t="str">
        <f t="shared" si="954"/>
        <v/>
      </c>
      <c r="FJ115" s="279" t="str">
        <f t="shared" si="825"/>
        <v/>
      </c>
      <c r="FK115" s="4" t="str">
        <f t="shared" si="955"/>
        <v/>
      </c>
      <c r="FL115" s="5" t="str">
        <f t="shared" si="746"/>
        <v/>
      </c>
      <c r="FM115" s="8" t="str">
        <f t="shared" si="747"/>
        <v/>
      </c>
      <c r="FN115" s="9" t="str">
        <f t="shared" si="748"/>
        <v/>
      </c>
      <c r="FO115" s="10" t="str">
        <f t="shared" si="956"/>
        <v/>
      </c>
      <c r="FP115" s="277" t="str">
        <f t="shared" si="749"/>
        <v/>
      </c>
      <c r="FQ115" s="173" t="str">
        <f t="shared" si="826"/>
        <v/>
      </c>
      <c r="FR115" s="10" t="str">
        <f t="shared" si="827"/>
        <v/>
      </c>
      <c r="FS115" s="9" t="str">
        <f t="shared" si="828"/>
        <v/>
      </c>
      <c r="FT115" s="6" t="str">
        <f t="shared" si="829"/>
        <v/>
      </c>
      <c r="FU115" s="4" t="str">
        <f t="shared" si="830"/>
        <v/>
      </c>
      <c r="FV115" s="5" t="str">
        <f t="shared" si="831"/>
        <v/>
      </c>
      <c r="FW115" s="8" t="str">
        <f t="shared" si="832"/>
        <v/>
      </c>
      <c r="FX115" s="9" t="str">
        <f t="shared" si="833"/>
        <v/>
      </c>
      <c r="FY115" s="10" t="str">
        <f t="shared" si="957"/>
        <v/>
      </c>
      <c r="FZ115" s="277" t="str">
        <f t="shared" si="834"/>
        <v/>
      </c>
      <c r="GA115" s="177" t="str">
        <f t="shared" si="835"/>
        <v/>
      </c>
      <c r="GB115" s="4" t="str">
        <f t="shared" si="836"/>
        <v/>
      </c>
      <c r="GC115" s="5" t="str">
        <f t="shared" si="837"/>
        <v/>
      </c>
      <c r="GD115" s="10" t="str">
        <f t="shared" si="838"/>
        <v/>
      </c>
      <c r="GE115" s="311" t="str">
        <f t="shared" si="839"/>
        <v/>
      </c>
      <c r="GF115" s="341" t="str">
        <f t="shared" si="840"/>
        <v/>
      </c>
      <c r="GG115" s="285" t="str">
        <f t="shared" si="958"/>
        <v/>
      </c>
      <c r="GH115" s="286" t="str">
        <f t="shared" si="959"/>
        <v/>
      </c>
      <c r="GI115" s="281" t="str">
        <f t="shared" si="960"/>
        <v/>
      </c>
      <c r="GJ115" s="167" t="str">
        <f t="shared" si="841"/>
        <v/>
      </c>
      <c r="GK115" s="174" t="str">
        <f t="shared" si="961"/>
        <v/>
      </c>
      <c r="GL115" s="174" t="str">
        <f t="shared" si="842"/>
        <v/>
      </c>
      <c r="GM115" s="177" t="str">
        <f t="shared" si="843"/>
        <v/>
      </c>
      <c r="GN115" s="280" t="str">
        <f t="shared" si="844"/>
        <v/>
      </c>
      <c r="GO115" s="4" t="str">
        <f t="shared" si="845"/>
        <v/>
      </c>
      <c r="GP115" s="8" t="str">
        <f t="shared" si="846"/>
        <v/>
      </c>
      <c r="GQ115" s="177" t="str">
        <f t="shared" si="847"/>
        <v/>
      </c>
      <c r="GR115" s="371" t="str">
        <f t="shared" si="848"/>
        <v/>
      </c>
      <c r="GS115" s="342" t="str">
        <f t="shared" si="962"/>
        <v/>
      </c>
      <c r="GT115" s="343" t="str">
        <f t="shared" si="963"/>
        <v/>
      </c>
      <c r="GU115" s="344" t="str">
        <f t="shared" si="964"/>
        <v/>
      </c>
      <c r="GV115" s="343" t="str">
        <f t="shared" si="849"/>
        <v/>
      </c>
      <c r="GW115" s="345" t="str">
        <f t="shared" si="965"/>
        <v/>
      </c>
      <c r="GX115" s="346" t="str">
        <f t="shared" si="966"/>
        <v/>
      </c>
      <c r="GY115" s="344" t="str">
        <f t="shared" si="967"/>
        <v/>
      </c>
      <c r="GZ115" s="345" t="str">
        <f t="shared" si="968"/>
        <v/>
      </c>
      <c r="HA115" s="342" t="str">
        <f t="shared" si="969"/>
        <v/>
      </c>
      <c r="HB115" s="5" t="str">
        <f t="shared" si="850"/>
        <v/>
      </c>
      <c r="HC115" s="343" t="str">
        <f t="shared" si="851"/>
        <v/>
      </c>
      <c r="HD115" s="363" t="str">
        <f t="shared" si="852"/>
        <v/>
      </c>
      <c r="HE115" s="344" t="str">
        <f t="shared" si="970"/>
        <v/>
      </c>
      <c r="HF115" s="5" t="str">
        <f t="shared" si="971"/>
        <v/>
      </c>
      <c r="HG115" s="343" t="str">
        <f t="shared" si="853"/>
        <v/>
      </c>
      <c r="HH115" s="349" t="str">
        <f t="shared" si="854"/>
        <v/>
      </c>
      <c r="HI115" s="317" t="str">
        <f t="shared" si="972"/>
        <v/>
      </c>
      <c r="HK115" s="310" t="str">
        <f t="shared" si="1025"/>
        <v/>
      </c>
      <c r="HL115" s="348" t="str">
        <f t="shared" si="973"/>
        <v/>
      </c>
      <c r="HM115" s="923" t="str">
        <f t="shared" si="974"/>
        <v/>
      </c>
      <c r="HN115" s="924" t="str">
        <f t="shared" si="975"/>
        <v/>
      </c>
      <c r="HO115" s="925"/>
      <c r="HP115" s="926"/>
      <c r="HQ115" s="924" t="str">
        <f t="shared" si="976"/>
        <v/>
      </c>
      <c r="HR115" s="927" t="str">
        <f t="shared" si="977"/>
        <v/>
      </c>
      <c r="HS115" s="879" t="str">
        <f t="shared" si="1026"/>
        <v/>
      </c>
      <c r="HT115" s="889" t="str">
        <f t="shared" si="978"/>
        <v/>
      </c>
      <c r="HU115" s="890" t="str">
        <f t="shared" si="979"/>
        <v/>
      </c>
      <c r="HV115" s="886" t="str">
        <f t="shared" si="980"/>
        <v/>
      </c>
      <c r="HW115" s="880" t="str">
        <f t="shared" si="981"/>
        <v/>
      </c>
      <c r="HX115" s="881" t="str">
        <f t="shared" si="982"/>
        <v/>
      </c>
      <c r="HY115" s="880" t="str">
        <f t="shared" si="983"/>
        <v/>
      </c>
      <c r="HZ115" s="882" t="str">
        <f t="shared" si="984"/>
        <v/>
      </c>
      <c r="IA115" s="883" t="str">
        <f t="shared" si="985"/>
        <v/>
      </c>
      <c r="IB115" s="884" t="str">
        <f t="shared" si="986"/>
        <v/>
      </c>
      <c r="IC115" s="855" t="str">
        <f t="shared" si="987"/>
        <v/>
      </c>
      <c r="ID115" s="351" t="str">
        <f t="shared" si="988"/>
        <v/>
      </c>
      <c r="IE115" s="857" t="str">
        <f t="shared" si="989"/>
        <v/>
      </c>
      <c r="IF115" s="858"/>
      <c r="IG115" s="790" t="str">
        <f>IFERROR(IF($IW115="","",IF($IW115&lt;(((Settings!$C$19/2)*-1)*$IG$8),"Taper","Nose")),"")</f>
        <v/>
      </c>
      <c r="IH115" s="482" t="str">
        <f>IFERROR(IF((((($IY115*COS(RADIANS(180-$JA115)))*COS(RADIANS($JA115)))-(($IZ115*SIN(RADIANS(180-$JA115)))*SIN(RADIANS($JA115))))+$IW115)&lt;(((Settings!$C$19+$IH$8)/2)*-1),"Gage",""),"")</f>
        <v/>
      </c>
      <c r="II115" s="788" t="str">
        <f t="shared" si="855"/>
        <v/>
      </c>
      <c r="IJ115" s="674" t="str" cm="1">
        <f t="array" ref="IJ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K115" s="677" t="str" cm="1">
        <f t="array" ref="IK115">IFERROR(ROUND(VALUE(IF($IJ115&lt;1,$IJ115+LARGE((IF($M$9:$M$150="",0,$M$9:$M$150)-MOD(IF($M$9:$M$150="",0,$M$9:$M$150),1)),1),$IJ115)),4),"")</f>
        <v/>
      </c>
      <c r="IL115" s="482" t="str">
        <f t="shared" si="990"/>
        <v/>
      </c>
      <c r="IM115" s="482" t="str">
        <f t="shared" si="856"/>
        <v/>
      </c>
      <c r="IN115" s="670" t="str">
        <f t="shared" si="991"/>
        <v/>
      </c>
      <c r="IO115" s="702"/>
      <c r="IP115" s="5" t="str">
        <f t="shared" si="992"/>
        <v/>
      </c>
      <c r="IQ115" s="714"/>
      <c r="IR115" s="9" t="str">
        <f t="shared" si="993"/>
        <v/>
      </c>
      <c r="IS115" s="5" t="str">
        <f t="shared" si="994"/>
        <v/>
      </c>
      <c r="IT115" s="5" t="str">
        <f t="shared" si="995"/>
        <v/>
      </c>
      <c r="IU115" s="5" t="str">
        <f t="shared" si="996"/>
        <v/>
      </c>
      <c r="IV115" s="670" t="str">
        <f t="shared" si="997"/>
        <v/>
      </c>
      <c r="IW115" s="9" t="str">
        <f t="shared" si="998"/>
        <v/>
      </c>
      <c r="IX115" s="5" t="str">
        <f t="shared" si="999"/>
        <v/>
      </c>
      <c r="IY115" s="5" t="str">
        <f t="shared" si="1000"/>
        <v/>
      </c>
      <c r="IZ115" s="5" t="str">
        <f t="shared" si="1001"/>
        <v/>
      </c>
      <c r="JA115" s="705" t="str">
        <f t="shared" si="1002"/>
        <v/>
      </c>
      <c r="JN115" s="960"/>
      <c r="JO115" s="162"/>
      <c r="JP115" s="961"/>
      <c r="JQ115" s="961"/>
    </row>
    <row r="116" spans="1:277" ht="15" customHeight="1" x14ac:dyDescent="0.25">
      <c r="A116" s="75" t="str">
        <f t="shared" si="917"/>
        <v/>
      </c>
      <c r="B116" s="578" t="str">
        <f t="shared" ref="B116:D116" si="1048">IFERROR(O271+($A116*-E116),"")</f>
        <v/>
      </c>
      <c r="C116" s="572" t="str">
        <f t="shared" si="1048"/>
        <v/>
      </c>
      <c r="D116" s="576" t="str">
        <f t="shared" si="1048"/>
        <v/>
      </c>
      <c r="E116" s="580" t="str">
        <f t="shared" ref="E116:K116" si="1049">R271</f>
        <v/>
      </c>
      <c r="F116" s="572" t="str">
        <f t="shared" si="1049"/>
        <v/>
      </c>
      <c r="G116" s="579" t="str">
        <f t="shared" si="1049"/>
        <v/>
      </c>
      <c r="H116" s="580" t="str">
        <f t="shared" si="1049"/>
        <v/>
      </c>
      <c r="I116" s="572" t="str">
        <f t="shared" si="1049"/>
        <v/>
      </c>
      <c r="J116" s="483" t="str">
        <f t="shared" si="728"/>
        <v/>
      </c>
      <c r="K116" s="806" t="str">
        <f t="shared" si="1049"/>
        <v/>
      </c>
      <c r="L116" s="309"/>
      <c r="M116" s="164" t="str">
        <f t="shared" si="920"/>
        <v/>
      </c>
      <c r="N116" s="575" t="str">
        <f t="shared" si="921"/>
        <v/>
      </c>
      <c r="O116" s="572" t="str">
        <f t="shared" si="922"/>
        <v/>
      </c>
      <c r="P116" s="576" t="str">
        <f t="shared" si="923"/>
        <v/>
      </c>
      <c r="Q116" s="528" t="str">
        <f t="shared" si="729"/>
        <v/>
      </c>
      <c r="R116" s="572" t="str">
        <f t="shared" si="1005"/>
        <v/>
      </c>
      <c r="S116" s="577" t="str">
        <f t="shared" si="1006"/>
        <v/>
      </c>
      <c r="T116" s="578" t="str">
        <f t="shared" si="1007"/>
        <v/>
      </c>
      <c r="U116" s="572" t="str">
        <f t="shared" si="1008"/>
        <v/>
      </c>
      <c r="V116" s="579" t="str">
        <f t="shared" si="1009"/>
        <v/>
      </c>
      <c r="W116" s="528" t="str">
        <f t="shared" si="866"/>
        <v/>
      </c>
      <c r="X116" s="572" t="str">
        <f t="shared" si="1010"/>
        <v/>
      </c>
      <c r="Y116" s="573" t="str">
        <f t="shared" si="859"/>
        <v/>
      </c>
      <c r="Z116" s="575" t="str">
        <f t="shared" si="924"/>
        <v/>
      </c>
      <c r="AA116" s="572" t="str">
        <f t="shared" si="925"/>
        <v/>
      </c>
      <c r="AB116" s="572" t="str">
        <f t="shared" si="926"/>
        <v/>
      </c>
      <c r="AC116" s="579" t="str">
        <f t="shared" si="1011"/>
        <v/>
      </c>
      <c r="AD116" s="580" t="str">
        <f t="shared" si="1012"/>
        <v/>
      </c>
      <c r="AE116" s="572" t="str">
        <f t="shared" si="1013"/>
        <v/>
      </c>
      <c r="AF116" s="576" t="str">
        <f t="shared" si="1014"/>
        <v/>
      </c>
      <c r="AG116" s="545" t="str">
        <f t="shared" si="1015"/>
        <v/>
      </c>
      <c r="AH116" s="546" t="str">
        <f t="shared" si="1016"/>
        <v/>
      </c>
      <c r="AI116" s="528" t="str">
        <f t="shared" si="1017"/>
        <v/>
      </c>
      <c r="AJ116" s="529" t="str">
        <f t="shared" si="1018"/>
        <v/>
      </c>
      <c r="AK116" s="578" t="str">
        <f t="shared" si="1019"/>
        <v/>
      </c>
      <c r="AL116" s="572" t="str">
        <f t="shared" si="1020"/>
        <v/>
      </c>
      <c r="AM116" s="577" t="str">
        <f t="shared" si="1021"/>
        <v/>
      </c>
      <c r="AN116" s="524" t="str">
        <f t="shared" si="1022"/>
        <v/>
      </c>
      <c r="AO116" s="525" t="str">
        <f t="shared" si="604"/>
        <v/>
      </c>
      <c r="AP116" s="528" t="str">
        <f t="shared" si="1023"/>
        <v/>
      </c>
      <c r="AQ116" s="529" t="str">
        <f t="shared" si="927"/>
        <v/>
      </c>
      <c r="AS116" s="954" t="str">
        <f t="shared" si="1029"/>
        <v/>
      </c>
      <c r="AT116" s="950" t="str">
        <f t="shared" si="928"/>
        <v/>
      </c>
      <c r="AU116" s="418"/>
      <c r="AV116" s="164" t="str">
        <f t="shared" si="929"/>
        <v/>
      </c>
      <c r="AW116" s="797" t="str">
        <f>IFERROR(INDEX(MassProp!C$9:C$150,MATCH($M116,MassProp!$B$9:$B$150,0)),"")</f>
        <v/>
      </c>
      <c r="AX116" s="744" t="str">
        <f>IFERROR(INDEX(MassProp!D$9:D$150,MATCH($M116,MassProp!$B$9:$B$150,0)),"")</f>
        <v/>
      </c>
      <c r="AY116" s="731" t="str">
        <f>IFERROR(INDEX(MassProp!E$9:E$150,MATCH($M116,MassProp!$B$9:$B$150,0)),"")</f>
        <v/>
      </c>
      <c r="AZ116" s="297" t="str">
        <f t="shared" si="756"/>
        <v/>
      </c>
      <c r="BA116" s="296" t="str">
        <f t="shared" si="930"/>
        <v/>
      </c>
      <c r="BB116" s="177" t="str">
        <f t="shared" si="730"/>
        <v/>
      </c>
      <c r="BC116" s="9"/>
      <c r="BD116" s="5" t="str">
        <f t="shared" si="731"/>
        <v/>
      </c>
      <c r="BE116" s="6" t="str">
        <f t="shared" si="931"/>
        <v/>
      </c>
      <c r="BF116" s="4" t="str">
        <f t="shared" si="932"/>
        <v/>
      </c>
      <c r="BG116" s="5" t="str">
        <f t="shared" si="933"/>
        <v/>
      </c>
      <c r="BH116" s="10" t="str">
        <f t="shared" si="934"/>
        <v/>
      </c>
      <c r="BI116" s="9" t="str">
        <f t="shared" si="757"/>
        <v/>
      </c>
      <c r="BJ116" s="5" t="str">
        <f t="shared" si="935"/>
        <v/>
      </c>
      <c r="BK116" s="8" t="str">
        <f t="shared" si="936"/>
        <v/>
      </c>
      <c r="BL116" s="173" t="str">
        <f t="shared" si="937"/>
        <v/>
      </c>
      <c r="BM116" s="5" t="str">
        <f t="shared" si="938"/>
        <v/>
      </c>
      <c r="BN116" s="6" t="str">
        <f t="shared" si="939"/>
        <v/>
      </c>
      <c r="BO116" s="4" t="str">
        <f t="shared" si="758"/>
        <v/>
      </c>
      <c r="BP116" s="5" t="str">
        <f t="shared" si="759"/>
        <v/>
      </c>
      <c r="BQ116" s="5" t="str">
        <f t="shared" si="760"/>
        <v/>
      </c>
      <c r="BR116" s="6" t="str">
        <f t="shared" si="761"/>
        <v/>
      </c>
      <c r="BS116" s="4" t="str">
        <f t="shared" si="1024"/>
        <v/>
      </c>
      <c r="BT116" s="5" t="str">
        <f t="shared" si="1024"/>
        <v/>
      </c>
      <c r="BU116" s="10" t="str">
        <f t="shared" si="733"/>
        <v/>
      </c>
      <c r="BV116" s="9" t="str">
        <f t="shared" si="734"/>
        <v/>
      </c>
      <c r="BW116" s="5" t="str">
        <f t="shared" si="735"/>
        <v/>
      </c>
      <c r="BX116" s="8" t="str">
        <f t="shared" si="736"/>
        <v/>
      </c>
      <c r="BY116" s="173" t="str">
        <f t="shared" si="737"/>
        <v/>
      </c>
      <c r="BZ116" s="5" t="str">
        <f t="shared" si="738"/>
        <v/>
      </c>
      <c r="CA116" s="6" t="str">
        <f t="shared" si="739"/>
        <v/>
      </c>
      <c r="CB116" s="4" t="str">
        <f t="shared" si="762"/>
        <v/>
      </c>
      <c r="CC116" s="5" t="str">
        <f t="shared" si="763"/>
        <v/>
      </c>
      <c r="CD116" s="5" t="str">
        <f t="shared" si="764"/>
        <v/>
      </c>
      <c r="CE116" s="6" t="str">
        <f t="shared" si="765"/>
        <v/>
      </c>
      <c r="CF116" s="4" t="str">
        <f t="shared" si="766"/>
        <v/>
      </c>
      <c r="CG116" s="5" t="str">
        <f t="shared" si="767"/>
        <v/>
      </c>
      <c r="CH116" s="5" t="str">
        <f t="shared" si="768"/>
        <v/>
      </c>
      <c r="CI116" s="4" t="str">
        <f t="shared" si="740"/>
        <v/>
      </c>
      <c r="CJ116" s="5" t="str">
        <f t="shared" si="741"/>
        <v/>
      </c>
      <c r="CK116" s="8" t="str">
        <f t="shared" si="742"/>
        <v/>
      </c>
      <c r="CL116" s="173" t="str">
        <f t="shared" si="743"/>
        <v/>
      </c>
      <c r="CM116" s="5" t="str">
        <f t="shared" si="744"/>
        <v/>
      </c>
      <c r="CN116" s="6" t="str">
        <f t="shared" si="745"/>
        <v/>
      </c>
      <c r="CO116" s="167" t="str">
        <f t="shared" si="940"/>
        <v/>
      </c>
      <c r="CP116" s="4" t="str">
        <f t="shared" si="769"/>
        <v/>
      </c>
      <c r="CQ116" s="5" t="str">
        <f t="shared" si="770"/>
        <v/>
      </c>
      <c r="CR116" s="5" t="str">
        <f t="shared" si="771"/>
        <v/>
      </c>
      <c r="CS116" s="8" t="str">
        <f t="shared" si="772"/>
        <v/>
      </c>
      <c r="CT116" s="9" t="str">
        <f t="shared" si="773"/>
        <v/>
      </c>
      <c r="CU116" s="6" t="str">
        <f t="shared" si="774"/>
        <v/>
      </c>
      <c r="CV116" s="4" t="str">
        <f t="shared" si="775"/>
        <v/>
      </c>
      <c r="CW116" s="5" t="str">
        <f t="shared" si="776"/>
        <v/>
      </c>
      <c r="CX116" s="8" t="str">
        <f t="shared" si="777"/>
        <v/>
      </c>
      <c r="CY116" s="9" t="str">
        <f t="shared" si="778"/>
        <v/>
      </c>
      <c r="CZ116" s="5" t="str">
        <f t="shared" si="779"/>
        <v/>
      </c>
      <c r="DA116" s="6" t="str">
        <f t="shared" si="780"/>
        <v/>
      </c>
      <c r="DB116" s="4" t="str">
        <f t="shared" si="1030"/>
        <v/>
      </c>
      <c r="DC116" s="5" t="str">
        <f t="shared" si="1030"/>
        <v/>
      </c>
      <c r="DD116" s="10" t="str">
        <f t="shared" si="782"/>
        <v/>
      </c>
      <c r="DE116" s="9" t="str">
        <f t="shared" si="1031"/>
        <v/>
      </c>
      <c r="DF116" s="5" t="str">
        <f t="shared" si="1031"/>
        <v/>
      </c>
      <c r="DG116" s="10" t="str">
        <f t="shared" si="784"/>
        <v/>
      </c>
      <c r="DH116" s="70" t="str">
        <f t="shared" si="785"/>
        <v/>
      </c>
      <c r="DI116" s="4" t="str">
        <f t="shared" si="786"/>
        <v/>
      </c>
      <c r="DJ116" s="5" t="str">
        <f t="shared" si="787"/>
        <v/>
      </c>
      <c r="DK116" s="10" t="str">
        <f t="shared" si="788"/>
        <v/>
      </c>
      <c r="DL116" s="9" t="str">
        <f t="shared" si="789"/>
        <v/>
      </c>
      <c r="DM116" s="173" t="str">
        <f t="shared" si="790"/>
        <v/>
      </c>
      <c r="DN116" s="178" t="str">
        <f t="shared" si="791"/>
        <v/>
      </c>
      <c r="DO116" s="9" t="str">
        <f t="shared" si="792"/>
        <v/>
      </c>
      <c r="DP116" s="173" t="str">
        <f t="shared" si="793"/>
        <v/>
      </c>
      <c r="DQ116" s="11" t="str">
        <f t="shared" si="794"/>
        <v/>
      </c>
      <c r="DR116" s="173" t="str">
        <f t="shared" si="795"/>
        <v/>
      </c>
      <c r="DS116" s="5" t="str">
        <f t="shared" si="796"/>
        <v/>
      </c>
      <c r="DT116" s="5" t="str">
        <f t="shared" si="797"/>
        <v/>
      </c>
      <c r="DU116" s="5" t="str">
        <f t="shared" si="798"/>
        <v/>
      </c>
      <c r="DV116" s="5" t="str">
        <f t="shared" si="799"/>
        <v/>
      </c>
      <c r="DW116" s="5" t="str">
        <f t="shared" si="800"/>
        <v/>
      </c>
      <c r="DX116" s="167" t="str">
        <f t="shared" si="801"/>
        <v/>
      </c>
      <c r="DY116" s="9" t="str">
        <f t="shared" si="802"/>
        <v/>
      </c>
      <c r="DZ116" s="5" t="str">
        <f t="shared" si="803"/>
        <v/>
      </c>
      <c r="EA116" s="10" t="str">
        <f t="shared" si="804"/>
        <v/>
      </c>
      <c r="EB116" s="6" t="str">
        <f t="shared" si="805"/>
        <v/>
      </c>
      <c r="EC116" s="173" t="str">
        <f t="shared" si="806"/>
        <v/>
      </c>
      <c r="ED116" s="5" t="str">
        <f t="shared" si="807"/>
        <v/>
      </c>
      <c r="EE116" s="4" t="str">
        <f t="shared" si="808"/>
        <v/>
      </c>
      <c r="EF116" s="5" t="str">
        <f t="shared" si="809"/>
        <v/>
      </c>
      <c r="EG116" s="10" t="str">
        <f t="shared" si="810"/>
        <v/>
      </c>
      <c r="EH116" s="9" t="str">
        <f t="shared" si="811"/>
        <v/>
      </c>
      <c r="EI116" s="5" t="str">
        <f t="shared" si="812"/>
        <v/>
      </c>
      <c r="EJ116" s="6" t="str">
        <f t="shared" si="813"/>
        <v/>
      </c>
      <c r="EK116" s="236" t="str">
        <f t="shared" si="814"/>
        <v/>
      </c>
      <c r="EL116" s="238" t="str">
        <f t="shared" si="815"/>
        <v/>
      </c>
      <c r="EM116" s="4" t="str">
        <f t="shared" si="816"/>
        <v/>
      </c>
      <c r="EN116" s="5" t="str">
        <f t="shared" si="817"/>
        <v/>
      </c>
      <c r="EO116" s="10" t="str">
        <f t="shared" si="818"/>
        <v/>
      </c>
      <c r="EP116" s="9" t="str">
        <f t="shared" si="819"/>
        <v/>
      </c>
      <c r="EQ116" s="5" t="str">
        <f t="shared" si="820"/>
        <v/>
      </c>
      <c r="ER116" s="7" t="str">
        <f t="shared" si="821"/>
        <v/>
      </c>
      <c r="ES116" s="21" t="str">
        <f t="shared" si="941"/>
        <v/>
      </c>
      <c r="ET116" s="5" t="str">
        <f t="shared" si="942"/>
        <v/>
      </c>
      <c r="EU116" s="10" t="str">
        <f t="shared" si="943"/>
        <v/>
      </c>
      <c r="EV116" s="174" t="str">
        <f t="shared" si="944"/>
        <v/>
      </c>
      <c r="EW116" s="9" t="str">
        <f t="shared" si="945"/>
        <v/>
      </c>
      <c r="EX116" s="5" t="str">
        <f t="shared" si="946"/>
        <v/>
      </c>
      <c r="EY116" s="6" t="str">
        <f t="shared" si="822"/>
        <v/>
      </c>
      <c r="EZ116" s="51" t="str">
        <f t="shared" si="823"/>
        <v/>
      </c>
      <c r="FA116" s="173" t="str">
        <f t="shared" si="947"/>
        <v/>
      </c>
      <c r="FB116" s="5" t="str">
        <f t="shared" si="948"/>
        <v/>
      </c>
      <c r="FC116" s="6" t="str">
        <f t="shared" si="949"/>
        <v/>
      </c>
      <c r="FD116" s="4" t="str">
        <f t="shared" si="950"/>
        <v/>
      </c>
      <c r="FE116" s="5" t="str">
        <f t="shared" si="951"/>
        <v/>
      </c>
      <c r="FF116" s="7" t="str">
        <f t="shared" si="824"/>
        <v/>
      </c>
      <c r="FG116" s="173" t="str">
        <f t="shared" si="952"/>
        <v/>
      </c>
      <c r="FH116" s="5" t="str">
        <f t="shared" si="953"/>
        <v/>
      </c>
      <c r="FI116" s="10" t="str">
        <f t="shared" si="954"/>
        <v/>
      </c>
      <c r="FJ116" s="279" t="str">
        <f t="shared" si="825"/>
        <v/>
      </c>
      <c r="FK116" s="4" t="str">
        <f t="shared" si="955"/>
        <v/>
      </c>
      <c r="FL116" s="5" t="str">
        <f t="shared" si="746"/>
        <v/>
      </c>
      <c r="FM116" s="8" t="str">
        <f t="shared" si="747"/>
        <v/>
      </c>
      <c r="FN116" s="9" t="str">
        <f t="shared" si="748"/>
        <v/>
      </c>
      <c r="FO116" s="10" t="str">
        <f t="shared" si="956"/>
        <v/>
      </c>
      <c r="FP116" s="277" t="str">
        <f t="shared" si="749"/>
        <v/>
      </c>
      <c r="FQ116" s="173" t="str">
        <f t="shared" si="826"/>
        <v/>
      </c>
      <c r="FR116" s="10" t="str">
        <f t="shared" si="827"/>
        <v/>
      </c>
      <c r="FS116" s="9" t="str">
        <f t="shared" si="828"/>
        <v/>
      </c>
      <c r="FT116" s="6" t="str">
        <f t="shared" si="829"/>
        <v/>
      </c>
      <c r="FU116" s="4" t="str">
        <f t="shared" si="830"/>
        <v/>
      </c>
      <c r="FV116" s="5" t="str">
        <f t="shared" si="831"/>
        <v/>
      </c>
      <c r="FW116" s="8" t="str">
        <f t="shared" si="832"/>
        <v/>
      </c>
      <c r="FX116" s="9" t="str">
        <f t="shared" si="833"/>
        <v/>
      </c>
      <c r="FY116" s="10" t="str">
        <f t="shared" si="957"/>
        <v/>
      </c>
      <c r="FZ116" s="277" t="str">
        <f t="shared" si="834"/>
        <v/>
      </c>
      <c r="GA116" s="177" t="str">
        <f t="shared" si="835"/>
        <v/>
      </c>
      <c r="GB116" s="4" t="str">
        <f t="shared" si="836"/>
        <v/>
      </c>
      <c r="GC116" s="5" t="str">
        <f t="shared" si="837"/>
        <v/>
      </c>
      <c r="GD116" s="10" t="str">
        <f t="shared" si="838"/>
        <v/>
      </c>
      <c r="GE116" s="311" t="str">
        <f t="shared" si="839"/>
        <v/>
      </c>
      <c r="GF116" s="341" t="str">
        <f t="shared" si="840"/>
        <v/>
      </c>
      <c r="GG116" s="285" t="str">
        <f t="shared" si="958"/>
        <v/>
      </c>
      <c r="GH116" s="286" t="str">
        <f t="shared" si="959"/>
        <v/>
      </c>
      <c r="GI116" s="281" t="str">
        <f t="shared" si="960"/>
        <v/>
      </c>
      <c r="GJ116" s="167" t="str">
        <f t="shared" si="841"/>
        <v/>
      </c>
      <c r="GK116" s="174" t="str">
        <f t="shared" si="961"/>
        <v/>
      </c>
      <c r="GL116" s="174" t="str">
        <f t="shared" si="842"/>
        <v/>
      </c>
      <c r="GM116" s="177" t="str">
        <f t="shared" si="843"/>
        <v/>
      </c>
      <c r="GN116" s="280" t="str">
        <f t="shared" si="844"/>
        <v/>
      </c>
      <c r="GO116" s="4" t="str">
        <f t="shared" si="845"/>
        <v/>
      </c>
      <c r="GP116" s="8" t="str">
        <f t="shared" si="846"/>
        <v/>
      </c>
      <c r="GQ116" s="177" t="str">
        <f t="shared" si="847"/>
        <v/>
      </c>
      <c r="GR116" s="371" t="str">
        <f t="shared" si="848"/>
        <v/>
      </c>
      <c r="GS116" s="342" t="str">
        <f t="shared" si="962"/>
        <v/>
      </c>
      <c r="GT116" s="343" t="str">
        <f t="shared" si="963"/>
        <v/>
      </c>
      <c r="GU116" s="344" t="str">
        <f t="shared" si="964"/>
        <v/>
      </c>
      <c r="GV116" s="343" t="str">
        <f t="shared" si="849"/>
        <v/>
      </c>
      <c r="GW116" s="345" t="str">
        <f t="shared" si="965"/>
        <v/>
      </c>
      <c r="GX116" s="346" t="str">
        <f t="shared" si="966"/>
        <v/>
      </c>
      <c r="GY116" s="344" t="str">
        <f t="shared" si="967"/>
        <v/>
      </c>
      <c r="GZ116" s="345" t="str">
        <f t="shared" si="968"/>
        <v/>
      </c>
      <c r="HA116" s="342" t="str">
        <f t="shared" si="969"/>
        <v/>
      </c>
      <c r="HB116" s="5" t="str">
        <f t="shared" si="850"/>
        <v/>
      </c>
      <c r="HC116" s="343" t="str">
        <f t="shared" si="851"/>
        <v/>
      </c>
      <c r="HD116" s="363" t="str">
        <f t="shared" si="852"/>
        <v/>
      </c>
      <c r="HE116" s="344" t="str">
        <f t="shared" si="970"/>
        <v/>
      </c>
      <c r="HF116" s="5" t="str">
        <f t="shared" si="971"/>
        <v/>
      </c>
      <c r="HG116" s="343" t="str">
        <f t="shared" si="853"/>
        <v/>
      </c>
      <c r="HH116" s="349" t="str">
        <f t="shared" si="854"/>
        <v/>
      </c>
      <c r="HI116" s="317" t="str">
        <f t="shared" si="972"/>
        <v/>
      </c>
      <c r="HK116" s="310" t="str">
        <f t="shared" si="1025"/>
        <v/>
      </c>
      <c r="HL116" s="348" t="str">
        <f t="shared" si="973"/>
        <v/>
      </c>
      <c r="HM116" s="923" t="str">
        <f t="shared" si="974"/>
        <v/>
      </c>
      <c r="HN116" s="924" t="str">
        <f t="shared" si="975"/>
        <v/>
      </c>
      <c r="HO116" s="925"/>
      <c r="HP116" s="926"/>
      <c r="HQ116" s="924" t="str">
        <f t="shared" si="976"/>
        <v/>
      </c>
      <c r="HR116" s="927" t="str">
        <f t="shared" si="977"/>
        <v/>
      </c>
      <c r="HS116" s="879" t="str">
        <f t="shared" si="1026"/>
        <v/>
      </c>
      <c r="HT116" s="889" t="str">
        <f t="shared" si="978"/>
        <v/>
      </c>
      <c r="HU116" s="890" t="str">
        <f t="shared" si="979"/>
        <v/>
      </c>
      <c r="HV116" s="886" t="str">
        <f t="shared" si="980"/>
        <v/>
      </c>
      <c r="HW116" s="880" t="str">
        <f t="shared" si="981"/>
        <v/>
      </c>
      <c r="HX116" s="881" t="str">
        <f t="shared" si="982"/>
        <v/>
      </c>
      <c r="HY116" s="880" t="str">
        <f t="shared" si="983"/>
        <v/>
      </c>
      <c r="HZ116" s="882" t="str">
        <f t="shared" si="984"/>
        <v/>
      </c>
      <c r="IA116" s="883" t="str">
        <f t="shared" si="985"/>
        <v/>
      </c>
      <c r="IB116" s="884" t="str">
        <f t="shared" si="986"/>
        <v/>
      </c>
      <c r="IC116" s="855" t="str">
        <f t="shared" si="987"/>
        <v/>
      </c>
      <c r="ID116" s="351" t="str">
        <f t="shared" si="988"/>
        <v/>
      </c>
      <c r="IE116" s="857" t="str">
        <f t="shared" si="989"/>
        <v/>
      </c>
      <c r="IF116" s="858"/>
      <c r="IG116" s="790" t="str">
        <f>IFERROR(IF($IW116="","",IF($IW116&lt;(((Settings!$C$19/2)*-1)*$IG$8),"Taper","Nose")),"")</f>
        <v/>
      </c>
      <c r="IH116" s="482" t="str">
        <f>IFERROR(IF((((($IY116*COS(RADIANS(180-$JA116)))*COS(RADIANS($JA116)))-(($IZ116*SIN(RADIANS(180-$JA116)))*SIN(RADIANS($JA116))))+$IW116)&lt;(((Settings!$C$19+$IH$8)/2)*-1),"Gage",""),"")</f>
        <v/>
      </c>
      <c r="II116" s="788" t="str">
        <f t="shared" si="855"/>
        <v/>
      </c>
      <c r="IJ116" s="674" t="str" cm="1">
        <f t="array" ref="IJ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K116" s="677" t="str" cm="1">
        <f t="array" ref="IK116">IFERROR(ROUND(VALUE(IF($IJ116&lt;1,$IJ116+LARGE((IF($M$9:$M$150="",0,$M$9:$M$150)-MOD(IF($M$9:$M$150="",0,$M$9:$M$150),1)),1),$IJ116)),4),"")</f>
        <v/>
      </c>
      <c r="IL116" s="482" t="str">
        <f t="shared" si="990"/>
        <v/>
      </c>
      <c r="IM116" s="482" t="str">
        <f t="shared" si="856"/>
        <v/>
      </c>
      <c r="IN116" s="670" t="str">
        <f t="shared" si="991"/>
        <v/>
      </c>
      <c r="IO116" s="702"/>
      <c r="IP116" s="5" t="str">
        <f t="shared" si="992"/>
        <v/>
      </c>
      <c r="IQ116" s="714"/>
      <c r="IR116" s="9" t="str">
        <f t="shared" si="993"/>
        <v/>
      </c>
      <c r="IS116" s="5" t="str">
        <f t="shared" si="994"/>
        <v/>
      </c>
      <c r="IT116" s="5" t="str">
        <f t="shared" si="995"/>
        <v/>
      </c>
      <c r="IU116" s="5" t="str">
        <f t="shared" si="996"/>
        <v/>
      </c>
      <c r="IV116" s="670" t="str">
        <f t="shared" si="997"/>
        <v/>
      </c>
      <c r="IW116" s="9" t="str">
        <f t="shared" si="998"/>
        <v/>
      </c>
      <c r="IX116" s="5" t="str">
        <f t="shared" si="999"/>
        <v/>
      </c>
      <c r="IY116" s="5" t="str">
        <f t="shared" si="1000"/>
        <v/>
      </c>
      <c r="IZ116" s="5" t="str">
        <f t="shared" si="1001"/>
        <v/>
      </c>
      <c r="JA116" s="705" t="str">
        <f t="shared" si="1002"/>
        <v/>
      </c>
      <c r="JN116" s="960"/>
      <c r="JO116" s="162"/>
      <c r="JP116" s="961"/>
      <c r="JQ116" s="961"/>
    </row>
    <row r="117" spans="1:277" ht="15" customHeight="1" x14ac:dyDescent="0.25">
      <c r="A117" s="75" t="str">
        <f t="shared" si="917"/>
        <v/>
      </c>
      <c r="B117" s="578" t="str">
        <f t="shared" ref="B117:D117" si="1050">IFERROR(O272+($A117*-E117),"")</f>
        <v/>
      </c>
      <c r="C117" s="572" t="str">
        <f t="shared" si="1050"/>
        <v/>
      </c>
      <c r="D117" s="576" t="str">
        <f t="shared" si="1050"/>
        <v/>
      </c>
      <c r="E117" s="580" t="str">
        <f t="shared" ref="E117:K117" si="1051">R272</f>
        <v/>
      </c>
      <c r="F117" s="572" t="str">
        <f t="shared" si="1051"/>
        <v/>
      </c>
      <c r="G117" s="579" t="str">
        <f t="shared" si="1051"/>
        <v/>
      </c>
      <c r="H117" s="580" t="str">
        <f t="shared" si="1051"/>
        <v/>
      </c>
      <c r="I117" s="572" t="str">
        <f t="shared" si="1051"/>
        <v/>
      </c>
      <c r="J117" s="483" t="str">
        <f t="shared" si="728"/>
        <v/>
      </c>
      <c r="K117" s="806" t="str">
        <f t="shared" si="1051"/>
        <v/>
      </c>
      <c r="L117" s="309"/>
      <c r="M117" s="164" t="str">
        <f t="shared" si="920"/>
        <v/>
      </c>
      <c r="N117" s="575" t="str">
        <f t="shared" si="921"/>
        <v/>
      </c>
      <c r="O117" s="572" t="str">
        <f t="shared" si="922"/>
        <v/>
      </c>
      <c r="P117" s="576" t="str">
        <f t="shared" si="923"/>
        <v/>
      </c>
      <c r="Q117" s="528" t="str">
        <f t="shared" si="729"/>
        <v/>
      </c>
      <c r="R117" s="572" t="str">
        <f t="shared" si="1005"/>
        <v/>
      </c>
      <c r="S117" s="577" t="str">
        <f t="shared" si="1006"/>
        <v/>
      </c>
      <c r="T117" s="578" t="str">
        <f t="shared" si="1007"/>
        <v/>
      </c>
      <c r="U117" s="572" t="str">
        <f t="shared" si="1008"/>
        <v/>
      </c>
      <c r="V117" s="579" t="str">
        <f t="shared" si="1009"/>
        <v/>
      </c>
      <c r="W117" s="528" t="str">
        <f t="shared" si="866"/>
        <v/>
      </c>
      <c r="X117" s="572" t="str">
        <f t="shared" si="1010"/>
        <v/>
      </c>
      <c r="Y117" s="573" t="str">
        <f t="shared" si="859"/>
        <v/>
      </c>
      <c r="Z117" s="575" t="str">
        <f t="shared" si="924"/>
        <v/>
      </c>
      <c r="AA117" s="572" t="str">
        <f t="shared" si="925"/>
        <v/>
      </c>
      <c r="AB117" s="572" t="str">
        <f t="shared" si="926"/>
        <v/>
      </c>
      <c r="AC117" s="579" t="str">
        <f t="shared" si="1011"/>
        <v/>
      </c>
      <c r="AD117" s="580" t="str">
        <f t="shared" si="1012"/>
        <v/>
      </c>
      <c r="AE117" s="572" t="str">
        <f t="shared" si="1013"/>
        <v/>
      </c>
      <c r="AF117" s="576" t="str">
        <f t="shared" si="1014"/>
        <v/>
      </c>
      <c r="AG117" s="545" t="str">
        <f t="shared" si="1015"/>
        <v/>
      </c>
      <c r="AH117" s="546" t="str">
        <f t="shared" si="1016"/>
        <v/>
      </c>
      <c r="AI117" s="528" t="str">
        <f t="shared" si="1017"/>
        <v/>
      </c>
      <c r="AJ117" s="529" t="str">
        <f t="shared" si="1018"/>
        <v/>
      </c>
      <c r="AK117" s="578" t="str">
        <f t="shared" si="1019"/>
        <v/>
      </c>
      <c r="AL117" s="572" t="str">
        <f t="shared" si="1020"/>
        <v/>
      </c>
      <c r="AM117" s="577" t="str">
        <f t="shared" si="1021"/>
        <v/>
      </c>
      <c r="AN117" s="524" t="str">
        <f t="shared" si="1022"/>
        <v/>
      </c>
      <c r="AO117" s="525" t="str">
        <f t="shared" si="604"/>
        <v/>
      </c>
      <c r="AP117" s="528" t="str">
        <f t="shared" si="1023"/>
        <v/>
      </c>
      <c r="AQ117" s="529" t="str">
        <f t="shared" si="927"/>
        <v/>
      </c>
      <c r="AS117" s="954" t="str">
        <f t="shared" si="1029"/>
        <v/>
      </c>
      <c r="AT117" s="950" t="str">
        <f t="shared" si="928"/>
        <v/>
      </c>
      <c r="AU117" s="418"/>
      <c r="AV117" s="164" t="str">
        <f t="shared" si="929"/>
        <v/>
      </c>
      <c r="AW117" s="797" t="str">
        <f>IFERROR(INDEX(MassProp!C$9:C$150,MATCH($M117,MassProp!$B$9:$B$150,0)),"")</f>
        <v/>
      </c>
      <c r="AX117" s="744" t="str">
        <f>IFERROR(INDEX(MassProp!D$9:D$150,MATCH($M117,MassProp!$B$9:$B$150,0)),"")</f>
        <v/>
      </c>
      <c r="AY117" s="731" t="str">
        <f>IFERROR(INDEX(MassProp!E$9:E$150,MATCH($M117,MassProp!$B$9:$B$150,0)),"")</f>
        <v/>
      </c>
      <c r="AZ117" s="297" t="str">
        <f t="shared" si="756"/>
        <v/>
      </c>
      <c r="BA117" s="296" t="str">
        <f t="shared" si="930"/>
        <v/>
      </c>
      <c r="BB117" s="177" t="str">
        <f t="shared" si="730"/>
        <v/>
      </c>
      <c r="BC117" s="9"/>
      <c r="BD117" s="5" t="str">
        <f t="shared" si="731"/>
        <v/>
      </c>
      <c r="BE117" s="6" t="str">
        <f t="shared" si="931"/>
        <v/>
      </c>
      <c r="BF117" s="4" t="str">
        <f t="shared" si="932"/>
        <v/>
      </c>
      <c r="BG117" s="5" t="str">
        <f t="shared" si="933"/>
        <v/>
      </c>
      <c r="BH117" s="10" t="str">
        <f t="shared" si="934"/>
        <v/>
      </c>
      <c r="BI117" s="9" t="str">
        <f t="shared" si="757"/>
        <v/>
      </c>
      <c r="BJ117" s="5" t="str">
        <f t="shared" si="935"/>
        <v/>
      </c>
      <c r="BK117" s="8" t="str">
        <f t="shared" si="936"/>
        <v/>
      </c>
      <c r="BL117" s="173" t="str">
        <f t="shared" si="937"/>
        <v/>
      </c>
      <c r="BM117" s="5" t="str">
        <f t="shared" si="938"/>
        <v/>
      </c>
      <c r="BN117" s="6" t="str">
        <f t="shared" si="939"/>
        <v/>
      </c>
      <c r="BO117" s="4" t="str">
        <f t="shared" si="758"/>
        <v/>
      </c>
      <c r="BP117" s="5" t="str">
        <f t="shared" si="759"/>
        <v/>
      </c>
      <c r="BQ117" s="5" t="str">
        <f t="shared" si="760"/>
        <v/>
      </c>
      <c r="BR117" s="6" t="str">
        <f t="shared" si="761"/>
        <v/>
      </c>
      <c r="BS117" s="4" t="str">
        <f t="shared" si="1024"/>
        <v/>
      </c>
      <c r="BT117" s="5" t="str">
        <f t="shared" si="1024"/>
        <v/>
      </c>
      <c r="BU117" s="10" t="str">
        <f t="shared" si="733"/>
        <v/>
      </c>
      <c r="BV117" s="9" t="str">
        <f t="shared" si="734"/>
        <v/>
      </c>
      <c r="BW117" s="5" t="str">
        <f t="shared" si="735"/>
        <v/>
      </c>
      <c r="BX117" s="8" t="str">
        <f t="shared" si="736"/>
        <v/>
      </c>
      <c r="BY117" s="173" t="str">
        <f t="shared" si="737"/>
        <v/>
      </c>
      <c r="BZ117" s="5" t="str">
        <f t="shared" si="738"/>
        <v/>
      </c>
      <c r="CA117" s="6" t="str">
        <f t="shared" si="739"/>
        <v/>
      </c>
      <c r="CB117" s="4" t="str">
        <f t="shared" si="762"/>
        <v/>
      </c>
      <c r="CC117" s="5" t="str">
        <f t="shared" si="763"/>
        <v/>
      </c>
      <c r="CD117" s="5" t="str">
        <f t="shared" si="764"/>
        <v/>
      </c>
      <c r="CE117" s="6" t="str">
        <f t="shared" si="765"/>
        <v/>
      </c>
      <c r="CF117" s="4" t="str">
        <f t="shared" si="766"/>
        <v/>
      </c>
      <c r="CG117" s="5" t="str">
        <f t="shared" si="767"/>
        <v/>
      </c>
      <c r="CH117" s="5" t="str">
        <f t="shared" si="768"/>
        <v/>
      </c>
      <c r="CI117" s="4" t="str">
        <f t="shared" si="740"/>
        <v/>
      </c>
      <c r="CJ117" s="5" t="str">
        <f t="shared" si="741"/>
        <v/>
      </c>
      <c r="CK117" s="8" t="str">
        <f t="shared" si="742"/>
        <v/>
      </c>
      <c r="CL117" s="173" t="str">
        <f t="shared" si="743"/>
        <v/>
      </c>
      <c r="CM117" s="5" t="str">
        <f t="shared" si="744"/>
        <v/>
      </c>
      <c r="CN117" s="6" t="str">
        <f t="shared" si="745"/>
        <v/>
      </c>
      <c r="CO117" s="167" t="str">
        <f t="shared" si="940"/>
        <v/>
      </c>
      <c r="CP117" s="4" t="str">
        <f t="shared" si="769"/>
        <v/>
      </c>
      <c r="CQ117" s="5" t="str">
        <f t="shared" si="770"/>
        <v/>
      </c>
      <c r="CR117" s="5" t="str">
        <f t="shared" si="771"/>
        <v/>
      </c>
      <c r="CS117" s="8" t="str">
        <f t="shared" si="772"/>
        <v/>
      </c>
      <c r="CT117" s="9" t="str">
        <f t="shared" si="773"/>
        <v/>
      </c>
      <c r="CU117" s="6" t="str">
        <f t="shared" si="774"/>
        <v/>
      </c>
      <c r="CV117" s="4" t="str">
        <f t="shared" si="775"/>
        <v/>
      </c>
      <c r="CW117" s="5" t="str">
        <f t="shared" si="776"/>
        <v/>
      </c>
      <c r="CX117" s="8" t="str">
        <f t="shared" si="777"/>
        <v/>
      </c>
      <c r="CY117" s="9" t="str">
        <f t="shared" si="778"/>
        <v/>
      </c>
      <c r="CZ117" s="5" t="str">
        <f t="shared" si="779"/>
        <v/>
      </c>
      <c r="DA117" s="6" t="str">
        <f t="shared" si="780"/>
        <v/>
      </c>
      <c r="DB117" s="4" t="str">
        <f t="shared" si="1030"/>
        <v/>
      </c>
      <c r="DC117" s="5" t="str">
        <f t="shared" si="1030"/>
        <v/>
      </c>
      <c r="DD117" s="10" t="str">
        <f t="shared" si="782"/>
        <v/>
      </c>
      <c r="DE117" s="9" t="str">
        <f t="shared" si="1031"/>
        <v/>
      </c>
      <c r="DF117" s="5" t="str">
        <f t="shared" si="1031"/>
        <v/>
      </c>
      <c r="DG117" s="10" t="str">
        <f t="shared" si="784"/>
        <v/>
      </c>
      <c r="DH117" s="70" t="str">
        <f t="shared" si="785"/>
        <v/>
      </c>
      <c r="DI117" s="4" t="str">
        <f t="shared" si="786"/>
        <v/>
      </c>
      <c r="DJ117" s="5" t="str">
        <f t="shared" si="787"/>
        <v/>
      </c>
      <c r="DK117" s="10" t="str">
        <f t="shared" si="788"/>
        <v/>
      </c>
      <c r="DL117" s="9" t="str">
        <f t="shared" si="789"/>
        <v/>
      </c>
      <c r="DM117" s="173" t="str">
        <f t="shared" si="790"/>
        <v/>
      </c>
      <c r="DN117" s="178" t="str">
        <f t="shared" si="791"/>
        <v/>
      </c>
      <c r="DO117" s="9" t="str">
        <f t="shared" si="792"/>
        <v/>
      </c>
      <c r="DP117" s="173" t="str">
        <f t="shared" si="793"/>
        <v/>
      </c>
      <c r="DQ117" s="11" t="str">
        <f t="shared" si="794"/>
        <v/>
      </c>
      <c r="DR117" s="173" t="str">
        <f t="shared" si="795"/>
        <v/>
      </c>
      <c r="DS117" s="5" t="str">
        <f t="shared" si="796"/>
        <v/>
      </c>
      <c r="DT117" s="5" t="str">
        <f t="shared" si="797"/>
        <v/>
      </c>
      <c r="DU117" s="5" t="str">
        <f t="shared" si="798"/>
        <v/>
      </c>
      <c r="DV117" s="5" t="str">
        <f t="shared" si="799"/>
        <v/>
      </c>
      <c r="DW117" s="5" t="str">
        <f t="shared" si="800"/>
        <v/>
      </c>
      <c r="DX117" s="167" t="str">
        <f t="shared" si="801"/>
        <v/>
      </c>
      <c r="DY117" s="9" t="str">
        <f t="shared" si="802"/>
        <v/>
      </c>
      <c r="DZ117" s="5" t="str">
        <f t="shared" si="803"/>
        <v/>
      </c>
      <c r="EA117" s="10" t="str">
        <f t="shared" si="804"/>
        <v/>
      </c>
      <c r="EB117" s="6" t="str">
        <f t="shared" si="805"/>
        <v/>
      </c>
      <c r="EC117" s="173" t="str">
        <f t="shared" si="806"/>
        <v/>
      </c>
      <c r="ED117" s="5" t="str">
        <f t="shared" si="807"/>
        <v/>
      </c>
      <c r="EE117" s="4" t="str">
        <f t="shared" si="808"/>
        <v/>
      </c>
      <c r="EF117" s="5" t="str">
        <f t="shared" si="809"/>
        <v/>
      </c>
      <c r="EG117" s="10" t="str">
        <f t="shared" si="810"/>
        <v/>
      </c>
      <c r="EH117" s="9" t="str">
        <f t="shared" si="811"/>
        <v/>
      </c>
      <c r="EI117" s="5" t="str">
        <f t="shared" si="812"/>
        <v/>
      </c>
      <c r="EJ117" s="6" t="str">
        <f t="shared" si="813"/>
        <v/>
      </c>
      <c r="EK117" s="236" t="str">
        <f t="shared" si="814"/>
        <v/>
      </c>
      <c r="EL117" s="238" t="str">
        <f t="shared" si="815"/>
        <v/>
      </c>
      <c r="EM117" s="4" t="str">
        <f t="shared" si="816"/>
        <v/>
      </c>
      <c r="EN117" s="5" t="str">
        <f t="shared" si="817"/>
        <v/>
      </c>
      <c r="EO117" s="10" t="str">
        <f t="shared" si="818"/>
        <v/>
      </c>
      <c r="EP117" s="9" t="str">
        <f t="shared" si="819"/>
        <v/>
      </c>
      <c r="EQ117" s="5" t="str">
        <f t="shared" si="820"/>
        <v/>
      </c>
      <c r="ER117" s="7" t="str">
        <f t="shared" si="821"/>
        <v/>
      </c>
      <c r="ES117" s="21" t="str">
        <f t="shared" si="941"/>
        <v/>
      </c>
      <c r="ET117" s="5" t="str">
        <f t="shared" si="942"/>
        <v/>
      </c>
      <c r="EU117" s="10" t="str">
        <f t="shared" si="943"/>
        <v/>
      </c>
      <c r="EV117" s="174" t="str">
        <f t="shared" si="944"/>
        <v/>
      </c>
      <c r="EW117" s="9" t="str">
        <f t="shared" si="945"/>
        <v/>
      </c>
      <c r="EX117" s="5" t="str">
        <f t="shared" si="946"/>
        <v/>
      </c>
      <c r="EY117" s="6" t="str">
        <f t="shared" si="822"/>
        <v/>
      </c>
      <c r="EZ117" s="51" t="str">
        <f t="shared" si="823"/>
        <v/>
      </c>
      <c r="FA117" s="173" t="str">
        <f t="shared" si="947"/>
        <v/>
      </c>
      <c r="FB117" s="5" t="str">
        <f t="shared" si="948"/>
        <v/>
      </c>
      <c r="FC117" s="6" t="str">
        <f t="shared" si="949"/>
        <v/>
      </c>
      <c r="FD117" s="4" t="str">
        <f t="shared" si="950"/>
        <v/>
      </c>
      <c r="FE117" s="5" t="str">
        <f t="shared" si="951"/>
        <v/>
      </c>
      <c r="FF117" s="7" t="str">
        <f t="shared" si="824"/>
        <v/>
      </c>
      <c r="FG117" s="173" t="str">
        <f t="shared" si="952"/>
        <v/>
      </c>
      <c r="FH117" s="5" t="str">
        <f t="shared" si="953"/>
        <v/>
      </c>
      <c r="FI117" s="10" t="str">
        <f t="shared" si="954"/>
        <v/>
      </c>
      <c r="FJ117" s="279" t="str">
        <f t="shared" si="825"/>
        <v/>
      </c>
      <c r="FK117" s="4" t="str">
        <f t="shared" si="955"/>
        <v/>
      </c>
      <c r="FL117" s="5" t="str">
        <f t="shared" si="746"/>
        <v/>
      </c>
      <c r="FM117" s="8" t="str">
        <f t="shared" si="747"/>
        <v/>
      </c>
      <c r="FN117" s="9" t="str">
        <f t="shared" si="748"/>
        <v/>
      </c>
      <c r="FO117" s="10" t="str">
        <f t="shared" si="956"/>
        <v/>
      </c>
      <c r="FP117" s="277" t="str">
        <f t="shared" si="749"/>
        <v/>
      </c>
      <c r="FQ117" s="173" t="str">
        <f t="shared" si="826"/>
        <v/>
      </c>
      <c r="FR117" s="10" t="str">
        <f t="shared" si="827"/>
        <v/>
      </c>
      <c r="FS117" s="9" t="str">
        <f t="shared" si="828"/>
        <v/>
      </c>
      <c r="FT117" s="6" t="str">
        <f t="shared" si="829"/>
        <v/>
      </c>
      <c r="FU117" s="4" t="str">
        <f t="shared" si="830"/>
        <v/>
      </c>
      <c r="FV117" s="5" t="str">
        <f t="shared" si="831"/>
        <v/>
      </c>
      <c r="FW117" s="8" t="str">
        <f t="shared" si="832"/>
        <v/>
      </c>
      <c r="FX117" s="9" t="str">
        <f t="shared" si="833"/>
        <v/>
      </c>
      <c r="FY117" s="10" t="str">
        <f t="shared" si="957"/>
        <v/>
      </c>
      <c r="FZ117" s="277" t="str">
        <f t="shared" si="834"/>
        <v/>
      </c>
      <c r="GA117" s="177" t="str">
        <f t="shared" si="835"/>
        <v/>
      </c>
      <c r="GB117" s="4" t="str">
        <f t="shared" si="836"/>
        <v/>
      </c>
      <c r="GC117" s="5" t="str">
        <f t="shared" si="837"/>
        <v/>
      </c>
      <c r="GD117" s="10" t="str">
        <f t="shared" si="838"/>
        <v/>
      </c>
      <c r="GE117" s="311" t="str">
        <f t="shared" si="839"/>
        <v/>
      </c>
      <c r="GF117" s="341" t="str">
        <f t="shared" si="840"/>
        <v/>
      </c>
      <c r="GG117" s="285" t="str">
        <f t="shared" si="958"/>
        <v/>
      </c>
      <c r="GH117" s="286" t="str">
        <f t="shared" si="959"/>
        <v/>
      </c>
      <c r="GI117" s="281" t="str">
        <f t="shared" si="960"/>
        <v/>
      </c>
      <c r="GJ117" s="167" t="str">
        <f t="shared" si="841"/>
        <v/>
      </c>
      <c r="GK117" s="174" t="str">
        <f t="shared" si="961"/>
        <v/>
      </c>
      <c r="GL117" s="174" t="str">
        <f t="shared" si="842"/>
        <v/>
      </c>
      <c r="GM117" s="177" t="str">
        <f t="shared" si="843"/>
        <v/>
      </c>
      <c r="GN117" s="280" t="str">
        <f t="shared" si="844"/>
        <v/>
      </c>
      <c r="GO117" s="4" t="str">
        <f t="shared" si="845"/>
        <v/>
      </c>
      <c r="GP117" s="8" t="str">
        <f t="shared" si="846"/>
        <v/>
      </c>
      <c r="GQ117" s="177" t="str">
        <f t="shared" si="847"/>
        <v/>
      </c>
      <c r="GR117" s="371" t="str">
        <f t="shared" si="848"/>
        <v/>
      </c>
      <c r="GS117" s="342" t="str">
        <f t="shared" si="962"/>
        <v/>
      </c>
      <c r="GT117" s="343" t="str">
        <f t="shared" si="963"/>
        <v/>
      </c>
      <c r="GU117" s="344" t="str">
        <f t="shared" si="964"/>
        <v/>
      </c>
      <c r="GV117" s="343" t="str">
        <f t="shared" si="849"/>
        <v/>
      </c>
      <c r="GW117" s="345" t="str">
        <f t="shared" si="965"/>
        <v/>
      </c>
      <c r="GX117" s="346" t="str">
        <f t="shared" si="966"/>
        <v/>
      </c>
      <c r="GY117" s="344" t="str">
        <f t="shared" si="967"/>
        <v/>
      </c>
      <c r="GZ117" s="345" t="str">
        <f t="shared" si="968"/>
        <v/>
      </c>
      <c r="HA117" s="342" t="str">
        <f t="shared" si="969"/>
        <v/>
      </c>
      <c r="HB117" s="5" t="str">
        <f t="shared" si="850"/>
        <v/>
      </c>
      <c r="HC117" s="343" t="str">
        <f t="shared" si="851"/>
        <v/>
      </c>
      <c r="HD117" s="363" t="str">
        <f t="shared" si="852"/>
        <v/>
      </c>
      <c r="HE117" s="344" t="str">
        <f t="shared" si="970"/>
        <v/>
      </c>
      <c r="HF117" s="5" t="str">
        <f t="shared" si="971"/>
        <v/>
      </c>
      <c r="HG117" s="343" t="str">
        <f t="shared" si="853"/>
        <v/>
      </c>
      <c r="HH117" s="349" t="str">
        <f t="shared" si="854"/>
        <v/>
      </c>
      <c r="HI117" s="317" t="str">
        <f t="shared" si="972"/>
        <v/>
      </c>
      <c r="HK117" s="310" t="str">
        <f t="shared" si="1025"/>
        <v/>
      </c>
      <c r="HL117" s="348" t="str">
        <f t="shared" si="973"/>
        <v/>
      </c>
      <c r="HM117" s="923" t="str">
        <f t="shared" si="974"/>
        <v/>
      </c>
      <c r="HN117" s="924" t="str">
        <f t="shared" si="975"/>
        <v/>
      </c>
      <c r="HO117" s="925"/>
      <c r="HP117" s="926"/>
      <c r="HQ117" s="924" t="str">
        <f t="shared" si="976"/>
        <v/>
      </c>
      <c r="HR117" s="927" t="str">
        <f t="shared" si="977"/>
        <v/>
      </c>
      <c r="HS117" s="879" t="str">
        <f t="shared" si="1026"/>
        <v/>
      </c>
      <c r="HT117" s="889" t="str">
        <f t="shared" si="978"/>
        <v/>
      </c>
      <c r="HU117" s="890" t="str">
        <f t="shared" si="979"/>
        <v/>
      </c>
      <c r="HV117" s="886" t="str">
        <f t="shared" si="980"/>
        <v/>
      </c>
      <c r="HW117" s="880" t="str">
        <f t="shared" si="981"/>
        <v/>
      </c>
      <c r="HX117" s="881" t="str">
        <f t="shared" si="982"/>
        <v/>
      </c>
      <c r="HY117" s="880" t="str">
        <f t="shared" si="983"/>
        <v/>
      </c>
      <c r="HZ117" s="882" t="str">
        <f t="shared" si="984"/>
        <v/>
      </c>
      <c r="IA117" s="883" t="str">
        <f t="shared" si="985"/>
        <v/>
      </c>
      <c r="IB117" s="884" t="str">
        <f t="shared" si="986"/>
        <v/>
      </c>
      <c r="IC117" s="855" t="str">
        <f t="shared" si="987"/>
        <v/>
      </c>
      <c r="ID117" s="351" t="str">
        <f t="shared" si="988"/>
        <v/>
      </c>
      <c r="IE117" s="857" t="str">
        <f t="shared" si="989"/>
        <v/>
      </c>
      <c r="IF117" s="858"/>
      <c r="IG117" s="790" t="str">
        <f>IFERROR(IF($IW117="","",IF($IW117&lt;(((Settings!$C$19/2)*-1)*$IG$8),"Taper","Nose")),"")</f>
        <v/>
      </c>
      <c r="IH117" s="482" t="str">
        <f>IFERROR(IF((((($IY117*COS(RADIANS(180-$JA117)))*COS(RADIANS($JA117)))-(($IZ117*SIN(RADIANS(180-$JA117)))*SIN(RADIANS($JA117))))+$IW117)&lt;(((Settings!$C$19+$IH$8)/2)*-1),"Gage",""),"")</f>
        <v/>
      </c>
      <c r="II117" s="788" t="str">
        <f t="shared" si="855"/>
        <v/>
      </c>
      <c r="IJ117" s="674" t="str" cm="1">
        <f t="array" ref="IJ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K117" s="677" t="str" cm="1">
        <f t="array" ref="IK117">IFERROR(ROUND(VALUE(IF($IJ117&lt;1,$IJ117+LARGE((IF($M$9:$M$150="",0,$M$9:$M$150)-MOD(IF($M$9:$M$150="",0,$M$9:$M$150),1)),1),$IJ117)),4),"")</f>
        <v/>
      </c>
      <c r="IL117" s="482" t="str">
        <f t="shared" si="990"/>
        <v/>
      </c>
      <c r="IM117" s="482" t="str">
        <f t="shared" si="856"/>
        <v/>
      </c>
      <c r="IN117" s="670" t="str">
        <f t="shared" si="991"/>
        <v/>
      </c>
      <c r="IO117" s="702"/>
      <c r="IP117" s="5" t="str">
        <f t="shared" si="992"/>
        <v/>
      </c>
      <c r="IQ117" s="714"/>
      <c r="IR117" s="9" t="str">
        <f t="shared" si="993"/>
        <v/>
      </c>
      <c r="IS117" s="5" t="str">
        <f t="shared" si="994"/>
        <v/>
      </c>
      <c r="IT117" s="5" t="str">
        <f t="shared" si="995"/>
        <v/>
      </c>
      <c r="IU117" s="5" t="str">
        <f t="shared" si="996"/>
        <v/>
      </c>
      <c r="IV117" s="670" t="str">
        <f t="shared" si="997"/>
        <v/>
      </c>
      <c r="IW117" s="9" t="str">
        <f t="shared" si="998"/>
        <v/>
      </c>
      <c r="IX117" s="5" t="str">
        <f t="shared" si="999"/>
        <v/>
      </c>
      <c r="IY117" s="5" t="str">
        <f t="shared" si="1000"/>
        <v/>
      </c>
      <c r="IZ117" s="5" t="str">
        <f t="shared" si="1001"/>
        <v/>
      </c>
      <c r="JA117" s="705" t="str">
        <f t="shared" si="1002"/>
        <v/>
      </c>
      <c r="JN117" s="960"/>
      <c r="JO117" s="162"/>
      <c r="JP117" s="961"/>
      <c r="JQ117" s="961"/>
    </row>
    <row r="118" spans="1:277" ht="15" customHeight="1" x14ac:dyDescent="0.25">
      <c r="A118" s="75" t="str">
        <f t="shared" si="917"/>
        <v/>
      </c>
      <c r="B118" s="578" t="str">
        <f t="shared" ref="B118:D118" si="1052">IFERROR(O273+($A118*-E118),"")</f>
        <v/>
      </c>
      <c r="C118" s="572" t="str">
        <f t="shared" si="1052"/>
        <v/>
      </c>
      <c r="D118" s="576" t="str">
        <f t="shared" si="1052"/>
        <v/>
      </c>
      <c r="E118" s="580" t="str">
        <f t="shared" ref="E118:K118" si="1053">R273</f>
        <v/>
      </c>
      <c r="F118" s="572" t="str">
        <f t="shared" si="1053"/>
        <v/>
      </c>
      <c r="G118" s="579" t="str">
        <f t="shared" si="1053"/>
        <v/>
      </c>
      <c r="H118" s="580" t="str">
        <f t="shared" si="1053"/>
        <v/>
      </c>
      <c r="I118" s="572" t="str">
        <f t="shared" si="1053"/>
        <v/>
      </c>
      <c r="J118" s="483" t="str">
        <f t="shared" si="728"/>
        <v/>
      </c>
      <c r="K118" s="806" t="str">
        <f t="shared" si="1053"/>
        <v/>
      </c>
      <c r="L118" s="309"/>
      <c r="M118" s="164" t="str">
        <f t="shared" si="920"/>
        <v/>
      </c>
      <c r="N118" s="575" t="str">
        <f t="shared" si="921"/>
        <v/>
      </c>
      <c r="O118" s="572" t="str">
        <f t="shared" si="922"/>
        <v/>
      </c>
      <c r="P118" s="576" t="str">
        <f t="shared" si="923"/>
        <v/>
      </c>
      <c r="Q118" s="528" t="str">
        <f t="shared" si="729"/>
        <v/>
      </c>
      <c r="R118" s="572" t="str">
        <f t="shared" si="1005"/>
        <v/>
      </c>
      <c r="S118" s="577" t="str">
        <f t="shared" si="1006"/>
        <v/>
      </c>
      <c r="T118" s="578" t="str">
        <f t="shared" si="1007"/>
        <v/>
      </c>
      <c r="U118" s="572" t="str">
        <f t="shared" si="1008"/>
        <v/>
      </c>
      <c r="V118" s="579" t="str">
        <f t="shared" si="1009"/>
        <v/>
      </c>
      <c r="W118" s="528" t="str">
        <f t="shared" si="866"/>
        <v/>
      </c>
      <c r="X118" s="572" t="str">
        <f t="shared" si="1010"/>
        <v/>
      </c>
      <c r="Y118" s="573" t="str">
        <f t="shared" si="859"/>
        <v/>
      </c>
      <c r="Z118" s="575" t="str">
        <f t="shared" si="924"/>
        <v/>
      </c>
      <c r="AA118" s="572" t="str">
        <f t="shared" si="925"/>
        <v/>
      </c>
      <c r="AB118" s="572" t="str">
        <f t="shared" si="926"/>
        <v/>
      </c>
      <c r="AC118" s="579" t="str">
        <f t="shared" si="1011"/>
        <v/>
      </c>
      <c r="AD118" s="580" t="str">
        <f t="shared" si="1012"/>
        <v/>
      </c>
      <c r="AE118" s="572" t="str">
        <f t="shared" si="1013"/>
        <v/>
      </c>
      <c r="AF118" s="576" t="str">
        <f t="shared" si="1014"/>
        <v/>
      </c>
      <c r="AG118" s="545" t="str">
        <f t="shared" si="1015"/>
        <v/>
      </c>
      <c r="AH118" s="546" t="str">
        <f t="shared" si="1016"/>
        <v/>
      </c>
      <c r="AI118" s="528" t="str">
        <f t="shared" si="1017"/>
        <v/>
      </c>
      <c r="AJ118" s="529" t="str">
        <f t="shared" si="1018"/>
        <v/>
      </c>
      <c r="AK118" s="578" t="str">
        <f t="shared" si="1019"/>
        <v/>
      </c>
      <c r="AL118" s="572" t="str">
        <f t="shared" si="1020"/>
        <v/>
      </c>
      <c r="AM118" s="577" t="str">
        <f t="shared" si="1021"/>
        <v/>
      </c>
      <c r="AN118" s="524" t="str">
        <f t="shared" si="1022"/>
        <v/>
      </c>
      <c r="AO118" s="525" t="str">
        <f t="shared" si="604"/>
        <v/>
      </c>
      <c r="AP118" s="528" t="str">
        <f t="shared" si="1023"/>
        <v/>
      </c>
      <c r="AQ118" s="529" t="str">
        <f t="shared" si="927"/>
        <v/>
      </c>
      <c r="AS118" s="954" t="str">
        <f t="shared" si="1029"/>
        <v/>
      </c>
      <c r="AT118" s="950" t="str">
        <f t="shared" si="928"/>
        <v/>
      </c>
      <c r="AU118" s="418"/>
      <c r="AV118" s="164" t="str">
        <f t="shared" si="929"/>
        <v/>
      </c>
      <c r="AW118" s="797" t="str">
        <f>IFERROR(INDEX(MassProp!C$9:C$150,MATCH($M118,MassProp!$B$9:$B$150,0)),"")</f>
        <v/>
      </c>
      <c r="AX118" s="744" t="str">
        <f>IFERROR(INDEX(MassProp!D$9:D$150,MATCH($M118,MassProp!$B$9:$B$150,0)),"")</f>
        <v/>
      </c>
      <c r="AY118" s="731" t="str">
        <f>IFERROR(INDEX(MassProp!E$9:E$150,MATCH($M118,MassProp!$B$9:$B$150,0)),"")</f>
        <v/>
      </c>
      <c r="AZ118" s="297" t="str">
        <f t="shared" si="756"/>
        <v/>
      </c>
      <c r="BA118" s="296" t="str">
        <f t="shared" si="930"/>
        <v/>
      </c>
      <c r="BB118" s="177" t="str">
        <f t="shared" si="730"/>
        <v/>
      </c>
      <c r="BC118" s="9"/>
      <c r="BD118" s="5" t="str">
        <f t="shared" si="731"/>
        <v/>
      </c>
      <c r="BE118" s="6" t="str">
        <f t="shared" si="931"/>
        <v/>
      </c>
      <c r="BF118" s="4" t="str">
        <f t="shared" si="932"/>
        <v/>
      </c>
      <c r="BG118" s="5" t="str">
        <f t="shared" si="933"/>
        <v/>
      </c>
      <c r="BH118" s="10" t="str">
        <f t="shared" si="934"/>
        <v/>
      </c>
      <c r="BI118" s="9" t="str">
        <f t="shared" si="757"/>
        <v/>
      </c>
      <c r="BJ118" s="5" t="str">
        <f t="shared" si="935"/>
        <v/>
      </c>
      <c r="BK118" s="8" t="str">
        <f t="shared" si="936"/>
        <v/>
      </c>
      <c r="BL118" s="173" t="str">
        <f t="shared" si="937"/>
        <v/>
      </c>
      <c r="BM118" s="5" t="str">
        <f t="shared" si="938"/>
        <v/>
      </c>
      <c r="BN118" s="6" t="str">
        <f t="shared" si="939"/>
        <v/>
      </c>
      <c r="BO118" s="4" t="str">
        <f t="shared" si="758"/>
        <v/>
      </c>
      <c r="BP118" s="5" t="str">
        <f t="shared" si="759"/>
        <v/>
      </c>
      <c r="BQ118" s="5" t="str">
        <f t="shared" si="760"/>
        <v/>
      </c>
      <c r="BR118" s="6" t="str">
        <f t="shared" si="761"/>
        <v/>
      </c>
      <c r="BS118" s="4" t="str">
        <f t="shared" si="1024"/>
        <v/>
      </c>
      <c r="BT118" s="5" t="str">
        <f t="shared" si="1024"/>
        <v/>
      </c>
      <c r="BU118" s="10" t="str">
        <f t="shared" si="733"/>
        <v/>
      </c>
      <c r="BV118" s="9" t="str">
        <f t="shared" si="734"/>
        <v/>
      </c>
      <c r="BW118" s="5" t="str">
        <f t="shared" si="735"/>
        <v/>
      </c>
      <c r="BX118" s="8" t="str">
        <f t="shared" si="736"/>
        <v/>
      </c>
      <c r="BY118" s="173" t="str">
        <f t="shared" si="737"/>
        <v/>
      </c>
      <c r="BZ118" s="5" t="str">
        <f t="shared" si="738"/>
        <v/>
      </c>
      <c r="CA118" s="6" t="str">
        <f t="shared" si="739"/>
        <v/>
      </c>
      <c r="CB118" s="4" t="str">
        <f t="shared" si="762"/>
        <v/>
      </c>
      <c r="CC118" s="5" t="str">
        <f t="shared" si="763"/>
        <v/>
      </c>
      <c r="CD118" s="5" t="str">
        <f t="shared" si="764"/>
        <v/>
      </c>
      <c r="CE118" s="6" t="str">
        <f t="shared" si="765"/>
        <v/>
      </c>
      <c r="CF118" s="4" t="str">
        <f t="shared" si="766"/>
        <v/>
      </c>
      <c r="CG118" s="5" t="str">
        <f t="shared" si="767"/>
        <v/>
      </c>
      <c r="CH118" s="5" t="str">
        <f t="shared" si="768"/>
        <v/>
      </c>
      <c r="CI118" s="4" t="str">
        <f t="shared" si="740"/>
        <v/>
      </c>
      <c r="CJ118" s="5" t="str">
        <f t="shared" si="741"/>
        <v/>
      </c>
      <c r="CK118" s="8" t="str">
        <f t="shared" si="742"/>
        <v/>
      </c>
      <c r="CL118" s="173" t="str">
        <f t="shared" si="743"/>
        <v/>
      </c>
      <c r="CM118" s="5" t="str">
        <f t="shared" si="744"/>
        <v/>
      </c>
      <c r="CN118" s="6" t="str">
        <f t="shared" si="745"/>
        <v/>
      </c>
      <c r="CO118" s="167" t="str">
        <f t="shared" si="940"/>
        <v/>
      </c>
      <c r="CP118" s="4" t="str">
        <f t="shared" si="769"/>
        <v/>
      </c>
      <c r="CQ118" s="5" t="str">
        <f t="shared" si="770"/>
        <v/>
      </c>
      <c r="CR118" s="5" t="str">
        <f t="shared" si="771"/>
        <v/>
      </c>
      <c r="CS118" s="8" t="str">
        <f t="shared" si="772"/>
        <v/>
      </c>
      <c r="CT118" s="9" t="str">
        <f t="shared" si="773"/>
        <v/>
      </c>
      <c r="CU118" s="6" t="str">
        <f t="shared" si="774"/>
        <v/>
      </c>
      <c r="CV118" s="4" t="str">
        <f t="shared" si="775"/>
        <v/>
      </c>
      <c r="CW118" s="5" t="str">
        <f t="shared" si="776"/>
        <v/>
      </c>
      <c r="CX118" s="8" t="str">
        <f t="shared" si="777"/>
        <v/>
      </c>
      <c r="CY118" s="9" t="str">
        <f t="shared" si="778"/>
        <v/>
      </c>
      <c r="CZ118" s="5" t="str">
        <f t="shared" si="779"/>
        <v/>
      </c>
      <c r="DA118" s="6" t="str">
        <f t="shared" si="780"/>
        <v/>
      </c>
      <c r="DB118" s="4" t="str">
        <f t="shared" si="1030"/>
        <v/>
      </c>
      <c r="DC118" s="5" t="str">
        <f t="shared" si="1030"/>
        <v/>
      </c>
      <c r="DD118" s="10" t="str">
        <f t="shared" si="782"/>
        <v/>
      </c>
      <c r="DE118" s="9" t="str">
        <f t="shared" si="1031"/>
        <v/>
      </c>
      <c r="DF118" s="5" t="str">
        <f t="shared" si="1031"/>
        <v/>
      </c>
      <c r="DG118" s="10" t="str">
        <f t="shared" si="784"/>
        <v/>
      </c>
      <c r="DH118" s="70" t="str">
        <f t="shared" si="785"/>
        <v/>
      </c>
      <c r="DI118" s="4" t="str">
        <f t="shared" si="786"/>
        <v/>
      </c>
      <c r="DJ118" s="5" t="str">
        <f t="shared" si="787"/>
        <v/>
      </c>
      <c r="DK118" s="10" t="str">
        <f t="shared" si="788"/>
        <v/>
      </c>
      <c r="DL118" s="9" t="str">
        <f t="shared" si="789"/>
        <v/>
      </c>
      <c r="DM118" s="173" t="str">
        <f t="shared" si="790"/>
        <v/>
      </c>
      <c r="DN118" s="178" t="str">
        <f t="shared" si="791"/>
        <v/>
      </c>
      <c r="DO118" s="9" t="str">
        <f t="shared" si="792"/>
        <v/>
      </c>
      <c r="DP118" s="173" t="str">
        <f t="shared" si="793"/>
        <v/>
      </c>
      <c r="DQ118" s="11" t="str">
        <f t="shared" si="794"/>
        <v/>
      </c>
      <c r="DR118" s="173" t="str">
        <f t="shared" si="795"/>
        <v/>
      </c>
      <c r="DS118" s="5" t="str">
        <f t="shared" si="796"/>
        <v/>
      </c>
      <c r="DT118" s="5" t="str">
        <f t="shared" si="797"/>
        <v/>
      </c>
      <c r="DU118" s="5" t="str">
        <f t="shared" si="798"/>
        <v/>
      </c>
      <c r="DV118" s="5" t="str">
        <f t="shared" si="799"/>
        <v/>
      </c>
      <c r="DW118" s="5" t="str">
        <f t="shared" si="800"/>
        <v/>
      </c>
      <c r="DX118" s="167" t="str">
        <f t="shared" si="801"/>
        <v/>
      </c>
      <c r="DY118" s="9" t="str">
        <f t="shared" si="802"/>
        <v/>
      </c>
      <c r="DZ118" s="5" t="str">
        <f t="shared" si="803"/>
        <v/>
      </c>
      <c r="EA118" s="10" t="str">
        <f t="shared" si="804"/>
        <v/>
      </c>
      <c r="EB118" s="6" t="str">
        <f t="shared" si="805"/>
        <v/>
      </c>
      <c r="EC118" s="173" t="str">
        <f t="shared" si="806"/>
        <v/>
      </c>
      <c r="ED118" s="5" t="str">
        <f t="shared" si="807"/>
        <v/>
      </c>
      <c r="EE118" s="4" t="str">
        <f t="shared" si="808"/>
        <v/>
      </c>
      <c r="EF118" s="5" t="str">
        <f t="shared" si="809"/>
        <v/>
      </c>
      <c r="EG118" s="10" t="str">
        <f t="shared" si="810"/>
        <v/>
      </c>
      <c r="EH118" s="9" t="str">
        <f t="shared" si="811"/>
        <v/>
      </c>
      <c r="EI118" s="5" t="str">
        <f t="shared" si="812"/>
        <v/>
      </c>
      <c r="EJ118" s="6" t="str">
        <f t="shared" si="813"/>
        <v/>
      </c>
      <c r="EK118" s="236" t="str">
        <f t="shared" si="814"/>
        <v/>
      </c>
      <c r="EL118" s="238" t="str">
        <f t="shared" si="815"/>
        <v/>
      </c>
      <c r="EM118" s="4" t="str">
        <f t="shared" si="816"/>
        <v/>
      </c>
      <c r="EN118" s="5" t="str">
        <f t="shared" si="817"/>
        <v/>
      </c>
      <c r="EO118" s="10" t="str">
        <f t="shared" si="818"/>
        <v/>
      </c>
      <c r="EP118" s="9" t="str">
        <f t="shared" si="819"/>
        <v/>
      </c>
      <c r="EQ118" s="5" t="str">
        <f t="shared" si="820"/>
        <v/>
      </c>
      <c r="ER118" s="7" t="str">
        <f t="shared" si="821"/>
        <v/>
      </c>
      <c r="ES118" s="21" t="str">
        <f t="shared" si="941"/>
        <v/>
      </c>
      <c r="ET118" s="5" t="str">
        <f t="shared" si="942"/>
        <v/>
      </c>
      <c r="EU118" s="10" t="str">
        <f t="shared" si="943"/>
        <v/>
      </c>
      <c r="EV118" s="174" t="str">
        <f t="shared" si="944"/>
        <v/>
      </c>
      <c r="EW118" s="9" t="str">
        <f t="shared" si="945"/>
        <v/>
      </c>
      <c r="EX118" s="5" t="str">
        <f t="shared" si="946"/>
        <v/>
      </c>
      <c r="EY118" s="6" t="str">
        <f t="shared" si="822"/>
        <v/>
      </c>
      <c r="EZ118" s="51" t="str">
        <f t="shared" si="823"/>
        <v/>
      </c>
      <c r="FA118" s="173" t="str">
        <f t="shared" si="947"/>
        <v/>
      </c>
      <c r="FB118" s="5" t="str">
        <f t="shared" si="948"/>
        <v/>
      </c>
      <c r="FC118" s="6" t="str">
        <f t="shared" si="949"/>
        <v/>
      </c>
      <c r="FD118" s="4" t="str">
        <f t="shared" si="950"/>
        <v/>
      </c>
      <c r="FE118" s="5" t="str">
        <f t="shared" si="951"/>
        <v/>
      </c>
      <c r="FF118" s="7" t="str">
        <f t="shared" si="824"/>
        <v/>
      </c>
      <c r="FG118" s="173" t="str">
        <f t="shared" si="952"/>
        <v/>
      </c>
      <c r="FH118" s="5" t="str">
        <f t="shared" si="953"/>
        <v/>
      </c>
      <c r="FI118" s="10" t="str">
        <f t="shared" si="954"/>
        <v/>
      </c>
      <c r="FJ118" s="279" t="str">
        <f t="shared" si="825"/>
        <v/>
      </c>
      <c r="FK118" s="4" t="str">
        <f t="shared" si="955"/>
        <v/>
      </c>
      <c r="FL118" s="5" t="str">
        <f t="shared" si="746"/>
        <v/>
      </c>
      <c r="FM118" s="8" t="str">
        <f t="shared" si="747"/>
        <v/>
      </c>
      <c r="FN118" s="9" t="str">
        <f t="shared" si="748"/>
        <v/>
      </c>
      <c r="FO118" s="10" t="str">
        <f t="shared" si="956"/>
        <v/>
      </c>
      <c r="FP118" s="277" t="str">
        <f t="shared" si="749"/>
        <v/>
      </c>
      <c r="FQ118" s="173" t="str">
        <f t="shared" si="826"/>
        <v/>
      </c>
      <c r="FR118" s="10" t="str">
        <f t="shared" si="827"/>
        <v/>
      </c>
      <c r="FS118" s="9" t="str">
        <f t="shared" si="828"/>
        <v/>
      </c>
      <c r="FT118" s="6" t="str">
        <f t="shared" si="829"/>
        <v/>
      </c>
      <c r="FU118" s="4" t="str">
        <f t="shared" si="830"/>
        <v/>
      </c>
      <c r="FV118" s="5" t="str">
        <f t="shared" si="831"/>
        <v/>
      </c>
      <c r="FW118" s="8" t="str">
        <f t="shared" si="832"/>
        <v/>
      </c>
      <c r="FX118" s="9" t="str">
        <f t="shared" si="833"/>
        <v/>
      </c>
      <c r="FY118" s="10" t="str">
        <f t="shared" si="957"/>
        <v/>
      </c>
      <c r="FZ118" s="277" t="str">
        <f t="shared" si="834"/>
        <v/>
      </c>
      <c r="GA118" s="177" t="str">
        <f t="shared" si="835"/>
        <v/>
      </c>
      <c r="GB118" s="4" t="str">
        <f t="shared" si="836"/>
        <v/>
      </c>
      <c r="GC118" s="5" t="str">
        <f t="shared" si="837"/>
        <v/>
      </c>
      <c r="GD118" s="10" t="str">
        <f t="shared" si="838"/>
        <v/>
      </c>
      <c r="GE118" s="311" t="str">
        <f t="shared" si="839"/>
        <v/>
      </c>
      <c r="GF118" s="341" t="str">
        <f t="shared" si="840"/>
        <v/>
      </c>
      <c r="GG118" s="285" t="str">
        <f t="shared" si="958"/>
        <v/>
      </c>
      <c r="GH118" s="286" t="str">
        <f t="shared" si="959"/>
        <v/>
      </c>
      <c r="GI118" s="281" t="str">
        <f t="shared" si="960"/>
        <v/>
      </c>
      <c r="GJ118" s="167" t="str">
        <f t="shared" si="841"/>
        <v/>
      </c>
      <c r="GK118" s="174" t="str">
        <f t="shared" si="961"/>
        <v/>
      </c>
      <c r="GL118" s="174" t="str">
        <f t="shared" si="842"/>
        <v/>
      </c>
      <c r="GM118" s="177" t="str">
        <f t="shared" si="843"/>
        <v/>
      </c>
      <c r="GN118" s="280" t="str">
        <f t="shared" si="844"/>
        <v/>
      </c>
      <c r="GO118" s="4" t="str">
        <f t="shared" si="845"/>
        <v/>
      </c>
      <c r="GP118" s="8" t="str">
        <f t="shared" si="846"/>
        <v/>
      </c>
      <c r="GQ118" s="177" t="str">
        <f t="shared" si="847"/>
        <v/>
      </c>
      <c r="GR118" s="371" t="str">
        <f t="shared" si="848"/>
        <v/>
      </c>
      <c r="GS118" s="342" t="str">
        <f t="shared" si="962"/>
        <v/>
      </c>
      <c r="GT118" s="343" t="str">
        <f t="shared" si="963"/>
        <v/>
      </c>
      <c r="GU118" s="344" t="str">
        <f t="shared" si="964"/>
        <v/>
      </c>
      <c r="GV118" s="343" t="str">
        <f t="shared" si="849"/>
        <v/>
      </c>
      <c r="GW118" s="345" t="str">
        <f t="shared" si="965"/>
        <v/>
      </c>
      <c r="GX118" s="346" t="str">
        <f t="shared" si="966"/>
        <v/>
      </c>
      <c r="GY118" s="344" t="str">
        <f t="shared" si="967"/>
        <v/>
      </c>
      <c r="GZ118" s="345" t="str">
        <f t="shared" si="968"/>
        <v/>
      </c>
      <c r="HA118" s="342" t="str">
        <f t="shared" si="969"/>
        <v/>
      </c>
      <c r="HB118" s="5" t="str">
        <f t="shared" si="850"/>
        <v/>
      </c>
      <c r="HC118" s="343" t="str">
        <f t="shared" si="851"/>
        <v/>
      </c>
      <c r="HD118" s="363" t="str">
        <f t="shared" si="852"/>
        <v/>
      </c>
      <c r="HE118" s="344" t="str">
        <f t="shared" si="970"/>
        <v/>
      </c>
      <c r="HF118" s="5" t="str">
        <f t="shared" si="971"/>
        <v/>
      </c>
      <c r="HG118" s="343" t="str">
        <f t="shared" si="853"/>
        <v/>
      </c>
      <c r="HH118" s="349" t="str">
        <f t="shared" si="854"/>
        <v/>
      </c>
      <c r="HI118" s="317" t="str">
        <f t="shared" si="972"/>
        <v/>
      </c>
      <c r="HK118" s="310" t="str">
        <f t="shared" si="1025"/>
        <v/>
      </c>
      <c r="HL118" s="348" t="str">
        <f t="shared" si="973"/>
        <v/>
      </c>
      <c r="HM118" s="923" t="str">
        <f t="shared" si="974"/>
        <v/>
      </c>
      <c r="HN118" s="924" t="str">
        <f t="shared" si="975"/>
        <v/>
      </c>
      <c r="HO118" s="925"/>
      <c r="HP118" s="926"/>
      <c r="HQ118" s="924" t="str">
        <f t="shared" si="976"/>
        <v/>
      </c>
      <c r="HR118" s="927" t="str">
        <f t="shared" si="977"/>
        <v/>
      </c>
      <c r="HS118" s="879" t="str">
        <f t="shared" si="1026"/>
        <v/>
      </c>
      <c r="HT118" s="889" t="str">
        <f t="shared" si="978"/>
        <v/>
      </c>
      <c r="HU118" s="890" t="str">
        <f t="shared" si="979"/>
        <v/>
      </c>
      <c r="HV118" s="886" t="str">
        <f t="shared" si="980"/>
        <v/>
      </c>
      <c r="HW118" s="880" t="str">
        <f t="shared" si="981"/>
        <v/>
      </c>
      <c r="HX118" s="881" t="str">
        <f t="shared" si="982"/>
        <v/>
      </c>
      <c r="HY118" s="880" t="str">
        <f t="shared" si="983"/>
        <v/>
      </c>
      <c r="HZ118" s="882" t="str">
        <f t="shared" si="984"/>
        <v/>
      </c>
      <c r="IA118" s="883" t="str">
        <f t="shared" si="985"/>
        <v/>
      </c>
      <c r="IB118" s="884" t="str">
        <f t="shared" si="986"/>
        <v/>
      </c>
      <c r="IC118" s="855" t="str">
        <f t="shared" si="987"/>
        <v/>
      </c>
      <c r="ID118" s="351" t="str">
        <f t="shared" si="988"/>
        <v/>
      </c>
      <c r="IE118" s="857" t="str">
        <f t="shared" si="989"/>
        <v/>
      </c>
      <c r="IF118" s="858"/>
      <c r="IG118" s="790" t="str">
        <f>IFERROR(IF($IW118="","",IF($IW118&lt;(((Settings!$C$19/2)*-1)*$IG$8),"Taper","Nose")),"")</f>
        <v/>
      </c>
      <c r="IH118" s="482" t="str">
        <f>IFERROR(IF((((($IY118*COS(RADIANS(180-$JA118)))*COS(RADIANS($JA118)))-(($IZ118*SIN(RADIANS(180-$JA118)))*SIN(RADIANS($JA118))))+$IW118)&lt;(((Settings!$C$19+$IH$8)/2)*-1),"Gage",""),"")</f>
        <v/>
      </c>
      <c r="II118" s="788" t="str">
        <f t="shared" si="855"/>
        <v/>
      </c>
      <c r="IJ118" s="674" t="str" cm="1">
        <f t="array" ref="IJ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K118" s="677" t="str" cm="1">
        <f t="array" ref="IK118">IFERROR(ROUND(VALUE(IF($IJ118&lt;1,$IJ118+LARGE((IF($M$9:$M$150="",0,$M$9:$M$150)-MOD(IF($M$9:$M$150="",0,$M$9:$M$150),1)),1),$IJ118)),4),"")</f>
        <v/>
      </c>
      <c r="IL118" s="482" t="str">
        <f t="shared" si="990"/>
        <v/>
      </c>
      <c r="IM118" s="482" t="str">
        <f t="shared" si="856"/>
        <v/>
      </c>
      <c r="IN118" s="670" t="str">
        <f t="shared" si="991"/>
        <v/>
      </c>
      <c r="IO118" s="702"/>
      <c r="IP118" s="5" t="str">
        <f t="shared" si="992"/>
        <v/>
      </c>
      <c r="IQ118" s="714"/>
      <c r="IR118" s="9" t="str">
        <f t="shared" si="993"/>
        <v/>
      </c>
      <c r="IS118" s="5" t="str">
        <f t="shared" si="994"/>
        <v/>
      </c>
      <c r="IT118" s="5" t="str">
        <f t="shared" si="995"/>
        <v/>
      </c>
      <c r="IU118" s="5" t="str">
        <f t="shared" si="996"/>
        <v/>
      </c>
      <c r="IV118" s="670" t="str">
        <f t="shared" si="997"/>
        <v/>
      </c>
      <c r="IW118" s="9" t="str">
        <f t="shared" si="998"/>
        <v/>
      </c>
      <c r="IX118" s="5" t="str">
        <f t="shared" si="999"/>
        <v/>
      </c>
      <c r="IY118" s="5" t="str">
        <f t="shared" si="1000"/>
        <v/>
      </c>
      <c r="IZ118" s="5" t="str">
        <f t="shared" si="1001"/>
        <v/>
      </c>
      <c r="JA118" s="705" t="str">
        <f t="shared" si="1002"/>
        <v/>
      </c>
      <c r="JN118" s="960"/>
      <c r="JO118" s="162"/>
      <c r="JP118" s="961"/>
      <c r="JQ118" s="961"/>
    </row>
    <row r="119" spans="1:277" ht="15" customHeight="1" x14ac:dyDescent="0.25">
      <c r="A119" s="75" t="str">
        <f t="shared" si="917"/>
        <v/>
      </c>
      <c r="B119" s="578" t="str">
        <f t="shared" ref="B119:D119" si="1054">IFERROR(O274+($A119*-E119),"")</f>
        <v/>
      </c>
      <c r="C119" s="572" t="str">
        <f t="shared" si="1054"/>
        <v/>
      </c>
      <c r="D119" s="576" t="str">
        <f t="shared" si="1054"/>
        <v/>
      </c>
      <c r="E119" s="580" t="str">
        <f t="shared" ref="E119:K119" si="1055">R274</f>
        <v/>
      </c>
      <c r="F119" s="572" t="str">
        <f t="shared" si="1055"/>
        <v/>
      </c>
      <c r="G119" s="579" t="str">
        <f t="shared" si="1055"/>
        <v/>
      </c>
      <c r="H119" s="580" t="str">
        <f t="shared" si="1055"/>
        <v/>
      </c>
      <c r="I119" s="572" t="str">
        <f t="shared" si="1055"/>
        <v/>
      </c>
      <c r="J119" s="483" t="str">
        <f t="shared" si="728"/>
        <v/>
      </c>
      <c r="K119" s="806" t="str">
        <f t="shared" si="1055"/>
        <v/>
      </c>
      <c r="L119" s="309"/>
      <c r="M119" s="164" t="str">
        <f t="shared" si="920"/>
        <v/>
      </c>
      <c r="N119" s="575" t="str">
        <f t="shared" si="921"/>
        <v/>
      </c>
      <c r="O119" s="572" t="str">
        <f t="shared" si="922"/>
        <v/>
      </c>
      <c r="P119" s="576" t="str">
        <f t="shared" si="923"/>
        <v/>
      </c>
      <c r="Q119" s="528" t="str">
        <f t="shared" si="729"/>
        <v/>
      </c>
      <c r="R119" s="572" t="str">
        <f t="shared" si="1005"/>
        <v/>
      </c>
      <c r="S119" s="577" t="str">
        <f t="shared" si="1006"/>
        <v/>
      </c>
      <c r="T119" s="578" t="str">
        <f t="shared" si="1007"/>
        <v/>
      </c>
      <c r="U119" s="572" t="str">
        <f t="shared" si="1008"/>
        <v/>
      </c>
      <c r="V119" s="579" t="str">
        <f t="shared" si="1009"/>
        <v/>
      </c>
      <c r="W119" s="528" t="str">
        <f t="shared" si="866"/>
        <v/>
      </c>
      <c r="X119" s="572" t="str">
        <f t="shared" si="1010"/>
        <v/>
      </c>
      <c r="Y119" s="573" t="str">
        <f t="shared" si="859"/>
        <v/>
      </c>
      <c r="Z119" s="575" t="str">
        <f t="shared" si="924"/>
        <v/>
      </c>
      <c r="AA119" s="572" t="str">
        <f t="shared" si="925"/>
        <v/>
      </c>
      <c r="AB119" s="572" t="str">
        <f t="shared" si="926"/>
        <v/>
      </c>
      <c r="AC119" s="579" t="str">
        <f t="shared" si="1011"/>
        <v/>
      </c>
      <c r="AD119" s="580" t="str">
        <f t="shared" si="1012"/>
        <v/>
      </c>
      <c r="AE119" s="572" t="str">
        <f t="shared" si="1013"/>
        <v/>
      </c>
      <c r="AF119" s="576" t="str">
        <f t="shared" si="1014"/>
        <v/>
      </c>
      <c r="AG119" s="545" t="str">
        <f t="shared" si="1015"/>
        <v/>
      </c>
      <c r="AH119" s="546" t="str">
        <f t="shared" si="1016"/>
        <v/>
      </c>
      <c r="AI119" s="528" t="str">
        <f t="shared" si="1017"/>
        <v/>
      </c>
      <c r="AJ119" s="529" t="str">
        <f t="shared" si="1018"/>
        <v/>
      </c>
      <c r="AK119" s="578" t="str">
        <f t="shared" si="1019"/>
        <v/>
      </c>
      <c r="AL119" s="572" t="str">
        <f t="shared" si="1020"/>
        <v/>
      </c>
      <c r="AM119" s="577" t="str">
        <f t="shared" si="1021"/>
        <v/>
      </c>
      <c r="AN119" s="524" t="str">
        <f t="shared" si="1022"/>
        <v/>
      </c>
      <c r="AO119" s="525" t="str">
        <f t="shared" si="604"/>
        <v/>
      </c>
      <c r="AP119" s="528" t="str">
        <f t="shared" si="1023"/>
        <v/>
      </c>
      <c r="AQ119" s="529" t="str">
        <f t="shared" si="927"/>
        <v/>
      </c>
      <c r="AS119" s="954" t="str">
        <f t="shared" si="1029"/>
        <v/>
      </c>
      <c r="AT119" s="950" t="str">
        <f t="shared" si="928"/>
        <v/>
      </c>
      <c r="AU119" s="418"/>
      <c r="AV119" s="164" t="str">
        <f t="shared" si="929"/>
        <v/>
      </c>
      <c r="AW119" s="797" t="str">
        <f>IFERROR(INDEX(MassProp!C$9:C$150,MATCH($M119,MassProp!$B$9:$B$150,0)),"")</f>
        <v/>
      </c>
      <c r="AX119" s="744" t="str">
        <f>IFERROR(INDEX(MassProp!D$9:D$150,MATCH($M119,MassProp!$B$9:$B$150,0)),"")</f>
        <v/>
      </c>
      <c r="AY119" s="731" t="str">
        <f>IFERROR(INDEX(MassProp!E$9:E$150,MATCH($M119,MassProp!$B$9:$B$150,0)),"")</f>
        <v/>
      </c>
      <c r="AZ119" s="297" t="str">
        <f t="shared" si="756"/>
        <v/>
      </c>
      <c r="BA119" s="296" t="str">
        <f t="shared" si="930"/>
        <v/>
      </c>
      <c r="BB119" s="177" t="str">
        <f t="shared" si="730"/>
        <v/>
      </c>
      <c r="BC119" s="9"/>
      <c r="BD119" s="5" t="str">
        <f t="shared" si="731"/>
        <v/>
      </c>
      <c r="BE119" s="6" t="str">
        <f t="shared" si="931"/>
        <v/>
      </c>
      <c r="BF119" s="4" t="str">
        <f t="shared" si="932"/>
        <v/>
      </c>
      <c r="BG119" s="5" t="str">
        <f t="shared" si="933"/>
        <v/>
      </c>
      <c r="BH119" s="10" t="str">
        <f t="shared" si="934"/>
        <v/>
      </c>
      <c r="BI119" s="9" t="str">
        <f t="shared" si="757"/>
        <v/>
      </c>
      <c r="BJ119" s="5" t="str">
        <f t="shared" si="935"/>
        <v/>
      </c>
      <c r="BK119" s="8" t="str">
        <f t="shared" si="936"/>
        <v/>
      </c>
      <c r="BL119" s="173" t="str">
        <f t="shared" si="937"/>
        <v/>
      </c>
      <c r="BM119" s="5" t="str">
        <f t="shared" si="938"/>
        <v/>
      </c>
      <c r="BN119" s="6" t="str">
        <f t="shared" si="939"/>
        <v/>
      </c>
      <c r="BO119" s="4" t="str">
        <f t="shared" si="758"/>
        <v/>
      </c>
      <c r="BP119" s="5" t="str">
        <f t="shared" si="759"/>
        <v/>
      </c>
      <c r="BQ119" s="5" t="str">
        <f t="shared" si="760"/>
        <v/>
      </c>
      <c r="BR119" s="6" t="str">
        <f t="shared" si="761"/>
        <v/>
      </c>
      <c r="BS119" s="4" t="str">
        <f t="shared" si="1024"/>
        <v/>
      </c>
      <c r="BT119" s="5" t="str">
        <f t="shared" si="1024"/>
        <v/>
      </c>
      <c r="BU119" s="10" t="str">
        <f t="shared" si="733"/>
        <v/>
      </c>
      <c r="BV119" s="9" t="str">
        <f t="shared" si="734"/>
        <v/>
      </c>
      <c r="BW119" s="5" t="str">
        <f t="shared" si="735"/>
        <v/>
      </c>
      <c r="BX119" s="8" t="str">
        <f t="shared" si="736"/>
        <v/>
      </c>
      <c r="BY119" s="173" t="str">
        <f t="shared" si="737"/>
        <v/>
      </c>
      <c r="BZ119" s="5" t="str">
        <f t="shared" si="738"/>
        <v/>
      </c>
      <c r="CA119" s="6" t="str">
        <f t="shared" si="739"/>
        <v/>
      </c>
      <c r="CB119" s="4" t="str">
        <f t="shared" si="762"/>
        <v/>
      </c>
      <c r="CC119" s="5" t="str">
        <f t="shared" si="763"/>
        <v/>
      </c>
      <c r="CD119" s="5" t="str">
        <f t="shared" si="764"/>
        <v/>
      </c>
      <c r="CE119" s="6" t="str">
        <f t="shared" si="765"/>
        <v/>
      </c>
      <c r="CF119" s="4" t="str">
        <f t="shared" si="766"/>
        <v/>
      </c>
      <c r="CG119" s="5" t="str">
        <f t="shared" si="767"/>
        <v/>
      </c>
      <c r="CH119" s="5" t="str">
        <f t="shared" si="768"/>
        <v/>
      </c>
      <c r="CI119" s="4" t="str">
        <f t="shared" si="740"/>
        <v/>
      </c>
      <c r="CJ119" s="5" t="str">
        <f t="shared" si="741"/>
        <v/>
      </c>
      <c r="CK119" s="8" t="str">
        <f t="shared" si="742"/>
        <v/>
      </c>
      <c r="CL119" s="173" t="str">
        <f t="shared" si="743"/>
        <v/>
      </c>
      <c r="CM119" s="5" t="str">
        <f t="shared" si="744"/>
        <v/>
      </c>
      <c r="CN119" s="6" t="str">
        <f t="shared" si="745"/>
        <v/>
      </c>
      <c r="CO119" s="167" t="str">
        <f t="shared" si="940"/>
        <v/>
      </c>
      <c r="CP119" s="4" t="str">
        <f t="shared" si="769"/>
        <v/>
      </c>
      <c r="CQ119" s="5" t="str">
        <f t="shared" si="770"/>
        <v/>
      </c>
      <c r="CR119" s="5" t="str">
        <f t="shared" si="771"/>
        <v/>
      </c>
      <c r="CS119" s="8" t="str">
        <f t="shared" si="772"/>
        <v/>
      </c>
      <c r="CT119" s="9" t="str">
        <f t="shared" si="773"/>
        <v/>
      </c>
      <c r="CU119" s="6" t="str">
        <f t="shared" si="774"/>
        <v/>
      </c>
      <c r="CV119" s="4" t="str">
        <f t="shared" si="775"/>
        <v/>
      </c>
      <c r="CW119" s="5" t="str">
        <f t="shared" si="776"/>
        <v/>
      </c>
      <c r="CX119" s="8" t="str">
        <f t="shared" si="777"/>
        <v/>
      </c>
      <c r="CY119" s="9" t="str">
        <f t="shared" si="778"/>
        <v/>
      </c>
      <c r="CZ119" s="5" t="str">
        <f t="shared" si="779"/>
        <v/>
      </c>
      <c r="DA119" s="6" t="str">
        <f t="shared" si="780"/>
        <v/>
      </c>
      <c r="DB119" s="4" t="str">
        <f t="shared" si="1030"/>
        <v/>
      </c>
      <c r="DC119" s="5" t="str">
        <f t="shared" si="1030"/>
        <v/>
      </c>
      <c r="DD119" s="10" t="str">
        <f t="shared" si="782"/>
        <v/>
      </c>
      <c r="DE119" s="9" t="str">
        <f t="shared" si="1031"/>
        <v/>
      </c>
      <c r="DF119" s="5" t="str">
        <f t="shared" si="1031"/>
        <v/>
      </c>
      <c r="DG119" s="10" t="str">
        <f t="shared" si="784"/>
        <v/>
      </c>
      <c r="DH119" s="70" t="str">
        <f t="shared" si="785"/>
        <v/>
      </c>
      <c r="DI119" s="4" t="str">
        <f t="shared" si="786"/>
        <v/>
      </c>
      <c r="DJ119" s="5" t="str">
        <f t="shared" si="787"/>
        <v/>
      </c>
      <c r="DK119" s="10" t="str">
        <f t="shared" si="788"/>
        <v/>
      </c>
      <c r="DL119" s="9" t="str">
        <f t="shared" si="789"/>
        <v/>
      </c>
      <c r="DM119" s="173" t="str">
        <f t="shared" si="790"/>
        <v/>
      </c>
      <c r="DN119" s="178" t="str">
        <f t="shared" si="791"/>
        <v/>
      </c>
      <c r="DO119" s="9" t="str">
        <f t="shared" si="792"/>
        <v/>
      </c>
      <c r="DP119" s="173" t="str">
        <f t="shared" si="793"/>
        <v/>
      </c>
      <c r="DQ119" s="11" t="str">
        <f t="shared" si="794"/>
        <v/>
      </c>
      <c r="DR119" s="173" t="str">
        <f t="shared" si="795"/>
        <v/>
      </c>
      <c r="DS119" s="5" t="str">
        <f t="shared" si="796"/>
        <v/>
      </c>
      <c r="DT119" s="5" t="str">
        <f t="shared" si="797"/>
        <v/>
      </c>
      <c r="DU119" s="5" t="str">
        <f t="shared" si="798"/>
        <v/>
      </c>
      <c r="DV119" s="5" t="str">
        <f t="shared" si="799"/>
        <v/>
      </c>
      <c r="DW119" s="5" t="str">
        <f t="shared" si="800"/>
        <v/>
      </c>
      <c r="DX119" s="167" t="str">
        <f t="shared" si="801"/>
        <v/>
      </c>
      <c r="DY119" s="9" t="str">
        <f t="shared" si="802"/>
        <v/>
      </c>
      <c r="DZ119" s="5" t="str">
        <f t="shared" si="803"/>
        <v/>
      </c>
      <c r="EA119" s="10" t="str">
        <f t="shared" si="804"/>
        <v/>
      </c>
      <c r="EB119" s="6" t="str">
        <f t="shared" si="805"/>
        <v/>
      </c>
      <c r="EC119" s="173" t="str">
        <f t="shared" si="806"/>
        <v/>
      </c>
      <c r="ED119" s="5" t="str">
        <f t="shared" si="807"/>
        <v/>
      </c>
      <c r="EE119" s="4" t="str">
        <f t="shared" si="808"/>
        <v/>
      </c>
      <c r="EF119" s="5" t="str">
        <f t="shared" si="809"/>
        <v/>
      </c>
      <c r="EG119" s="10" t="str">
        <f t="shared" si="810"/>
        <v/>
      </c>
      <c r="EH119" s="9" t="str">
        <f t="shared" si="811"/>
        <v/>
      </c>
      <c r="EI119" s="5" t="str">
        <f t="shared" si="812"/>
        <v/>
      </c>
      <c r="EJ119" s="6" t="str">
        <f t="shared" si="813"/>
        <v/>
      </c>
      <c r="EK119" s="236" t="str">
        <f t="shared" si="814"/>
        <v/>
      </c>
      <c r="EL119" s="238" t="str">
        <f t="shared" si="815"/>
        <v/>
      </c>
      <c r="EM119" s="4" t="str">
        <f t="shared" si="816"/>
        <v/>
      </c>
      <c r="EN119" s="5" t="str">
        <f t="shared" si="817"/>
        <v/>
      </c>
      <c r="EO119" s="10" t="str">
        <f t="shared" si="818"/>
        <v/>
      </c>
      <c r="EP119" s="9" t="str">
        <f t="shared" si="819"/>
        <v/>
      </c>
      <c r="EQ119" s="5" t="str">
        <f t="shared" si="820"/>
        <v/>
      </c>
      <c r="ER119" s="7" t="str">
        <f t="shared" si="821"/>
        <v/>
      </c>
      <c r="ES119" s="21" t="str">
        <f t="shared" si="941"/>
        <v/>
      </c>
      <c r="ET119" s="5" t="str">
        <f t="shared" si="942"/>
        <v/>
      </c>
      <c r="EU119" s="10" t="str">
        <f t="shared" si="943"/>
        <v/>
      </c>
      <c r="EV119" s="174" t="str">
        <f t="shared" si="944"/>
        <v/>
      </c>
      <c r="EW119" s="9" t="str">
        <f t="shared" si="945"/>
        <v/>
      </c>
      <c r="EX119" s="5" t="str">
        <f t="shared" si="946"/>
        <v/>
      </c>
      <c r="EY119" s="6" t="str">
        <f t="shared" si="822"/>
        <v/>
      </c>
      <c r="EZ119" s="51" t="str">
        <f t="shared" si="823"/>
        <v/>
      </c>
      <c r="FA119" s="173" t="str">
        <f t="shared" si="947"/>
        <v/>
      </c>
      <c r="FB119" s="5" t="str">
        <f t="shared" si="948"/>
        <v/>
      </c>
      <c r="FC119" s="6" t="str">
        <f t="shared" si="949"/>
        <v/>
      </c>
      <c r="FD119" s="4" t="str">
        <f t="shared" si="950"/>
        <v/>
      </c>
      <c r="FE119" s="5" t="str">
        <f t="shared" si="951"/>
        <v/>
      </c>
      <c r="FF119" s="7" t="str">
        <f t="shared" si="824"/>
        <v/>
      </c>
      <c r="FG119" s="173" t="str">
        <f t="shared" si="952"/>
        <v/>
      </c>
      <c r="FH119" s="5" t="str">
        <f t="shared" si="953"/>
        <v/>
      </c>
      <c r="FI119" s="10" t="str">
        <f t="shared" si="954"/>
        <v/>
      </c>
      <c r="FJ119" s="279" t="str">
        <f t="shared" si="825"/>
        <v/>
      </c>
      <c r="FK119" s="4" t="str">
        <f t="shared" si="955"/>
        <v/>
      </c>
      <c r="FL119" s="5" t="str">
        <f t="shared" si="746"/>
        <v/>
      </c>
      <c r="FM119" s="8" t="str">
        <f t="shared" si="747"/>
        <v/>
      </c>
      <c r="FN119" s="9" t="str">
        <f t="shared" si="748"/>
        <v/>
      </c>
      <c r="FO119" s="10" t="str">
        <f t="shared" si="956"/>
        <v/>
      </c>
      <c r="FP119" s="277" t="str">
        <f t="shared" si="749"/>
        <v/>
      </c>
      <c r="FQ119" s="173" t="str">
        <f t="shared" si="826"/>
        <v/>
      </c>
      <c r="FR119" s="10" t="str">
        <f t="shared" si="827"/>
        <v/>
      </c>
      <c r="FS119" s="9" t="str">
        <f t="shared" si="828"/>
        <v/>
      </c>
      <c r="FT119" s="6" t="str">
        <f t="shared" si="829"/>
        <v/>
      </c>
      <c r="FU119" s="4" t="str">
        <f t="shared" si="830"/>
        <v/>
      </c>
      <c r="FV119" s="5" t="str">
        <f t="shared" si="831"/>
        <v/>
      </c>
      <c r="FW119" s="8" t="str">
        <f t="shared" si="832"/>
        <v/>
      </c>
      <c r="FX119" s="9" t="str">
        <f t="shared" si="833"/>
        <v/>
      </c>
      <c r="FY119" s="10" t="str">
        <f t="shared" si="957"/>
        <v/>
      </c>
      <c r="FZ119" s="277" t="str">
        <f t="shared" si="834"/>
        <v/>
      </c>
      <c r="GA119" s="177" t="str">
        <f t="shared" si="835"/>
        <v/>
      </c>
      <c r="GB119" s="4" t="str">
        <f t="shared" si="836"/>
        <v/>
      </c>
      <c r="GC119" s="5" t="str">
        <f t="shared" si="837"/>
        <v/>
      </c>
      <c r="GD119" s="10" t="str">
        <f t="shared" si="838"/>
        <v/>
      </c>
      <c r="GE119" s="311" t="str">
        <f t="shared" si="839"/>
        <v/>
      </c>
      <c r="GF119" s="341" t="str">
        <f t="shared" si="840"/>
        <v/>
      </c>
      <c r="GG119" s="285" t="str">
        <f t="shared" si="958"/>
        <v/>
      </c>
      <c r="GH119" s="286" t="str">
        <f t="shared" si="959"/>
        <v/>
      </c>
      <c r="GI119" s="281" t="str">
        <f t="shared" si="960"/>
        <v/>
      </c>
      <c r="GJ119" s="167" t="str">
        <f t="shared" si="841"/>
        <v/>
      </c>
      <c r="GK119" s="174" t="str">
        <f t="shared" si="961"/>
        <v/>
      </c>
      <c r="GL119" s="174" t="str">
        <f t="shared" si="842"/>
        <v/>
      </c>
      <c r="GM119" s="177" t="str">
        <f t="shared" si="843"/>
        <v/>
      </c>
      <c r="GN119" s="280" t="str">
        <f t="shared" si="844"/>
        <v/>
      </c>
      <c r="GO119" s="4" t="str">
        <f t="shared" si="845"/>
        <v/>
      </c>
      <c r="GP119" s="8" t="str">
        <f t="shared" si="846"/>
        <v/>
      </c>
      <c r="GQ119" s="177" t="str">
        <f t="shared" si="847"/>
        <v/>
      </c>
      <c r="GR119" s="371" t="str">
        <f t="shared" si="848"/>
        <v/>
      </c>
      <c r="GS119" s="342" t="str">
        <f t="shared" si="962"/>
        <v/>
      </c>
      <c r="GT119" s="343" t="str">
        <f t="shared" si="963"/>
        <v/>
      </c>
      <c r="GU119" s="344" t="str">
        <f t="shared" si="964"/>
        <v/>
      </c>
      <c r="GV119" s="343" t="str">
        <f t="shared" si="849"/>
        <v/>
      </c>
      <c r="GW119" s="345" t="str">
        <f t="shared" si="965"/>
        <v/>
      </c>
      <c r="GX119" s="346" t="str">
        <f t="shared" si="966"/>
        <v/>
      </c>
      <c r="GY119" s="344" t="str">
        <f t="shared" si="967"/>
        <v/>
      </c>
      <c r="GZ119" s="345" t="str">
        <f t="shared" si="968"/>
        <v/>
      </c>
      <c r="HA119" s="342" t="str">
        <f t="shared" si="969"/>
        <v/>
      </c>
      <c r="HB119" s="5" t="str">
        <f t="shared" si="850"/>
        <v/>
      </c>
      <c r="HC119" s="343" t="str">
        <f t="shared" si="851"/>
        <v/>
      </c>
      <c r="HD119" s="363" t="str">
        <f t="shared" si="852"/>
        <v/>
      </c>
      <c r="HE119" s="344" t="str">
        <f t="shared" si="970"/>
        <v/>
      </c>
      <c r="HF119" s="5" t="str">
        <f t="shared" si="971"/>
        <v/>
      </c>
      <c r="HG119" s="343" t="str">
        <f t="shared" si="853"/>
        <v/>
      </c>
      <c r="HH119" s="349" t="str">
        <f t="shared" si="854"/>
        <v/>
      </c>
      <c r="HI119" s="317" t="str">
        <f t="shared" si="972"/>
        <v/>
      </c>
      <c r="HK119" s="310" t="str">
        <f t="shared" si="1025"/>
        <v/>
      </c>
      <c r="HL119" s="348" t="str">
        <f t="shared" si="973"/>
        <v/>
      </c>
      <c r="HM119" s="923" t="str">
        <f t="shared" si="974"/>
        <v/>
      </c>
      <c r="HN119" s="924" t="str">
        <f t="shared" si="975"/>
        <v/>
      </c>
      <c r="HO119" s="925"/>
      <c r="HP119" s="926"/>
      <c r="HQ119" s="924" t="str">
        <f t="shared" si="976"/>
        <v/>
      </c>
      <c r="HR119" s="927" t="str">
        <f t="shared" si="977"/>
        <v/>
      </c>
      <c r="HS119" s="879" t="str">
        <f t="shared" si="1026"/>
        <v/>
      </c>
      <c r="HT119" s="889" t="str">
        <f t="shared" si="978"/>
        <v/>
      </c>
      <c r="HU119" s="890" t="str">
        <f t="shared" si="979"/>
        <v/>
      </c>
      <c r="HV119" s="886" t="str">
        <f t="shared" si="980"/>
        <v/>
      </c>
      <c r="HW119" s="880" t="str">
        <f t="shared" si="981"/>
        <v/>
      </c>
      <c r="HX119" s="881" t="str">
        <f t="shared" si="982"/>
        <v/>
      </c>
      <c r="HY119" s="880" t="str">
        <f t="shared" si="983"/>
        <v/>
      </c>
      <c r="HZ119" s="882" t="str">
        <f t="shared" si="984"/>
        <v/>
      </c>
      <c r="IA119" s="883" t="str">
        <f t="shared" si="985"/>
        <v/>
      </c>
      <c r="IB119" s="884" t="str">
        <f t="shared" si="986"/>
        <v/>
      </c>
      <c r="IC119" s="855" t="str">
        <f t="shared" si="987"/>
        <v/>
      </c>
      <c r="ID119" s="351" t="str">
        <f t="shared" si="988"/>
        <v/>
      </c>
      <c r="IE119" s="857" t="str">
        <f t="shared" si="989"/>
        <v/>
      </c>
      <c r="IF119" s="858"/>
      <c r="IG119" s="790" t="str">
        <f>IFERROR(IF($IW119="","",IF($IW119&lt;(((Settings!$C$19/2)*-1)*$IG$8),"Taper","Nose")),"")</f>
        <v/>
      </c>
      <c r="IH119" s="482" t="str">
        <f>IFERROR(IF((((($IY119*COS(RADIANS(180-$JA119)))*COS(RADIANS($JA119)))-(($IZ119*SIN(RADIANS(180-$JA119)))*SIN(RADIANS($JA119))))+$IW119)&lt;(((Settings!$C$19+$IH$8)/2)*-1),"Gage",""),"")</f>
        <v/>
      </c>
      <c r="II119" s="788" t="str">
        <f t="shared" si="855"/>
        <v/>
      </c>
      <c r="IJ119" s="674" t="str" cm="1">
        <f t="array" ref="IJ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K119" s="677" t="str" cm="1">
        <f t="array" ref="IK119">IFERROR(ROUND(VALUE(IF($IJ119&lt;1,$IJ119+LARGE((IF($M$9:$M$150="",0,$M$9:$M$150)-MOD(IF($M$9:$M$150="",0,$M$9:$M$150),1)),1),$IJ119)),4),"")</f>
        <v/>
      </c>
      <c r="IL119" s="482" t="str">
        <f t="shared" si="990"/>
        <v/>
      </c>
      <c r="IM119" s="482" t="str">
        <f t="shared" si="856"/>
        <v/>
      </c>
      <c r="IN119" s="670" t="str">
        <f t="shared" si="991"/>
        <v/>
      </c>
      <c r="IO119" s="702"/>
      <c r="IP119" s="5" t="str">
        <f t="shared" si="992"/>
        <v/>
      </c>
      <c r="IQ119" s="714"/>
      <c r="IR119" s="9" t="str">
        <f t="shared" si="993"/>
        <v/>
      </c>
      <c r="IS119" s="5" t="str">
        <f t="shared" si="994"/>
        <v/>
      </c>
      <c r="IT119" s="5" t="str">
        <f t="shared" si="995"/>
        <v/>
      </c>
      <c r="IU119" s="5" t="str">
        <f t="shared" si="996"/>
        <v/>
      </c>
      <c r="IV119" s="670" t="str">
        <f t="shared" si="997"/>
        <v/>
      </c>
      <c r="IW119" s="9" t="str">
        <f t="shared" si="998"/>
        <v/>
      </c>
      <c r="IX119" s="5" t="str">
        <f t="shared" si="999"/>
        <v/>
      </c>
      <c r="IY119" s="5" t="str">
        <f t="shared" si="1000"/>
        <v/>
      </c>
      <c r="IZ119" s="5" t="str">
        <f t="shared" si="1001"/>
        <v/>
      </c>
      <c r="JA119" s="705" t="str">
        <f t="shared" si="1002"/>
        <v/>
      </c>
      <c r="JN119" s="960"/>
      <c r="JO119" s="162"/>
      <c r="JP119" s="961"/>
      <c r="JQ119" s="961"/>
    </row>
    <row r="120" spans="1:277" ht="15" customHeight="1" x14ac:dyDescent="0.25">
      <c r="A120" s="75" t="str">
        <f t="shared" si="917"/>
        <v/>
      </c>
      <c r="B120" s="578" t="str">
        <f t="shared" ref="B120:D120" si="1056">IFERROR(O275+($A120*-E120),"")</f>
        <v/>
      </c>
      <c r="C120" s="572" t="str">
        <f t="shared" si="1056"/>
        <v/>
      </c>
      <c r="D120" s="576" t="str">
        <f t="shared" si="1056"/>
        <v/>
      </c>
      <c r="E120" s="580" t="str">
        <f t="shared" ref="E120:K120" si="1057">R275</f>
        <v/>
      </c>
      <c r="F120" s="572" t="str">
        <f t="shared" si="1057"/>
        <v/>
      </c>
      <c r="G120" s="579" t="str">
        <f t="shared" si="1057"/>
        <v/>
      </c>
      <c r="H120" s="580" t="str">
        <f t="shared" si="1057"/>
        <v/>
      </c>
      <c r="I120" s="572" t="str">
        <f t="shared" si="1057"/>
        <v/>
      </c>
      <c r="J120" s="483" t="str">
        <f t="shared" si="728"/>
        <v/>
      </c>
      <c r="K120" s="806" t="str">
        <f t="shared" si="1057"/>
        <v/>
      </c>
      <c r="L120" s="309"/>
      <c r="M120" s="164" t="str">
        <f t="shared" si="920"/>
        <v/>
      </c>
      <c r="N120" s="575" t="str">
        <f t="shared" si="921"/>
        <v/>
      </c>
      <c r="O120" s="572" t="str">
        <f t="shared" si="922"/>
        <v/>
      </c>
      <c r="P120" s="576" t="str">
        <f t="shared" si="923"/>
        <v/>
      </c>
      <c r="Q120" s="528" t="str">
        <f t="shared" si="729"/>
        <v/>
      </c>
      <c r="R120" s="572" t="str">
        <f t="shared" si="1005"/>
        <v/>
      </c>
      <c r="S120" s="577" t="str">
        <f t="shared" si="1006"/>
        <v/>
      </c>
      <c r="T120" s="578" t="str">
        <f t="shared" si="1007"/>
        <v/>
      </c>
      <c r="U120" s="572" t="str">
        <f t="shared" si="1008"/>
        <v/>
      </c>
      <c r="V120" s="579" t="str">
        <f t="shared" si="1009"/>
        <v/>
      </c>
      <c r="W120" s="528" t="str">
        <f t="shared" si="866"/>
        <v/>
      </c>
      <c r="X120" s="572" t="str">
        <f t="shared" si="1010"/>
        <v/>
      </c>
      <c r="Y120" s="573" t="str">
        <f t="shared" si="859"/>
        <v/>
      </c>
      <c r="Z120" s="575" t="str">
        <f t="shared" si="924"/>
        <v/>
      </c>
      <c r="AA120" s="572" t="str">
        <f t="shared" si="925"/>
        <v/>
      </c>
      <c r="AB120" s="572" t="str">
        <f t="shared" si="926"/>
        <v/>
      </c>
      <c r="AC120" s="579" t="str">
        <f t="shared" si="1011"/>
        <v/>
      </c>
      <c r="AD120" s="580" t="str">
        <f t="shared" si="1012"/>
        <v/>
      </c>
      <c r="AE120" s="572" t="str">
        <f t="shared" si="1013"/>
        <v/>
      </c>
      <c r="AF120" s="576" t="str">
        <f t="shared" si="1014"/>
        <v/>
      </c>
      <c r="AG120" s="545" t="str">
        <f t="shared" si="1015"/>
        <v/>
      </c>
      <c r="AH120" s="546" t="str">
        <f t="shared" si="1016"/>
        <v/>
      </c>
      <c r="AI120" s="528" t="str">
        <f t="shared" si="1017"/>
        <v/>
      </c>
      <c r="AJ120" s="529" t="str">
        <f t="shared" si="1018"/>
        <v/>
      </c>
      <c r="AK120" s="578" t="str">
        <f t="shared" si="1019"/>
        <v/>
      </c>
      <c r="AL120" s="572" t="str">
        <f t="shared" si="1020"/>
        <v/>
      </c>
      <c r="AM120" s="577" t="str">
        <f t="shared" si="1021"/>
        <v/>
      </c>
      <c r="AN120" s="524" t="str">
        <f t="shared" si="1022"/>
        <v/>
      </c>
      <c r="AO120" s="525" t="str">
        <f t="shared" ref="AO120:AO150" si="1058">IF(ROUND(IF(M120="",0,DEGREES(ACOS(AK120))),4)=90,0,IF(M120="","",DEGREES(ACOS(AK120))))</f>
        <v/>
      </c>
      <c r="AP120" s="528" t="str">
        <f t="shared" si="1023"/>
        <v/>
      </c>
      <c r="AQ120" s="529" t="str">
        <f t="shared" si="927"/>
        <v/>
      </c>
      <c r="AS120" s="954" t="str">
        <f t="shared" si="1029"/>
        <v/>
      </c>
      <c r="AT120" s="950" t="str">
        <f t="shared" si="928"/>
        <v/>
      </c>
      <c r="AU120" s="418"/>
      <c r="AV120" s="164" t="str">
        <f t="shared" si="929"/>
        <v/>
      </c>
      <c r="AW120" s="797" t="str">
        <f>IFERROR(INDEX(MassProp!C$9:C$150,MATCH($M120,MassProp!$B$9:$B$150,0)),"")</f>
        <v/>
      </c>
      <c r="AX120" s="744" t="str">
        <f>IFERROR(INDEX(MassProp!D$9:D$150,MATCH($M120,MassProp!$B$9:$B$150,0)),"")</f>
        <v/>
      </c>
      <c r="AY120" s="731" t="str">
        <f>IFERROR(INDEX(MassProp!E$9:E$150,MATCH($M120,MassProp!$B$9:$B$150,0)),"")</f>
        <v/>
      </c>
      <c r="AZ120" s="297" t="str">
        <f t="shared" si="756"/>
        <v/>
      </c>
      <c r="BA120" s="296" t="str">
        <f t="shared" si="930"/>
        <v/>
      </c>
      <c r="BB120" s="177" t="str">
        <f t="shared" si="730"/>
        <v/>
      </c>
      <c r="BC120" s="9"/>
      <c r="BD120" s="5" t="str">
        <f t="shared" si="731"/>
        <v/>
      </c>
      <c r="BE120" s="6" t="str">
        <f t="shared" si="931"/>
        <v/>
      </c>
      <c r="BF120" s="4" t="str">
        <f t="shared" si="932"/>
        <v/>
      </c>
      <c r="BG120" s="5" t="str">
        <f t="shared" si="933"/>
        <v/>
      </c>
      <c r="BH120" s="10" t="str">
        <f t="shared" si="934"/>
        <v/>
      </c>
      <c r="BI120" s="9" t="str">
        <f t="shared" si="757"/>
        <v/>
      </c>
      <c r="BJ120" s="5" t="str">
        <f t="shared" si="935"/>
        <v/>
      </c>
      <c r="BK120" s="8" t="str">
        <f t="shared" si="936"/>
        <v/>
      </c>
      <c r="BL120" s="173" t="str">
        <f t="shared" si="937"/>
        <v/>
      </c>
      <c r="BM120" s="5" t="str">
        <f t="shared" si="938"/>
        <v/>
      </c>
      <c r="BN120" s="6" t="str">
        <f t="shared" si="939"/>
        <v/>
      </c>
      <c r="BO120" s="4" t="str">
        <f t="shared" si="758"/>
        <v/>
      </c>
      <c r="BP120" s="5" t="str">
        <f t="shared" si="759"/>
        <v/>
      </c>
      <c r="BQ120" s="5" t="str">
        <f t="shared" si="760"/>
        <v/>
      </c>
      <c r="BR120" s="6" t="str">
        <f t="shared" si="761"/>
        <v/>
      </c>
      <c r="BS120" s="4" t="str">
        <f t="shared" si="1024"/>
        <v/>
      </c>
      <c r="BT120" s="5" t="str">
        <f t="shared" si="1024"/>
        <v/>
      </c>
      <c r="BU120" s="10" t="str">
        <f t="shared" si="733"/>
        <v/>
      </c>
      <c r="BV120" s="9" t="str">
        <f t="shared" si="734"/>
        <v/>
      </c>
      <c r="BW120" s="5" t="str">
        <f t="shared" si="735"/>
        <v/>
      </c>
      <c r="BX120" s="8" t="str">
        <f t="shared" si="736"/>
        <v/>
      </c>
      <c r="BY120" s="173" t="str">
        <f t="shared" si="737"/>
        <v/>
      </c>
      <c r="BZ120" s="5" t="str">
        <f t="shared" si="738"/>
        <v/>
      </c>
      <c r="CA120" s="6" t="str">
        <f t="shared" si="739"/>
        <v/>
      </c>
      <c r="CB120" s="4" t="str">
        <f t="shared" si="762"/>
        <v/>
      </c>
      <c r="CC120" s="5" t="str">
        <f t="shared" si="763"/>
        <v/>
      </c>
      <c r="CD120" s="5" t="str">
        <f t="shared" si="764"/>
        <v/>
      </c>
      <c r="CE120" s="6" t="str">
        <f t="shared" si="765"/>
        <v/>
      </c>
      <c r="CF120" s="4" t="str">
        <f t="shared" si="766"/>
        <v/>
      </c>
      <c r="CG120" s="5" t="str">
        <f t="shared" si="767"/>
        <v/>
      </c>
      <c r="CH120" s="5" t="str">
        <f t="shared" si="768"/>
        <v/>
      </c>
      <c r="CI120" s="4" t="str">
        <f t="shared" si="740"/>
        <v/>
      </c>
      <c r="CJ120" s="5" t="str">
        <f t="shared" si="741"/>
        <v/>
      </c>
      <c r="CK120" s="8" t="str">
        <f t="shared" si="742"/>
        <v/>
      </c>
      <c r="CL120" s="173" t="str">
        <f t="shared" si="743"/>
        <v/>
      </c>
      <c r="CM120" s="5" t="str">
        <f t="shared" si="744"/>
        <v/>
      </c>
      <c r="CN120" s="6" t="str">
        <f t="shared" si="745"/>
        <v/>
      </c>
      <c r="CO120" s="167" t="str">
        <f t="shared" si="940"/>
        <v/>
      </c>
      <c r="CP120" s="4" t="str">
        <f t="shared" si="769"/>
        <v/>
      </c>
      <c r="CQ120" s="5" t="str">
        <f t="shared" si="770"/>
        <v/>
      </c>
      <c r="CR120" s="5" t="str">
        <f t="shared" si="771"/>
        <v/>
      </c>
      <c r="CS120" s="8" t="str">
        <f t="shared" si="772"/>
        <v/>
      </c>
      <c r="CT120" s="9" t="str">
        <f t="shared" si="773"/>
        <v/>
      </c>
      <c r="CU120" s="6" t="str">
        <f t="shared" si="774"/>
        <v/>
      </c>
      <c r="CV120" s="4" t="str">
        <f t="shared" si="775"/>
        <v/>
      </c>
      <c r="CW120" s="5" t="str">
        <f t="shared" si="776"/>
        <v/>
      </c>
      <c r="CX120" s="8" t="str">
        <f t="shared" si="777"/>
        <v/>
      </c>
      <c r="CY120" s="9" t="str">
        <f t="shared" si="778"/>
        <v/>
      </c>
      <c r="CZ120" s="5" t="str">
        <f t="shared" si="779"/>
        <v/>
      </c>
      <c r="DA120" s="6" t="str">
        <f t="shared" si="780"/>
        <v/>
      </c>
      <c r="DB120" s="4" t="str">
        <f t="shared" si="1030"/>
        <v/>
      </c>
      <c r="DC120" s="5" t="str">
        <f t="shared" si="1030"/>
        <v/>
      </c>
      <c r="DD120" s="10" t="str">
        <f t="shared" si="782"/>
        <v/>
      </c>
      <c r="DE120" s="9" t="str">
        <f t="shared" si="1031"/>
        <v/>
      </c>
      <c r="DF120" s="5" t="str">
        <f t="shared" si="1031"/>
        <v/>
      </c>
      <c r="DG120" s="10" t="str">
        <f t="shared" si="784"/>
        <v/>
      </c>
      <c r="DH120" s="70" t="str">
        <f t="shared" si="785"/>
        <v/>
      </c>
      <c r="DI120" s="4" t="str">
        <f t="shared" si="786"/>
        <v/>
      </c>
      <c r="DJ120" s="5" t="str">
        <f t="shared" si="787"/>
        <v/>
      </c>
      <c r="DK120" s="10" t="str">
        <f t="shared" si="788"/>
        <v/>
      </c>
      <c r="DL120" s="9" t="str">
        <f t="shared" si="789"/>
        <v/>
      </c>
      <c r="DM120" s="173" t="str">
        <f t="shared" si="790"/>
        <v/>
      </c>
      <c r="DN120" s="178" t="str">
        <f t="shared" si="791"/>
        <v/>
      </c>
      <c r="DO120" s="9" t="str">
        <f t="shared" si="792"/>
        <v/>
      </c>
      <c r="DP120" s="173" t="str">
        <f t="shared" si="793"/>
        <v/>
      </c>
      <c r="DQ120" s="11" t="str">
        <f t="shared" si="794"/>
        <v/>
      </c>
      <c r="DR120" s="173" t="str">
        <f t="shared" si="795"/>
        <v/>
      </c>
      <c r="DS120" s="5" t="str">
        <f t="shared" si="796"/>
        <v/>
      </c>
      <c r="DT120" s="5" t="str">
        <f t="shared" si="797"/>
        <v/>
      </c>
      <c r="DU120" s="5" t="str">
        <f t="shared" si="798"/>
        <v/>
      </c>
      <c r="DV120" s="5" t="str">
        <f t="shared" si="799"/>
        <v/>
      </c>
      <c r="DW120" s="5" t="str">
        <f t="shared" si="800"/>
        <v/>
      </c>
      <c r="DX120" s="167" t="str">
        <f t="shared" si="801"/>
        <v/>
      </c>
      <c r="DY120" s="9" t="str">
        <f t="shared" si="802"/>
        <v/>
      </c>
      <c r="DZ120" s="5" t="str">
        <f t="shared" si="803"/>
        <v/>
      </c>
      <c r="EA120" s="10" t="str">
        <f t="shared" si="804"/>
        <v/>
      </c>
      <c r="EB120" s="6" t="str">
        <f t="shared" si="805"/>
        <v/>
      </c>
      <c r="EC120" s="173" t="str">
        <f t="shared" si="806"/>
        <v/>
      </c>
      <c r="ED120" s="5" t="str">
        <f t="shared" si="807"/>
        <v/>
      </c>
      <c r="EE120" s="4" t="str">
        <f t="shared" si="808"/>
        <v/>
      </c>
      <c r="EF120" s="5" t="str">
        <f t="shared" si="809"/>
        <v/>
      </c>
      <c r="EG120" s="10" t="str">
        <f t="shared" si="810"/>
        <v/>
      </c>
      <c r="EH120" s="9" t="str">
        <f t="shared" si="811"/>
        <v/>
      </c>
      <c r="EI120" s="5" t="str">
        <f t="shared" si="812"/>
        <v/>
      </c>
      <c r="EJ120" s="6" t="str">
        <f t="shared" si="813"/>
        <v/>
      </c>
      <c r="EK120" s="236" t="str">
        <f t="shared" si="814"/>
        <v/>
      </c>
      <c r="EL120" s="238" t="str">
        <f t="shared" si="815"/>
        <v/>
      </c>
      <c r="EM120" s="4" t="str">
        <f t="shared" si="816"/>
        <v/>
      </c>
      <c r="EN120" s="5" t="str">
        <f t="shared" si="817"/>
        <v/>
      </c>
      <c r="EO120" s="10" t="str">
        <f t="shared" si="818"/>
        <v/>
      </c>
      <c r="EP120" s="9" t="str">
        <f t="shared" si="819"/>
        <v/>
      </c>
      <c r="EQ120" s="5" t="str">
        <f t="shared" si="820"/>
        <v/>
      </c>
      <c r="ER120" s="7" t="str">
        <f t="shared" si="821"/>
        <v/>
      </c>
      <c r="ES120" s="21" t="str">
        <f t="shared" si="941"/>
        <v/>
      </c>
      <c r="ET120" s="5" t="str">
        <f t="shared" si="942"/>
        <v/>
      </c>
      <c r="EU120" s="10" t="str">
        <f t="shared" si="943"/>
        <v/>
      </c>
      <c r="EV120" s="174" t="str">
        <f t="shared" si="944"/>
        <v/>
      </c>
      <c r="EW120" s="9" t="str">
        <f t="shared" si="945"/>
        <v/>
      </c>
      <c r="EX120" s="5" t="str">
        <f t="shared" si="946"/>
        <v/>
      </c>
      <c r="EY120" s="6" t="str">
        <f t="shared" si="822"/>
        <v/>
      </c>
      <c r="EZ120" s="51" t="str">
        <f t="shared" si="823"/>
        <v/>
      </c>
      <c r="FA120" s="173" t="str">
        <f t="shared" si="947"/>
        <v/>
      </c>
      <c r="FB120" s="5" t="str">
        <f t="shared" si="948"/>
        <v/>
      </c>
      <c r="FC120" s="6" t="str">
        <f t="shared" si="949"/>
        <v/>
      </c>
      <c r="FD120" s="4" t="str">
        <f t="shared" si="950"/>
        <v/>
      </c>
      <c r="FE120" s="5" t="str">
        <f t="shared" si="951"/>
        <v/>
      </c>
      <c r="FF120" s="7" t="str">
        <f t="shared" si="824"/>
        <v/>
      </c>
      <c r="FG120" s="173" t="str">
        <f t="shared" si="952"/>
        <v/>
      </c>
      <c r="FH120" s="5" t="str">
        <f t="shared" si="953"/>
        <v/>
      </c>
      <c r="FI120" s="10" t="str">
        <f t="shared" si="954"/>
        <v/>
      </c>
      <c r="FJ120" s="279" t="str">
        <f t="shared" si="825"/>
        <v/>
      </c>
      <c r="FK120" s="4" t="str">
        <f t="shared" si="955"/>
        <v/>
      </c>
      <c r="FL120" s="5" t="str">
        <f t="shared" si="746"/>
        <v/>
      </c>
      <c r="FM120" s="8" t="str">
        <f t="shared" si="747"/>
        <v/>
      </c>
      <c r="FN120" s="9" t="str">
        <f t="shared" si="748"/>
        <v/>
      </c>
      <c r="FO120" s="10" t="str">
        <f t="shared" si="956"/>
        <v/>
      </c>
      <c r="FP120" s="277" t="str">
        <f t="shared" si="749"/>
        <v/>
      </c>
      <c r="FQ120" s="173" t="str">
        <f t="shared" si="826"/>
        <v/>
      </c>
      <c r="FR120" s="10" t="str">
        <f t="shared" si="827"/>
        <v/>
      </c>
      <c r="FS120" s="9" t="str">
        <f t="shared" si="828"/>
        <v/>
      </c>
      <c r="FT120" s="6" t="str">
        <f t="shared" si="829"/>
        <v/>
      </c>
      <c r="FU120" s="4" t="str">
        <f t="shared" si="830"/>
        <v/>
      </c>
      <c r="FV120" s="5" t="str">
        <f t="shared" si="831"/>
        <v/>
      </c>
      <c r="FW120" s="8" t="str">
        <f t="shared" si="832"/>
        <v/>
      </c>
      <c r="FX120" s="9" t="str">
        <f t="shared" si="833"/>
        <v/>
      </c>
      <c r="FY120" s="10" t="str">
        <f t="shared" si="957"/>
        <v/>
      </c>
      <c r="FZ120" s="277" t="str">
        <f t="shared" si="834"/>
        <v/>
      </c>
      <c r="GA120" s="177" t="str">
        <f t="shared" si="835"/>
        <v/>
      </c>
      <c r="GB120" s="4" t="str">
        <f t="shared" si="836"/>
        <v/>
      </c>
      <c r="GC120" s="5" t="str">
        <f t="shared" si="837"/>
        <v/>
      </c>
      <c r="GD120" s="10" t="str">
        <f t="shared" si="838"/>
        <v/>
      </c>
      <c r="GE120" s="311" t="str">
        <f t="shared" si="839"/>
        <v/>
      </c>
      <c r="GF120" s="341" t="str">
        <f t="shared" si="840"/>
        <v/>
      </c>
      <c r="GG120" s="285" t="str">
        <f t="shared" si="958"/>
        <v/>
      </c>
      <c r="GH120" s="286" t="str">
        <f t="shared" si="959"/>
        <v/>
      </c>
      <c r="GI120" s="281" t="str">
        <f t="shared" si="960"/>
        <v/>
      </c>
      <c r="GJ120" s="167" t="str">
        <f t="shared" si="841"/>
        <v/>
      </c>
      <c r="GK120" s="174" t="str">
        <f t="shared" si="961"/>
        <v/>
      </c>
      <c r="GL120" s="174" t="str">
        <f t="shared" si="842"/>
        <v/>
      </c>
      <c r="GM120" s="177" t="str">
        <f t="shared" si="843"/>
        <v/>
      </c>
      <c r="GN120" s="280" t="str">
        <f t="shared" si="844"/>
        <v/>
      </c>
      <c r="GO120" s="4" t="str">
        <f t="shared" si="845"/>
        <v/>
      </c>
      <c r="GP120" s="8" t="str">
        <f t="shared" si="846"/>
        <v/>
      </c>
      <c r="GQ120" s="177" t="str">
        <f t="shared" si="847"/>
        <v/>
      </c>
      <c r="GR120" s="371" t="str">
        <f t="shared" si="848"/>
        <v/>
      </c>
      <c r="GS120" s="342" t="str">
        <f t="shared" si="962"/>
        <v/>
      </c>
      <c r="GT120" s="343" t="str">
        <f t="shared" si="963"/>
        <v/>
      </c>
      <c r="GU120" s="344" t="str">
        <f t="shared" si="964"/>
        <v/>
      </c>
      <c r="GV120" s="343" t="str">
        <f t="shared" si="849"/>
        <v/>
      </c>
      <c r="GW120" s="345" t="str">
        <f t="shared" si="965"/>
        <v/>
      </c>
      <c r="GX120" s="346" t="str">
        <f t="shared" si="966"/>
        <v/>
      </c>
      <c r="GY120" s="344" t="str">
        <f t="shared" si="967"/>
        <v/>
      </c>
      <c r="GZ120" s="345" t="str">
        <f t="shared" si="968"/>
        <v/>
      </c>
      <c r="HA120" s="342" t="str">
        <f t="shared" si="969"/>
        <v/>
      </c>
      <c r="HB120" s="5" t="str">
        <f t="shared" si="850"/>
        <v/>
      </c>
      <c r="HC120" s="343" t="str">
        <f t="shared" si="851"/>
        <v/>
      </c>
      <c r="HD120" s="363" t="str">
        <f t="shared" si="852"/>
        <v/>
      </c>
      <c r="HE120" s="344" t="str">
        <f t="shared" si="970"/>
        <v/>
      </c>
      <c r="HF120" s="5" t="str">
        <f t="shared" si="971"/>
        <v/>
      </c>
      <c r="HG120" s="343" t="str">
        <f t="shared" si="853"/>
        <v/>
      </c>
      <c r="HH120" s="349" t="str">
        <f t="shared" si="854"/>
        <v/>
      </c>
      <c r="HI120" s="317" t="str">
        <f t="shared" si="972"/>
        <v/>
      </c>
      <c r="HK120" s="310" t="str">
        <f t="shared" si="1025"/>
        <v/>
      </c>
      <c r="HL120" s="348" t="str">
        <f t="shared" si="973"/>
        <v/>
      </c>
      <c r="HM120" s="923" t="str">
        <f t="shared" si="974"/>
        <v/>
      </c>
      <c r="HN120" s="924" t="str">
        <f t="shared" si="975"/>
        <v/>
      </c>
      <c r="HO120" s="925"/>
      <c r="HP120" s="926"/>
      <c r="HQ120" s="924" t="str">
        <f t="shared" si="976"/>
        <v/>
      </c>
      <c r="HR120" s="927" t="str">
        <f t="shared" si="977"/>
        <v/>
      </c>
      <c r="HS120" s="879" t="str">
        <f t="shared" si="1026"/>
        <v/>
      </c>
      <c r="HT120" s="889" t="str">
        <f t="shared" si="978"/>
        <v/>
      </c>
      <c r="HU120" s="890" t="str">
        <f t="shared" si="979"/>
        <v/>
      </c>
      <c r="HV120" s="886" t="str">
        <f t="shared" si="980"/>
        <v/>
      </c>
      <c r="HW120" s="880" t="str">
        <f t="shared" si="981"/>
        <v/>
      </c>
      <c r="HX120" s="881" t="str">
        <f t="shared" si="982"/>
        <v/>
      </c>
      <c r="HY120" s="880" t="str">
        <f t="shared" si="983"/>
        <v/>
      </c>
      <c r="HZ120" s="882" t="str">
        <f t="shared" si="984"/>
        <v/>
      </c>
      <c r="IA120" s="883" t="str">
        <f t="shared" si="985"/>
        <v/>
      </c>
      <c r="IB120" s="884" t="str">
        <f t="shared" si="986"/>
        <v/>
      </c>
      <c r="IC120" s="855" t="str">
        <f t="shared" si="987"/>
        <v/>
      </c>
      <c r="ID120" s="351" t="str">
        <f t="shared" si="988"/>
        <v/>
      </c>
      <c r="IE120" s="857" t="str">
        <f t="shared" si="989"/>
        <v/>
      </c>
      <c r="IF120" s="858"/>
      <c r="IG120" s="790" t="str">
        <f>IFERROR(IF($IW120="","",IF($IW120&lt;(((Settings!$C$19/2)*-1)*$IG$8),"Taper","Nose")),"")</f>
        <v/>
      </c>
      <c r="IH120" s="482" t="str">
        <f>IFERROR(IF((((($IY120*COS(RADIANS(180-$JA120)))*COS(RADIANS($JA120)))-(($IZ120*SIN(RADIANS(180-$JA120)))*SIN(RADIANS($JA120))))+$IW120)&lt;(((Settings!$C$19+$IH$8)/2)*-1),"Gage",""),"")</f>
        <v/>
      </c>
      <c r="II120" s="788" t="str">
        <f t="shared" si="855"/>
        <v/>
      </c>
      <c r="IJ120" s="674" t="str" cm="1">
        <f t="array" ref="IJ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K120" s="677" t="str" cm="1">
        <f t="array" ref="IK120">IFERROR(ROUND(VALUE(IF($IJ120&lt;1,$IJ120+LARGE((IF($M$9:$M$150="",0,$M$9:$M$150)-MOD(IF($M$9:$M$150="",0,$M$9:$M$150),1)),1),$IJ120)),4),"")</f>
        <v/>
      </c>
      <c r="IL120" s="482" t="str">
        <f t="shared" si="990"/>
        <v/>
      </c>
      <c r="IM120" s="482" t="str">
        <f t="shared" si="856"/>
        <v/>
      </c>
      <c r="IN120" s="670" t="str">
        <f t="shared" si="991"/>
        <v/>
      </c>
      <c r="IO120" s="702"/>
      <c r="IP120" s="5" t="str">
        <f t="shared" si="992"/>
        <v/>
      </c>
      <c r="IQ120" s="714"/>
      <c r="IR120" s="9" t="str">
        <f t="shared" si="993"/>
        <v/>
      </c>
      <c r="IS120" s="5" t="str">
        <f t="shared" si="994"/>
        <v/>
      </c>
      <c r="IT120" s="5" t="str">
        <f t="shared" si="995"/>
        <v/>
      </c>
      <c r="IU120" s="5" t="str">
        <f t="shared" si="996"/>
        <v/>
      </c>
      <c r="IV120" s="670" t="str">
        <f t="shared" si="997"/>
        <v/>
      </c>
      <c r="IW120" s="9" t="str">
        <f t="shared" si="998"/>
        <v/>
      </c>
      <c r="IX120" s="5" t="str">
        <f t="shared" si="999"/>
        <v/>
      </c>
      <c r="IY120" s="5" t="str">
        <f t="shared" si="1000"/>
        <v/>
      </c>
      <c r="IZ120" s="5" t="str">
        <f t="shared" si="1001"/>
        <v/>
      </c>
      <c r="JA120" s="705" t="str">
        <f t="shared" si="1002"/>
        <v/>
      </c>
      <c r="JN120" s="960"/>
      <c r="JO120" s="162"/>
      <c r="JP120" s="961"/>
      <c r="JQ120" s="961"/>
    </row>
    <row r="121" spans="1:277" ht="15" customHeight="1" x14ac:dyDescent="0.25">
      <c r="A121" s="75" t="str">
        <f t="shared" si="917"/>
        <v/>
      </c>
      <c r="B121" s="578" t="str">
        <f t="shared" ref="B121:D121" si="1059">IFERROR(O276+($A121*-E121),"")</f>
        <v/>
      </c>
      <c r="C121" s="572" t="str">
        <f t="shared" si="1059"/>
        <v/>
      </c>
      <c r="D121" s="576" t="str">
        <f t="shared" si="1059"/>
        <v/>
      </c>
      <c r="E121" s="580" t="str">
        <f t="shared" ref="E121:K121" si="1060">R276</f>
        <v/>
      </c>
      <c r="F121" s="572" t="str">
        <f t="shared" si="1060"/>
        <v/>
      </c>
      <c r="G121" s="579" t="str">
        <f t="shared" si="1060"/>
        <v/>
      </c>
      <c r="H121" s="580" t="str">
        <f t="shared" si="1060"/>
        <v/>
      </c>
      <c r="I121" s="572" t="str">
        <f t="shared" si="1060"/>
        <v/>
      </c>
      <c r="J121" s="483" t="str">
        <f t="shared" si="728"/>
        <v/>
      </c>
      <c r="K121" s="806" t="str">
        <f t="shared" si="1060"/>
        <v/>
      </c>
      <c r="L121" s="309"/>
      <c r="M121" s="164" t="str">
        <f t="shared" si="920"/>
        <v/>
      </c>
      <c r="N121" s="575" t="str">
        <f t="shared" si="921"/>
        <v/>
      </c>
      <c r="O121" s="572" t="str">
        <f t="shared" si="922"/>
        <v/>
      </c>
      <c r="P121" s="576" t="str">
        <f t="shared" si="923"/>
        <v/>
      </c>
      <c r="Q121" s="528" t="str">
        <f t="shared" si="729"/>
        <v/>
      </c>
      <c r="R121" s="572" t="str">
        <f t="shared" si="1005"/>
        <v/>
      </c>
      <c r="S121" s="577" t="str">
        <f t="shared" si="1006"/>
        <v/>
      </c>
      <c r="T121" s="578" t="str">
        <f t="shared" si="1007"/>
        <v/>
      </c>
      <c r="U121" s="572" t="str">
        <f t="shared" si="1008"/>
        <v/>
      </c>
      <c r="V121" s="579" t="str">
        <f t="shared" si="1009"/>
        <v/>
      </c>
      <c r="W121" s="528" t="str">
        <f t="shared" si="866"/>
        <v/>
      </c>
      <c r="X121" s="572" t="str">
        <f t="shared" si="1010"/>
        <v/>
      </c>
      <c r="Y121" s="573" t="str">
        <f t="shared" si="859"/>
        <v/>
      </c>
      <c r="Z121" s="575" t="str">
        <f t="shared" si="924"/>
        <v/>
      </c>
      <c r="AA121" s="572" t="str">
        <f t="shared" si="925"/>
        <v/>
      </c>
      <c r="AB121" s="572" t="str">
        <f t="shared" si="926"/>
        <v/>
      </c>
      <c r="AC121" s="579" t="str">
        <f t="shared" si="1011"/>
        <v/>
      </c>
      <c r="AD121" s="580" t="str">
        <f t="shared" si="1012"/>
        <v/>
      </c>
      <c r="AE121" s="572" t="str">
        <f t="shared" si="1013"/>
        <v/>
      </c>
      <c r="AF121" s="576" t="str">
        <f t="shared" si="1014"/>
        <v/>
      </c>
      <c r="AG121" s="545" t="str">
        <f t="shared" si="1015"/>
        <v/>
      </c>
      <c r="AH121" s="546" t="str">
        <f t="shared" si="1016"/>
        <v/>
      </c>
      <c r="AI121" s="528" t="str">
        <f t="shared" si="1017"/>
        <v/>
      </c>
      <c r="AJ121" s="529" t="str">
        <f t="shared" si="1018"/>
        <v/>
      </c>
      <c r="AK121" s="578" t="str">
        <f t="shared" si="1019"/>
        <v/>
      </c>
      <c r="AL121" s="572" t="str">
        <f t="shared" si="1020"/>
        <v/>
      </c>
      <c r="AM121" s="577" t="str">
        <f t="shared" si="1021"/>
        <v/>
      </c>
      <c r="AN121" s="524" t="str">
        <f t="shared" si="1022"/>
        <v/>
      </c>
      <c r="AO121" s="525" t="str">
        <f t="shared" si="1058"/>
        <v/>
      </c>
      <c r="AP121" s="528" t="str">
        <f t="shared" si="1023"/>
        <v/>
      </c>
      <c r="AQ121" s="529" t="str">
        <f t="shared" si="927"/>
        <v/>
      </c>
      <c r="AS121" s="954" t="str">
        <f t="shared" si="1029"/>
        <v/>
      </c>
      <c r="AT121" s="950" t="str">
        <f t="shared" si="928"/>
        <v/>
      </c>
      <c r="AU121" s="418"/>
      <c r="AV121" s="164" t="str">
        <f t="shared" si="929"/>
        <v/>
      </c>
      <c r="AW121" s="797" t="str">
        <f>IFERROR(INDEX(MassProp!C$9:C$150,MATCH($M121,MassProp!$B$9:$B$150,0)),"")</f>
        <v/>
      </c>
      <c r="AX121" s="744" t="str">
        <f>IFERROR(INDEX(MassProp!D$9:D$150,MATCH($M121,MassProp!$B$9:$B$150,0)),"")</f>
        <v/>
      </c>
      <c r="AY121" s="731" t="str">
        <f>IFERROR(INDEX(MassProp!E$9:E$150,MATCH($M121,MassProp!$B$9:$B$150,0)),"")</f>
        <v/>
      </c>
      <c r="AZ121" s="297" t="str">
        <f t="shared" si="756"/>
        <v/>
      </c>
      <c r="BA121" s="296" t="str">
        <f t="shared" si="930"/>
        <v/>
      </c>
      <c r="BB121" s="177" t="str">
        <f t="shared" si="730"/>
        <v/>
      </c>
      <c r="BC121" s="9"/>
      <c r="BD121" s="5" t="str">
        <f t="shared" si="731"/>
        <v/>
      </c>
      <c r="BE121" s="6" t="str">
        <f t="shared" si="931"/>
        <v/>
      </c>
      <c r="BF121" s="4" t="str">
        <f t="shared" si="932"/>
        <v/>
      </c>
      <c r="BG121" s="5" t="str">
        <f t="shared" si="933"/>
        <v/>
      </c>
      <c r="BH121" s="10" t="str">
        <f t="shared" si="934"/>
        <v/>
      </c>
      <c r="BI121" s="9" t="str">
        <f t="shared" si="757"/>
        <v/>
      </c>
      <c r="BJ121" s="5" t="str">
        <f t="shared" si="935"/>
        <v/>
      </c>
      <c r="BK121" s="8" t="str">
        <f t="shared" si="936"/>
        <v/>
      </c>
      <c r="BL121" s="173" t="str">
        <f t="shared" si="937"/>
        <v/>
      </c>
      <c r="BM121" s="5" t="str">
        <f t="shared" si="938"/>
        <v/>
      </c>
      <c r="BN121" s="6" t="str">
        <f t="shared" si="939"/>
        <v/>
      </c>
      <c r="BO121" s="4" t="str">
        <f t="shared" si="758"/>
        <v/>
      </c>
      <c r="BP121" s="5" t="str">
        <f t="shared" si="759"/>
        <v/>
      </c>
      <c r="BQ121" s="5" t="str">
        <f t="shared" si="760"/>
        <v/>
      </c>
      <c r="BR121" s="6" t="str">
        <f t="shared" si="761"/>
        <v/>
      </c>
      <c r="BS121" s="4" t="str">
        <f t="shared" si="1024"/>
        <v/>
      </c>
      <c r="BT121" s="5" t="str">
        <f t="shared" si="1024"/>
        <v/>
      </c>
      <c r="BU121" s="10" t="str">
        <f t="shared" si="733"/>
        <v/>
      </c>
      <c r="BV121" s="9" t="str">
        <f t="shared" si="734"/>
        <v/>
      </c>
      <c r="BW121" s="5" t="str">
        <f t="shared" si="735"/>
        <v/>
      </c>
      <c r="BX121" s="8" t="str">
        <f t="shared" si="736"/>
        <v/>
      </c>
      <c r="BY121" s="173" t="str">
        <f t="shared" si="737"/>
        <v/>
      </c>
      <c r="BZ121" s="5" t="str">
        <f t="shared" si="738"/>
        <v/>
      </c>
      <c r="CA121" s="6" t="str">
        <f t="shared" si="739"/>
        <v/>
      </c>
      <c r="CB121" s="4" t="str">
        <f t="shared" si="762"/>
        <v/>
      </c>
      <c r="CC121" s="5" t="str">
        <f t="shared" si="763"/>
        <v/>
      </c>
      <c r="CD121" s="5" t="str">
        <f t="shared" si="764"/>
        <v/>
      </c>
      <c r="CE121" s="6" t="str">
        <f t="shared" si="765"/>
        <v/>
      </c>
      <c r="CF121" s="4" t="str">
        <f t="shared" si="766"/>
        <v/>
      </c>
      <c r="CG121" s="5" t="str">
        <f t="shared" si="767"/>
        <v/>
      </c>
      <c r="CH121" s="5" t="str">
        <f t="shared" si="768"/>
        <v/>
      </c>
      <c r="CI121" s="4" t="str">
        <f t="shared" si="740"/>
        <v/>
      </c>
      <c r="CJ121" s="5" t="str">
        <f t="shared" si="741"/>
        <v/>
      </c>
      <c r="CK121" s="8" t="str">
        <f t="shared" si="742"/>
        <v/>
      </c>
      <c r="CL121" s="173" t="str">
        <f t="shared" si="743"/>
        <v/>
      </c>
      <c r="CM121" s="5" t="str">
        <f t="shared" si="744"/>
        <v/>
      </c>
      <c r="CN121" s="6" t="str">
        <f t="shared" si="745"/>
        <v/>
      </c>
      <c r="CO121" s="167" t="str">
        <f t="shared" si="940"/>
        <v/>
      </c>
      <c r="CP121" s="4" t="str">
        <f t="shared" si="769"/>
        <v/>
      </c>
      <c r="CQ121" s="5" t="str">
        <f t="shared" si="770"/>
        <v/>
      </c>
      <c r="CR121" s="5" t="str">
        <f t="shared" si="771"/>
        <v/>
      </c>
      <c r="CS121" s="8" t="str">
        <f t="shared" si="772"/>
        <v/>
      </c>
      <c r="CT121" s="9" t="str">
        <f t="shared" si="773"/>
        <v/>
      </c>
      <c r="CU121" s="6" t="str">
        <f t="shared" si="774"/>
        <v/>
      </c>
      <c r="CV121" s="4" t="str">
        <f t="shared" si="775"/>
        <v/>
      </c>
      <c r="CW121" s="5" t="str">
        <f t="shared" si="776"/>
        <v/>
      </c>
      <c r="CX121" s="8" t="str">
        <f t="shared" si="777"/>
        <v/>
      </c>
      <c r="CY121" s="9" t="str">
        <f t="shared" si="778"/>
        <v/>
      </c>
      <c r="CZ121" s="5" t="str">
        <f t="shared" si="779"/>
        <v/>
      </c>
      <c r="DA121" s="6" t="str">
        <f t="shared" si="780"/>
        <v/>
      </c>
      <c r="DB121" s="4" t="str">
        <f t="shared" si="1030"/>
        <v/>
      </c>
      <c r="DC121" s="5" t="str">
        <f t="shared" si="1030"/>
        <v/>
      </c>
      <c r="DD121" s="10" t="str">
        <f t="shared" si="782"/>
        <v/>
      </c>
      <c r="DE121" s="9" t="str">
        <f t="shared" si="1031"/>
        <v/>
      </c>
      <c r="DF121" s="5" t="str">
        <f t="shared" si="1031"/>
        <v/>
      </c>
      <c r="DG121" s="10" t="str">
        <f t="shared" si="784"/>
        <v/>
      </c>
      <c r="DH121" s="70" t="str">
        <f t="shared" si="785"/>
        <v/>
      </c>
      <c r="DI121" s="4" t="str">
        <f t="shared" si="786"/>
        <v/>
      </c>
      <c r="DJ121" s="5" t="str">
        <f t="shared" si="787"/>
        <v/>
      </c>
      <c r="DK121" s="10" t="str">
        <f t="shared" si="788"/>
        <v/>
      </c>
      <c r="DL121" s="9" t="str">
        <f t="shared" si="789"/>
        <v/>
      </c>
      <c r="DM121" s="173" t="str">
        <f t="shared" si="790"/>
        <v/>
      </c>
      <c r="DN121" s="178" t="str">
        <f t="shared" si="791"/>
        <v/>
      </c>
      <c r="DO121" s="9" t="str">
        <f t="shared" si="792"/>
        <v/>
      </c>
      <c r="DP121" s="173" t="str">
        <f t="shared" si="793"/>
        <v/>
      </c>
      <c r="DQ121" s="11" t="str">
        <f t="shared" si="794"/>
        <v/>
      </c>
      <c r="DR121" s="173" t="str">
        <f t="shared" si="795"/>
        <v/>
      </c>
      <c r="DS121" s="5" t="str">
        <f t="shared" si="796"/>
        <v/>
      </c>
      <c r="DT121" s="5" t="str">
        <f t="shared" si="797"/>
        <v/>
      </c>
      <c r="DU121" s="5" t="str">
        <f t="shared" si="798"/>
        <v/>
      </c>
      <c r="DV121" s="5" t="str">
        <f t="shared" si="799"/>
        <v/>
      </c>
      <c r="DW121" s="5" t="str">
        <f t="shared" si="800"/>
        <v/>
      </c>
      <c r="DX121" s="167" t="str">
        <f t="shared" si="801"/>
        <v/>
      </c>
      <c r="DY121" s="9" t="str">
        <f t="shared" si="802"/>
        <v/>
      </c>
      <c r="DZ121" s="5" t="str">
        <f t="shared" si="803"/>
        <v/>
      </c>
      <c r="EA121" s="10" t="str">
        <f t="shared" si="804"/>
        <v/>
      </c>
      <c r="EB121" s="6" t="str">
        <f t="shared" si="805"/>
        <v/>
      </c>
      <c r="EC121" s="173" t="str">
        <f t="shared" si="806"/>
        <v/>
      </c>
      <c r="ED121" s="5" t="str">
        <f t="shared" si="807"/>
        <v/>
      </c>
      <c r="EE121" s="4" t="str">
        <f t="shared" si="808"/>
        <v/>
      </c>
      <c r="EF121" s="5" t="str">
        <f t="shared" si="809"/>
        <v/>
      </c>
      <c r="EG121" s="10" t="str">
        <f t="shared" si="810"/>
        <v/>
      </c>
      <c r="EH121" s="9" t="str">
        <f t="shared" si="811"/>
        <v/>
      </c>
      <c r="EI121" s="5" t="str">
        <f t="shared" si="812"/>
        <v/>
      </c>
      <c r="EJ121" s="6" t="str">
        <f t="shared" si="813"/>
        <v/>
      </c>
      <c r="EK121" s="236" t="str">
        <f t="shared" si="814"/>
        <v/>
      </c>
      <c r="EL121" s="238" t="str">
        <f t="shared" si="815"/>
        <v/>
      </c>
      <c r="EM121" s="4" t="str">
        <f t="shared" si="816"/>
        <v/>
      </c>
      <c r="EN121" s="5" t="str">
        <f t="shared" si="817"/>
        <v/>
      </c>
      <c r="EO121" s="10" t="str">
        <f t="shared" si="818"/>
        <v/>
      </c>
      <c r="EP121" s="9" t="str">
        <f t="shared" si="819"/>
        <v/>
      </c>
      <c r="EQ121" s="5" t="str">
        <f t="shared" si="820"/>
        <v/>
      </c>
      <c r="ER121" s="7" t="str">
        <f t="shared" si="821"/>
        <v/>
      </c>
      <c r="ES121" s="21" t="str">
        <f t="shared" si="941"/>
        <v/>
      </c>
      <c r="ET121" s="5" t="str">
        <f t="shared" si="942"/>
        <v/>
      </c>
      <c r="EU121" s="10" t="str">
        <f t="shared" si="943"/>
        <v/>
      </c>
      <c r="EV121" s="174" t="str">
        <f t="shared" si="944"/>
        <v/>
      </c>
      <c r="EW121" s="9" t="str">
        <f t="shared" si="945"/>
        <v/>
      </c>
      <c r="EX121" s="5" t="str">
        <f t="shared" si="946"/>
        <v/>
      </c>
      <c r="EY121" s="6" t="str">
        <f t="shared" si="822"/>
        <v/>
      </c>
      <c r="EZ121" s="51" t="str">
        <f t="shared" si="823"/>
        <v/>
      </c>
      <c r="FA121" s="173" t="str">
        <f t="shared" si="947"/>
        <v/>
      </c>
      <c r="FB121" s="5" t="str">
        <f t="shared" si="948"/>
        <v/>
      </c>
      <c r="FC121" s="6" t="str">
        <f t="shared" si="949"/>
        <v/>
      </c>
      <c r="FD121" s="4" t="str">
        <f t="shared" si="950"/>
        <v/>
      </c>
      <c r="FE121" s="5" t="str">
        <f t="shared" si="951"/>
        <v/>
      </c>
      <c r="FF121" s="7" t="str">
        <f t="shared" si="824"/>
        <v/>
      </c>
      <c r="FG121" s="173" t="str">
        <f t="shared" si="952"/>
        <v/>
      </c>
      <c r="FH121" s="5" t="str">
        <f t="shared" si="953"/>
        <v/>
      </c>
      <c r="FI121" s="10" t="str">
        <f t="shared" si="954"/>
        <v/>
      </c>
      <c r="FJ121" s="279" t="str">
        <f t="shared" si="825"/>
        <v/>
      </c>
      <c r="FK121" s="4" t="str">
        <f t="shared" si="955"/>
        <v/>
      </c>
      <c r="FL121" s="5" t="str">
        <f t="shared" si="746"/>
        <v/>
      </c>
      <c r="FM121" s="8" t="str">
        <f t="shared" si="747"/>
        <v/>
      </c>
      <c r="FN121" s="9" t="str">
        <f t="shared" si="748"/>
        <v/>
      </c>
      <c r="FO121" s="10" t="str">
        <f t="shared" si="956"/>
        <v/>
      </c>
      <c r="FP121" s="277" t="str">
        <f t="shared" si="749"/>
        <v/>
      </c>
      <c r="FQ121" s="173" t="str">
        <f t="shared" si="826"/>
        <v/>
      </c>
      <c r="FR121" s="10" t="str">
        <f t="shared" si="827"/>
        <v/>
      </c>
      <c r="FS121" s="9" t="str">
        <f t="shared" si="828"/>
        <v/>
      </c>
      <c r="FT121" s="6" t="str">
        <f t="shared" si="829"/>
        <v/>
      </c>
      <c r="FU121" s="4" t="str">
        <f t="shared" si="830"/>
        <v/>
      </c>
      <c r="FV121" s="5" t="str">
        <f t="shared" si="831"/>
        <v/>
      </c>
      <c r="FW121" s="8" t="str">
        <f t="shared" si="832"/>
        <v/>
      </c>
      <c r="FX121" s="9" t="str">
        <f t="shared" si="833"/>
        <v/>
      </c>
      <c r="FY121" s="10" t="str">
        <f t="shared" si="957"/>
        <v/>
      </c>
      <c r="FZ121" s="277" t="str">
        <f t="shared" si="834"/>
        <v/>
      </c>
      <c r="GA121" s="177" t="str">
        <f t="shared" si="835"/>
        <v/>
      </c>
      <c r="GB121" s="4" t="str">
        <f t="shared" si="836"/>
        <v/>
      </c>
      <c r="GC121" s="5" t="str">
        <f t="shared" si="837"/>
        <v/>
      </c>
      <c r="GD121" s="10" t="str">
        <f t="shared" si="838"/>
        <v/>
      </c>
      <c r="GE121" s="311" t="str">
        <f t="shared" si="839"/>
        <v/>
      </c>
      <c r="GF121" s="341" t="str">
        <f t="shared" si="840"/>
        <v/>
      </c>
      <c r="GG121" s="285" t="str">
        <f t="shared" si="958"/>
        <v/>
      </c>
      <c r="GH121" s="286" t="str">
        <f t="shared" si="959"/>
        <v/>
      </c>
      <c r="GI121" s="281" t="str">
        <f t="shared" si="960"/>
        <v/>
      </c>
      <c r="GJ121" s="167" t="str">
        <f t="shared" si="841"/>
        <v/>
      </c>
      <c r="GK121" s="174" t="str">
        <f t="shared" si="961"/>
        <v/>
      </c>
      <c r="GL121" s="174" t="str">
        <f t="shared" si="842"/>
        <v/>
      </c>
      <c r="GM121" s="177" t="str">
        <f t="shared" si="843"/>
        <v/>
      </c>
      <c r="GN121" s="280" t="str">
        <f t="shared" si="844"/>
        <v/>
      </c>
      <c r="GO121" s="4" t="str">
        <f t="shared" si="845"/>
        <v/>
      </c>
      <c r="GP121" s="8" t="str">
        <f t="shared" si="846"/>
        <v/>
      </c>
      <c r="GQ121" s="177" t="str">
        <f t="shared" si="847"/>
        <v/>
      </c>
      <c r="GR121" s="371" t="str">
        <f t="shared" si="848"/>
        <v/>
      </c>
      <c r="GS121" s="342" t="str">
        <f t="shared" si="962"/>
        <v/>
      </c>
      <c r="GT121" s="343" t="str">
        <f t="shared" si="963"/>
        <v/>
      </c>
      <c r="GU121" s="344" t="str">
        <f t="shared" si="964"/>
        <v/>
      </c>
      <c r="GV121" s="343" t="str">
        <f t="shared" si="849"/>
        <v/>
      </c>
      <c r="GW121" s="345" t="str">
        <f t="shared" si="965"/>
        <v/>
      </c>
      <c r="GX121" s="346" t="str">
        <f t="shared" si="966"/>
        <v/>
      </c>
      <c r="GY121" s="344" t="str">
        <f t="shared" si="967"/>
        <v/>
      </c>
      <c r="GZ121" s="345" t="str">
        <f t="shared" si="968"/>
        <v/>
      </c>
      <c r="HA121" s="342" t="str">
        <f t="shared" si="969"/>
        <v/>
      </c>
      <c r="HB121" s="5" t="str">
        <f t="shared" si="850"/>
        <v/>
      </c>
      <c r="HC121" s="343" t="str">
        <f t="shared" si="851"/>
        <v/>
      </c>
      <c r="HD121" s="363" t="str">
        <f t="shared" si="852"/>
        <v/>
      </c>
      <c r="HE121" s="344" t="str">
        <f t="shared" si="970"/>
        <v/>
      </c>
      <c r="HF121" s="5" t="str">
        <f t="shared" si="971"/>
        <v/>
      </c>
      <c r="HG121" s="343" t="str">
        <f t="shared" si="853"/>
        <v/>
      </c>
      <c r="HH121" s="349" t="str">
        <f t="shared" si="854"/>
        <v/>
      </c>
      <c r="HI121" s="317" t="str">
        <f t="shared" si="972"/>
        <v/>
      </c>
      <c r="HK121" s="310" t="str">
        <f t="shared" si="1025"/>
        <v/>
      </c>
      <c r="HL121" s="348" t="str">
        <f t="shared" si="973"/>
        <v/>
      </c>
      <c r="HM121" s="923" t="str">
        <f t="shared" si="974"/>
        <v/>
      </c>
      <c r="HN121" s="924" t="str">
        <f t="shared" si="975"/>
        <v/>
      </c>
      <c r="HO121" s="925"/>
      <c r="HP121" s="926"/>
      <c r="HQ121" s="924" t="str">
        <f t="shared" si="976"/>
        <v/>
      </c>
      <c r="HR121" s="927" t="str">
        <f t="shared" si="977"/>
        <v/>
      </c>
      <c r="HS121" s="879" t="str">
        <f t="shared" si="1026"/>
        <v/>
      </c>
      <c r="HT121" s="889" t="str">
        <f t="shared" si="978"/>
        <v/>
      </c>
      <c r="HU121" s="890" t="str">
        <f t="shared" si="979"/>
        <v/>
      </c>
      <c r="HV121" s="886" t="str">
        <f t="shared" si="980"/>
        <v/>
      </c>
      <c r="HW121" s="880" t="str">
        <f t="shared" si="981"/>
        <v/>
      </c>
      <c r="HX121" s="881" t="str">
        <f t="shared" si="982"/>
        <v/>
      </c>
      <c r="HY121" s="880" t="str">
        <f t="shared" si="983"/>
        <v/>
      </c>
      <c r="HZ121" s="882" t="str">
        <f t="shared" si="984"/>
        <v/>
      </c>
      <c r="IA121" s="883" t="str">
        <f t="shared" si="985"/>
        <v/>
      </c>
      <c r="IB121" s="884" t="str">
        <f t="shared" si="986"/>
        <v/>
      </c>
      <c r="IC121" s="855" t="str">
        <f t="shared" si="987"/>
        <v/>
      </c>
      <c r="ID121" s="351" t="str">
        <f t="shared" si="988"/>
        <v/>
      </c>
      <c r="IE121" s="857" t="str">
        <f t="shared" si="989"/>
        <v/>
      </c>
      <c r="IF121" s="858"/>
      <c r="IG121" s="790" t="str">
        <f>IFERROR(IF($IW121="","",IF($IW121&lt;(((Settings!$C$19/2)*-1)*$IG$8),"Taper","Nose")),"")</f>
        <v/>
      </c>
      <c r="IH121" s="482" t="str">
        <f>IFERROR(IF((((($IY121*COS(RADIANS(180-$JA121)))*COS(RADIANS($JA121)))-(($IZ121*SIN(RADIANS(180-$JA121)))*SIN(RADIANS($JA121))))+$IW121)&lt;(((Settings!$C$19+$IH$8)/2)*-1),"Gage",""),"")</f>
        <v/>
      </c>
      <c r="II121" s="788" t="str">
        <f t="shared" si="855"/>
        <v/>
      </c>
      <c r="IJ121" s="674" t="str" cm="1">
        <f t="array" ref="IJ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K121" s="677" t="str" cm="1">
        <f t="array" ref="IK121">IFERROR(ROUND(VALUE(IF($IJ121&lt;1,$IJ121+LARGE((IF($M$9:$M$150="",0,$M$9:$M$150)-MOD(IF($M$9:$M$150="",0,$M$9:$M$150),1)),1),$IJ121)),4),"")</f>
        <v/>
      </c>
      <c r="IL121" s="482" t="str">
        <f t="shared" si="990"/>
        <v/>
      </c>
      <c r="IM121" s="482" t="str">
        <f t="shared" si="856"/>
        <v/>
      </c>
      <c r="IN121" s="670" t="str">
        <f t="shared" si="991"/>
        <v/>
      </c>
      <c r="IO121" s="702"/>
      <c r="IP121" s="5" t="str">
        <f t="shared" si="992"/>
        <v/>
      </c>
      <c r="IQ121" s="714"/>
      <c r="IR121" s="9" t="str">
        <f t="shared" si="993"/>
        <v/>
      </c>
      <c r="IS121" s="5" t="str">
        <f t="shared" si="994"/>
        <v/>
      </c>
      <c r="IT121" s="5" t="str">
        <f t="shared" si="995"/>
        <v/>
      </c>
      <c r="IU121" s="5" t="str">
        <f t="shared" si="996"/>
        <v/>
      </c>
      <c r="IV121" s="670" t="str">
        <f t="shared" si="997"/>
        <v/>
      </c>
      <c r="IW121" s="9" t="str">
        <f t="shared" si="998"/>
        <v/>
      </c>
      <c r="IX121" s="5" t="str">
        <f t="shared" si="999"/>
        <v/>
      </c>
      <c r="IY121" s="5" t="str">
        <f t="shared" si="1000"/>
        <v/>
      </c>
      <c r="IZ121" s="5" t="str">
        <f t="shared" si="1001"/>
        <v/>
      </c>
      <c r="JA121" s="705" t="str">
        <f t="shared" si="1002"/>
        <v/>
      </c>
      <c r="JN121" s="960"/>
      <c r="JO121" s="162"/>
      <c r="JP121" s="961"/>
      <c r="JQ121" s="961"/>
    </row>
    <row r="122" spans="1:277" ht="15" customHeight="1" x14ac:dyDescent="0.25">
      <c r="A122" s="75" t="str">
        <f t="shared" si="917"/>
        <v/>
      </c>
      <c r="B122" s="578" t="str">
        <f t="shared" ref="B122:D122" si="1061">IFERROR(O277+($A122*-E122),"")</f>
        <v/>
      </c>
      <c r="C122" s="572" t="str">
        <f t="shared" si="1061"/>
        <v/>
      </c>
      <c r="D122" s="576" t="str">
        <f t="shared" si="1061"/>
        <v/>
      </c>
      <c r="E122" s="580" t="str">
        <f t="shared" ref="E122:K122" si="1062">R277</f>
        <v/>
      </c>
      <c r="F122" s="572" t="str">
        <f t="shared" si="1062"/>
        <v/>
      </c>
      <c r="G122" s="579" t="str">
        <f t="shared" si="1062"/>
        <v/>
      </c>
      <c r="H122" s="580" t="str">
        <f t="shared" si="1062"/>
        <v/>
      </c>
      <c r="I122" s="572" t="str">
        <f t="shared" si="1062"/>
        <v/>
      </c>
      <c r="J122" s="483" t="str">
        <f t="shared" si="728"/>
        <v/>
      </c>
      <c r="K122" s="806" t="str">
        <f t="shared" si="1062"/>
        <v/>
      </c>
      <c r="L122" s="309"/>
      <c r="M122" s="164" t="str">
        <f t="shared" si="920"/>
        <v/>
      </c>
      <c r="N122" s="575" t="str">
        <f t="shared" si="921"/>
        <v/>
      </c>
      <c r="O122" s="572" t="str">
        <f t="shared" si="922"/>
        <v/>
      </c>
      <c r="P122" s="576" t="str">
        <f t="shared" si="923"/>
        <v/>
      </c>
      <c r="Q122" s="528" t="str">
        <f t="shared" si="729"/>
        <v/>
      </c>
      <c r="R122" s="572" t="str">
        <f t="shared" si="1005"/>
        <v/>
      </c>
      <c r="S122" s="577" t="str">
        <f t="shared" si="1006"/>
        <v/>
      </c>
      <c r="T122" s="578" t="str">
        <f t="shared" si="1007"/>
        <v/>
      </c>
      <c r="U122" s="572" t="str">
        <f t="shared" si="1008"/>
        <v/>
      </c>
      <c r="V122" s="579" t="str">
        <f t="shared" si="1009"/>
        <v/>
      </c>
      <c r="W122" s="528" t="str">
        <f t="shared" si="866"/>
        <v/>
      </c>
      <c r="X122" s="572" t="str">
        <f t="shared" si="1010"/>
        <v/>
      </c>
      <c r="Y122" s="573" t="str">
        <f t="shared" si="859"/>
        <v/>
      </c>
      <c r="Z122" s="575" t="str">
        <f t="shared" si="924"/>
        <v/>
      </c>
      <c r="AA122" s="572" t="str">
        <f t="shared" si="925"/>
        <v/>
      </c>
      <c r="AB122" s="572" t="str">
        <f t="shared" si="926"/>
        <v/>
      </c>
      <c r="AC122" s="579" t="str">
        <f t="shared" si="1011"/>
        <v/>
      </c>
      <c r="AD122" s="580" t="str">
        <f t="shared" si="1012"/>
        <v/>
      </c>
      <c r="AE122" s="572" t="str">
        <f t="shared" si="1013"/>
        <v/>
      </c>
      <c r="AF122" s="576" t="str">
        <f t="shared" si="1014"/>
        <v/>
      </c>
      <c r="AG122" s="545" t="str">
        <f t="shared" si="1015"/>
        <v/>
      </c>
      <c r="AH122" s="546" t="str">
        <f t="shared" si="1016"/>
        <v/>
      </c>
      <c r="AI122" s="528" t="str">
        <f t="shared" si="1017"/>
        <v/>
      </c>
      <c r="AJ122" s="529" t="str">
        <f t="shared" si="1018"/>
        <v/>
      </c>
      <c r="AK122" s="578" t="str">
        <f t="shared" si="1019"/>
        <v/>
      </c>
      <c r="AL122" s="572" t="str">
        <f t="shared" si="1020"/>
        <v/>
      </c>
      <c r="AM122" s="577" t="str">
        <f t="shared" si="1021"/>
        <v/>
      </c>
      <c r="AN122" s="524" t="str">
        <f t="shared" si="1022"/>
        <v/>
      </c>
      <c r="AO122" s="525" t="str">
        <f t="shared" si="1058"/>
        <v/>
      </c>
      <c r="AP122" s="528" t="str">
        <f t="shared" si="1023"/>
        <v/>
      </c>
      <c r="AQ122" s="529" t="str">
        <f t="shared" si="927"/>
        <v/>
      </c>
      <c r="AS122" s="954" t="str">
        <f t="shared" si="1029"/>
        <v/>
      </c>
      <c r="AT122" s="950" t="str">
        <f t="shared" si="928"/>
        <v/>
      </c>
      <c r="AU122" s="418"/>
      <c r="AV122" s="164" t="str">
        <f t="shared" si="929"/>
        <v/>
      </c>
      <c r="AW122" s="797" t="str">
        <f>IFERROR(INDEX(MassProp!C$9:C$150,MATCH($M122,MassProp!$B$9:$B$150,0)),"")</f>
        <v/>
      </c>
      <c r="AX122" s="744" t="str">
        <f>IFERROR(INDEX(MassProp!D$9:D$150,MATCH($M122,MassProp!$B$9:$B$150,0)),"")</f>
        <v/>
      </c>
      <c r="AY122" s="731" t="str">
        <f>IFERROR(INDEX(MassProp!E$9:E$150,MATCH($M122,MassProp!$B$9:$B$150,0)),"")</f>
        <v/>
      </c>
      <c r="AZ122" s="297" t="str">
        <f t="shared" si="756"/>
        <v/>
      </c>
      <c r="BA122" s="296" t="str">
        <f t="shared" si="930"/>
        <v/>
      </c>
      <c r="BB122" s="177" t="str">
        <f t="shared" si="730"/>
        <v/>
      </c>
      <c r="BC122" s="9"/>
      <c r="BD122" s="5" t="str">
        <f t="shared" si="731"/>
        <v/>
      </c>
      <c r="BE122" s="6" t="str">
        <f t="shared" si="931"/>
        <v/>
      </c>
      <c r="BF122" s="4" t="str">
        <f t="shared" si="932"/>
        <v/>
      </c>
      <c r="BG122" s="5" t="str">
        <f t="shared" si="933"/>
        <v/>
      </c>
      <c r="BH122" s="10" t="str">
        <f t="shared" si="934"/>
        <v/>
      </c>
      <c r="BI122" s="9" t="str">
        <f t="shared" si="757"/>
        <v/>
      </c>
      <c r="BJ122" s="5" t="str">
        <f t="shared" si="935"/>
        <v/>
      </c>
      <c r="BK122" s="8" t="str">
        <f t="shared" si="936"/>
        <v/>
      </c>
      <c r="BL122" s="173" t="str">
        <f t="shared" si="937"/>
        <v/>
      </c>
      <c r="BM122" s="5" t="str">
        <f t="shared" si="938"/>
        <v/>
      </c>
      <c r="BN122" s="6" t="str">
        <f t="shared" si="939"/>
        <v/>
      </c>
      <c r="BO122" s="4" t="str">
        <f t="shared" si="758"/>
        <v/>
      </c>
      <c r="BP122" s="5" t="str">
        <f t="shared" si="759"/>
        <v/>
      </c>
      <c r="BQ122" s="5" t="str">
        <f t="shared" si="760"/>
        <v/>
      </c>
      <c r="BR122" s="6" t="str">
        <f t="shared" si="761"/>
        <v/>
      </c>
      <c r="BS122" s="4" t="str">
        <f t="shared" si="1024"/>
        <v/>
      </c>
      <c r="BT122" s="5" t="str">
        <f t="shared" si="1024"/>
        <v/>
      </c>
      <c r="BU122" s="10" t="str">
        <f t="shared" si="733"/>
        <v/>
      </c>
      <c r="BV122" s="9" t="str">
        <f t="shared" si="734"/>
        <v/>
      </c>
      <c r="BW122" s="5" t="str">
        <f t="shared" si="735"/>
        <v/>
      </c>
      <c r="BX122" s="8" t="str">
        <f t="shared" si="736"/>
        <v/>
      </c>
      <c r="BY122" s="173" t="str">
        <f t="shared" si="737"/>
        <v/>
      </c>
      <c r="BZ122" s="5" t="str">
        <f t="shared" si="738"/>
        <v/>
      </c>
      <c r="CA122" s="6" t="str">
        <f t="shared" si="739"/>
        <v/>
      </c>
      <c r="CB122" s="4" t="str">
        <f t="shared" si="762"/>
        <v/>
      </c>
      <c r="CC122" s="5" t="str">
        <f t="shared" si="763"/>
        <v/>
      </c>
      <c r="CD122" s="5" t="str">
        <f t="shared" si="764"/>
        <v/>
      </c>
      <c r="CE122" s="6" t="str">
        <f t="shared" si="765"/>
        <v/>
      </c>
      <c r="CF122" s="4" t="str">
        <f t="shared" si="766"/>
        <v/>
      </c>
      <c r="CG122" s="5" t="str">
        <f t="shared" si="767"/>
        <v/>
      </c>
      <c r="CH122" s="5" t="str">
        <f t="shared" si="768"/>
        <v/>
      </c>
      <c r="CI122" s="4" t="str">
        <f t="shared" si="740"/>
        <v/>
      </c>
      <c r="CJ122" s="5" t="str">
        <f t="shared" si="741"/>
        <v/>
      </c>
      <c r="CK122" s="8" t="str">
        <f t="shared" si="742"/>
        <v/>
      </c>
      <c r="CL122" s="173" t="str">
        <f t="shared" si="743"/>
        <v/>
      </c>
      <c r="CM122" s="5" t="str">
        <f t="shared" si="744"/>
        <v/>
      </c>
      <c r="CN122" s="6" t="str">
        <f t="shared" si="745"/>
        <v/>
      </c>
      <c r="CO122" s="167" t="str">
        <f t="shared" si="940"/>
        <v/>
      </c>
      <c r="CP122" s="4" t="str">
        <f t="shared" si="769"/>
        <v/>
      </c>
      <c r="CQ122" s="5" t="str">
        <f t="shared" si="770"/>
        <v/>
      </c>
      <c r="CR122" s="5" t="str">
        <f t="shared" si="771"/>
        <v/>
      </c>
      <c r="CS122" s="8" t="str">
        <f t="shared" si="772"/>
        <v/>
      </c>
      <c r="CT122" s="9" t="str">
        <f t="shared" si="773"/>
        <v/>
      </c>
      <c r="CU122" s="6" t="str">
        <f t="shared" si="774"/>
        <v/>
      </c>
      <c r="CV122" s="4" t="str">
        <f t="shared" si="775"/>
        <v/>
      </c>
      <c r="CW122" s="5" t="str">
        <f t="shared" si="776"/>
        <v/>
      </c>
      <c r="CX122" s="8" t="str">
        <f t="shared" si="777"/>
        <v/>
      </c>
      <c r="CY122" s="9" t="str">
        <f t="shared" si="778"/>
        <v/>
      </c>
      <c r="CZ122" s="5" t="str">
        <f t="shared" si="779"/>
        <v/>
      </c>
      <c r="DA122" s="6" t="str">
        <f t="shared" si="780"/>
        <v/>
      </c>
      <c r="DB122" s="4" t="str">
        <f t="shared" si="1030"/>
        <v/>
      </c>
      <c r="DC122" s="5" t="str">
        <f t="shared" si="1030"/>
        <v/>
      </c>
      <c r="DD122" s="10" t="str">
        <f t="shared" si="782"/>
        <v/>
      </c>
      <c r="DE122" s="9" t="str">
        <f t="shared" si="1031"/>
        <v/>
      </c>
      <c r="DF122" s="5" t="str">
        <f t="shared" si="1031"/>
        <v/>
      </c>
      <c r="DG122" s="10" t="str">
        <f t="shared" si="784"/>
        <v/>
      </c>
      <c r="DH122" s="70" t="str">
        <f t="shared" si="785"/>
        <v/>
      </c>
      <c r="DI122" s="4" t="str">
        <f t="shared" si="786"/>
        <v/>
      </c>
      <c r="DJ122" s="5" t="str">
        <f t="shared" si="787"/>
        <v/>
      </c>
      <c r="DK122" s="10" t="str">
        <f t="shared" si="788"/>
        <v/>
      </c>
      <c r="DL122" s="9" t="str">
        <f t="shared" si="789"/>
        <v/>
      </c>
      <c r="DM122" s="173" t="str">
        <f t="shared" si="790"/>
        <v/>
      </c>
      <c r="DN122" s="178" t="str">
        <f t="shared" si="791"/>
        <v/>
      </c>
      <c r="DO122" s="9" t="str">
        <f t="shared" si="792"/>
        <v/>
      </c>
      <c r="DP122" s="173" t="str">
        <f t="shared" si="793"/>
        <v/>
      </c>
      <c r="DQ122" s="11" t="str">
        <f t="shared" si="794"/>
        <v/>
      </c>
      <c r="DR122" s="173" t="str">
        <f t="shared" si="795"/>
        <v/>
      </c>
      <c r="DS122" s="5" t="str">
        <f t="shared" si="796"/>
        <v/>
      </c>
      <c r="DT122" s="5" t="str">
        <f t="shared" si="797"/>
        <v/>
      </c>
      <c r="DU122" s="5" t="str">
        <f t="shared" si="798"/>
        <v/>
      </c>
      <c r="DV122" s="5" t="str">
        <f t="shared" si="799"/>
        <v/>
      </c>
      <c r="DW122" s="5" t="str">
        <f t="shared" si="800"/>
        <v/>
      </c>
      <c r="DX122" s="167" t="str">
        <f t="shared" si="801"/>
        <v/>
      </c>
      <c r="DY122" s="9" t="str">
        <f t="shared" si="802"/>
        <v/>
      </c>
      <c r="DZ122" s="5" t="str">
        <f t="shared" si="803"/>
        <v/>
      </c>
      <c r="EA122" s="10" t="str">
        <f t="shared" si="804"/>
        <v/>
      </c>
      <c r="EB122" s="6" t="str">
        <f t="shared" si="805"/>
        <v/>
      </c>
      <c r="EC122" s="173" t="str">
        <f t="shared" si="806"/>
        <v/>
      </c>
      <c r="ED122" s="5" t="str">
        <f t="shared" si="807"/>
        <v/>
      </c>
      <c r="EE122" s="4" t="str">
        <f t="shared" si="808"/>
        <v/>
      </c>
      <c r="EF122" s="5" t="str">
        <f t="shared" si="809"/>
        <v/>
      </c>
      <c r="EG122" s="10" t="str">
        <f t="shared" si="810"/>
        <v/>
      </c>
      <c r="EH122" s="9" t="str">
        <f t="shared" si="811"/>
        <v/>
      </c>
      <c r="EI122" s="5" t="str">
        <f t="shared" si="812"/>
        <v/>
      </c>
      <c r="EJ122" s="6" t="str">
        <f t="shared" si="813"/>
        <v/>
      </c>
      <c r="EK122" s="236" t="str">
        <f t="shared" si="814"/>
        <v/>
      </c>
      <c r="EL122" s="238" t="str">
        <f t="shared" si="815"/>
        <v/>
      </c>
      <c r="EM122" s="4" t="str">
        <f t="shared" si="816"/>
        <v/>
      </c>
      <c r="EN122" s="5" t="str">
        <f t="shared" si="817"/>
        <v/>
      </c>
      <c r="EO122" s="10" t="str">
        <f t="shared" si="818"/>
        <v/>
      </c>
      <c r="EP122" s="9" t="str">
        <f t="shared" si="819"/>
        <v/>
      </c>
      <c r="EQ122" s="5" t="str">
        <f t="shared" si="820"/>
        <v/>
      </c>
      <c r="ER122" s="7" t="str">
        <f t="shared" si="821"/>
        <v/>
      </c>
      <c r="ES122" s="21" t="str">
        <f t="shared" si="941"/>
        <v/>
      </c>
      <c r="ET122" s="5" t="str">
        <f t="shared" si="942"/>
        <v/>
      </c>
      <c r="EU122" s="10" t="str">
        <f t="shared" si="943"/>
        <v/>
      </c>
      <c r="EV122" s="174" t="str">
        <f t="shared" si="944"/>
        <v/>
      </c>
      <c r="EW122" s="9" t="str">
        <f t="shared" si="945"/>
        <v/>
      </c>
      <c r="EX122" s="5" t="str">
        <f t="shared" si="946"/>
        <v/>
      </c>
      <c r="EY122" s="6" t="str">
        <f t="shared" si="822"/>
        <v/>
      </c>
      <c r="EZ122" s="51" t="str">
        <f t="shared" si="823"/>
        <v/>
      </c>
      <c r="FA122" s="173" t="str">
        <f t="shared" si="947"/>
        <v/>
      </c>
      <c r="FB122" s="5" t="str">
        <f t="shared" si="948"/>
        <v/>
      </c>
      <c r="FC122" s="6" t="str">
        <f t="shared" si="949"/>
        <v/>
      </c>
      <c r="FD122" s="4" t="str">
        <f t="shared" si="950"/>
        <v/>
      </c>
      <c r="FE122" s="5" t="str">
        <f t="shared" si="951"/>
        <v/>
      </c>
      <c r="FF122" s="7" t="str">
        <f t="shared" si="824"/>
        <v/>
      </c>
      <c r="FG122" s="173" t="str">
        <f t="shared" si="952"/>
        <v/>
      </c>
      <c r="FH122" s="5" t="str">
        <f t="shared" si="953"/>
        <v/>
      </c>
      <c r="FI122" s="10" t="str">
        <f t="shared" si="954"/>
        <v/>
      </c>
      <c r="FJ122" s="279" t="str">
        <f t="shared" si="825"/>
        <v/>
      </c>
      <c r="FK122" s="4" t="str">
        <f t="shared" si="955"/>
        <v/>
      </c>
      <c r="FL122" s="5" t="str">
        <f t="shared" si="746"/>
        <v/>
      </c>
      <c r="FM122" s="8" t="str">
        <f t="shared" si="747"/>
        <v/>
      </c>
      <c r="FN122" s="9" t="str">
        <f t="shared" si="748"/>
        <v/>
      </c>
      <c r="FO122" s="10" t="str">
        <f t="shared" si="956"/>
        <v/>
      </c>
      <c r="FP122" s="277" t="str">
        <f t="shared" si="749"/>
        <v/>
      </c>
      <c r="FQ122" s="173" t="str">
        <f t="shared" si="826"/>
        <v/>
      </c>
      <c r="FR122" s="10" t="str">
        <f t="shared" si="827"/>
        <v/>
      </c>
      <c r="FS122" s="9" t="str">
        <f t="shared" si="828"/>
        <v/>
      </c>
      <c r="FT122" s="6" t="str">
        <f t="shared" si="829"/>
        <v/>
      </c>
      <c r="FU122" s="4" t="str">
        <f t="shared" si="830"/>
        <v/>
      </c>
      <c r="FV122" s="5" t="str">
        <f t="shared" si="831"/>
        <v/>
      </c>
      <c r="FW122" s="8" t="str">
        <f t="shared" si="832"/>
        <v/>
      </c>
      <c r="FX122" s="9" t="str">
        <f t="shared" si="833"/>
        <v/>
      </c>
      <c r="FY122" s="10" t="str">
        <f t="shared" si="957"/>
        <v/>
      </c>
      <c r="FZ122" s="277" t="str">
        <f t="shared" si="834"/>
        <v/>
      </c>
      <c r="GA122" s="177" t="str">
        <f t="shared" si="835"/>
        <v/>
      </c>
      <c r="GB122" s="4" t="str">
        <f t="shared" si="836"/>
        <v/>
      </c>
      <c r="GC122" s="5" t="str">
        <f t="shared" si="837"/>
        <v/>
      </c>
      <c r="GD122" s="10" t="str">
        <f t="shared" si="838"/>
        <v/>
      </c>
      <c r="GE122" s="311" t="str">
        <f t="shared" si="839"/>
        <v/>
      </c>
      <c r="GF122" s="341" t="str">
        <f t="shared" si="840"/>
        <v/>
      </c>
      <c r="GG122" s="285" t="str">
        <f t="shared" si="958"/>
        <v/>
      </c>
      <c r="GH122" s="286" t="str">
        <f t="shared" si="959"/>
        <v/>
      </c>
      <c r="GI122" s="281" t="str">
        <f t="shared" si="960"/>
        <v/>
      </c>
      <c r="GJ122" s="167" t="str">
        <f t="shared" si="841"/>
        <v/>
      </c>
      <c r="GK122" s="174" t="str">
        <f t="shared" si="961"/>
        <v/>
      </c>
      <c r="GL122" s="174" t="str">
        <f t="shared" si="842"/>
        <v/>
      </c>
      <c r="GM122" s="177" t="str">
        <f t="shared" si="843"/>
        <v/>
      </c>
      <c r="GN122" s="280" t="str">
        <f t="shared" si="844"/>
        <v/>
      </c>
      <c r="GO122" s="4" t="str">
        <f t="shared" si="845"/>
        <v/>
      </c>
      <c r="GP122" s="8" t="str">
        <f t="shared" si="846"/>
        <v/>
      </c>
      <c r="GQ122" s="177" t="str">
        <f t="shared" si="847"/>
        <v/>
      </c>
      <c r="GR122" s="371" t="str">
        <f t="shared" si="848"/>
        <v/>
      </c>
      <c r="GS122" s="342" t="str">
        <f t="shared" si="962"/>
        <v/>
      </c>
      <c r="GT122" s="343" t="str">
        <f t="shared" si="963"/>
        <v/>
      </c>
      <c r="GU122" s="344" t="str">
        <f t="shared" si="964"/>
        <v/>
      </c>
      <c r="GV122" s="343" t="str">
        <f t="shared" si="849"/>
        <v/>
      </c>
      <c r="GW122" s="345" t="str">
        <f t="shared" si="965"/>
        <v/>
      </c>
      <c r="GX122" s="346" t="str">
        <f t="shared" si="966"/>
        <v/>
      </c>
      <c r="GY122" s="344" t="str">
        <f t="shared" si="967"/>
        <v/>
      </c>
      <c r="GZ122" s="345" t="str">
        <f t="shared" si="968"/>
        <v/>
      </c>
      <c r="HA122" s="342" t="str">
        <f t="shared" si="969"/>
        <v/>
      </c>
      <c r="HB122" s="5" t="str">
        <f t="shared" si="850"/>
        <v/>
      </c>
      <c r="HC122" s="343" t="str">
        <f t="shared" si="851"/>
        <v/>
      </c>
      <c r="HD122" s="363" t="str">
        <f t="shared" si="852"/>
        <v/>
      </c>
      <c r="HE122" s="344" t="str">
        <f t="shared" si="970"/>
        <v/>
      </c>
      <c r="HF122" s="5" t="str">
        <f t="shared" si="971"/>
        <v/>
      </c>
      <c r="HG122" s="343" t="str">
        <f t="shared" si="853"/>
        <v/>
      </c>
      <c r="HH122" s="349" t="str">
        <f t="shared" si="854"/>
        <v/>
      </c>
      <c r="HI122" s="317" t="str">
        <f t="shared" si="972"/>
        <v/>
      </c>
      <c r="HK122" s="310" t="str">
        <f t="shared" si="1025"/>
        <v/>
      </c>
      <c r="HL122" s="348" t="str">
        <f t="shared" si="973"/>
        <v/>
      </c>
      <c r="HM122" s="923" t="str">
        <f t="shared" si="974"/>
        <v/>
      </c>
      <c r="HN122" s="924" t="str">
        <f t="shared" si="975"/>
        <v/>
      </c>
      <c r="HO122" s="925"/>
      <c r="HP122" s="926"/>
      <c r="HQ122" s="924" t="str">
        <f t="shared" si="976"/>
        <v/>
      </c>
      <c r="HR122" s="927" t="str">
        <f t="shared" si="977"/>
        <v/>
      </c>
      <c r="HS122" s="879" t="str">
        <f t="shared" si="1026"/>
        <v/>
      </c>
      <c r="HT122" s="889" t="str">
        <f t="shared" si="978"/>
        <v/>
      </c>
      <c r="HU122" s="890" t="str">
        <f t="shared" si="979"/>
        <v/>
      </c>
      <c r="HV122" s="886" t="str">
        <f t="shared" si="980"/>
        <v/>
      </c>
      <c r="HW122" s="880" t="str">
        <f t="shared" si="981"/>
        <v/>
      </c>
      <c r="HX122" s="881" t="str">
        <f t="shared" si="982"/>
        <v/>
      </c>
      <c r="HY122" s="880" t="str">
        <f t="shared" si="983"/>
        <v/>
      </c>
      <c r="HZ122" s="882" t="str">
        <f t="shared" si="984"/>
        <v/>
      </c>
      <c r="IA122" s="883" t="str">
        <f t="shared" si="985"/>
        <v/>
      </c>
      <c r="IB122" s="884" t="str">
        <f t="shared" si="986"/>
        <v/>
      </c>
      <c r="IC122" s="855" t="str">
        <f t="shared" si="987"/>
        <v/>
      </c>
      <c r="ID122" s="351" t="str">
        <f t="shared" si="988"/>
        <v/>
      </c>
      <c r="IE122" s="857" t="str">
        <f t="shared" si="989"/>
        <v/>
      </c>
      <c r="IF122" s="858"/>
      <c r="IG122" s="790" t="str">
        <f>IFERROR(IF($IW122="","",IF($IW122&lt;(((Settings!$C$19/2)*-1)*$IG$8),"Taper","Nose")),"")</f>
        <v/>
      </c>
      <c r="IH122" s="482" t="str">
        <f>IFERROR(IF((((($IY122*COS(RADIANS(180-$JA122)))*COS(RADIANS($JA122)))-(($IZ122*SIN(RADIANS(180-$JA122)))*SIN(RADIANS($JA122))))+$IW122)&lt;(((Settings!$C$19+$IH$8)/2)*-1),"Gage",""),"")</f>
        <v/>
      </c>
      <c r="II122" s="788" t="str">
        <f t="shared" si="855"/>
        <v/>
      </c>
      <c r="IJ122" s="674" t="str" cm="1">
        <f t="array" ref="IJ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K122" s="677" t="str" cm="1">
        <f t="array" ref="IK122">IFERROR(ROUND(VALUE(IF($IJ122&lt;1,$IJ122+LARGE((IF($M$9:$M$150="",0,$M$9:$M$150)-MOD(IF($M$9:$M$150="",0,$M$9:$M$150),1)),1),$IJ122)),4),"")</f>
        <v/>
      </c>
      <c r="IL122" s="482" t="str">
        <f t="shared" si="990"/>
        <v/>
      </c>
      <c r="IM122" s="482" t="str">
        <f t="shared" si="856"/>
        <v/>
      </c>
      <c r="IN122" s="670" t="str">
        <f t="shared" si="991"/>
        <v/>
      </c>
      <c r="IO122" s="702"/>
      <c r="IP122" s="5" t="str">
        <f t="shared" si="992"/>
        <v/>
      </c>
      <c r="IQ122" s="714"/>
      <c r="IR122" s="9" t="str">
        <f t="shared" si="993"/>
        <v/>
      </c>
      <c r="IS122" s="5" t="str">
        <f t="shared" si="994"/>
        <v/>
      </c>
      <c r="IT122" s="5" t="str">
        <f t="shared" si="995"/>
        <v/>
      </c>
      <c r="IU122" s="5" t="str">
        <f t="shared" si="996"/>
        <v/>
      </c>
      <c r="IV122" s="670" t="str">
        <f t="shared" si="997"/>
        <v/>
      </c>
      <c r="IW122" s="9" t="str">
        <f t="shared" si="998"/>
        <v/>
      </c>
      <c r="IX122" s="5" t="str">
        <f t="shared" si="999"/>
        <v/>
      </c>
      <c r="IY122" s="5" t="str">
        <f t="shared" si="1000"/>
        <v/>
      </c>
      <c r="IZ122" s="5" t="str">
        <f t="shared" si="1001"/>
        <v/>
      </c>
      <c r="JA122" s="705" t="str">
        <f t="shared" si="1002"/>
        <v/>
      </c>
      <c r="JN122" s="960"/>
      <c r="JO122" s="162"/>
      <c r="JP122" s="961"/>
      <c r="JQ122" s="961"/>
    </row>
    <row r="123" spans="1:277" ht="15" customHeight="1" x14ac:dyDescent="0.25">
      <c r="A123" s="75" t="str">
        <f t="shared" si="917"/>
        <v/>
      </c>
      <c r="B123" s="578" t="str">
        <f t="shared" ref="B123:D123" si="1063">IFERROR(O278+($A123*-E123),"")</f>
        <v/>
      </c>
      <c r="C123" s="572" t="str">
        <f t="shared" si="1063"/>
        <v/>
      </c>
      <c r="D123" s="576" t="str">
        <f t="shared" si="1063"/>
        <v/>
      </c>
      <c r="E123" s="580" t="str">
        <f t="shared" ref="E123:K123" si="1064">R278</f>
        <v/>
      </c>
      <c r="F123" s="572" t="str">
        <f t="shared" si="1064"/>
        <v/>
      </c>
      <c r="G123" s="579" t="str">
        <f t="shared" si="1064"/>
        <v/>
      </c>
      <c r="H123" s="580" t="str">
        <f t="shared" si="1064"/>
        <v/>
      </c>
      <c r="I123" s="572" t="str">
        <f t="shared" si="1064"/>
        <v/>
      </c>
      <c r="J123" s="483" t="str">
        <f t="shared" si="728"/>
        <v/>
      </c>
      <c r="K123" s="806" t="str">
        <f t="shared" si="1064"/>
        <v/>
      </c>
      <c r="L123" s="309"/>
      <c r="M123" s="164" t="str">
        <f t="shared" si="920"/>
        <v/>
      </c>
      <c r="N123" s="575" t="str">
        <f t="shared" si="921"/>
        <v/>
      </c>
      <c r="O123" s="572" t="str">
        <f t="shared" si="922"/>
        <v/>
      </c>
      <c r="P123" s="576" t="str">
        <f t="shared" si="923"/>
        <v/>
      </c>
      <c r="Q123" s="528" t="str">
        <f t="shared" si="729"/>
        <v/>
      </c>
      <c r="R123" s="572" t="str">
        <f t="shared" si="1005"/>
        <v/>
      </c>
      <c r="S123" s="577" t="str">
        <f t="shared" si="1006"/>
        <v/>
      </c>
      <c r="T123" s="578" t="str">
        <f t="shared" si="1007"/>
        <v/>
      </c>
      <c r="U123" s="572" t="str">
        <f t="shared" si="1008"/>
        <v/>
      </c>
      <c r="V123" s="579" t="str">
        <f t="shared" si="1009"/>
        <v/>
      </c>
      <c r="W123" s="528" t="str">
        <f t="shared" si="866"/>
        <v/>
      </c>
      <c r="X123" s="572" t="str">
        <f t="shared" si="1010"/>
        <v/>
      </c>
      <c r="Y123" s="573" t="str">
        <f t="shared" si="859"/>
        <v/>
      </c>
      <c r="Z123" s="575" t="str">
        <f t="shared" si="924"/>
        <v/>
      </c>
      <c r="AA123" s="572" t="str">
        <f t="shared" si="925"/>
        <v/>
      </c>
      <c r="AB123" s="572" t="str">
        <f t="shared" si="926"/>
        <v/>
      </c>
      <c r="AC123" s="579" t="str">
        <f t="shared" si="1011"/>
        <v/>
      </c>
      <c r="AD123" s="580" t="str">
        <f t="shared" si="1012"/>
        <v/>
      </c>
      <c r="AE123" s="572" t="str">
        <f t="shared" si="1013"/>
        <v/>
      </c>
      <c r="AF123" s="576" t="str">
        <f t="shared" si="1014"/>
        <v/>
      </c>
      <c r="AG123" s="545" t="str">
        <f t="shared" si="1015"/>
        <v/>
      </c>
      <c r="AH123" s="546" t="str">
        <f t="shared" si="1016"/>
        <v/>
      </c>
      <c r="AI123" s="528" t="str">
        <f t="shared" si="1017"/>
        <v/>
      </c>
      <c r="AJ123" s="529" t="str">
        <f t="shared" si="1018"/>
        <v/>
      </c>
      <c r="AK123" s="578" t="str">
        <f t="shared" si="1019"/>
        <v/>
      </c>
      <c r="AL123" s="572" t="str">
        <f t="shared" si="1020"/>
        <v/>
      </c>
      <c r="AM123" s="577" t="str">
        <f t="shared" si="1021"/>
        <v/>
      </c>
      <c r="AN123" s="524" t="str">
        <f t="shared" si="1022"/>
        <v/>
      </c>
      <c r="AO123" s="525" t="str">
        <f t="shared" si="1058"/>
        <v/>
      </c>
      <c r="AP123" s="528" t="str">
        <f t="shared" si="1023"/>
        <v/>
      </c>
      <c r="AQ123" s="529" t="str">
        <f t="shared" si="927"/>
        <v/>
      </c>
      <c r="AS123" s="954" t="str">
        <f t="shared" si="1029"/>
        <v/>
      </c>
      <c r="AT123" s="950" t="str">
        <f t="shared" si="928"/>
        <v/>
      </c>
      <c r="AU123" s="418"/>
      <c r="AV123" s="164" t="str">
        <f t="shared" si="929"/>
        <v/>
      </c>
      <c r="AW123" s="797" t="str">
        <f>IFERROR(INDEX(MassProp!C$9:C$150,MATCH($M123,MassProp!$B$9:$B$150,0)),"")</f>
        <v/>
      </c>
      <c r="AX123" s="744" t="str">
        <f>IFERROR(INDEX(MassProp!D$9:D$150,MATCH($M123,MassProp!$B$9:$B$150,0)),"")</f>
        <v/>
      </c>
      <c r="AY123" s="731" t="str">
        <f>IFERROR(INDEX(MassProp!E$9:E$150,MATCH($M123,MassProp!$B$9:$B$150,0)),"")</f>
        <v/>
      </c>
      <c r="AZ123" s="297" t="str">
        <f t="shared" si="756"/>
        <v/>
      </c>
      <c r="BA123" s="296" t="str">
        <f t="shared" si="930"/>
        <v/>
      </c>
      <c r="BB123" s="177" t="str">
        <f t="shared" si="730"/>
        <v/>
      </c>
      <c r="BC123" s="9"/>
      <c r="BD123" s="5" t="str">
        <f t="shared" si="731"/>
        <v/>
      </c>
      <c r="BE123" s="6" t="str">
        <f t="shared" si="931"/>
        <v/>
      </c>
      <c r="BF123" s="4" t="str">
        <f t="shared" si="932"/>
        <v/>
      </c>
      <c r="BG123" s="5" t="str">
        <f t="shared" si="933"/>
        <v/>
      </c>
      <c r="BH123" s="10" t="str">
        <f t="shared" si="934"/>
        <v/>
      </c>
      <c r="BI123" s="9" t="str">
        <f t="shared" si="757"/>
        <v/>
      </c>
      <c r="BJ123" s="5" t="str">
        <f t="shared" si="935"/>
        <v/>
      </c>
      <c r="BK123" s="8" t="str">
        <f t="shared" si="936"/>
        <v/>
      </c>
      <c r="BL123" s="173" t="str">
        <f t="shared" si="937"/>
        <v/>
      </c>
      <c r="BM123" s="5" t="str">
        <f t="shared" si="938"/>
        <v/>
      </c>
      <c r="BN123" s="6" t="str">
        <f t="shared" si="939"/>
        <v/>
      </c>
      <c r="BO123" s="4" t="str">
        <f t="shared" si="758"/>
        <v/>
      </c>
      <c r="BP123" s="5" t="str">
        <f t="shared" si="759"/>
        <v/>
      </c>
      <c r="BQ123" s="5" t="str">
        <f t="shared" si="760"/>
        <v/>
      </c>
      <c r="BR123" s="6" t="str">
        <f t="shared" si="761"/>
        <v/>
      </c>
      <c r="BS123" s="4" t="str">
        <f t="shared" si="1024"/>
        <v/>
      </c>
      <c r="BT123" s="5" t="str">
        <f t="shared" si="1024"/>
        <v/>
      </c>
      <c r="BU123" s="10" t="str">
        <f t="shared" si="733"/>
        <v/>
      </c>
      <c r="BV123" s="9" t="str">
        <f t="shared" si="734"/>
        <v/>
      </c>
      <c r="BW123" s="5" t="str">
        <f t="shared" si="735"/>
        <v/>
      </c>
      <c r="BX123" s="8" t="str">
        <f t="shared" si="736"/>
        <v/>
      </c>
      <c r="BY123" s="173" t="str">
        <f t="shared" si="737"/>
        <v/>
      </c>
      <c r="BZ123" s="5" t="str">
        <f t="shared" si="738"/>
        <v/>
      </c>
      <c r="CA123" s="6" t="str">
        <f t="shared" si="739"/>
        <v/>
      </c>
      <c r="CB123" s="4" t="str">
        <f t="shared" si="762"/>
        <v/>
      </c>
      <c r="CC123" s="5" t="str">
        <f t="shared" si="763"/>
        <v/>
      </c>
      <c r="CD123" s="5" t="str">
        <f t="shared" si="764"/>
        <v/>
      </c>
      <c r="CE123" s="6" t="str">
        <f t="shared" si="765"/>
        <v/>
      </c>
      <c r="CF123" s="4" t="str">
        <f t="shared" si="766"/>
        <v/>
      </c>
      <c r="CG123" s="5" t="str">
        <f t="shared" si="767"/>
        <v/>
      </c>
      <c r="CH123" s="5" t="str">
        <f t="shared" si="768"/>
        <v/>
      </c>
      <c r="CI123" s="4" t="str">
        <f t="shared" si="740"/>
        <v/>
      </c>
      <c r="CJ123" s="5" t="str">
        <f t="shared" si="741"/>
        <v/>
      </c>
      <c r="CK123" s="8" t="str">
        <f t="shared" si="742"/>
        <v/>
      </c>
      <c r="CL123" s="173" t="str">
        <f t="shared" si="743"/>
        <v/>
      </c>
      <c r="CM123" s="5" t="str">
        <f t="shared" si="744"/>
        <v/>
      </c>
      <c r="CN123" s="6" t="str">
        <f t="shared" si="745"/>
        <v/>
      </c>
      <c r="CO123" s="167" t="str">
        <f t="shared" si="940"/>
        <v/>
      </c>
      <c r="CP123" s="4" t="str">
        <f t="shared" si="769"/>
        <v/>
      </c>
      <c r="CQ123" s="5" t="str">
        <f t="shared" si="770"/>
        <v/>
      </c>
      <c r="CR123" s="5" t="str">
        <f t="shared" si="771"/>
        <v/>
      </c>
      <c r="CS123" s="8" t="str">
        <f t="shared" si="772"/>
        <v/>
      </c>
      <c r="CT123" s="9" t="str">
        <f t="shared" si="773"/>
        <v/>
      </c>
      <c r="CU123" s="6" t="str">
        <f t="shared" si="774"/>
        <v/>
      </c>
      <c r="CV123" s="4" t="str">
        <f t="shared" si="775"/>
        <v/>
      </c>
      <c r="CW123" s="5" t="str">
        <f t="shared" si="776"/>
        <v/>
      </c>
      <c r="CX123" s="8" t="str">
        <f t="shared" si="777"/>
        <v/>
      </c>
      <c r="CY123" s="9" t="str">
        <f t="shared" si="778"/>
        <v/>
      </c>
      <c r="CZ123" s="5" t="str">
        <f t="shared" si="779"/>
        <v/>
      </c>
      <c r="DA123" s="6" t="str">
        <f t="shared" si="780"/>
        <v/>
      </c>
      <c r="DB123" s="4" t="str">
        <f t="shared" si="1030"/>
        <v/>
      </c>
      <c r="DC123" s="5" t="str">
        <f t="shared" si="1030"/>
        <v/>
      </c>
      <c r="DD123" s="10" t="str">
        <f t="shared" si="782"/>
        <v/>
      </c>
      <c r="DE123" s="9" t="str">
        <f t="shared" si="1031"/>
        <v/>
      </c>
      <c r="DF123" s="5" t="str">
        <f t="shared" si="1031"/>
        <v/>
      </c>
      <c r="DG123" s="10" t="str">
        <f t="shared" si="784"/>
        <v/>
      </c>
      <c r="DH123" s="70" t="str">
        <f t="shared" si="785"/>
        <v/>
      </c>
      <c r="DI123" s="4" t="str">
        <f t="shared" si="786"/>
        <v/>
      </c>
      <c r="DJ123" s="5" t="str">
        <f t="shared" si="787"/>
        <v/>
      </c>
      <c r="DK123" s="10" t="str">
        <f t="shared" si="788"/>
        <v/>
      </c>
      <c r="DL123" s="9" t="str">
        <f t="shared" si="789"/>
        <v/>
      </c>
      <c r="DM123" s="173" t="str">
        <f t="shared" si="790"/>
        <v/>
      </c>
      <c r="DN123" s="178" t="str">
        <f t="shared" si="791"/>
        <v/>
      </c>
      <c r="DO123" s="9" t="str">
        <f t="shared" si="792"/>
        <v/>
      </c>
      <c r="DP123" s="173" t="str">
        <f t="shared" si="793"/>
        <v/>
      </c>
      <c r="DQ123" s="11" t="str">
        <f t="shared" si="794"/>
        <v/>
      </c>
      <c r="DR123" s="173" t="str">
        <f t="shared" si="795"/>
        <v/>
      </c>
      <c r="DS123" s="5" t="str">
        <f t="shared" si="796"/>
        <v/>
      </c>
      <c r="DT123" s="5" t="str">
        <f t="shared" si="797"/>
        <v/>
      </c>
      <c r="DU123" s="5" t="str">
        <f t="shared" si="798"/>
        <v/>
      </c>
      <c r="DV123" s="5" t="str">
        <f t="shared" si="799"/>
        <v/>
      </c>
      <c r="DW123" s="5" t="str">
        <f t="shared" si="800"/>
        <v/>
      </c>
      <c r="DX123" s="167" t="str">
        <f t="shared" si="801"/>
        <v/>
      </c>
      <c r="DY123" s="9" t="str">
        <f t="shared" si="802"/>
        <v/>
      </c>
      <c r="DZ123" s="5" t="str">
        <f t="shared" si="803"/>
        <v/>
      </c>
      <c r="EA123" s="10" t="str">
        <f t="shared" si="804"/>
        <v/>
      </c>
      <c r="EB123" s="6" t="str">
        <f t="shared" si="805"/>
        <v/>
      </c>
      <c r="EC123" s="173" t="str">
        <f t="shared" si="806"/>
        <v/>
      </c>
      <c r="ED123" s="5" t="str">
        <f t="shared" si="807"/>
        <v/>
      </c>
      <c r="EE123" s="4" t="str">
        <f t="shared" si="808"/>
        <v/>
      </c>
      <c r="EF123" s="5" t="str">
        <f t="shared" si="809"/>
        <v/>
      </c>
      <c r="EG123" s="10" t="str">
        <f t="shared" si="810"/>
        <v/>
      </c>
      <c r="EH123" s="9" t="str">
        <f t="shared" si="811"/>
        <v/>
      </c>
      <c r="EI123" s="5" t="str">
        <f t="shared" si="812"/>
        <v/>
      </c>
      <c r="EJ123" s="6" t="str">
        <f t="shared" si="813"/>
        <v/>
      </c>
      <c r="EK123" s="236" t="str">
        <f t="shared" si="814"/>
        <v/>
      </c>
      <c r="EL123" s="238" t="str">
        <f t="shared" si="815"/>
        <v/>
      </c>
      <c r="EM123" s="4" t="str">
        <f t="shared" si="816"/>
        <v/>
      </c>
      <c r="EN123" s="5" t="str">
        <f t="shared" si="817"/>
        <v/>
      </c>
      <c r="EO123" s="10" t="str">
        <f t="shared" si="818"/>
        <v/>
      </c>
      <c r="EP123" s="9" t="str">
        <f t="shared" si="819"/>
        <v/>
      </c>
      <c r="EQ123" s="5" t="str">
        <f t="shared" si="820"/>
        <v/>
      </c>
      <c r="ER123" s="7" t="str">
        <f t="shared" si="821"/>
        <v/>
      </c>
      <c r="ES123" s="21" t="str">
        <f t="shared" si="941"/>
        <v/>
      </c>
      <c r="ET123" s="5" t="str">
        <f t="shared" si="942"/>
        <v/>
      </c>
      <c r="EU123" s="10" t="str">
        <f t="shared" si="943"/>
        <v/>
      </c>
      <c r="EV123" s="174" t="str">
        <f t="shared" si="944"/>
        <v/>
      </c>
      <c r="EW123" s="9" t="str">
        <f t="shared" si="945"/>
        <v/>
      </c>
      <c r="EX123" s="5" t="str">
        <f t="shared" si="946"/>
        <v/>
      </c>
      <c r="EY123" s="6" t="str">
        <f t="shared" si="822"/>
        <v/>
      </c>
      <c r="EZ123" s="51" t="str">
        <f t="shared" si="823"/>
        <v/>
      </c>
      <c r="FA123" s="173" t="str">
        <f t="shared" si="947"/>
        <v/>
      </c>
      <c r="FB123" s="5" t="str">
        <f t="shared" si="948"/>
        <v/>
      </c>
      <c r="FC123" s="6" t="str">
        <f t="shared" si="949"/>
        <v/>
      </c>
      <c r="FD123" s="4" t="str">
        <f t="shared" si="950"/>
        <v/>
      </c>
      <c r="FE123" s="5" t="str">
        <f t="shared" si="951"/>
        <v/>
      </c>
      <c r="FF123" s="7" t="str">
        <f t="shared" si="824"/>
        <v/>
      </c>
      <c r="FG123" s="173" t="str">
        <f t="shared" si="952"/>
        <v/>
      </c>
      <c r="FH123" s="5" t="str">
        <f t="shared" si="953"/>
        <v/>
      </c>
      <c r="FI123" s="10" t="str">
        <f t="shared" si="954"/>
        <v/>
      </c>
      <c r="FJ123" s="279" t="str">
        <f t="shared" si="825"/>
        <v/>
      </c>
      <c r="FK123" s="4" t="str">
        <f t="shared" si="955"/>
        <v/>
      </c>
      <c r="FL123" s="5" t="str">
        <f t="shared" si="746"/>
        <v/>
      </c>
      <c r="FM123" s="8" t="str">
        <f t="shared" si="747"/>
        <v/>
      </c>
      <c r="FN123" s="9" t="str">
        <f t="shared" si="748"/>
        <v/>
      </c>
      <c r="FO123" s="10" t="str">
        <f t="shared" si="956"/>
        <v/>
      </c>
      <c r="FP123" s="277" t="str">
        <f t="shared" si="749"/>
        <v/>
      </c>
      <c r="FQ123" s="173" t="str">
        <f t="shared" si="826"/>
        <v/>
      </c>
      <c r="FR123" s="10" t="str">
        <f t="shared" si="827"/>
        <v/>
      </c>
      <c r="FS123" s="9" t="str">
        <f t="shared" si="828"/>
        <v/>
      </c>
      <c r="FT123" s="6" t="str">
        <f t="shared" si="829"/>
        <v/>
      </c>
      <c r="FU123" s="4" t="str">
        <f t="shared" si="830"/>
        <v/>
      </c>
      <c r="FV123" s="5" t="str">
        <f t="shared" si="831"/>
        <v/>
      </c>
      <c r="FW123" s="8" t="str">
        <f t="shared" si="832"/>
        <v/>
      </c>
      <c r="FX123" s="9" t="str">
        <f t="shared" si="833"/>
        <v/>
      </c>
      <c r="FY123" s="10" t="str">
        <f t="shared" si="957"/>
        <v/>
      </c>
      <c r="FZ123" s="277" t="str">
        <f t="shared" si="834"/>
        <v/>
      </c>
      <c r="GA123" s="177" t="str">
        <f t="shared" si="835"/>
        <v/>
      </c>
      <c r="GB123" s="4" t="str">
        <f t="shared" si="836"/>
        <v/>
      </c>
      <c r="GC123" s="5" t="str">
        <f t="shared" si="837"/>
        <v/>
      </c>
      <c r="GD123" s="10" t="str">
        <f t="shared" si="838"/>
        <v/>
      </c>
      <c r="GE123" s="311" t="str">
        <f t="shared" si="839"/>
        <v/>
      </c>
      <c r="GF123" s="341" t="str">
        <f t="shared" si="840"/>
        <v/>
      </c>
      <c r="GG123" s="285" t="str">
        <f t="shared" si="958"/>
        <v/>
      </c>
      <c r="GH123" s="286" t="str">
        <f t="shared" si="959"/>
        <v/>
      </c>
      <c r="GI123" s="281" t="str">
        <f t="shared" si="960"/>
        <v/>
      </c>
      <c r="GJ123" s="167" t="str">
        <f t="shared" si="841"/>
        <v/>
      </c>
      <c r="GK123" s="174" t="str">
        <f t="shared" si="961"/>
        <v/>
      </c>
      <c r="GL123" s="174" t="str">
        <f t="shared" si="842"/>
        <v/>
      </c>
      <c r="GM123" s="177" t="str">
        <f t="shared" si="843"/>
        <v/>
      </c>
      <c r="GN123" s="280" t="str">
        <f t="shared" si="844"/>
        <v/>
      </c>
      <c r="GO123" s="4" t="str">
        <f t="shared" si="845"/>
        <v/>
      </c>
      <c r="GP123" s="8" t="str">
        <f t="shared" si="846"/>
        <v/>
      </c>
      <c r="GQ123" s="177" t="str">
        <f t="shared" si="847"/>
        <v/>
      </c>
      <c r="GR123" s="371" t="str">
        <f t="shared" si="848"/>
        <v/>
      </c>
      <c r="GS123" s="342" t="str">
        <f t="shared" si="962"/>
        <v/>
      </c>
      <c r="GT123" s="343" t="str">
        <f t="shared" si="963"/>
        <v/>
      </c>
      <c r="GU123" s="344" t="str">
        <f t="shared" si="964"/>
        <v/>
      </c>
      <c r="GV123" s="343" t="str">
        <f t="shared" si="849"/>
        <v/>
      </c>
      <c r="GW123" s="345" t="str">
        <f t="shared" si="965"/>
        <v/>
      </c>
      <c r="GX123" s="346" t="str">
        <f t="shared" si="966"/>
        <v/>
      </c>
      <c r="GY123" s="344" t="str">
        <f t="shared" si="967"/>
        <v/>
      </c>
      <c r="GZ123" s="345" t="str">
        <f t="shared" si="968"/>
        <v/>
      </c>
      <c r="HA123" s="342" t="str">
        <f t="shared" si="969"/>
        <v/>
      </c>
      <c r="HB123" s="5" t="str">
        <f t="shared" si="850"/>
        <v/>
      </c>
      <c r="HC123" s="343" t="str">
        <f t="shared" si="851"/>
        <v/>
      </c>
      <c r="HD123" s="363" t="str">
        <f t="shared" si="852"/>
        <v/>
      </c>
      <c r="HE123" s="344" t="str">
        <f t="shared" si="970"/>
        <v/>
      </c>
      <c r="HF123" s="5" t="str">
        <f t="shared" si="971"/>
        <v/>
      </c>
      <c r="HG123" s="343" t="str">
        <f t="shared" si="853"/>
        <v/>
      </c>
      <c r="HH123" s="349" t="str">
        <f t="shared" si="854"/>
        <v/>
      </c>
      <c r="HI123" s="317" t="str">
        <f t="shared" si="972"/>
        <v/>
      </c>
      <c r="HK123" s="310" t="str">
        <f t="shared" si="1025"/>
        <v/>
      </c>
      <c r="HL123" s="348" t="str">
        <f t="shared" si="973"/>
        <v/>
      </c>
      <c r="HM123" s="923" t="str">
        <f t="shared" si="974"/>
        <v/>
      </c>
      <c r="HN123" s="924" t="str">
        <f t="shared" si="975"/>
        <v/>
      </c>
      <c r="HO123" s="925"/>
      <c r="HP123" s="926"/>
      <c r="HQ123" s="924" t="str">
        <f t="shared" si="976"/>
        <v/>
      </c>
      <c r="HR123" s="927" t="str">
        <f t="shared" si="977"/>
        <v/>
      </c>
      <c r="HS123" s="879" t="str">
        <f t="shared" si="1026"/>
        <v/>
      </c>
      <c r="HT123" s="889" t="str">
        <f t="shared" si="978"/>
        <v/>
      </c>
      <c r="HU123" s="890" t="str">
        <f t="shared" si="979"/>
        <v/>
      </c>
      <c r="HV123" s="886" t="str">
        <f t="shared" si="980"/>
        <v/>
      </c>
      <c r="HW123" s="880" t="str">
        <f t="shared" si="981"/>
        <v/>
      </c>
      <c r="HX123" s="881" t="str">
        <f t="shared" si="982"/>
        <v/>
      </c>
      <c r="HY123" s="880" t="str">
        <f t="shared" si="983"/>
        <v/>
      </c>
      <c r="HZ123" s="882" t="str">
        <f t="shared" si="984"/>
        <v/>
      </c>
      <c r="IA123" s="883" t="str">
        <f t="shared" si="985"/>
        <v/>
      </c>
      <c r="IB123" s="884" t="str">
        <f t="shared" si="986"/>
        <v/>
      </c>
      <c r="IC123" s="855" t="str">
        <f t="shared" si="987"/>
        <v/>
      </c>
      <c r="ID123" s="351" t="str">
        <f t="shared" si="988"/>
        <v/>
      </c>
      <c r="IE123" s="857" t="str">
        <f t="shared" si="989"/>
        <v/>
      </c>
      <c r="IF123" s="858"/>
      <c r="IG123" s="790" t="str">
        <f>IFERROR(IF($IW123="","",IF($IW123&lt;(((Settings!$C$19/2)*-1)*$IG$8),"Taper","Nose")),"")</f>
        <v/>
      </c>
      <c r="IH123" s="482" t="str">
        <f>IFERROR(IF((((($IY123*COS(RADIANS(180-$JA123)))*COS(RADIANS($JA123)))-(($IZ123*SIN(RADIANS(180-$JA123)))*SIN(RADIANS($JA123))))+$IW123)&lt;(((Settings!$C$19+$IH$8)/2)*-1),"Gage",""),"")</f>
        <v/>
      </c>
      <c r="II123" s="788" t="str">
        <f t="shared" si="855"/>
        <v/>
      </c>
      <c r="IJ123" s="674" t="str" cm="1">
        <f t="array" ref="IJ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K123" s="677" t="str" cm="1">
        <f t="array" ref="IK123">IFERROR(ROUND(VALUE(IF($IJ123&lt;1,$IJ123+LARGE((IF($M$9:$M$150="",0,$M$9:$M$150)-MOD(IF($M$9:$M$150="",0,$M$9:$M$150),1)),1),$IJ123)),4),"")</f>
        <v/>
      </c>
      <c r="IL123" s="482" t="str">
        <f t="shared" si="990"/>
        <v/>
      </c>
      <c r="IM123" s="482" t="str">
        <f t="shared" si="856"/>
        <v/>
      </c>
      <c r="IN123" s="670" t="str">
        <f t="shared" si="991"/>
        <v/>
      </c>
      <c r="IO123" s="702"/>
      <c r="IP123" s="5" t="str">
        <f t="shared" si="992"/>
        <v/>
      </c>
      <c r="IQ123" s="714"/>
      <c r="IR123" s="9" t="str">
        <f t="shared" si="993"/>
        <v/>
      </c>
      <c r="IS123" s="5" t="str">
        <f t="shared" si="994"/>
        <v/>
      </c>
      <c r="IT123" s="5" t="str">
        <f t="shared" si="995"/>
        <v/>
      </c>
      <c r="IU123" s="5" t="str">
        <f t="shared" si="996"/>
        <v/>
      </c>
      <c r="IV123" s="670" t="str">
        <f t="shared" si="997"/>
        <v/>
      </c>
      <c r="IW123" s="9" t="str">
        <f t="shared" si="998"/>
        <v/>
      </c>
      <c r="IX123" s="5" t="str">
        <f t="shared" si="999"/>
        <v/>
      </c>
      <c r="IY123" s="5" t="str">
        <f t="shared" si="1000"/>
        <v/>
      </c>
      <c r="IZ123" s="5" t="str">
        <f t="shared" si="1001"/>
        <v/>
      </c>
      <c r="JA123" s="705" t="str">
        <f t="shared" si="1002"/>
        <v/>
      </c>
      <c r="JN123" s="960"/>
      <c r="JO123" s="162"/>
      <c r="JP123" s="961"/>
      <c r="JQ123" s="961"/>
    </row>
    <row r="124" spans="1:277" ht="15" customHeight="1" x14ac:dyDescent="0.25">
      <c r="A124" s="75" t="str">
        <f t="shared" si="917"/>
        <v/>
      </c>
      <c r="B124" s="578" t="str">
        <f t="shared" ref="B124:D124" si="1065">IFERROR(O279+($A124*-E124),"")</f>
        <v/>
      </c>
      <c r="C124" s="572" t="str">
        <f t="shared" si="1065"/>
        <v/>
      </c>
      <c r="D124" s="576" t="str">
        <f t="shared" si="1065"/>
        <v/>
      </c>
      <c r="E124" s="580" t="str">
        <f t="shared" ref="E124:K124" si="1066">R279</f>
        <v/>
      </c>
      <c r="F124" s="572" t="str">
        <f t="shared" si="1066"/>
        <v/>
      </c>
      <c r="G124" s="579" t="str">
        <f t="shared" si="1066"/>
        <v/>
      </c>
      <c r="H124" s="580" t="str">
        <f t="shared" si="1066"/>
        <v/>
      </c>
      <c r="I124" s="572" t="str">
        <f t="shared" si="1066"/>
        <v/>
      </c>
      <c r="J124" s="483" t="str">
        <f t="shared" si="728"/>
        <v/>
      </c>
      <c r="K124" s="806" t="str">
        <f t="shared" si="1066"/>
        <v/>
      </c>
      <c r="L124" s="309"/>
      <c r="M124" s="164" t="str">
        <f t="shared" si="920"/>
        <v/>
      </c>
      <c r="N124" s="575" t="str">
        <f t="shared" si="921"/>
        <v/>
      </c>
      <c r="O124" s="572" t="str">
        <f t="shared" si="922"/>
        <v/>
      </c>
      <c r="P124" s="576" t="str">
        <f t="shared" si="923"/>
        <v/>
      </c>
      <c r="Q124" s="528" t="str">
        <f t="shared" si="729"/>
        <v/>
      </c>
      <c r="R124" s="572" t="str">
        <f t="shared" si="1005"/>
        <v/>
      </c>
      <c r="S124" s="577" t="str">
        <f t="shared" si="1006"/>
        <v/>
      </c>
      <c r="T124" s="578" t="str">
        <f t="shared" si="1007"/>
        <v/>
      </c>
      <c r="U124" s="572" t="str">
        <f t="shared" si="1008"/>
        <v/>
      </c>
      <c r="V124" s="579" t="str">
        <f t="shared" si="1009"/>
        <v/>
      </c>
      <c r="W124" s="528" t="str">
        <f t="shared" si="866"/>
        <v/>
      </c>
      <c r="X124" s="572" t="str">
        <f t="shared" si="1010"/>
        <v/>
      </c>
      <c r="Y124" s="573" t="str">
        <f t="shared" si="859"/>
        <v/>
      </c>
      <c r="Z124" s="575" t="str">
        <f t="shared" si="924"/>
        <v/>
      </c>
      <c r="AA124" s="572" t="str">
        <f t="shared" si="925"/>
        <v/>
      </c>
      <c r="AB124" s="572" t="str">
        <f t="shared" si="926"/>
        <v/>
      </c>
      <c r="AC124" s="579" t="str">
        <f t="shared" si="1011"/>
        <v/>
      </c>
      <c r="AD124" s="580" t="str">
        <f t="shared" si="1012"/>
        <v/>
      </c>
      <c r="AE124" s="572" t="str">
        <f t="shared" si="1013"/>
        <v/>
      </c>
      <c r="AF124" s="576" t="str">
        <f t="shared" si="1014"/>
        <v/>
      </c>
      <c r="AG124" s="545" t="str">
        <f t="shared" si="1015"/>
        <v/>
      </c>
      <c r="AH124" s="546" t="str">
        <f t="shared" si="1016"/>
        <v/>
      </c>
      <c r="AI124" s="528" t="str">
        <f t="shared" si="1017"/>
        <v/>
      </c>
      <c r="AJ124" s="529" t="str">
        <f t="shared" si="1018"/>
        <v/>
      </c>
      <c r="AK124" s="578" t="str">
        <f t="shared" si="1019"/>
        <v/>
      </c>
      <c r="AL124" s="572" t="str">
        <f t="shared" si="1020"/>
        <v/>
      </c>
      <c r="AM124" s="577" t="str">
        <f t="shared" si="1021"/>
        <v/>
      </c>
      <c r="AN124" s="524" t="str">
        <f t="shared" si="1022"/>
        <v/>
      </c>
      <c r="AO124" s="525" t="str">
        <f t="shared" si="1058"/>
        <v/>
      </c>
      <c r="AP124" s="528" t="str">
        <f t="shared" si="1023"/>
        <v/>
      </c>
      <c r="AQ124" s="529" t="str">
        <f t="shared" si="927"/>
        <v/>
      </c>
      <c r="AS124" s="954" t="str">
        <f t="shared" si="1029"/>
        <v/>
      </c>
      <c r="AT124" s="950" t="str">
        <f t="shared" si="928"/>
        <v/>
      </c>
      <c r="AU124" s="418"/>
      <c r="AV124" s="164" t="str">
        <f t="shared" si="929"/>
        <v/>
      </c>
      <c r="AW124" s="797" t="str">
        <f>IFERROR(INDEX(MassProp!C$9:C$150,MATCH($M124,MassProp!$B$9:$B$150,0)),"")</f>
        <v/>
      </c>
      <c r="AX124" s="744" t="str">
        <f>IFERROR(INDEX(MassProp!D$9:D$150,MATCH($M124,MassProp!$B$9:$B$150,0)),"")</f>
        <v/>
      </c>
      <c r="AY124" s="731" t="str">
        <f>IFERROR(INDEX(MassProp!E$9:E$150,MATCH($M124,MassProp!$B$9:$B$150,0)),"")</f>
        <v/>
      </c>
      <c r="AZ124" s="297" t="str">
        <f t="shared" si="756"/>
        <v/>
      </c>
      <c r="BA124" s="296" t="str">
        <f t="shared" si="930"/>
        <v/>
      </c>
      <c r="BB124" s="177" t="str">
        <f t="shared" si="730"/>
        <v/>
      </c>
      <c r="BC124" s="9"/>
      <c r="BD124" s="5" t="str">
        <f t="shared" si="731"/>
        <v/>
      </c>
      <c r="BE124" s="6" t="str">
        <f t="shared" si="931"/>
        <v/>
      </c>
      <c r="BF124" s="4" t="str">
        <f t="shared" si="932"/>
        <v/>
      </c>
      <c r="BG124" s="5" t="str">
        <f t="shared" si="933"/>
        <v/>
      </c>
      <c r="BH124" s="10" t="str">
        <f t="shared" si="934"/>
        <v/>
      </c>
      <c r="BI124" s="9" t="str">
        <f t="shared" si="757"/>
        <v/>
      </c>
      <c r="BJ124" s="5" t="str">
        <f t="shared" si="935"/>
        <v/>
      </c>
      <c r="BK124" s="8" t="str">
        <f t="shared" si="936"/>
        <v/>
      </c>
      <c r="BL124" s="173" t="str">
        <f t="shared" si="937"/>
        <v/>
      </c>
      <c r="BM124" s="5" t="str">
        <f t="shared" si="938"/>
        <v/>
      </c>
      <c r="BN124" s="6" t="str">
        <f t="shared" si="939"/>
        <v/>
      </c>
      <c r="BO124" s="4" t="str">
        <f t="shared" si="758"/>
        <v/>
      </c>
      <c r="BP124" s="5" t="str">
        <f t="shared" si="759"/>
        <v/>
      </c>
      <c r="BQ124" s="5" t="str">
        <f t="shared" si="760"/>
        <v/>
      </c>
      <c r="BR124" s="6" t="str">
        <f t="shared" si="761"/>
        <v/>
      </c>
      <c r="BS124" s="4" t="str">
        <f t="shared" si="1024"/>
        <v/>
      </c>
      <c r="BT124" s="5" t="str">
        <f t="shared" si="1024"/>
        <v/>
      </c>
      <c r="BU124" s="10" t="str">
        <f t="shared" si="733"/>
        <v/>
      </c>
      <c r="BV124" s="9" t="str">
        <f t="shared" si="734"/>
        <v/>
      </c>
      <c r="BW124" s="5" t="str">
        <f t="shared" si="735"/>
        <v/>
      </c>
      <c r="BX124" s="8" t="str">
        <f t="shared" si="736"/>
        <v/>
      </c>
      <c r="BY124" s="173" t="str">
        <f t="shared" si="737"/>
        <v/>
      </c>
      <c r="BZ124" s="5" t="str">
        <f t="shared" si="738"/>
        <v/>
      </c>
      <c r="CA124" s="6" t="str">
        <f t="shared" si="739"/>
        <v/>
      </c>
      <c r="CB124" s="4" t="str">
        <f t="shared" si="762"/>
        <v/>
      </c>
      <c r="CC124" s="5" t="str">
        <f t="shared" si="763"/>
        <v/>
      </c>
      <c r="CD124" s="5" t="str">
        <f t="shared" si="764"/>
        <v/>
      </c>
      <c r="CE124" s="6" t="str">
        <f t="shared" si="765"/>
        <v/>
      </c>
      <c r="CF124" s="4" t="str">
        <f t="shared" si="766"/>
        <v/>
      </c>
      <c r="CG124" s="5" t="str">
        <f t="shared" si="767"/>
        <v/>
      </c>
      <c r="CH124" s="5" t="str">
        <f t="shared" si="768"/>
        <v/>
      </c>
      <c r="CI124" s="4" t="str">
        <f t="shared" si="740"/>
        <v/>
      </c>
      <c r="CJ124" s="5" t="str">
        <f t="shared" si="741"/>
        <v/>
      </c>
      <c r="CK124" s="8" t="str">
        <f t="shared" si="742"/>
        <v/>
      </c>
      <c r="CL124" s="173" t="str">
        <f t="shared" si="743"/>
        <v/>
      </c>
      <c r="CM124" s="5" t="str">
        <f t="shared" si="744"/>
        <v/>
      </c>
      <c r="CN124" s="6" t="str">
        <f t="shared" si="745"/>
        <v/>
      </c>
      <c r="CO124" s="167" t="str">
        <f t="shared" si="940"/>
        <v/>
      </c>
      <c r="CP124" s="4" t="str">
        <f t="shared" si="769"/>
        <v/>
      </c>
      <c r="CQ124" s="5" t="str">
        <f t="shared" si="770"/>
        <v/>
      </c>
      <c r="CR124" s="5" t="str">
        <f t="shared" si="771"/>
        <v/>
      </c>
      <c r="CS124" s="8" t="str">
        <f t="shared" si="772"/>
        <v/>
      </c>
      <c r="CT124" s="9" t="str">
        <f t="shared" si="773"/>
        <v/>
      </c>
      <c r="CU124" s="6" t="str">
        <f t="shared" si="774"/>
        <v/>
      </c>
      <c r="CV124" s="4" t="str">
        <f t="shared" si="775"/>
        <v/>
      </c>
      <c r="CW124" s="5" t="str">
        <f t="shared" si="776"/>
        <v/>
      </c>
      <c r="CX124" s="8" t="str">
        <f t="shared" si="777"/>
        <v/>
      </c>
      <c r="CY124" s="9" t="str">
        <f t="shared" si="778"/>
        <v/>
      </c>
      <c r="CZ124" s="5" t="str">
        <f t="shared" si="779"/>
        <v/>
      </c>
      <c r="DA124" s="6" t="str">
        <f t="shared" si="780"/>
        <v/>
      </c>
      <c r="DB124" s="4" t="str">
        <f t="shared" si="1030"/>
        <v/>
      </c>
      <c r="DC124" s="5" t="str">
        <f t="shared" si="1030"/>
        <v/>
      </c>
      <c r="DD124" s="10" t="str">
        <f t="shared" si="782"/>
        <v/>
      </c>
      <c r="DE124" s="9" t="str">
        <f t="shared" si="1031"/>
        <v/>
      </c>
      <c r="DF124" s="5" t="str">
        <f t="shared" si="1031"/>
        <v/>
      </c>
      <c r="DG124" s="10" t="str">
        <f t="shared" si="784"/>
        <v/>
      </c>
      <c r="DH124" s="70" t="str">
        <f t="shared" si="785"/>
        <v/>
      </c>
      <c r="DI124" s="4" t="str">
        <f t="shared" si="786"/>
        <v/>
      </c>
      <c r="DJ124" s="5" t="str">
        <f t="shared" si="787"/>
        <v/>
      </c>
      <c r="DK124" s="10" t="str">
        <f t="shared" si="788"/>
        <v/>
      </c>
      <c r="DL124" s="9" t="str">
        <f t="shared" si="789"/>
        <v/>
      </c>
      <c r="DM124" s="173" t="str">
        <f t="shared" si="790"/>
        <v/>
      </c>
      <c r="DN124" s="178" t="str">
        <f t="shared" si="791"/>
        <v/>
      </c>
      <c r="DO124" s="9" t="str">
        <f t="shared" si="792"/>
        <v/>
      </c>
      <c r="DP124" s="173" t="str">
        <f t="shared" si="793"/>
        <v/>
      </c>
      <c r="DQ124" s="11" t="str">
        <f t="shared" si="794"/>
        <v/>
      </c>
      <c r="DR124" s="173" t="str">
        <f t="shared" si="795"/>
        <v/>
      </c>
      <c r="DS124" s="5" t="str">
        <f t="shared" si="796"/>
        <v/>
      </c>
      <c r="DT124" s="5" t="str">
        <f t="shared" si="797"/>
        <v/>
      </c>
      <c r="DU124" s="5" t="str">
        <f t="shared" si="798"/>
        <v/>
      </c>
      <c r="DV124" s="5" t="str">
        <f t="shared" si="799"/>
        <v/>
      </c>
      <c r="DW124" s="5" t="str">
        <f t="shared" si="800"/>
        <v/>
      </c>
      <c r="DX124" s="167" t="str">
        <f t="shared" si="801"/>
        <v/>
      </c>
      <c r="DY124" s="9" t="str">
        <f t="shared" si="802"/>
        <v/>
      </c>
      <c r="DZ124" s="5" t="str">
        <f t="shared" si="803"/>
        <v/>
      </c>
      <c r="EA124" s="10" t="str">
        <f t="shared" si="804"/>
        <v/>
      </c>
      <c r="EB124" s="6" t="str">
        <f t="shared" si="805"/>
        <v/>
      </c>
      <c r="EC124" s="173" t="str">
        <f t="shared" si="806"/>
        <v/>
      </c>
      <c r="ED124" s="5" t="str">
        <f t="shared" si="807"/>
        <v/>
      </c>
      <c r="EE124" s="4" t="str">
        <f t="shared" si="808"/>
        <v/>
      </c>
      <c r="EF124" s="5" t="str">
        <f t="shared" si="809"/>
        <v/>
      </c>
      <c r="EG124" s="10" t="str">
        <f t="shared" si="810"/>
        <v/>
      </c>
      <c r="EH124" s="9" t="str">
        <f t="shared" si="811"/>
        <v/>
      </c>
      <c r="EI124" s="5" t="str">
        <f t="shared" si="812"/>
        <v/>
      </c>
      <c r="EJ124" s="6" t="str">
        <f t="shared" si="813"/>
        <v/>
      </c>
      <c r="EK124" s="236" t="str">
        <f t="shared" si="814"/>
        <v/>
      </c>
      <c r="EL124" s="238" t="str">
        <f t="shared" si="815"/>
        <v/>
      </c>
      <c r="EM124" s="4" t="str">
        <f t="shared" si="816"/>
        <v/>
      </c>
      <c r="EN124" s="5" t="str">
        <f t="shared" si="817"/>
        <v/>
      </c>
      <c r="EO124" s="10" t="str">
        <f t="shared" si="818"/>
        <v/>
      </c>
      <c r="EP124" s="9" t="str">
        <f t="shared" si="819"/>
        <v/>
      </c>
      <c r="EQ124" s="5" t="str">
        <f t="shared" si="820"/>
        <v/>
      </c>
      <c r="ER124" s="7" t="str">
        <f t="shared" si="821"/>
        <v/>
      </c>
      <c r="ES124" s="21" t="str">
        <f t="shared" si="941"/>
        <v/>
      </c>
      <c r="ET124" s="5" t="str">
        <f t="shared" si="942"/>
        <v/>
      </c>
      <c r="EU124" s="10" t="str">
        <f t="shared" si="943"/>
        <v/>
      </c>
      <c r="EV124" s="174" t="str">
        <f t="shared" si="944"/>
        <v/>
      </c>
      <c r="EW124" s="9" t="str">
        <f t="shared" si="945"/>
        <v/>
      </c>
      <c r="EX124" s="5" t="str">
        <f t="shared" si="946"/>
        <v/>
      </c>
      <c r="EY124" s="6" t="str">
        <f t="shared" si="822"/>
        <v/>
      </c>
      <c r="EZ124" s="51" t="str">
        <f t="shared" si="823"/>
        <v/>
      </c>
      <c r="FA124" s="173" t="str">
        <f t="shared" si="947"/>
        <v/>
      </c>
      <c r="FB124" s="5" t="str">
        <f t="shared" si="948"/>
        <v/>
      </c>
      <c r="FC124" s="6" t="str">
        <f t="shared" si="949"/>
        <v/>
      </c>
      <c r="FD124" s="4" t="str">
        <f t="shared" si="950"/>
        <v/>
      </c>
      <c r="FE124" s="5" t="str">
        <f t="shared" si="951"/>
        <v/>
      </c>
      <c r="FF124" s="7" t="str">
        <f t="shared" si="824"/>
        <v/>
      </c>
      <c r="FG124" s="173" t="str">
        <f t="shared" si="952"/>
        <v/>
      </c>
      <c r="FH124" s="5" t="str">
        <f t="shared" si="953"/>
        <v/>
      </c>
      <c r="FI124" s="10" t="str">
        <f t="shared" si="954"/>
        <v/>
      </c>
      <c r="FJ124" s="279" t="str">
        <f t="shared" si="825"/>
        <v/>
      </c>
      <c r="FK124" s="4" t="str">
        <f t="shared" si="955"/>
        <v/>
      </c>
      <c r="FL124" s="5" t="str">
        <f t="shared" si="746"/>
        <v/>
      </c>
      <c r="FM124" s="8" t="str">
        <f t="shared" si="747"/>
        <v/>
      </c>
      <c r="FN124" s="9" t="str">
        <f t="shared" si="748"/>
        <v/>
      </c>
      <c r="FO124" s="10" t="str">
        <f t="shared" si="956"/>
        <v/>
      </c>
      <c r="FP124" s="277" t="str">
        <f t="shared" si="749"/>
        <v/>
      </c>
      <c r="FQ124" s="173" t="str">
        <f t="shared" si="826"/>
        <v/>
      </c>
      <c r="FR124" s="10" t="str">
        <f t="shared" si="827"/>
        <v/>
      </c>
      <c r="FS124" s="9" t="str">
        <f t="shared" si="828"/>
        <v/>
      </c>
      <c r="FT124" s="6" t="str">
        <f t="shared" si="829"/>
        <v/>
      </c>
      <c r="FU124" s="4" t="str">
        <f t="shared" si="830"/>
        <v/>
      </c>
      <c r="FV124" s="5" t="str">
        <f t="shared" si="831"/>
        <v/>
      </c>
      <c r="FW124" s="8" t="str">
        <f t="shared" si="832"/>
        <v/>
      </c>
      <c r="FX124" s="9" t="str">
        <f t="shared" si="833"/>
        <v/>
      </c>
      <c r="FY124" s="10" t="str">
        <f t="shared" si="957"/>
        <v/>
      </c>
      <c r="FZ124" s="277" t="str">
        <f t="shared" si="834"/>
        <v/>
      </c>
      <c r="GA124" s="177" t="str">
        <f t="shared" si="835"/>
        <v/>
      </c>
      <c r="GB124" s="4" t="str">
        <f t="shared" si="836"/>
        <v/>
      </c>
      <c r="GC124" s="5" t="str">
        <f t="shared" si="837"/>
        <v/>
      </c>
      <c r="GD124" s="10" t="str">
        <f t="shared" si="838"/>
        <v/>
      </c>
      <c r="GE124" s="311" t="str">
        <f t="shared" si="839"/>
        <v/>
      </c>
      <c r="GF124" s="341" t="str">
        <f t="shared" si="840"/>
        <v/>
      </c>
      <c r="GG124" s="285" t="str">
        <f t="shared" si="958"/>
        <v/>
      </c>
      <c r="GH124" s="286" t="str">
        <f t="shared" si="959"/>
        <v/>
      </c>
      <c r="GI124" s="281" t="str">
        <f t="shared" si="960"/>
        <v/>
      </c>
      <c r="GJ124" s="167" t="str">
        <f t="shared" si="841"/>
        <v/>
      </c>
      <c r="GK124" s="174" t="str">
        <f t="shared" si="961"/>
        <v/>
      </c>
      <c r="GL124" s="174" t="str">
        <f t="shared" si="842"/>
        <v/>
      </c>
      <c r="GM124" s="177" t="str">
        <f t="shared" si="843"/>
        <v/>
      </c>
      <c r="GN124" s="280" t="str">
        <f t="shared" si="844"/>
        <v/>
      </c>
      <c r="GO124" s="4" t="str">
        <f t="shared" si="845"/>
        <v/>
      </c>
      <c r="GP124" s="8" t="str">
        <f t="shared" si="846"/>
        <v/>
      </c>
      <c r="GQ124" s="177" t="str">
        <f t="shared" si="847"/>
        <v/>
      </c>
      <c r="GR124" s="371" t="str">
        <f t="shared" si="848"/>
        <v/>
      </c>
      <c r="GS124" s="342" t="str">
        <f t="shared" si="962"/>
        <v/>
      </c>
      <c r="GT124" s="343" t="str">
        <f t="shared" si="963"/>
        <v/>
      </c>
      <c r="GU124" s="344" t="str">
        <f t="shared" si="964"/>
        <v/>
      </c>
      <c r="GV124" s="343" t="str">
        <f t="shared" si="849"/>
        <v/>
      </c>
      <c r="GW124" s="345" t="str">
        <f t="shared" si="965"/>
        <v/>
      </c>
      <c r="GX124" s="346" t="str">
        <f t="shared" si="966"/>
        <v/>
      </c>
      <c r="GY124" s="344" t="str">
        <f t="shared" si="967"/>
        <v/>
      </c>
      <c r="GZ124" s="345" t="str">
        <f t="shared" si="968"/>
        <v/>
      </c>
      <c r="HA124" s="342" t="str">
        <f t="shared" si="969"/>
        <v/>
      </c>
      <c r="HB124" s="5" t="str">
        <f t="shared" si="850"/>
        <v/>
      </c>
      <c r="HC124" s="343" t="str">
        <f t="shared" si="851"/>
        <v/>
      </c>
      <c r="HD124" s="363" t="str">
        <f t="shared" si="852"/>
        <v/>
      </c>
      <c r="HE124" s="344" t="str">
        <f t="shared" si="970"/>
        <v/>
      </c>
      <c r="HF124" s="5" t="str">
        <f t="shared" si="971"/>
        <v/>
      </c>
      <c r="HG124" s="343" t="str">
        <f t="shared" si="853"/>
        <v/>
      </c>
      <c r="HH124" s="349" t="str">
        <f t="shared" si="854"/>
        <v/>
      </c>
      <c r="HI124" s="317" t="str">
        <f t="shared" si="972"/>
        <v/>
      </c>
      <c r="HK124" s="310" t="str">
        <f t="shared" si="1025"/>
        <v/>
      </c>
      <c r="HL124" s="348" t="str">
        <f t="shared" si="973"/>
        <v/>
      </c>
      <c r="HM124" s="923" t="str">
        <f t="shared" si="974"/>
        <v/>
      </c>
      <c r="HN124" s="924" t="str">
        <f t="shared" si="975"/>
        <v/>
      </c>
      <c r="HO124" s="925"/>
      <c r="HP124" s="926"/>
      <c r="HQ124" s="924" t="str">
        <f t="shared" si="976"/>
        <v/>
      </c>
      <c r="HR124" s="927" t="str">
        <f t="shared" si="977"/>
        <v/>
      </c>
      <c r="HS124" s="879" t="str">
        <f t="shared" si="1026"/>
        <v/>
      </c>
      <c r="HT124" s="889" t="str">
        <f t="shared" si="978"/>
        <v/>
      </c>
      <c r="HU124" s="890" t="str">
        <f t="shared" si="979"/>
        <v/>
      </c>
      <c r="HV124" s="886" t="str">
        <f t="shared" si="980"/>
        <v/>
      </c>
      <c r="HW124" s="880" t="str">
        <f t="shared" si="981"/>
        <v/>
      </c>
      <c r="HX124" s="881" t="str">
        <f t="shared" si="982"/>
        <v/>
      </c>
      <c r="HY124" s="880" t="str">
        <f t="shared" si="983"/>
        <v/>
      </c>
      <c r="HZ124" s="882" t="str">
        <f t="shared" si="984"/>
        <v/>
      </c>
      <c r="IA124" s="883" t="str">
        <f t="shared" si="985"/>
        <v/>
      </c>
      <c r="IB124" s="884" t="str">
        <f t="shared" si="986"/>
        <v/>
      </c>
      <c r="IC124" s="855" t="str">
        <f t="shared" si="987"/>
        <v/>
      </c>
      <c r="ID124" s="351" t="str">
        <f t="shared" si="988"/>
        <v/>
      </c>
      <c r="IE124" s="857" t="str">
        <f t="shared" si="989"/>
        <v/>
      </c>
      <c r="IF124" s="858"/>
      <c r="IG124" s="790" t="str">
        <f>IFERROR(IF($IW124="","",IF($IW124&lt;(((Settings!$C$19/2)*-1)*$IG$8),"Taper","Nose")),"")</f>
        <v/>
      </c>
      <c r="IH124" s="482" t="str">
        <f>IFERROR(IF((((($IY124*COS(RADIANS(180-$JA124)))*COS(RADIANS($JA124)))-(($IZ124*SIN(RADIANS(180-$JA124)))*SIN(RADIANS($JA124))))+$IW124)&lt;(((Settings!$C$19+$IH$8)/2)*-1),"Gage",""),"")</f>
        <v/>
      </c>
      <c r="II124" s="788" t="str">
        <f t="shared" si="855"/>
        <v/>
      </c>
      <c r="IJ124" s="674" t="str" cm="1">
        <f t="array" ref="IJ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K124" s="677" t="str" cm="1">
        <f t="array" ref="IK124">IFERROR(ROUND(VALUE(IF($IJ124&lt;1,$IJ124+LARGE((IF($M$9:$M$150="",0,$M$9:$M$150)-MOD(IF($M$9:$M$150="",0,$M$9:$M$150),1)),1),$IJ124)),4),"")</f>
        <v/>
      </c>
      <c r="IL124" s="482" t="str">
        <f t="shared" si="990"/>
        <v/>
      </c>
      <c r="IM124" s="482" t="str">
        <f t="shared" si="856"/>
        <v/>
      </c>
      <c r="IN124" s="670" t="str">
        <f t="shared" si="991"/>
        <v/>
      </c>
      <c r="IO124" s="702"/>
      <c r="IP124" s="5" t="str">
        <f t="shared" si="992"/>
        <v/>
      </c>
      <c r="IQ124" s="714"/>
      <c r="IR124" s="9" t="str">
        <f t="shared" si="993"/>
        <v/>
      </c>
      <c r="IS124" s="5" t="str">
        <f t="shared" si="994"/>
        <v/>
      </c>
      <c r="IT124" s="5" t="str">
        <f t="shared" si="995"/>
        <v/>
      </c>
      <c r="IU124" s="5" t="str">
        <f t="shared" si="996"/>
        <v/>
      </c>
      <c r="IV124" s="670" t="str">
        <f t="shared" si="997"/>
        <v/>
      </c>
      <c r="IW124" s="9" t="str">
        <f t="shared" si="998"/>
        <v/>
      </c>
      <c r="IX124" s="5" t="str">
        <f t="shared" si="999"/>
        <v/>
      </c>
      <c r="IY124" s="5" t="str">
        <f t="shared" si="1000"/>
        <v/>
      </c>
      <c r="IZ124" s="5" t="str">
        <f t="shared" si="1001"/>
        <v/>
      </c>
      <c r="JA124" s="705" t="str">
        <f t="shared" si="1002"/>
        <v/>
      </c>
      <c r="JN124" s="960"/>
      <c r="JO124" s="162"/>
      <c r="JP124" s="961"/>
      <c r="JQ124" s="961"/>
    </row>
    <row r="125" spans="1:277" ht="15" customHeight="1" x14ac:dyDescent="0.25">
      <c r="A125" s="75" t="str">
        <f t="shared" si="917"/>
        <v/>
      </c>
      <c r="B125" s="578" t="str">
        <f t="shared" ref="B125:D125" si="1067">IFERROR(O280+($A125*-E125),"")</f>
        <v/>
      </c>
      <c r="C125" s="572" t="str">
        <f t="shared" si="1067"/>
        <v/>
      </c>
      <c r="D125" s="576" t="str">
        <f t="shared" si="1067"/>
        <v/>
      </c>
      <c r="E125" s="580" t="str">
        <f t="shared" ref="E125:K125" si="1068">R280</f>
        <v/>
      </c>
      <c r="F125" s="572" t="str">
        <f t="shared" si="1068"/>
        <v/>
      </c>
      <c r="G125" s="579" t="str">
        <f t="shared" si="1068"/>
        <v/>
      </c>
      <c r="H125" s="580" t="str">
        <f t="shared" si="1068"/>
        <v/>
      </c>
      <c r="I125" s="572" t="str">
        <f t="shared" si="1068"/>
        <v/>
      </c>
      <c r="J125" s="483" t="str">
        <f t="shared" si="728"/>
        <v/>
      </c>
      <c r="K125" s="806" t="str">
        <f t="shared" si="1068"/>
        <v/>
      </c>
      <c r="L125" s="309"/>
      <c r="M125" s="164" t="str">
        <f t="shared" si="920"/>
        <v/>
      </c>
      <c r="N125" s="575" t="str">
        <f t="shared" si="921"/>
        <v/>
      </c>
      <c r="O125" s="572" t="str">
        <f t="shared" si="922"/>
        <v/>
      </c>
      <c r="P125" s="576" t="str">
        <f t="shared" si="923"/>
        <v/>
      </c>
      <c r="Q125" s="528" t="str">
        <f t="shared" si="729"/>
        <v/>
      </c>
      <c r="R125" s="572" t="str">
        <f t="shared" si="1005"/>
        <v/>
      </c>
      <c r="S125" s="577" t="str">
        <f t="shared" si="1006"/>
        <v/>
      </c>
      <c r="T125" s="578" t="str">
        <f t="shared" si="1007"/>
        <v/>
      </c>
      <c r="U125" s="572" t="str">
        <f t="shared" si="1008"/>
        <v/>
      </c>
      <c r="V125" s="579" t="str">
        <f t="shared" si="1009"/>
        <v/>
      </c>
      <c r="W125" s="528" t="str">
        <f t="shared" si="866"/>
        <v/>
      </c>
      <c r="X125" s="572" t="str">
        <f t="shared" si="1010"/>
        <v/>
      </c>
      <c r="Y125" s="573" t="str">
        <f t="shared" si="859"/>
        <v/>
      </c>
      <c r="Z125" s="575" t="str">
        <f t="shared" si="924"/>
        <v/>
      </c>
      <c r="AA125" s="572" t="str">
        <f t="shared" si="925"/>
        <v/>
      </c>
      <c r="AB125" s="572" t="str">
        <f t="shared" si="926"/>
        <v/>
      </c>
      <c r="AC125" s="579" t="str">
        <f t="shared" si="1011"/>
        <v/>
      </c>
      <c r="AD125" s="580" t="str">
        <f t="shared" si="1012"/>
        <v/>
      </c>
      <c r="AE125" s="572" t="str">
        <f t="shared" si="1013"/>
        <v/>
      </c>
      <c r="AF125" s="576" t="str">
        <f t="shared" si="1014"/>
        <v/>
      </c>
      <c r="AG125" s="545" t="str">
        <f t="shared" si="1015"/>
        <v/>
      </c>
      <c r="AH125" s="546" t="str">
        <f t="shared" si="1016"/>
        <v/>
      </c>
      <c r="AI125" s="528" t="str">
        <f t="shared" si="1017"/>
        <v/>
      </c>
      <c r="AJ125" s="529" t="str">
        <f t="shared" si="1018"/>
        <v/>
      </c>
      <c r="AK125" s="578" t="str">
        <f t="shared" si="1019"/>
        <v/>
      </c>
      <c r="AL125" s="572" t="str">
        <f t="shared" si="1020"/>
        <v/>
      </c>
      <c r="AM125" s="577" t="str">
        <f t="shared" si="1021"/>
        <v/>
      </c>
      <c r="AN125" s="524" t="str">
        <f t="shared" si="1022"/>
        <v/>
      </c>
      <c r="AO125" s="525" t="str">
        <f t="shared" si="1058"/>
        <v/>
      </c>
      <c r="AP125" s="528" t="str">
        <f t="shared" si="1023"/>
        <v/>
      </c>
      <c r="AQ125" s="529" t="str">
        <f t="shared" si="927"/>
        <v/>
      </c>
      <c r="AS125" s="954" t="str">
        <f t="shared" si="1029"/>
        <v/>
      </c>
      <c r="AT125" s="950" t="str">
        <f t="shared" si="928"/>
        <v/>
      </c>
      <c r="AU125" s="418"/>
      <c r="AV125" s="164" t="str">
        <f t="shared" si="929"/>
        <v/>
      </c>
      <c r="AW125" s="797" t="str">
        <f>IFERROR(INDEX(MassProp!C$9:C$150,MATCH($M125,MassProp!$B$9:$B$150,0)),"")</f>
        <v/>
      </c>
      <c r="AX125" s="744" t="str">
        <f>IFERROR(INDEX(MassProp!D$9:D$150,MATCH($M125,MassProp!$B$9:$B$150,0)),"")</f>
        <v/>
      </c>
      <c r="AY125" s="731" t="str">
        <f>IFERROR(INDEX(MassProp!E$9:E$150,MATCH($M125,MassProp!$B$9:$B$150,0)),"")</f>
        <v/>
      </c>
      <c r="AZ125" s="297" t="str">
        <f t="shared" si="756"/>
        <v/>
      </c>
      <c r="BA125" s="296" t="str">
        <f t="shared" si="930"/>
        <v/>
      </c>
      <c r="BB125" s="177" t="str">
        <f t="shared" si="730"/>
        <v/>
      </c>
      <c r="BC125" s="9"/>
      <c r="BD125" s="5" t="str">
        <f t="shared" si="731"/>
        <v/>
      </c>
      <c r="BE125" s="6" t="str">
        <f t="shared" si="931"/>
        <v/>
      </c>
      <c r="BF125" s="4" t="str">
        <f t="shared" si="932"/>
        <v/>
      </c>
      <c r="BG125" s="5" t="str">
        <f t="shared" si="933"/>
        <v/>
      </c>
      <c r="BH125" s="10" t="str">
        <f t="shared" si="934"/>
        <v/>
      </c>
      <c r="BI125" s="9" t="str">
        <f t="shared" si="757"/>
        <v/>
      </c>
      <c r="BJ125" s="5" t="str">
        <f t="shared" si="935"/>
        <v/>
      </c>
      <c r="BK125" s="8" t="str">
        <f t="shared" si="936"/>
        <v/>
      </c>
      <c r="BL125" s="173" t="str">
        <f t="shared" si="937"/>
        <v/>
      </c>
      <c r="BM125" s="5" t="str">
        <f t="shared" si="938"/>
        <v/>
      </c>
      <c r="BN125" s="6" t="str">
        <f t="shared" si="939"/>
        <v/>
      </c>
      <c r="BO125" s="4" t="str">
        <f t="shared" si="758"/>
        <v/>
      </c>
      <c r="BP125" s="5" t="str">
        <f t="shared" si="759"/>
        <v/>
      </c>
      <c r="BQ125" s="5" t="str">
        <f t="shared" si="760"/>
        <v/>
      </c>
      <c r="BR125" s="6" t="str">
        <f t="shared" si="761"/>
        <v/>
      </c>
      <c r="BS125" s="4" t="str">
        <f t="shared" si="1024"/>
        <v/>
      </c>
      <c r="BT125" s="5" t="str">
        <f t="shared" si="1024"/>
        <v/>
      </c>
      <c r="BU125" s="10" t="str">
        <f t="shared" si="733"/>
        <v/>
      </c>
      <c r="BV125" s="9" t="str">
        <f t="shared" si="734"/>
        <v/>
      </c>
      <c r="BW125" s="5" t="str">
        <f t="shared" si="735"/>
        <v/>
      </c>
      <c r="BX125" s="8" t="str">
        <f t="shared" si="736"/>
        <v/>
      </c>
      <c r="BY125" s="173" t="str">
        <f t="shared" si="737"/>
        <v/>
      </c>
      <c r="BZ125" s="5" t="str">
        <f t="shared" si="738"/>
        <v/>
      </c>
      <c r="CA125" s="6" t="str">
        <f t="shared" si="739"/>
        <v/>
      </c>
      <c r="CB125" s="4" t="str">
        <f t="shared" si="762"/>
        <v/>
      </c>
      <c r="CC125" s="5" t="str">
        <f t="shared" si="763"/>
        <v/>
      </c>
      <c r="CD125" s="5" t="str">
        <f t="shared" si="764"/>
        <v/>
      </c>
      <c r="CE125" s="6" t="str">
        <f t="shared" si="765"/>
        <v/>
      </c>
      <c r="CF125" s="4" t="str">
        <f t="shared" si="766"/>
        <v/>
      </c>
      <c r="CG125" s="5" t="str">
        <f t="shared" si="767"/>
        <v/>
      </c>
      <c r="CH125" s="5" t="str">
        <f t="shared" si="768"/>
        <v/>
      </c>
      <c r="CI125" s="4" t="str">
        <f t="shared" si="740"/>
        <v/>
      </c>
      <c r="CJ125" s="5" t="str">
        <f t="shared" si="741"/>
        <v/>
      </c>
      <c r="CK125" s="8" t="str">
        <f t="shared" si="742"/>
        <v/>
      </c>
      <c r="CL125" s="173" t="str">
        <f t="shared" si="743"/>
        <v/>
      </c>
      <c r="CM125" s="5" t="str">
        <f t="shared" si="744"/>
        <v/>
      </c>
      <c r="CN125" s="6" t="str">
        <f t="shared" si="745"/>
        <v/>
      </c>
      <c r="CO125" s="167" t="str">
        <f t="shared" si="940"/>
        <v/>
      </c>
      <c r="CP125" s="4" t="str">
        <f t="shared" si="769"/>
        <v/>
      </c>
      <c r="CQ125" s="5" t="str">
        <f t="shared" si="770"/>
        <v/>
      </c>
      <c r="CR125" s="5" t="str">
        <f t="shared" si="771"/>
        <v/>
      </c>
      <c r="CS125" s="8" t="str">
        <f t="shared" si="772"/>
        <v/>
      </c>
      <c r="CT125" s="9" t="str">
        <f t="shared" si="773"/>
        <v/>
      </c>
      <c r="CU125" s="6" t="str">
        <f t="shared" si="774"/>
        <v/>
      </c>
      <c r="CV125" s="4" t="str">
        <f t="shared" si="775"/>
        <v/>
      </c>
      <c r="CW125" s="5" t="str">
        <f t="shared" si="776"/>
        <v/>
      </c>
      <c r="CX125" s="8" t="str">
        <f t="shared" si="777"/>
        <v/>
      </c>
      <c r="CY125" s="9" t="str">
        <f t="shared" si="778"/>
        <v/>
      </c>
      <c r="CZ125" s="5" t="str">
        <f t="shared" si="779"/>
        <v/>
      </c>
      <c r="DA125" s="6" t="str">
        <f t="shared" si="780"/>
        <v/>
      </c>
      <c r="DB125" s="4" t="str">
        <f t="shared" si="1030"/>
        <v/>
      </c>
      <c r="DC125" s="5" t="str">
        <f t="shared" si="1030"/>
        <v/>
      </c>
      <c r="DD125" s="10" t="str">
        <f t="shared" si="782"/>
        <v/>
      </c>
      <c r="DE125" s="9" t="str">
        <f t="shared" si="1031"/>
        <v/>
      </c>
      <c r="DF125" s="5" t="str">
        <f t="shared" si="1031"/>
        <v/>
      </c>
      <c r="DG125" s="10" t="str">
        <f t="shared" si="784"/>
        <v/>
      </c>
      <c r="DH125" s="70" t="str">
        <f t="shared" si="785"/>
        <v/>
      </c>
      <c r="DI125" s="4" t="str">
        <f t="shared" si="786"/>
        <v/>
      </c>
      <c r="DJ125" s="5" t="str">
        <f t="shared" si="787"/>
        <v/>
      </c>
      <c r="DK125" s="10" t="str">
        <f t="shared" si="788"/>
        <v/>
      </c>
      <c r="DL125" s="9" t="str">
        <f t="shared" si="789"/>
        <v/>
      </c>
      <c r="DM125" s="173" t="str">
        <f t="shared" si="790"/>
        <v/>
      </c>
      <c r="DN125" s="178" t="str">
        <f t="shared" si="791"/>
        <v/>
      </c>
      <c r="DO125" s="9" t="str">
        <f t="shared" si="792"/>
        <v/>
      </c>
      <c r="DP125" s="173" t="str">
        <f t="shared" si="793"/>
        <v/>
      </c>
      <c r="DQ125" s="11" t="str">
        <f t="shared" si="794"/>
        <v/>
      </c>
      <c r="DR125" s="173" t="str">
        <f t="shared" si="795"/>
        <v/>
      </c>
      <c r="DS125" s="5" t="str">
        <f t="shared" si="796"/>
        <v/>
      </c>
      <c r="DT125" s="5" t="str">
        <f t="shared" si="797"/>
        <v/>
      </c>
      <c r="DU125" s="5" t="str">
        <f t="shared" si="798"/>
        <v/>
      </c>
      <c r="DV125" s="5" t="str">
        <f t="shared" si="799"/>
        <v/>
      </c>
      <c r="DW125" s="5" t="str">
        <f t="shared" si="800"/>
        <v/>
      </c>
      <c r="DX125" s="167" t="str">
        <f t="shared" si="801"/>
        <v/>
      </c>
      <c r="DY125" s="9" t="str">
        <f t="shared" si="802"/>
        <v/>
      </c>
      <c r="DZ125" s="5" t="str">
        <f t="shared" si="803"/>
        <v/>
      </c>
      <c r="EA125" s="10" t="str">
        <f t="shared" si="804"/>
        <v/>
      </c>
      <c r="EB125" s="6" t="str">
        <f t="shared" si="805"/>
        <v/>
      </c>
      <c r="EC125" s="173" t="str">
        <f t="shared" si="806"/>
        <v/>
      </c>
      <c r="ED125" s="5" t="str">
        <f t="shared" si="807"/>
        <v/>
      </c>
      <c r="EE125" s="4" t="str">
        <f t="shared" si="808"/>
        <v/>
      </c>
      <c r="EF125" s="5" t="str">
        <f t="shared" si="809"/>
        <v/>
      </c>
      <c r="EG125" s="10" t="str">
        <f t="shared" si="810"/>
        <v/>
      </c>
      <c r="EH125" s="9" t="str">
        <f t="shared" si="811"/>
        <v/>
      </c>
      <c r="EI125" s="5" t="str">
        <f t="shared" si="812"/>
        <v/>
      </c>
      <c r="EJ125" s="6" t="str">
        <f t="shared" si="813"/>
        <v/>
      </c>
      <c r="EK125" s="236" t="str">
        <f t="shared" si="814"/>
        <v/>
      </c>
      <c r="EL125" s="238" t="str">
        <f t="shared" si="815"/>
        <v/>
      </c>
      <c r="EM125" s="4" t="str">
        <f t="shared" si="816"/>
        <v/>
      </c>
      <c r="EN125" s="5" t="str">
        <f t="shared" si="817"/>
        <v/>
      </c>
      <c r="EO125" s="10" t="str">
        <f t="shared" si="818"/>
        <v/>
      </c>
      <c r="EP125" s="9" t="str">
        <f t="shared" si="819"/>
        <v/>
      </c>
      <c r="EQ125" s="5" t="str">
        <f t="shared" si="820"/>
        <v/>
      </c>
      <c r="ER125" s="7" t="str">
        <f t="shared" si="821"/>
        <v/>
      </c>
      <c r="ES125" s="21" t="str">
        <f t="shared" si="941"/>
        <v/>
      </c>
      <c r="ET125" s="5" t="str">
        <f t="shared" si="942"/>
        <v/>
      </c>
      <c r="EU125" s="10" t="str">
        <f t="shared" si="943"/>
        <v/>
      </c>
      <c r="EV125" s="174" t="str">
        <f t="shared" si="944"/>
        <v/>
      </c>
      <c r="EW125" s="9" t="str">
        <f t="shared" si="945"/>
        <v/>
      </c>
      <c r="EX125" s="5" t="str">
        <f t="shared" si="946"/>
        <v/>
      </c>
      <c r="EY125" s="6" t="str">
        <f t="shared" si="822"/>
        <v/>
      </c>
      <c r="EZ125" s="51" t="str">
        <f t="shared" si="823"/>
        <v/>
      </c>
      <c r="FA125" s="173" t="str">
        <f t="shared" si="947"/>
        <v/>
      </c>
      <c r="FB125" s="5" t="str">
        <f t="shared" si="948"/>
        <v/>
      </c>
      <c r="FC125" s="6" t="str">
        <f t="shared" si="949"/>
        <v/>
      </c>
      <c r="FD125" s="4" t="str">
        <f t="shared" si="950"/>
        <v/>
      </c>
      <c r="FE125" s="5" t="str">
        <f t="shared" si="951"/>
        <v/>
      </c>
      <c r="FF125" s="7" t="str">
        <f t="shared" si="824"/>
        <v/>
      </c>
      <c r="FG125" s="173" t="str">
        <f t="shared" si="952"/>
        <v/>
      </c>
      <c r="FH125" s="5" t="str">
        <f t="shared" si="953"/>
        <v/>
      </c>
      <c r="FI125" s="10" t="str">
        <f t="shared" si="954"/>
        <v/>
      </c>
      <c r="FJ125" s="279" t="str">
        <f t="shared" si="825"/>
        <v/>
      </c>
      <c r="FK125" s="4" t="str">
        <f t="shared" si="955"/>
        <v/>
      </c>
      <c r="FL125" s="5" t="str">
        <f t="shared" si="746"/>
        <v/>
      </c>
      <c r="FM125" s="8" t="str">
        <f t="shared" si="747"/>
        <v/>
      </c>
      <c r="FN125" s="9" t="str">
        <f t="shared" si="748"/>
        <v/>
      </c>
      <c r="FO125" s="10" t="str">
        <f t="shared" si="956"/>
        <v/>
      </c>
      <c r="FP125" s="277" t="str">
        <f t="shared" si="749"/>
        <v/>
      </c>
      <c r="FQ125" s="173" t="str">
        <f t="shared" si="826"/>
        <v/>
      </c>
      <c r="FR125" s="10" t="str">
        <f t="shared" si="827"/>
        <v/>
      </c>
      <c r="FS125" s="9" t="str">
        <f t="shared" si="828"/>
        <v/>
      </c>
      <c r="FT125" s="6" t="str">
        <f t="shared" si="829"/>
        <v/>
      </c>
      <c r="FU125" s="4" t="str">
        <f t="shared" si="830"/>
        <v/>
      </c>
      <c r="FV125" s="5" t="str">
        <f t="shared" si="831"/>
        <v/>
      </c>
      <c r="FW125" s="8" t="str">
        <f t="shared" si="832"/>
        <v/>
      </c>
      <c r="FX125" s="9" t="str">
        <f t="shared" si="833"/>
        <v/>
      </c>
      <c r="FY125" s="10" t="str">
        <f t="shared" si="957"/>
        <v/>
      </c>
      <c r="FZ125" s="277" t="str">
        <f t="shared" si="834"/>
        <v/>
      </c>
      <c r="GA125" s="177" t="str">
        <f t="shared" si="835"/>
        <v/>
      </c>
      <c r="GB125" s="4" t="str">
        <f t="shared" si="836"/>
        <v/>
      </c>
      <c r="GC125" s="5" t="str">
        <f t="shared" si="837"/>
        <v/>
      </c>
      <c r="GD125" s="10" t="str">
        <f t="shared" si="838"/>
        <v/>
      </c>
      <c r="GE125" s="311" t="str">
        <f t="shared" si="839"/>
        <v/>
      </c>
      <c r="GF125" s="341" t="str">
        <f t="shared" si="840"/>
        <v/>
      </c>
      <c r="GG125" s="285" t="str">
        <f t="shared" si="958"/>
        <v/>
      </c>
      <c r="GH125" s="286" t="str">
        <f t="shared" si="959"/>
        <v/>
      </c>
      <c r="GI125" s="281" t="str">
        <f t="shared" si="960"/>
        <v/>
      </c>
      <c r="GJ125" s="167" t="str">
        <f t="shared" si="841"/>
        <v/>
      </c>
      <c r="GK125" s="174" t="str">
        <f t="shared" si="961"/>
        <v/>
      </c>
      <c r="GL125" s="174" t="str">
        <f t="shared" si="842"/>
        <v/>
      </c>
      <c r="GM125" s="177" t="str">
        <f t="shared" si="843"/>
        <v/>
      </c>
      <c r="GN125" s="280" t="str">
        <f t="shared" si="844"/>
        <v/>
      </c>
      <c r="GO125" s="4" t="str">
        <f t="shared" si="845"/>
        <v/>
      </c>
      <c r="GP125" s="8" t="str">
        <f t="shared" si="846"/>
        <v/>
      </c>
      <c r="GQ125" s="177" t="str">
        <f t="shared" si="847"/>
        <v/>
      </c>
      <c r="GR125" s="371" t="str">
        <f t="shared" si="848"/>
        <v/>
      </c>
      <c r="GS125" s="342" t="str">
        <f t="shared" si="962"/>
        <v/>
      </c>
      <c r="GT125" s="343" t="str">
        <f t="shared" si="963"/>
        <v/>
      </c>
      <c r="GU125" s="344" t="str">
        <f t="shared" si="964"/>
        <v/>
      </c>
      <c r="GV125" s="343" t="str">
        <f t="shared" si="849"/>
        <v/>
      </c>
      <c r="GW125" s="345" t="str">
        <f t="shared" si="965"/>
        <v/>
      </c>
      <c r="GX125" s="346" t="str">
        <f t="shared" si="966"/>
        <v/>
      </c>
      <c r="GY125" s="344" t="str">
        <f t="shared" si="967"/>
        <v/>
      </c>
      <c r="GZ125" s="345" t="str">
        <f t="shared" si="968"/>
        <v/>
      </c>
      <c r="HA125" s="342" t="str">
        <f t="shared" si="969"/>
        <v/>
      </c>
      <c r="HB125" s="5" t="str">
        <f t="shared" si="850"/>
        <v/>
      </c>
      <c r="HC125" s="343" t="str">
        <f t="shared" si="851"/>
        <v/>
      </c>
      <c r="HD125" s="363" t="str">
        <f t="shared" si="852"/>
        <v/>
      </c>
      <c r="HE125" s="344" t="str">
        <f t="shared" si="970"/>
        <v/>
      </c>
      <c r="HF125" s="5" t="str">
        <f t="shared" si="971"/>
        <v/>
      </c>
      <c r="HG125" s="343" t="str">
        <f t="shared" si="853"/>
        <v/>
      </c>
      <c r="HH125" s="349" t="str">
        <f t="shared" si="854"/>
        <v/>
      </c>
      <c r="HI125" s="317" t="str">
        <f t="shared" si="972"/>
        <v/>
      </c>
      <c r="HK125" s="310" t="str">
        <f t="shared" si="1025"/>
        <v/>
      </c>
      <c r="HL125" s="348" t="str">
        <f t="shared" si="973"/>
        <v/>
      </c>
      <c r="HM125" s="923" t="str">
        <f t="shared" si="974"/>
        <v/>
      </c>
      <c r="HN125" s="924" t="str">
        <f t="shared" si="975"/>
        <v/>
      </c>
      <c r="HO125" s="925"/>
      <c r="HP125" s="926"/>
      <c r="HQ125" s="924" t="str">
        <f t="shared" si="976"/>
        <v/>
      </c>
      <c r="HR125" s="927" t="str">
        <f t="shared" si="977"/>
        <v/>
      </c>
      <c r="HS125" s="879" t="str">
        <f t="shared" si="1026"/>
        <v/>
      </c>
      <c r="HT125" s="889" t="str">
        <f t="shared" si="978"/>
        <v/>
      </c>
      <c r="HU125" s="890" t="str">
        <f t="shared" si="979"/>
        <v/>
      </c>
      <c r="HV125" s="886" t="str">
        <f t="shared" si="980"/>
        <v/>
      </c>
      <c r="HW125" s="880" t="str">
        <f t="shared" si="981"/>
        <v/>
      </c>
      <c r="HX125" s="881" t="str">
        <f t="shared" si="982"/>
        <v/>
      </c>
      <c r="HY125" s="880" t="str">
        <f t="shared" si="983"/>
        <v/>
      </c>
      <c r="HZ125" s="882" t="str">
        <f t="shared" si="984"/>
        <v/>
      </c>
      <c r="IA125" s="883" t="str">
        <f t="shared" si="985"/>
        <v/>
      </c>
      <c r="IB125" s="884" t="str">
        <f t="shared" si="986"/>
        <v/>
      </c>
      <c r="IC125" s="855" t="str">
        <f t="shared" si="987"/>
        <v/>
      </c>
      <c r="ID125" s="351" t="str">
        <f t="shared" si="988"/>
        <v/>
      </c>
      <c r="IE125" s="857" t="str">
        <f t="shared" si="989"/>
        <v/>
      </c>
      <c r="IF125" s="858"/>
      <c r="IG125" s="790" t="str">
        <f>IFERROR(IF($IW125="","",IF($IW125&lt;(((Settings!$C$19/2)*-1)*$IG$8),"Taper","Nose")),"")</f>
        <v/>
      </c>
      <c r="IH125" s="482" t="str">
        <f>IFERROR(IF((((($IY125*COS(RADIANS(180-$JA125)))*COS(RADIANS($JA125)))-(($IZ125*SIN(RADIANS(180-$JA125)))*SIN(RADIANS($JA125))))+$IW125)&lt;(((Settings!$C$19+$IH$8)/2)*-1),"Gage",""),"")</f>
        <v/>
      </c>
      <c r="II125" s="788" t="str">
        <f t="shared" si="855"/>
        <v/>
      </c>
      <c r="IJ125" s="674" t="str" cm="1">
        <f t="array" ref="IJ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K125" s="677" t="str" cm="1">
        <f t="array" ref="IK125">IFERROR(ROUND(VALUE(IF($IJ125&lt;1,$IJ125+LARGE((IF($M$9:$M$150="",0,$M$9:$M$150)-MOD(IF($M$9:$M$150="",0,$M$9:$M$150),1)),1),$IJ125)),4),"")</f>
        <v/>
      </c>
      <c r="IL125" s="482" t="str">
        <f t="shared" si="990"/>
        <v/>
      </c>
      <c r="IM125" s="482" t="str">
        <f t="shared" si="856"/>
        <v/>
      </c>
      <c r="IN125" s="670" t="str">
        <f t="shared" si="991"/>
        <v/>
      </c>
      <c r="IO125" s="702"/>
      <c r="IP125" s="5" t="str">
        <f t="shared" si="992"/>
        <v/>
      </c>
      <c r="IQ125" s="714"/>
      <c r="IR125" s="9" t="str">
        <f t="shared" si="993"/>
        <v/>
      </c>
      <c r="IS125" s="5" t="str">
        <f t="shared" si="994"/>
        <v/>
      </c>
      <c r="IT125" s="5" t="str">
        <f t="shared" si="995"/>
        <v/>
      </c>
      <c r="IU125" s="5" t="str">
        <f t="shared" si="996"/>
        <v/>
      </c>
      <c r="IV125" s="670" t="str">
        <f t="shared" si="997"/>
        <v/>
      </c>
      <c r="IW125" s="9" t="str">
        <f t="shared" si="998"/>
        <v/>
      </c>
      <c r="IX125" s="5" t="str">
        <f t="shared" si="999"/>
        <v/>
      </c>
      <c r="IY125" s="5" t="str">
        <f t="shared" si="1000"/>
        <v/>
      </c>
      <c r="IZ125" s="5" t="str">
        <f t="shared" si="1001"/>
        <v/>
      </c>
      <c r="JA125" s="705" t="str">
        <f t="shared" si="1002"/>
        <v/>
      </c>
      <c r="JN125" s="960"/>
      <c r="JO125" s="162"/>
      <c r="JP125" s="961"/>
      <c r="JQ125" s="961"/>
    </row>
    <row r="126" spans="1:277" ht="15" customHeight="1" x14ac:dyDescent="0.25">
      <c r="A126" s="75" t="str">
        <f t="shared" si="917"/>
        <v/>
      </c>
      <c r="B126" s="578" t="str">
        <f t="shared" ref="B126:D126" si="1069">IFERROR(O281+($A126*-E126),"")</f>
        <v/>
      </c>
      <c r="C126" s="572" t="str">
        <f t="shared" si="1069"/>
        <v/>
      </c>
      <c r="D126" s="576" t="str">
        <f t="shared" si="1069"/>
        <v/>
      </c>
      <c r="E126" s="580" t="str">
        <f t="shared" ref="E126:K126" si="1070">R281</f>
        <v/>
      </c>
      <c r="F126" s="572" t="str">
        <f t="shared" si="1070"/>
        <v/>
      </c>
      <c r="G126" s="579" t="str">
        <f t="shared" si="1070"/>
        <v/>
      </c>
      <c r="H126" s="580" t="str">
        <f t="shared" si="1070"/>
        <v/>
      </c>
      <c r="I126" s="572" t="str">
        <f t="shared" si="1070"/>
        <v/>
      </c>
      <c r="J126" s="483" t="str">
        <f t="shared" si="728"/>
        <v/>
      </c>
      <c r="K126" s="806" t="str">
        <f t="shared" si="1070"/>
        <v/>
      </c>
      <c r="L126" s="309"/>
      <c r="M126" s="164" t="str">
        <f t="shared" si="920"/>
        <v/>
      </c>
      <c r="N126" s="575" t="str">
        <f t="shared" si="921"/>
        <v/>
      </c>
      <c r="O126" s="572" t="str">
        <f t="shared" si="922"/>
        <v/>
      </c>
      <c r="P126" s="576" t="str">
        <f t="shared" si="923"/>
        <v/>
      </c>
      <c r="Q126" s="528" t="str">
        <f t="shared" si="729"/>
        <v/>
      </c>
      <c r="R126" s="572" t="str">
        <f t="shared" si="1005"/>
        <v/>
      </c>
      <c r="S126" s="577" t="str">
        <f t="shared" si="1006"/>
        <v/>
      </c>
      <c r="T126" s="578" t="str">
        <f t="shared" si="1007"/>
        <v/>
      </c>
      <c r="U126" s="572" t="str">
        <f t="shared" si="1008"/>
        <v/>
      </c>
      <c r="V126" s="579" t="str">
        <f t="shared" si="1009"/>
        <v/>
      </c>
      <c r="W126" s="528" t="str">
        <f t="shared" si="866"/>
        <v/>
      </c>
      <c r="X126" s="572" t="str">
        <f t="shared" si="1010"/>
        <v/>
      </c>
      <c r="Y126" s="573" t="str">
        <f t="shared" si="859"/>
        <v/>
      </c>
      <c r="Z126" s="575" t="str">
        <f t="shared" si="924"/>
        <v/>
      </c>
      <c r="AA126" s="572" t="str">
        <f t="shared" si="925"/>
        <v/>
      </c>
      <c r="AB126" s="572" t="str">
        <f t="shared" si="926"/>
        <v/>
      </c>
      <c r="AC126" s="579" t="str">
        <f t="shared" si="1011"/>
        <v/>
      </c>
      <c r="AD126" s="580" t="str">
        <f t="shared" si="1012"/>
        <v/>
      </c>
      <c r="AE126" s="572" t="str">
        <f t="shared" si="1013"/>
        <v/>
      </c>
      <c r="AF126" s="576" t="str">
        <f t="shared" si="1014"/>
        <v/>
      </c>
      <c r="AG126" s="545" t="str">
        <f t="shared" si="1015"/>
        <v/>
      </c>
      <c r="AH126" s="546" t="str">
        <f t="shared" si="1016"/>
        <v/>
      </c>
      <c r="AI126" s="528" t="str">
        <f t="shared" si="1017"/>
        <v/>
      </c>
      <c r="AJ126" s="529" t="str">
        <f t="shared" si="1018"/>
        <v/>
      </c>
      <c r="AK126" s="578" t="str">
        <f t="shared" si="1019"/>
        <v/>
      </c>
      <c r="AL126" s="572" t="str">
        <f t="shared" si="1020"/>
        <v/>
      </c>
      <c r="AM126" s="577" t="str">
        <f t="shared" si="1021"/>
        <v/>
      </c>
      <c r="AN126" s="524" t="str">
        <f t="shared" si="1022"/>
        <v/>
      </c>
      <c r="AO126" s="525" t="str">
        <f t="shared" si="1058"/>
        <v/>
      </c>
      <c r="AP126" s="528" t="str">
        <f t="shared" si="1023"/>
        <v/>
      </c>
      <c r="AQ126" s="529" t="str">
        <f t="shared" si="927"/>
        <v/>
      </c>
      <c r="AS126" s="954" t="str">
        <f t="shared" si="1029"/>
        <v/>
      </c>
      <c r="AT126" s="950" t="str">
        <f t="shared" si="928"/>
        <v/>
      </c>
      <c r="AU126" s="418"/>
      <c r="AV126" s="164" t="str">
        <f t="shared" si="929"/>
        <v/>
      </c>
      <c r="AW126" s="797" t="str">
        <f>IFERROR(INDEX(MassProp!C$9:C$150,MATCH($M126,MassProp!$B$9:$B$150,0)),"")</f>
        <v/>
      </c>
      <c r="AX126" s="744" t="str">
        <f>IFERROR(INDEX(MassProp!D$9:D$150,MATCH($M126,MassProp!$B$9:$B$150,0)),"")</f>
        <v/>
      </c>
      <c r="AY126" s="731" t="str">
        <f>IFERROR(INDEX(MassProp!E$9:E$150,MATCH($M126,MassProp!$B$9:$B$150,0)),"")</f>
        <v/>
      </c>
      <c r="AZ126" s="297" t="str">
        <f t="shared" si="756"/>
        <v/>
      </c>
      <c r="BA126" s="296" t="str">
        <f t="shared" si="930"/>
        <v/>
      </c>
      <c r="BB126" s="177" t="str">
        <f t="shared" si="730"/>
        <v/>
      </c>
      <c r="BC126" s="9"/>
      <c r="BD126" s="5" t="str">
        <f t="shared" si="731"/>
        <v/>
      </c>
      <c r="BE126" s="6" t="str">
        <f t="shared" si="931"/>
        <v/>
      </c>
      <c r="BF126" s="4" t="str">
        <f t="shared" si="932"/>
        <v/>
      </c>
      <c r="BG126" s="5" t="str">
        <f t="shared" si="933"/>
        <v/>
      </c>
      <c r="BH126" s="10" t="str">
        <f t="shared" si="934"/>
        <v/>
      </c>
      <c r="BI126" s="9" t="str">
        <f t="shared" si="757"/>
        <v/>
      </c>
      <c r="BJ126" s="5" t="str">
        <f t="shared" si="935"/>
        <v/>
      </c>
      <c r="BK126" s="8" t="str">
        <f t="shared" si="936"/>
        <v/>
      </c>
      <c r="BL126" s="173" t="str">
        <f t="shared" si="937"/>
        <v/>
      </c>
      <c r="BM126" s="5" t="str">
        <f t="shared" si="938"/>
        <v/>
      </c>
      <c r="BN126" s="6" t="str">
        <f t="shared" si="939"/>
        <v/>
      </c>
      <c r="BO126" s="4" t="str">
        <f t="shared" si="758"/>
        <v/>
      </c>
      <c r="BP126" s="5" t="str">
        <f t="shared" si="759"/>
        <v/>
      </c>
      <c r="BQ126" s="5" t="str">
        <f t="shared" si="760"/>
        <v/>
      </c>
      <c r="BR126" s="6" t="str">
        <f t="shared" si="761"/>
        <v/>
      </c>
      <c r="BS126" s="4" t="str">
        <f t="shared" si="1024"/>
        <v/>
      </c>
      <c r="BT126" s="5" t="str">
        <f t="shared" si="1024"/>
        <v/>
      </c>
      <c r="BU126" s="10" t="str">
        <f t="shared" si="733"/>
        <v/>
      </c>
      <c r="BV126" s="9" t="str">
        <f t="shared" si="734"/>
        <v/>
      </c>
      <c r="BW126" s="5" t="str">
        <f t="shared" si="735"/>
        <v/>
      </c>
      <c r="BX126" s="8" t="str">
        <f t="shared" si="736"/>
        <v/>
      </c>
      <c r="BY126" s="173" t="str">
        <f t="shared" si="737"/>
        <v/>
      </c>
      <c r="BZ126" s="5" t="str">
        <f t="shared" si="738"/>
        <v/>
      </c>
      <c r="CA126" s="6" t="str">
        <f t="shared" si="739"/>
        <v/>
      </c>
      <c r="CB126" s="4" t="str">
        <f t="shared" si="762"/>
        <v/>
      </c>
      <c r="CC126" s="5" t="str">
        <f t="shared" si="763"/>
        <v/>
      </c>
      <c r="CD126" s="5" t="str">
        <f t="shared" si="764"/>
        <v/>
      </c>
      <c r="CE126" s="6" t="str">
        <f t="shared" si="765"/>
        <v/>
      </c>
      <c r="CF126" s="4" t="str">
        <f t="shared" si="766"/>
        <v/>
      </c>
      <c r="CG126" s="5" t="str">
        <f t="shared" si="767"/>
        <v/>
      </c>
      <c r="CH126" s="5" t="str">
        <f t="shared" si="768"/>
        <v/>
      </c>
      <c r="CI126" s="4" t="str">
        <f t="shared" si="740"/>
        <v/>
      </c>
      <c r="CJ126" s="5" t="str">
        <f t="shared" si="741"/>
        <v/>
      </c>
      <c r="CK126" s="8" t="str">
        <f t="shared" si="742"/>
        <v/>
      </c>
      <c r="CL126" s="173" t="str">
        <f t="shared" si="743"/>
        <v/>
      </c>
      <c r="CM126" s="5" t="str">
        <f t="shared" si="744"/>
        <v/>
      </c>
      <c r="CN126" s="6" t="str">
        <f t="shared" si="745"/>
        <v/>
      </c>
      <c r="CO126" s="167" t="str">
        <f t="shared" si="940"/>
        <v/>
      </c>
      <c r="CP126" s="4" t="str">
        <f t="shared" si="769"/>
        <v/>
      </c>
      <c r="CQ126" s="5" t="str">
        <f t="shared" si="770"/>
        <v/>
      </c>
      <c r="CR126" s="5" t="str">
        <f t="shared" si="771"/>
        <v/>
      </c>
      <c r="CS126" s="8" t="str">
        <f t="shared" si="772"/>
        <v/>
      </c>
      <c r="CT126" s="9" t="str">
        <f t="shared" si="773"/>
        <v/>
      </c>
      <c r="CU126" s="6" t="str">
        <f t="shared" si="774"/>
        <v/>
      </c>
      <c r="CV126" s="4" t="str">
        <f t="shared" si="775"/>
        <v/>
      </c>
      <c r="CW126" s="5" t="str">
        <f t="shared" si="776"/>
        <v/>
      </c>
      <c r="CX126" s="8" t="str">
        <f t="shared" si="777"/>
        <v/>
      </c>
      <c r="CY126" s="9" t="str">
        <f t="shared" si="778"/>
        <v/>
      </c>
      <c r="CZ126" s="5" t="str">
        <f t="shared" si="779"/>
        <v/>
      </c>
      <c r="DA126" s="6" t="str">
        <f t="shared" si="780"/>
        <v/>
      </c>
      <c r="DB126" s="4" t="str">
        <f t="shared" si="1030"/>
        <v/>
      </c>
      <c r="DC126" s="5" t="str">
        <f t="shared" si="1030"/>
        <v/>
      </c>
      <c r="DD126" s="10" t="str">
        <f t="shared" si="782"/>
        <v/>
      </c>
      <c r="DE126" s="9" t="str">
        <f t="shared" si="1031"/>
        <v/>
      </c>
      <c r="DF126" s="5" t="str">
        <f t="shared" si="1031"/>
        <v/>
      </c>
      <c r="DG126" s="10" t="str">
        <f t="shared" si="784"/>
        <v/>
      </c>
      <c r="DH126" s="70" t="str">
        <f t="shared" si="785"/>
        <v/>
      </c>
      <c r="DI126" s="4" t="str">
        <f t="shared" si="786"/>
        <v/>
      </c>
      <c r="DJ126" s="5" t="str">
        <f t="shared" si="787"/>
        <v/>
      </c>
      <c r="DK126" s="10" t="str">
        <f t="shared" si="788"/>
        <v/>
      </c>
      <c r="DL126" s="9" t="str">
        <f t="shared" si="789"/>
        <v/>
      </c>
      <c r="DM126" s="173" t="str">
        <f t="shared" si="790"/>
        <v/>
      </c>
      <c r="DN126" s="178" t="str">
        <f t="shared" si="791"/>
        <v/>
      </c>
      <c r="DO126" s="9" t="str">
        <f t="shared" si="792"/>
        <v/>
      </c>
      <c r="DP126" s="173" t="str">
        <f t="shared" si="793"/>
        <v/>
      </c>
      <c r="DQ126" s="11" t="str">
        <f t="shared" si="794"/>
        <v/>
      </c>
      <c r="DR126" s="173" t="str">
        <f t="shared" si="795"/>
        <v/>
      </c>
      <c r="DS126" s="5" t="str">
        <f t="shared" si="796"/>
        <v/>
      </c>
      <c r="DT126" s="5" t="str">
        <f t="shared" si="797"/>
        <v/>
      </c>
      <c r="DU126" s="5" t="str">
        <f t="shared" si="798"/>
        <v/>
      </c>
      <c r="DV126" s="5" t="str">
        <f t="shared" si="799"/>
        <v/>
      </c>
      <c r="DW126" s="5" t="str">
        <f t="shared" si="800"/>
        <v/>
      </c>
      <c r="DX126" s="167" t="str">
        <f t="shared" si="801"/>
        <v/>
      </c>
      <c r="DY126" s="9" t="str">
        <f t="shared" si="802"/>
        <v/>
      </c>
      <c r="DZ126" s="5" t="str">
        <f t="shared" si="803"/>
        <v/>
      </c>
      <c r="EA126" s="10" t="str">
        <f t="shared" si="804"/>
        <v/>
      </c>
      <c r="EB126" s="6" t="str">
        <f t="shared" si="805"/>
        <v/>
      </c>
      <c r="EC126" s="173" t="str">
        <f t="shared" si="806"/>
        <v/>
      </c>
      <c r="ED126" s="5" t="str">
        <f t="shared" si="807"/>
        <v/>
      </c>
      <c r="EE126" s="4" t="str">
        <f t="shared" si="808"/>
        <v/>
      </c>
      <c r="EF126" s="5" t="str">
        <f t="shared" si="809"/>
        <v/>
      </c>
      <c r="EG126" s="10" t="str">
        <f t="shared" si="810"/>
        <v/>
      </c>
      <c r="EH126" s="9" t="str">
        <f t="shared" si="811"/>
        <v/>
      </c>
      <c r="EI126" s="5" t="str">
        <f t="shared" si="812"/>
        <v/>
      </c>
      <c r="EJ126" s="6" t="str">
        <f t="shared" si="813"/>
        <v/>
      </c>
      <c r="EK126" s="236" t="str">
        <f t="shared" si="814"/>
        <v/>
      </c>
      <c r="EL126" s="238" t="str">
        <f t="shared" si="815"/>
        <v/>
      </c>
      <c r="EM126" s="4" t="str">
        <f t="shared" si="816"/>
        <v/>
      </c>
      <c r="EN126" s="5" t="str">
        <f t="shared" si="817"/>
        <v/>
      </c>
      <c r="EO126" s="10" t="str">
        <f t="shared" si="818"/>
        <v/>
      </c>
      <c r="EP126" s="9" t="str">
        <f t="shared" si="819"/>
        <v/>
      </c>
      <c r="EQ126" s="5" t="str">
        <f t="shared" si="820"/>
        <v/>
      </c>
      <c r="ER126" s="7" t="str">
        <f t="shared" si="821"/>
        <v/>
      </c>
      <c r="ES126" s="21" t="str">
        <f t="shared" si="941"/>
        <v/>
      </c>
      <c r="ET126" s="5" t="str">
        <f t="shared" si="942"/>
        <v/>
      </c>
      <c r="EU126" s="10" t="str">
        <f t="shared" si="943"/>
        <v/>
      </c>
      <c r="EV126" s="174" t="str">
        <f t="shared" si="944"/>
        <v/>
      </c>
      <c r="EW126" s="9" t="str">
        <f t="shared" si="945"/>
        <v/>
      </c>
      <c r="EX126" s="5" t="str">
        <f t="shared" si="946"/>
        <v/>
      </c>
      <c r="EY126" s="6" t="str">
        <f t="shared" si="822"/>
        <v/>
      </c>
      <c r="EZ126" s="51" t="str">
        <f t="shared" si="823"/>
        <v/>
      </c>
      <c r="FA126" s="173" t="str">
        <f t="shared" si="947"/>
        <v/>
      </c>
      <c r="FB126" s="5" t="str">
        <f t="shared" si="948"/>
        <v/>
      </c>
      <c r="FC126" s="6" t="str">
        <f t="shared" si="949"/>
        <v/>
      </c>
      <c r="FD126" s="4" t="str">
        <f t="shared" si="950"/>
        <v/>
      </c>
      <c r="FE126" s="5" t="str">
        <f t="shared" si="951"/>
        <v/>
      </c>
      <c r="FF126" s="7" t="str">
        <f t="shared" si="824"/>
        <v/>
      </c>
      <c r="FG126" s="173" t="str">
        <f t="shared" si="952"/>
        <v/>
      </c>
      <c r="FH126" s="5" t="str">
        <f t="shared" si="953"/>
        <v/>
      </c>
      <c r="FI126" s="10" t="str">
        <f t="shared" si="954"/>
        <v/>
      </c>
      <c r="FJ126" s="279" t="str">
        <f t="shared" si="825"/>
        <v/>
      </c>
      <c r="FK126" s="4" t="str">
        <f t="shared" si="955"/>
        <v/>
      </c>
      <c r="FL126" s="5" t="str">
        <f t="shared" si="746"/>
        <v/>
      </c>
      <c r="FM126" s="8" t="str">
        <f t="shared" si="747"/>
        <v/>
      </c>
      <c r="FN126" s="9" t="str">
        <f t="shared" si="748"/>
        <v/>
      </c>
      <c r="FO126" s="10" t="str">
        <f t="shared" si="956"/>
        <v/>
      </c>
      <c r="FP126" s="277" t="str">
        <f t="shared" si="749"/>
        <v/>
      </c>
      <c r="FQ126" s="173" t="str">
        <f t="shared" si="826"/>
        <v/>
      </c>
      <c r="FR126" s="10" t="str">
        <f t="shared" si="827"/>
        <v/>
      </c>
      <c r="FS126" s="9" t="str">
        <f t="shared" si="828"/>
        <v/>
      </c>
      <c r="FT126" s="6" t="str">
        <f t="shared" si="829"/>
        <v/>
      </c>
      <c r="FU126" s="4" t="str">
        <f t="shared" si="830"/>
        <v/>
      </c>
      <c r="FV126" s="5" t="str">
        <f t="shared" si="831"/>
        <v/>
      </c>
      <c r="FW126" s="8" t="str">
        <f t="shared" si="832"/>
        <v/>
      </c>
      <c r="FX126" s="9" t="str">
        <f t="shared" si="833"/>
        <v/>
      </c>
      <c r="FY126" s="10" t="str">
        <f t="shared" si="957"/>
        <v/>
      </c>
      <c r="FZ126" s="277" t="str">
        <f t="shared" si="834"/>
        <v/>
      </c>
      <c r="GA126" s="177" t="str">
        <f t="shared" si="835"/>
        <v/>
      </c>
      <c r="GB126" s="4" t="str">
        <f t="shared" si="836"/>
        <v/>
      </c>
      <c r="GC126" s="5" t="str">
        <f t="shared" si="837"/>
        <v/>
      </c>
      <c r="GD126" s="10" t="str">
        <f t="shared" si="838"/>
        <v/>
      </c>
      <c r="GE126" s="311" t="str">
        <f t="shared" si="839"/>
        <v/>
      </c>
      <c r="GF126" s="341" t="str">
        <f t="shared" si="840"/>
        <v/>
      </c>
      <c r="GG126" s="285" t="str">
        <f t="shared" si="958"/>
        <v/>
      </c>
      <c r="GH126" s="286" t="str">
        <f t="shared" si="959"/>
        <v/>
      </c>
      <c r="GI126" s="281" t="str">
        <f t="shared" si="960"/>
        <v/>
      </c>
      <c r="GJ126" s="167" t="str">
        <f t="shared" si="841"/>
        <v/>
      </c>
      <c r="GK126" s="174" t="str">
        <f t="shared" si="961"/>
        <v/>
      </c>
      <c r="GL126" s="174" t="str">
        <f t="shared" si="842"/>
        <v/>
      </c>
      <c r="GM126" s="177" t="str">
        <f t="shared" si="843"/>
        <v/>
      </c>
      <c r="GN126" s="280" t="str">
        <f t="shared" si="844"/>
        <v/>
      </c>
      <c r="GO126" s="4" t="str">
        <f t="shared" si="845"/>
        <v/>
      </c>
      <c r="GP126" s="8" t="str">
        <f t="shared" si="846"/>
        <v/>
      </c>
      <c r="GQ126" s="177" t="str">
        <f t="shared" si="847"/>
        <v/>
      </c>
      <c r="GR126" s="371" t="str">
        <f t="shared" si="848"/>
        <v/>
      </c>
      <c r="GS126" s="342" t="str">
        <f t="shared" si="962"/>
        <v/>
      </c>
      <c r="GT126" s="343" t="str">
        <f t="shared" si="963"/>
        <v/>
      </c>
      <c r="GU126" s="344" t="str">
        <f t="shared" si="964"/>
        <v/>
      </c>
      <c r="GV126" s="343" t="str">
        <f t="shared" si="849"/>
        <v/>
      </c>
      <c r="GW126" s="345" t="str">
        <f t="shared" si="965"/>
        <v/>
      </c>
      <c r="GX126" s="346" t="str">
        <f t="shared" si="966"/>
        <v/>
      </c>
      <c r="GY126" s="344" t="str">
        <f t="shared" si="967"/>
        <v/>
      </c>
      <c r="GZ126" s="345" t="str">
        <f t="shared" si="968"/>
        <v/>
      </c>
      <c r="HA126" s="342" t="str">
        <f t="shared" si="969"/>
        <v/>
      </c>
      <c r="HB126" s="5" t="str">
        <f t="shared" si="850"/>
        <v/>
      </c>
      <c r="HC126" s="343" t="str">
        <f t="shared" si="851"/>
        <v/>
      </c>
      <c r="HD126" s="363" t="str">
        <f t="shared" si="852"/>
        <v/>
      </c>
      <c r="HE126" s="344" t="str">
        <f t="shared" si="970"/>
        <v/>
      </c>
      <c r="HF126" s="5" t="str">
        <f t="shared" si="971"/>
        <v/>
      </c>
      <c r="HG126" s="343" t="str">
        <f t="shared" si="853"/>
        <v/>
      </c>
      <c r="HH126" s="349" t="str">
        <f t="shared" si="854"/>
        <v/>
      </c>
      <c r="HI126" s="317" t="str">
        <f t="shared" si="972"/>
        <v/>
      </c>
      <c r="HK126" s="310" t="str">
        <f t="shared" si="1025"/>
        <v/>
      </c>
      <c r="HL126" s="348" t="str">
        <f t="shared" si="973"/>
        <v/>
      </c>
      <c r="HM126" s="923" t="str">
        <f t="shared" si="974"/>
        <v/>
      </c>
      <c r="HN126" s="924" t="str">
        <f t="shared" si="975"/>
        <v/>
      </c>
      <c r="HO126" s="925"/>
      <c r="HP126" s="926"/>
      <c r="HQ126" s="924" t="str">
        <f t="shared" si="976"/>
        <v/>
      </c>
      <c r="HR126" s="927" t="str">
        <f t="shared" si="977"/>
        <v/>
      </c>
      <c r="HS126" s="879" t="str">
        <f t="shared" si="1026"/>
        <v/>
      </c>
      <c r="HT126" s="889" t="str">
        <f t="shared" si="978"/>
        <v/>
      </c>
      <c r="HU126" s="890" t="str">
        <f t="shared" si="979"/>
        <v/>
      </c>
      <c r="HV126" s="886" t="str">
        <f t="shared" si="980"/>
        <v/>
      </c>
      <c r="HW126" s="880" t="str">
        <f t="shared" si="981"/>
        <v/>
      </c>
      <c r="HX126" s="881" t="str">
        <f t="shared" si="982"/>
        <v/>
      </c>
      <c r="HY126" s="880" t="str">
        <f t="shared" si="983"/>
        <v/>
      </c>
      <c r="HZ126" s="882" t="str">
        <f t="shared" si="984"/>
        <v/>
      </c>
      <c r="IA126" s="883" t="str">
        <f t="shared" si="985"/>
        <v/>
      </c>
      <c r="IB126" s="884" t="str">
        <f t="shared" si="986"/>
        <v/>
      </c>
      <c r="IC126" s="855" t="str">
        <f t="shared" si="987"/>
        <v/>
      </c>
      <c r="ID126" s="351" t="str">
        <f t="shared" si="988"/>
        <v/>
      </c>
      <c r="IE126" s="857" t="str">
        <f t="shared" si="989"/>
        <v/>
      </c>
      <c r="IF126" s="858"/>
      <c r="IG126" s="790" t="str">
        <f>IFERROR(IF($IW126="","",IF($IW126&lt;(((Settings!$C$19/2)*-1)*$IG$8),"Taper","Nose")),"")</f>
        <v/>
      </c>
      <c r="IH126" s="482" t="str">
        <f>IFERROR(IF((((($IY126*COS(RADIANS(180-$JA126)))*COS(RADIANS($JA126)))-(($IZ126*SIN(RADIANS(180-$JA126)))*SIN(RADIANS($JA126))))+$IW126)&lt;(((Settings!$C$19+$IH$8)/2)*-1),"Gage",""),"")</f>
        <v/>
      </c>
      <c r="II126" s="788" t="str">
        <f t="shared" si="855"/>
        <v/>
      </c>
      <c r="IJ126" s="674" t="str" cm="1">
        <f t="array" ref="IJ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K126" s="677" t="str" cm="1">
        <f t="array" ref="IK126">IFERROR(ROUND(VALUE(IF($IJ126&lt;1,$IJ126+LARGE((IF($M$9:$M$150="",0,$M$9:$M$150)-MOD(IF($M$9:$M$150="",0,$M$9:$M$150),1)),1),$IJ126)),4),"")</f>
        <v/>
      </c>
      <c r="IL126" s="482" t="str">
        <f t="shared" si="990"/>
        <v/>
      </c>
      <c r="IM126" s="482" t="str">
        <f t="shared" si="856"/>
        <v/>
      </c>
      <c r="IN126" s="670" t="str">
        <f t="shared" si="991"/>
        <v/>
      </c>
      <c r="IO126" s="702"/>
      <c r="IP126" s="5" t="str">
        <f t="shared" si="992"/>
        <v/>
      </c>
      <c r="IQ126" s="714"/>
      <c r="IR126" s="9" t="str">
        <f t="shared" si="993"/>
        <v/>
      </c>
      <c r="IS126" s="5" t="str">
        <f t="shared" si="994"/>
        <v/>
      </c>
      <c r="IT126" s="5" t="str">
        <f t="shared" si="995"/>
        <v/>
      </c>
      <c r="IU126" s="5" t="str">
        <f t="shared" si="996"/>
        <v/>
      </c>
      <c r="IV126" s="670" t="str">
        <f t="shared" si="997"/>
        <v/>
      </c>
      <c r="IW126" s="9" t="str">
        <f t="shared" si="998"/>
        <v/>
      </c>
      <c r="IX126" s="5" t="str">
        <f t="shared" si="999"/>
        <v/>
      </c>
      <c r="IY126" s="5" t="str">
        <f t="shared" si="1000"/>
        <v/>
      </c>
      <c r="IZ126" s="5" t="str">
        <f t="shared" si="1001"/>
        <v/>
      </c>
      <c r="JA126" s="705" t="str">
        <f t="shared" si="1002"/>
        <v/>
      </c>
      <c r="JN126" s="960"/>
      <c r="JO126" s="162"/>
      <c r="JP126" s="961"/>
      <c r="JQ126" s="961"/>
    </row>
    <row r="127" spans="1:277" ht="15" customHeight="1" x14ac:dyDescent="0.25">
      <c r="A127" s="75" t="str">
        <f t="shared" si="917"/>
        <v/>
      </c>
      <c r="B127" s="578" t="str">
        <f t="shared" ref="B127:D127" si="1071">IFERROR(O282+($A127*-E127),"")</f>
        <v/>
      </c>
      <c r="C127" s="572" t="str">
        <f t="shared" si="1071"/>
        <v/>
      </c>
      <c r="D127" s="576" t="str">
        <f t="shared" si="1071"/>
        <v/>
      </c>
      <c r="E127" s="580" t="str">
        <f t="shared" ref="E127:K127" si="1072">R282</f>
        <v/>
      </c>
      <c r="F127" s="572" t="str">
        <f t="shared" si="1072"/>
        <v/>
      </c>
      <c r="G127" s="579" t="str">
        <f t="shared" si="1072"/>
        <v/>
      </c>
      <c r="H127" s="580" t="str">
        <f t="shared" si="1072"/>
        <v/>
      </c>
      <c r="I127" s="572" t="str">
        <f t="shared" si="1072"/>
        <v/>
      </c>
      <c r="J127" s="483" t="str">
        <f t="shared" si="728"/>
        <v/>
      </c>
      <c r="K127" s="806" t="str">
        <f t="shared" si="1072"/>
        <v/>
      </c>
      <c r="L127" s="309"/>
      <c r="M127" s="164" t="str">
        <f t="shared" si="920"/>
        <v/>
      </c>
      <c r="N127" s="575" t="str">
        <f t="shared" si="921"/>
        <v/>
      </c>
      <c r="O127" s="572" t="str">
        <f t="shared" si="922"/>
        <v/>
      </c>
      <c r="P127" s="576" t="str">
        <f t="shared" si="923"/>
        <v/>
      </c>
      <c r="Q127" s="528" t="str">
        <f t="shared" si="729"/>
        <v/>
      </c>
      <c r="R127" s="572" t="str">
        <f t="shared" si="1005"/>
        <v/>
      </c>
      <c r="S127" s="577" t="str">
        <f t="shared" si="1006"/>
        <v/>
      </c>
      <c r="T127" s="578" t="str">
        <f t="shared" si="1007"/>
        <v/>
      </c>
      <c r="U127" s="572" t="str">
        <f t="shared" si="1008"/>
        <v/>
      </c>
      <c r="V127" s="579" t="str">
        <f t="shared" si="1009"/>
        <v/>
      </c>
      <c r="W127" s="528" t="str">
        <f t="shared" si="866"/>
        <v/>
      </c>
      <c r="X127" s="572" t="str">
        <f t="shared" si="1010"/>
        <v/>
      </c>
      <c r="Y127" s="573" t="str">
        <f t="shared" si="859"/>
        <v/>
      </c>
      <c r="Z127" s="575" t="str">
        <f t="shared" si="924"/>
        <v/>
      </c>
      <c r="AA127" s="572" t="str">
        <f t="shared" si="925"/>
        <v/>
      </c>
      <c r="AB127" s="572" t="str">
        <f t="shared" si="926"/>
        <v/>
      </c>
      <c r="AC127" s="579" t="str">
        <f t="shared" si="1011"/>
        <v/>
      </c>
      <c r="AD127" s="580" t="str">
        <f t="shared" si="1012"/>
        <v/>
      </c>
      <c r="AE127" s="572" t="str">
        <f t="shared" si="1013"/>
        <v/>
      </c>
      <c r="AF127" s="576" t="str">
        <f t="shared" si="1014"/>
        <v/>
      </c>
      <c r="AG127" s="545" t="str">
        <f t="shared" si="1015"/>
        <v/>
      </c>
      <c r="AH127" s="546" t="str">
        <f t="shared" si="1016"/>
        <v/>
      </c>
      <c r="AI127" s="528" t="str">
        <f t="shared" si="1017"/>
        <v/>
      </c>
      <c r="AJ127" s="529" t="str">
        <f t="shared" si="1018"/>
        <v/>
      </c>
      <c r="AK127" s="578" t="str">
        <f t="shared" si="1019"/>
        <v/>
      </c>
      <c r="AL127" s="572" t="str">
        <f t="shared" si="1020"/>
        <v/>
      </c>
      <c r="AM127" s="577" t="str">
        <f t="shared" si="1021"/>
        <v/>
      </c>
      <c r="AN127" s="524" t="str">
        <f t="shared" si="1022"/>
        <v/>
      </c>
      <c r="AO127" s="525" t="str">
        <f t="shared" si="1058"/>
        <v/>
      </c>
      <c r="AP127" s="528" t="str">
        <f t="shared" si="1023"/>
        <v/>
      </c>
      <c r="AQ127" s="529" t="str">
        <f t="shared" si="927"/>
        <v/>
      </c>
      <c r="AS127" s="954" t="str">
        <f t="shared" si="1029"/>
        <v/>
      </c>
      <c r="AT127" s="950" t="str">
        <f t="shared" si="928"/>
        <v/>
      </c>
      <c r="AU127" s="418"/>
      <c r="AV127" s="164" t="str">
        <f t="shared" si="929"/>
        <v/>
      </c>
      <c r="AW127" s="797" t="str">
        <f>IFERROR(INDEX(MassProp!C$9:C$150,MATCH($M127,MassProp!$B$9:$B$150,0)),"")</f>
        <v/>
      </c>
      <c r="AX127" s="744" t="str">
        <f>IFERROR(INDEX(MassProp!D$9:D$150,MATCH($M127,MassProp!$B$9:$B$150,0)),"")</f>
        <v/>
      </c>
      <c r="AY127" s="731" t="str">
        <f>IFERROR(INDEX(MassProp!E$9:E$150,MATCH($M127,MassProp!$B$9:$B$150,0)),"")</f>
        <v/>
      </c>
      <c r="AZ127" s="297" t="str">
        <f t="shared" si="756"/>
        <v/>
      </c>
      <c r="BA127" s="296" t="str">
        <f t="shared" si="930"/>
        <v/>
      </c>
      <c r="BB127" s="177" t="str">
        <f t="shared" si="730"/>
        <v/>
      </c>
      <c r="BC127" s="9"/>
      <c r="BD127" s="5" t="str">
        <f t="shared" si="731"/>
        <v/>
      </c>
      <c r="BE127" s="6" t="str">
        <f t="shared" si="931"/>
        <v/>
      </c>
      <c r="BF127" s="4" t="str">
        <f t="shared" si="932"/>
        <v/>
      </c>
      <c r="BG127" s="5" t="str">
        <f t="shared" si="933"/>
        <v/>
      </c>
      <c r="BH127" s="10" t="str">
        <f t="shared" si="934"/>
        <v/>
      </c>
      <c r="BI127" s="9" t="str">
        <f t="shared" si="757"/>
        <v/>
      </c>
      <c r="BJ127" s="5" t="str">
        <f t="shared" si="935"/>
        <v/>
      </c>
      <c r="BK127" s="8" t="str">
        <f t="shared" si="936"/>
        <v/>
      </c>
      <c r="BL127" s="173" t="str">
        <f t="shared" si="937"/>
        <v/>
      </c>
      <c r="BM127" s="5" t="str">
        <f t="shared" si="938"/>
        <v/>
      </c>
      <c r="BN127" s="6" t="str">
        <f t="shared" si="939"/>
        <v/>
      </c>
      <c r="BO127" s="4" t="str">
        <f t="shared" si="758"/>
        <v/>
      </c>
      <c r="BP127" s="5" t="str">
        <f t="shared" si="759"/>
        <v/>
      </c>
      <c r="BQ127" s="5" t="str">
        <f t="shared" si="760"/>
        <v/>
      </c>
      <c r="BR127" s="6" t="str">
        <f t="shared" si="761"/>
        <v/>
      </c>
      <c r="BS127" s="4" t="str">
        <f t="shared" si="1024"/>
        <v/>
      </c>
      <c r="BT127" s="5" t="str">
        <f t="shared" si="1024"/>
        <v/>
      </c>
      <c r="BU127" s="10" t="str">
        <f t="shared" si="733"/>
        <v/>
      </c>
      <c r="BV127" s="9" t="str">
        <f t="shared" si="734"/>
        <v/>
      </c>
      <c r="BW127" s="5" t="str">
        <f t="shared" si="735"/>
        <v/>
      </c>
      <c r="BX127" s="8" t="str">
        <f t="shared" si="736"/>
        <v/>
      </c>
      <c r="BY127" s="173" t="str">
        <f t="shared" si="737"/>
        <v/>
      </c>
      <c r="BZ127" s="5" t="str">
        <f t="shared" si="738"/>
        <v/>
      </c>
      <c r="CA127" s="6" t="str">
        <f t="shared" si="739"/>
        <v/>
      </c>
      <c r="CB127" s="4" t="str">
        <f t="shared" si="762"/>
        <v/>
      </c>
      <c r="CC127" s="5" t="str">
        <f t="shared" si="763"/>
        <v/>
      </c>
      <c r="CD127" s="5" t="str">
        <f t="shared" si="764"/>
        <v/>
      </c>
      <c r="CE127" s="6" t="str">
        <f t="shared" si="765"/>
        <v/>
      </c>
      <c r="CF127" s="4" t="str">
        <f t="shared" si="766"/>
        <v/>
      </c>
      <c r="CG127" s="5" t="str">
        <f t="shared" si="767"/>
        <v/>
      </c>
      <c r="CH127" s="5" t="str">
        <f t="shared" si="768"/>
        <v/>
      </c>
      <c r="CI127" s="4" t="str">
        <f t="shared" si="740"/>
        <v/>
      </c>
      <c r="CJ127" s="5" t="str">
        <f t="shared" si="741"/>
        <v/>
      </c>
      <c r="CK127" s="8" t="str">
        <f t="shared" si="742"/>
        <v/>
      </c>
      <c r="CL127" s="173" t="str">
        <f t="shared" si="743"/>
        <v/>
      </c>
      <c r="CM127" s="5" t="str">
        <f t="shared" si="744"/>
        <v/>
      </c>
      <c r="CN127" s="6" t="str">
        <f t="shared" si="745"/>
        <v/>
      </c>
      <c r="CO127" s="167" t="str">
        <f t="shared" si="940"/>
        <v/>
      </c>
      <c r="CP127" s="4" t="str">
        <f t="shared" si="769"/>
        <v/>
      </c>
      <c r="CQ127" s="5" t="str">
        <f t="shared" si="770"/>
        <v/>
      </c>
      <c r="CR127" s="5" t="str">
        <f t="shared" si="771"/>
        <v/>
      </c>
      <c r="CS127" s="8" t="str">
        <f t="shared" si="772"/>
        <v/>
      </c>
      <c r="CT127" s="9" t="str">
        <f t="shared" si="773"/>
        <v/>
      </c>
      <c r="CU127" s="6" t="str">
        <f t="shared" si="774"/>
        <v/>
      </c>
      <c r="CV127" s="4" t="str">
        <f t="shared" si="775"/>
        <v/>
      </c>
      <c r="CW127" s="5" t="str">
        <f t="shared" si="776"/>
        <v/>
      </c>
      <c r="CX127" s="8" t="str">
        <f t="shared" si="777"/>
        <v/>
      </c>
      <c r="CY127" s="9" t="str">
        <f t="shared" si="778"/>
        <v/>
      </c>
      <c r="CZ127" s="5" t="str">
        <f t="shared" si="779"/>
        <v/>
      </c>
      <c r="DA127" s="6" t="str">
        <f t="shared" si="780"/>
        <v/>
      </c>
      <c r="DB127" s="4" t="str">
        <f t="shared" si="1030"/>
        <v/>
      </c>
      <c r="DC127" s="5" t="str">
        <f t="shared" si="1030"/>
        <v/>
      </c>
      <c r="DD127" s="10" t="str">
        <f t="shared" si="782"/>
        <v/>
      </c>
      <c r="DE127" s="9" t="str">
        <f t="shared" si="1031"/>
        <v/>
      </c>
      <c r="DF127" s="5" t="str">
        <f t="shared" si="1031"/>
        <v/>
      </c>
      <c r="DG127" s="10" t="str">
        <f t="shared" si="784"/>
        <v/>
      </c>
      <c r="DH127" s="70" t="str">
        <f t="shared" si="785"/>
        <v/>
      </c>
      <c r="DI127" s="4" t="str">
        <f t="shared" si="786"/>
        <v/>
      </c>
      <c r="DJ127" s="5" t="str">
        <f t="shared" si="787"/>
        <v/>
      </c>
      <c r="DK127" s="10" t="str">
        <f t="shared" si="788"/>
        <v/>
      </c>
      <c r="DL127" s="9" t="str">
        <f t="shared" si="789"/>
        <v/>
      </c>
      <c r="DM127" s="173" t="str">
        <f t="shared" si="790"/>
        <v/>
      </c>
      <c r="DN127" s="178" t="str">
        <f t="shared" si="791"/>
        <v/>
      </c>
      <c r="DO127" s="9" t="str">
        <f t="shared" si="792"/>
        <v/>
      </c>
      <c r="DP127" s="173" t="str">
        <f t="shared" si="793"/>
        <v/>
      </c>
      <c r="DQ127" s="11" t="str">
        <f t="shared" si="794"/>
        <v/>
      </c>
      <c r="DR127" s="173" t="str">
        <f t="shared" si="795"/>
        <v/>
      </c>
      <c r="DS127" s="5" t="str">
        <f t="shared" si="796"/>
        <v/>
      </c>
      <c r="DT127" s="5" t="str">
        <f t="shared" si="797"/>
        <v/>
      </c>
      <c r="DU127" s="5" t="str">
        <f t="shared" si="798"/>
        <v/>
      </c>
      <c r="DV127" s="5" t="str">
        <f t="shared" si="799"/>
        <v/>
      </c>
      <c r="DW127" s="5" t="str">
        <f t="shared" si="800"/>
        <v/>
      </c>
      <c r="DX127" s="167" t="str">
        <f t="shared" si="801"/>
        <v/>
      </c>
      <c r="DY127" s="9" t="str">
        <f t="shared" si="802"/>
        <v/>
      </c>
      <c r="DZ127" s="5" t="str">
        <f t="shared" si="803"/>
        <v/>
      </c>
      <c r="EA127" s="10" t="str">
        <f t="shared" si="804"/>
        <v/>
      </c>
      <c r="EB127" s="6" t="str">
        <f t="shared" si="805"/>
        <v/>
      </c>
      <c r="EC127" s="173" t="str">
        <f t="shared" si="806"/>
        <v/>
      </c>
      <c r="ED127" s="5" t="str">
        <f t="shared" si="807"/>
        <v/>
      </c>
      <c r="EE127" s="4" t="str">
        <f t="shared" si="808"/>
        <v/>
      </c>
      <c r="EF127" s="5" t="str">
        <f t="shared" si="809"/>
        <v/>
      </c>
      <c r="EG127" s="10" t="str">
        <f t="shared" si="810"/>
        <v/>
      </c>
      <c r="EH127" s="9" t="str">
        <f t="shared" si="811"/>
        <v/>
      </c>
      <c r="EI127" s="5" t="str">
        <f t="shared" si="812"/>
        <v/>
      </c>
      <c r="EJ127" s="6" t="str">
        <f t="shared" si="813"/>
        <v/>
      </c>
      <c r="EK127" s="236" t="str">
        <f t="shared" si="814"/>
        <v/>
      </c>
      <c r="EL127" s="238" t="str">
        <f t="shared" si="815"/>
        <v/>
      </c>
      <c r="EM127" s="4" t="str">
        <f t="shared" si="816"/>
        <v/>
      </c>
      <c r="EN127" s="5" t="str">
        <f t="shared" si="817"/>
        <v/>
      </c>
      <c r="EO127" s="10" t="str">
        <f t="shared" si="818"/>
        <v/>
      </c>
      <c r="EP127" s="9" t="str">
        <f t="shared" si="819"/>
        <v/>
      </c>
      <c r="EQ127" s="5" t="str">
        <f t="shared" si="820"/>
        <v/>
      </c>
      <c r="ER127" s="7" t="str">
        <f t="shared" si="821"/>
        <v/>
      </c>
      <c r="ES127" s="21" t="str">
        <f t="shared" si="941"/>
        <v/>
      </c>
      <c r="ET127" s="5" t="str">
        <f t="shared" si="942"/>
        <v/>
      </c>
      <c r="EU127" s="10" t="str">
        <f t="shared" si="943"/>
        <v/>
      </c>
      <c r="EV127" s="174" t="str">
        <f t="shared" si="944"/>
        <v/>
      </c>
      <c r="EW127" s="9" t="str">
        <f t="shared" si="945"/>
        <v/>
      </c>
      <c r="EX127" s="5" t="str">
        <f t="shared" si="946"/>
        <v/>
      </c>
      <c r="EY127" s="6" t="str">
        <f t="shared" si="822"/>
        <v/>
      </c>
      <c r="EZ127" s="51" t="str">
        <f t="shared" si="823"/>
        <v/>
      </c>
      <c r="FA127" s="173" t="str">
        <f t="shared" si="947"/>
        <v/>
      </c>
      <c r="FB127" s="5" t="str">
        <f t="shared" si="948"/>
        <v/>
      </c>
      <c r="FC127" s="6" t="str">
        <f t="shared" si="949"/>
        <v/>
      </c>
      <c r="FD127" s="4" t="str">
        <f t="shared" si="950"/>
        <v/>
      </c>
      <c r="FE127" s="5" t="str">
        <f t="shared" si="951"/>
        <v/>
      </c>
      <c r="FF127" s="7" t="str">
        <f t="shared" si="824"/>
        <v/>
      </c>
      <c r="FG127" s="173" t="str">
        <f t="shared" si="952"/>
        <v/>
      </c>
      <c r="FH127" s="5" t="str">
        <f t="shared" si="953"/>
        <v/>
      </c>
      <c r="FI127" s="10" t="str">
        <f t="shared" si="954"/>
        <v/>
      </c>
      <c r="FJ127" s="279" t="str">
        <f t="shared" si="825"/>
        <v/>
      </c>
      <c r="FK127" s="4" t="str">
        <f t="shared" si="955"/>
        <v/>
      </c>
      <c r="FL127" s="5" t="str">
        <f t="shared" si="746"/>
        <v/>
      </c>
      <c r="FM127" s="8" t="str">
        <f t="shared" si="747"/>
        <v/>
      </c>
      <c r="FN127" s="9" t="str">
        <f t="shared" si="748"/>
        <v/>
      </c>
      <c r="FO127" s="10" t="str">
        <f t="shared" si="956"/>
        <v/>
      </c>
      <c r="FP127" s="277" t="str">
        <f t="shared" si="749"/>
        <v/>
      </c>
      <c r="FQ127" s="173" t="str">
        <f t="shared" si="826"/>
        <v/>
      </c>
      <c r="FR127" s="10" t="str">
        <f t="shared" si="827"/>
        <v/>
      </c>
      <c r="FS127" s="9" t="str">
        <f t="shared" si="828"/>
        <v/>
      </c>
      <c r="FT127" s="6" t="str">
        <f t="shared" si="829"/>
        <v/>
      </c>
      <c r="FU127" s="4" t="str">
        <f t="shared" si="830"/>
        <v/>
      </c>
      <c r="FV127" s="5" t="str">
        <f t="shared" si="831"/>
        <v/>
      </c>
      <c r="FW127" s="8" t="str">
        <f t="shared" si="832"/>
        <v/>
      </c>
      <c r="FX127" s="9" t="str">
        <f t="shared" si="833"/>
        <v/>
      </c>
      <c r="FY127" s="10" t="str">
        <f t="shared" si="957"/>
        <v/>
      </c>
      <c r="FZ127" s="277" t="str">
        <f t="shared" si="834"/>
        <v/>
      </c>
      <c r="GA127" s="177" t="str">
        <f t="shared" si="835"/>
        <v/>
      </c>
      <c r="GB127" s="4" t="str">
        <f t="shared" si="836"/>
        <v/>
      </c>
      <c r="GC127" s="5" t="str">
        <f t="shared" si="837"/>
        <v/>
      </c>
      <c r="GD127" s="10" t="str">
        <f t="shared" si="838"/>
        <v/>
      </c>
      <c r="GE127" s="311" t="str">
        <f t="shared" si="839"/>
        <v/>
      </c>
      <c r="GF127" s="341" t="str">
        <f t="shared" si="840"/>
        <v/>
      </c>
      <c r="GG127" s="285" t="str">
        <f t="shared" si="958"/>
        <v/>
      </c>
      <c r="GH127" s="286" t="str">
        <f t="shared" si="959"/>
        <v/>
      </c>
      <c r="GI127" s="281" t="str">
        <f t="shared" si="960"/>
        <v/>
      </c>
      <c r="GJ127" s="167" t="str">
        <f t="shared" si="841"/>
        <v/>
      </c>
      <c r="GK127" s="174" t="str">
        <f t="shared" si="961"/>
        <v/>
      </c>
      <c r="GL127" s="174" t="str">
        <f t="shared" si="842"/>
        <v/>
      </c>
      <c r="GM127" s="177" t="str">
        <f t="shared" si="843"/>
        <v/>
      </c>
      <c r="GN127" s="280" t="str">
        <f t="shared" si="844"/>
        <v/>
      </c>
      <c r="GO127" s="4" t="str">
        <f t="shared" si="845"/>
        <v/>
      </c>
      <c r="GP127" s="8" t="str">
        <f t="shared" si="846"/>
        <v/>
      </c>
      <c r="GQ127" s="177" t="str">
        <f t="shared" si="847"/>
        <v/>
      </c>
      <c r="GR127" s="371" t="str">
        <f t="shared" si="848"/>
        <v/>
      </c>
      <c r="GS127" s="342" t="str">
        <f t="shared" si="962"/>
        <v/>
      </c>
      <c r="GT127" s="343" t="str">
        <f t="shared" si="963"/>
        <v/>
      </c>
      <c r="GU127" s="344" t="str">
        <f t="shared" si="964"/>
        <v/>
      </c>
      <c r="GV127" s="343" t="str">
        <f t="shared" si="849"/>
        <v/>
      </c>
      <c r="GW127" s="345" t="str">
        <f t="shared" si="965"/>
        <v/>
      </c>
      <c r="GX127" s="346" t="str">
        <f t="shared" si="966"/>
        <v/>
      </c>
      <c r="GY127" s="344" t="str">
        <f t="shared" si="967"/>
        <v/>
      </c>
      <c r="GZ127" s="345" t="str">
        <f t="shared" si="968"/>
        <v/>
      </c>
      <c r="HA127" s="342" t="str">
        <f t="shared" si="969"/>
        <v/>
      </c>
      <c r="HB127" s="5" t="str">
        <f t="shared" si="850"/>
        <v/>
      </c>
      <c r="HC127" s="343" t="str">
        <f t="shared" si="851"/>
        <v/>
      </c>
      <c r="HD127" s="363" t="str">
        <f t="shared" si="852"/>
        <v/>
      </c>
      <c r="HE127" s="344" t="str">
        <f t="shared" si="970"/>
        <v/>
      </c>
      <c r="HF127" s="5" t="str">
        <f t="shared" si="971"/>
        <v/>
      </c>
      <c r="HG127" s="343" t="str">
        <f t="shared" si="853"/>
        <v/>
      </c>
      <c r="HH127" s="349" t="str">
        <f t="shared" si="854"/>
        <v/>
      </c>
      <c r="HI127" s="317" t="str">
        <f t="shared" si="972"/>
        <v/>
      </c>
      <c r="HK127" s="310" t="str">
        <f t="shared" si="1025"/>
        <v/>
      </c>
      <c r="HL127" s="348" t="str">
        <f t="shared" si="973"/>
        <v/>
      </c>
      <c r="HM127" s="923" t="str">
        <f t="shared" si="974"/>
        <v/>
      </c>
      <c r="HN127" s="924" t="str">
        <f t="shared" si="975"/>
        <v/>
      </c>
      <c r="HO127" s="925"/>
      <c r="HP127" s="926"/>
      <c r="HQ127" s="924" t="str">
        <f t="shared" si="976"/>
        <v/>
      </c>
      <c r="HR127" s="927" t="str">
        <f t="shared" si="977"/>
        <v/>
      </c>
      <c r="HS127" s="879" t="str">
        <f t="shared" si="1026"/>
        <v/>
      </c>
      <c r="HT127" s="889" t="str">
        <f t="shared" si="978"/>
        <v/>
      </c>
      <c r="HU127" s="890" t="str">
        <f t="shared" si="979"/>
        <v/>
      </c>
      <c r="HV127" s="886" t="str">
        <f t="shared" si="980"/>
        <v/>
      </c>
      <c r="HW127" s="880" t="str">
        <f t="shared" si="981"/>
        <v/>
      </c>
      <c r="HX127" s="881" t="str">
        <f t="shared" si="982"/>
        <v/>
      </c>
      <c r="HY127" s="880" t="str">
        <f t="shared" si="983"/>
        <v/>
      </c>
      <c r="HZ127" s="882" t="str">
        <f t="shared" si="984"/>
        <v/>
      </c>
      <c r="IA127" s="883" t="str">
        <f t="shared" si="985"/>
        <v/>
      </c>
      <c r="IB127" s="884" t="str">
        <f t="shared" si="986"/>
        <v/>
      </c>
      <c r="IC127" s="855" t="str">
        <f t="shared" si="987"/>
        <v/>
      </c>
      <c r="ID127" s="351" t="str">
        <f t="shared" si="988"/>
        <v/>
      </c>
      <c r="IE127" s="857" t="str">
        <f t="shared" si="989"/>
        <v/>
      </c>
      <c r="IF127" s="858"/>
      <c r="IG127" s="790" t="str">
        <f>IFERROR(IF($IW127="","",IF($IW127&lt;(((Settings!$C$19/2)*-1)*$IG$8),"Taper","Nose")),"")</f>
        <v/>
      </c>
      <c r="IH127" s="482" t="str">
        <f>IFERROR(IF((((($IY127*COS(RADIANS(180-$JA127)))*COS(RADIANS($JA127)))-(($IZ127*SIN(RADIANS(180-$JA127)))*SIN(RADIANS($JA127))))+$IW127)&lt;(((Settings!$C$19+$IH$8)/2)*-1),"Gage",""),"")</f>
        <v/>
      </c>
      <c r="II127" s="788" t="str">
        <f t="shared" si="855"/>
        <v/>
      </c>
      <c r="IJ127" s="674" t="str" cm="1">
        <f t="array" ref="IJ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K127" s="677" t="str" cm="1">
        <f t="array" ref="IK127">IFERROR(ROUND(VALUE(IF($IJ127&lt;1,$IJ127+LARGE((IF($M$9:$M$150="",0,$M$9:$M$150)-MOD(IF($M$9:$M$150="",0,$M$9:$M$150),1)),1),$IJ127)),4),"")</f>
        <v/>
      </c>
      <c r="IL127" s="482" t="str">
        <f t="shared" si="990"/>
        <v/>
      </c>
      <c r="IM127" s="482" t="str">
        <f t="shared" si="856"/>
        <v/>
      </c>
      <c r="IN127" s="670" t="str">
        <f t="shared" si="991"/>
        <v/>
      </c>
      <c r="IO127" s="702"/>
      <c r="IP127" s="5" t="str">
        <f t="shared" si="992"/>
        <v/>
      </c>
      <c r="IQ127" s="714"/>
      <c r="IR127" s="9" t="str">
        <f t="shared" si="993"/>
        <v/>
      </c>
      <c r="IS127" s="5" t="str">
        <f t="shared" si="994"/>
        <v/>
      </c>
      <c r="IT127" s="5" t="str">
        <f t="shared" si="995"/>
        <v/>
      </c>
      <c r="IU127" s="5" t="str">
        <f t="shared" si="996"/>
        <v/>
      </c>
      <c r="IV127" s="670" t="str">
        <f t="shared" si="997"/>
        <v/>
      </c>
      <c r="IW127" s="9" t="str">
        <f t="shared" si="998"/>
        <v/>
      </c>
      <c r="IX127" s="5" t="str">
        <f t="shared" si="999"/>
        <v/>
      </c>
      <c r="IY127" s="5" t="str">
        <f t="shared" si="1000"/>
        <v/>
      </c>
      <c r="IZ127" s="5" t="str">
        <f t="shared" si="1001"/>
        <v/>
      </c>
      <c r="JA127" s="705" t="str">
        <f t="shared" si="1002"/>
        <v/>
      </c>
      <c r="JN127" s="960"/>
      <c r="JO127" s="162"/>
      <c r="JP127" s="961"/>
      <c r="JQ127" s="961"/>
    </row>
    <row r="128" spans="1:277" ht="15" customHeight="1" x14ac:dyDescent="0.25">
      <c r="A128" s="75" t="str">
        <f t="shared" si="917"/>
        <v/>
      </c>
      <c r="B128" s="578" t="str">
        <f t="shared" ref="B128:D128" si="1073">IFERROR(O283+($A128*-E128),"")</f>
        <v/>
      </c>
      <c r="C128" s="572" t="str">
        <f t="shared" si="1073"/>
        <v/>
      </c>
      <c r="D128" s="576" t="str">
        <f t="shared" si="1073"/>
        <v/>
      </c>
      <c r="E128" s="580" t="str">
        <f t="shared" ref="E128:K128" si="1074">R283</f>
        <v/>
      </c>
      <c r="F128" s="572" t="str">
        <f t="shared" si="1074"/>
        <v/>
      </c>
      <c r="G128" s="579" t="str">
        <f t="shared" si="1074"/>
        <v/>
      </c>
      <c r="H128" s="580" t="str">
        <f t="shared" si="1074"/>
        <v/>
      </c>
      <c r="I128" s="572" t="str">
        <f t="shared" si="1074"/>
        <v/>
      </c>
      <c r="J128" s="483" t="str">
        <f t="shared" si="728"/>
        <v/>
      </c>
      <c r="K128" s="806" t="str">
        <f t="shared" si="1074"/>
        <v/>
      </c>
      <c r="L128" s="309"/>
      <c r="M128" s="164" t="str">
        <f t="shared" si="920"/>
        <v/>
      </c>
      <c r="N128" s="575" t="str">
        <f t="shared" si="921"/>
        <v/>
      </c>
      <c r="O128" s="572" t="str">
        <f t="shared" si="922"/>
        <v/>
      </c>
      <c r="P128" s="576" t="str">
        <f t="shared" si="923"/>
        <v/>
      </c>
      <c r="Q128" s="528" t="str">
        <f t="shared" si="729"/>
        <v/>
      </c>
      <c r="R128" s="572" t="str">
        <f t="shared" si="1005"/>
        <v/>
      </c>
      <c r="S128" s="577" t="str">
        <f t="shared" si="1006"/>
        <v/>
      </c>
      <c r="T128" s="578" t="str">
        <f t="shared" si="1007"/>
        <v/>
      </c>
      <c r="U128" s="572" t="str">
        <f t="shared" si="1008"/>
        <v/>
      </c>
      <c r="V128" s="579" t="str">
        <f t="shared" si="1009"/>
        <v/>
      </c>
      <c r="W128" s="528" t="str">
        <f t="shared" si="866"/>
        <v/>
      </c>
      <c r="X128" s="572" t="str">
        <f t="shared" si="1010"/>
        <v/>
      </c>
      <c r="Y128" s="573" t="str">
        <f t="shared" si="859"/>
        <v/>
      </c>
      <c r="Z128" s="575" t="str">
        <f t="shared" si="924"/>
        <v/>
      </c>
      <c r="AA128" s="572" t="str">
        <f t="shared" si="925"/>
        <v/>
      </c>
      <c r="AB128" s="572" t="str">
        <f t="shared" si="926"/>
        <v/>
      </c>
      <c r="AC128" s="579" t="str">
        <f t="shared" si="1011"/>
        <v/>
      </c>
      <c r="AD128" s="580" t="str">
        <f t="shared" si="1012"/>
        <v/>
      </c>
      <c r="AE128" s="572" t="str">
        <f t="shared" si="1013"/>
        <v/>
      </c>
      <c r="AF128" s="576" t="str">
        <f t="shared" si="1014"/>
        <v/>
      </c>
      <c r="AG128" s="545" t="str">
        <f t="shared" si="1015"/>
        <v/>
      </c>
      <c r="AH128" s="546" t="str">
        <f t="shared" si="1016"/>
        <v/>
      </c>
      <c r="AI128" s="528" t="str">
        <f t="shared" si="1017"/>
        <v/>
      </c>
      <c r="AJ128" s="529" t="str">
        <f t="shared" si="1018"/>
        <v/>
      </c>
      <c r="AK128" s="578" t="str">
        <f t="shared" si="1019"/>
        <v/>
      </c>
      <c r="AL128" s="572" t="str">
        <f t="shared" si="1020"/>
        <v/>
      </c>
      <c r="AM128" s="577" t="str">
        <f t="shared" si="1021"/>
        <v/>
      </c>
      <c r="AN128" s="524" t="str">
        <f t="shared" si="1022"/>
        <v/>
      </c>
      <c r="AO128" s="525" t="str">
        <f t="shared" si="1058"/>
        <v/>
      </c>
      <c r="AP128" s="528" t="str">
        <f t="shared" si="1023"/>
        <v/>
      </c>
      <c r="AQ128" s="529" t="str">
        <f t="shared" si="927"/>
        <v/>
      </c>
      <c r="AS128" s="954" t="str">
        <f t="shared" si="1029"/>
        <v/>
      </c>
      <c r="AT128" s="950" t="str">
        <f t="shared" si="928"/>
        <v/>
      </c>
      <c r="AU128" s="418"/>
      <c r="AV128" s="164" t="str">
        <f t="shared" si="929"/>
        <v/>
      </c>
      <c r="AW128" s="797" t="str">
        <f>IFERROR(INDEX(MassProp!C$9:C$150,MATCH($M128,MassProp!$B$9:$B$150,0)),"")</f>
        <v/>
      </c>
      <c r="AX128" s="744" t="str">
        <f>IFERROR(INDEX(MassProp!D$9:D$150,MATCH($M128,MassProp!$B$9:$B$150,0)),"")</f>
        <v/>
      </c>
      <c r="AY128" s="731" t="str">
        <f>IFERROR(INDEX(MassProp!E$9:E$150,MATCH($M128,MassProp!$B$9:$B$150,0)),"")</f>
        <v/>
      </c>
      <c r="AZ128" s="297" t="str">
        <f t="shared" si="756"/>
        <v/>
      </c>
      <c r="BA128" s="296" t="str">
        <f t="shared" si="930"/>
        <v/>
      </c>
      <c r="BB128" s="177" t="str">
        <f t="shared" si="730"/>
        <v/>
      </c>
      <c r="BC128" s="9"/>
      <c r="BD128" s="5" t="str">
        <f t="shared" si="731"/>
        <v/>
      </c>
      <c r="BE128" s="6" t="str">
        <f t="shared" si="931"/>
        <v/>
      </c>
      <c r="BF128" s="4" t="str">
        <f t="shared" si="932"/>
        <v/>
      </c>
      <c r="BG128" s="5" t="str">
        <f t="shared" si="933"/>
        <v/>
      </c>
      <c r="BH128" s="10" t="str">
        <f t="shared" si="934"/>
        <v/>
      </c>
      <c r="BI128" s="9" t="str">
        <f t="shared" si="757"/>
        <v/>
      </c>
      <c r="BJ128" s="5" t="str">
        <f t="shared" si="935"/>
        <v/>
      </c>
      <c r="BK128" s="8" t="str">
        <f t="shared" si="936"/>
        <v/>
      </c>
      <c r="BL128" s="173" t="str">
        <f t="shared" si="937"/>
        <v/>
      </c>
      <c r="BM128" s="5" t="str">
        <f t="shared" si="938"/>
        <v/>
      </c>
      <c r="BN128" s="6" t="str">
        <f t="shared" si="939"/>
        <v/>
      </c>
      <c r="BO128" s="4" t="str">
        <f t="shared" si="758"/>
        <v/>
      </c>
      <c r="BP128" s="5" t="str">
        <f t="shared" si="759"/>
        <v/>
      </c>
      <c r="BQ128" s="5" t="str">
        <f t="shared" si="760"/>
        <v/>
      </c>
      <c r="BR128" s="6" t="str">
        <f t="shared" si="761"/>
        <v/>
      </c>
      <c r="BS128" s="4" t="str">
        <f t="shared" si="1024"/>
        <v/>
      </c>
      <c r="BT128" s="5" t="str">
        <f t="shared" si="1024"/>
        <v/>
      </c>
      <c r="BU128" s="10" t="str">
        <f t="shared" si="733"/>
        <v/>
      </c>
      <c r="BV128" s="9" t="str">
        <f t="shared" si="734"/>
        <v/>
      </c>
      <c r="BW128" s="5" t="str">
        <f t="shared" si="735"/>
        <v/>
      </c>
      <c r="BX128" s="8" t="str">
        <f t="shared" si="736"/>
        <v/>
      </c>
      <c r="BY128" s="173" t="str">
        <f t="shared" si="737"/>
        <v/>
      </c>
      <c r="BZ128" s="5" t="str">
        <f t="shared" si="738"/>
        <v/>
      </c>
      <c r="CA128" s="6" t="str">
        <f t="shared" si="739"/>
        <v/>
      </c>
      <c r="CB128" s="4" t="str">
        <f t="shared" si="762"/>
        <v/>
      </c>
      <c r="CC128" s="5" t="str">
        <f t="shared" si="763"/>
        <v/>
      </c>
      <c r="CD128" s="5" t="str">
        <f t="shared" si="764"/>
        <v/>
      </c>
      <c r="CE128" s="6" t="str">
        <f t="shared" si="765"/>
        <v/>
      </c>
      <c r="CF128" s="4" t="str">
        <f t="shared" si="766"/>
        <v/>
      </c>
      <c r="CG128" s="5" t="str">
        <f t="shared" si="767"/>
        <v/>
      </c>
      <c r="CH128" s="5" t="str">
        <f t="shared" si="768"/>
        <v/>
      </c>
      <c r="CI128" s="4" t="str">
        <f t="shared" si="740"/>
        <v/>
      </c>
      <c r="CJ128" s="5" t="str">
        <f t="shared" si="741"/>
        <v/>
      </c>
      <c r="CK128" s="8" t="str">
        <f t="shared" si="742"/>
        <v/>
      </c>
      <c r="CL128" s="173" t="str">
        <f t="shared" si="743"/>
        <v/>
      </c>
      <c r="CM128" s="5" t="str">
        <f t="shared" si="744"/>
        <v/>
      </c>
      <c r="CN128" s="6" t="str">
        <f t="shared" si="745"/>
        <v/>
      </c>
      <c r="CO128" s="167" t="str">
        <f t="shared" si="940"/>
        <v/>
      </c>
      <c r="CP128" s="4" t="str">
        <f t="shared" si="769"/>
        <v/>
      </c>
      <c r="CQ128" s="5" t="str">
        <f t="shared" si="770"/>
        <v/>
      </c>
      <c r="CR128" s="5" t="str">
        <f t="shared" si="771"/>
        <v/>
      </c>
      <c r="CS128" s="8" t="str">
        <f t="shared" si="772"/>
        <v/>
      </c>
      <c r="CT128" s="9" t="str">
        <f t="shared" si="773"/>
        <v/>
      </c>
      <c r="CU128" s="6" t="str">
        <f t="shared" si="774"/>
        <v/>
      </c>
      <c r="CV128" s="4" t="str">
        <f t="shared" si="775"/>
        <v/>
      </c>
      <c r="CW128" s="5" t="str">
        <f t="shared" si="776"/>
        <v/>
      </c>
      <c r="CX128" s="8" t="str">
        <f t="shared" si="777"/>
        <v/>
      </c>
      <c r="CY128" s="9" t="str">
        <f t="shared" si="778"/>
        <v/>
      </c>
      <c r="CZ128" s="5" t="str">
        <f t="shared" si="779"/>
        <v/>
      </c>
      <c r="DA128" s="6" t="str">
        <f t="shared" si="780"/>
        <v/>
      </c>
      <c r="DB128" s="4" t="str">
        <f t="shared" si="1030"/>
        <v/>
      </c>
      <c r="DC128" s="5" t="str">
        <f t="shared" si="1030"/>
        <v/>
      </c>
      <c r="DD128" s="10" t="str">
        <f t="shared" si="782"/>
        <v/>
      </c>
      <c r="DE128" s="9" t="str">
        <f t="shared" si="1031"/>
        <v/>
      </c>
      <c r="DF128" s="5" t="str">
        <f t="shared" si="1031"/>
        <v/>
      </c>
      <c r="DG128" s="10" t="str">
        <f t="shared" si="784"/>
        <v/>
      </c>
      <c r="DH128" s="70" t="str">
        <f t="shared" si="785"/>
        <v/>
      </c>
      <c r="DI128" s="4" t="str">
        <f t="shared" si="786"/>
        <v/>
      </c>
      <c r="DJ128" s="5" t="str">
        <f t="shared" si="787"/>
        <v/>
      </c>
      <c r="DK128" s="10" t="str">
        <f t="shared" si="788"/>
        <v/>
      </c>
      <c r="DL128" s="9" t="str">
        <f t="shared" si="789"/>
        <v/>
      </c>
      <c r="DM128" s="173" t="str">
        <f t="shared" si="790"/>
        <v/>
      </c>
      <c r="DN128" s="178" t="str">
        <f t="shared" si="791"/>
        <v/>
      </c>
      <c r="DO128" s="9" t="str">
        <f t="shared" si="792"/>
        <v/>
      </c>
      <c r="DP128" s="173" t="str">
        <f t="shared" si="793"/>
        <v/>
      </c>
      <c r="DQ128" s="11" t="str">
        <f t="shared" si="794"/>
        <v/>
      </c>
      <c r="DR128" s="173" t="str">
        <f t="shared" si="795"/>
        <v/>
      </c>
      <c r="DS128" s="5" t="str">
        <f t="shared" si="796"/>
        <v/>
      </c>
      <c r="DT128" s="5" t="str">
        <f t="shared" si="797"/>
        <v/>
      </c>
      <c r="DU128" s="5" t="str">
        <f t="shared" si="798"/>
        <v/>
      </c>
      <c r="DV128" s="5" t="str">
        <f t="shared" si="799"/>
        <v/>
      </c>
      <c r="DW128" s="5" t="str">
        <f t="shared" si="800"/>
        <v/>
      </c>
      <c r="DX128" s="167" t="str">
        <f t="shared" si="801"/>
        <v/>
      </c>
      <c r="DY128" s="9" t="str">
        <f t="shared" si="802"/>
        <v/>
      </c>
      <c r="DZ128" s="5" t="str">
        <f t="shared" si="803"/>
        <v/>
      </c>
      <c r="EA128" s="10" t="str">
        <f t="shared" si="804"/>
        <v/>
      </c>
      <c r="EB128" s="6" t="str">
        <f t="shared" si="805"/>
        <v/>
      </c>
      <c r="EC128" s="173" t="str">
        <f t="shared" si="806"/>
        <v/>
      </c>
      <c r="ED128" s="5" t="str">
        <f t="shared" si="807"/>
        <v/>
      </c>
      <c r="EE128" s="4" t="str">
        <f t="shared" si="808"/>
        <v/>
      </c>
      <c r="EF128" s="5" t="str">
        <f t="shared" si="809"/>
        <v/>
      </c>
      <c r="EG128" s="10" t="str">
        <f t="shared" si="810"/>
        <v/>
      </c>
      <c r="EH128" s="9" t="str">
        <f t="shared" si="811"/>
        <v/>
      </c>
      <c r="EI128" s="5" t="str">
        <f t="shared" si="812"/>
        <v/>
      </c>
      <c r="EJ128" s="6" t="str">
        <f t="shared" si="813"/>
        <v/>
      </c>
      <c r="EK128" s="236" t="str">
        <f t="shared" si="814"/>
        <v/>
      </c>
      <c r="EL128" s="238" t="str">
        <f t="shared" si="815"/>
        <v/>
      </c>
      <c r="EM128" s="4" t="str">
        <f t="shared" si="816"/>
        <v/>
      </c>
      <c r="EN128" s="5" t="str">
        <f t="shared" si="817"/>
        <v/>
      </c>
      <c r="EO128" s="10" t="str">
        <f t="shared" si="818"/>
        <v/>
      </c>
      <c r="EP128" s="9" t="str">
        <f t="shared" si="819"/>
        <v/>
      </c>
      <c r="EQ128" s="5" t="str">
        <f t="shared" si="820"/>
        <v/>
      </c>
      <c r="ER128" s="7" t="str">
        <f t="shared" si="821"/>
        <v/>
      </c>
      <c r="ES128" s="21" t="str">
        <f t="shared" si="941"/>
        <v/>
      </c>
      <c r="ET128" s="5" t="str">
        <f t="shared" si="942"/>
        <v/>
      </c>
      <c r="EU128" s="10" t="str">
        <f t="shared" si="943"/>
        <v/>
      </c>
      <c r="EV128" s="174" t="str">
        <f t="shared" si="944"/>
        <v/>
      </c>
      <c r="EW128" s="9" t="str">
        <f t="shared" si="945"/>
        <v/>
      </c>
      <c r="EX128" s="5" t="str">
        <f t="shared" si="946"/>
        <v/>
      </c>
      <c r="EY128" s="6" t="str">
        <f t="shared" si="822"/>
        <v/>
      </c>
      <c r="EZ128" s="51" t="str">
        <f t="shared" si="823"/>
        <v/>
      </c>
      <c r="FA128" s="173" t="str">
        <f t="shared" si="947"/>
        <v/>
      </c>
      <c r="FB128" s="5" t="str">
        <f t="shared" si="948"/>
        <v/>
      </c>
      <c r="FC128" s="6" t="str">
        <f t="shared" si="949"/>
        <v/>
      </c>
      <c r="FD128" s="4" t="str">
        <f t="shared" si="950"/>
        <v/>
      </c>
      <c r="FE128" s="5" t="str">
        <f t="shared" si="951"/>
        <v/>
      </c>
      <c r="FF128" s="7" t="str">
        <f t="shared" si="824"/>
        <v/>
      </c>
      <c r="FG128" s="173" t="str">
        <f t="shared" si="952"/>
        <v/>
      </c>
      <c r="FH128" s="5" t="str">
        <f t="shared" si="953"/>
        <v/>
      </c>
      <c r="FI128" s="10" t="str">
        <f t="shared" si="954"/>
        <v/>
      </c>
      <c r="FJ128" s="279" t="str">
        <f t="shared" si="825"/>
        <v/>
      </c>
      <c r="FK128" s="4" t="str">
        <f t="shared" si="955"/>
        <v/>
      </c>
      <c r="FL128" s="5" t="str">
        <f t="shared" si="746"/>
        <v/>
      </c>
      <c r="FM128" s="8" t="str">
        <f t="shared" si="747"/>
        <v/>
      </c>
      <c r="FN128" s="9" t="str">
        <f t="shared" si="748"/>
        <v/>
      </c>
      <c r="FO128" s="10" t="str">
        <f t="shared" si="956"/>
        <v/>
      </c>
      <c r="FP128" s="277" t="str">
        <f t="shared" si="749"/>
        <v/>
      </c>
      <c r="FQ128" s="173" t="str">
        <f t="shared" si="826"/>
        <v/>
      </c>
      <c r="FR128" s="10" t="str">
        <f t="shared" si="827"/>
        <v/>
      </c>
      <c r="FS128" s="9" t="str">
        <f t="shared" si="828"/>
        <v/>
      </c>
      <c r="FT128" s="6" t="str">
        <f t="shared" si="829"/>
        <v/>
      </c>
      <c r="FU128" s="4" t="str">
        <f t="shared" si="830"/>
        <v/>
      </c>
      <c r="FV128" s="5" t="str">
        <f t="shared" si="831"/>
        <v/>
      </c>
      <c r="FW128" s="8" t="str">
        <f t="shared" si="832"/>
        <v/>
      </c>
      <c r="FX128" s="9" t="str">
        <f t="shared" si="833"/>
        <v/>
      </c>
      <c r="FY128" s="10" t="str">
        <f t="shared" si="957"/>
        <v/>
      </c>
      <c r="FZ128" s="277" t="str">
        <f t="shared" si="834"/>
        <v/>
      </c>
      <c r="GA128" s="177" t="str">
        <f t="shared" si="835"/>
        <v/>
      </c>
      <c r="GB128" s="4" t="str">
        <f t="shared" si="836"/>
        <v/>
      </c>
      <c r="GC128" s="5" t="str">
        <f t="shared" si="837"/>
        <v/>
      </c>
      <c r="GD128" s="10" t="str">
        <f t="shared" si="838"/>
        <v/>
      </c>
      <c r="GE128" s="311" t="str">
        <f t="shared" si="839"/>
        <v/>
      </c>
      <c r="GF128" s="341" t="str">
        <f t="shared" si="840"/>
        <v/>
      </c>
      <c r="GG128" s="285" t="str">
        <f t="shared" si="958"/>
        <v/>
      </c>
      <c r="GH128" s="286" t="str">
        <f t="shared" si="959"/>
        <v/>
      </c>
      <c r="GI128" s="281" t="str">
        <f t="shared" si="960"/>
        <v/>
      </c>
      <c r="GJ128" s="167" t="str">
        <f t="shared" si="841"/>
        <v/>
      </c>
      <c r="GK128" s="174" t="str">
        <f t="shared" si="961"/>
        <v/>
      </c>
      <c r="GL128" s="174" t="str">
        <f t="shared" si="842"/>
        <v/>
      </c>
      <c r="GM128" s="177" t="str">
        <f t="shared" si="843"/>
        <v/>
      </c>
      <c r="GN128" s="280" t="str">
        <f t="shared" si="844"/>
        <v/>
      </c>
      <c r="GO128" s="4" t="str">
        <f t="shared" si="845"/>
        <v/>
      </c>
      <c r="GP128" s="8" t="str">
        <f t="shared" si="846"/>
        <v/>
      </c>
      <c r="GQ128" s="177" t="str">
        <f t="shared" si="847"/>
        <v/>
      </c>
      <c r="GR128" s="371" t="str">
        <f t="shared" si="848"/>
        <v/>
      </c>
      <c r="GS128" s="342" t="str">
        <f t="shared" si="962"/>
        <v/>
      </c>
      <c r="GT128" s="343" t="str">
        <f t="shared" si="963"/>
        <v/>
      </c>
      <c r="GU128" s="344" t="str">
        <f t="shared" si="964"/>
        <v/>
      </c>
      <c r="GV128" s="343" t="str">
        <f t="shared" si="849"/>
        <v/>
      </c>
      <c r="GW128" s="345" t="str">
        <f t="shared" si="965"/>
        <v/>
      </c>
      <c r="GX128" s="346" t="str">
        <f t="shared" si="966"/>
        <v/>
      </c>
      <c r="GY128" s="344" t="str">
        <f t="shared" si="967"/>
        <v/>
      </c>
      <c r="GZ128" s="345" t="str">
        <f t="shared" si="968"/>
        <v/>
      </c>
      <c r="HA128" s="342" t="str">
        <f t="shared" si="969"/>
        <v/>
      </c>
      <c r="HB128" s="5" t="str">
        <f t="shared" si="850"/>
        <v/>
      </c>
      <c r="HC128" s="343" t="str">
        <f t="shared" si="851"/>
        <v/>
      </c>
      <c r="HD128" s="363" t="str">
        <f t="shared" si="852"/>
        <v/>
      </c>
      <c r="HE128" s="344" t="str">
        <f t="shared" si="970"/>
        <v/>
      </c>
      <c r="HF128" s="5" t="str">
        <f t="shared" si="971"/>
        <v/>
      </c>
      <c r="HG128" s="343" t="str">
        <f t="shared" si="853"/>
        <v/>
      </c>
      <c r="HH128" s="349" t="str">
        <f t="shared" si="854"/>
        <v/>
      </c>
      <c r="HI128" s="317" t="str">
        <f t="shared" si="972"/>
        <v/>
      </c>
      <c r="HK128" s="310" t="str">
        <f t="shared" si="1025"/>
        <v/>
      </c>
      <c r="HL128" s="348" t="str">
        <f t="shared" si="973"/>
        <v/>
      </c>
      <c r="HM128" s="923" t="str">
        <f t="shared" si="974"/>
        <v/>
      </c>
      <c r="HN128" s="924" t="str">
        <f t="shared" si="975"/>
        <v/>
      </c>
      <c r="HO128" s="925"/>
      <c r="HP128" s="926"/>
      <c r="HQ128" s="924" t="str">
        <f t="shared" si="976"/>
        <v/>
      </c>
      <c r="HR128" s="927" t="str">
        <f t="shared" si="977"/>
        <v/>
      </c>
      <c r="HS128" s="879" t="str">
        <f t="shared" si="1026"/>
        <v/>
      </c>
      <c r="HT128" s="889" t="str">
        <f t="shared" si="978"/>
        <v/>
      </c>
      <c r="HU128" s="890" t="str">
        <f t="shared" si="979"/>
        <v/>
      </c>
      <c r="HV128" s="886" t="str">
        <f t="shared" si="980"/>
        <v/>
      </c>
      <c r="HW128" s="880" t="str">
        <f t="shared" si="981"/>
        <v/>
      </c>
      <c r="HX128" s="881" t="str">
        <f t="shared" si="982"/>
        <v/>
      </c>
      <c r="HY128" s="880" t="str">
        <f t="shared" si="983"/>
        <v/>
      </c>
      <c r="HZ128" s="882" t="str">
        <f t="shared" si="984"/>
        <v/>
      </c>
      <c r="IA128" s="883" t="str">
        <f t="shared" si="985"/>
        <v/>
      </c>
      <c r="IB128" s="884" t="str">
        <f t="shared" si="986"/>
        <v/>
      </c>
      <c r="IC128" s="855" t="str">
        <f t="shared" si="987"/>
        <v/>
      </c>
      <c r="ID128" s="351" t="str">
        <f t="shared" si="988"/>
        <v/>
      </c>
      <c r="IE128" s="857" t="str">
        <f t="shared" si="989"/>
        <v/>
      </c>
      <c r="IF128" s="858"/>
      <c r="IG128" s="790" t="str">
        <f>IFERROR(IF($IW128="","",IF($IW128&lt;(((Settings!$C$19/2)*-1)*$IG$8),"Taper","Nose")),"")</f>
        <v/>
      </c>
      <c r="IH128" s="482" t="str">
        <f>IFERROR(IF((((($IY128*COS(RADIANS(180-$JA128)))*COS(RADIANS($JA128)))-(($IZ128*SIN(RADIANS(180-$JA128)))*SIN(RADIANS($JA128))))+$IW128)&lt;(((Settings!$C$19+$IH$8)/2)*-1),"Gage",""),"")</f>
        <v/>
      </c>
      <c r="II128" s="788" t="str">
        <f t="shared" si="855"/>
        <v/>
      </c>
      <c r="IJ128" s="674" t="str" cm="1">
        <f t="array" ref="IJ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K128" s="677" t="str" cm="1">
        <f t="array" ref="IK128">IFERROR(ROUND(VALUE(IF($IJ128&lt;1,$IJ128+LARGE((IF($M$9:$M$150="",0,$M$9:$M$150)-MOD(IF($M$9:$M$150="",0,$M$9:$M$150),1)),1),$IJ128)),4),"")</f>
        <v/>
      </c>
      <c r="IL128" s="482" t="str">
        <f t="shared" si="990"/>
        <v/>
      </c>
      <c r="IM128" s="482" t="str">
        <f t="shared" si="856"/>
        <v/>
      </c>
      <c r="IN128" s="670" t="str">
        <f t="shared" si="991"/>
        <v/>
      </c>
      <c r="IO128" s="702"/>
      <c r="IP128" s="5" t="str">
        <f t="shared" si="992"/>
        <v/>
      </c>
      <c r="IQ128" s="714"/>
      <c r="IR128" s="9" t="str">
        <f t="shared" si="993"/>
        <v/>
      </c>
      <c r="IS128" s="5" t="str">
        <f t="shared" si="994"/>
        <v/>
      </c>
      <c r="IT128" s="5" t="str">
        <f t="shared" si="995"/>
        <v/>
      </c>
      <c r="IU128" s="5" t="str">
        <f t="shared" si="996"/>
        <v/>
      </c>
      <c r="IV128" s="670" t="str">
        <f t="shared" si="997"/>
        <v/>
      </c>
      <c r="IW128" s="9" t="str">
        <f t="shared" si="998"/>
        <v/>
      </c>
      <c r="IX128" s="5" t="str">
        <f t="shared" si="999"/>
        <v/>
      </c>
      <c r="IY128" s="5" t="str">
        <f t="shared" si="1000"/>
        <v/>
      </c>
      <c r="IZ128" s="5" t="str">
        <f t="shared" si="1001"/>
        <v/>
      </c>
      <c r="JA128" s="705" t="str">
        <f t="shared" si="1002"/>
        <v/>
      </c>
      <c r="JN128" s="960"/>
      <c r="JO128" s="162"/>
      <c r="JP128" s="961"/>
      <c r="JQ128" s="961"/>
    </row>
    <row r="129" spans="1:277" ht="15" customHeight="1" x14ac:dyDescent="0.25">
      <c r="A129" s="75" t="str">
        <f t="shared" si="917"/>
        <v/>
      </c>
      <c r="B129" s="578" t="str">
        <f t="shared" ref="B129:D129" si="1075">IFERROR(O284+($A129*-E129),"")</f>
        <v/>
      </c>
      <c r="C129" s="572" t="str">
        <f t="shared" si="1075"/>
        <v/>
      </c>
      <c r="D129" s="576" t="str">
        <f t="shared" si="1075"/>
        <v/>
      </c>
      <c r="E129" s="580" t="str">
        <f t="shared" ref="E129:K129" si="1076">R284</f>
        <v/>
      </c>
      <c r="F129" s="572" t="str">
        <f t="shared" si="1076"/>
        <v/>
      </c>
      <c r="G129" s="579" t="str">
        <f t="shared" si="1076"/>
        <v/>
      </c>
      <c r="H129" s="580" t="str">
        <f t="shared" si="1076"/>
        <v/>
      </c>
      <c r="I129" s="572" t="str">
        <f t="shared" si="1076"/>
        <v/>
      </c>
      <c r="J129" s="483" t="str">
        <f t="shared" si="728"/>
        <v/>
      </c>
      <c r="K129" s="806" t="str">
        <f t="shared" si="1076"/>
        <v/>
      </c>
      <c r="L129" s="309"/>
      <c r="M129" s="164" t="str">
        <f t="shared" si="920"/>
        <v/>
      </c>
      <c r="N129" s="575" t="str">
        <f t="shared" si="921"/>
        <v/>
      </c>
      <c r="O129" s="572" t="str">
        <f t="shared" si="922"/>
        <v/>
      </c>
      <c r="P129" s="576" t="str">
        <f t="shared" si="923"/>
        <v/>
      </c>
      <c r="Q129" s="528" t="str">
        <f t="shared" si="729"/>
        <v/>
      </c>
      <c r="R129" s="572" t="str">
        <f t="shared" si="1005"/>
        <v/>
      </c>
      <c r="S129" s="577" t="str">
        <f t="shared" si="1006"/>
        <v/>
      </c>
      <c r="T129" s="578" t="str">
        <f t="shared" si="1007"/>
        <v/>
      </c>
      <c r="U129" s="572" t="str">
        <f t="shared" si="1008"/>
        <v/>
      </c>
      <c r="V129" s="579" t="str">
        <f t="shared" si="1009"/>
        <v/>
      </c>
      <c r="W129" s="528" t="str">
        <f t="shared" si="866"/>
        <v/>
      </c>
      <c r="X129" s="572" t="str">
        <f t="shared" si="1010"/>
        <v/>
      </c>
      <c r="Y129" s="573" t="str">
        <f t="shared" si="859"/>
        <v/>
      </c>
      <c r="Z129" s="575" t="str">
        <f t="shared" si="924"/>
        <v/>
      </c>
      <c r="AA129" s="572" t="str">
        <f t="shared" si="925"/>
        <v/>
      </c>
      <c r="AB129" s="572" t="str">
        <f t="shared" si="926"/>
        <v/>
      </c>
      <c r="AC129" s="579" t="str">
        <f t="shared" si="1011"/>
        <v/>
      </c>
      <c r="AD129" s="580" t="str">
        <f t="shared" si="1012"/>
        <v/>
      </c>
      <c r="AE129" s="572" t="str">
        <f t="shared" si="1013"/>
        <v/>
      </c>
      <c r="AF129" s="576" t="str">
        <f t="shared" si="1014"/>
        <v/>
      </c>
      <c r="AG129" s="545" t="str">
        <f t="shared" si="1015"/>
        <v/>
      </c>
      <c r="AH129" s="546" t="str">
        <f t="shared" si="1016"/>
        <v/>
      </c>
      <c r="AI129" s="528" t="str">
        <f t="shared" si="1017"/>
        <v/>
      </c>
      <c r="AJ129" s="529" t="str">
        <f t="shared" si="1018"/>
        <v/>
      </c>
      <c r="AK129" s="578" t="str">
        <f t="shared" si="1019"/>
        <v/>
      </c>
      <c r="AL129" s="572" t="str">
        <f t="shared" si="1020"/>
        <v/>
      </c>
      <c r="AM129" s="577" t="str">
        <f t="shared" si="1021"/>
        <v/>
      </c>
      <c r="AN129" s="524" t="str">
        <f t="shared" si="1022"/>
        <v/>
      </c>
      <c r="AO129" s="525" t="str">
        <f t="shared" si="1058"/>
        <v/>
      </c>
      <c r="AP129" s="528" t="str">
        <f t="shared" si="1023"/>
        <v/>
      </c>
      <c r="AQ129" s="529" t="str">
        <f t="shared" si="927"/>
        <v/>
      </c>
      <c r="AS129" s="954" t="str">
        <f t="shared" si="1029"/>
        <v/>
      </c>
      <c r="AT129" s="950" t="str">
        <f t="shared" si="928"/>
        <v/>
      </c>
      <c r="AU129" s="418"/>
      <c r="AV129" s="164" t="str">
        <f t="shared" si="929"/>
        <v/>
      </c>
      <c r="AW129" s="797" t="str">
        <f>IFERROR(INDEX(MassProp!C$9:C$150,MATCH($M129,MassProp!$B$9:$B$150,0)),"")</f>
        <v/>
      </c>
      <c r="AX129" s="744" t="str">
        <f>IFERROR(INDEX(MassProp!D$9:D$150,MATCH($M129,MassProp!$B$9:$B$150,0)),"")</f>
        <v/>
      </c>
      <c r="AY129" s="731" t="str">
        <f>IFERROR(INDEX(MassProp!E$9:E$150,MATCH($M129,MassProp!$B$9:$B$150,0)),"")</f>
        <v/>
      </c>
      <c r="AZ129" s="297" t="str">
        <f t="shared" si="756"/>
        <v/>
      </c>
      <c r="BA129" s="296" t="str">
        <f t="shared" si="930"/>
        <v/>
      </c>
      <c r="BB129" s="177" t="str">
        <f t="shared" si="730"/>
        <v/>
      </c>
      <c r="BC129" s="9"/>
      <c r="BD129" s="5" t="str">
        <f t="shared" si="731"/>
        <v/>
      </c>
      <c r="BE129" s="6" t="str">
        <f t="shared" si="931"/>
        <v/>
      </c>
      <c r="BF129" s="4" t="str">
        <f t="shared" si="932"/>
        <v/>
      </c>
      <c r="BG129" s="5" t="str">
        <f t="shared" si="933"/>
        <v/>
      </c>
      <c r="BH129" s="10" t="str">
        <f t="shared" si="934"/>
        <v/>
      </c>
      <c r="BI129" s="9" t="str">
        <f t="shared" si="757"/>
        <v/>
      </c>
      <c r="BJ129" s="5" t="str">
        <f t="shared" si="935"/>
        <v/>
      </c>
      <c r="BK129" s="8" t="str">
        <f t="shared" si="936"/>
        <v/>
      </c>
      <c r="BL129" s="173" t="str">
        <f t="shared" si="937"/>
        <v/>
      </c>
      <c r="BM129" s="5" t="str">
        <f t="shared" si="938"/>
        <v/>
      </c>
      <c r="BN129" s="6" t="str">
        <f t="shared" si="939"/>
        <v/>
      </c>
      <c r="BO129" s="4" t="str">
        <f t="shared" si="758"/>
        <v/>
      </c>
      <c r="BP129" s="5" t="str">
        <f t="shared" si="759"/>
        <v/>
      </c>
      <c r="BQ129" s="5" t="str">
        <f t="shared" si="760"/>
        <v/>
      </c>
      <c r="BR129" s="6" t="str">
        <f t="shared" si="761"/>
        <v/>
      </c>
      <c r="BS129" s="4" t="str">
        <f t="shared" si="1024"/>
        <v/>
      </c>
      <c r="BT129" s="5" t="str">
        <f t="shared" si="1024"/>
        <v/>
      </c>
      <c r="BU129" s="10" t="str">
        <f t="shared" si="733"/>
        <v/>
      </c>
      <c r="BV129" s="9" t="str">
        <f t="shared" si="734"/>
        <v/>
      </c>
      <c r="BW129" s="5" t="str">
        <f t="shared" si="735"/>
        <v/>
      </c>
      <c r="BX129" s="8" t="str">
        <f t="shared" si="736"/>
        <v/>
      </c>
      <c r="BY129" s="173" t="str">
        <f t="shared" si="737"/>
        <v/>
      </c>
      <c r="BZ129" s="5" t="str">
        <f t="shared" si="738"/>
        <v/>
      </c>
      <c r="CA129" s="6" t="str">
        <f t="shared" si="739"/>
        <v/>
      </c>
      <c r="CB129" s="4" t="str">
        <f t="shared" si="762"/>
        <v/>
      </c>
      <c r="CC129" s="5" t="str">
        <f t="shared" si="763"/>
        <v/>
      </c>
      <c r="CD129" s="5" t="str">
        <f t="shared" si="764"/>
        <v/>
      </c>
      <c r="CE129" s="6" t="str">
        <f t="shared" si="765"/>
        <v/>
      </c>
      <c r="CF129" s="4" t="str">
        <f t="shared" si="766"/>
        <v/>
      </c>
      <c r="CG129" s="5" t="str">
        <f t="shared" si="767"/>
        <v/>
      </c>
      <c r="CH129" s="5" t="str">
        <f t="shared" si="768"/>
        <v/>
      </c>
      <c r="CI129" s="4" t="str">
        <f t="shared" si="740"/>
        <v/>
      </c>
      <c r="CJ129" s="5" t="str">
        <f t="shared" si="741"/>
        <v/>
      </c>
      <c r="CK129" s="8" t="str">
        <f t="shared" si="742"/>
        <v/>
      </c>
      <c r="CL129" s="173" t="str">
        <f t="shared" si="743"/>
        <v/>
      </c>
      <c r="CM129" s="5" t="str">
        <f t="shared" si="744"/>
        <v/>
      </c>
      <c r="CN129" s="6" t="str">
        <f t="shared" si="745"/>
        <v/>
      </c>
      <c r="CO129" s="167" t="str">
        <f t="shared" si="940"/>
        <v/>
      </c>
      <c r="CP129" s="4" t="str">
        <f t="shared" si="769"/>
        <v/>
      </c>
      <c r="CQ129" s="5" t="str">
        <f t="shared" si="770"/>
        <v/>
      </c>
      <c r="CR129" s="5" t="str">
        <f t="shared" si="771"/>
        <v/>
      </c>
      <c r="CS129" s="8" t="str">
        <f t="shared" si="772"/>
        <v/>
      </c>
      <c r="CT129" s="9" t="str">
        <f t="shared" si="773"/>
        <v/>
      </c>
      <c r="CU129" s="6" t="str">
        <f t="shared" si="774"/>
        <v/>
      </c>
      <c r="CV129" s="4" t="str">
        <f t="shared" si="775"/>
        <v/>
      </c>
      <c r="CW129" s="5" t="str">
        <f t="shared" si="776"/>
        <v/>
      </c>
      <c r="CX129" s="8" t="str">
        <f t="shared" si="777"/>
        <v/>
      </c>
      <c r="CY129" s="9" t="str">
        <f t="shared" si="778"/>
        <v/>
      </c>
      <c r="CZ129" s="5" t="str">
        <f t="shared" si="779"/>
        <v/>
      </c>
      <c r="DA129" s="6" t="str">
        <f t="shared" si="780"/>
        <v/>
      </c>
      <c r="DB129" s="4" t="str">
        <f t="shared" si="1030"/>
        <v/>
      </c>
      <c r="DC129" s="5" t="str">
        <f t="shared" si="1030"/>
        <v/>
      </c>
      <c r="DD129" s="10" t="str">
        <f t="shared" si="782"/>
        <v/>
      </c>
      <c r="DE129" s="9" t="str">
        <f t="shared" si="1031"/>
        <v/>
      </c>
      <c r="DF129" s="5" t="str">
        <f t="shared" si="1031"/>
        <v/>
      </c>
      <c r="DG129" s="10" t="str">
        <f t="shared" si="784"/>
        <v/>
      </c>
      <c r="DH129" s="70" t="str">
        <f t="shared" si="785"/>
        <v/>
      </c>
      <c r="DI129" s="4" t="str">
        <f t="shared" si="786"/>
        <v/>
      </c>
      <c r="DJ129" s="5" t="str">
        <f t="shared" si="787"/>
        <v/>
      </c>
      <c r="DK129" s="10" t="str">
        <f t="shared" si="788"/>
        <v/>
      </c>
      <c r="DL129" s="9" t="str">
        <f t="shared" si="789"/>
        <v/>
      </c>
      <c r="DM129" s="173" t="str">
        <f t="shared" si="790"/>
        <v/>
      </c>
      <c r="DN129" s="178" t="str">
        <f t="shared" si="791"/>
        <v/>
      </c>
      <c r="DO129" s="9" t="str">
        <f t="shared" si="792"/>
        <v/>
      </c>
      <c r="DP129" s="173" t="str">
        <f t="shared" si="793"/>
        <v/>
      </c>
      <c r="DQ129" s="11" t="str">
        <f t="shared" si="794"/>
        <v/>
      </c>
      <c r="DR129" s="173" t="str">
        <f t="shared" si="795"/>
        <v/>
      </c>
      <c r="DS129" s="5" t="str">
        <f t="shared" si="796"/>
        <v/>
      </c>
      <c r="DT129" s="5" t="str">
        <f t="shared" si="797"/>
        <v/>
      </c>
      <c r="DU129" s="5" t="str">
        <f t="shared" si="798"/>
        <v/>
      </c>
      <c r="DV129" s="5" t="str">
        <f t="shared" si="799"/>
        <v/>
      </c>
      <c r="DW129" s="5" t="str">
        <f t="shared" si="800"/>
        <v/>
      </c>
      <c r="DX129" s="167" t="str">
        <f t="shared" si="801"/>
        <v/>
      </c>
      <c r="DY129" s="9" t="str">
        <f t="shared" si="802"/>
        <v/>
      </c>
      <c r="DZ129" s="5" t="str">
        <f t="shared" si="803"/>
        <v/>
      </c>
      <c r="EA129" s="10" t="str">
        <f t="shared" si="804"/>
        <v/>
      </c>
      <c r="EB129" s="6" t="str">
        <f t="shared" si="805"/>
        <v/>
      </c>
      <c r="EC129" s="173" t="str">
        <f t="shared" si="806"/>
        <v/>
      </c>
      <c r="ED129" s="5" t="str">
        <f t="shared" si="807"/>
        <v/>
      </c>
      <c r="EE129" s="4" t="str">
        <f t="shared" si="808"/>
        <v/>
      </c>
      <c r="EF129" s="5" t="str">
        <f t="shared" si="809"/>
        <v/>
      </c>
      <c r="EG129" s="10" t="str">
        <f t="shared" si="810"/>
        <v/>
      </c>
      <c r="EH129" s="9" t="str">
        <f t="shared" si="811"/>
        <v/>
      </c>
      <c r="EI129" s="5" t="str">
        <f t="shared" si="812"/>
        <v/>
      </c>
      <c r="EJ129" s="6" t="str">
        <f t="shared" si="813"/>
        <v/>
      </c>
      <c r="EK129" s="236" t="str">
        <f t="shared" si="814"/>
        <v/>
      </c>
      <c r="EL129" s="238" t="str">
        <f t="shared" si="815"/>
        <v/>
      </c>
      <c r="EM129" s="4" t="str">
        <f t="shared" si="816"/>
        <v/>
      </c>
      <c r="EN129" s="5" t="str">
        <f t="shared" si="817"/>
        <v/>
      </c>
      <c r="EO129" s="10" t="str">
        <f t="shared" si="818"/>
        <v/>
      </c>
      <c r="EP129" s="9" t="str">
        <f t="shared" si="819"/>
        <v/>
      </c>
      <c r="EQ129" s="5" t="str">
        <f t="shared" si="820"/>
        <v/>
      </c>
      <c r="ER129" s="7" t="str">
        <f t="shared" si="821"/>
        <v/>
      </c>
      <c r="ES129" s="21" t="str">
        <f t="shared" si="941"/>
        <v/>
      </c>
      <c r="ET129" s="5" t="str">
        <f t="shared" si="942"/>
        <v/>
      </c>
      <c r="EU129" s="10" t="str">
        <f t="shared" si="943"/>
        <v/>
      </c>
      <c r="EV129" s="174" t="str">
        <f t="shared" si="944"/>
        <v/>
      </c>
      <c r="EW129" s="9" t="str">
        <f t="shared" si="945"/>
        <v/>
      </c>
      <c r="EX129" s="5" t="str">
        <f t="shared" si="946"/>
        <v/>
      </c>
      <c r="EY129" s="6" t="str">
        <f t="shared" si="822"/>
        <v/>
      </c>
      <c r="EZ129" s="51" t="str">
        <f t="shared" si="823"/>
        <v/>
      </c>
      <c r="FA129" s="173" t="str">
        <f t="shared" si="947"/>
        <v/>
      </c>
      <c r="FB129" s="5" t="str">
        <f t="shared" si="948"/>
        <v/>
      </c>
      <c r="FC129" s="6" t="str">
        <f t="shared" si="949"/>
        <v/>
      </c>
      <c r="FD129" s="4" t="str">
        <f t="shared" si="950"/>
        <v/>
      </c>
      <c r="FE129" s="5" t="str">
        <f t="shared" si="951"/>
        <v/>
      </c>
      <c r="FF129" s="7" t="str">
        <f t="shared" si="824"/>
        <v/>
      </c>
      <c r="FG129" s="173" t="str">
        <f t="shared" si="952"/>
        <v/>
      </c>
      <c r="FH129" s="5" t="str">
        <f t="shared" si="953"/>
        <v/>
      </c>
      <c r="FI129" s="10" t="str">
        <f t="shared" si="954"/>
        <v/>
      </c>
      <c r="FJ129" s="279" t="str">
        <f t="shared" si="825"/>
        <v/>
      </c>
      <c r="FK129" s="4" t="str">
        <f t="shared" si="955"/>
        <v/>
      </c>
      <c r="FL129" s="5" t="str">
        <f t="shared" si="746"/>
        <v/>
      </c>
      <c r="FM129" s="8" t="str">
        <f t="shared" si="747"/>
        <v/>
      </c>
      <c r="FN129" s="9" t="str">
        <f t="shared" si="748"/>
        <v/>
      </c>
      <c r="FO129" s="10" t="str">
        <f t="shared" si="956"/>
        <v/>
      </c>
      <c r="FP129" s="277" t="str">
        <f t="shared" si="749"/>
        <v/>
      </c>
      <c r="FQ129" s="173" t="str">
        <f t="shared" si="826"/>
        <v/>
      </c>
      <c r="FR129" s="10" t="str">
        <f t="shared" si="827"/>
        <v/>
      </c>
      <c r="FS129" s="9" t="str">
        <f t="shared" si="828"/>
        <v/>
      </c>
      <c r="FT129" s="6" t="str">
        <f t="shared" si="829"/>
        <v/>
      </c>
      <c r="FU129" s="4" t="str">
        <f t="shared" si="830"/>
        <v/>
      </c>
      <c r="FV129" s="5" t="str">
        <f t="shared" si="831"/>
        <v/>
      </c>
      <c r="FW129" s="8" t="str">
        <f t="shared" si="832"/>
        <v/>
      </c>
      <c r="FX129" s="9" t="str">
        <f t="shared" si="833"/>
        <v/>
      </c>
      <c r="FY129" s="10" t="str">
        <f t="shared" si="957"/>
        <v/>
      </c>
      <c r="FZ129" s="277" t="str">
        <f t="shared" si="834"/>
        <v/>
      </c>
      <c r="GA129" s="177" t="str">
        <f t="shared" si="835"/>
        <v/>
      </c>
      <c r="GB129" s="4" t="str">
        <f t="shared" si="836"/>
        <v/>
      </c>
      <c r="GC129" s="5" t="str">
        <f t="shared" si="837"/>
        <v/>
      </c>
      <c r="GD129" s="10" t="str">
        <f t="shared" si="838"/>
        <v/>
      </c>
      <c r="GE129" s="311" t="str">
        <f t="shared" si="839"/>
        <v/>
      </c>
      <c r="GF129" s="341" t="str">
        <f t="shared" si="840"/>
        <v/>
      </c>
      <c r="GG129" s="285" t="str">
        <f t="shared" si="958"/>
        <v/>
      </c>
      <c r="GH129" s="286" t="str">
        <f t="shared" si="959"/>
        <v/>
      </c>
      <c r="GI129" s="281" t="str">
        <f t="shared" si="960"/>
        <v/>
      </c>
      <c r="GJ129" s="167" t="str">
        <f t="shared" si="841"/>
        <v/>
      </c>
      <c r="GK129" s="174" t="str">
        <f t="shared" si="961"/>
        <v/>
      </c>
      <c r="GL129" s="174" t="str">
        <f t="shared" si="842"/>
        <v/>
      </c>
      <c r="GM129" s="177" t="str">
        <f t="shared" si="843"/>
        <v/>
      </c>
      <c r="GN129" s="280" t="str">
        <f t="shared" si="844"/>
        <v/>
      </c>
      <c r="GO129" s="4" t="str">
        <f t="shared" si="845"/>
        <v/>
      </c>
      <c r="GP129" s="8" t="str">
        <f t="shared" si="846"/>
        <v/>
      </c>
      <c r="GQ129" s="177" t="str">
        <f t="shared" si="847"/>
        <v/>
      </c>
      <c r="GR129" s="371" t="str">
        <f t="shared" si="848"/>
        <v/>
      </c>
      <c r="GS129" s="342" t="str">
        <f t="shared" si="962"/>
        <v/>
      </c>
      <c r="GT129" s="343" t="str">
        <f t="shared" si="963"/>
        <v/>
      </c>
      <c r="GU129" s="344" t="str">
        <f t="shared" si="964"/>
        <v/>
      </c>
      <c r="GV129" s="343" t="str">
        <f t="shared" si="849"/>
        <v/>
      </c>
      <c r="GW129" s="345" t="str">
        <f t="shared" si="965"/>
        <v/>
      </c>
      <c r="GX129" s="346" t="str">
        <f t="shared" si="966"/>
        <v/>
      </c>
      <c r="GY129" s="344" t="str">
        <f t="shared" si="967"/>
        <v/>
      </c>
      <c r="GZ129" s="345" t="str">
        <f t="shared" si="968"/>
        <v/>
      </c>
      <c r="HA129" s="342" t="str">
        <f t="shared" si="969"/>
        <v/>
      </c>
      <c r="HB129" s="5" t="str">
        <f t="shared" si="850"/>
        <v/>
      </c>
      <c r="HC129" s="343" t="str">
        <f t="shared" si="851"/>
        <v/>
      </c>
      <c r="HD129" s="363" t="str">
        <f t="shared" si="852"/>
        <v/>
      </c>
      <c r="HE129" s="344" t="str">
        <f t="shared" si="970"/>
        <v/>
      </c>
      <c r="HF129" s="5" t="str">
        <f t="shared" si="971"/>
        <v/>
      </c>
      <c r="HG129" s="343" t="str">
        <f t="shared" si="853"/>
        <v/>
      </c>
      <c r="HH129" s="349" t="str">
        <f t="shared" si="854"/>
        <v/>
      </c>
      <c r="HI129" s="317" t="str">
        <f t="shared" si="972"/>
        <v/>
      </c>
      <c r="HK129" s="310" t="str">
        <f t="shared" si="1025"/>
        <v/>
      </c>
      <c r="HL129" s="348" t="str">
        <f t="shared" si="973"/>
        <v/>
      </c>
      <c r="HM129" s="923" t="str">
        <f t="shared" si="974"/>
        <v/>
      </c>
      <c r="HN129" s="924" t="str">
        <f t="shared" si="975"/>
        <v/>
      </c>
      <c r="HO129" s="925"/>
      <c r="HP129" s="926"/>
      <c r="HQ129" s="924" t="str">
        <f t="shared" si="976"/>
        <v/>
      </c>
      <c r="HR129" s="927" t="str">
        <f t="shared" si="977"/>
        <v/>
      </c>
      <c r="HS129" s="879" t="str">
        <f t="shared" si="1026"/>
        <v/>
      </c>
      <c r="HT129" s="889" t="str">
        <f t="shared" si="978"/>
        <v/>
      </c>
      <c r="HU129" s="890" t="str">
        <f t="shared" si="979"/>
        <v/>
      </c>
      <c r="HV129" s="886" t="str">
        <f t="shared" si="980"/>
        <v/>
      </c>
      <c r="HW129" s="880" t="str">
        <f t="shared" si="981"/>
        <v/>
      </c>
      <c r="HX129" s="881" t="str">
        <f t="shared" si="982"/>
        <v/>
      </c>
      <c r="HY129" s="880" t="str">
        <f t="shared" si="983"/>
        <v/>
      </c>
      <c r="HZ129" s="882" t="str">
        <f t="shared" si="984"/>
        <v/>
      </c>
      <c r="IA129" s="883" t="str">
        <f t="shared" si="985"/>
        <v/>
      </c>
      <c r="IB129" s="884" t="str">
        <f t="shared" si="986"/>
        <v/>
      </c>
      <c r="IC129" s="855" t="str">
        <f t="shared" si="987"/>
        <v/>
      </c>
      <c r="ID129" s="351" t="str">
        <f t="shared" si="988"/>
        <v/>
      </c>
      <c r="IE129" s="857" t="str">
        <f t="shared" si="989"/>
        <v/>
      </c>
      <c r="IF129" s="858"/>
      <c r="IG129" s="790" t="str">
        <f>IFERROR(IF($IW129="","",IF($IW129&lt;(((Settings!$C$19/2)*-1)*$IG$8),"Taper","Nose")),"")</f>
        <v/>
      </c>
      <c r="IH129" s="482" t="str">
        <f>IFERROR(IF((((($IY129*COS(RADIANS(180-$JA129)))*COS(RADIANS($JA129)))-(($IZ129*SIN(RADIANS(180-$JA129)))*SIN(RADIANS($JA129))))+$IW129)&lt;(((Settings!$C$19+$IH$8)/2)*-1),"Gage",""),"")</f>
        <v/>
      </c>
      <c r="II129" s="788" t="str">
        <f t="shared" si="855"/>
        <v/>
      </c>
      <c r="IJ129" s="674" t="str" cm="1">
        <f t="array" ref="IJ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K129" s="677" t="str" cm="1">
        <f t="array" ref="IK129">IFERROR(ROUND(VALUE(IF($IJ129&lt;1,$IJ129+LARGE((IF($M$9:$M$150="",0,$M$9:$M$150)-MOD(IF($M$9:$M$150="",0,$M$9:$M$150),1)),1),$IJ129)),4),"")</f>
        <v/>
      </c>
      <c r="IL129" s="482" t="str">
        <f t="shared" si="990"/>
        <v/>
      </c>
      <c r="IM129" s="482" t="str">
        <f t="shared" si="856"/>
        <v/>
      </c>
      <c r="IN129" s="670" t="str">
        <f t="shared" si="991"/>
        <v/>
      </c>
      <c r="IO129" s="702"/>
      <c r="IP129" s="5" t="str">
        <f t="shared" si="992"/>
        <v/>
      </c>
      <c r="IQ129" s="714"/>
      <c r="IR129" s="9" t="str">
        <f t="shared" si="993"/>
        <v/>
      </c>
      <c r="IS129" s="5" t="str">
        <f t="shared" si="994"/>
        <v/>
      </c>
      <c r="IT129" s="5" t="str">
        <f t="shared" si="995"/>
        <v/>
      </c>
      <c r="IU129" s="5" t="str">
        <f t="shared" si="996"/>
        <v/>
      </c>
      <c r="IV129" s="670" t="str">
        <f t="shared" si="997"/>
        <v/>
      </c>
      <c r="IW129" s="9" t="str">
        <f t="shared" si="998"/>
        <v/>
      </c>
      <c r="IX129" s="5" t="str">
        <f t="shared" si="999"/>
        <v/>
      </c>
      <c r="IY129" s="5" t="str">
        <f t="shared" si="1000"/>
        <v/>
      </c>
      <c r="IZ129" s="5" t="str">
        <f t="shared" si="1001"/>
        <v/>
      </c>
      <c r="JA129" s="705" t="str">
        <f t="shared" si="1002"/>
        <v/>
      </c>
      <c r="JN129" s="960"/>
      <c r="JO129" s="162"/>
      <c r="JP129" s="961"/>
      <c r="JQ129" s="961"/>
    </row>
    <row r="130" spans="1:277" ht="15" customHeight="1" x14ac:dyDescent="0.25">
      <c r="A130" s="75" t="str">
        <f t="shared" si="917"/>
        <v/>
      </c>
      <c r="B130" s="585" t="str">
        <f t="shared" ref="B130:D130" si="1077">IFERROR(O285+($A130*-E130),"")</f>
        <v/>
      </c>
      <c r="C130" s="582" t="str">
        <f t="shared" si="1077"/>
        <v/>
      </c>
      <c r="D130" s="583" t="str">
        <f t="shared" si="1077"/>
        <v/>
      </c>
      <c r="E130" s="588" t="str">
        <f t="shared" ref="E130:K130" si="1078">R285</f>
        <v/>
      </c>
      <c r="F130" s="582" t="str">
        <f t="shared" si="1078"/>
        <v/>
      </c>
      <c r="G130" s="586" t="str">
        <f t="shared" si="1078"/>
        <v/>
      </c>
      <c r="H130" s="588" t="str">
        <f t="shared" si="1078"/>
        <v/>
      </c>
      <c r="I130" s="582" t="str">
        <f t="shared" si="1078"/>
        <v/>
      </c>
      <c r="J130" s="491" t="str">
        <f t="shared" si="728"/>
        <v/>
      </c>
      <c r="K130" s="807" t="str">
        <f t="shared" si="1078"/>
        <v/>
      </c>
      <c r="L130" s="309"/>
      <c r="M130" s="492" t="str">
        <f t="shared" si="920"/>
        <v/>
      </c>
      <c r="N130" s="581" t="str">
        <f t="shared" si="921"/>
        <v/>
      </c>
      <c r="O130" s="582" t="str">
        <f t="shared" si="922"/>
        <v/>
      </c>
      <c r="P130" s="583" t="str">
        <f t="shared" si="923"/>
        <v/>
      </c>
      <c r="Q130" s="536" t="str">
        <f t="shared" ref="Q130:Q150" si="1079">IF(M130="","",IF(DEGREES(ATAN2(N130,O130))&lt;0,DEGREES(ATAN2(N130,O130))+360,IF(DEGREES(ATAN2(N130,O130))&gt;360,DEGREES(ATAN2(N130,O130))-360,DEGREES(ATAN2(N130,O130)))))</f>
        <v/>
      </c>
      <c r="R130" s="582" t="str">
        <f t="shared" ref="R130:R150" si="1080">IF(M130="","",SQRT(N130^2+O130^2))</f>
        <v/>
      </c>
      <c r="S130" s="584" t="str">
        <f t="shared" ref="S130:S150" si="1081">IF(M130="","",P130)</f>
        <v/>
      </c>
      <c r="T130" s="585" t="str">
        <f t="shared" ref="T130:T150" si="1082">IF(M130="","",X130*COS(RADIANS(W130)))</f>
        <v/>
      </c>
      <c r="U130" s="582" t="str">
        <f t="shared" ref="U130:U150" si="1083">IF(M130="","",X130*SIN(RADIANS(W130)))</f>
        <v/>
      </c>
      <c r="V130" s="586" t="str">
        <f t="shared" ref="V130:V150" si="1084">IF(M130="","",Y130)</f>
        <v/>
      </c>
      <c r="W130" s="536" t="str">
        <f t="shared" ref="W130:W150" si="1085">IF(M130="","",IF(Q130-$Q$8&lt;0,360+Q130-$Q$8,Q130-$Q$8))</f>
        <v/>
      </c>
      <c r="X130" s="582" t="str">
        <f t="shared" ref="X130:X150" si="1086">IF(M130="","",R130)</f>
        <v/>
      </c>
      <c r="Y130" s="587" t="str">
        <f t="shared" ref="Y130:Y150" si="1087">IF(M130="","",S130)</f>
        <v/>
      </c>
      <c r="Z130" s="581" t="str">
        <f t="shared" si="924"/>
        <v/>
      </c>
      <c r="AA130" s="582" t="str">
        <f t="shared" si="925"/>
        <v/>
      </c>
      <c r="AB130" s="582" t="str">
        <f t="shared" si="926"/>
        <v/>
      </c>
      <c r="AC130" s="586" t="str">
        <f t="shared" ref="AC130:AC150" si="1088">IF(M130="","",SQRT(Z130^2+AA130^2+AB130^2))</f>
        <v/>
      </c>
      <c r="AD130" s="588" t="str">
        <f t="shared" ref="AD130:AD150" si="1089">IF(M130="","",Z130*(1/SQRT(Z130^2+AA130^2+AB130^2)))</f>
        <v/>
      </c>
      <c r="AE130" s="582" t="str">
        <f t="shared" ref="AE130:AE150" si="1090">IF(M130="","",AA130*(1/SQRT(Z130^2+AA130^2+AB130^2)))</f>
        <v/>
      </c>
      <c r="AF130" s="583" t="str">
        <f t="shared" ref="AF130:AF150" si="1091">IF(M130="","",AB130*(1/SQRT(Z130^2+AA130^2+AB130^2)))</f>
        <v/>
      </c>
      <c r="AG130" s="547" t="str">
        <f t="shared" ref="AG130:AG150" si="1092">IF(M130="","",DEGREES(ATAN2(-AF130,AE130)))</f>
        <v/>
      </c>
      <c r="AH130" s="548" t="str">
        <f t="shared" ref="AH130:AH150" si="1093">IF(M130="","",DEGREES(ACOS(AD130)))</f>
        <v/>
      </c>
      <c r="AI130" s="536" t="str">
        <f t="shared" ref="AI130:AI150" si="1094">IF(M130="","",DEGREES(-ACOS(-AF130)))</f>
        <v/>
      </c>
      <c r="AJ130" s="537" t="str">
        <f t="shared" ref="AJ130:AJ150" si="1095">IF(M130="","",DEGREES(ATAN2(-AE130,AD130)))</f>
        <v/>
      </c>
      <c r="AK130" s="585" t="str">
        <f t="shared" ref="AK130:AK150" si="1096">IF(M130="","",(COS(RADIANS((90-$Q$8)-W130))*AD130)+(-SIN(RADIANS((90-$Q$8)-W130))*AE130))</f>
        <v/>
      </c>
      <c r="AL130" s="582" t="str">
        <f t="shared" ref="AL130:AL150" si="1097">IF(M130="","",(SIN(RADIANS((90-$Q$8)-W130))*AD130)+(COS(RADIANS((90-$Q$8)-W130))*AE130))</f>
        <v/>
      </c>
      <c r="AM130" s="584" t="str">
        <f t="shared" ref="AM130:AM150" si="1098">IF(M130="","",AF130)</f>
        <v/>
      </c>
      <c r="AN130" s="534" t="str">
        <f t="shared" ref="AN130:AN150" si="1099">IF(M130="","",DEGREES(ATAN2(-AM130,AL130)))</f>
        <v/>
      </c>
      <c r="AO130" s="535" t="str">
        <f t="shared" si="1058"/>
        <v/>
      </c>
      <c r="AP130" s="536" t="str">
        <f t="shared" ref="AP130:AP150" si="1100">IF(M130="","",DEGREES(ATAN2(AK130,AL130)))</f>
        <v/>
      </c>
      <c r="AQ130" s="537" t="str">
        <f t="shared" si="927"/>
        <v/>
      </c>
      <c r="AS130" s="955" t="str">
        <f t="shared" si="1029"/>
        <v/>
      </c>
      <c r="AT130" s="951" t="str">
        <f t="shared" si="928"/>
        <v/>
      </c>
      <c r="AU130" s="418"/>
      <c r="AV130" s="164" t="str">
        <f t="shared" si="929"/>
        <v/>
      </c>
      <c r="AW130" s="832" t="str">
        <f>IFERROR(INDEX(MassProp!C$9:C$150,MATCH($M130,MassProp!$B$9:$B$150,0)),"")</f>
        <v/>
      </c>
      <c r="AX130" s="833" t="str">
        <f>IFERROR(INDEX(MassProp!D$9:D$150,MATCH($M130,MassProp!$B$9:$B$150,0)),"")</f>
        <v/>
      </c>
      <c r="AY130" s="834" t="str">
        <f>IFERROR(INDEX(MassProp!E$9:E$150,MATCH($M130,MassProp!$B$9:$B$150,0)),"")</f>
        <v/>
      </c>
      <c r="AZ130" s="297" t="str">
        <f t="shared" ref="AZ130:AZ150" si="1101">IF(ISNUMBER(AV130),$AY130*SQRT((2*PI()*$AW130)^2+$AS$5^2),"")</f>
        <v/>
      </c>
      <c r="BA130" s="505" t="str">
        <f t="shared" ref="BA130:BA150" si="1102">IF(ISNUMBER(AV130),AZ130/$AZ$151,"")</f>
        <v/>
      </c>
      <c r="BB130" s="506" t="str">
        <f t="shared" si="730"/>
        <v/>
      </c>
      <c r="BC130" s="496"/>
      <c r="BD130" s="494" t="str">
        <f t="shared" ref="BD130:BD150" si="1103">IF(ISNUMBER(AV130),AW130,"")</f>
        <v/>
      </c>
      <c r="BE130" s="497" t="str">
        <f t="shared" si="931"/>
        <v/>
      </c>
      <c r="BF130" s="498" t="str">
        <f t="shared" si="932"/>
        <v/>
      </c>
      <c r="BG130" s="494" t="str">
        <f t="shared" si="933"/>
        <v/>
      </c>
      <c r="BH130" s="495" t="str">
        <f t="shared" si="934"/>
        <v/>
      </c>
      <c r="BI130" s="496" t="str">
        <f t="shared" ref="BI130:BI150" si="1104">IF(ISNUMBER($AV130),BF130+0,"")</f>
        <v/>
      </c>
      <c r="BJ130" s="494" t="str">
        <f t="shared" si="935"/>
        <v/>
      </c>
      <c r="BK130" s="499" t="str">
        <f t="shared" si="936"/>
        <v/>
      </c>
      <c r="BL130" s="502" t="str">
        <f t="shared" si="937"/>
        <v/>
      </c>
      <c r="BM130" s="494" t="str">
        <f t="shared" si="938"/>
        <v/>
      </c>
      <c r="BN130" s="497" t="str">
        <f t="shared" si="939"/>
        <v/>
      </c>
      <c r="BO130" s="498" t="str">
        <f t="shared" ref="BO130:BO150" si="1105">IF(ISNUMBER($AV130),BJ130*BN130-BM130*BK130-BG130*(BN130-BK130)+BH130*(BM130-BJ130),"")</f>
        <v/>
      </c>
      <c r="BP130" s="494" t="str">
        <f t="shared" ref="BP130:BP150" si="1106">IF(ISNUMBER($AV130),BF130*(BN130-BK130)-(BI130*BN130-BL130*BK130)+BH130*(BI130-BL130),"")</f>
        <v/>
      </c>
      <c r="BQ130" s="494" t="str">
        <f t="shared" ref="BQ130:BQ150" si="1107">IF(ISNUMBER($AV130),BF130*(BJ130-BM130)-BG130*(BI130-BL130)+(BI130*BM130-BL130*BJ130),"")</f>
        <v/>
      </c>
      <c r="BR130" s="497" t="str">
        <f t="shared" ref="BR130:BR150" si="1108">IF(ISNUMBER($AV130),-(BF130*(BJ130*BN130-BM130*BK130)-BG130*(BI130*BN130-BL130*BK130)+BH130*(BI130*BM130-BL130*BJ130)),"")</f>
        <v/>
      </c>
      <c r="BS130" s="498" t="str">
        <f t="shared" si="1024"/>
        <v/>
      </c>
      <c r="BT130" s="494" t="str">
        <f t="shared" si="1024"/>
        <v/>
      </c>
      <c r="BU130" s="495" t="str">
        <f t="shared" si="733"/>
        <v/>
      </c>
      <c r="BV130" s="496" t="str">
        <f t="shared" si="734"/>
        <v/>
      </c>
      <c r="BW130" s="494" t="str">
        <f t="shared" si="735"/>
        <v/>
      </c>
      <c r="BX130" s="499" t="str">
        <f t="shared" si="736"/>
        <v/>
      </c>
      <c r="BY130" s="502" t="str">
        <f t="shared" si="737"/>
        <v/>
      </c>
      <c r="BZ130" s="494" t="str">
        <f t="shared" si="738"/>
        <v/>
      </c>
      <c r="CA130" s="497" t="str">
        <f t="shared" si="739"/>
        <v/>
      </c>
      <c r="CB130" s="498" t="str">
        <f t="shared" ref="CB130:CB150" si="1109">IF(ISNUMBER($AV130),BW130*CA130-BZ130*BX130-BT130*(CA130-BX130)+BU130*(BZ130-BW130),"")</f>
        <v/>
      </c>
      <c r="CC130" s="494" t="str">
        <f t="shared" ref="CC130:CC150" si="1110">IF(ISNUMBER($AV130),BS130*(CA130-BX130)-(BV130*CA130-BY130*BX130)+BU130*(BV130-BY130),"")</f>
        <v/>
      </c>
      <c r="CD130" s="494" t="str">
        <f t="shared" ref="CD130:CD150" si="1111">IF(ISNUMBER($AV130),BS130*(BW130-BZ130)-BT130*(BV130-BY130)+(BV130*BZ130-BY130*BW130),"")</f>
        <v/>
      </c>
      <c r="CE130" s="497" t="str">
        <f t="shared" ref="CE130:CE150" si="1112">IF(ISNUMBER($AV130),-(BS130*(BW130*CA130-BZ130*BX130)-BT130*(BV130*CA130-BY130*BX130)+BU130*(BV130*BZ130-BY130*BW130)),"")</f>
        <v/>
      </c>
      <c r="CF130" s="498" t="str">
        <f t="shared" ref="CF130:CF150" si="1113">IF(ISNUMBER($AV130),(BP130*CD130)-(BQ130*CC130),"")</f>
        <v/>
      </c>
      <c r="CG130" s="494" t="str">
        <f t="shared" ref="CG130:CG150" si="1114">IF(ISNUMBER($AV130),(BQ130*CB130)-(BO130*CD130),"")</f>
        <v/>
      </c>
      <c r="CH130" s="494" t="str">
        <f t="shared" ref="CH130:CH150" si="1115">IF(ISNUMBER($AV130),(BO130*CC130)-(BP130*CB130),"")</f>
        <v/>
      </c>
      <c r="CI130" s="498" t="str">
        <f t="shared" si="740"/>
        <v/>
      </c>
      <c r="CJ130" s="494" t="str">
        <f t="shared" ref="CJ130:CJ150" si="1116">IF(ISNUMBER($AV130),(CD130*BR130-BQ130*CE130)/(BQ130*CC130-CD130*BP130),"")</f>
        <v/>
      </c>
      <c r="CK130" s="499" t="str">
        <f t="shared" ref="CK130:CK150" si="1117">IF(ISNUMBER($AV130),(CC130*BR130-BP130*CE130)/(-CC130*BQ130+BP130*CD130),"")</f>
        <v/>
      </c>
      <c r="CL130" s="502" t="str">
        <f t="shared" ref="CL130:CL150" si="1118">IF(ISNUMBER($AV130),CI130+CF130,"")</f>
        <v/>
      </c>
      <c r="CM130" s="494" t="str">
        <f t="shared" ref="CM130:CM150" si="1119">IF(ISNUMBER($AV130),CJ130+CG130,"")</f>
        <v/>
      </c>
      <c r="CN130" s="497" t="str">
        <f t="shared" ref="CN130:CN150" si="1120">IF(ISNUMBER($AV130),CK130+CH130,"")</f>
        <v/>
      </c>
      <c r="CO130" s="507" t="str">
        <f t="shared" si="940"/>
        <v/>
      </c>
      <c r="CP130" s="498" t="str">
        <f t="shared" ref="CP130:CP150" si="1121">IF(ISNUMBER($AV130),(CL130-CI130)^2+(CM130-CJ130)^2+(CN130-CK130)^2,"")</f>
        <v/>
      </c>
      <c r="CQ130" s="494" t="str">
        <f t="shared" ref="CQ130:CQ150" si="1122">IF(ISNUMBER($AV130),2*((CL130-CI130)*(CI130-BF130)+(CM130-CJ130)*(CJ130-BG130)+(CN130-CK130)*(CK130-BH130)),"")</f>
        <v/>
      </c>
      <c r="CR130" s="494" t="str">
        <f t="shared" ref="CR130:CR150" si="1123">IF(ISNUMBER($AV130),BF130^2+BG130^2+BH130^2+CI130^2+CJ130^2+CK130^2-2*(BF130*CI130+BG130*CJ130+BH130*CK130)-CO130^2,"")</f>
        <v/>
      </c>
      <c r="CS130" s="499" t="str">
        <f t="shared" ref="CS130:CS150" si="1124">IF(ISNUMBER($AV130),CQ130^2-(4*CP130*CR130),"")</f>
        <v/>
      </c>
      <c r="CT130" s="496" t="str">
        <f t="shared" ref="CT130:CT150" si="1125">IF(ISNUMBER($AV130),(-CQ130+SQRT(CS130))/(CP130*2),"")</f>
        <v/>
      </c>
      <c r="CU130" s="497" t="str">
        <f t="shared" ref="CU130:CU150" si="1126">IF(ISNUMBER($AV130),(-CQ130-SQRT(CS130))/(CP130*2),"")</f>
        <v/>
      </c>
      <c r="CV130" s="498" t="str">
        <f t="shared" ref="CV130:CV150" si="1127">IF(ISNUMBER($AV130),CI130+($CT130*(CL130-CI130)),"")</f>
        <v/>
      </c>
      <c r="CW130" s="494" t="str">
        <f t="shared" ref="CW130:CW150" si="1128">IF(ISNUMBER($AV130),CJ130+($CT130*(CM130-CJ130)),"")</f>
        <v/>
      </c>
      <c r="CX130" s="499" t="str">
        <f t="shared" ref="CX130:CX150" si="1129">IF(ISNUMBER($AV130),CK130+($CT130*(CN130-CK130)),"")</f>
        <v/>
      </c>
      <c r="CY130" s="496" t="str">
        <f t="shared" ref="CY130:CY150" si="1130">IF(ISNUMBER($AV130),CI130+($CU130*(CL130-CI130)),"")</f>
        <v/>
      </c>
      <c r="CZ130" s="494" t="str">
        <f t="shared" ref="CZ130:CZ150" si="1131">IF(ISNUMBER($AV130),CJ130+($CU130*(CM130-CJ130)),"")</f>
        <v/>
      </c>
      <c r="DA130" s="497" t="str">
        <f t="shared" ref="DA130:DA150" si="1132">IF(ISNUMBER($AV130),CK130+($CU130*(CN130-CK130)),"")</f>
        <v/>
      </c>
      <c r="DB130" s="498" t="str">
        <f t="shared" si="1030"/>
        <v/>
      </c>
      <c r="DC130" s="494" t="str">
        <f t="shared" si="1030"/>
        <v/>
      </c>
      <c r="DD130" s="495" t="str">
        <f t="shared" si="782"/>
        <v/>
      </c>
      <c r="DE130" s="496" t="str">
        <f t="shared" si="1031"/>
        <v/>
      </c>
      <c r="DF130" s="494" t="str">
        <f t="shared" si="1031"/>
        <v/>
      </c>
      <c r="DG130" s="495" t="str">
        <f t="shared" si="784"/>
        <v/>
      </c>
      <c r="DH130" s="501" t="str">
        <f t="shared" ref="DH130:DH150" si="1133">IF(ISNUMBER($AV130),BD130,"")</f>
        <v/>
      </c>
      <c r="DI130" s="498" t="str">
        <f t="shared" ref="DI130:DI150" si="1134">IF(ISNUMBER($AV130),DE130-DB130,"")</f>
        <v/>
      </c>
      <c r="DJ130" s="494" t="str">
        <f t="shared" ref="DJ130:DJ150" si="1135">IF(ISNUMBER($AV130),DF130-DC130,"")</f>
        <v/>
      </c>
      <c r="DK130" s="495" t="str">
        <f t="shared" ref="DK130:DK150" si="1136">IF(ISNUMBER($AV130),DG130-DD130,"")</f>
        <v/>
      </c>
      <c r="DL130" s="496" t="str">
        <f t="shared" ref="DL130:DL150" si="1137">IF(ISNUMBER($AV130),CV130-DB130,"")</f>
        <v/>
      </c>
      <c r="DM130" s="502" t="str">
        <f t="shared" ref="DM130:DM150" si="1138">IF(ISNUMBER($AV130),CW130-DC130,"")</f>
        <v/>
      </c>
      <c r="DN130" s="508" t="str">
        <f t="shared" ref="DN130:DN150" si="1139">IF(ISNUMBER($AV130),CX130-DD130,"")</f>
        <v/>
      </c>
      <c r="DO130" s="496" t="str">
        <f t="shared" ref="DO130:DO150" si="1140">IF(ISNUMBER($AV130),CY130-CV130,"")</f>
        <v/>
      </c>
      <c r="DP130" s="502" t="str">
        <f t="shared" ref="DP130:DP150" si="1141">IF(ISNUMBER($AV130),CZ130-CW130,"")</f>
        <v/>
      </c>
      <c r="DQ130" s="503" t="str">
        <f t="shared" ref="DQ130:DQ150" si="1142">IF(ISNUMBER($AV130),DA130-CX130,"")</f>
        <v/>
      </c>
      <c r="DR130" s="502" t="str">
        <f t="shared" ref="DR130:DR150" si="1143">IF(ISNUMBER($AV130),SUMPRODUCT(DI130:DK130,DL130:DN130),"")</f>
        <v/>
      </c>
      <c r="DS130" s="494" t="str">
        <f t="shared" ref="DS130:DS150" si="1144">IF(ISNUMBER($AV130),SUMPRODUCT(DO130:DQ130,DI130:DK130),"")</f>
        <v/>
      </c>
      <c r="DT130" s="494" t="str">
        <f t="shared" ref="DT130:DT150" si="1145">IF(ISNUMBER($AV130),SUMPRODUCT(DI130:DK130,DI130:DK130),"")</f>
        <v/>
      </c>
      <c r="DU130" s="494" t="str">
        <f t="shared" ref="DU130:DU150" si="1146">IF(ISNUMBER($AV130),SUMPRODUCT(DO130:DQ130,DO130:DQ130),"")</f>
        <v/>
      </c>
      <c r="DV130" s="494" t="str">
        <f t="shared" ref="DV130:DV150" si="1147">IF(ISNUMBER($AV130),SUMPRODUCT(DL130:DN130,DO130:DQ130),"")</f>
        <v/>
      </c>
      <c r="DW130" s="494" t="str">
        <f t="shared" ref="DW130:DW150" si="1148">IF(ISNUMBER($AV130),SUMPRODUCT(DL130:DN130,DL130:DN130),"")</f>
        <v/>
      </c>
      <c r="DX130" s="507" t="str">
        <f t="shared" ref="DX130:DX150" si="1149">IF(ISNUMBER($AV130),DW130-DH130*DH130,"")</f>
        <v/>
      </c>
      <c r="DY130" s="496" t="str">
        <f t="shared" ref="DY130:DY150" si="1150">IF(ISNUMBER($AV130),DT130*DU130-DS130*DS130,"")</f>
        <v/>
      </c>
      <c r="DZ130" s="494" t="str">
        <f t="shared" ref="DZ130:DZ150" si="1151">IF(ISNUMBER($AV130),DT130*DV130-DS130*DR130,"")</f>
        <v/>
      </c>
      <c r="EA130" s="495" t="str">
        <f t="shared" ref="EA130:EA150" si="1152">IF(ISNUMBER($AV130),DT130*DX130-DR130*DR130,"")</f>
        <v/>
      </c>
      <c r="EB130" s="497" t="str">
        <f t="shared" ref="EB130:EB150" si="1153">IF(ISNUMBER($AV130),DZ130*DZ130-DY130*EA130,"")</f>
        <v/>
      </c>
      <c r="EC130" s="502" t="str">
        <f t="shared" ref="EC130:EC150" si="1154">IF(ISNUMBER($AV130),(-DZ130+SQRT(DZ130^2-DY130*EA130))/DY130,"")</f>
        <v/>
      </c>
      <c r="ED130" s="494" t="str">
        <f t="shared" ref="ED130:ED150" si="1155">IF(ISNUMBER($AV130),(-DZ130-SQRT(DZ130^2-DY130*EA130))/DY130,"")</f>
        <v/>
      </c>
      <c r="EE130" s="498" t="str">
        <f t="shared" ref="EE130:EE150" si="1156">IF(ISNUMBER($AV130),CV130+DO130*$EC130,"")</f>
        <v/>
      </c>
      <c r="EF130" s="494" t="str">
        <f t="shared" ref="EF130:EF150" si="1157">IF(ISNUMBER($AV130),CW130+DP130*$EC130,"")</f>
        <v/>
      </c>
      <c r="EG130" s="495" t="str">
        <f t="shared" ref="EG130:EG150" si="1158">IF(ISNUMBER($AV130),CX130+DQ130*$EC130,"")</f>
        <v/>
      </c>
      <c r="EH130" s="496" t="str">
        <f t="shared" ref="EH130:EH150" si="1159">IF(ISNUMBER($AV130),CV130+DO130*$ED130,"")</f>
        <v/>
      </c>
      <c r="EI130" s="494" t="str">
        <f t="shared" ref="EI130:EI150" si="1160">IF(ISNUMBER($AV130),CW130+DP130*$ED130,"")</f>
        <v/>
      </c>
      <c r="EJ130" s="497" t="str">
        <f t="shared" ref="EJ130:EJ150" si="1161">IF(ISNUMBER($AV130),CX130+DQ130*$ED130,"")</f>
        <v/>
      </c>
      <c r="EK130" s="509" t="str">
        <f t="shared" si="814"/>
        <v/>
      </c>
      <c r="EL130" s="510" t="str">
        <f t="shared" si="815"/>
        <v/>
      </c>
      <c r="EM130" s="498" t="str">
        <f t="shared" ref="EM130:EM150" si="1162">IF(ISNUMBER($AV130),IF($EK130=TRUE,EE130,IF($EL130=TRUE,EH130,"")),"")</f>
        <v/>
      </c>
      <c r="EN130" s="494" t="str">
        <f t="shared" ref="EN130:EN150" si="1163">IF(ISNUMBER($AV130),IF($EK130=TRUE,EF130,IF($EL130=TRUE,EI130,"")),"")</f>
        <v/>
      </c>
      <c r="EO130" s="495" t="str">
        <f t="shared" ref="EO130:EO150" si="1164">IF(ISNUMBER($AV130),IF($EK130=TRUE,EG130,IF($EL130=TRUE,EJ130,"")),"")</f>
        <v/>
      </c>
      <c r="EP130" s="496" t="str">
        <f t="shared" ref="EP130:EP150" si="1165">IF(ISNUMBER($AV130),IF(DEGREES(ATAN2(EM130,EN130))&lt;0,DEGREES(ATAN2(EM130,EN130))+360,IF(DEGREES(ATAN2(EM130,EN130))&gt;360,DEGREES(ATAN2(EM130,EN130))-360,DEGREES(ATAN2(EM130,EN130)))),"")</f>
        <v/>
      </c>
      <c r="EQ130" s="494" t="str">
        <f t="shared" ref="EQ130:EQ150" si="1166">IF(ISNUMBER($AV130),SQRT(EM130^2+EN130^2),"")</f>
        <v/>
      </c>
      <c r="ER130" s="500" t="str">
        <f t="shared" ref="ER130:ER150" si="1167">IF(ISNUMBER($AV130),EO130,"")</f>
        <v/>
      </c>
      <c r="ES130" s="493" t="str">
        <f t="shared" si="941"/>
        <v/>
      </c>
      <c r="ET130" s="494" t="str">
        <f t="shared" si="942"/>
        <v/>
      </c>
      <c r="EU130" s="495" t="str">
        <f t="shared" si="943"/>
        <v/>
      </c>
      <c r="EV130" s="174" t="str">
        <f t="shared" ref="EV130:EV150" si="1168">IF(ISNUMBER($AV130),IF(($EV$1-EP130)&lt;0,(360+($EV$1-EP130)),($EV$1-EP130)),"")</f>
        <v/>
      </c>
      <c r="EW130" s="496" t="str">
        <f t="shared" ref="EW130:EW150" si="1169">IF(ISNUMBER($AV130),(COS(RADIANS($EV130))*ES130)+(-SIN(RADIANS($EV130))*ET130),"")</f>
        <v/>
      </c>
      <c r="EX130" s="494" t="str">
        <f t="shared" ref="EX130:EX150" si="1170">IF(ISNUMBER($AV130),(SIN(RADIANS($EV130))*ES130)+(COS(RADIANS($EV130))*ET130),"")</f>
        <v/>
      </c>
      <c r="EY130" s="497" t="str">
        <f t="shared" ref="EY130:EY150" si="1171">IF(ISNUMBER($AV130),EU130,"")</f>
        <v/>
      </c>
      <c r="EZ130" s="504" t="str">
        <f t="shared" si="823"/>
        <v/>
      </c>
      <c r="FA130" s="502" t="str">
        <f t="shared" si="947"/>
        <v/>
      </c>
      <c r="FB130" s="494" t="str">
        <f t="shared" si="948"/>
        <v/>
      </c>
      <c r="FC130" s="497" t="str">
        <f t="shared" si="949"/>
        <v/>
      </c>
      <c r="FD130" s="498" t="str">
        <f t="shared" ref="FD130:FD150" si="1172">IF(ISNUMBER($AV130),(COS(RADIANS($EV130))*FA130)+(-SIN(RADIANS($EV130))*FB130),"")</f>
        <v/>
      </c>
      <c r="FE130" s="494" t="str">
        <f t="shared" ref="FE130:FE150" si="1173">IF(ISNUMBER($AV130),(SIN(RADIANS($EV130))*FA130)+(COS(RADIANS($EV130))*FB130),"")</f>
        <v/>
      </c>
      <c r="FF130" s="500" t="str">
        <f t="shared" ref="FF130:FF150" si="1174">IF(ISNUMBER($AV130),FC130,"")</f>
        <v/>
      </c>
      <c r="FG130" s="173" t="str">
        <f t="shared" ref="FG130:FG150" si="1175">IF(ISNUMBER($AV130),EW130-FD130,"")</f>
        <v/>
      </c>
      <c r="FH130" s="5" t="str">
        <f t="shared" ref="FH130:FH150" si="1176">IF(ISNUMBER($AV130),EX130-FE130,"")</f>
        <v/>
      </c>
      <c r="FI130" s="10" t="str">
        <f t="shared" ref="FI130:FI150" si="1177">IF(ISNUMBER($AV130),EY130-FF130,"")</f>
        <v/>
      </c>
      <c r="FJ130" s="279" t="str">
        <f t="shared" ref="FJ130:FJ150" si="1178">IF(ISNUMBER($AV130),DEGREES(ACOS((2-SQRT((FG130)^2+(FH130)^2+(FI130)^2)^2)/2)),"")</f>
        <v/>
      </c>
      <c r="FK130" s="4" t="str">
        <f t="shared" ref="FK130:FK150" si="1179">IF(ISNUMBER($AV130),SQRT(ES130^2+ET130^2),"")</f>
        <v/>
      </c>
      <c r="FL130" s="5" t="str">
        <f t="shared" ref="FL130:FL150" si="1180">IF(ISNUMBER($AV130),SQRT(FA130^2+FB130^2),"")</f>
        <v/>
      </c>
      <c r="FM130" s="8" t="str">
        <f t="shared" ref="FM130:FM150" si="1181">IF(ISNUMBER($AV130),SQRT(FG130^2+FH130^2),"")</f>
        <v/>
      </c>
      <c r="FN130" s="9" t="str">
        <f t="shared" ref="FN130:FN150" si="1182">IF(ISNUMBER($AV130),DEGREES(ACOS((FK130^2+FL130^2-FM130^2)/(2*FK130*FL130))),"")</f>
        <v/>
      </c>
      <c r="FO130" s="10" t="str">
        <f t="shared" ref="FO130:FO150" si="1183">IF(ISNUMBER($AV130),IF(SQRT((EM130+(ES130/SQRT(ES130^2+(ET130/SQRT(ES130^2+ET130^2))^2)))^2+(EN130+ET130)^2)&gt;SQRT((EM130+(FA130/SQRT(FA130^2+FB130^2)))^2+(EN130+(FB130/SQRT(FA130^2+FB130^2)))^2),-1,1),"")</f>
        <v/>
      </c>
      <c r="FP130" s="277" t="str">
        <f t="shared" ref="FP130:FP150" si="1184">IF(ISNUMBER($AV130),FN130*FO130,"")</f>
        <v/>
      </c>
      <c r="FQ130" s="173" t="str">
        <f t="shared" ref="FQ130:FQ150" si="1185">IF(ISNUMBER($AV130),SIN(RADIANS(FN130)),"")</f>
        <v/>
      </c>
      <c r="FR130" s="10" t="str">
        <f t="shared" ref="FR130:FR150" si="1186">IF(ISNUMBER($AV130),COS(RADIANS(FN130)),"")</f>
        <v/>
      </c>
      <c r="FS130" s="9" t="str">
        <f t="shared" ref="FS130:FS150" si="1187">IF(ISNUMBER($AV130),FQ130/(FQ130+FR130),"")</f>
        <v/>
      </c>
      <c r="FT130" s="6" t="str">
        <f t="shared" ref="FT130:FT150" si="1188">IF(ISNUMBER($AV130),FR130/(FQ130+FR130),"")</f>
        <v/>
      </c>
      <c r="FU130" s="4" t="str">
        <f t="shared" ref="FU130:FU150" si="1189">IF(ISNUMBER($AV130),SQRT(EW130^2+EY130^2),"")</f>
        <v/>
      </c>
      <c r="FV130" s="5" t="str">
        <f t="shared" ref="FV130:FV150" si="1190">IF(ISNUMBER($AV130),SQRT(FD130^2+FF130^2),"")</f>
        <v/>
      </c>
      <c r="FW130" s="8" t="str">
        <f t="shared" ref="FW130:FW150" si="1191">IF(ISNUMBER($AV130),SQRT(FG130^2+FI130^2),"")</f>
        <v/>
      </c>
      <c r="FX130" s="9" t="str">
        <f t="shared" ref="FX130:FX150" si="1192">IF(ISNUMBER($AV130),DEGREES(ACOS((FU130^2+FV130^2-FW130^2)/(2*FU130*FV130))),"")</f>
        <v/>
      </c>
      <c r="FY130" s="10" t="str">
        <f t="shared" ref="FY130:FY150" si="1193">IF(ISNUMBER($AV130),IF(EU130&lt;FC130,1,-1),"")</f>
        <v/>
      </c>
      <c r="FZ130" s="277" t="str">
        <f t="shared" ref="FZ130:FZ150" si="1194">IF(ISNUMBER($AV130),FX130*FY130,"")</f>
        <v/>
      </c>
      <c r="GA130" s="177" t="str">
        <f t="shared" ref="GA130:GA150" si="1195">IF(ISNUMBER($AV130),DEGREES(FZ130*SIN(RADIANS(FU130))),"")</f>
        <v/>
      </c>
      <c r="GB130" s="4" t="str">
        <f t="shared" ref="GB130:GB150" si="1196">IF(ISNUMBER($AV130),COS(RADIANS(FP130+90))*COS(RADIANS(FZ130)),"")</f>
        <v/>
      </c>
      <c r="GC130" s="5" t="str">
        <f t="shared" ref="GC130:GC150" si="1197">IF(ISNUMBER($AV130),SIN(RADIANS(FP130+90))*COS(RADIANS(FZ130)),"")</f>
        <v/>
      </c>
      <c r="GD130" s="10" t="str">
        <f t="shared" ref="GD130:GD150" si="1198">IF(ISNUMBER($AV130),-SIN(RADIANS(FZ130)),"")</f>
        <v/>
      </c>
      <c r="GE130" s="311" t="str">
        <f t="shared" ref="GE130:GE150" si="1199">IF(ISNUMBER($AV130),SUM(ABS(GB130),ABS(GC130),ABS(GD130)),"")</f>
        <v/>
      </c>
      <c r="GF130" s="341" t="str">
        <f t="shared" ref="GF130:GF150" si="1200">IF(ISNUMBER($AV130),1/GE130,"")</f>
        <v/>
      </c>
      <c r="GG130" s="306" t="str">
        <f t="shared" ref="GG130:GG150" si="1201">IF(ISNUMBER($AV130),ABS(GB130)/(ABS($GB130)+ABS($GC130)+ABS($GD130)),"")</f>
        <v/>
      </c>
      <c r="GH130" s="307" t="str">
        <f t="shared" ref="GH130:GH150" si="1202">IF(ISNUMBER($AV130),ABS(GC130)/(ABS($GB130)+ABS($GC130)+ABS($GD130)),"")</f>
        <v/>
      </c>
      <c r="GI130" s="308" t="str">
        <f t="shared" ref="GI130:GI150" si="1203">IF(ISNUMBER($AV130),ABS(GD130)/(ABS($GB130)+ABS($GC130)+ABS($GD130)),"")</f>
        <v/>
      </c>
      <c r="GJ130" s="167" t="str">
        <f t="shared" ref="GJ130:GJ150" si="1204">IF(ISNUMBER($AV130),AW130,"")</f>
        <v/>
      </c>
      <c r="GK130" s="174" t="str">
        <f t="shared" si="961"/>
        <v/>
      </c>
      <c r="GL130" s="174" t="str">
        <f t="shared" ref="GL130:GL150" si="1205">IF(ISNUMBER($AV130),AY130,"")</f>
        <v/>
      </c>
      <c r="GM130" s="177" t="str">
        <f t="shared" ref="GM130:GM150" si="1206">IF(ISNUMBER($AV130),AZ130,"")</f>
        <v/>
      </c>
      <c r="GN130" s="280" t="str">
        <f t="shared" ref="GN130:GN150" si="1207">IF(ISNUMBER($AV130),BA130,"")</f>
        <v/>
      </c>
      <c r="GO130" s="4" t="str">
        <f t="shared" ref="GO130:GO150" si="1208">IF(ISNUMBER($AV130),FP130,"")</f>
        <v/>
      </c>
      <c r="GP130" s="8" t="str">
        <f t="shared" ref="GP130:GP150" si="1209">IF(ISNUMBER($AV130),FZ130,"")</f>
        <v/>
      </c>
      <c r="GQ130" s="177" t="str">
        <f t="shared" ref="GQ130:GQ150" si="1210">IF(ISNUMBER($AV130),FJ130,"")</f>
        <v/>
      </c>
      <c r="GR130" s="371" t="str">
        <f t="shared" ref="GR130:GR150" si="1211">IF(ISNUMBER($AV130),GS130+GU130+GY130,"")</f>
        <v/>
      </c>
      <c r="GS130" s="342" t="str">
        <f t="shared" ref="GS130:GS150" si="1212">IF(ISNUMBER($AV130),GU130/GH130*GG130,"")</f>
        <v/>
      </c>
      <c r="GT130" s="343" t="str">
        <f t="shared" ref="GT130:GT150" si="1213">IF(ISNUMBER($AV130),GS130/$GK130,"")</f>
        <v/>
      </c>
      <c r="GU130" s="344" t="str">
        <f t="shared" si="964"/>
        <v/>
      </c>
      <c r="GV130" s="343" t="str">
        <f t="shared" ref="GV130:GV150" si="1214">IF(ISNUMBER($AV130),GW130*$GL130,"")</f>
        <v/>
      </c>
      <c r="GW130" s="345" t="str">
        <f t="shared" si="965"/>
        <v/>
      </c>
      <c r="GX130" s="346" t="str">
        <f t="shared" si="966"/>
        <v/>
      </c>
      <c r="GY130" s="344" t="str">
        <f t="shared" ref="GY130:GY150" si="1215">IF(ISNUMBER($AV130),GU130/GH130*GI130,"")</f>
        <v/>
      </c>
      <c r="GZ130" s="345" t="str">
        <f t="shared" ref="GZ130:GZ150" si="1216">IF(ISNUMBER($AV130),GY130/$GK130,"")</f>
        <v/>
      </c>
      <c r="HA130" s="342" t="str">
        <f t="shared" si="969"/>
        <v/>
      </c>
      <c r="HB130" s="5" t="str">
        <f t="shared" si="850"/>
        <v/>
      </c>
      <c r="HC130" s="343" t="str">
        <f t="shared" ref="HC130:HC150" si="1217">IF(ISNUMBER($AV130),HA130*COS(RADIANS(HB130)),"")</f>
        <v/>
      </c>
      <c r="HD130" s="363" t="str">
        <f t="shared" ref="HD130:HD150" si="1218">IF(ISNUMBER($AV130),HA130*SIN(RADIANS(HB130)),"")</f>
        <v/>
      </c>
      <c r="HE130" s="344" t="str">
        <f t="shared" si="970"/>
        <v/>
      </c>
      <c r="HF130" s="5" t="str">
        <f t="shared" si="971"/>
        <v/>
      </c>
      <c r="HG130" s="343" t="str">
        <f t="shared" ref="HG130:HG150" si="1219">IF(ISNUMBER($AV130),HE130*COS(RADIANS(HF130)),"")</f>
        <v/>
      </c>
      <c r="HH130" s="349" t="str">
        <f t="shared" ref="HH130:HH150" si="1220">IF(ISNUMBER($AV130),HE130*SIN(RADIANS(HF130)),"")</f>
        <v/>
      </c>
      <c r="HI130" s="317" t="str">
        <f t="shared" si="972"/>
        <v/>
      </c>
      <c r="HK130" s="310" t="str">
        <f t="shared" si="1025"/>
        <v/>
      </c>
      <c r="HL130" s="348" t="str">
        <f t="shared" si="973"/>
        <v/>
      </c>
      <c r="HM130" s="923" t="str">
        <f t="shared" si="974"/>
        <v/>
      </c>
      <c r="HN130" s="924" t="str">
        <f t="shared" si="975"/>
        <v/>
      </c>
      <c r="HO130" s="925"/>
      <c r="HP130" s="926"/>
      <c r="HQ130" s="924" t="str">
        <f t="shared" si="976"/>
        <v/>
      </c>
      <c r="HR130" s="927" t="str">
        <f t="shared" si="977"/>
        <v/>
      </c>
      <c r="HS130" s="879" t="str">
        <f t="shared" ref="HS130:HS150" si="1221">IFERROR(SMALL($GJ$9:$GJ$150,($HK129+1)),"")</f>
        <v/>
      </c>
      <c r="HT130" s="889" t="str">
        <f t="shared" si="978"/>
        <v/>
      </c>
      <c r="HU130" s="890" t="str">
        <f t="shared" si="979"/>
        <v/>
      </c>
      <c r="HV130" s="886" t="str">
        <f t="shared" si="980"/>
        <v/>
      </c>
      <c r="HW130" s="880" t="str">
        <f t="shared" si="981"/>
        <v/>
      </c>
      <c r="HX130" s="881" t="str">
        <f t="shared" si="982"/>
        <v/>
      </c>
      <c r="HY130" s="880" t="str">
        <f t="shared" si="983"/>
        <v/>
      </c>
      <c r="HZ130" s="882" t="str">
        <f t="shared" si="984"/>
        <v/>
      </c>
      <c r="IA130" s="883" t="str">
        <f t="shared" si="985"/>
        <v/>
      </c>
      <c r="IB130" s="884" t="str">
        <f t="shared" si="986"/>
        <v/>
      </c>
      <c r="IC130" s="855" t="str">
        <f t="shared" si="987"/>
        <v/>
      </c>
      <c r="ID130" s="351" t="str">
        <f t="shared" si="988"/>
        <v/>
      </c>
      <c r="IE130" s="857" t="str">
        <f t="shared" si="989"/>
        <v/>
      </c>
      <c r="IF130" s="858"/>
      <c r="IG130" s="790" t="str">
        <f>IFERROR(IF($IW130="","",IF($IW130&lt;(((Settings!$C$19/2)*-1)*$IG$8),"Taper","Nose")),"")</f>
        <v/>
      </c>
      <c r="IH130" s="482" t="str">
        <f>IFERROR(IF((((($IY130*COS(RADIANS(180-$JA130)))*COS(RADIANS($JA130)))-(($IZ130*SIN(RADIANS(180-$JA130)))*SIN(RADIANS($JA130))))+$IW130)&lt;(((Settings!$C$19+$IH$8)/2)*-1),"Gage",""),"")</f>
        <v/>
      </c>
      <c r="II130" s="788" t="str">
        <f t="shared" si="855"/>
        <v/>
      </c>
      <c r="IJ130" s="674" t="str" cm="1">
        <f t="array" ref="IJ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K130" s="677" t="str" cm="1">
        <f t="array" ref="IK130">IFERROR(ROUND(VALUE(IF($IJ130&lt;1,$IJ130+LARGE((IF($M$9:$M$150="",0,$M$9:$M$150)-MOD(IF($M$9:$M$150="",0,$M$9:$M$150),1)),1),$IJ130)),4),"")</f>
        <v/>
      </c>
      <c r="IL130" s="482" t="str">
        <f t="shared" si="990"/>
        <v/>
      </c>
      <c r="IM130" s="482" t="str">
        <f t="shared" si="856"/>
        <v/>
      </c>
      <c r="IN130" s="670" t="str">
        <f t="shared" si="991"/>
        <v/>
      </c>
      <c r="IO130" s="702"/>
      <c r="IP130" s="5" t="str">
        <f t="shared" si="992"/>
        <v/>
      </c>
      <c r="IQ130" s="714"/>
      <c r="IR130" s="9" t="str">
        <f t="shared" si="993"/>
        <v/>
      </c>
      <c r="IS130" s="5" t="str">
        <f t="shared" si="994"/>
        <v/>
      </c>
      <c r="IT130" s="5" t="str">
        <f t="shared" si="995"/>
        <v/>
      </c>
      <c r="IU130" s="5" t="str">
        <f t="shared" si="996"/>
        <v/>
      </c>
      <c r="IV130" s="670" t="str">
        <f t="shared" si="997"/>
        <v/>
      </c>
      <c r="IW130" s="9" t="str">
        <f t="shared" si="998"/>
        <v/>
      </c>
      <c r="IX130" s="5" t="str">
        <f t="shared" si="999"/>
        <v/>
      </c>
      <c r="IY130" s="5" t="str">
        <f t="shared" si="1000"/>
        <v/>
      </c>
      <c r="IZ130" s="5" t="str">
        <f t="shared" si="1001"/>
        <v/>
      </c>
      <c r="JA130" s="705" t="str">
        <f t="shared" si="1002"/>
        <v/>
      </c>
      <c r="JN130" s="960"/>
      <c r="JO130" s="162"/>
      <c r="JP130" s="961"/>
      <c r="JQ130" s="961"/>
    </row>
    <row r="131" spans="1:277" ht="15" customHeight="1" x14ac:dyDescent="0.25">
      <c r="A131" s="75" t="str">
        <f t="shared" si="917"/>
        <v/>
      </c>
      <c r="B131" s="585" t="str">
        <f t="shared" ref="B131:D131" si="1222">IFERROR(O286+($A131*-E131),"")</f>
        <v/>
      </c>
      <c r="C131" s="582" t="str">
        <f t="shared" si="1222"/>
        <v/>
      </c>
      <c r="D131" s="583" t="str">
        <f t="shared" si="1222"/>
        <v/>
      </c>
      <c r="E131" s="588" t="str">
        <f t="shared" ref="E131:K131" si="1223">R286</f>
        <v/>
      </c>
      <c r="F131" s="582" t="str">
        <f t="shared" si="1223"/>
        <v/>
      </c>
      <c r="G131" s="586" t="str">
        <f t="shared" si="1223"/>
        <v/>
      </c>
      <c r="H131" s="588" t="str">
        <f t="shared" si="1223"/>
        <v/>
      </c>
      <c r="I131" s="582" t="str">
        <f t="shared" si="1223"/>
        <v/>
      </c>
      <c r="J131" s="491" t="str">
        <f t="shared" si="728"/>
        <v/>
      </c>
      <c r="K131" s="807" t="str">
        <f t="shared" si="1223"/>
        <v/>
      </c>
      <c r="L131" s="309"/>
      <c r="M131" s="492" t="str">
        <f t="shared" si="920"/>
        <v/>
      </c>
      <c r="N131" s="581" t="str">
        <f t="shared" si="921"/>
        <v/>
      </c>
      <c r="O131" s="582" t="str">
        <f t="shared" si="922"/>
        <v/>
      </c>
      <c r="P131" s="583" t="str">
        <f t="shared" si="923"/>
        <v/>
      </c>
      <c r="Q131" s="536" t="str">
        <f t="shared" si="1079"/>
        <v/>
      </c>
      <c r="R131" s="582" t="str">
        <f t="shared" si="1080"/>
        <v/>
      </c>
      <c r="S131" s="584" t="str">
        <f t="shared" si="1081"/>
        <v/>
      </c>
      <c r="T131" s="585" t="str">
        <f t="shared" si="1082"/>
        <v/>
      </c>
      <c r="U131" s="582" t="str">
        <f t="shared" si="1083"/>
        <v/>
      </c>
      <c r="V131" s="586" t="str">
        <f t="shared" si="1084"/>
        <v/>
      </c>
      <c r="W131" s="536" t="str">
        <f t="shared" si="1085"/>
        <v/>
      </c>
      <c r="X131" s="582" t="str">
        <f t="shared" si="1086"/>
        <v/>
      </c>
      <c r="Y131" s="587" t="str">
        <f t="shared" si="1087"/>
        <v/>
      </c>
      <c r="Z131" s="581" t="str">
        <f t="shared" si="924"/>
        <v/>
      </c>
      <c r="AA131" s="582" t="str">
        <f t="shared" si="925"/>
        <v/>
      </c>
      <c r="AB131" s="582" t="str">
        <f t="shared" si="926"/>
        <v/>
      </c>
      <c r="AC131" s="586" t="str">
        <f t="shared" si="1088"/>
        <v/>
      </c>
      <c r="AD131" s="588" t="str">
        <f t="shared" si="1089"/>
        <v/>
      </c>
      <c r="AE131" s="582" t="str">
        <f t="shared" si="1090"/>
        <v/>
      </c>
      <c r="AF131" s="583" t="str">
        <f t="shared" si="1091"/>
        <v/>
      </c>
      <c r="AG131" s="547" t="str">
        <f t="shared" si="1092"/>
        <v/>
      </c>
      <c r="AH131" s="548" t="str">
        <f t="shared" si="1093"/>
        <v/>
      </c>
      <c r="AI131" s="536" t="str">
        <f t="shared" si="1094"/>
        <v/>
      </c>
      <c r="AJ131" s="537" t="str">
        <f t="shared" si="1095"/>
        <v/>
      </c>
      <c r="AK131" s="585" t="str">
        <f t="shared" si="1096"/>
        <v/>
      </c>
      <c r="AL131" s="582" t="str">
        <f t="shared" si="1097"/>
        <v/>
      </c>
      <c r="AM131" s="584" t="str">
        <f t="shared" si="1098"/>
        <v/>
      </c>
      <c r="AN131" s="534" t="str">
        <f t="shared" si="1099"/>
        <v/>
      </c>
      <c r="AO131" s="535" t="str">
        <f t="shared" si="1058"/>
        <v/>
      </c>
      <c r="AP131" s="536" t="str">
        <f t="shared" si="1100"/>
        <v/>
      </c>
      <c r="AQ131" s="537" t="str">
        <f t="shared" si="927"/>
        <v/>
      </c>
      <c r="AS131" s="955" t="str">
        <f t="shared" si="1029"/>
        <v/>
      </c>
      <c r="AT131" s="951" t="str">
        <f t="shared" si="928"/>
        <v/>
      </c>
      <c r="AU131" s="418"/>
      <c r="AV131" s="164" t="str">
        <f t="shared" si="929"/>
        <v/>
      </c>
      <c r="AW131" s="832" t="str">
        <f>IFERROR(INDEX(MassProp!C$9:C$150,MATCH($M131,MassProp!$B$9:$B$150,0)),"")</f>
        <v/>
      </c>
      <c r="AX131" s="833" t="str">
        <f>IFERROR(INDEX(MassProp!D$9:D$150,MATCH($M131,MassProp!$B$9:$B$150,0)),"")</f>
        <v/>
      </c>
      <c r="AY131" s="834" t="str">
        <f>IFERROR(INDEX(MassProp!E$9:E$150,MATCH($M131,MassProp!$B$9:$B$150,0)),"")</f>
        <v/>
      </c>
      <c r="AZ131" s="297" t="str">
        <f t="shared" si="1101"/>
        <v/>
      </c>
      <c r="BA131" s="505" t="str">
        <f t="shared" si="1102"/>
        <v/>
      </c>
      <c r="BB131" s="506" t="str">
        <f t="shared" si="730"/>
        <v/>
      </c>
      <c r="BC131" s="496"/>
      <c r="BD131" s="494" t="str">
        <f t="shared" si="1103"/>
        <v/>
      </c>
      <c r="BE131" s="497" t="str">
        <f t="shared" si="931"/>
        <v/>
      </c>
      <c r="BF131" s="498" t="str">
        <f t="shared" si="932"/>
        <v/>
      </c>
      <c r="BG131" s="494" t="str">
        <f t="shared" si="933"/>
        <v/>
      </c>
      <c r="BH131" s="495" t="str">
        <f t="shared" si="934"/>
        <v/>
      </c>
      <c r="BI131" s="496" t="str">
        <f t="shared" si="1104"/>
        <v/>
      </c>
      <c r="BJ131" s="494" t="str">
        <f t="shared" si="935"/>
        <v/>
      </c>
      <c r="BK131" s="499" t="str">
        <f t="shared" si="936"/>
        <v/>
      </c>
      <c r="BL131" s="502" t="str">
        <f t="shared" si="937"/>
        <v/>
      </c>
      <c r="BM131" s="494" t="str">
        <f t="shared" si="938"/>
        <v/>
      </c>
      <c r="BN131" s="497" t="str">
        <f t="shared" si="939"/>
        <v/>
      </c>
      <c r="BO131" s="498" t="str">
        <f t="shared" si="1105"/>
        <v/>
      </c>
      <c r="BP131" s="494" t="str">
        <f t="shared" si="1106"/>
        <v/>
      </c>
      <c r="BQ131" s="494" t="str">
        <f t="shared" si="1107"/>
        <v/>
      </c>
      <c r="BR131" s="497" t="str">
        <f t="shared" si="1108"/>
        <v/>
      </c>
      <c r="BS131" s="498" t="str">
        <f t="shared" si="1024"/>
        <v/>
      </c>
      <c r="BT131" s="494" t="str">
        <f t="shared" si="1024"/>
        <v/>
      </c>
      <c r="BU131" s="495" t="str">
        <f t="shared" si="733"/>
        <v/>
      </c>
      <c r="BV131" s="496" t="str">
        <f t="shared" si="734"/>
        <v/>
      </c>
      <c r="BW131" s="494" t="str">
        <f t="shared" si="735"/>
        <v/>
      </c>
      <c r="BX131" s="499" t="str">
        <f t="shared" si="736"/>
        <v/>
      </c>
      <c r="BY131" s="502" t="str">
        <f t="shared" si="737"/>
        <v/>
      </c>
      <c r="BZ131" s="494" t="str">
        <f t="shared" si="738"/>
        <v/>
      </c>
      <c r="CA131" s="497" t="str">
        <f t="shared" si="739"/>
        <v/>
      </c>
      <c r="CB131" s="498" t="str">
        <f t="shared" si="1109"/>
        <v/>
      </c>
      <c r="CC131" s="494" t="str">
        <f t="shared" si="1110"/>
        <v/>
      </c>
      <c r="CD131" s="494" t="str">
        <f t="shared" si="1111"/>
        <v/>
      </c>
      <c r="CE131" s="497" t="str">
        <f t="shared" si="1112"/>
        <v/>
      </c>
      <c r="CF131" s="498" t="str">
        <f t="shared" si="1113"/>
        <v/>
      </c>
      <c r="CG131" s="494" t="str">
        <f t="shared" si="1114"/>
        <v/>
      </c>
      <c r="CH131" s="494" t="str">
        <f t="shared" si="1115"/>
        <v/>
      </c>
      <c r="CI131" s="498" t="str">
        <f t="shared" si="740"/>
        <v/>
      </c>
      <c r="CJ131" s="494" t="str">
        <f t="shared" si="1116"/>
        <v/>
      </c>
      <c r="CK131" s="499" t="str">
        <f t="shared" si="1117"/>
        <v/>
      </c>
      <c r="CL131" s="502" t="str">
        <f t="shared" si="1118"/>
        <v/>
      </c>
      <c r="CM131" s="494" t="str">
        <f t="shared" si="1119"/>
        <v/>
      </c>
      <c r="CN131" s="497" t="str">
        <f t="shared" si="1120"/>
        <v/>
      </c>
      <c r="CO131" s="507" t="str">
        <f t="shared" si="940"/>
        <v/>
      </c>
      <c r="CP131" s="498" t="str">
        <f t="shared" si="1121"/>
        <v/>
      </c>
      <c r="CQ131" s="494" t="str">
        <f t="shared" si="1122"/>
        <v/>
      </c>
      <c r="CR131" s="494" t="str">
        <f t="shared" si="1123"/>
        <v/>
      </c>
      <c r="CS131" s="499" t="str">
        <f t="shared" si="1124"/>
        <v/>
      </c>
      <c r="CT131" s="496" t="str">
        <f t="shared" si="1125"/>
        <v/>
      </c>
      <c r="CU131" s="497" t="str">
        <f t="shared" si="1126"/>
        <v/>
      </c>
      <c r="CV131" s="498" t="str">
        <f t="shared" si="1127"/>
        <v/>
      </c>
      <c r="CW131" s="494" t="str">
        <f t="shared" si="1128"/>
        <v/>
      </c>
      <c r="CX131" s="499" t="str">
        <f t="shared" si="1129"/>
        <v/>
      </c>
      <c r="CY131" s="496" t="str">
        <f t="shared" si="1130"/>
        <v/>
      </c>
      <c r="CZ131" s="494" t="str">
        <f t="shared" si="1131"/>
        <v/>
      </c>
      <c r="DA131" s="497" t="str">
        <f t="shared" si="1132"/>
        <v/>
      </c>
      <c r="DB131" s="498" t="str">
        <f t="shared" si="1030"/>
        <v/>
      </c>
      <c r="DC131" s="494" t="str">
        <f t="shared" si="1030"/>
        <v/>
      </c>
      <c r="DD131" s="495" t="str">
        <f t="shared" si="782"/>
        <v/>
      </c>
      <c r="DE131" s="496" t="str">
        <f t="shared" si="1031"/>
        <v/>
      </c>
      <c r="DF131" s="494" t="str">
        <f t="shared" si="1031"/>
        <v/>
      </c>
      <c r="DG131" s="495" t="str">
        <f t="shared" si="784"/>
        <v/>
      </c>
      <c r="DH131" s="501" t="str">
        <f t="shared" si="1133"/>
        <v/>
      </c>
      <c r="DI131" s="498" t="str">
        <f t="shared" si="1134"/>
        <v/>
      </c>
      <c r="DJ131" s="494" t="str">
        <f t="shared" si="1135"/>
        <v/>
      </c>
      <c r="DK131" s="495" t="str">
        <f t="shared" si="1136"/>
        <v/>
      </c>
      <c r="DL131" s="496" t="str">
        <f t="shared" si="1137"/>
        <v/>
      </c>
      <c r="DM131" s="502" t="str">
        <f t="shared" si="1138"/>
        <v/>
      </c>
      <c r="DN131" s="508" t="str">
        <f t="shared" si="1139"/>
        <v/>
      </c>
      <c r="DO131" s="496" t="str">
        <f t="shared" si="1140"/>
        <v/>
      </c>
      <c r="DP131" s="502" t="str">
        <f t="shared" si="1141"/>
        <v/>
      </c>
      <c r="DQ131" s="503" t="str">
        <f t="shared" si="1142"/>
        <v/>
      </c>
      <c r="DR131" s="502" t="str">
        <f t="shared" si="1143"/>
        <v/>
      </c>
      <c r="DS131" s="494" t="str">
        <f t="shared" si="1144"/>
        <v/>
      </c>
      <c r="DT131" s="494" t="str">
        <f t="shared" si="1145"/>
        <v/>
      </c>
      <c r="DU131" s="494" t="str">
        <f t="shared" si="1146"/>
        <v/>
      </c>
      <c r="DV131" s="494" t="str">
        <f t="shared" si="1147"/>
        <v/>
      </c>
      <c r="DW131" s="494" t="str">
        <f t="shared" si="1148"/>
        <v/>
      </c>
      <c r="DX131" s="507" t="str">
        <f t="shared" si="1149"/>
        <v/>
      </c>
      <c r="DY131" s="496" t="str">
        <f t="shared" si="1150"/>
        <v/>
      </c>
      <c r="DZ131" s="494" t="str">
        <f t="shared" si="1151"/>
        <v/>
      </c>
      <c r="EA131" s="495" t="str">
        <f t="shared" si="1152"/>
        <v/>
      </c>
      <c r="EB131" s="497" t="str">
        <f t="shared" si="1153"/>
        <v/>
      </c>
      <c r="EC131" s="502" t="str">
        <f t="shared" si="1154"/>
        <v/>
      </c>
      <c r="ED131" s="494" t="str">
        <f t="shared" si="1155"/>
        <v/>
      </c>
      <c r="EE131" s="498" t="str">
        <f t="shared" si="1156"/>
        <v/>
      </c>
      <c r="EF131" s="494" t="str">
        <f t="shared" si="1157"/>
        <v/>
      </c>
      <c r="EG131" s="495" t="str">
        <f t="shared" si="1158"/>
        <v/>
      </c>
      <c r="EH131" s="496" t="str">
        <f t="shared" si="1159"/>
        <v/>
      </c>
      <c r="EI131" s="494" t="str">
        <f t="shared" si="1160"/>
        <v/>
      </c>
      <c r="EJ131" s="497" t="str">
        <f t="shared" si="1161"/>
        <v/>
      </c>
      <c r="EK131" s="509" t="str">
        <f t="shared" si="814"/>
        <v/>
      </c>
      <c r="EL131" s="510" t="str">
        <f t="shared" si="815"/>
        <v/>
      </c>
      <c r="EM131" s="498" t="str">
        <f t="shared" si="1162"/>
        <v/>
      </c>
      <c r="EN131" s="494" t="str">
        <f t="shared" si="1163"/>
        <v/>
      </c>
      <c r="EO131" s="495" t="str">
        <f t="shared" si="1164"/>
        <v/>
      </c>
      <c r="EP131" s="496" t="str">
        <f t="shared" si="1165"/>
        <v/>
      </c>
      <c r="EQ131" s="494" t="str">
        <f t="shared" si="1166"/>
        <v/>
      </c>
      <c r="ER131" s="500" t="str">
        <f t="shared" si="1167"/>
        <v/>
      </c>
      <c r="ES131" s="493" t="str">
        <f t="shared" si="941"/>
        <v/>
      </c>
      <c r="ET131" s="494" t="str">
        <f t="shared" si="942"/>
        <v/>
      </c>
      <c r="EU131" s="495" t="str">
        <f t="shared" si="943"/>
        <v/>
      </c>
      <c r="EV131" s="174" t="str">
        <f t="shared" si="1168"/>
        <v/>
      </c>
      <c r="EW131" s="496" t="str">
        <f t="shared" si="1169"/>
        <v/>
      </c>
      <c r="EX131" s="494" t="str">
        <f t="shared" si="1170"/>
        <v/>
      </c>
      <c r="EY131" s="497" t="str">
        <f t="shared" si="1171"/>
        <v/>
      </c>
      <c r="EZ131" s="504" t="str">
        <f t="shared" si="823"/>
        <v/>
      </c>
      <c r="FA131" s="502" t="str">
        <f t="shared" si="947"/>
        <v/>
      </c>
      <c r="FB131" s="494" t="str">
        <f t="shared" si="948"/>
        <v/>
      </c>
      <c r="FC131" s="497" t="str">
        <f t="shared" si="949"/>
        <v/>
      </c>
      <c r="FD131" s="498" t="str">
        <f t="shared" si="1172"/>
        <v/>
      </c>
      <c r="FE131" s="494" t="str">
        <f t="shared" si="1173"/>
        <v/>
      </c>
      <c r="FF131" s="500" t="str">
        <f t="shared" si="1174"/>
        <v/>
      </c>
      <c r="FG131" s="173" t="str">
        <f t="shared" si="1175"/>
        <v/>
      </c>
      <c r="FH131" s="5" t="str">
        <f t="shared" si="1176"/>
        <v/>
      </c>
      <c r="FI131" s="10" t="str">
        <f t="shared" si="1177"/>
        <v/>
      </c>
      <c r="FJ131" s="279" t="str">
        <f t="shared" si="1178"/>
        <v/>
      </c>
      <c r="FK131" s="4" t="str">
        <f t="shared" si="1179"/>
        <v/>
      </c>
      <c r="FL131" s="5" t="str">
        <f t="shared" si="1180"/>
        <v/>
      </c>
      <c r="FM131" s="8" t="str">
        <f t="shared" si="1181"/>
        <v/>
      </c>
      <c r="FN131" s="9" t="str">
        <f t="shared" si="1182"/>
        <v/>
      </c>
      <c r="FO131" s="10" t="str">
        <f t="shared" si="1183"/>
        <v/>
      </c>
      <c r="FP131" s="277" t="str">
        <f t="shared" si="1184"/>
        <v/>
      </c>
      <c r="FQ131" s="173" t="str">
        <f t="shared" si="1185"/>
        <v/>
      </c>
      <c r="FR131" s="10" t="str">
        <f t="shared" si="1186"/>
        <v/>
      </c>
      <c r="FS131" s="9" t="str">
        <f t="shared" si="1187"/>
        <v/>
      </c>
      <c r="FT131" s="6" t="str">
        <f t="shared" si="1188"/>
        <v/>
      </c>
      <c r="FU131" s="4" t="str">
        <f t="shared" si="1189"/>
        <v/>
      </c>
      <c r="FV131" s="5" t="str">
        <f t="shared" si="1190"/>
        <v/>
      </c>
      <c r="FW131" s="8" t="str">
        <f t="shared" si="1191"/>
        <v/>
      </c>
      <c r="FX131" s="9" t="str">
        <f t="shared" si="1192"/>
        <v/>
      </c>
      <c r="FY131" s="10" t="str">
        <f t="shared" si="1193"/>
        <v/>
      </c>
      <c r="FZ131" s="277" t="str">
        <f t="shared" si="1194"/>
        <v/>
      </c>
      <c r="GA131" s="177" t="str">
        <f t="shared" si="1195"/>
        <v/>
      </c>
      <c r="GB131" s="4" t="str">
        <f t="shared" si="1196"/>
        <v/>
      </c>
      <c r="GC131" s="5" t="str">
        <f t="shared" si="1197"/>
        <v/>
      </c>
      <c r="GD131" s="10" t="str">
        <f t="shared" si="1198"/>
        <v/>
      </c>
      <c r="GE131" s="311" t="str">
        <f t="shared" si="1199"/>
        <v/>
      </c>
      <c r="GF131" s="341" t="str">
        <f t="shared" si="1200"/>
        <v/>
      </c>
      <c r="GG131" s="306" t="str">
        <f t="shared" si="1201"/>
        <v/>
      </c>
      <c r="GH131" s="307" t="str">
        <f t="shared" si="1202"/>
        <v/>
      </c>
      <c r="GI131" s="308" t="str">
        <f t="shared" si="1203"/>
        <v/>
      </c>
      <c r="GJ131" s="167" t="str">
        <f t="shared" si="1204"/>
        <v/>
      </c>
      <c r="GK131" s="174" t="str">
        <f t="shared" si="961"/>
        <v/>
      </c>
      <c r="GL131" s="174" t="str">
        <f t="shared" si="1205"/>
        <v/>
      </c>
      <c r="GM131" s="177" t="str">
        <f t="shared" si="1206"/>
        <v/>
      </c>
      <c r="GN131" s="280" t="str">
        <f t="shared" si="1207"/>
        <v/>
      </c>
      <c r="GO131" s="4" t="str">
        <f t="shared" si="1208"/>
        <v/>
      </c>
      <c r="GP131" s="8" t="str">
        <f t="shared" si="1209"/>
        <v/>
      </c>
      <c r="GQ131" s="177" t="str">
        <f t="shared" si="1210"/>
        <v/>
      </c>
      <c r="GR131" s="371" t="str">
        <f t="shared" si="1211"/>
        <v/>
      </c>
      <c r="GS131" s="342" t="str">
        <f t="shared" si="1212"/>
        <v/>
      </c>
      <c r="GT131" s="343" t="str">
        <f t="shared" si="1213"/>
        <v/>
      </c>
      <c r="GU131" s="344" t="str">
        <f t="shared" si="964"/>
        <v/>
      </c>
      <c r="GV131" s="343" t="str">
        <f t="shared" si="1214"/>
        <v/>
      </c>
      <c r="GW131" s="345" t="str">
        <f t="shared" si="965"/>
        <v/>
      </c>
      <c r="GX131" s="346" t="str">
        <f t="shared" si="966"/>
        <v/>
      </c>
      <c r="GY131" s="344" t="str">
        <f t="shared" si="1215"/>
        <v/>
      </c>
      <c r="GZ131" s="345" t="str">
        <f t="shared" si="1216"/>
        <v/>
      </c>
      <c r="HA131" s="342" t="str">
        <f t="shared" si="969"/>
        <v/>
      </c>
      <c r="HB131" s="5" t="str">
        <f t="shared" si="850"/>
        <v/>
      </c>
      <c r="HC131" s="343" t="str">
        <f t="shared" si="1217"/>
        <v/>
      </c>
      <c r="HD131" s="363" t="str">
        <f t="shared" si="1218"/>
        <v/>
      </c>
      <c r="HE131" s="344" t="str">
        <f t="shared" si="970"/>
        <v/>
      </c>
      <c r="HF131" s="5" t="str">
        <f t="shared" si="971"/>
        <v/>
      </c>
      <c r="HG131" s="343" t="str">
        <f t="shared" si="1219"/>
        <v/>
      </c>
      <c r="HH131" s="349" t="str">
        <f t="shared" si="1220"/>
        <v/>
      </c>
      <c r="HI131" s="317" t="str">
        <f t="shared" si="972"/>
        <v/>
      </c>
      <c r="HK131" s="310" t="str">
        <f t="shared" si="1025"/>
        <v/>
      </c>
      <c r="HL131" s="348" t="str">
        <f t="shared" si="973"/>
        <v/>
      </c>
      <c r="HM131" s="923" t="str">
        <f t="shared" si="974"/>
        <v/>
      </c>
      <c r="HN131" s="924" t="str">
        <f t="shared" si="975"/>
        <v/>
      </c>
      <c r="HO131" s="925"/>
      <c r="HP131" s="926"/>
      <c r="HQ131" s="924" t="str">
        <f t="shared" si="976"/>
        <v/>
      </c>
      <c r="HR131" s="927" t="str">
        <f t="shared" si="977"/>
        <v/>
      </c>
      <c r="HS131" s="879" t="str">
        <f t="shared" si="1221"/>
        <v/>
      </c>
      <c r="HT131" s="889" t="str">
        <f t="shared" si="978"/>
        <v/>
      </c>
      <c r="HU131" s="890" t="str">
        <f t="shared" si="979"/>
        <v/>
      </c>
      <c r="HV131" s="886" t="str">
        <f t="shared" si="980"/>
        <v/>
      </c>
      <c r="HW131" s="880" t="str">
        <f t="shared" si="981"/>
        <v/>
      </c>
      <c r="HX131" s="881" t="str">
        <f t="shared" si="982"/>
        <v/>
      </c>
      <c r="HY131" s="880" t="str">
        <f t="shared" si="983"/>
        <v/>
      </c>
      <c r="HZ131" s="882" t="str">
        <f t="shared" si="984"/>
        <v/>
      </c>
      <c r="IA131" s="883" t="str">
        <f t="shared" si="985"/>
        <v/>
      </c>
      <c r="IB131" s="884" t="str">
        <f t="shared" si="986"/>
        <v/>
      </c>
      <c r="IC131" s="855" t="str">
        <f t="shared" si="987"/>
        <v/>
      </c>
      <c r="ID131" s="351" t="str">
        <f t="shared" si="988"/>
        <v/>
      </c>
      <c r="IE131" s="857" t="str">
        <f t="shared" si="989"/>
        <v/>
      </c>
      <c r="IF131" s="858"/>
      <c r="IG131" s="790" t="str">
        <f>IFERROR(IF($IW131="","",IF($IW131&lt;(((Settings!$C$19/2)*-1)*$IG$8),"Taper","Nose")),"")</f>
        <v/>
      </c>
      <c r="IH131" s="482" t="str">
        <f>IFERROR(IF((((($IY131*COS(RADIANS(180-$JA131)))*COS(RADIANS($JA131)))-(($IZ131*SIN(RADIANS(180-$JA131)))*SIN(RADIANS($JA131))))+$IW131)&lt;(((Settings!$C$19+$IH$8)/2)*-1),"Gage",""),"")</f>
        <v/>
      </c>
      <c r="II131" s="788" t="str">
        <f t="shared" si="855"/>
        <v/>
      </c>
      <c r="IJ131" s="674" t="str" cm="1">
        <f t="array" ref="IJ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K131" s="677" t="str" cm="1">
        <f t="array" ref="IK131">IFERROR(ROUND(VALUE(IF($IJ131&lt;1,$IJ131+LARGE((IF($M$9:$M$150="",0,$M$9:$M$150)-MOD(IF($M$9:$M$150="",0,$M$9:$M$150),1)),1),$IJ131)),4),"")</f>
        <v/>
      </c>
      <c r="IL131" s="482" t="str">
        <f t="shared" si="990"/>
        <v/>
      </c>
      <c r="IM131" s="482" t="str">
        <f t="shared" si="856"/>
        <v/>
      </c>
      <c r="IN131" s="670" t="str">
        <f t="shared" si="991"/>
        <v/>
      </c>
      <c r="IO131" s="702"/>
      <c r="IP131" s="5" t="str">
        <f t="shared" si="992"/>
        <v/>
      </c>
      <c r="IQ131" s="714"/>
      <c r="IR131" s="9" t="str">
        <f t="shared" si="993"/>
        <v/>
      </c>
      <c r="IS131" s="5" t="str">
        <f t="shared" si="994"/>
        <v/>
      </c>
      <c r="IT131" s="5" t="str">
        <f t="shared" si="995"/>
        <v/>
      </c>
      <c r="IU131" s="5" t="str">
        <f t="shared" si="996"/>
        <v/>
      </c>
      <c r="IV131" s="670" t="str">
        <f t="shared" si="997"/>
        <v/>
      </c>
      <c r="IW131" s="9" t="str">
        <f t="shared" si="998"/>
        <v/>
      </c>
      <c r="IX131" s="5" t="str">
        <f t="shared" si="999"/>
        <v/>
      </c>
      <c r="IY131" s="5" t="str">
        <f t="shared" si="1000"/>
        <v/>
      </c>
      <c r="IZ131" s="5" t="str">
        <f t="shared" si="1001"/>
        <v/>
      </c>
      <c r="JA131" s="705" t="str">
        <f t="shared" si="1002"/>
        <v/>
      </c>
      <c r="JN131" s="960"/>
      <c r="JO131" s="162"/>
      <c r="JP131" s="961"/>
      <c r="JQ131" s="961"/>
    </row>
    <row r="132" spans="1:277" ht="15" customHeight="1" x14ac:dyDescent="0.25">
      <c r="A132" s="75" t="str">
        <f t="shared" si="917"/>
        <v/>
      </c>
      <c r="B132" s="585" t="str">
        <f t="shared" ref="B132:D132" si="1224">IFERROR(O287+($A132*-E132),"")</f>
        <v/>
      </c>
      <c r="C132" s="582" t="str">
        <f t="shared" si="1224"/>
        <v/>
      </c>
      <c r="D132" s="583" t="str">
        <f t="shared" si="1224"/>
        <v/>
      </c>
      <c r="E132" s="588" t="str">
        <f t="shared" ref="E132:K132" si="1225">R287</f>
        <v/>
      </c>
      <c r="F132" s="582" t="str">
        <f t="shared" si="1225"/>
        <v/>
      </c>
      <c r="G132" s="586" t="str">
        <f t="shared" si="1225"/>
        <v/>
      </c>
      <c r="H132" s="588" t="str">
        <f t="shared" si="1225"/>
        <v/>
      </c>
      <c r="I132" s="582" t="str">
        <f t="shared" si="1225"/>
        <v/>
      </c>
      <c r="J132" s="491" t="str">
        <f t="shared" si="728"/>
        <v/>
      </c>
      <c r="K132" s="807" t="str">
        <f t="shared" si="1225"/>
        <v/>
      </c>
      <c r="L132" s="309"/>
      <c r="M132" s="492" t="str">
        <f t="shared" si="920"/>
        <v/>
      </c>
      <c r="N132" s="581" t="str">
        <f t="shared" si="921"/>
        <v/>
      </c>
      <c r="O132" s="582" t="str">
        <f t="shared" si="922"/>
        <v/>
      </c>
      <c r="P132" s="583" t="str">
        <f t="shared" si="923"/>
        <v/>
      </c>
      <c r="Q132" s="536" t="str">
        <f t="shared" si="1079"/>
        <v/>
      </c>
      <c r="R132" s="582" t="str">
        <f t="shared" si="1080"/>
        <v/>
      </c>
      <c r="S132" s="584" t="str">
        <f t="shared" si="1081"/>
        <v/>
      </c>
      <c r="T132" s="585" t="str">
        <f t="shared" si="1082"/>
        <v/>
      </c>
      <c r="U132" s="582" t="str">
        <f t="shared" si="1083"/>
        <v/>
      </c>
      <c r="V132" s="586" t="str">
        <f t="shared" si="1084"/>
        <v/>
      </c>
      <c r="W132" s="536" t="str">
        <f t="shared" si="1085"/>
        <v/>
      </c>
      <c r="X132" s="582" t="str">
        <f t="shared" si="1086"/>
        <v/>
      </c>
      <c r="Y132" s="587" t="str">
        <f t="shared" si="1087"/>
        <v/>
      </c>
      <c r="Z132" s="581" t="str">
        <f t="shared" si="924"/>
        <v/>
      </c>
      <c r="AA132" s="582" t="str">
        <f t="shared" si="925"/>
        <v/>
      </c>
      <c r="AB132" s="582" t="str">
        <f t="shared" si="926"/>
        <v/>
      </c>
      <c r="AC132" s="586" t="str">
        <f t="shared" si="1088"/>
        <v/>
      </c>
      <c r="AD132" s="588" t="str">
        <f t="shared" si="1089"/>
        <v/>
      </c>
      <c r="AE132" s="582" t="str">
        <f t="shared" si="1090"/>
        <v/>
      </c>
      <c r="AF132" s="583" t="str">
        <f t="shared" si="1091"/>
        <v/>
      </c>
      <c r="AG132" s="547" t="str">
        <f t="shared" si="1092"/>
        <v/>
      </c>
      <c r="AH132" s="548" t="str">
        <f t="shared" si="1093"/>
        <v/>
      </c>
      <c r="AI132" s="536" t="str">
        <f t="shared" si="1094"/>
        <v/>
      </c>
      <c r="AJ132" s="537" t="str">
        <f t="shared" si="1095"/>
        <v/>
      </c>
      <c r="AK132" s="585" t="str">
        <f t="shared" si="1096"/>
        <v/>
      </c>
      <c r="AL132" s="582" t="str">
        <f t="shared" si="1097"/>
        <v/>
      </c>
      <c r="AM132" s="584" t="str">
        <f t="shared" si="1098"/>
        <v/>
      </c>
      <c r="AN132" s="534" t="str">
        <f t="shared" si="1099"/>
        <v/>
      </c>
      <c r="AO132" s="535" t="str">
        <f t="shared" si="1058"/>
        <v/>
      </c>
      <c r="AP132" s="536" t="str">
        <f t="shared" si="1100"/>
        <v/>
      </c>
      <c r="AQ132" s="537" t="str">
        <f t="shared" si="927"/>
        <v/>
      </c>
      <c r="AS132" s="955" t="str">
        <f t="shared" si="1029"/>
        <v/>
      </c>
      <c r="AT132" s="951" t="str">
        <f t="shared" si="928"/>
        <v/>
      </c>
      <c r="AU132" s="418"/>
      <c r="AV132" s="164" t="str">
        <f t="shared" si="929"/>
        <v/>
      </c>
      <c r="AW132" s="832" t="str">
        <f>IFERROR(INDEX(MassProp!C$9:C$150,MATCH($M132,MassProp!$B$9:$B$150,0)),"")</f>
        <v/>
      </c>
      <c r="AX132" s="833" t="str">
        <f>IFERROR(INDEX(MassProp!D$9:D$150,MATCH($M132,MassProp!$B$9:$B$150,0)),"")</f>
        <v/>
      </c>
      <c r="AY132" s="834" t="str">
        <f>IFERROR(INDEX(MassProp!E$9:E$150,MATCH($M132,MassProp!$B$9:$B$150,0)),"")</f>
        <v/>
      </c>
      <c r="AZ132" s="297" t="str">
        <f t="shared" si="1101"/>
        <v/>
      </c>
      <c r="BA132" s="505" t="str">
        <f t="shared" si="1102"/>
        <v/>
      </c>
      <c r="BB132" s="506" t="str">
        <f t="shared" si="730"/>
        <v/>
      </c>
      <c r="BC132" s="496"/>
      <c r="BD132" s="494" t="str">
        <f t="shared" si="1103"/>
        <v/>
      </c>
      <c r="BE132" s="497" t="str">
        <f t="shared" si="931"/>
        <v/>
      </c>
      <c r="BF132" s="498" t="str">
        <f t="shared" si="932"/>
        <v/>
      </c>
      <c r="BG132" s="494" t="str">
        <f t="shared" si="933"/>
        <v/>
      </c>
      <c r="BH132" s="495" t="str">
        <f t="shared" si="934"/>
        <v/>
      </c>
      <c r="BI132" s="496" t="str">
        <f t="shared" si="1104"/>
        <v/>
      </c>
      <c r="BJ132" s="494" t="str">
        <f t="shared" si="935"/>
        <v/>
      </c>
      <c r="BK132" s="499" t="str">
        <f t="shared" si="936"/>
        <v/>
      </c>
      <c r="BL132" s="502" t="str">
        <f t="shared" si="937"/>
        <v/>
      </c>
      <c r="BM132" s="494" t="str">
        <f t="shared" si="938"/>
        <v/>
      </c>
      <c r="BN132" s="497" t="str">
        <f t="shared" si="939"/>
        <v/>
      </c>
      <c r="BO132" s="498" t="str">
        <f t="shared" si="1105"/>
        <v/>
      </c>
      <c r="BP132" s="494" t="str">
        <f t="shared" si="1106"/>
        <v/>
      </c>
      <c r="BQ132" s="494" t="str">
        <f t="shared" si="1107"/>
        <v/>
      </c>
      <c r="BR132" s="497" t="str">
        <f t="shared" si="1108"/>
        <v/>
      </c>
      <c r="BS132" s="498" t="str">
        <f t="shared" si="1024"/>
        <v/>
      </c>
      <c r="BT132" s="494" t="str">
        <f t="shared" si="1024"/>
        <v/>
      </c>
      <c r="BU132" s="495" t="str">
        <f t="shared" si="733"/>
        <v/>
      </c>
      <c r="BV132" s="496" t="str">
        <f t="shared" si="734"/>
        <v/>
      </c>
      <c r="BW132" s="494" t="str">
        <f t="shared" si="735"/>
        <v/>
      </c>
      <c r="BX132" s="499" t="str">
        <f t="shared" si="736"/>
        <v/>
      </c>
      <c r="BY132" s="502" t="str">
        <f t="shared" si="737"/>
        <v/>
      </c>
      <c r="BZ132" s="494" t="str">
        <f t="shared" si="738"/>
        <v/>
      </c>
      <c r="CA132" s="497" t="str">
        <f t="shared" si="739"/>
        <v/>
      </c>
      <c r="CB132" s="498" t="str">
        <f t="shared" si="1109"/>
        <v/>
      </c>
      <c r="CC132" s="494" t="str">
        <f t="shared" si="1110"/>
        <v/>
      </c>
      <c r="CD132" s="494" t="str">
        <f t="shared" si="1111"/>
        <v/>
      </c>
      <c r="CE132" s="497" t="str">
        <f t="shared" si="1112"/>
        <v/>
      </c>
      <c r="CF132" s="498" t="str">
        <f t="shared" si="1113"/>
        <v/>
      </c>
      <c r="CG132" s="494" t="str">
        <f t="shared" si="1114"/>
        <v/>
      </c>
      <c r="CH132" s="494" t="str">
        <f t="shared" si="1115"/>
        <v/>
      </c>
      <c r="CI132" s="498" t="str">
        <f t="shared" si="740"/>
        <v/>
      </c>
      <c r="CJ132" s="494" t="str">
        <f t="shared" si="1116"/>
        <v/>
      </c>
      <c r="CK132" s="499" t="str">
        <f t="shared" si="1117"/>
        <v/>
      </c>
      <c r="CL132" s="502" t="str">
        <f t="shared" si="1118"/>
        <v/>
      </c>
      <c r="CM132" s="494" t="str">
        <f t="shared" si="1119"/>
        <v/>
      </c>
      <c r="CN132" s="497" t="str">
        <f t="shared" si="1120"/>
        <v/>
      </c>
      <c r="CO132" s="507" t="str">
        <f t="shared" si="940"/>
        <v/>
      </c>
      <c r="CP132" s="498" t="str">
        <f t="shared" si="1121"/>
        <v/>
      </c>
      <c r="CQ132" s="494" t="str">
        <f t="shared" si="1122"/>
        <v/>
      </c>
      <c r="CR132" s="494" t="str">
        <f t="shared" si="1123"/>
        <v/>
      </c>
      <c r="CS132" s="499" t="str">
        <f t="shared" si="1124"/>
        <v/>
      </c>
      <c r="CT132" s="496" t="str">
        <f t="shared" si="1125"/>
        <v/>
      </c>
      <c r="CU132" s="497" t="str">
        <f t="shared" si="1126"/>
        <v/>
      </c>
      <c r="CV132" s="498" t="str">
        <f t="shared" si="1127"/>
        <v/>
      </c>
      <c r="CW132" s="494" t="str">
        <f t="shared" si="1128"/>
        <v/>
      </c>
      <c r="CX132" s="499" t="str">
        <f t="shared" si="1129"/>
        <v/>
      </c>
      <c r="CY132" s="496" t="str">
        <f t="shared" si="1130"/>
        <v/>
      </c>
      <c r="CZ132" s="494" t="str">
        <f t="shared" si="1131"/>
        <v/>
      </c>
      <c r="DA132" s="497" t="str">
        <f t="shared" si="1132"/>
        <v/>
      </c>
      <c r="DB132" s="498" t="str">
        <f t="shared" si="1030"/>
        <v/>
      </c>
      <c r="DC132" s="494" t="str">
        <f t="shared" si="1030"/>
        <v/>
      </c>
      <c r="DD132" s="495" t="str">
        <f t="shared" si="782"/>
        <v/>
      </c>
      <c r="DE132" s="496" t="str">
        <f t="shared" si="1031"/>
        <v/>
      </c>
      <c r="DF132" s="494" t="str">
        <f t="shared" si="1031"/>
        <v/>
      </c>
      <c r="DG132" s="495" t="str">
        <f t="shared" si="784"/>
        <v/>
      </c>
      <c r="DH132" s="501" t="str">
        <f t="shared" si="1133"/>
        <v/>
      </c>
      <c r="DI132" s="498" t="str">
        <f t="shared" si="1134"/>
        <v/>
      </c>
      <c r="DJ132" s="494" t="str">
        <f t="shared" si="1135"/>
        <v/>
      </c>
      <c r="DK132" s="495" t="str">
        <f t="shared" si="1136"/>
        <v/>
      </c>
      <c r="DL132" s="496" t="str">
        <f t="shared" si="1137"/>
        <v/>
      </c>
      <c r="DM132" s="502" t="str">
        <f t="shared" si="1138"/>
        <v/>
      </c>
      <c r="DN132" s="508" t="str">
        <f t="shared" si="1139"/>
        <v/>
      </c>
      <c r="DO132" s="496" t="str">
        <f t="shared" si="1140"/>
        <v/>
      </c>
      <c r="DP132" s="502" t="str">
        <f t="shared" si="1141"/>
        <v/>
      </c>
      <c r="DQ132" s="503" t="str">
        <f t="shared" si="1142"/>
        <v/>
      </c>
      <c r="DR132" s="502" t="str">
        <f t="shared" si="1143"/>
        <v/>
      </c>
      <c r="DS132" s="494" t="str">
        <f t="shared" si="1144"/>
        <v/>
      </c>
      <c r="DT132" s="494" t="str">
        <f t="shared" si="1145"/>
        <v/>
      </c>
      <c r="DU132" s="494" t="str">
        <f t="shared" si="1146"/>
        <v/>
      </c>
      <c r="DV132" s="494" t="str">
        <f t="shared" si="1147"/>
        <v/>
      </c>
      <c r="DW132" s="494" t="str">
        <f t="shared" si="1148"/>
        <v/>
      </c>
      <c r="DX132" s="507" t="str">
        <f t="shared" si="1149"/>
        <v/>
      </c>
      <c r="DY132" s="496" t="str">
        <f t="shared" si="1150"/>
        <v/>
      </c>
      <c r="DZ132" s="494" t="str">
        <f t="shared" si="1151"/>
        <v/>
      </c>
      <c r="EA132" s="495" t="str">
        <f t="shared" si="1152"/>
        <v/>
      </c>
      <c r="EB132" s="497" t="str">
        <f t="shared" si="1153"/>
        <v/>
      </c>
      <c r="EC132" s="502" t="str">
        <f t="shared" si="1154"/>
        <v/>
      </c>
      <c r="ED132" s="494" t="str">
        <f t="shared" si="1155"/>
        <v/>
      </c>
      <c r="EE132" s="498" t="str">
        <f t="shared" si="1156"/>
        <v/>
      </c>
      <c r="EF132" s="494" t="str">
        <f t="shared" si="1157"/>
        <v/>
      </c>
      <c r="EG132" s="495" t="str">
        <f t="shared" si="1158"/>
        <v/>
      </c>
      <c r="EH132" s="496" t="str">
        <f t="shared" si="1159"/>
        <v/>
      </c>
      <c r="EI132" s="494" t="str">
        <f t="shared" si="1160"/>
        <v/>
      </c>
      <c r="EJ132" s="497" t="str">
        <f t="shared" si="1161"/>
        <v/>
      </c>
      <c r="EK132" s="509" t="str">
        <f t="shared" si="814"/>
        <v/>
      </c>
      <c r="EL132" s="510" t="str">
        <f t="shared" si="815"/>
        <v/>
      </c>
      <c r="EM132" s="498" t="str">
        <f t="shared" si="1162"/>
        <v/>
      </c>
      <c r="EN132" s="494" t="str">
        <f t="shared" si="1163"/>
        <v/>
      </c>
      <c r="EO132" s="495" t="str">
        <f t="shared" si="1164"/>
        <v/>
      </c>
      <c r="EP132" s="496" t="str">
        <f t="shared" si="1165"/>
        <v/>
      </c>
      <c r="EQ132" s="494" t="str">
        <f t="shared" si="1166"/>
        <v/>
      </c>
      <c r="ER132" s="500" t="str">
        <f t="shared" si="1167"/>
        <v/>
      </c>
      <c r="ES132" s="493" t="str">
        <f t="shared" si="941"/>
        <v/>
      </c>
      <c r="ET132" s="494" t="str">
        <f t="shared" si="942"/>
        <v/>
      </c>
      <c r="EU132" s="495" t="str">
        <f t="shared" si="943"/>
        <v/>
      </c>
      <c r="EV132" s="174" t="str">
        <f t="shared" si="1168"/>
        <v/>
      </c>
      <c r="EW132" s="496" t="str">
        <f t="shared" si="1169"/>
        <v/>
      </c>
      <c r="EX132" s="494" t="str">
        <f t="shared" si="1170"/>
        <v/>
      </c>
      <c r="EY132" s="497" t="str">
        <f t="shared" si="1171"/>
        <v/>
      </c>
      <c r="EZ132" s="504" t="str">
        <f t="shared" si="823"/>
        <v/>
      </c>
      <c r="FA132" s="502" t="str">
        <f t="shared" si="947"/>
        <v/>
      </c>
      <c r="FB132" s="494" t="str">
        <f t="shared" si="948"/>
        <v/>
      </c>
      <c r="FC132" s="497" t="str">
        <f t="shared" si="949"/>
        <v/>
      </c>
      <c r="FD132" s="498" t="str">
        <f t="shared" si="1172"/>
        <v/>
      </c>
      <c r="FE132" s="494" t="str">
        <f t="shared" si="1173"/>
        <v/>
      </c>
      <c r="FF132" s="500" t="str">
        <f t="shared" si="1174"/>
        <v/>
      </c>
      <c r="FG132" s="173" t="str">
        <f t="shared" si="1175"/>
        <v/>
      </c>
      <c r="FH132" s="5" t="str">
        <f t="shared" si="1176"/>
        <v/>
      </c>
      <c r="FI132" s="10" t="str">
        <f t="shared" si="1177"/>
        <v/>
      </c>
      <c r="FJ132" s="279" t="str">
        <f t="shared" si="1178"/>
        <v/>
      </c>
      <c r="FK132" s="4" t="str">
        <f t="shared" si="1179"/>
        <v/>
      </c>
      <c r="FL132" s="5" t="str">
        <f t="shared" si="1180"/>
        <v/>
      </c>
      <c r="FM132" s="8" t="str">
        <f t="shared" si="1181"/>
        <v/>
      </c>
      <c r="FN132" s="9" t="str">
        <f t="shared" si="1182"/>
        <v/>
      </c>
      <c r="FO132" s="10" t="str">
        <f t="shared" si="1183"/>
        <v/>
      </c>
      <c r="FP132" s="277" t="str">
        <f t="shared" si="1184"/>
        <v/>
      </c>
      <c r="FQ132" s="173" t="str">
        <f t="shared" si="1185"/>
        <v/>
      </c>
      <c r="FR132" s="10" t="str">
        <f t="shared" si="1186"/>
        <v/>
      </c>
      <c r="FS132" s="9" t="str">
        <f t="shared" si="1187"/>
        <v/>
      </c>
      <c r="FT132" s="6" t="str">
        <f t="shared" si="1188"/>
        <v/>
      </c>
      <c r="FU132" s="4" t="str">
        <f t="shared" si="1189"/>
        <v/>
      </c>
      <c r="FV132" s="5" t="str">
        <f t="shared" si="1190"/>
        <v/>
      </c>
      <c r="FW132" s="8" t="str">
        <f t="shared" si="1191"/>
        <v/>
      </c>
      <c r="FX132" s="9" t="str">
        <f t="shared" si="1192"/>
        <v/>
      </c>
      <c r="FY132" s="10" t="str">
        <f t="shared" si="1193"/>
        <v/>
      </c>
      <c r="FZ132" s="277" t="str">
        <f t="shared" si="1194"/>
        <v/>
      </c>
      <c r="GA132" s="177" t="str">
        <f t="shared" si="1195"/>
        <v/>
      </c>
      <c r="GB132" s="4" t="str">
        <f t="shared" si="1196"/>
        <v/>
      </c>
      <c r="GC132" s="5" t="str">
        <f t="shared" si="1197"/>
        <v/>
      </c>
      <c r="GD132" s="10" t="str">
        <f t="shared" si="1198"/>
        <v/>
      </c>
      <c r="GE132" s="311" t="str">
        <f t="shared" si="1199"/>
        <v/>
      </c>
      <c r="GF132" s="341" t="str">
        <f t="shared" si="1200"/>
        <v/>
      </c>
      <c r="GG132" s="306" t="str">
        <f t="shared" si="1201"/>
        <v/>
      </c>
      <c r="GH132" s="307" t="str">
        <f t="shared" si="1202"/>
        <v/>
      </c>
      <c r="GI132" s="308" t="str">
        <f t="shared" si="1203"/>
        <v/>
      </c>
      <c r="GJ132" s="167" t="str">
        <f t="shared" si="1204"/>
        <v/>
      </c>
      <c r="GK132" s="174" t="str">
        <f t="shared" si="961"/>
        <v/>
      </c>
      <c r="GL132" s="174" t="str">
        <f t="shared" si="1205"/>
        <v/>
      </c>
      <c r="GM132" s="177" t="str">
        <f t="shared" si="1206"/>
        <v/>
      </c>
      <c r="GN132" s="280" t="str">
        <f t="shared" si="1207"/>
        <v/>
      </c>
      <c r="GO132" s="4" t="str">
        <f t="shared" si="1208"/>
        <v/>
      </c>
      <c r="GP132" s="8" t="str">
        <f t="shared" si="1209"/>
        <v/>
      </c>
      <c r="GQ132" s="177" t="str">
        <f t="shared" si="1210"/>
        <v/>
      </c>
      <c r="GR132" s="371" t="str">
        <f t="shared" si="1211"/>
        <v/>
      </c>
      <c r="GS132" s="342" t="str">
        <f t="shared" si="1212"/>
        <v/>
      </c>
      <c r="GT132" s="343" t="str">
        <f t="shared" si="1213"/>
        <v/>
      </c>
      <c r="GU132" s="344" t="str">
        <f t="shared" si="964"/>
        <v/>
      </c>
      <c r="GV132" s="343" t="str">
        <f t="shared" si="1214"/>
        <v/>
      </c>
      <c r="GW132" s="345" t="str">
        <f t="shared" si="965"/>
        <v/>
      </c>
      <c r="GX132" s="346" t="str">
        <f t="shared" si="966"/>
        <v/>
      </c>
      <c r="GY132" s="344" t="str">
        <f t="shared" si="1215"/>
        <v/>
      </c>
      <c r="GZ132" s="345" t="str">
        <f t="shared" si="1216"/>
        <v/>
      </c>
      <c r="HA132" s="342" t="str">
        <f t="shared" si="969"/>
        <v/>
      </c>
      <c r="HB132" s="5" t="str">
        <f t="shared" si="850"/>
        <v/>
      </c>
      <c r="HC132" s="343" t="str">
        <f t="shared" si="1217"/>
        <v/>
      </c>
      <c r="HD132" s="363" t="str">
        <f t="shared" si="1218"/>
        <v/>
      </c>
      <c r="HE132" s="344" t="str">
        <f t="shared" si="970"/>
        <v/>
      </c>
      <c r="HF132" s="5" t="str">
        <f t="shared" si="971"/>
        <v/>
      </c>
      <c r="HG132" s="343" t="str">
        <f t="shared" si="1219"/>
        <v/>
      </c>
      <c r="HH132" s="349" t="str">
        <f t="shared" si="1220"/>
        <v/>
      </c>
      <c r="HI132" s="317" t="str">
        <f t="shared" si="972"/>
        <v/>
      </c>
      <c r="HK132" s="310" t="str">
        <f t="shared" si="1025"/>
        <v/>
      </c>
      <c r="HL132" s="348" t="str">
        <f t="shared" si="973"/>
        <v/>
      </c>
      <c r="HM132" s="923" t="str">
        <f t="shared" si="974"/>
        <v/>
      </c>
      <c r="HN132" s="924" t="str">
        <f t="shared" si="975"/>
        <v/>
      </c>
      <c r="HO132" s="925"/>
      <c r="HP132" s="926"/>
      <c r="HQ132" s="924" t="str">
        <f t="shared" si="976"/>
        <v/>
      </c>
      <c r="HR132" s="927" t="str">
        <f t="shared" si="977"/>
        <v/>
      </c>
      <c r="HS132" s="879" t="str">
        <f t="shared" si="1221"/>
        <v/>
      </c>
      <c r="HT132" s="889" t="str">
        <f t="shared" si="978"/>
        <v/>
      </c>
      <c r="HU132" s="890" t="str">
        <f t="shared" si="979"/>
        <v/>
      </c>
      <c r="HV132" s="886" t="str">
        <f t="shared" si="980"/>
        <v/>
      </c>
      <c r="HW132" s="880" t="str">
        <f t="shared" si="981"/>
        <v/>
      </c>
      <c r="HX132" s="881" t="str">
        <f t="shared" si="982"/>
        <v/>
      </c>
      <c r="HY132" s="880" t="str">
        <f t="shared" si="983"/>
        <v/>
      </c>
      <c r="HZ132" s="882" t="str">
        <f t="shared" si="984"/>
        <v/>
      </c>
      <c r="IA132" s="883" t="str">
        <f t="shared" si="985"/>
        <v/>
      </c>
      <c r="IB132" s="884" t="str">
        <f t="shared" si="986"/>
        <v/>
      </c>
      <c r="IC132" s="855" t="str">
        <f t="shared" si="987"/>
        <v/>
      </c>
      <c r="ID132" s="351" t="str">
        <f t="shared" si="988"/>
        <v/>
      </c>
      <c r="IE132" s="857" t="str">
        <f t="shared" si="989"/>
        <v/>
      </c>
      <c r="IF132" s="858"/>
      <c r="IG132" s="790" t="str">
        <f>IFERROR(IF($IW132="","",IF($IW132&lt;(((Settings!$C$19/2)*-1)*$IG$8),"Taper","Nose")),"")</f>
        <v/>
      </c>
      <c r="IH132" s="482" t="str">
        <f>IFERROR(IF((((($IY132*COS(RADIANS(180-$JA132)))*COS(RADIANS($JA132)))-(($IZ132*SIN(RADIANS(180-$JA132)))*SIN(RADIANS($JA132))))+$IW132)&lt;(((Settings!$C$19+$IH$8)/2)*-1),"Gage",""),"")</f>
        <v/>
      </c>
      <c r="II132" s="788" t="str">
        <f t="shared" si="855"/>
        <v/>
      </c>
      <c r="IJ132" s="674" t="str" cm="1">
        <f t="array" ref="IJ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K132" s="677" t="str" cm="1">
        <f t="array" ref="IK132">IFERROR(ROUND(VALUE(IF($IJ132&lt;1,$IJ132+LARGE((IF($M$9:$M$150="",0,$M$9:$M$150)-MOD(IF($M$9:$M$150="",0,$M$9:$M$150),1)),1),$IJ132)),4),"")</f>
        <v/>
      </c>
      <c r="IL132" s="482" t="str">
        <f t="shared" si="990"/>
        <v/>
      </c>
      <c r="IM132" s="482" t="str">
        <f t="shared" si="856"/>
        <v/>
      </c>
      <c r="IN132" s="670" t="str">
        <f t="shared" si="991"/>
        <v/>
      </c>
      <c r="IO132" s="702"/>
      <c r="IP132" s="5" t="str">
        <f t="shared" si="992"/>
        <v/>
      </c>
      <c r="IQ132" s="714"/>
      <c r="IR132" s="9" t="str">
        <f t="shared" si="993"/>
        <v/>
      </c>
      <c r="IS132" s="5" t="str">
        <f t="shared" si="994"/>
        <v/>
      </c>
      <c r="IT132" s="5" t="str">
        <f t="shared" si="995"/>
        <v/>
      </c>
      <c r="IU132" s="5" t="str">
        <f t="shared" si="996"/>
        <v/>
      </c>
      <c r="IV132" s="670" t="str">
        <f t="shared" si="997"/>
        <v/>
      </c>
      <c r="IW132" s="9" t="str">
        <f t="shared" si="998"/>
        <v/>
      </c>
      <c r="IX132" s="5" t="str">
        <f t="shared" si="999"/>
        <v/>
      </c>
      <c r="IY132" s="5" t="str">
        <f t="shared" si="1000"/>
        <v/>
      </c>
      <c r="IZ132" s="5" t="str">
        <f t="shared" si="1001"/>
        <v/>
      </c>
      <c r="JA132" s="705" t="str">
        <f t="shared" si="1002"/>
        <v/>
      </c>
      <c r="JN132" s="960"/>
      <c r="JO132" s="162"/>
      <c r="JP132" s="961"/>
      <c r="JQ132" s="961"/>
    </row>
    <row r="133" spans="1:277" ht="15" customHeight="1" x14ac:dyDescent="0.25">
      <c r="A133" s="75" t="str">
        <f t="shared" si="917"/>
        <v/>
      </c>
      <c r="B133" s="585" t="str">
        <f t="shared" ref="B133:D133" si="1226">IFERROR(O288+($A133*-E133),"")</f>
        <v/>
      </c>
      <c r="C133" s="582" t="str">
        <f t="shared" si="1226"/>
        <v/>
      </c>
      <c r="D133" s="583" t="str">
        <f t="shared" si="1226"/>
        <v/>
      </c>
      <c r="E133" s="588" t="str">
        <f t="shared" ref="E133:K133" si="1227">R288</f>
        <v/>
      </c>
      <c r="F133" s="582" t="str">
        <f t="shared" si="1227"/>
        <v/>
      </c>
      <c r="G133" s="586" t="str">
        <f t="shared" si="1227"/>
        <v/>
      </c>
      <c r="H133" s="588" t="str">
        <f t="shared" si="1227"/>
        <v/>
      </c>
      <c r="I133" s="582" t="str">
        <f t="shared" si="1227"/>
        <v/>
      </c>
      <c r="J133" s="491" t="str">
        <f t="shared" si="728"/>
        <v/>
      </c>
      <c r="K133" s="807" t="str">
        <f t="shared" si="1227"/>
        <v/>
      </c>
      <c r="L133" s="309"/>
      <c r="M133" s="492" t="str">
        <f t="shared" si="920"/>
        <v/>
      </c>
      <c r="N133" s="581" t="str">
        <f t="shared" si="921"/>
        <v/>
      </c>
      <c r="O133" s="582" t="str">
        <f t="shared" si="922"/>
        <v/>
      </c>
      <c r="P133" s="583" t="str">
        <f t="shared" si="923"/>
        <v/>
      </c>
      <c r="Q133" s="536" t="str">
        <f t="shared" si="1079"/>
        <v/>
      </c>
      <c r="R133" s="582" t="str">
        <f t="shared" si="1080"/>
        <v/>
      </c>
      <c r="S133" s="584" t="str">
        <f t="shared" si="1081"/>
        <v/>
      </c>
      <c r="T133" s="585" t="str">
        <f t="shared" si="1082"/>
        <v/>
      </c>
      <c r="U133" s="582" t="str">
        <f t="shared" si="1083"/>
        <v/>
      </c>
      <c r="V133" s="586" t="str">
        <f t="shared" si="1084"/>
        <v/>
      </c>
      <c r="W133" s="536" t="str">
        <f t="shared" si="1085"/>
        <v/>
      </c>
      <c r="X133" s="582" t="str">
        <f t="shared" si="1086"/>
        <v/>
      </c>
      <c r="Y133" s="587" t="str">
        <f t="shared" si="1087"/>
        <v/>
      </c>
      <c r="Z133" s="581" t="str">
        <f t="shared" si="924"/>
        <v/>
      </c>
      <c r="AA133" s="582" t="str">
        <f t="shared" si="925"/>
        <v/>
      </c>
      <c r="AB133" s="582" t="str">
        <f t="shared" si="926"/>
        <v/>
      </c>
      <c r="AC133" s="586" t="str">
        <f t="shared" si="1088"/>
        <v/>
      </c>
      <c r="AD133" s="588" t="str">
        <f t="shared" si="1089"/>
        <v/>
      </c>
      <c r="AE133" s="582" t="str">
        <f t="shared" si="1090"/>
        <v/>
      </c>
      <c r="AF133" s="583" t="str">
        <f t="shared" si="1091"/>
        <v/>
      </c>
      <c r="AG133" s="547" t="str">
        <f t="shared" si="1092"/>
        <v/>
      </c>
      <c r="AH133" s="548" t="str">
        <f t="shared" si="1093"/>
        <v/>
      </c>
      <c r="AI133" s="536" t="str">
        <f t="shared" si="1094"/>
        <v/>
      </c>
      <c r="AJ133" s="537" t="str">
        <f t="shared" si="1095"/>
        <v/>
      </c>
      <c r="AK133" s="585" t="str">
        <f t="shared" si="1096"/>
        <v/>
      </c>
      <c r="AL133" s="582" t="str">
        <f t="shared" si="1097"/>
        <v/>
      </c>
      <c r="AM133" s="584" t="str">
        <f t="shared" si="1098"/>
        <v/>
      </c>
      <c r="AN133" s="534" t="str">
        <f t="shared" si="1099"/>
        <v/>
      </c>
      <c r="AO133" s="535" t="str">
        <f t="shared" si="1058"/>
        <v/>
      </c>
      <c r="AP133" s="536" t="str">
        <f t="shared" si="1100"/>
        <v/>
      </c>
      <c r="AQ133" s="537" t="str">
        <f t="shared" si="927"/>
        <v/>
      </c>
      <c r="AS133" s="955" t="str">
        <f t="shared" si="1029"/>
        <v/>
      </c>
      <c r="AT133" s="951" t="str">
        <f t="shared" si="928"/>
        <v/>
      </c>
      <c r="AU133" s="418"/>
      <c r="AV133" s="164" t="str">
        <f t="shared" si="929"/>
        <v/>
      </c>
      <c r="AW133" s="832" t="str">
        <f>IFERROR(INDEX(MassProp!C$9:C$150,MATCH($M133,MassProp!$B$9:$B$150,0)),"")</f>
        <v/>
      </c>
      <c r="AX133" s="833" t="str">
        <f>IFERROR(INDEX(MassProp!D$9:D$150,MATCH($M133,MassProp!$B$9:$B$150,0)),"")</f>
        <v/>
      </c>
      <c r="AY133" s="834" t="str">
        <f>IFERROR(INDEX(MassProp!E$9:E$150,MATCH($M133,MassProp!$B$9:$B$150,0)),"")</f>
        <v/>
      </c>
      <c r="AZ133" s="297" t="str">
        <f t="shared" si="1101"/>
        <v/>
      </c>
      <c r="BA133" s="505" t="str">
        <f t="shared" si="1102"/>
        <v/>
      </c>
      <c r="BB133" s="506" t="str">
        <f t="shared" si="730"/>
        <v/>
      </c>
      <c r="BC133" s="496"/>
      <c r="BD133" s="494" t="str">
        <f t="shared" si="1103"/>
        <v/>
      </c>
      <c r="BE133" s="497" t="str">
        <f t="shared" si="931"/>
        <v/>
      </c>
      <c r="BF133" s="498" t="str">
        <f t="shared" si="932"/>
        <v/>
      </c>
      <c r="BG133" s="494" t="str">
        <f t="shared" si="933"/>
        <v/>
      </c>
      <c r="BH133" s="495" t="str">
        <f t="shared" si="934"/>
        <v/>
      </c>
      <c r="BI133" s="496" t="str">
        <f t="shared" si="1104"/>
        <v/>
      </c>
      <c r="BJ133" s="494" t="str">
        <f t="shared" si="935"/>
        <v/>
      </c>
      <c r="BK133" s="499" t="str">
        <f t="shared" si="936"/>
        <v/>
      </c>
      <c r="BL133" s="502" t="str">
        <f t="shared" si="937"/>
        <v/>
      </c>
      <c r="BM133" s="494" t="str">
        <f t="shared" si="938"/>
        <v/>
      </c>
      <c r="BN133" s="497" t="str">
        <f t="shared" si="939"/>
        <v/>
      </c>
      <c r="BO133" s="498" t="str">
        <f t="shared" si="1105"/>
        <v/>
      </c>
      <c r="BP133" s="494" t="str">
        <f t="shared" si="1106"/>
        <v/>
      </c>
      <c r="BQ133" s="494" t="str">
        <f t="shared" si="1107"/>
        <v/>
      </c>
      <c r="BR133" s="497" t="str">
        <f t="shared" si="1108"/>
        <v/>
      </c>
      <c r="BS133" s="498" t="str">
        <f t="shared" si="1024"/>
        <v/>
      </c>
      <c r="BT133" s="494" t="str">
        <f t="shared" si="1024"/>
        <v/>
      </c>
      <c r="BU133" s="495" t="str">
        <f t="shared" si="733"/>
        <v/>
      </c>
      <c r="BV133" s="496" t="str">
        <f t="shared" si="734"/>
        <v/>
      </c>
      <c r="BW133" s="494" t="str">
        <f t="shared" si="735"/>
        <v/>
      </c>
      <c r="BX133" s="499" t="str">
        <f t="shared" si="736"/>
        <v/>
      </c>
      <c r="BY133" s="502" t="str">
        <f t="shared" si="737"/>
        <v/>
      </c>
      <c r="BZ133" s="494" t="str">
        <f t="shared" si="738"/>
        <v/>
      </c>
      <c r="CA133" s="497" t="str">
        <f t="shared" si="739"/>
        <v/>
      </c>
      <c r="CB133" s="498" t="str">
        <f t="shared" si="1109"/>
        <v/>
      </c>
      <c r="CC133" s="494" t="str">
        <f t="shared" si="1110"/>
        <v/>
      </c>
      <c r="CD133" s="494" t="str">
        <f t="shared" si="1111"/>
        <v/>
      </c>
      <c r="CE133" s="497" t="str">
        <f t="shared" si="1112"/>
        <v/>
      </c>
      <c r="CF133" s="498" t="str">
        <f t="shared" si="1113"/>
        <v/>
      </c>
      <c r="CG133" s="494" t="str">
        <f t="shared" si="1114"/>
        <v/>
      </c>
      <c r="CH133" s="494" t="str">
        <f t="shared" si="1115"/>
        <v/>
      </c>
      <c r="CI133" s="498" t="str">
        <f t="shared" si="740"/>
        <v/>
      </c>
      <c r="CJ133" s="494" t="str">
        <f t="shared" si="1116"/>
        <v/>
      </c>
      <c r="CK133" s="499" t="str">
        <f t="shared" si="1117"/>
        <v/>
      </c>
      <c r="CL133" s="502" t="str">
        <f t="shared" si="1118"/>
        <v/>
      </c>
      <c r="CM133" s="494" t="str">
        <f t="shared" si="1119"/>
        <v/>
      </c>
      <c r="CN133" s="497" t="str">
        <f t="shared" si="1120"/>
        <v/>
      </c>
      <c r="CO133" s="507" t="str">
        <f t="shared" si="940"/>
        <v/>
      </c>
      <c r="CP133" s="498" t="str">
        <f t="shared" si="1121"/>
        <v/>
      </c>
      <c r="CQ133" s="494" t="str">
        <f t="shared" si="1122"/>
        <v/>
      </c>
      <c r="CR133" s="494" t="str">
        <f t="shared" si="1123"/>
        <v/>
      </c>
      <c r="CS133" s="499" t="str">
        <f t="shared" si="1124"/>
        <v/>
      </c>
      <c r="CT133" s="496" t="str">
        <f t="shared" si="1125"/>
        <v/>
      </c>
      <c r="CU133" s="497" t="str">
        <f t="shared" si="1126"/>
        <v/>
      </c>
      <c r="CV133" s="498" t="str">
        <f t="shared" si="1127"/>
        <v/>
      </c>
      <c r="CW133" s="494" t="str">
        <f t="shared" si="1128"/>
        <v/>
      </c>
      <c r="CX133" s="499" t="str">
        <f t="shared" si="1129"/>
        <v/>
      </c>
      <c r="CY133" s="496" t="str">
        <f t="shared" si="1130"/>
        <v/>
      </c>
      <c r="CZ133" s="494" t="str">
        <f t="shared" si="1131"/>
        <v/>
      </c>
      <c r="DA133" s="497" t="str">
        <f t="shared" si="1132"/>
        <v/>
      </c>
      <c r="DB133" s="498" t="str">
        <f t="shared" si="1030"/>
        <v/>
      </c>
      <c r="DC133" s="494" t="str">
        <f t="shared" si="1030"/>
        <v/>
      </c>
      <c r="DD133" s="495" t="str">
        <f t="shared" si="782"/>
        <v/>
      </c>
      <c r="DE133" s="496" t="str">
        <f t="shared" si="1031"/>
        <v/>
      </c>
      <c r="DF133" s="494" t="str">
        <f t="shared" si="1031"/>
        <v/>
      </c>
      <c r="DG133" s="495" t="str">
        <f t="shared" si="784"/>
        <v/>
      </c>
      <c r="DH133" s="501" t="str">
        <f t="shared" si="1133"/>
        <v/>
      </c>
      <c r="DI133" s="498" t="str">
        <f t="shared" si="1134"/>
        <v/>
      </c>
      <c r="DJ133" s="494" t="str">
        <f t="shared" si="1135"/>
        <v/>
      </c>
      <c r="DK133" s="495" t="str">
        <f t="shared" si="1136"/>
        <v/>
      </c>
      <c r="DL133" s="496" t="str">
        <f t="shared" si="1137"/>
        <v/>
      </c>
      <c r="DM133" s="502" t="str">
        <f t="shared" si="1138"/>
        <v/>
      </c>
      <c r="DN133" s="508" t="str">
        <f t="shared" si="1139"/>
        <v/>
      </c>
      <c r="DO133" s="496" t="str">
        <f t="shared" si="1140"/>
        <v/>
      </c>
      <c r="DP133" s="502" t="str">
        <f t="shared" si="1141"/>
        <v/>
      </c>
      <c r="DQ133" s="503" t="str">
        <f t="shared" si="1142"/>
        <v/>
      </c>
      <c r="DR133" s="502" t="str">
        <f t="shared" si="1143"/>
        <v/>
      </c>
      <c r="DS133" s="494" t="str">
        <f t="shared" si="1144"/>
        <v/>
      </c>
      <c r="DT133" s="494" t="str">
        <f t="shared" si="1145"/>
        <v/>
      </c>
      <c r="DU133" s="494" t="str">
        <f t="shared" si="1146"/>
        <v/>
      </c>
      <c r="DV133" s="494" t="str">
        <f t="shared" si="1147"/>
        <v/>
      </c>
      <c r="DW133" s="494" t="str">
        <f t="shared" si="1148"/>
        <v/>
      </c>
      <c r="DX133" s="507" t="str">
        <f t="shared" si="1149"/>
        <v/>
      </c>
      <c r="DY133" s="496" t="str">
        <f t="shared" si="1150"/>
        <v/>
      </c>
      <c r="DZ133" s="494" t="str">
        <f t="shared" si="1151"/>
        <v/>
      </c>
      <c r="EA133" s="495" t="str">
        <f t="shared" si="1152"/>
        <v/>
      </c>
      <c r="EB133" s="497" t="str">
        <f t="shared" si="1153"/>
        <v/>
      </c>
      <c r="EC133" s="502" t="str">
        <f t="shared" si="1154"/>
        <v/>
      </c>
      <c r="ED133" s="494" t="str">
        <f t="shared" si="1155"/>
        <v/>
      </c>
      <c r="EE133" s="498" t="str">
        <f t="shared" si="1156"/>
        <v/>
      </c>
      <c r="EF133" s="494" t="str">
        <f t="shared" si="1157"/>
        <v/>
      </c>
      <c r="EG133" s="495" t="str">
        <f t="shared" si="1158"/>
        <v/>
      </c>
      <c r="EH133" s="496" t="str">
        <f t="shared" si="1159"/>
        <v/>
      </c>
      <c r="EI133" s="494" t="str">
        <f t="shared" si="1160"/>
        <v/>
      </c>
      <c r="EJ133" s="497" t="str">
        <f t="shared" si="1161"/>
        <v/>
      </c>
      <c r="EK133" s="509" t="str">
        <f t="shared" si="814"/>
        <v/>
      </c>
      <c r="EL133" s="510" t="str">
        <f t="shared" si="815"/>
        <v/>
      </c>
      <c r="EM133" s="498" t="str">
        <f t="shared" si="1162"/>
        <v/>
      </c>
      <c r="EN133" s="494" t="str">
        <f t="shared" si="1163"/>
        <v/>
      </c>
      <c r="EO133" s="495" t="str">
        <f t="shared" si="1164"/>
        <v/>
      </c>
      <c r="EP133" s="496" t="str">
        <f t="shared" si="1165"/>
        <v/>
      </c>
      <c r="EQ133" s="494" t="str">
        <f t="shared" si="1166"/>
        <v/>
      </c>
      <c r="ER133" s="500" t="str">
        <f t="shared" si="1167"/>
        <v/>
      </c>
      <c r="ES133" s="493" t="str">
        <f t="shared" si="941"/>
        <v/>
      </c>
      <c r="ET133" s="494" t="str">
        <f t="shared" si="942"/>
        <v/>
      </c>
      <c r="EU133" s="495" t="str">
        <f t="shared" si="943"/>
        <v/>
      </c>
      <c r="EV133" s="174" t="str">
        <f t="shared" si="1168"/>
        <v/>
      </c>
      <c r="EW133" s="496" t="str">
        <f t="shared" si="1169"/>
        <v/>
      </c>
      <c r="EX133" s="494" t="str">
        <f t="shared" si="1170"/>
        <v/>
      </c>
      <c r="EY133" s="497" t="str">
        <f t="shared" si="1171"/>
        <v/>
      </c>
      <c r="EZ133" s="504" t="str">
        <f t="shared" si="823"/>
        <v/>
      </c>
      <c r="FA133" s="502" t="str">
        <f t="shared" si="947"/>
        <v/>
      </c>
      <c r="FB133" s="494" t="str">
        <f t="shared" si="948"/>
        <v/>
      </c>
      <c r="FC133" s="497" t="str">
        <f t="shared" si="949"/>
        <v/>
      </c>
      <c r="FD133" s="498" t="str">
        <f t="shared" si="1172"/>
        <v/>
      </c>
      <c r="FE133" s="494" t="str">
        <f t="shared" si="1173"/>
        <v/>
      </c>
      <c r="FF133" s="500" t="str">
        <f t="shared" si="1174"/>
        <v/>
      </c>
      <c r="FG133" s="173" t="str">
        <f t="shared" si="1175"/>
        <v/>
      </c>
      <c r="FH133" s="5" t="str">
        <f t="shared" si="1176"/>
        <v/>
      </c>
      <c r="FI133" s="10" t="str">
        <f t="shared" si="1177"/>
        <v/>
      </c>
      <c r="FJ133" s="279" t="str">
        <f t="shared" si="1178"/>
        <v/>
      </c>
      <c r="FK133" s="4" t="str">
        <f t="shared" si="1179"/>
        <v/>
      </c>
      <c r="FL133" s="5" t="str">
        <f t="shared" si="1180"/>
        <v/>
      </c>
      <c r="FM133" s="8" t="str">
        <f t="shared" si="1181"/>
        <v/>
      </c>
      <c r="FN133" s="9" t="str">
        <f t="shared" si="1182"/>
        <v/>
      </c>
      <c r="FO133" s="10" t="str">
        <f t="shared" si="1183"/>
        <v/>
      </c>
      <c r="FP133" s="277" t="str">
        <f t="shared" si="1184"/>
        <v/>
      </c>
      <c r="FQ133" s="173" t="str">
        <f t="shared" si="1185"/>
        <v/>
      </c>
      <c r="FR133" s="10" t="str">
        <f t="shared" si="1186"/>
        <v/>
      </c>
      <c r="FS133" s="9" t="str">
        <f t="shared" si="1187"/>
        <v/>
      </c>
      <c r="FT133" s="6" t="str">
        <f t="shared" si="1188"/>
        <v/>
      </c>
      <c r="FU133" s="4" t="str">
        <f t="shared" si="1189"/>
        <v/>
      </c>
      <c r="FV133" s="5" t="str">
        <f t="shared" si="1190"/>
        <v/>
      </c>
      <c r="FW133" s="8" t="str">
        <f t="shared" si="1191"/>
        <v/>
      </c>
      <c r="FX133" s="9" t="str">
        <f t="shared" si="1192"/>
        <v/>
      </c>
      <c r="FY133" s="10" t="str">
        <f t="shared" si="1193"/>
        <v/>
      </c>
      <c r="FZ133" s="277" t="str">
        <f t="shared" si="1194"/>
        <v/>
      </c>
      <c r="GA133" s="177" t="str">
        <f t="shared" si="1195"/>
        <v/>
      </c>
      <c r="GB133" s="4" t="str">
        <f t="shared" si="1196"/>
        <v/>
      </c>
      <c r="GC133" s="5" t="str">
        <f t="shared" si="1197"/>
        <v/>
      </c>
      <c r="GD133" s="10" t="str">
        <f t="shared" si="1198"/>
        <v/>
      </c>
      <c r="GE133" s="311" t="str">
        <f t="shared" si="1199"/>
        <v/>
      </c>
      <c r="GF133" s="341" t="str">
        <f t="shared" si="1200"/>
        <v/>
      </c>
      <c r="GG133" s="306" t="str">
        <f t="shared" si="1201"/>
        <v/>
      </c>
      <c r="GH133" s="307" t="str">
        <f t="shared" si="1202"/>
        <v/>
      </c>
      <c r="GI133" s="308" t="str">
        <f t="shared" si="1203"/>
        <v/>
      </c>
      <c r="GJ133" s="167" t="str">
        <f t="shared" si="1204"/>
        <v/>
      </c>
      <c r="GK133" s="174" t="str">
        <f t="shared" si="961"/>
        <v/>
      </c>
      <c r="GL133" s="174" t="str">
        <f t="shared" si="1205"/>
        <v/>
      </c>
      <c r="GM133" s="177" t="str">
        <f t="shared" si="1206"/>
        <v/>
      </c>
      <c r="GN133" s="280" t="str">
        <f t="shared" si="1207"/>
        <v/>
      </c>
      <c r="GO133" s="4" t="str">
        <f t="shared" si="1208"/>
        <v/>
      </c>
      <c r="GP133" s="8" t="str">
        <f t="shared" si="1209"/>
        <v/>
      </c>
      <c r="GQ133" s="177" t="str">
        <f t="shared" si="1210"/>
        <v/>
      </c>
      <c r="GR133" s="371" t="str">
        <f t="shared" si="1211"/>
        <v/>
      </c>
      <c r="GS133" s="342" t="str">
        <f t="shared" si="1212"/>
        <v/>
      </c>
      <c r="GT133" s="343" t="str">
        <f t="shared" si="1213"/>
        <v/>
      </c>
      <c r="GU133" s="344" t="str">
        <f t="shared" si="964"/>
        <v/>
      </c>
      <c r="GV133" s="343" t="str">
        <f t="shared" si="1214"/>
        <v/>
      </c>
      <c r="GW133" s="345" t="str">
        <f t="shared" si="965"/>
        <v/>
      </c>
      <c r="GX133" s="346" t="str">
        <f t="shared" si="966"/>
        <v/>
      </c>
      <c r="GY133" s="344" t="str">
        <f t="shared" si="1215"/>
        <v/>
      </c>
      <c r="GZ133" s="345" t="str">
        <f t="shared" si="1216"/>
        <v/>
      </c>
      <c r="HA133" s="342" t="str">
        <f t="shared" si="969"/>
        <v/>
      </c>
      <c r="HB133" s="5" t="str">
        <f t="shared" si="850"/>
        <v/>
      </c>
      <c r="HC133" s="343" t="str">
        <f t="shared" si="1217"/>
        <v/>
      </c>
      <c r="HD133" s="363" t="str">
        <f t="shared" si="1218"/>
        <v/>
      </c>
      <c r="HE133" s="344" t="str">
        <f t="shared" si="970"/>
        <v/>
      </c>
      <c r="HF133" s="5" t="str">
        <f t="shared" si="971"/>
        <v/>
      </c>
      <c r="HG133" s="343" t="str">
        <f t="shared" si="1219"/>
        <v/>
      </c>
      <c r="HH133" s="349" t="str">
        <f t="shared" si="1220"/>
        <v/>
      </c>
      <c r="HI133" s="317" t="str">
        <f t="shared" si="972"/>
        <v/>
      </c>
      <c r="HK133" s="310" t="str">
        <f t="shared" si="1025"/>
        <v/>
      </c>
      <c r="HL133" s="348" t="str">
        <f t="shared" si="973"/>
        <v/>
      </c>
      <c r="HM133" s="923" t="str">
        <f t="shared" si="974"/>
        <v/>
      </c>
      <c r="HN133" s="924" t="str">
        <f t="shared" si="975"/>
        <v/>
      </c>
      <c r="HO133" s="925"/>
      <c r="HP133" s="926"/>
      <c r="HQ133" s="924" t="str">
        <f t="shared" si="976"/>
        <v/>
      </c>
      <c r="HR133" s="927" t="str">
        <f t="shared" si="977"/>
        <v/>
      </c>
      <c r="HS133" s="879" t="str">
        <f t="shared" si="1221"/>
        <v/>
      </c>
      <c r="HT133" s="889" t="str">
        <f t="shared" si="978"/>
        <v/>
      </c>
      <c r="HU133" s="890" t="str">
        <f t="shared" si="979"/>
        <v/>
      </c>
      <c r="HV133" s="886" t="str">
        <f t="shared" si="980"/>
        <v/>
      </c>
      <c r="HW133" s="880" t="str">
        <f t="shared" si="981"/>
        <v/>
      </c>
      <c r="HX133" s="881" t="str">
        <f t="shared" si="982"/>
        <v/>
      </c>
      <c r="HY133" s="880" t="str">
        <f t="shared" si="983"/>
        <v/>
      </c>
      <c r="HZ133" s="882" t="str">
        <f t="shared" si="984"/>
        <v/>
      </c>
      <c r="IA133" s="883" t="str">
        <f t="shared" si="985"/>
        <v/>
      </c>
      <c r="IB133" s="884" t="str">
        <f t="shared" si="986"/>
        <v/>
      </c>
      <c r="IC133" s="855" t="str">
        <f t="shared" si="987"/>
        <v/>
      </c>
      <c r="ID133" s="351" t="str">
        <f t="shared" si="988"/>
        <v/>
      </c>
      <c r="IE133" s="857" t="str">
        <f t="shared" si="989"/>
        <v/>
      </c>
      <c r="IF133" s="858"/>
      <c r="IG133" s="790" t="str">
        <f>IFERROR(IF($IW133="","",IF($IW133&lt;(((Settings!$C$19/2)*-1)*$IG$8),"Taper","Nose")),"")</f>
        <v/>
      </c>
      <c r="IH133" s="482" t="str">
        <f>IFERROR(IF((((($IY133*COS(RADIANS(180-$JA133)))*COS(RADIANS($JA133)))-(($IZ133*SIN(RADIANS(180-$JA133)))*SIN(RADIANS($JA133))))+$IW133)&lt;(((Settings!$C$19+$IH$8)/2)*-1),"Gage",""),"")</f>
        <v/>
      </c>
      <c r="II133" s="788" t="str">
        <f t="shared" si="855"/>
        <v/>
      </c>
      <c r="IJ133" s="674" t="str" cm="1">
        <f t="array" ref="IJ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K133" s="677" t="str" cm="1">
        <f t="array" ref="IK133">IFERROR(ROUND(VALUE(IF($IJ133&lt;1,$IJ133+LARGE((IF($M$9:$M$150="",0,$M$9:$M$150)-MOD(IF($M$9:$M$150="",0,$M$9:$M$150),1)),1),$IJ133)),4),"")</f>
        <v/>
      </c>
      <c r="IL133" s="482" t="str">
        <f t="shared" si="990"/>
        <v/>
      </c>
      <c r="IM133" s="482" t="str">
        <f t="shared" si="856"/>
        <v/>
      </c>
      <c r="IN133" s="670" t="str">
        <f t="shared" si="991"/>
        <v/>
      </c>
      <c r="IO133" s="702"/>
      <c r="IP133" s="5" t="str">
        <f t="shared" si="992"/>
        <v/>
      </c>
      <c r="IQ133" s="714"/>
      <c r="IR133" s="9" t="str">
        <f t="shared" si="993"/>
        <v/>
      </c>
      <c r="IS133" s="5" t="str">
        <f t="shared" si="994"/>
        <v/>
      </c>
      <c r="IT133" s="5" t="str">
        <f t="shared" si="995"/>
        <v/>
      </c>
      <c r="IU133" s="5" t="str">
        <f t="shared" si="996"/>
        <v/>
      </c>
      <c r="IV133" s="670" t="str">
        <f t="shared" si="997"/>
        <v/>
      </c>
      <c r="IW133" s="9" t="str">
        <f t="shared" si="998"/>
        <v/>
      </c>
      <c r="IX133" s="5" t="str">
        <f t="shared" si="999"/>
        <v/>
      </c>
      <c r="IY133" s="5" t="str">
        <f t="shared" si="1000"/>
        <v/>
      </c>
      <c r="IZ133" s="5" t="str">
        <f t="shared" si="1001"/>
        <v/>
      </c>
      <c r="JA133" s="705" t="str">
        <f t="shared" si="1002"/>
        <v/>
      </c>
      <c r="JN133" s="960"/>
      <c r="JO133" s="162"/>
      <c r="JP133" s="961"/>
      <c r="JQ133" s="961"/>
    </row>
    <row r="134" spans="1:277" ht="15" customHeight="1" x14ac:dyDescent="0.25">
      <c r="A134" s="75" t="str">
        <f t="shared" si="917"/>
        <v/>
      </c>
      <c r="B134" s="585" t="str">
        <f t="shared" ref="B134:D134" si="1228">IFERROR(O289+($A134*-E134),"")</f>
        <v/>
      </c>
      <c r="C134" s="582" t="str">
        <f t="shared" si="1228"/>
        <v/>
      </c>
      <c r="D134" s="583" t="str">
        <f t="shared" si="1228"/>
        <v/>
      </c>
      <c r="E134" s="588" t="str">
        <f t="shared" ref="E134:K134" si="1229">R289</f>
        <v/>
      </c>
      <c r="F134" s="582" t="str">
        <f t="shared" si="1229"/>
        <v/>
      </c>
      <c r="G134" s="586" t="str">
        <f t="shared" si="1229"/>
        <v/>
      </c>
      <c r="H134" s="588" t="str">
        <f t="shared" si="1229"/>
        <v/>
      </c>
      <c r="I134" s="582" t="str">
        <f t="shared" si="1229"/>
        <v/>
      </c>
      <c r="J134" s="491" t="str">
        <f t="shared" si="728"/>
        <v/>
      </c>
      <c r="K134" s="807" t="str">
        <f t="shared" si="1229"/>
        <v/>
      </c>
      <c r="L134" s="309"/>
      <c r="M134" s="492" t="str">
        <f t="shared" si="920"/>
        <v/>
      </c>
      <c r="N134" s="581" t="str">
        <f t="shared" si="921"/>
        <v/>
      </c>
      <c r="O134" s="582" t="str">
        <f t="shared" si="922"/>
        <v/>
      </c>
      <c r="P134" s="583" t="str">
        <f t="shared" si="923"/>
        <v/>
      </c>
      <c r="Q134" s="536" t="str">
        <f t="shared" si="1079"/>
        <v/>
      </c>
      <c r="R134" s="582" t="str">
        <f t="shared" si="1080"/>
        <v/>
      </c>
      <c r="S134" s="584" t="str">
        <f t="shared" si="1081"/>
        <v/>
      </c>
      <c r="T134" s="585" t="str">
        <f t="shared" si="1082"/>
        <v/>
      </c>
      <c r="U134" s="582" t="str">
        <f t="shared" si="1083"/>
        <v/>
      </c>
      <c r="V134" s="586" t="str">
        <f t="shared" si="1084"/>
        <v/>
      </c>
      <c r="W134" s="536" t="str">
        <f t="shared" si="1085"/>
        <v/>
      </c>
      <c r="X134" s="582" t="str">
        <f t="shared" si="1086"/>
        <v/>
      </c>
      <c r="Y134" s="587" t="str">
        <f t="shared" si="1087"/>
        <v/>
      </c>
      <c r="Z134" s="581" t="str">
        <f t="shared" si="924"/>
        <v/>
      </c>
      <c r="AA134" s="582" t="str">
        <f t="shared" si="925"/>
        <v/>
      </c>
      <c r="AB134" s="582" t="str">
        <f t="shared" si="926"/>
        <v/>
      </c>
      <c r="AC134" s="586" t="str">
        <f t="shared" si="1088"/>
        <v/>
      </c>
      <c r="AD134" s="588" t="str">
        <f t="shared" si="1089"/>
        <v/>
      </c>
      <c r="AE134" s="582" t="str">
        <f t="shared" si="1090"/>
        <v/>
      </c>
      <c r="AF134" s="583" t="str">
        <f t="shared" si="1091"/>
        <v/>
      </c>
      <c r="AG134" s="547" t="str">
        <f t="shared" si="1092"/>
        <v/>
      </c>
      <c r="AH134" s="548" t="str">
        <f t="shared" si="1093"/>
        <v/>
      </c>
      <c r="AI134" s="536" t="str">
        <f t="shared" si="1094"/>
        <v/>
      </c>
      <c r="AJ134" s="537" t="str">
        <f t="shared" si="1095"/>
        <v/>
      </c>
      <c r="AK134" s="585" t="str">
        <f t="shared" si="1096"/>
        <v/>
      </c>
      <c r="AL134" s="582" t="str">
        <f t="shared" si="1097"/>
        <v/>
      </c>
      <c r="AM134" s="584" t="str">
        <f t="shared" si="1098"/>
        <v/>
      </c>
      <c r="AN134" s="534" t="str">
        <f t="shared" si="1099"/>
        <v/>
      </c>
      <c r="AO134" s="535" t="str">
        <f t="shared" si="1058"/>
        <v/>
      </c>
      <c r="AP134" s="536" t="str">
        <f t="shared" si="1100"/>
        <v/>
      </c>
      <c r="AQ134" s="537" t="str">
        <f t="shared" si="927"/>
        <v/>
      </c>
      <c r="AS134" s="955" t="str">
        <f t="shared" si="1029"/>
        <v/>
      </c>
      <c r="AT134" s="951" t="str">
        <f t="shared" si="928"/>
        <v/>
      </c>
      <c r="AU134" s="418"/>
      <c r="AV134" s="164" t="str">
        <f t="shared" si="929"/>
        <v/>
      </c>
      <c r="AW134" s="832" t="str">
        <f>IFERROR(INDEX(MassProp!C$9:C$150,MATCH($M134,MassProp!$B$9:$B$150,0)),"")</f>
        <v/>
      </c>
      <c r="AX134" s="833" t="str">
        <f>IFERROR(INDEX(MassProp!D$9:D$150,MATCH($M134,MassProp!$B$9:$B$150,0)),"")</f>
        <v/>
      </c>
      <c r="AY134" s="834" t="str">
        <f>IFERROR(INDEX(MassProp!E$9:E$150,MATCH($M134,MassProp!$B$9:$B$150,0)),"")</f>
        <v/>
      </c>
      <c r="AZ134" s="297" t="str">
        <f t="shared" si="1101"/>
        <v/>
      </c>
      <c r="BA134" s="505" t="str">
        <f t="shared" si="1102"/>
        <v/>
      </c>
      <c r="BB134" s="506" t="str">
        <f t="shared" si="730"/>
        <v/>
      </c>
      <c r="BC134" s="496"/>
      <c r="BD134" s="494" t="str">
        <f t="shared" si="1103"/>
        <v/>
      </c>
      <c r="BE134" s="497" t="str">
        <f t="shared" si="931"/>
        <v/>
      </c>
      <c r="BF134" s="498" t="str">
        <f t="shared" si="932"/>
        <v/>
      </c>
      <c r="BG134" s="494" t="str">
        <f t="shared" si="933"/>
        <v/>
      </c>
      <c r="BH134" s="495" t="str">
        <f t="shared" si="934"/>
        <v/>
      </c>
      <c r="BI134" s="496" t="str">
        <f t="shared" si="1104"/>
        <v/>
      </c>
      <c r="BJ134" s="494" t="str">
        <f t="shared" si="935"/>
        <v/>
      </c>
      <c r="BK134" s="499" t="str">
        <f t="shared" si="936"/>
        <v/>
      </c>
      <c r="BL134" s="502" t="str">
        <f t="shared" si="937"/>
        <v/>
      </c>
      <c r="BM134" s="494" t="str">
        <f t="shared" si="938"/>
        <v/>
      </c>
      <c r="BN134" s="497" t="str">
        <f t="shared" si="939"/>
        <v/>
      </c>
      <c r="BO134" s="498" t="str">
        <f t="shared" si="1105"/>
        <v/>
      </c>
      <c r="BP134" s="494" t="str">
        <f t="shared" si="1106"/>
        <v/>
      </c>
      <c r="BQ134" s="494" t="str">
        <f t="shared" si="1107"/>
        <v/>
      </c>
      <c r="BR134" s="497" t="str">
        <f t="shared" si="1108"/>
        <v/>
      </c>
      <c r="BS134" s="498" t="str">
        <f t="shared" si="1024"/>
        <v/>
      </c>
      <c r="BT134" s="494" t="str">
        <f t="shared" si="1024"/>
        <v/>
      </c>
      <c r="BU134" s="495" t="str">
        <f t="shared" si="733"/>
        <v/>
      </c>
      <c r="BV134" s="496" t="str">
        <f t="shared" si="734"/>
        <v/>
      </c>
      <c r="BW134" s="494" t="str">
        <f t="shared" si="735"/>
        <v/>
      </c>
      <c r="BX134" s="499" t="str">
        <f t="shared" si="736"/>
        <v/>
      </c>
      <c r="BY134" s="502" t="str">
        <f t="shared" si="737"/>
        <v/>
      </c>
      <c r="BZ134" s="494" t="str">
        <f t="shared" si="738"/>
        <v/>
      </c>
      <c r="CA134" s="497" t="str">
        <f t="shared" si="739"/>
        <v/>
      </c>
      <c r="CB134" s="498" t="str">
        <f t="shared" si="1109"/>
        <v/>
      </c>
      <c r="CC134" s="494" t="str">
        <f t="shared" si="1110"/>
        <v/>
      </c>
      <c r="CD134" s="494" t="str">
        <f t="shared" si="1111"/>
        <v/>
      </c>
      <c r="CE134" s="497" t="str">
        <f t="shared" si="1112"/>
        <v/>
      </c>
      <c r="CF134" s="498" t="str">
        <f t="shared" si="1113"/>
        <v/>
      </c>
      <c r="CG134" s="494" t="str">
        <f t="shared" si="1114"/>
        <v/>
      </c>
      <c r="CH134" s="494" t="str">
        <f t="shared" si="1115"/>
        <v/>
      </c>
      <c r="CI134" s="498" t="str">
        <f t="shared" si="740"/>
        <v/>
      </c>
      <c r="CJ134" s="494" t="str">
        <f t="shared" si="1116"/>
        <v/>
      </c>
      <c r="CK134" s="499" t="str">
        <f t="shared" si="1117"/>
        <v/>
      </c>
      <c r="CL134" s="502" t="str">
        <f t="shared" si="1118"/>
        <v/>
      </c>
      <c r="CM134" s="494" t="str">
        <f t="shared" si="1119"/>
        <v/>
      </c>
      <c r="CN134" s="497" t="str">
        <f t="shared" si="1120"/>
        <v/>
      </c>
      <c r="CO134" s="507" t="str">
        <f t="shared" si="940"/>
        <v/>
      </c>
      <c r="CP134" s="498" t="str">
        <f t="shared" si="1121"/>
        <v/>
      </c>
      <c r="CQ134" s="494" t="str">
        <f t="shared" si="1122"/>
        <v/>
      </c>
      <c r="CR134" s="494" t="str">
        <f t="shared" si="1123"/>
        <v/>
      </c>
      <c r="CS134" s="499" t="str">
        <f t="shared" si="1124"/>
        <v/>
      </c>
      <c r="CT134" s="496" t="str">
        <f t="shared" si="1125"/>
        <v/>
      </c>
      <c r="CU134" s="497" t="str">
        <f t="shared" si="1126"/>
        <v/>
      </c>
      <c r="CV134" s="498" t="str">
        <f t="shared" si="1127"/>
        <v/>
      </c>
      <c r="CW134" s="494" t="str">
        <f t="shared" si="1128"/>
        <v/>
      </c>
      <c r="CX134" s="499" t="str">
        <f t="shared" si="1129"/>
        <v/>
      </c>
      <c r="CY134" s="496" t="str">
        <f t="shared" si="1130"/>
        <v/>
      </c>
      <c r="CZ134" s="494" t="str">
        <f t="shared" si="1131"/>
        <v/>
      </c>
      <c r="DA134" s="497" t="str">
        <f t="shared" si="1132"/>
        <v/>
      </c>
      <c r="DB134" s="498" t="str">
        <f t="shared" si="1030"/>
        <v/>
      </c>
      <c r="DC134" s="494" t="str">
        <f t="shared" si="1030"/>
        <v/>
      </c>
      <c r="DD134" s="495" t="str">
        <f t="shared" si="782"/>
        <v/>
      </c>
      <c r="DE134" s="496" t="str">
        <f t="shared" si="1031"/>
        <v/>
      </c>
      <c r="DF134" s="494" t="str">
        <f t="shared" si="1031"/>
        <v/>
      </c>
      <c r="DG134" s="495" t="str">
        <f t="shared" si="784"/>
        <v/>
      </c>
      <c r="DH134" s="501" t="str">
        <f t="shared" si="1133"/>
        <v/>
      </c>
      <c r="DI134" s="498" t="str">
        <f t="shared" si="1134"/>
        <v/>
      </c>
      <c r="DJ134" s="494" t="str">
        <f t="shared" si="1135"/>
        <v/>
      </c>
      <c r="DK134" s="495" t="str">
        <f t="shared" si="1136"/>
        <v/>
      </c>
      <c r="DL134" s="496" t="str">
        <f t="shared" si="1137"/>
        <v/>
      </c>
      <c r="DM134" s="502" t="str">
        <f t="shared" si="1138"/>
        <v/>
      </c>
      <c r="DN134" s="508" t="str">
        <f t="shared" si="1139"/>
        <v/>
      </c>
      <c r="DO134" s="496" t="str">
        <f t="shared" si="1140"/>
        <v/>
      </c>
      <c r="DP134" s="502" t="str">
        <f t="shared" si="1141"/>
        <v/>
      </c>
      <c r="DQ134" s="503" t="str">
        <f t="shared" si="1142"/>
        <v/>
      </c>
      <c r="DR134" s="502" t="str">
        <f t="shared" si="1143"/>
        <v/>
      </c>
      <c r="DS134" s="494" t="str">
        <f t="shared" si="1144"/>
        <v/>
      </c>
      <c r="DT134" s="494" t="str">
        <f t="shared" si="1145"/>
        <v/>
      </c>
      <c r="DU134" s="494" t="str">
        <f t="shared" si="1146"/>
        <v/>
      </c>
      <c r="DV134" s="494" t="str">
        <f t="shared" si="1147"/>
        <v/>
      </c>
      <c r="DW134" s="494" t="str">
        <f t="shared" si="1148"/>
        <v/>
      </c>
      <c r="DX134" s="507" t="str">
        <f t="shared" si="1149"/>
        <v/>
      </c>
      <c r="DY134" s="496" t="str">
        <f t="shared" si="1150"/>
        <v/>
      </c>
      <c r="DZ134" s="494" t="str">
        <f t="shared" si="1151"/>
        <v/>
      </c>
      <c r="EA134" s="495" t="str">
        <f t="shared" si="1152"/>
        <v/>
      </c>
      <c r="EB134" s="497" t="str">
        <f t="shared" si="1153"/>
        <v/>
      </c>
      <c r="EC134" s="502" t="str">
        <f t="shared" si="1154"/>
        <v/>
      </c>
      <c r="ED134" s="494" t="str">
        <f t="shared" si="1155"/>
        <v/>
      </c>
      <c r="EE134" s="498" t="str">
        <f t="shared" si="1156"/>
        <v/>
      </c>
      <c r="EF134" s="494" t="str">
        <f t="shared" si="1157"/>
        <v/>
      </c>
      <c r="EG134" s="495" t="str">
        <f t="shared" si="1158"/>
        <v/>
      </c>
      <c r="EH134" s="496" t="str">
        <f t="shared" si="1159"/>
        <v/>
      </c>
      <c r="EI134" s="494" t="str">
        <f t="shared" si="1160"/>
        <v/>
      </c>
      <c r="EJ134" s="497" t="str">
        <f t="shared" si="1161"/>
        <v/>
      </c>
      <c r="EK134" s="509" t="str">
        <f t="shared" si="814"/>
        <v/>
      </c>
      <c r="EL134" s="510" t="str">
        <f t="shared" si="815"/>
        <v/>
      </c>
      <c r="EM134" s="498" t="str">
        <f t="shared" si="1162"/>
        <v/>
      </c>
      <c r="EN134" s="494" t="str">
        <f t="shared" si="1163"/>
        <v/>
      </c>
      <c r="EO134" s="495" t="str">
        <f t="shared" si="1164"/>
        <v/>
      </c>
      <c r="EP134" s="496" t="str">
        <f t="shared" si="1165"/>
        <v/>
      </c>
      <c r="EQ134" s="494" t="str">
        <f t="shared" si="1166"/>
        <v/>
      </c>
      <c r="ER134" s="500" t="str">
        <f t="shared" si="1167"/>
        <v/>
      </c>
      <c r="ES134" s="493" t="str">
        <f t="shared" si="941"/>
        <v/>
      </c>
      <c r="ET134" s="494" t="str">
        <f t="shared" si="942"/>
        <v/>
      </c>
      <c r="EU134" s="495" t="str">
        <f t="shared" si="943"/>
        <v/>
      </c>
      <c r="EV134" s="174" t="str">
        <f t="shared" si="1168"/>
        <v/>
      </c>
      <c r="EW134" s="496" t="str">
        <f t="shared" si="1169"/>
        <v/>
      </c>
      <c r="EX134" s="494" t="str">
        <f t="shared" si="1170"/>
        <v/>
      </c>
      <c r="EY134" s="497" t="str">
        <f t="shared" si="1171"/>
        <v/>
      </c>
      <c r="EZ134" s="504" t="str">
        <f t="shared" si="823"/>
        <v/>
      </c>
      <c r="FA134" s="502" t="str">
        <f t="shared" si="947"/>
        <v/>
      </c>
      <c r="FB134" s="494" t="str">
        <f t="shared" si="948"/>
        <v/>
      </c>
      <c r="FC134" s="497" t="str">
        <f t="shared" si="949"/>
        <v/>
      </c>
      <c r="FD134" s="498" t="str">
        <f t="shared" si="1172"/>
        <v/>
      </c>
      <c r="FE134" s="494" t="str">
        <f t="shared" si="1173"/>
        <v/>
      </c>
      <c r="FF134" s="500" t="str">
        <f t="shared" si="1174"/>
        <v/>
      </c>
      <c r="FG134" s="173" t="str">
        <f t="shared" si="1175"/>
        <v/>
      </c>
      <c r="FH134" s="5" t="str">
        <f t="shared" si="1176"/>
        <v/>
      </c>
      <c r="FI134" s="10" t="str">
        <f t="shared" si="1177"/>
        <v/>
      </c>
      <c r="FJ134" s="279" t="str">
        <f t="shared" si="1178"/>
        <v/>
      </c>
      <c r="FK134" s="4" t="str">
        <f t="shared" si="1179"/>
        <v/>
      </c>
      <c r="FL134" s="5" t="str">
        <f t="shared" si="1180"/>
        <v/>
      </c>
      <c r="FM134" s="8" t="str">
        <f t="shared" si="1181"/>
        <v/>
      </c>
      <c r="FN134" s="9" t="str">
        <f t="shared" si="1182"/>
        <v/>
      </c>
      <c r="FO134" s="10" t="str">
        <f t="shared" si="1183"/>
        <v/>
      </c>
      <c r="FP134" s="277" t="str">
        <f t="shared" si="1184"/>
        <v/>
      </c>
      <c r="FQ134" s="173" t="str">
        <f t="shared" si="1185"/>
        <v/>
      </c>
      <c r="FR134" s="10" t="str">
        <f t="shared" si="1186"/>
        <v/>
      </c>
      <c r="FS134" s="9" t="str">
        <f t="shared" si="1187"/>
        <v/>
      </c>
      <c r="FT134" s="6" t="str">
        <f t="shared" si="1188"/>
        <v/>
      </c>
      <c r="FU134" s="4" t="str">
        <f t="shared" si="1189"/>
        <v/>
      </c>
      <c r="FV134" s="5" t="str">
        <f t="shared" si="1190"/>
        <v/>
      </c>
      <c r="FW134" s="8" t="str">
        <f t="shared" si="1191"/>
        <v/>
      </c>
      <c r="FX134" s="9" t="str">
        <f t="shared" si="1192"/>
        <v/>
      </c>
      <c r="FY134" s="10" t="str">
        <f t="shared" si="1193"/>
        <v/>
      </c>
      <c r="FZ134" s="277" t="str">
        <f t="shared" si="1194"/>
        <v/>
      </c>
      <c r="GA134" s="177" t="str">
        <f t="shared" si="1195"/>
        <v/>
      </c>
      <c r="GB134" s="4" t="str">
        <f t="shared" si="1196"/>
        <v/>
      </c>
      <c r="GC134" s="5" t="str">
        <f t="shared" si="1197"/>
        <v/>
      </c>
      <c r="GD134" s="10" t="str">
        <f t="shared" si="1198"/>
        <v/>
      </c>
      <c r="GE134" s="311" t="str">
        <f t="shared" si="1199"/>
        <v/>
      </c>
      <c r="GF134" s="341" t="str">
        <f t="shared" si="1200"/>
        <v/>
      </c>
      <c r="GG134" s="306" t="str">
        <f t="shared" si="1201"/>
        <v/>
      </c>
      <c r="GH134" s="307" t="str">
        <f t="shared" si="1202"/>
        <v/>
      </c>
      <c r="GI134" s="308" t="str">
        <f t="shared" si="1203"/>
        <v/>
      </c>
      <c r="GJ134" s="167" t="str">
        <f t="shared" si="1204"/>
        <v/>
      </c>
      <c r="GK134" s="174" t="str">
        <f t="shared" si="961"/>
        <v/>
      </c>
      <c r="GL134" s="174" t="str">
        <f t="shared" si="1205"/>
        <v/>
      </c>
      <c r="GM134" s="177" t="str">
        <f t="shared" si="1206"/>
        <v/>
      </c>
      <c r="GN134" s="280" t="str">
        <f t="shared" si="1207"/>
        <v/>
      </c>
      <c r="GO134" s="4" t="str">
        <f t="shared" si="1208"/>
        <v/>
      </c>
      <c r="GP134" s="8" t="str">
        <f t="shared" si="1209"/>
        <v/>
      </c>
      <c r="GQ134" s="177" t="str">
        <f t="shared" si="1210"/>
        <v/>
      </c>
      <c r="GR134" s="371" t="str">
        <f t="shared" si="1211"/>
        <v/>
      </c>
      <c r="GS134" s="342" t="str">
        <f t="shared" si="1212"/>
        <v/>
      </c>
      <c r="GT134" s="343" t="str">
        <f t="shared" si="1213"/>
        <v/>
      </c>
      <c r="GU134" s="344" t="str">
        <f t="shared" si="964"/>
        <v/>
      </c>
      <c r="GV134" s="343" t="str">
        <f t="shared" si="1214"/>
        <v/>
      </c>
      <c r="GW134" s="345" t="str">
        <f t="shared" si="965"/>
        <v/>
      </c>
      <c r="GX134" s="346" t="str">
        <f t="shared" si="966"/>
        <v/>
      </c>
      <c r="GY134" s="344" t="str">
        <f t="shared" si="1215"/>
        <v/>
      </c>
      <c r="GZ134" s="345" t="str">
        <f t="shared" si="1216"/>
        <v/>
      </c>
      <c r="HA134" s="342" t="str">
        <f t="shared" si="969"/>
        <v/>
      </c>
      <c r="HB134" s="5" t="str">
        <f t="shared" si="850"/>
        <v/>
      </c>
      <c r="HC134" s="343" t="str">
        <f t="shared" si="1217"/>
        <v/>
      </c>
      <c r="HD134" s="363" t="str">
        <f t="shared" si="1218"/>
        <v/>
      </c>
      <c r="HE134" s="344" t="str">
        <f t="shared" si="970"/>
        <v/>
      </c>
      <c r="HF134" s="5" t="str">
        <f t="shared" si="971"/>
        <v/>
      </c>
      <c r="HG134" s="343" t="str">
        <f t="shared" si="1219"/>
        <v/>
      </c>
      <c r="HH134" s="349" t="str">
        <f t="shared" si="1220"/>
        <v/>
      </c>
      <c r="HI134" s="317" t="str">
        <f t="shared" si="972"/>
        <v/>
      </c>
      <c r="HK134" s="310" t="str">
        <f t="shared" si="1025"/>
        <v/>
      </c>
      <c r="HL134" s="348" t="str">
        <f t="shared" si="973"/>
        <v/>
      </c>
      <c r="HM134" s="923" t="str">
        <f t="shared" si="974"/>
        <v/>
      </c>
      <c r="HN134" s="924" t="str">
        <f t="shared" si="975"/>
        <v/>
      </c>
      <c r="HO134" s="925"/>
      <c r="HP134" s="926"/>
      <c r="HQ134" s="924" t="str">
        <f t="shared" si="976"/>
        <v/>
      </c>
      <c r="HR134" s="927" t="str">
        <f t="shared" si="977"/>
        <v/>
      </c>
      <c r="HS134" s="879" t="str">
        <f t="shared" si="1221"/>
        <v/>
      </c>
      <c r="HT134" s="889" t="str">
        <f t="shared" si="978"/>
        <v/>
      </c>
      <c r="HU134" s="890" t="str">
        <f t="shared" si="979"/>
        <v/>
      </c>
      <c r="HV134" s="886" t="str">
        <f t="shared" si="980"/>
        <v/>
      </c>
      <c r="HW134" s="880" t="str">
        <f t="shared" si="981"/>
        <v/>
      </c>
      <c r="HX134" s="881" t="str">
        <f t="shared" si="982"/>
        <v/>
      </c>
      <c r="HY134" s="880" t="str">
        <f t="shared" si="983"/>
        <v/>
      </c>
      <c r="HZ134" s="882" t="str">
        <f t="shared" si="984"/>
        <v/>
      </c>
      <c r="IA134" s="883" t="str">
        <f t="shared" si="985"/>
        <v/>
      </c>
      <c r="IB134" s="884" t="str">
        <f t="shared" si="986"/>
        <v/>
      </c>
      <c r="IC134" s="855" t="str">
        <f t="shared" si="987"/>
        <v/>
      </c>
      <c r="ID134" s="351" t="str">
        <f t="shared" si="988"/>
        <v/>
      </c>
      <c r="IE134" s="857" t="str">
        <f t="shared" si="989"/>
        <v/>
      </c>
      <c r="IF134" s="858"/>
      <c r="IG134" s="790" t="str">
        <f>IFERROR(IF($IW134="","",IF($IW134&lt;(((Settings!$C$19/2)*-1)*$IG$8),"Taper","Nose")),"")</f>
        <v/>
      </c>
      <c r="IH134" s="482" t="str">
        <f>IFERROR(IF((((($IY134*COS(RADIANS(180-$JA134)))*COS(RADIANS($JA134)))-(($IZ134*SIN(RADIANS(180-$JA134)))*SIN(RADIANS($JA134))))+$IW134)&lt;(((Settings!$C$19+$IH$8)/2)*-1),"Gage",""),"")</f>
        <v/>
      </c>
      <c r="II134" s="788" t="str">
        <f t="shared" si="855"/>
        <v/>
      </c>
      <c r="IJ134" s="674" t="str" cm="1">
        <f t="array" ref="IJ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K134" s="677" t="str" cm="1">
        <f t="array" ref="IK134">IFERROR(ROUND(VALUE(IF($IJ134&lt;1,$IJ134+LARGE((IF($M$9:$M$150="",0,$M$9:$M$150)-MOD(IF($M$9:$M$150="",0,$M$9:$M$150),1)),1),$IJ134)),4),"")</f>
        <v/>
      </c>
      <c r="IL134" s="482" t="str">
        <f t="shared" si="990"/>
        <v/>
      </c>
      <c r="IM134" s="482" t="str">
        <f t="shared" si="856"/>
        <v/>
      </c>
      <c r="IN134" s="670" t="str">
        <f t="shared" si="991"/>
        <v/>
      </c>
      <c r="IO134" s="702"/>
      <c r="IP134" s="5" t="str">
        <f t="shared" si="992"/>
        <v/>
      </c>
      <c r="IQ134" s="714"/>
      <c r="IR134" s="9" t="str">
        <f t="shared" si="993"/>
        <v/>
      </c>
      <c r="IS134" s="5" t="str">
        <f t="shared" si="994"/>
        <v/>
      </c>
      <c r="IT134" s="5" t="str">
        <f t="shared" si="995"/>
        <v/>
      </c>
      <c r="IU134" s="5" t="str">
        <f t="shared" si="996"/>
        <v/>
      </c>
      <c r="IV134" s="670" t="str">
        <f t="shared" si="997"/>
        <v/>
      </c>
      <c r="IW134" s="9" t="str">
        <f t="shared" si="998"/>
        <v/>
      </c>
      <c r="IX134" s="5" t="str">
        <f t="shared" si="999"/>
        <v/>
      </c>
      <c r="IY134" s="5" t="str">
        <f t="shared" si="1000"/>
        <v/>
      </c>
      <c r="IZ134" s="5" t="str">
        <f t="shared" si="1001"/>
        <v/>
      </c>
      <c r="JA134" s="705" t="str">
        <f t="shared" si="1002"/>
        <v/>
      </c>
      <c r="JN134" s="960"/>
      <c r="JO134" s="162"/>
      <c r="JP134" s="961"/>
      <c r="JQ134" s="961"/>
    </row>
    <row r="135" spans="1:277" ht="15" customHeight="1" x14ac:dyDescent="0.25">
      <c r="A135" s="75" t="str">
        <f t="shared" si="917"/>
        <v/>
      </c>
      <c r="B135" s="585" t="str">
        <f t="shared" ref="B135:D135" si="1230">IFERROR(O290+($A135*-E135),"")</f>
        <v/>
      </c>
      <c r="C135" s="582" t="str">
        <f t="shared" si="1230"/>
        <v/>
      </c>
      <c r="D135" s="583" t="str">
        <f t="shared" si="1230"/>
        <v/>
      </c>
      <c r="E135" s="588" t="str">
        <f t="shared" ref="E135:K135" si="1231">R290</f>
        <v/>
      </c>
      <c r="F135" s="582" t="str">
        <f t="shared" si="1231"/>
        <v/>
      </c>
      <c r="G135" s="586" t="str">
        <f t="shared" si="1231"/>
        <v/>
      </c>
      <c r="H135" s="588" t="str">
        <f t="shared" si="1231"/>
        <v/>
      </c>
      <c r="I135" s="582" t="str">
        <f t="shared" si="1231"/>
        <v/>
      </c>
      <c r="J135" s="491" t="str">
        <f t="shared" si="728"/>
        <v/>
      </c>
      <c r="K135" s="807" t="str">
        <f t="shared" si="1231"/>
        <v/>
      </c>
      <c r="L135" s="309"/>
      <c r="M135" s="492" t="str">
        <f t="shared" si="920"/>
        <v/>
      </c>
      <c r="N135" s="581" t="str">
        <f t="shared" si="921"/>
        <v/>
      </c>
      <c r="O135" s="582" t="str">
        <f t="shared" si="922"/>
        <v/>
      </c>
      <c r="P135" s="583" t="str">
        <f t="shared" si="923"/>
        <v/>
      </c>
      <c r="Q135" s="536" t="str">
        <f t="shared" si="1079"/>
        <v/>
      </c>
      <c r="R135" s="582" t="str">
        <f t="shared" si="1080"/>
        <v/>
      </c>
      <c r="S135" s="584" t="str">
        <f t="shared" si="1081"/>
        <v/>
      </c>
      <c r="T135" s="585" t="str">
        <f t="shared" si="1082"/>
        <v/>
      </c>
      <c r="U135" s="582" t="str">
        <f t="shared" si="1083"/>
        <v/>
      </c>
      <c r="V135" s="586" t="str">
        <f t="shared" si="1084"/>
        <v/>
      </c>
      <c r="W135" s="536" t="str">
        <f t="shared" si="1085"/>
        <v/>
      </c>
      <c r="X135" s="582" t="str">
        <f t="shared" si="1086"/>
        <v/>
      </c>
      <c r="Y135" s="587" t="str">
        <f t="shared" si="1087"/>
        <v/>
      </c>
      <c r="Z135" s="581" t="str">
        <f t="shared" si="924"/>
        <v/>
      </c>
      <c r="AA135" s="582" t="str">
        <f t="shared" si="925"/>
        <v/>
      </c>
      <c r="AB135" s="582" t="str">
        <f t="shared" si="926"/>
        <v/>
      </c>
      <c r="AC135" s="586" t="str">
        <f t="shared" si="1088"/>
        <v/>
      </c>
      <c r="AD135" s="588" t="str">
        <f t="shared" si="1089"/>
        <v/>
      </c>
      <c r="AE135" s="582" t="str">
        <f t="shared" si="1090"/>
        <v/>
      </c>
      <c r="AF135" s="583" t="str">
        <f t="shared" si="1091"/>
        <v/>
      </c>
      <c r="AG135" s="547" t="str">
        <f t="shared" si="1092"/>
        <v/>
      </c>
      <c r="AH135" s="548" t="str">
        <f t="shared" si="1093"/>
        <v/>
      </c>
      <c r="AI135" s="536" t="str">
        <f t="shared" si="1094"/>
        <v/>
      </c>
      <c r="AJ135" s="537" t="str">
        <f t="shared" si="1095"/>
        <v/>
      </c>
      <c r="AK135" s="585" t="str">
        <f t="shared" si="1096"/>
        <v/>
      </c>
      <c r="AL135" s="582" t="str">
        <f t="shared" si="1097"/>
        <v/>
      </c>
      <c r="AM135" s="584" t="str">
        <f t="shared" si="1098"/>
        <v/>
      </c>
      <c r="AN135" s="534" t="str">
        <f t="shared" si="1099"/>
        <v/>
      </c>
      <c r="AO135" s="535" t="str">
        <f t="shared" si="1058"/>
        <v/>
      </c>
      <c r="AP135" s="536" t="str">
        <f t="shared" si="1100"/>
        <v/>
      </c>
      <c r="AQ135" s="537" t="str">
        <f t="shared" si="927"/>
        <v/>
      </c>
      <c r="AS135" s="955" t="str">
        <f t="shared" si="1029"/>
        <v/>
      </c>
      <c r="AT135" s="951" t="str">
        <f t="shared" si="928"/>
        <v/>
      </c>
      <c r="AU135" s="418"/>
      <c r="AV135" s="164" t="str">
        <f t="shared" si="929"/>
        <v/>
      </c>
      <c r="AW135" s="832" t="str">
        <f>IFERROR(INDEX(MassProp!C$9:C$150,MATCH($M135,MassProp!$B$9:$B$150,0)),"")</f>
        <v/>
      </c>
      <c r="AX135" s="833" t="str">
        <f>IFERROR(INDEX(MassProp!D$9:D$150,MATCH($M135,MassProp!$B$9:$B$150,0)),"")</f>
        <v/>
      </c>
      <c r="AY135" s="834" t="str">
        <f>IFERROR(INDEX(MassProp!E$9:E$150,MATCH($M135,MassProp!$B$9:$B$150,0)),"")</f>
        <v/>
      </c>
      <c r="AZ135" s="297" t="str">
        <f t="shared" si="1101"/>
        <v/>
      </c>
      <c r="BA135" s="505" t="str">
        <f t="shared" si="1102"/>
        <v/>
      </c>
      <c r="BB135" s="506" t="str">
        <f t="shared" si="730"/>
        <v/>
      </c>
      <c r="BC135" s="496"/>
      <c r="BD135" s="494" t="str">
        <f t="shared" si="1103"/>
        <v/>
      </c>
      <c r="BE135" s="497" t="str">
        <f t="shared" si="931"/>
        <v/>
      </c>
      <c r="BF135" s="498" t="str">
        <f t="shared" si="932"/>
        <v/>
      </c>
      <c r="BG135" s="494" t="str">
        <f t="shared" si="933"/>
        <v/>
      </c>
      <c r="BH135" s="495" t="str">
        <f t="shared" si="934"/>
        <v/>
      </c>
      <c r="BI135" s="496" t="str">
        <f t="shared" si="1104"/>
        <v/>
      </c>
      <c r="BJ135" s="494" t="str">
        <f t="shared" si="935"/>
        <v/>
      </c>
      <c r="BK135" s="499" t="str">
        <f t="shared" si="936"/>
        <v/>
      </c>
      <c r="BL135" s="502" t="str">
        <f t="shared" si="937"/>
        <v/>
      </c>
      <c r="BM135" s="494" t="str">
        <f t="shared" si="938"/>
        <v/>
      </c>
      <c r="BN135" s="497" t="str">
        <f t="shared" si="939"/>
        <v/>
      </c>
      <c r="BO135" s="498" t="str">
        <f t="shared" si="1105"/>
        <v/>
      </c>
      <c r="BP135" s="494" t="str">
        <f t="shared" si="1106"/>
        <v/>
      </c>
      <c r="BQ135" s="494" t="str">
        <f t="shared" si="1107"/>
        <v/>
      </c>
      <c r="BR135" s="497" t="str">
        <f t="shared" si="1108"/>
        <v/>
      </c>
      <c r="BS135" s="498" t="str">
        <f t="shared" si="1024"/>
        <v/>
      </c>
      <c r="BT135" s="494" t="str">
        <f t="shared" si="1024"/>
        <v/>
      </c>
      <c r="BU135" s="495" t="str">
        <f t="shared" si="733"/>
        <v/>
      </c>
      <c r="BV135" s="496" t="str">
        <f t="shared" si="734"/>
        <v/>
      </c>
      <c r="BW135" s="494" t="str">
        <f t="shared" si="735"/>
        <v/>
      </c>
      <c r="BX135" s="499" t="str">
        <f t="shared" si="736"/>
        <v/>
      </c>
      <c r="BY135" s="502" t="str">
        <f t="shared" si="737"/>
        <v/>
      </c>
      <c r="BZ135" s="494" t="str">
        <f t="shared" si="738"/>
        <v/>
      </c>
      <c r="CA135" s="497" t="str">
        <f t="shared" si="739"/>
        <v/>
      </c>
      <c r="CB135" s="498" t="str">
        <f t="shared" si="1109"/>
        <v/>
      </c>
      <c r="CC135" s="494" t="str">
        <f t="shared" si="1110"/>
        <v/>
      </c>
      <c r="CD135" s="494" t="str">
        <f t="shared" si="1111"/>
        <v/>
      </c>
      <c r="CE135" s="497" t="str">
        <f t="shared" si="1112"/>
        <v/>
      </c>
      <c r="CF135" s="498" t="str">
        <f t="shared" si="1113"/>
        <v/>
      </c>
      <c r="CG135" s="494" t="str">
        <f t="shared" si="1114"/>
        <v/>
      </c>
      <c r="CH135" s="494" t="str">
        <f t="shared" si="1115"/>
        <v/>
      </c>
      <c r="CI135" s="498" t="str">
        <f t="shared" si="740"/>
        <v/>
      </c>
      <c r="CJ135" s="494" t="str">
        <f t="shared" si="1116"/>
        <v/>
      </c>
      <c r="CK135" s="499" t="str">
        <f t="shared" si="1117"/>
        <v/>
      </c>
      <c r="CL135" s="502" t="str">
        <f t="shared" si="1118"/>
        <v/>
      </c>
      <c r="CM135" s="494" t="str">
        <f t="shared" si="1119"/>
        <v/>
      </c>
      <c r="CN135" s="497" t="str">
        <f t="shared" si="1120"/>
        <v/>
      </c>
      <c r="CO135" s="507" t="str">
        <f t="shared" si="940"/>
        <v/>
      </c>
      <c r="CP135" s="498" t="str">
        <f t="shared" si="1121"/>
        <v/>
      </c>
      <c r="CQ135" s="494" t="str">
        <f t="shared" si="1122"/>
        <v/>
      </c>
      <c r="CR135" s="494" t="str">
        <f t="shared" si="1123"/>
        <v/>
      </c>
      <c r="CS135" s="499" t="str">
        <f t="shared" si="1124"/>
        <v/>
      </c>
      <c r="CT135" s="496" t="str">
        <f t="shared" si="1125"/>
        <v/>
      </c>
      <c r="CU135" s="497" t="str">
        <f t="shared" si="1126"/>
        <v/>
      </c>
      <c r="CV135" s="498" t="str">
        <f t="shared" si="1127"/>
        <v/>
      </c>
      <c r="CW135" s="494" t="str">
        <f t="shared" si="1128"/>
        <v/>
      </c>
      <c r="CX135" s="499" t="str">
        <f t="shared" si="1129"/>
        <v/>
      </c>
      <c r="CY135" s="496" t="str">
        <f t="shared" si="1130"/>
        <v/>
      </c>
      <c r="CZ135" s="494" t="str">
        <f t="shared" si="1131"/>
        <v/>
      </c>
      <c r="DA135" s="497" t="str">
        <f t="shared" si="1132"/>
        <v/>
      </c>
      <c r="DB135" s="498" t="str">
        <f t="shared" si="1030"/>
        <v/>
      </c>
      <c r="DC135" s="494" t="str">
        <f t="shared" si="1030"/>
        <v/>
      </c>
      <c r="DD135" s="495" t="str">
        <f t="shared" si="782"/>
        <v/>
      </c>
      <c r="DE135" s="496" t="str">
        <f t="shared" si="1031"/>
        <v/>
      </c>
      <c r="DF135" s="494" t="str">
        <f t="shared" si="1031"/>
        <v/>
      </c>
      <c r="DG135" s="495" t="str">
        <f t="shared" si="784"/>
        <v/>
      </c>
      <c r="DH135" s="501" t="str">
        <f t="shared" si="1133"/>
        <v/>
      </c>
      <c r="DI135" s="498" t="str">
        <f t="shared" si="1134"/>
        <v/>
      </c>
      <c r="DJ135" s="494" t="str">
        <f t="shared" si="1135"/>
        <v/>
      </c>
      <c r="DK135" s="495" t="str">
        <f t="shared" si="1136"/>
        <v/>
      </c>
      <c r="DL135" s="496" t="str">
        <f t="shared" si="1137"/>
        <v/>
      </c>
      <c r="DM135" s="502" t="str">
        <f t="shared" si="1138"/>
        <v/>
      </c>
      <c r="DN135" s="508" t="str">
        <f t="shared" si="1139"/>
        <v/>
      </c>
      <c r="DO135" s="496" t="str">
        <f t="shared" si="1140"/>
        <v/>
      </c>
      <c r="DP135" s="502" t="str">
        <f t="shared" si="1141"/>
        <v/>
      </c>
      <c r="DQ135" s="503" t="str">
        <f t="shared" si="1142"/>
        <v/>
      </c>
      <c r="DR135" s="502" t="str">
        <f t="shared" si="1143"/>
        <v/>
      </c>
      <c r="DS135" s="494" t="str">
        <f t="shared" si="1144"/>
        <v/>
      </c>
      <c r="DT135" s="494" t="str">
        <f t="shared" si="1145"/>
        <v/>
      </c>
      <c r="DU135" s="494" t="str">
        <f t="shared" si="1146"/>
        <v/>
      </c>
      <c r="DV135" s="494" t="str">
        <f t="shared" si="1147"/>
        <v/>
      </c>
      <c r="DW135" s="494" t="str">
        <f t="shared" si="1148"/>
        <v/>
      </c>
      <c r="DX135" s="507" t="str">
        <f t="shared" si="1149"/>
        <v/>
      </c>
      <c r="DY135" s="496" t="str">
        <f t="shared" si="1150"/>
        <v/>
      </c>
      <c r="DZ135" s="494" t="str">
        <f t="shared" si="1151"/>
        <v/>
      </c>
      <c r="EA135" s="495" t="str">
        <f t="shared" si="1152"/>
        <v/>
      </c>
      <c r="EB135" s="497" t="str">
        <f t="shared" si="1153"/>
        <v/>
      </c>
      <c r="EC135" s="502" t="str">
        <f t="shared" si="1154"/>
        <v/>
      </c>
      <c r="ED135" s="494" t="str">
        <f t="shared" si="1155"/>
        <v/>
      </c>
      <c r="EE135" s="498" t="str">
        <f t="shared" si="1156"/>
        <v/>
      </c>
      <c r="EF135" s="494" t="str">
        <f t="shared" si="1157"/>
        <v/>
      </c>
      <c r="EG135" s="495" t="str">
        <f t="shared" si="1158"/>
        <v/>
      </c>
      <c r="EH135" s="496" t="str">
        <f t="shared" si="1159"/>
        <v/>
      </c>
      <c r="EI135" s="494" t="str">
        <f t="shared" si="1160"/>
        <v/>
      </c>
      <c r="EJ135" s="497" t="str">
        <f t="shared" si="1161"/>
        <v/>
      </c>
      <c r="EK135" s="509" t="str">
        <f t="shared" si="814"/>
        <v/>
      </c>
      <c r="EL135" s="510" t="str">
        <f t="shared" si="815"/>
        <v/>
      </c>
      <c r="EM135" s="498" t="str">
        <f t="shared" si="1162"/>
        <v/>
      </c>
      <c r="EN135" s="494" t="str">
        <f t="shared" si="1163"/>
        <v/>
      </c>
      <c r="EO135" s="495" t="str">
        <f t="shared" si="1164"/>
        <v/>
      </c>
      <c r="EP135" s="496" t="str">
        <f t="shared" si="1165"/>
        <v/>
      </c>
      <c r="EQ135" s="494" t="str">
        <f t="shared" si="1166"/>
        <v/>
      </c>
      <c r="ER135" s="500" t="str">
        <f t="shared" si="1167"/>
        <v/>
      </c>
      <c r="ES135" s="493" t="str">
        <f t="shared" si="941"/>
        <v/>
      </c>
      <c r="ET135" s="494" t="str">
        <f t="shared" si="942"/>
        <v/>
      </c>
      <c r="EU135" s="495" t="str">
        <f t="shared" si="943"/>
        <v/>
      </c>
      <c r="EV135" s="174" t="str">
        <f t="shared" si="1168"/>
        <v/>
      </c>
      <c r="EW135" s="496" t="str">
        <f t="shared" si="1169"/>
        <v/>
      </c>
      <c r="EX135" s="494" t="str">
        <f t="shared" si="1170"/>
        <v/>
      </c>
      <c r="EY135" s="497" t="str">
        <f t="shared" si="1171"/>
        <v/>
      </c>
      <c r="EZ135" s="504" t="str">
        <f t="shared" si="823"/>
        <v/>
      </c>
      <c r="FA135" s="502" t="str">
        <f t="shared" si="947"/>
        <v/>
      </c>
      <c r="FB135" s="494" t="str">
        <f t="shared" si="948"/>
        <v/>
      </c>
      <c r="FC135" s="497" t="str">
        <f t="shared" si="949"/>
        <v/>
      </c>
      <c r="FD135" s="498" t="str">
        <f t="shared" si="1172"/>
        <v/>
      </c>
      <c r="FE135" s="494" t="str">
        <f t="shared" si="1173"/>
        <v/>
      </c>
      <c r="FF135" s="500" t="str">
        <f t="shared" si="1174"/>
        <v/>
      </c>
      <c r="FG135" s="173" t="str">
        <f t="shared" si="1175"/>
        <v/>
      </c>
      <c r="FH135" s="5" t="str">
        <f t="shared" si="1176"/>
        <v/>
      </c>
      <c r="FI135" s="10" t="str">
        <f t="shared" si="1177"/>
        <v/>
      </c>
      <c r="FJ135" s="279" t="str">
        <f t="shared" si="1178"/>
        <v/>
      </c>
      <c r="FK135" s="4" t="str">
        <f t="shared" si="1179"/>
        <v/>
      </c>
      <c r="FL135" s="5" t="str">
        <f t="shared" si="1180"/>
        <v/>
      </c>
      <c r="FM135" s="8" t="str">
        <f t="shared" si="1181"/>
        <v/>
      </c>
      <c r="FN135" s="9" t="str">
        <f t="shared" si="1182"/>
        <v/>
      </c>
      <c r="FO135" s="10" t="str">
        <f t="shared" si="1183"/>
        <v/>
      </c>
      <c r="FP135" s="277" t="str">
        <f t="shared" si="1184"/>
        <v/>
      </c>
      <c r="FQ135" s="173" t="str">
        <f t="shared" si="1185"/>
        <v/>
      </c>
      <c r="FR135" s="10" t="str">
        <f t="shared" si="1186"/>
        <v/>
      </c>
      <c r="FS135" s="9" t="str">
        <f t="shared" si="1187"/>
        <v/>
      </c>
      <c r="FT135" s="6" t="str">
        <f t="shared" si="1188"/>
        <v/>
      </c>
      <c r="FU135" s="4" t="str">
        <f t="shared" si="1189"/>
        <v/>
      </c>
      <c r="FV135" s="5" t="str">
        <f t="shared" si="1190"/>
        <v/>
      </c>
      <c r="FW135" s="8" t="str">
        <f t="shared" si="1191"/>
        <v/>
      </c>
      <c r="FX135" s="9" t="str">
        <f t="shared" si="1192"/>
        <v/>
      </c>
      <c r="FY135" s="10" t="str">
        <f t="shared" si="1193"/>
        <v/>
      </c>
      <c r="FZ135" s="277" t="str">
        <f t="shared" si="1194"/>
        <v/>
      </c>
      <c r="GA135" s="177" t="str">
        <f t="shared" si="1195"/>
        <v/>
      </c>
      <c r="GB135" s="4" t="str">
        <f t="shared" si="1196"/>
        <v/>
      </c>
      <c r="GC135" s="5" t="str">
        <f t="shared" si="1197"/>
        <v/>
      </c>
      <c r="GD135" s="10" t="str">
        <f t="shared" si="1198"/>
        <v/>
      </c>
      <c r="GE135" s="311" t="str">
        <f t="shared" si="1199"/>
        <v/>
      </c>
      <c r="GF135" s="341" t="str">
        <f t="shared" si="1200"/>
        <v/>
      </c>
      <c r="GG135" s="306" t="str">
        <f t="shared" si="1201"/>
        <v/>
      </c>
      <c r="GH135" s="307" t="str">
        <f t="shared" si="1202"/>
        <v/>
      </c>
      <c r="GI135" s="308" t="str">
        <f t="shared" si="1203"/>
        <v/>
      </c>
      <c r="GJ135" s="167" t="str">
        <f t="shared" si="1204"/>
        <v/>
      </c>
      <c r="GK135" s="174" t="str">
        <f t="shared" si="961"/>
        <v/>
      </c>
      <c r="GL135" s="174" t="str">
        <f t="shared" si="1205"/>
        <v/>
      </c>
      <c r="GM135" s="177" t="str">
        <f t="shared" si="1206"/>
        <v/>
      </c>
      <c r="GN135" s="280" t="str">
        <f t="shared" si="1207"/>
        <v/>
      </c>
      <c r="GO135" s="4" t="str">
        <f t="shared" si="1208"/>
        <v/>
      </c>
      <c r="GP135" s="8" t="str">
        <f t="shared" si="1209"/>
        <v/>
      </c>
      <c r="GQ135" s="177" t="str">
        <f t="shared" si="1210"/>
        <v/>
      </c>
      <c r="GR135" s="371" t="str">
        <f t="shared" si="1211"/>
        <v/>
      </c>
      <c r="GS135" s="342" t="str">
        <f t="shared" si="1212"/>
        <v/>
      </c>
      <c r="GT135" s="343" t="str">
        <f t="shared" si="1213"/>
        <v/>
      </c>
      <c r="GU135" s="344" t="str">
        <f t="shared" si="964"/>
        <v/>
      </c>
      <c r="GV135" s="343" t="str">
        <f t="shared" si="1214"/>
        <v/>
      </c>
      <c r="GW135" s="345" t="str">
        <f t="shared" si="965"/>
        <v/>
      </c>
      <c r="GX135" s="346" t="str">
        <f t="shared" si="966"/>
        <v/>
      </c>
      <c r="GY135" s="344" t="str">
        <f t="shared" si="1215"/>
        <v/>
      </c>
      <c r="GZ135" s="345" t="str">
        <f t="shared" si="1216"/>
        <v/>
      </c>
      <c r="HA135" s="342" t="str">
        <f t="shared" si="969"/>
        <v/>
      </c>
      <c r="HB135" s="5" t="str">
        <f t="shared" si="850"/>
        <v/>
      </c>
      <c r="HC135" s="343" t="str">
        <f t="shared" si="1217"/>
        <v/>
      </c>
      <c r="HD135" s="363" t="str">
        <f t="shared" si="1218"/>
        <v/>
      </c>
      <c r="HE135" s="344" t="str">
        <f t="shared" si="970"/>
        <v/>
      </c>
      <c r="HF135" s="5" t="str">
        <f t="shared" si="971"/>
        <v/>
      </c>
      <c r="HG135" s="343" t="str">
        <f t="shared" si="1219"/>
        <v/>
      </c>
      <c r="HH135" s="349" t="str">
        <f t="shared" si="1220"/>
        <v/>
      </c>
      <c r="HI135" s="317" t="str">
        <f t="shared" si="972"/>
        <v/>
      </c>
      <c r="HK135" s="310" t="str">
        <f t="shared" si="1025"/>
        <v/>
      </c>
      <c r="HL135" s="348" t="str">
        <f t="shared" si="973"/>
        <v/>
      </c>
      <c r="HM135" s="923" t="str">
        <f t="shared" si="974"/>
        <v/>
      </c>
      <c r="HN135" s="924" t="str">
        <f t="shared" si="975"/>
        <v/>
      </c>
      <c r="HO135" s="925"/>
      <c r="HP135" s="926"/>
      <c r="HQ135" s="924" t="str">
        <f t="shared" si="976"/>
        <v/>
      </c>
      <c r="HR135" s="927" t="str">
        <f t="shared" si="977"/>
        <v/>
      </c>
      <c r="HS135" s="879" t="str">
        <f t="shared" si="1221"/>
        <v/>
      </c>
      <c r="HT135" s="889" t="str">
        <f t="shared" si="978"/>
        <v/>
      </c>
      <c r="HU135" s="890" t="str">
        <f t="shared" si="979"/>
        <v/>
      </c>
      <c r="HV135" s="886" t="str">
        <f t="shared" si="980"/>
        <v/>
      </c>
      <c r="HW135" s="880" t="str">
        <f t="shared" si="981"/>
        <v/>
      </c>
      <c r="HX135" s="881" t="str">
        <f t="shared" si="982"/>
        <v/>
      </c>
      <c r="HY135" s="880" t="str">
        <f t="shared" si="983"/>
        <v/>
      </c>
      <c r="HZ135" s="882" t="str">
        <f t="shared" si="984"/>
        <v/>
      </c>
      <c r="IA135" s="883" t="str">
        <f t="shared" si="985"/>
        <v/>
      </c>
      <c r="IB135" s="884" t="str">
        <f t="shared" si="986"/>
        <v/>
      </c>
      <c r="IC135" s="855" t="str">
        <f t="shared" si="987"/>
        <v/>
      </c>
      <c r="ID135" s="351" t="str">
        <f t="shared" si="988"/>
        <v/>
      </c>
      <c r="IE135" s="857" t="str">
        <f t="shared" si="989"/>
        <v/>
      </c>
      <c r="IF135" s="858"/>
      <c r="IG135" s="790" t="str">
        <f>IFERROR(IF($IW135="","",IF($IW135&lt;(((Settings!$C$19/2)*-1)*$IG$8),"Taper","Nose")),"")</f>
        <v/>
      </c>
      <c r="IH135" s="482" t="str">
        <f>IFERROR(IF((((($IY135*COS(RADIANS(180-$JA135)))*COS(RADIANS($JA135)))-(($IZ135*SIN(RADIANS(180-$JA135)))*SIN(RADIANS($JA135))))+$IW135)&lt;(((Settings!$C$19+$IH$8)/2)*-1),"Gage",""),"")</f>
        <v/>
      </c>
      <c r="II135" s="788" t="str">
        <f t="shared" si="855"/>
        <v/>
      </c>
      <c r="IJ135" s="674" t="str" cm="1">
        <f t="array" ref="IJ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K135" s="677" t="str" cm="1">
        <f t="array" ref="IK135">IFERROR(ROUND(VALUE(IF($IJ135&lt;1,$IJ135+LARGE((IF($M$9:$M$150="",0,$M$9:$M$150)-MOD(IF($M$9:$M$150="",0,$M$9:$M$150),1)),1),$IJ135)),4),"")</f>
        <v/>
      </c>
      <c r="IL135" s="482" t="str">
        <f t="shared" si="990"/>
        <v/>
      </c>
      <c r="IM135" s="482" t="str">
        <f t="shared" si="856"/>
        <v/>
      </c>
      <c r="IN135" s="670" t="str">
        <f t="shared" si="991"/>
        <v/>
      </c>
      <c r="IO135" s="702"/>
      <c r="IP135" s="5" t="str">
        <f t="shared" si="992"/>
        <v/>
      </c>
      <c r="IQ135" s="714"/>
      <c r="IR135" s="9" t="str">
        <f t="shared" si="993"/>
        <v/>
      </c>
      <c r="IS135" s="5" t="str">
        <f t="shared" si="994"/>
        <v/>
      </c>
      <c r="IT135" s="5" t="str">
        <f t="shared" si="995"/>
        <v/>
      </c>
      <c r="IU135" s="5" t="str">
        <f t="shared" si="996"/>
        <v/>
      </c>
      <c r="IV135" s="670" t="str">
        <f t="shared" si="997"/>
        <v/>
      </c>
      <c r="IW135" s="9" t="str">
        <f t="shared" si="998"/>
        <v/>
      </c>
      <c r="IX135" s="5" t="str">
        <f t="shared" si="999"/>
        <v/>
      </c>
      <c r="IY135" s="5" t="str">
        <f t="shared" si="1000"/>
        <v/>
      </c>
      <c r="IZ135" s="5" t="str">
        <f t="shared" si="1001"/>
        <v/>
      </c>
      <c r="JA135" s="705" t="str">
        <f t="shared" si="1002"/>
        <v/>
      </c>
      <c r="JN135" s="960"/>
      <c r="JO135" s="162"/>
      <c r="JP135" s="961"/>
      <c r="JQ135" s="961"/>
    </row>
    <row r="136" spans="1:277" ht="15" customHeight="1" x14ac:dyDescent="0.25">
      <c r="A136" s="75" t="str">
        <f t="shared" si="917"/>
        <v/>
      </c>
      <c r="B136" s="585" t="str">
        <f t="shared" ref="B136:D136" si="1232">IFERROR(O291+($A136*-E136),"")</f>
        <v/>
      </c>
      <c r="C136" s="582" t="str">
        <f t="shared" si="1232"/>
        <v/>
      </c>
      <c r="D136" s="583" t="str">
        <f t="shared" si="1232"/>
        <v/>
      </c>
      <c r="E136" s="588" t="str">
        <f t="shared" ref="E136:K136" si="1233">R291</f>
        <v/>
      </c>
      <c r="F136" s="582" t="str">
        <f t="shared" si="1233"/>
        <v/>
      </c>
      <c r="G136" s="586" t="str">
        <f t="shared" si="1233"/>
        <v/>
      </c>
      <c r="H136" s="588" t="str">
        <f t="shared" si="1233"/>
        <v/>
      </c>
      <c r="I136" s="582" t="str">
        <f t="shared" si="1233"/>
        <v/>
      </c>
      <c r="J136" s="491" t="str">
        <f t="shared" si="728"/>
        <v/>
      </c>
      <c r="K136" s="807" t="str">
        <f t="shared" si="1233"/>
        <v/>
      </c>
      <c r="L136" s="309"/>
      <c r="M136" s="492" t="str">
        <f t="shared" si="920"/>
        <v/>
      </c>
      <c r="N136" s="581" t="str">
        <f t="shared" si="921"/>
        <v/>
      </c>
      <c r="O136" s="582" t="str">
        <f t="shared" si="922"/>
        <v/>
      </c>
      <c r="P136" s="583" t="str">
        <f t="shared" si="923"/>
        <v/>
      </c>
      <c r="Q136" s="536" t="str">
        <f t="shared" si="1079"/>
        <v/>
      </c>
      <c r="R136" s="582" t="str">
        <f t="shared" si="1080"/>
        <v/>
      </c>
      <c r="S136" s="584" t="str">
        <f t="shared" si="1081"/>
        <v/>
      </c>
      <c r="T136" s="585" t="str">
        <f t="shared" si="1082"/>
        <v/>
      </c>
      <c r="U136" s="582" t="str">
        <f t="shared" si="1083"/>
        <v/>
      </c>
      <c r="V136" s="586" t="str">
        <f t="shared" si="1084"/>
        <v/>
      </c>
      <c r="W136" s="536" t="str">
        <f t="shared" si="1085"/>
        <v/>
      </c>
      <c r="X136" s="582" t="str">
        <f t="shared" si="1086"/>
        <v/>
      </c>
      <c r="Y136" s="587" t="str">
        <f t="shared" si="1087"/>
        <v/>
      </c>
      <c r="Z136" s="581" t="str">
        <f t="shared" si="924"/>
        <v/>
      </c>
      <c r="AA136" s="582" t="str">
        <f t="shared" si="925"/>
        <v/>
      </c>
      <c r="AB136" s="582" t="str">
        <f t="shared" si="926"/>
        <v/>
      </c>
      <c r="AC136" s="586" t="str">
        <f t="shared" si="1088"/>
        <v/>
      </c>
      <c r="AD136" s="588" t="str">
        <f t="shared" si="1089"/>
        <v/>
      </c>
      <c r="AE136" s="582" t="str">
        <f t="shared" si="1090"/>
        <v/>
      </c>
      <c r="AF136" s="583" t="str">
        <f t="shared" si="1091"/>
        <v/>
      </c>
      <c r="AG136" s="547" t="str">
        <f t="shared" si="1092"/>
        <v/>
      </c>
      <c r="AH136" s="548" t="str">
        <f t="shared" si="1093"/>
        <v/>
      </c>
      <c r="AI136" s="536" t="str">
        <f t="shared" si="1094"/>
        <v/>
      </c>
      <c r="AJ136" s="537" t="str">
        <f t="shared" si="1095"/>
        <v/>
      </c>
      <c r="AK136" s="585" t="str">
        <f t="shared" si="1096"/>
        <v/>
      </c>
      <c r="AL136" s="582" t="str">
        <f t="shared" si="1097"/>
        <v/>
      </c>
      <c r="AM136" s="584" t="str">
        <f t="shared" si="1098"/>
        <v/>
      </c>
      <c r="AN136" s="534" t="str">
        <f t="shared" si="1099"/>
        <v/>
      </c>
      <c r="AO136" s="535" t="str">
        <f t="shared" si="1058"/>
        <v/>
      </c>
      <c r="AP136" s="536" t="str">
        <f t="shared" si="1100"/>
        <v/>
      </c>
      <c r="AQ136" s="537" t="str">
        <f t="shared" si="927"/>
        <v/>
      </c>
      <c r="AS136" s="955" t="str">
        <f t="shared" si="1029"/>
        <v/>
      </c>
      <c r="AT136" s="951" t="str">
        <f t="shared" si="928"/>
        <v/>
      </c>
      <c r="AU136" s="418"/>
      <c r="AV136" s="164" t="str">
        <f t="shared" si="929"/>
        <v/>
      </c>
      <c r="AW136" s="832" t="str">
        <f>IFERROR(INDEX(MassProp!C$9:C$150,MATCH($M136,MassProp!$B$9:$B$150,0)),"")</f>
        <v/>
      </c>
      <c r="AX136" s="833" t="str">
        <f>IFERROR(INDEX(MassProp!D$9:D$150,MATCH($M136,MassProp!$B$9:$B$150,0)),"")</f>
        <v/>
      </c>
      <c r="AY136" s="834" t="str">
        <f>IFERROR(INDEX(MassProp!E$9:E$150,MATCH($M136,MassProp!$B$9:$B$150,0)),"")</f>
        <v/>
      </c>
      <c r="AZ136" s="297" t="str">
        <f t="shared" si="1101"/>
        <v/>
      </c>
      <c r="BA136" s="505" t="str">
        <f t="shared" si="1102"/>
        <v/>
      </c>
      <c r="BB136" s="506" t="str">
        <f t="shared" si="730"/>
        <v/>
      </c>
      <c r="BC136" s="496"/>
      <c r="BD136" s="494" t="str">
        <f t="shared" si="1103"/>
        <v/>
      </c>
      <c r="BE136" s="497" t="str">
        <f t="shared" si="931"/>
        <v/>
      </c>
      <c r="BF136" s="498" t="str">
        <f t="shared" si="932"/>
        <v/>
      </c>
      <c r="BG136" s="494" t="str">
        <f t="shared" si="933"/>
        <v/>
      </c>
      <c r="BH136" s="495" t="str">
        <f t="shared" si="934"/>
        <v/>
      </c>
      <c r="BI136" s="496" t="str">
        <f t="shared" si="1104"/>
        <v/>
      </c>
      <c r="BJ136" s="494" t="str">
        <f t="shared" si="935"/>
        <v/>
      </c>
      <c r="BK136" s="499" t="str">
        <f t="shared" si="936"/>
        <v/>
      </c>
      <c r="BL136" s="502" t="str">
        <f t="shared" si="937"/>
        <v/>
      </c>
      <c r="BM136" s="494" t="str">
        <f t="shared" si="938"/>
        <v/>
      </c>
      <c r="BN136" s="497" t="str">
        <f t="shared" si="939"/>
        <v/>
      </c>
      <c r="BO136" s="498" t="str">
        <f t="shared" si="1105"/>
        <v/>
      </c>
      <c r="BP136" s="494" t="str">
        <f t="shared" si="1106"/>
        <v/>
      </c>
      <c r="BQ136" s="494" t="str">
        <f t="shared" si="1107"/>
        <v/>
      </c>
      <c r="BR136" s="497" t="str">
        <f t="shared" si="1108"/>
        <v/>
      </c>
      <c r="BS136" s="498" t="str">
        <f t="shared" si="1024"/>
        <v/>
      </c>
      <c r="BT136" s="494" t="str">
        <f t="shared" si="1024"/>
        <v/>
      </c>
      <c r="BU136" s="495" t="str">
        <f t="shared" si="733"/>
        <v/>
      </c>
      <c r="BV136" s="496" t="str">
        <f t="shared" si="734"/>
        <v/>
      </c>
      <c r="BW136" s="494" t="str">
        <f t="shared" si="735"/>
        <v/>
      </c>
      <c r="BX136" s="499" t="str">
        <f t="shared" si="736"/>
        <v/>
      </c>
      <c r="BY136" s="502" t="str">
        <f t="shared" si="737"/>
        <v/>
      </c>
      <c r="BZ136" s="494" t="str">
        <f t="shared" si="738"/>
        <v/>
      </c>
      <c r="CA136" s="497" t="str">
        <f t="shared" si="739"/>
        <v/>
      </c>
      <c r="CB136" s="498" t="str">
        <f t="shared" si="1109"/>
        <v/>
      </c>
      <c r="CC136" s="494" t="str">
        <f t="shared" si="1110"/>
        <v/>
      </c>
      <c r="CD136" s="494" t="str">
        <f t="shared" si="1111"/>
        <v/>
      </c>
      <c r="CE136" s="497" t="str">
        <f t="shared" si="1112"/>
        <v/>
      </c>
      <c r="CF136" s="498" t="str">
        <f t="shared" si="1113"/>
        <v/>
      </c>
      <c r="CG136" s="494" t="str">
        <f t="shared" si="1114"/>
        <v/>
      </c>
      <c r="CH136" s="494" t="str">
        <f t="shared" si="1115"/>
        <v/>
      </c>
      <c r="CI136" s="498" t="str">
        <f t="shared" si="740"/>
        <v/>
      </c>
      <c r="CJ136" s="494" t="str">
        <f t="shared" si="1116"/>
        <v/>
      </c>
      <c r="CK136" s="499" t="str">
        <f t="shared" si="1117"/>
        <v/>
      </c>
      <c r="CL136" s="502" t="str">
        <f t="shared" si="1118"/>
        <v/>
      </c>
      <c r="CM136" s="494" t="str">
        <f t="shared" si="1119"/>
        <v/>
      </c>
      <c r="CN136" s="497" t="str">
        <f t="shared" si="1120"/>
        <v/>
      </c>
      <c r="CO136" s="507" t="str">
        <f t="shared" si="940"/>
        <v/>
      </c>
      <c r="CP136" s="498" t="str">
        <f t="shared" si="1121"/>
        <v/>
      </c>
      <c r="CQ136" s="494" t="str">
        <f t="shared" si="1122"/>
        <v/>
      </c>
      <c r="CR136" s="494" t="str">
        <f t="shared" si="1123"/>
        <v/>
      </c>
      <c r="CS136" s="499" t="str">
        <f t="shared" si="1124"/>
        <v/>
      </c>
      <c r="CT136" s="496" t="str">
        <f t="shared" si="1125"/>
        <v/>
      </c>
      <c r="CU136" s="497" t="str">
        <f t="shared" si="1126"/>
        <v/>
      </c>
      <c r="CV136" s="498" t="str">
        <f t="shared" si="1127"/>
        <v/>
      </c>
      <c r="CW136" s="494" t="str">
        <f t="shared" si="1128"/>
        <v/>
      </c>
      <c r="CX136" s="499" t="str">
        <f t="shared" si="1129"/>
        <v/>
      </c>
      <c r="CY136" s="496" t="str">
        <f t="shared" si="1130"/>
        <v/>
      </c>
      <c r="CZ136" s="494" t="str">
        <f t="shared" si="1131"/>
        <v/>
      </c>
      <c r="DA136" s="497" t="str">
        <f t="shared" si="1132"/>
        <v/>
      </c>
      <c r="DB136" s="498" t="str">
        <f t="shared" si="1030"/>
        <v/>
      </c>
      <c r="DC136" s="494" t="str">
        <f t="shared" si="1030"/>
        <v/>
      </c>
      <c r="DD136" s="495" t="str">
        <f t="shared" si="782"/>
        <v/>
      </c>
      <c r="DE136" s="496" t="str">
        <f t="shared" si="1031"/>
        <v/>
      </c>
      <c r="DF136" s="494" t="str">
        <f t="shared" si="1031"/>
        <v/>
      </c>
      <c r="DG136" s="495" t="str">
        <f t="shared" si="784"/>
        <v/>
      </c>
      <c r="DH136" s="501" t="str">
        <f t="shared" si="1133"/>
        <v/>
      </c>
      <c r="DI136" s="498" t="str">
        <f t="shared" si="1134"/>
        <v/>
      </c>
      <c r="DJ136" s="494" t="str">
        <f t="shared" si="1135"/>
        <v/>
      </c>
      <c r="DK136" s="495" t="str">
        <f t="shared" si="1136"/>
        <v/>
      </c>
      <c r="DL136" s="496" t="str">
        <f t="shared" si="1137"/>
        <v/>
      </c>
      <c r="DM136" s="502" t="str">
        <f t="shared" si="1138"/>
        <v/>
      </c>
      <c r="DN136" s="508" t="str">
        <f t="shared" si="1139"/>
        <v/>
      </c>
      <c r="DO136" s="496" t="str">
        <f t="shared" si="1140"/>
        <v/>
      </c>
      <c r="DP136" s="502" t="str">
        <f t="shared" si="1141"/>
        <v/>
      </c>
      <c r="DQ136" s="503" t="str">
        <f t="shared" si="1142"/>
        <v/>
      </c>
      <c r="DR136" s="502" t="str">
        <f t="shared" si="1143"/>
        <v/>
      </c>
      <c r="DS136" s="494" t="str">
        <f t="shared" si="1144"/>
        <v/>
      </c>
      <c r="DT136" s="494" t="str">
        <f t="shared" si="1145"/>
        <v/>
      </c>
      <c r="DU136" s="494" t="str">
        <f t="shared" si="1146"/>
        <v/>
      </c>
      <c r="DV136" s="494" t="str">
        <f t="shared" si="1147"/>
        <v/>
      </c>
      <c r="DW136" s="494" t="str">
        <f t="shared" si="1148"/>
        <v/>
      </c>
      <c r="DX136" s="507" t="str">
        <f t="shared" si="1149"/>
        <v/>
      </c>
      <c r="DY136" s="496" t="str">
        <f t="shared" si="1150"/>
        <v/>
      </c>
      <c r="DZ136" s="494" t="str">
        <f t="shared" si="1151"/>
        <v/>
      </c>
      <c r="EA136" s="495" t="str">
        <f t="shared" si="1152"/>
        <v/>
      </c>
      <c r="EB136" s="497" t="str">
        <f t="shared" si="1153"/>
        <v/>
      </c>
      <c r="EC136" s="502" t="str">
        <f t="shared" si="1154"/>
        <v/>
      </c>
      <c r="ED136" s="494" t="str">
        <f t="shared" si="1155"/>
        <v/>
      </c>
      <c r="EE136" s="498" t="str">
        <f t="shared" si="1156"/>
        <v/>
      </c>
      <c r="EF136" s="494" t="str">
        <f t="shared" si="1157"/>
        <v/>
      </c>
      <c r="EG136" s="495" t="str">
        <f t="shared" si="1158"/>
        <v/>
      </c>
      <c r="EH136" s="496" t="str">
        <f t="shared" si="1159"/>
        <v/>
      </c>
      <c r="EI136" s="494" t="str">
        <f t="shared" si="1160"/>
        <v/>
      </c>
      <c r="EJ136" s="497" t="str">
        <f t="shared" si="1161"/>
        <v/>
      </c>
      <c r="EK136" s="509" t="str">
        <f t="shared" si="814"/>
        <v/>
      </c>
      <c r="EL136" s="510" t="str">
        <f t="shared" si="815"/>
        <v/>
      </c>
      <c r="EM136" s="498" t="str">
        <f t="shared" si="1162"/>
        <v/>
      </c>
      <c r="EN136" s="494" t="str">
        <f t="shared" si="1163"/>
        <v/>
      </c>
      <c r="EO136" s="495" t="str">
        <f t="shared" si="1164"/>
        <v/>
      </c>
      <c r="EP136" s="496" t="str">
        <f t="shared" si="1165"/>
        <v/>
      </c>
      <c r="EQ136" s="494" t="str">
        <f t="shared" si="1166"/>
        <v/>
      </c>
      <c r="ER136" s="500" t="str">
        <f t="shared" si="1167"/>
        <v/>
      </c>
      <c r="ES136" s="493" t="str">
        <f t="shared" si="941"/>
        <v/>
      </c>
      <c r="ET136" s="494" t="str">
        <f t="shared" si="942"/>
        <v/>
      </c>
      <c r="EU136" s="495" t="str">
        <f t="shared" si="943"/>
        <v/>
      </c>
      <c r="EV136" s="174" t="str">
        <f t="shared" si="1168"/>
        <v/>
      </c>
      <c r="EW136" s="496" t="str">
        <f t="shared" si="1169"/>
        <v/>
      </c>
      <c r="EX136" s="494" t="str">
        <f t="shared" si="1170"/>
        <v/>
      </c>
      <c r="EY136" s="497" t="str">
        <f t="shared" si="1171"/>
        <v/>
      </c>
      <c r="EZ136" s="504" t="str">
        <f t="shared" si="823"/>
        <v/>
      </c>
      <c r="FA136" s="502" t="str">
        <f t="shared" si="947"/>
        <v/>
      </c>
      <c r="FB136" s="494" t="str">
        <f t="shared" si="948"/>
        <v/>
      </c>
      <c r="FC136" s="497" t="str">
        <f t="shared" si="949"/>
        <v/>
      </c>
      <c r="FD136" s="498" t="str">
        <f t="shared" si="1172"/>
        <v/>
      </c>
      <c r="FE136" s="494" t="str">
        <f t="shared" si="1173"/>
        <v/>
      </c>
      <c r="FF136" s="500" t="str">
        <f t="shared" si="1174"/>
        <v/>
      </c>
      <c r="FG136" s="173" t="str">
        <f t="shared" si="1175"/>
        <v/>
      </c>
      <c r="FH136" s="5" t="str">
        <f t="shared" si="1176"/>
        <v/>
      </c>
      <c r="FI136" s="10" t="str">
        <f t="shared" si="1177"/>
        <v/>
      </c>
      <c r="FJ136" s="279" t="str">
        <f t="shared" si="1178"/>
        <v/>
      </c>
      <c r="FK136" s="4" t="str">
        <f t="shared" si="1179"/>
        <v/>
      </c>
      <c r="FL136" s="5" t="str">
        <f t="shared" si="1180"/>
        <v/>
      </c>
      <c r="FM136" s="8" t="str">
        <f t="shared" si="1181"/>
        <v/>
      </c>
      <c r="FN136" s="9" t="str">
        <f t="shared" si="1182"/>
        <v/>
      </c>
      <c r="FO136" s="10" t="str">
        <f t="shared" si="1183"/>
        <v/>
      </c>
      <c r="FP136" s="277" t="str">
        <f t="shared" si="1184"/>
        <v/>
      </c>
      <c r="FQ136" s="173" t="str">
        <f t="shared" si="1185"/>
        <v/>
      </c>
      <c r="FR136" s="10" t="str">
        <f t="shared" si="1186"/>
        <v/>
      </c>
      <c r="FS136" s="9" t="str">
        <f t="shared" si="1187"/>
        <v/>
      </c>
      <c r="FT136" s="6" t="str">
        <f t="shared" si="1188"/>
        <v/>
      </c>
      <c r="FU136" s="4" t="str">
        <f t="shared" si="1189"/>
        <v/>
      </c>
      <c r="FV136" s="5" t="str">
        <f t="shared" si="1190"/>
        <v/>
      </c>
      <c r="FW136" s="8" t="str">
        <f t="shared" si="1191"/>
        <v/>
      </c>
      <c r="FX136" s="9" t="str">
        <f t="shared" si="1192"/>
        <v/>
      </c>
      <c r="FY136" s="10" t="str">
        <f t="shared" si="1193"/>
        <v/>
      </c>
      <c r="FZ136" s="277" t="str">
        <f t="shared" si="1194"/>
        <v/>
      </c>
      <c r="GA136" s="177" t="str">
        <f t="shared" si="1195"/>
        <v/>
      </c>
      <c r="GB136" s="4" t="str">
        <f t="shared" si="1196"/>
        <v/>
      </c>
      <c r="GC136" s="5" t="str">
        <f t="shared" si="1197"/>
        <v/>
      </c>
      <c r="GD136" s="10" t="str">
        <f t="shared" si="1198"/>
        <v/>
      </c>
      <c r="GE136" s="311" t="str">
        <f t="shared" si="1199"/>
        <v/>
      </c>
      <c r="GF136" s="341" t="str">
        <f t="shared" si="1200"/>
        <v/>
      </c>
      <c r="GG136" s="306" t="str">
        <f t="shared" si="1201"/>
        <v/>
      </c>
      <c r="GH136" s="307" t="str">
        <f t="shared" si="1202"/>
        <v/>
      </c>
      <c r="GI136" s="308" t="str">
        <f t="shared" si="1203"/>
        <v/>
      </c>
      <c r="GJ136" s="167" t="str">
        <f t="shared" si="1204"/>
        <v/>
      </c>
      <c r="GK136" s="174" t="str">
        <f t="shared" si="961"/>
        <v/>
      </c>
      <c r="GL136" s="174" t="str">
        <f t="shared" si="1205"/>
        <v/>
      </c>
      <c r="GM136" s="177" t="str">
        <f t="shared" si="1206"/>
        <v/>
      </c>
      <c r="GN136" s="280" t="str">
        <f t="shared" si="1207"/>
        <v/>
      </c>
      <c r="GO136" s="4" t="str">
        <f t="shared" si="1208"/>
        <v/>
      </c>
      <c r="GP136" s="8" t="str">
        <f t="shared" si="1209"/>
        <v/>
      </c>
      <c r="GQ136" s="177" t="str">
        <f t="shared" si="1210"/>
        <v/>
      </c>
      <c r="GR136" s="371" t="str">
        <f t="shared" si="1211"/>
        <v/>
      </c>
      <c r="GS136" s="342" t="str">
        <f t="shared" si="1212"/>
        <v/>
      </c>
      <c r="GT136" s="343" t="str">
        <f t="shared" si="1213"/>
        <v/>
      </c>
      <c r="GU136" s="344" t="str">
        <f t="shared" si="964"/>
        <v/>
      </c>
      <c r="GV136" s="343" t="str">
        <f t="shared" si="1214"/>
        <v/>
      </c>
      <c r="GW136" s="345" t="str">
        <f t="shared" si="965"/>
        <v/>
      </c>
      <c r="GX136" s="346" t="str">
        <f t="shared" si="966"/>
        <v/>
      </c>
      <c r="GY136" s="344" t="str">
        <f t="shared" si="1215"/>
        <v/>
      </c>
      <c r="GZ136" s="345" t="str">
        <f t="shared" si="1216"/>
        <v/>
      </c>
      <c r="HA136" s="342" t="str">
        <f t="shared" si="969"/>
        <v/>
      </c>
      <c r="HB136" s="5" t="str">
        <f t="shared" si="850"/>
        <v/>
      </c>
      <c r="HC136" s="343" t="str">
        <f t="shared" si="1217"/>
        <v/>
      </c>
      <c r="HD136" s="363" t="str">
        <f t="shared" si="1218"/>
        <v/>
      </c>
      <c r="HE136" s="344" t="str">
        <f t="shared" si="970"/>
        <v/>
      </c>
      <c r="HF136" s="5" t="str">
        <f t="shared" si="971"/>
        <v/>
      </c>
      <c r="HG136" s="343" t="str">
        <f t="shared" si="1219"/>
        <v/>
      </c>
      <c r="HH136" s="349" t="str">
        <f t="shared" si="1220"/>
        <v/>
      </c>
      <c r="HI136" s="317" t="str">
        <f t="shared" si="972"/>
        <v/>
      </c>
      <c r="HK136" s="310" t="str">
        <f t="shared" si="1025"/>
        <v/>
      </c>
      <c r="HL136" s="348" t="str">
        <f t="shared" si="973"/>
        <v/>
      </c>
      <c r="HM136" s="923" t="str">
        <f t="shared" si="974"/>
        <v/>
      </c>
      <c r="HN136" s="924" t="str">
        <f t="shared" si="975"/>
        <v/>
      </c>
      <c r="HO136" s="925"/>
      <c r="HP136" s="926"/>
      <c r="HQ136" s="924" t="str">
        <f t="shared" si="976"/>
        <v/>
      </c>
      <c r="HR136" s="927" t="str">
        <f t="shared" si="977"/>
        <v/>
      </c>
      <c r="HS136" s="879" t="str">
        <f t="shared" si="1221"/>
        <v/>
      </c>
      <c r="HT136" s="889" t="str">
        <f t="shared" si="978"/>
        <v/>
      </c>
      <c r="HU136" s="890" t="str">
        <f t="shared" si="979"/>
        <v/>
      </c>
      <c r="HV136" s="886" t="str">
        <f t="shared" si="980"/>
        <v/>
      </c>
      <c r="HW136" s="880" t="str">
        <f t="shared" si="981"/>
        <v/>
      </c>
      <c r="HX136" s="881" t="str">
        <f t="shared" si="982"/>
        <v/>
      </c>
      <c r="HY136" s="880" t="str">
        <f t="shared" si="983"/>
        <v/>
      </c>
      <c r="HZ136" s="882" t="str">
        <f t="shared" si="984"/>
        <v/>
      </c>
      <c r="IA136" s="883" t="str">
        <f t="shared" si="985"/>
        <v/>
      </c>
      <c r="IB136" s="884" t="str">
        <f t="shared" si="986"/>
        <v/>
      </c>
      <c r="IC136" s="855" t="str">
        <f t="shared" si="987"/>
        <v/>
      </c>
      <c r="ID136" s="351" t="str">
        <f t="shared" si="988"/>
        <v/>
      </c>
      <c r="IE136" s="857" t="str">
        <f t="shared" si="989"/>
        <v/>
      </c>
      <c r="IF136" s="858"/>
      <c r="IG136" s="790" t="str">
        <f>IFERROR(IF($IW136="","",IF($IW136&lt;(((Settings!$C$19/2)*-1)*$IG$8),"Taper","Nose")),"")</f>
        <v/>
      </c>
      <c r="IH136" s="482" t="str">
        <f>IFERROR(IF((((($IY136*COS(RADIANS(180-$JA136)))*COS(RADIANS($JA136)))-(($IZ136*SIN(RADIANS(180-$JA136)))*SIN(RADIANS($JA136))))+$IW136)&lt;(((Settings!$C$19+$IH$8)/2)*-1),"Gage",""),"")</f>
        <v/>
      </c>
      <c r="II136" s="788" t="str">
        <f t="shared" si="855"/>
        <v/>
      </c>
      <c r="IJ136" s="674" t="str" cm="1">
        <f t="array" ref="IJ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K136" s="677" t="str" cm="1">
        <f t="array" ref="IK136">IFERROR(ROUND(VALUE(IF($IJ136&lt;1,$IJ136+LARGE((IF($M$9:$M$150="",0,$M$9:$M$150)-MOD(IF($M$9:$M$150="",0,$M$9:$M$150),1)),1),$IJ136)),4),"")</f>
        <v/>
      </c>
      <c r="IL136" s="482" t="str">
        <f t="shared" si="990"/>
        <v/>
      </c>
      <c r="IM136" s="482" t="str">
        <f t="shared" si="856"/>
        <v/>
      </c>
      <c r="IN136" s="670" t="str">
        <f t="shared" si="991"/>
        <v/>
      </c>
      <c r="IO136" s="702"/>
      <c r="IP136" s="5" t="str">
        <f t="shared" si="992"/>
        <v/>
      </c>
      <c r="IQ136" s="714"/>
      <c r="IR136" s="9" t="str">
        <f t="shared" si="993"/>
        <v/>
      </c>
      <c r="IS136" s="5" t="str">
        <f t="shared" si="994"/>
        <v/>
      </c>
      <c r="IT136" s="5" t="str">
        <f t="shared" si="995"/>
        <v/>
      </c>
      <c r="IU136" s="5" t="str">
        <f t="shared" si="996"/>
        <v/>
      </c>
      <c r="IV136" s="670" t="str">
        <f t="shared" si="997"/>
        <v/>
      </c>
      <c r="IW136" s="9" t="str">
        <f t="shared" si="998"/>
        <v/>
      </c>
      <c r="IX136" s="5" t="str">
        <f t="shared" si="999"/>
        <v/>
      </c>
      <c r="IY136" s="5" t="str">
        <f t="shared" si="1000"/>
        <v/>
      </c>
      <c r="IZ136" s="5" t="str">
        <f t="shared" si="1001"/>
        <v/>
      </c>
      <c r="JA136" s="705" t="str">
        <f t="shared" si="1002"/>
        <v/>
      </c>
      <c r="JN136" s="960"/>
      <c r="JO136" s="162"/>
      <c r="JP136" s="961"/>
      <c r="JQ136" s="961"/>
    </row>
    <row r="137" spans="1:277" ht="15" customHeight="1" x14ac:dyDescent="0.25">
      <c r="A137" s="75" t="str">
        <f t="shared" ref="A137:A150" si="1234">IF($K137="","",IF(AND($A$8="Y",ISNUMBER($K137)),$A$5,0))</f>
        <v/>
      </c>
      <c r="B137" s="585" t="str">
        <f t="shared" ref="B137:D137" si="1235">IFERROR(O292+($A137*-E137),"")</f>
        <v/>
      </c>
      <c r="C137" s="582" t="str">
        <f t="shared" si="1235"/>
        <v/>
      </c>
      <c r="D137" s="583" t="str">
        <f t="shared" si="1235"/>
        <v/>
      </c>
      <c r="E137" s="588" t="str">
        <f t="shared" ref="E137:K137" si="1236">R292</f>
        <v/>
      </c>
      <c r="F137" s="582" t="str">
        <f t="shared" si="1236"/>
        <v/>
      </c>
      <c r="G137" s="586" t="str">
        <f t="shared" si="1236"/>
        <v/>
      </c>
      <c r="H137" s="588" t="str">
        <f t="shared" si="1236"/>
        <v/>
      </c>
      <c r="I137" s="582" t="str">
        <f t="shared" si="1236"/>
        <v/>
      </c>
      <c r="J137" s="491" t="str">
        <f t="shared" si="728"/>
        <v/>
      </c>
      <c r="K137" s="807" t="str">
        <f t="shared" si="1236"/>
        <v/>
      </c>
      <c r="L137" s="309"/>
      <c r="M137" s="492" t="str">
        <f t="shared" ref="M137:M150" si="1237">IF(J137="","",VALUE(J137))</f>
        <v/>
      </c>
      <c r="N137" s="581" t="str">
        <f t="shared" ref="N137:N150" si="1238">IF(M137="","",B137)</f>
        <v/>
      </c>
      <c r="O137" s="582" t="str">
        <f t="shared" ref="O137:O150" si="1239">IF(M137="","",C137)</f>
        <v/>
      </c>
      <c r="P137" s="583" t="str">
        <f t="shared" ref="P137:P150" si="1240">IF(M137="","",D137)</f>
        <v/>
      </c>
      <c r="Q137" s="536" t="str">
        <f t="shared" si="1079"/>
        <v/>
      </c>
      <c r="R137" s="582" t="str">
        <f t="shared" si="1080"/>
        <v/>
      </c>
      <c r="S137" s="584" t="str">
        <f t="shared" si="1081"/>
        <v/>
      </c>
      <c r="T137" s="585" t="str">
        <f t="shared" si="1082"/>
        <v/>
      </c>
      <c r="U137" s="582" t="str">
        <f t="shared" si="1083"/>
        <v/>
      </c>
      <c r="V137" s="586" t="str">
        <f t="shared" si="1084"/>
        <v/>
      </c>
      <c r="W137" s="536" t="str">
        <f t="shared" si="1085"/>
        <v/>
      </c>
      <c r="X137" s="582" t="str">
        <f t="shared" si="1086"/>
        <v/>
      </c>
      <c r="Y137" s="587" t="str">
        <f t="shared" si="1087"/>
        <v/>
      </c>
      <c r="Z137" s="581" t="str">
        <f t="shared" ref="Z137:Z150" si="1241">IF(M137="","",-E137)</f>
        <v/>
      </c>
      <c r="AA137" s="582" t="str">
        <f t="shared" ref="AA137:AA150" si="1242">IF(M137="","",-F137)</f>
        <v/>
      </c>
      <c r="AB137" s="582" t="str">
        <f t="shared" ref="AB137:AB150" si="1243">IF(M137="","",-G137)</f>
        <v/>
      </c>
      <c r="AC137" s="586" t="str">
        <f t="shared" si="1088"/>
        <v/>
      </c>
      <c r="AD137" s="588" t="str">
        <f t="shared" si="1089"/>
        <v/>
      </c>
      <c r="AE137" s="582" t="str">
        <f t="shared" si="1090"/>
        <v/>
      </c>
      <c r="AF137" s="583" t="str">
        <f t="shared" si="1091"/>
        <v/>
      </c>
      <c r="AG137" s="547" t="str">
        <f t="shared" si="1092"/>
        <v/>
      </c>
      <c r="AH137" s="548" t="str">
        <f t="shared" si="1093"/>
        <v/>
      </c>
      <c r="AI137" s="536" t="str">
        <f t="shared" si="1094"/>
        <v/>
      </c>
      <c r="AJ137" s="537" t="str">
        <f t="shared" si="1095"/>
        <v/>
      </c>
      <c r="AK137" s="585" t="str">
        <f t="shared" si="1096"/>
        <v/>
      </c>
      <c r="AL137" s="582" t="str">
        <f t="shared" si="1097"/>
        <v/>
      </c>
      <c r="AM137" s="584" t="str">
        <f t="shared" si="1098"/>
        <v/>
      </c>
      <c r="AN137" s="534" t="str">
        <f t="shared" si="1099"/>
        <v/>
      </c>
      <c r="AO137" s="535" t="str">
        <f t="shared" si="1058"/>
        <v/>
      </c>
      <c r="AP137" s="536" t="str">
        <f t="shared" si="1100"/>
        <v/>
      </c>
      <c r="AQ137" s="537" t="str">
        <f t="shared" ref="AQ137:AQ150" si="1244">IF(M137="","",DEGREES(ATAN(($AS$5*SIN(RADIANS(90)))/(($X137*2*PI())-($AS$5*COS(RADIANS(90)))))))</f>
        <v/>
      </c>
      <c r="AS137" s="955" t="str">
        <f t="shared" si="1029"/>
        <v/>
      </c>
      <c r="AT137" s="951" t="str">
        <f t="shared" ref="AT137:AT150" si="1245">IF(M137="","",Y137+(((AS137-$AS$9)*$AS$6)*-1))</f>
        <v/>
      </c>
      <c r="AU137" s="418"/>
      <c r="AV137" s="164" t="str">
        <f t="shared" ref="AV137:AV150" si="1246">IF(AND(ISNUMBER(VALUE(K137)),ISNUMBER(AW137),ISNUMBER(AX137),ISNUMBER(AY137),AY137&gt;=0.0001),$M137,"")</f>
        <v/>
      </c>
      <c r="AW137" s="832" t="str">
        <f>IFERROR(INDEX(MassProp!C$9:C$150,MATCH($M137,MassProp!$B$9:$B$150,0)),"")</f>
        <v/>
      </c>
      <c r="AX137" s="833" t="str">
        <f>IFERROR(INDEX(MassProp!D$9:D$150,MATCH($M137,MassProp!$B$9:$B$150,0)),"")</f>
        <v/>
      </c>
      <c r="AY137" s="834" t="str">
        <f>IFERROR(INDEX(MassProp!E$9:E$150,MATCH($M137,MassProp!$B$9:$B$150,0)),"")</f>
        <v/>
      </c>
      <c r="AZ137" s="297" t="str">
        <f t="shared" si="1101"/>
        <v/>
      </c>
      <c r="BA137" s="505" t="str">
        <f t="shared" si="1102"/>
        <v/>
      </c>
      <c r="BB137" s="506" t="str">
        <f t="shared" si="730"/>
        <v/>
      </c>
      <c r="BC137" s="496"/>
      <c r="BD137" s="494" t="str">
        <f t="shared" si="1103"/>
        <v/>
      </c>
      <c r="BE137" s="497" t="str">
        <f t="shared" ref="BE137:BE150" si="1247">IF(ISNUMBER(AV137),Y137+BB137,"")</f>
        <v/>
      </c>
      <c r="BF137" s="498" t="str">
        <f t="shared" ref="BF137:BF150" si="1248">IF(ISNUMBER($AV137),N137,"")</f>
        <v/>
      </c>
      <c r="BG137" s="494" t="str">
        <f t="shared" ref="BG137:BG150" si="1249">IF(ISNUMBER($AV137),O137,"")</f>
        <v/>
      </c>
      <c r="BH137" s="495" t="str">
        <f t="shared" ref="BH137:BH150" si="1250">IF(ISNUMBER($AV137),P137,"")</f>
        <v/>
      </c>
      <c r="BI137" s="496" t="str">
        <f t="shared" si="1104"/>
        <v/>
      </c>
      <c r="BJ137" s="494" t="str">
        <f t="shared" ref="BJ137:BJ150" si="1251">IF(ISNUMBER($AV137),BG137+COS(RADIANS($AG137)),"")</f>
        <v/>
      </c>
      <c r="BK137" s="499" t="str">
        <f t="shared" ref="BK137:BK150" si="1252">IF(ISNUMBER($AV137),BH137+SIN(RADIANS($AG137)),"")</f>
        <v/>
      </c>
      <c r="BL137" s="502" t="str">
        <f t="shared" ref="BL137:BL150" si="1253">IF(ISNUMBER($AV137),BF137+SIN(RADIANS($AH137)),"")</f>
        <v/>
      </c>
      <c r="BM137" s="494" t="str">
        <f t="shared" ref="BM137:BM150" si="1254">IF(ISNUMBER($AV137),BG137-SIN(RADIANS($AG137))*COS(RADIANS($AH137)),"")</f>
        <v/>
      </c>
      <c r="BN137" s="497" t="str">
        <f t="shared" ref="BN137:BN150" si="1255">IF(ISNUMBER($AV137),BH137+COS(RADIANS($AG137))*COS(RADIANS($AH137)),"")</f>
        <v/>
      </c>
      <c r="BO137" s="498" t="str">
        <f t="shared" si="1105"/>
        <v/>
      </c>
      <c r="BP137" s="494" t="str">
        <f t="shared" si="1106"/>
        <v/>
      </c>
      <c r="BQ137" s="494" t="str">
        <f t="shared" si="1107"/>
        <v/>
      </c>
      <c r="BR137" s="497" t="str">
        <f t="shared" si="1108"/>
        <v/>
      </c>
      <c r="BS137" s="498" t="str">
        <f t="shared" si="1024"/>
        <v/>
      </c>
      <c r="BT137" s="494" t="str">
        <f t="shared" si="1024"/>
        <v/>
      </c>
      <c r="BU137" s="495" t="str">
        <f t="shared" si="733"/>
        <v/>
      </c>
      <c r="BV137" s="496" t="str">
        <f t="shared" si="734"/>
        <v/>
      </c>
      <c r="BW137" s="494" t="str">
        <f t="shared" si="735"/>
        <v/>
      </c>
      <c r="BX137" s="499" t="str">
        <f t="shared" si="736"/>
        <v/>
      </c>
      <c r="BY137" s="502" t="str">
        <f t="shared" si="737"/>
        <v/>
      </c>
      <c r="BZ137" s="494" t="str">
        <f t="shared" si="738"/>
        <v/>
      </c>
      <c r="CA137" s="497" t="str">
        <f t="shared" si="739"/>
        <v/>
      </c>
      <c r="CB137" s="498" t="str">
        <f t="shared" si="1109"/>
        <v/>
      </c>
      <c r="CC137" s="494" t="str">
        <f t="shared" si="1110"/>
        <v/>
      </c>
      <c r="CD137" s="494" t="str">
        <f t="shared" si="1111"/>
        <v/>
      </c>
      <c r="CE137" s="497" t="str">
        <f t="shared" si="1112"/>
        <v/>
      </c>
      <c r="CF137" s="498" t="str">
        <f t="shared" si="1113"/>
        <v/>
      </c>
      <c r="CG137" s="494" t="str">
        <f t="shared" si="1114"/>
        <v/>
      </c>
      <c r="CH137" s="494" t="str">
        <f t="shared" si="1115"/>
        <v/>
      </c>
      <c r="CI137" s="498" t="str">
        <f t="shared" si="740"/>
        <v/>
      </c>
      <c r="CJ137" s="494" t="str">
        <f t="shared" si="1116"/>
        <v/>
      </c>
      <c r="CK137" s="499" t="str">
        <f t="shared" si="1117"/>
        <v/>
      </c>
      <c r="CL137" s="502" t="str">
        <f t="shared" si="1118"/>
        <v/>
      </c>
      <c r="CM137" s="494" t="str">
        <f t="shared" si="1119"/>
        <v/>
      </c>
      <c r="CN137" s="497" t="str">
        <f t="shared" si="1120"/>
        <v/>
      </c>
      <c r="CO137" s="507" t="str">
        <f t="shared" ref="CO137:CO150" si="1256">IF(ISNUMBER($AV137),IF(AND(($H137*2)&gt;=$AB$161,($H137*2)&lt;=$AC$161),($AA$161/2),IF(AND(($H137*2)&gt;=$AB$163,($H137*2)&lt;=$AC$163),($AA$163/2),IF(AND(($H137*2)&gt;=$AB$165,($H137*2)&lt;=$AC$165),($AA$165/2),IF(AND(($H137*2)&gt;=$AB$168,($H137*2)&lt;=$AC$168),($AA$168/2),"Radius")))),"")</f>
        <v/>
      </c>
      <c r="CP137" s="498" t="str">
        <f t="shared" si="1121"/>
        <v/>
      </c>
      <c r="CQ137" s="494" t="str">
        <f t="shared" si="1122"/>
        <v/>
      </c>
      <c r="CR137" s="494" t="str">
        <f t="shared" si="1123"/>
        <v/>
      </c>
      <c r="CS137" s="499" t="str">
        <f t="shared" si="1124"/>
        <v/>
      </c>
      <c r="CT137" s="496" t="str">
        <f t="shared" si="1125"/>
        <v/>
      </c>
      <c r="CU137" s="497" t="str">
        <f t="shared" si="1126"/>
        <v/>
      </c>
      <c r="CV137" s="498" t="str">
        <f t="shared" si="1127"/>
        <v/>
      </c>
      <c r="CW137" s="494" t="str">
        <f t="shared" si="1128"/>
        <v/>
      </c>
      <c r="CX137" s="499" t="str">
        <f t="shared" si="1129"/>
        <v/>
      </c>
      <c r="CY137" s="496" t="str">
        <f t="shared" si="1130"/>
        <v/>
      </c>
      <c r="CZ137" s="494" t="str">
        <f t="shared" si="1131"/>
        <v/>
      </c>
      <c r="DA137" s="497" t="str">
        <f t="shared" si="1132"/>
        <v/>
      </c>
      <c r="DB137" s="498" t="str">
        <f t="shared" si="1030"/>
        <v/>
      </c>
      <c r="DC137" s="494" t="str">
        <f t="shared" si="1030"/>
        <v/>
      </c>
      <c r="DD137" s="495" t="str">
        <f t="shared" si="782"/>
        <v/>
      </c>
      <c r="DE137" s="496" t="str">
        <f t="shared" si="1031"/>
        <v/>
      </c>
      <c r="DF137" s="494" t="str">
        <f t="shared" si="1031"/>
        <v/>
      </c>
      <c r="DG137" s="495" t="str">
        <f t="shared" si="784"/>
        <v/>
      </c>
      <c r="DH137" s="501" t="str">
        <f t="shared" si="1133"/>
        <v/>
      </c>
      <c r="DI137" s="498" t="str">
        <f t="shared" si="1134"/>
        <v/>
      </c>
      <c r="DJ137" s="494" t="str">
        <f t="shared" si="1135"/>
        <v/>
      </c>
      <c r="DK137" s="495" t="str">
        <f t="shared" si="1136"/>
        <v/>
      </c>
      <c r="DL137" s="496" t="str">
        <f t="shared" si="1137"/>
        <v/>
      </c>
      <c r="DM137" s="502" t="str">
        <f t="shared" si="1138"/>
        <v/>
      </c>
      <c r="DN137" s="508" t="str">
        <f t="shared" si="1139"/>
        <v/>
      </c>
      <c r="DO137" s="496" t="str">
        <f t="shared" si="1140"/>
        <v/>
      </c>
      <c r="DP137" s="502" t="str">
        <f t="shared" si="1141"/>
        <v/>
      </c>
      <c r="DQ137" s="503" t="str">
        <f t="shared" si="1142"/>
        <v/>
      </c>
      <c r="DR137" s="502" t="str">
        <f t="shared" si="1143"/>
        <v/>
      </c>
      <c r="DS137" s="494" t="str">
        <f t="shared" si="1144"/>
        <v/>
      </c>
      <c r="DT137" s="494" t="str">
        <f t="shared" si="1145"/>
        <v/>
      </c>
      <c r="DU137" s="494" t="str">
        <f t="shared" si="1146"/>
        <v/>
      </c>
      <c r="DV137" s="494" t="str">
        <f t="shared" si="1147"/>
        <v/>
      </c>
      <c r="DW137" s="494" t="str">
        <f t="shared" si="1148"/>
        <v/>
      </c>
      <c r="DX137" s="507" t="str">
        <f t="shared" si="1149"/>
        <v/>
      </c>
      <c r="DY137" s="496" t="str">
        <f t="shared" si="1150"/>
        <v/>
      </c>
      <c r="DZ137" s="494" t="str">
        <f t="shared" si="1151"/>
        <v/>
      </c>
      <c r="EA137" s="495" t="str">
        <f t="shared" si="1152"/>
        <v/>
      </c>
      <c r="EB137" s="497" t="str">
        <f t="shared" si="1153"/>
        <v/>
      </c>
      <c r="EC137" s="502" t="str">
        <f t="shared" si="1154"/>
        <v/>
      </c>
      <c r="ED137" s="494" t="str">
        <f t="shared" si="1155"/>
        <v/>
      </c>
      <c r="EE137" s="498" t="str">
        <f t="shared" si="1156"/>
        <v/>
      </c>
      <c r="EF137" s="494" t="str">
        <f t="shared" si="1157"/>
        <v/>
      </c>
      <c r="EG137" s="495" t="str">
        <f t="shared" si="1158"/>
        <v/>
      </c>
      <c r="EH137" s="496" t="str">
        <f t="shared" si="1159"/>
        <v/>
      </c>
      <c r="EI137" s="494" t="str">
        <f t="shared" si="1160"/>
        <v/>
      </c>
      <c r="EJ137" s="497" t="str">
        <f t="shared" si="1161"/>
        <v/>
      </c>
      <c r="EK137" s="509" t="str">
        <f t="shared" si="814"/>
        <v/>
      </c>
      <c r="EL137" s="510" t="str">
        <f t="shared" si="815"/>
        <v/>
      </c>
      <c r="EM137" s="498" t="str">
        <f t="shared" si="1162"/>
        <v/>
      </c>
      <c r="EN137" s="494" t="str">
        <f t="shared" si="1163"/>
        <v/>
      </c>
      <c r="EO137" s="495" t="str">
        <f t="shared" si="1164"/>
        <v/>
      </c>
      <c r="EP137" s="496" t="str">
        <f t="shared" si="1165"/>
        <v/>
      </c>
      <c r="EQ137" s="494" t="str">
        <f t="shared" si="1166"/>
        <v/>
      </c>
      <c r="ER137" s="500" t="str">
        <f t="shared" si="1167"/>
        <v/>
      </c>
      <c r="ES137" s="493" t="str">
        <f t="shared" ref="ES137:ES150" si="1257">IF(ISNUMBER($AV137),AD137,"")</f>
        <v/>
      </c>
      <c r="ET137" s="494" t="str">
        <f t="shared" ref="ET137:ET150" si="1258">IF(ISNUMBER($AV137),AE137,"")</f>
        <v/>
      </c>
      <c r="EU137" s="495" t="str">
        <f t="shared" ref="EU137:EU150" si="1259">IF(ISNUMBER($AV137),AF137,"")</f>
        <v/>
      </c>
      <c r="EV137" s="174" t="str">
        <f t="shared" si="1168"/>
        <v/>
      </c>
      <c r="EW137" s="496" t="str">
        <f t="shared" si="1169"/>
        <v/>
      </c>
      <c r="EX137" s="494" t="str">
        <f t="shared" si="1170"/>
        <v/>
      </c>
      <c r="EY137" s="497" t="str">
        <f t="shared" si="1171"/>
        <v/>
      </c>
      <c r="EZ137" s="504" t="str">
        <f t="shared" si="823"/>
        <v/>
      </c>
      <c r="FA137" s="502" t="str">
        <f t="shared" si="947"/>
        <v/>
      </c>
      <c r="FB137" s="494" t="str">
        <f t="shared" si="948"/>
        <v/>
      </c>
      <c r="FC137" s="497" t="str">
        <f t="shared" si="949"/>
        <v/>
      </c>
      <c r="FD137" s="498" t="str">
        <f t="shared" si="1172"/>
        <v/>
      </c>
      <c r="FE137" s="494" t="str">
        <f t="shared" si="1173"/>
        <v/>
      </c>
      <c r="FF137" s="500" t="str">
        <f t="shared" si="1174"/>
        <v/>
      </c>
      <c r="FG137" s="173" t="str">
        <f t="shared" si="1175"/>
        <v/>
      </c>
      <c r="FH137" s="5" t="str">
        <f t="shared" si="1176"/>
        <v/>
      </c>
      <c r="FI137" s="10" t="str">
        <f t="shared" si="1177"/>
        <v/>
      </c>
      <c r="FJ137" s="279" t="str">
        <f t="shared" si="1178"/>
        <v/>
      </c>
      <c r="FK137" s="4" t="str">
        <f t="shared" si="1179"/>
        <v/>
      </c>
      <c r="FL137" s="5" t="str">
        <f t="shared" si="1180"/>
        <v/>
      </c>
      <c r="FM137" s="8" t="str">
        <f t="shared" si="1181"/>
        <v/>
      </c>
      <c r="FN137" s="9" t="str">
        <f t="shared" si="1182"/>
        <v/>
      </c>
      <c r="FO137" s="10" t="str">
        <f t="shared" si="1183"/>
        <v/>
      </c>
      <c r="FP137" s="277" t="str">
        <f t="shared" si="1184"/>
        <v/>
      </c>
      <c r="FQ137" s="173" t="str">
        <f t="shared" si="1185"/>
        <v/>
      </c>
      <c r="FR137" s="10" t="str">
        <f t="shared" si="1186"/>
        <v/>
      </c>
      <c r="FS137" s="9" t="str">
        <f t="shared" si="1187"/>
        <v/>
      </c>
      <c r="FT137" s="6" t="str">
        <f t="shared" si="1188"/>
        <v/>
      </c>
      <c r="FU137" s="4" t="str">
        <f t="shared" si="1189"/>
        <v/>
      </c>
      <c r="FV137" s="5" t="str">
        <f t="shared" si="1190"/>
        <v/>
      </c>
      <c r="FW137" s="8" t="str">
        <f t="shared" si="1191"/>
        <v/>
      </c>
      <c r="FX137" s="9" t="str">
        <f t="shared" si="1192"/>
        <v/>
      </c>
      <c r="FY137" s="10" t="str">
        <f t="shared" si="1193"/>
        <v/>
      </c>
      <c r="FZ137" s="277" t="str">
        <f t="shared" si="1194"/>
        <v/>
      </c>
      <c r="GA137" s="177" t="str">
        <f t="shared" si="1195"/>
        <v/>
      </c>
      <c r="GB137" s="4" t="str">
        <f t="shared" si="1196"/>
        <v/>
      </c>
      <c r="GC137" s="5" t="str">
        <f t="shared" si="1197"/>
        <v/>
      </c>
      <c r="GD137" s="10" t="str">
        <f t="shared" si="1198"/>
        <v/>
      </c>
      <c r="GE137" s="311" t="str">
        <f t="shared" si="1199"/>
        <v/>
      </c>
      <c r="GF137" s="341" t="str">
        <f t="shared" si="1200"/>
        <v/>
      </c>
      <c r="GG137" s="306" t="str">
        <f t="shared" si="1201"/>
        <v/>
      </c>
      <c r="GH137" s="307" t="str">
        <f t="shared" si="1202"/>
        <v/>
      </c>
      <c r="GI137" s="308" t="str">
        <f t="shared" si="1203"/>
        <v/>
      </c>
      <c r="GJ137" s="167" t="str">
        <f t="shared" si="1204"/>
        <v/>
      </c>
      <c r="GK137" s="174" t="str">
        <f t="shared" si="961"/>
        <v/>
      </c>
      <c r="GL137" s="174" t="str">
        <f t="shared" si="1205"/>
        <v/>
      </c>
      <c r="GM137" s="177" t="str">
        <f t="shared" si="1206"/>
        <v/>
      </c>
      <c r="GN137" s="280" t="str">
        <f t="shared" si="1207"/>
        <v/>
      </c>
      <c r="GO137" s="4" t="str">
        <f t="shared" si="1208"/>
        <v/>
      </c>
      <c r="GP137" s="8" t="str">
        <f t="shared" si="1209"/>
        <v/>
      </c>
      <c r="GQ137" s="177" t="str">
        <f t="shared" si="1210"/>
        <v/>
      </c>
      <c r="GR137" s="371" t="str">
        <f t="shared" si="1211"/>
        <v/>
      </c>
      <c r="GS137" s="342" t="str">
        <f t="shared" si="1212"/>
        <v/>
      </c>
      <c r="GT137" s="343" t="str">
        <f t="shared" si="1213"/>
        <v/>
      </c>
      <c r="GU137" s="344" t="str">
        <f t="shared" si="964"/>
        <v/>
      </c>
      <c r="GV137" s="343" t="str">
        <f t="shared" si="1214"/>
        <v/>
      </c>
      <c r="GW137" s="345" t="str">
        <f t="shared" si="965"/>
        <v/>
      </c>
      <c r="GX137" s="346" t="str">
        <f t="shared" si="966"/>
        <v/>
      </c>
      <c r="GY137" s="344" t="str">
        <f t="shared" si="1215"/>
        <v/>
      </c>
      <c r="GZ137" s="345" t="str">
        <f t="shared" si="1216"/>
        <v/>
      </c>
      <c r="HA137" s="342" t="str">
        <f t="shared" si="969"/>
        <v/>
      </c>
      <c r="HB137" s="5" t="str">
        <f t="shared" si="850"/>
        <v/>
      </c>
      <c r="HC137" s="343" t="str">
        <f t="shared" si="1217"/>
        <v/>
      </c>
      <c r="HD137" s="363" t="str">
        <f t="shared" si="1218"/>
        <v/>
      </c>
      <c r="HE137" s="344" t="str">
        <f t="shared" si="970"/>
        <v/>
      </c>
      <c r="HF137" s="5" t="str">
        <f t="shared" si="971"/>
        <v/>
      </c>
      <c r="HG137" s="343" t="str">
        <f t="shared" si="1219"/>
        <v/>
      </c>
      <c r="HH137" s="349" t="str">
        <f t="shared" si="1220"/>
        <v/>
      </c>
      <c r="HI137" s="317" t="str">
        <f t="shared" ref="HI137:HI150" si="1260">IF(ISNUMBER($AV137),$M137,"")</f>
        <v/>
      </c>
      <c r="HK137" s="310" t="str">
        <f t="shared" si="1025"/>
        <v/>
      </c>
      <c r="HL137" s="348" t="str">
        <f t="shared" ref="HL137:HL150" si="1261">IF(ISNUMBER($HS137),INDEX(HI$9:HI$150,MATCH($HS137,$GJ$9:$GJ$150,0)),"")</f>
        <v/>
      </c>
      <c r="HM137" s="923" t="str">
        <f t="shared" ref="HM137:HM150" si="1262">IF(ISNUMBER($HL137),INDEX(GO$9:GO$150,MATCH($HL137,$AV$9:$AV$150,0)),"")</f>
        <v/>
      </c>
      <c r="HN137" s="924" t="str">
        <f t="shared" ref="HN137:HN150" si="1263">IF(ISNUMBER($HL137),INDEX(AO$9:AO$150,MATCH($HL137,$AV$9:$AV$150,0)),"")</f>
        <v/>
      </c>
      <c r="HO137" s="925"/>
      <c r="HP137" s="926"/>
      <c r="HQ137" s="924" t="str">
        <f t="shared" ref="HQ137:HQ150" si="1264">IF(ISNUMBER($HL137),INDEX(GQ$9:GQ$150,MATCH($HL137,$AV$9:$AV$150,0)),"")</f>
        <v/>
      </c>
      <c r="HR137" s="927" t="str">
        <f t="shared" ref="HR137:HR150" si="1265">IF(ISNUMBER($HL137),INDEX(GP$9:GP$150,MATCH($HL137,$AV$9:$AV$150,0)),"")</f>
        <v/>
      </c>
      <c r="HS137" s="879" t="str">
        <f t="shared" si="1221"/>
        <v/>
      </c>
      <c r="HT137" s="889" t="str">
        <f t="shared" ref="HT137:HT150" si="1266">IF(ISNUMBER($HL137),INDEX(GL$9:GL$150,MATCH($HL137,$AV$9:$AV$150,0)),"")</f>
        <v/>
      </c>
      <c r="HU137" s="890" t="str">
        <f t="shared" ref="HU137:HU150" si="1267">IF(ISNUMBER($HL137),INDEX(GM$9:GM$150,MATCH($HL137,$AV$9:$AV$150,0)),"")</f>
        <v/>
      </c>
      <c r="HV137" s="886" t="str">
        <f t="shared" ref="HV137:HV150" si="1268">IF(ISNUMBER($HL137),INDEX(GN$9:GN$150,MATCH($HL137,$AV$9:$AV$150,0)),"")</f>
        <v/>
      </c>
      <c r="HW137" s="880" t="str">
        <f t="shared" ref="HW137:HW150" si="1269">IF(ISNUMBER($HL137),INDEX(GW$9:GW$150,MATCH($HL137,$AV$9:$AV$150,0)),"")</f>
        <v/>
      </c>
      <c r="HX137" s="881" t="str">
        <f t="shared" ref="HX137:HX150" si="1270">IF(ISNUMBER($HL137),INDEX(GX$9:GX$150,MATCH($HL137,$AV$9:$AV$150,0)),"")</f>
        <v/>
      </c>
      <c r="HY137" s="880" t="str">
        <f t="shared" ref="HY137:HY150" si="1271">IF(ISNUMBER($HL137),INDEX(GS$9:GS$150,MATCH($HL137,$AV$9:$AV$150,0)),"")</f>
        <v/>
      </c>
      <c r="HZ137" s="882" t="str">
        <f t="shared" ref="HZ137:HZ150" si="1272">IF(ISNUMBER($HL137),INDEX(GU$9:GU$150,MATCH($HL137,$AV$9:$AV$150,0)),"")</f>
        <v/>
      </c>
      <c r="IA137" s="883" t="str">
        <f t="shared" ref="IA137:IA150" si="1273">IF(ISNUMBER($HL137),INDEX(GY$9:GY$150,MATCH($HL137,$AV$9:$AV$150,0)),"")</f>
        <v/>
      </c>
      <c r="IB137" s="884" t="str">
        <f t="shared" ref="IB137:IB150" si="1274">IF(ISNUMBER($HL137),INDEX(GR$9:GR$150,MATCH($HL137,$AV$9:$AV$150,0)),"")</f>
        <v/>
      </c>
      <c r="IC137" s="855" t="str">
        <f t="shared" ref="IC137:IC150" si="1275">IF(ISNUMBER($HL137),INDEX(GT$9:GT$150,MATCH($HL137,$AV$9:$AV$150,0)),"")</f>
        <v/>
      </c>
      <c r="ID137" s="351" t="str">
        <f t="shared" ref="ID137:ID150" si="1276">IF(ISNUMBER($HL137),INDEX(GV$9:GV$150,MATCH($HL137,$AV$9:$AV$150,0)),"")</f>
        <v/>
      </c>
      <c r="IE137" s="857" t="str">
        <f t="shared" ref="IE137:IE150" si="1277">IF(ISNUMBER($HL137),INDEX(GZ$9:GZ$150,MATCH($HL137,$AV$9:$AV$150,0)),"")</f>
        <v/>
      </c>
      <c r="IF137" s="858"/>
      <c r="IG137" s="790" t="str">
        <f>IFERROR(IF($IW137="","",IF($IW137&lt;(((Settings!$C$19/2)*-1)*$IG$8),"Taper","Nose")),"")</f>
        <v/>
      </c>
      <c r="IH137" s="482" t="str">
        <f>IFERROR(IF((((($IY137*COS(RADIANS(180-$JA137)))*COS(RADIANS($JA137)))-(($IZ137*SIN(RADIANS(180-$JA137)))*SIN(RADIANS($JA137))))+$IW137)&lt;(((Settings!$C$19+$IH$8)/2)*-1),"Gage",""),"")</f>
        <v/>
      </c>
      <c r="II137" s="788" t="str">
        <f t="shared" si="855"/>
        <v/>
      </c>
      <c r="IJ137" s="674" t="str" cm="1">
        <f t="array" ref="IJ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K137" s="677" t="str" cm="1">
        <f t="array" ref="IK137">IFERROR(ROUND(VALUE(IF($IJ137&lt;1,$IJ137+LARGE((IF($M$9:$M$150="",0,$M$9:$M$150)-MOD(IF($M$9:$M$150="",0,$M$9:$M$150),1)),1),$IJ137)),4),"")</f>
        <v/>
      </c>
      <c r="IL137" s="482" t="str">
        <f t="shared" ref="IL137:IL150" si="1278">IF(ISNUMBER($IK137),INDEX($K$9:$K$150,MATCH($IK137,$M$9:$M$150,0)),$K137)</f>
        <v/>
      </c>
      <c r="IM137" s="482" t="str">
        <f t="shared" si="856"/>
        <v/>
      </c>
      <c r="IN137" s="670" t="str">
        <f t="shared" ref="IN137:IN150" si="1279">IF(ISNUMBER($IK137),IFERROR(IF(INDEX($W$9:$W$150,MATCH($IK137,$M$9:$M$150,0))&lt;$W137,((INDEX($W$9:$W$150,MATCH($IK137,$M$9:$M$150,0))+360)-$W137),INDEX($W$9:$W$150,MATCH($IK137,$M$9:$M$150,0))-$W137),""),"")</f>
        <v/>
      </c>
      <c r="IO137" s="702"/>
      <c r="IP137" s="5" t="str">
        <f t="shared" ref="IP137:IP150" si="1280">IF(ISNUMBER($IK137),(($IQ137*12)/60)/$AS$3,"")</f>
        <v/>
      </c>
      <c r="IQ137" s="714"/>
      <c r="IR137" s="9" t="str">
        <f t="shared" ref="IR137:IR150" si="1281">IF(ISNUMBER($IK137),(INDEX($X$9:$X$150,MATCH($IK137,$M$9:$M$150,0))*-1),"")</f>
        <v/>
      </c>
      <c r="IS137" s="5" t="str">
        <f t="shared" ref="IS137:IS150" si="1282">IF(ISNUMBER($IK137),INDEX($Y$9:$Y$150,MATCH($IK137,$M$9:$M$150,0)),"")</f>
        <v/>
      </c>
      <c r="IT137" s="5" t="str">
        <f t="shared" ref="IT137:IT150" si="1283">IF(ISNUMBER($IK137),INDEX($H$9:$H$150,MATCH($IK137,$M$9:$M$150,0)),"")</f>
        <v/>
      </c>
      <c r="IU137" s="5" t="str">
        <f t="shared" ref="IU137:IU150" si="1284">IF(ISNUMBER($IK137),$IT137*COS(RADIANS(INDEX($AO$9:$AO$150,MATCH($IK137,$M$9:$M$150,0)))),"")</f>
        <v/>
      </c>
      <c r="IV137" s="670" t="str">
        <f t="shared" ref="IV137:IV150" si="1285">IF(ISNUMBER($IK137),(-1*INDEX($AN$9:$AN$150,MATCH($IK137,$M$9:$M$150,0))),"")</f>
        <v/>
      </c>
      <c r="IW137" s="9" t="str">
        <f t="shared" ref="IW137:IW150" si="1286">IF(ISNUMBER($IK137),-$X137,"")</f>
        <v/>
      </c>
      <c r="IX137" s="5" t="str">
        <f t="shared" ref="IX137:IX150" si="1287">IF(ISNUMBER($IK137),$Y137,"")</f>
        <v/>
      </c>
      <c r="IY137" s="5" t="str">
        <f t="shared" ref="IY137:IY150" si="1288">IF(ISNUMBER($IK137),$H137,"")</f>
        <v/>
      </c>
      <c r="IZ137" s="5" t="str">
        <f t="shared" ref="IZ137:IZ150" si="1289">IF(ISNUMBER($IK137),$IY137*COS(RADIANS($AO137)),"")</f>
        <v/>
      </c>
      <c r="JA137" s="705" t="str">
        <f t="shared" ref="JA137:JA150" si="1290">IF(ISNUMBER($IK137),(-1*$AN137),"")</f>
        <v/>
      </c>
    </row>
    <row r="138" spans="1:277" ht="15" customHeight="1" x14ac:dyDescent="0.25">
      <c r="A138" s="75" t="str">
        <f t="shared" si="1234"/>
        <v/>
      </c>
      <c r="B138" s="585" t="str">
        <f t="shared" ref="B138:D138" si="1291">IFERROR(O293+($A138*-E138),"")</f>
        <v/>
      </c>
      <c r="C138" s="582" t="str">
        <f t="shared" si="1291"/>
        <v/>
      </c>
      <c r="D138" s="583" t="str">
        <f t="shared" si="1291"/>
        <v/>
      </c>
      <c r="E138" s="588" t="str">
        <f t="shared" ref="E138:K138" si="1292">R293</f>
        <v/>
      </c>
      <c r="F138" s="582" t="str">
        <f t="shared" si="1292"/>
        <v/>
      </c>
      <c r="G138" s="586" t="str">
        <f t="shared" si="1292"/>
        <v/>
      </c>
      <c r="H138" s="588" t="str">
        <f t="shared" si="1292"/>
        <v/>
      </c>
      <c r="I138" s="582" t="str">
        <f t="shared" si="1292"/>
        <v/>
      </c>
      <c r="J138" s="491" t="str">
        <f t="shared" ref="J138:J150" si="1293">IF(W293=0,"",W293)</f>
        <v/>
      </c>
      <c r="K138" s="807" t="str">
        <f t="shared" si="1292"/>
        <v/>
      </c>
      <c r="L138" s="309"/>
      <c r="M138" s="492" t="str">
        <f t="shared" si="1237"/>
        <v/>
      </c>
      <c r="N138" s="581" t="str">
        <f t="shared" si="1238"/>
        <v/>
      </c>
      <c r="O138" s="582" t="str">
        <f t="shared" si="1239"/>
        <v/>
      </c>
      <c r="P138" s="583" t="str">
        <f t="shared" si="1240"/>
        <v/>
      </c>
      <c r="Q138" s="536" t="str">
        <f t="shared" si="1079"/>
        <v/>
      </c>
      <c r="R138" s="582" t="str">
        <f t="shared" si="1080"/>
        <v/>
      </c>
      <c r="S138" s="584" t="str">
        <f t="shared" si="1081"/>
        <v/>
      </c>
      <c r="T138" s="585" t="str">
        <f t="shared" si="1082"/>
        <v/>
      </c>
      <c r="U138" s="582" t="str">
        <f t="shared" si="1083"/>
        <v/>
      </c>
      <c r="V138" s="586" t="str">
        <f t="shared" si="1084"/>
        <v/>
      </c>
      <c r="W138" s="536" t="str">
        <f t="shared" si="1085"/>
        <v/>
      </c>
      <c r="X138" s="582" t="str">
        <f t="shared" si="1086"/>
        <v/>
      </c>
      <c r="Y138" s="587" t="str">
        <f t="shared" si="1087"/>
        <v/>
      </c>
      <c r="Z138" s="581" t="str">
        <f t="shared" si="1241"/>
        <v/>
      </c>
      <c r="AA138" s="582" t="str">
        <f t="shared" si="1242"/>
        <v/>
      </c>
      <c r="AB138" s="582" t="str">
        <f t="shared" si="1243"/>
        <v/>
      </c>
      <c r="AC138" s="586" t="str">
        <f t="shared" si="1088"/>
        <v/>
      </c>
      <c r="AD138" s="588" t="str">
        <f t="shared" si="1089"/>
        <v/>
      </c>
      <c r="AE138" s="582" t="str">
        <f t="shared" si="1090"/>
        <v/>
      </c>
      <c r="AF138" s="583" t="str">
        <f t="shared" si="1091"/>
        <v/>
      </c>
      <c r="AG138" s="547" t="str">
        <f t="shared" si="1092"/>
        <v/>
      </c>
      <c r="AH138" s="548" t="str">
        <f t="shared" si="1093"/>
        <v/>
      </c>
      <c r="AI138" s="536" t="str">
        <f t="shared" si="1094"/>
        <v/>
      </c>
      <c r="AJ138" s="537" t="str">
        <f t="shared" si="1095"/>
        <v/>
      </c>
      <c r="AK138" s="585" t="str">
        <f t="shared" si="1096"/>
        <v/>
      </c>
      <c r="AL138" s="582" t="str">
        <f t="shared" si="1097"/>
        <v/>
      </c>
      <c r="AM138" s="584" t="str">
        <f t="shared" si="1098"/>
        <v/>
      </c>
      <c r="AN138" s="534" t="str">
        <f t="shared" si="1099"/>
        <v/>
      </c>
      <c r="AO138" s="535" t="str">
        <f t="shared" si="1058"/>
        <v/>
      </c>
      <c r="AP138" s="536" t="str">
        <f t="shared" si="1100"/>
        <v/>
      </c>
      <c r="AQ138" s="537" t="str">
        <f t="shared" si="1244"/>
        <v/>
      </c>
      <c r="AS138" s="955" t="str">
        <f t="shared" si="1029"/>
        <v/>
      </c>
      <c r="AT138" s="951" t="str">
        <f t="shared" si="1245"/>
        <v/>
      </c>
      <c r="AU138" s="418"/>
      <c r="AV138" s="164" t="str">
        <f t="shared" si="1246"/>
        <v/>
      </c>
      <c r="AW138" s="832" t="str">
        <f>IFERROR(INDEX(MassProp!C$9:C$150,MATCH($M138,MassProp!$B$9:$B$150,0)),"")</f>
        <v/>
      </c>
      <c r="AX138" s="833" t="str">
        <f>IFERROR(INDEX(MassProp!D$9:D$150,MATCH($M138,MassProp!$B$9:$B$150,0)),"")</f>
        <v/>
      </c>
      <c r="AY138" s="834" t="str">
        <f>IFERROR(INDEX(MassProp!E$9:E$150,MATCH($M138,MassProp!$B$9:$B$150,0)),"")</f>
        <v/>
      </c>
      <c r="AZ138" s="297" t="str">
        <f t="shared" si="1101"/>
        <v/>
      </c>
      <c r="BA138" s="505" t="str">
        <f t="shared" si="1102"/>
        <v/>
      </c>
      <c r="BB138" s="506" t="str">
        <f t="shared" si="730"/>
        <v/>
      </c>
      <c r="BC138" s="496"/>
      <c r="BD138" s="494" t="str">
        <f t="shared" si="1103"/>
        <v/>
      </c>
      <c r="BE138" s="497" t="str">
        <f t="shared" si="1247"/>
        <v/>
      </c>
      <c r="BF138" s="498" t="str">
        <f t="shared" si="1248"/>
        <v/>
      </c>
      <c r="BG138" s="494" t="str">
        <f t="shared" si="1249"/>
        <v/>
      </c>
      <c r="BH138" s="495" t="str">
        <f t="shared" si="1250"/>
        <v/>
      </c>
      <c r="BI138" s="496" t="str">
        <f t="shared" si="1104"/>
        <v/>
      </c>
      <c r="BJ138" s="494" t="str">
        <f t="shared" si="1251"/>
        <v/>
      </c>
      <c r="BK138" s="499" t="str">
        <f t="shared" si="1252"/>
        <v/>
      </c>
      <c r="BL138" s="502" t="str">
        <f t="shared" si="1253"/>
        <v/>
      </c>
      <c r="BM138" s="494" t="str">
        <f t="shared" si="1254"/>
        <v/>
      </c>
      <c r="BN138" s="497" t="str">
        <f t="shared" si="1255"/>
        <v/>
      </c>
      <c r="BO138" s="498" t="str">
        <f t="shared" si="1105"/>
        <v/>
      </c>
      <c r="BP138" s="494" t="str">
        <f t="shared" si="1106"/>
        <v/>
      </c>
      <c r="BQ138" s="494" t="str">
        <f t="shared" si="1107"/>
        <v/>
      </c>
      <c r="BR138" s="497" t="str">
        <f t="shared" si="1108"/>
        <v/>
      </c>
      <c r="BS138" s="498" t="str">
        <f t="shared" si="1024"/>
        <v/>
      </c>
      <c r="BT138" s="494" t="str">
        <f t="shared" si="1024"/>
        <v/>
      </c>
      <c r="BU138" s="495" t="str">
        <f t="shared" si="733"/>
        <v/>
      </c>
      <c r="BV138" s="496" t="str">
        <f t="shared" si="734"/>
        <v/>
      </c>
      <c r="BW138" s="494" t="str">
        <f t="shared" si="735"/>
        <v/>
      </c>
      <c r="BX138" s="499" t="str">
        <f t="shared" si="736"/>
        <v/>
      </c>
      <c r="BY138" s="502" t="str">
        <f t="shared" si="737"/>
        <v/>
      </c>
      <c r="BZ138" s="494" t="str">
        <f t="shared" si="738"/>
        <v/>
      </c>
      <c r="CA138" s="497" t="str">
        <f t="shared" si="739"/>
        <v/>
      </c>
      <c r="CB138" s="498" t="str">
        <f t="shared" si="1109"/>
        <v/>
      </c>
      <c r="CC138" s="494" t="str">
        <f t="shared" si="1110"/>
        <v/>
      </c>
      <c r="CD138" s="494" t="str">
        <f t="shared" si="1111"/>
        <v/>
      </c>
      <c r="CE138" s="497" t="str">
        <f t="shared" si="1112"/>
        <v/>
      </c>
      <c r="CF138" s="498" t="str">
        <f t="shared" si="1113"/>
        <v/>
      </c>
      <c r="CG138" s="494" t="str">
        <f t="shared" si="1114"/>
        <v/>
      </c>
      <c r="CH138" s="494" t="str">
        <f t="shared" si="1115"/>
        <v/>
      </c>
      <c r="CI138" s="498" t="str">
        <f t="shared" si="740"/>
        <v/>
      </c>
      <c r="CJ138" s="494" t="str">
        <f t="shared" si="1116"/>
        <v/>
      </c>
      <c r="CK138" s="499" t="str">
        <f t="shared" si="1117"/>
        <v/>
      </c>
      <c r="CL138" s="502" t="str">
        <f t="shared" si="1118"/>
        <v/>
      </c>
      <c r="CM138" s="494" t="str">
        <f t="shared" si="1119"/>
        <v/>
      </c>
      <c r="CN138" s="497" t="str">
        <f t="shared" si="1120"/>
        <v/>
      </c>
      <c r="CO138" s="507" t="str">
        <f t="shared" si="1256"/>
        <v/>
      </c>
      <c r="CP138" s="498" t="str">
        <f t="shared" si="1121"/>
        <v/>
      </c>
      <c r="CQ138" s="494" t="str">
        <f t="shared" si="1122"/>
        <v/>
      </c>
      <c r="CR138" s="494" t="str">
        <f t="shared" si="1123"/>
        <v/>
      </c>
      <c r="CS138" s="499" t="str">
        <f t="shared" si="1124"/>
        <v/>
      </c>
      <c r="CT138" s="496" t="str">
        <f t="shared" si="1125"/>
        <v/>
      </c>
      <c r="CU138" s="497" t="str">
        <f t="shared" si="1126"/>
        <v/>
      </c>
      <c r="CV138" s="498" t="str">
        <f t="shared" si="1127"/>
        <v/>
      </c>
      <c r="CW138" s="494" t="str">
        <f t="shared" si="1128"/>
        <v/>
      </c>
      <c r="CX138" s="499" t="str">
        <f t="shared" si="1129"/>
        <v/>
      </c>
      <c r="CY138" s="496" t="str">
        <f t="shared" si="1130"/>
        <v/>
      </c>
      <c r="CZ138" s="494" t="str">
        <f t="shared" si="1131"/>
        <v/>
      </c>
      <c r="DA138" s="497" t="str">
        <f t="shared" si="1132"/>
        <v/>
      </c>
      <c r="DB138" s="498" t="str">
        <f t="shared" si="1030"/>
        <v/>
      </c>
      <c r="DC138" s="494" t="str">
        <f t="shared" si="1030"/>
        <v/>
      </c>
      <c r="DD138" s="495" t="str">
        <f t="shared" si="782"/>
        <v/>
      </c>
      <c r="DE138" s="496" t="str">
        <f t="shared" si="1031"/>
        <v/>
      </c>
      <c r="DF138" s="494" t="str">
        <f t="shared" si="1031"/>
        <v/>
      </c>
      <c r="DG138" s="495" t="str">
        <f t="shared" si="784"/>
        <v/>
      </c>
      <c r="DH138" s="501" t="str">
        <f t="shared" si="1133"/>
        <v/>
      </c>
      <c r="DI138" s="498" t="str">
        <f t="shared" si="1134"/>
        <v/>
      </c>
      <c r="DJ138" s="494" t="str">
        <f t="shared" si="1135"/>
        <v/>
      </c>
      <c r="DK138" s="495" t="str">
        <f t="shared" si="1136"/>
        <v/>
      </c>
      <c r="DL138" s="496" t="str">
        <f t="shared" si="1137"/>
        <v/>
      </c>
      <c r="DM138" s="502" t="str">
        <f t="shared" si="1138"/>
        <v/>
      </c>
      <c r="DN138" s="508" t="str">
        <f t="shared" si="1139"/>
        <v/>
      </c>
      <c r="DO138" s="496" t="str">
        <f t="shared" si="1140"/>
        <v/>
      </c>
      <c r="DP138" s="502" t="str">
        <f t="shared" si="1141"/>
        <v/>
      </c>
      <c r="DQ138" s="503" t="str">
        <f t="shared" si="1142"/>
        <v/>
      </c>
      <c r="DR138" s="502" t="str">
        <f t="shared" si="1143"/>
        <v/>
      </c>
      <c r="DS138" s="494" t="str">
        <f t="shared" si="1144"/>
        <v/>
      </c>
      <c r="DT138" s="494" t="str">
        <f t="shared" si="1145"/>
        <v/>
      </c>
      <c r="DU138" s="494" t="str">
        <f t="shared" si="1146"/>
        <v/>
      </c>
      <c r="DV138" s="494" t="str">
        <f t="shared" si="1147"/>
        <v/>
      </c>
      <c r="DW138" s="494" t="str">
        <f t="shared" si="1148"/>
        <v/>
      </c>
      <c r="DX138" s="507" t="str">
        <f t="shared" si="1149"/>
        <v/>
      </c>
      <c r="DY138" s="496" t="str">
        <f t="shared" si="1150"/>
        <v/>
      </c>
      <c r="DZ138" s="494" t="str">
        <f t="shared" si="1151"/>
        <v/>
      </c>
      <c r="EA138" s="495" t="str">
        <f t="shared" si="1152"/>
        <v/>
      </c>
      <c r="EB138" s="497" t="str">
        <f t="shared" si="1153"/>
        <v/>
      </c>
      <c r="EC138" s="502" t="str">
        <f t="shared" si="1154"/>
        <v/>
      </c>
      <c r="ED138" s="494" t="str">
        <f t="shared" si="1155"/>
        <v/>
      </c>
      <c r="EE138" s="498" t="str">
        <f t="shared" si="1156"/>
        <v/>
      </c>
      <c r="EF138" s="494" t="str">
        <f t="shared" si="1157"/>
        <v/>
      </c>
      <c r="EG138" s="495" t="str">
        <f t="shared" si="1158"/>
        <v/>
      </c>
      <c r="EH138" s="496" t="str">
        <f t="shared" si="1159"/>
        <v/>
      </c>
      <c r="EI138" s="494" t="str">
        <f t="shared" si="1160"/>
        <v/>
      </c>
      <c r="EJ138" s="497" t="str">
        <f t="shared" si="1161"/>
        <v/>
      </c>
      <c r="EK138" s="509" t="str">
        <f t="shared" si="814"/>
        <v/>
      </c>
      <c r="EL138" s="510" t="str">
        <f t="shared" si="815"/>
        <v/>
      </c>
      <c r="EM138" s="498" t="str">
        <f t="shared" si="1162"/>
        <v/>
      </c>
      <c r="EN138" s="494" t="str">
        <f t="shared" si="1163"/>
        <v/>
      </c>
      <c r="EO138" s="495" t="str">
        <f t="shared" si="1164"/>
        <v/>
      </c>
      <c r="EP138" s="496" t="str">
        <f t="shared" si="1165"/>
        <v/>
      </c>
      <c r="EQ138" s="494" t="str">
        <f t="shared" si="1166"/>
        <v/>
      </c>
      <c r="ER138" s="500" t="str">
        <f t="shared" si="1167"/>
        <v/>
      </c>
      <c r="ES138" s="493" t="str">
        <f t="shared" si="1257"/>
        <v/>
      </c>
      <c r="ET138" s="494" t="str">
        <f t="shared" si="1258"/>
        <v/>
      </c>
      <c r="EU138" s="495" t="str">
        <f t="shared" si="1259"/>
        <v/>
      </c>
      <c r="EV138" s="174" t="str">
        <f t="shared" si="1168"/>
        <v/>
      </c>
      <c r="EW138" s="496" t="str">
        <f t="shared" si="1169"/>
        <v/>
      </c>
      <c r="EX138" s="494" t="str">
        <f t="shared" si="1170"/>
        <v/>
      </c>
      <c r="EY138" s="497" t="str">
        <f t="shared" si="1171"/>
        <v/>
      </c>
      <c r="EZ138" s="504" t="str">
        <f t="shared" si="823"/>
        <v/>
      </c>
      <c r="FA138" s="502" t="str">
        <f t="shared" si="947"/>
        <v/>
      </c>
      <c r="FB138" s="494" t="str">
        <f t="shared" si="948"/>
        <v/>
      </c>
      <c r="FC138" s="497" t="str">
        <f t="shared" si="949"/>
        <v/>
      </c>
      <c r="FD138" s="498" t="str">
        <f t="shared" si="1172"/>
        <v/>
      </c>
      <c r="FE138" s="494" t="str">
        <f t="shared" si="1173"/>
        <v/>
      </c>
      <c r="FF138" s="500" t="str">
        <f t="shared" si="1174"/>
        <v/>
      </c>
      <c r="FG138" s="173" t="str">
        <f t="shared" si="1175"/>
        <v/>
      </c>
      <c r="FH138" s="5" t="str">
        <f t="shared" si="1176"/>
        <v/>
      </c>
      <c r="FI138" s="10" t="str">
        <f t="shared" si="1177"/>
        <v/>
      </c>
      <c r="FJ138" s="279" t="str">
        <f t="shared" si="1178"/>
        <v/>
      </c>
      <c r="FK138" s="4" t="str">
        <f t="shared" si="1179"/>
        <v/>
      </c>
      <c r="FL138" s="5" t="str">
        <f t="shared" si="1180"/>
        <v/>
      </c>
      <c r="FM138" s="8" t="str">
        <f t="shared" si="1181"/>
        <v/>
      </c>
      <c r="FN138" s="9" t="str">
        <f t="shared" si="1182"/>
        <v/>
      </c>
      <c r="FO138" s="10" t="str">
        <f t="shared" si="1183"/>
        <v/>
      </c>
      <c r="FP138" s="277" t="str">
        <f t="shared" si="1184"/>
        <v/>
      </c>
      <c r="FQ138" s="173" t="str">
        <f t="shared" si="1185"/>
        <v/>
      </c>
      <c r="FR138" s="10" t="str">
        <f t="shared" si="1186"/>
        <v/>
      </c>
      <c r="FS138" s="9" t="str">
        <f t="shared" si="1187"/>
        <v/>
      </c>
      <c r="FT138" s="6" t="str">
        <f t="shared" si="1188"/>
        <v/>
      </c>
      <c r="FU138" s="4" t="str">
        <f t="shared" si="1189"/>
        <v/>
      </c>
      <c r="FV138" s="5" t="str">
        <f t="shared" si="1190"/>
        <v/>
      </c>
      <c r="FW138" s="8" t="str">
        <f t="shared" si="1191"/>
        <v/>
      </c>
      <c r="FX138" s="9" t="str">
        <f t="shared" si="1192"/>
        <v/>
      </c>
      <c r="FY138" s="10" t="str">
        <f t="shared" si="1193"/>
        <v/>
      </c>
      <c r="FZ138" s="277" t="str">
        <f t="shared" si="1194"/>
        <v/>
      </c>
      <c r="GA138" s="177" t="str">
        <f t="shared" si="1195"/>
        <v/>
      </c>
      <c r="GB138" s="4" t="str">
        <f t="shared" si="1196"/>
        <v/>
      </c>
      <c r="GC138" s="5" t="str">
        <f t="shared" si="1197"/>
        <v/>
      </c>
      <c r="GD138" s="10" t="str">
        <f t="shared" si="1198"/>
        <v/>
      </c>
      <c r="GE138" s="311" t="str">
        <f t="shared" si="1199"/>
        <v/>
      </c>
      <c r="GF138" s="341" t="str">
        <f t="shared" si="1200"/>
        <v/>
      </c>
      <c r="GG138" s="306" t="str">
        <f t="shared" si="1201"/>
        <v/>
      </c>
      <c r="GH138" s="307" t="str">
        <f t="shared" si="1202"/>
        <v/>
      </c>
      <c r="GI138" s="308" t="str">
        <f t="shared" si="1203"/>
        <v/>
      </c>
      <c r="GJ138" s="167" t="str">
        <f t="shared" si="1204"/>
        <v/>
      </c>
      <c r="GK138" s="174" t="str">
        <f t="shared" si="961"/>
        <v/>
      </c>
      <c r="GL138" s="174" t="str">
        <f t="shared" si="1205"/>
        <v/>
      </c>
      <c r="GM138" s="177" t="str">
        <f t="shared" si="1206"/>
        <v/>
      </c>
      <c r="GN138" s="280" t="str">
        <f t="shared" si="1207"/>
        <v/>
      </c>
      <c r="GO138" s="4" t="str">
        <f t="shared" si="1208"/>
        <v/>
      </c>
      <c r="GP138" s="8" t="str">
        <f t="shared" si="1209"/>
        <v/>
      </c>
      <c r="GQ138" s="177" t="str">
        <f t="shared" si="1210"/>
        <v/>
      </c>
      <c r="GR138" s="371" t="str">
        <f t="shared" si="1211"/>
        <v/>
      </c>
      <c r="GS138" s="342" t="str">
        <f t="shared" si="1212"/>
        <v/>
      </c>
      <c r="GT138" s="343" t="str">
        <f t="shared" si="1213"/>
        <v/>
      </c>
      <c r="GU138" s="344" t="str">
        <f t="shared" si="964"/>
        <v/>
      </c>
      <c r="GV138" s="343" t="str">
        <f t="shared" si="1214"/>
        <v/>
      </c>
      <c r="GW138" s="345" t="str">
        <f t="shared" si="965"/>
        <v/>
      </c>
      <c r="GX138" s="346" t="str">
        <f t="shared" si="966"/>
        <v/>
      </c>
      <c r="GY138" s="344" t="str">
        <f t="shared" si="1215"/>
        <v/>
      </c>
      <c r="GZ138" s="345" t="str">
        <f t="shared" si="1216"/>
        <v/>
      </c>
      <c r="HA138" s="342" t="str">
        <f t="shared" si="969"/>
        <v/>
      </c>
      <c r="HB138" s="5" t="str">
        <f t="shared" si="850"/>
        <v/>
      </c>
      <c r="HC138" s="343" t="str">
        <f t="shared" si="1217"/>
        <v/>
      </c>
      <c r="HD138" s="363" t="str">
        <f t="shared" si="1218"/>
        <v/>
      </c>
      <c r="HE138" s="344" t="str">
        <f t="shared" si="970"/>
        <v/>
      </c>
      <c r="HF138" s="5" t="str">
        <f t="shared" si="971"/>
        <v/>
      </c>
      <c r="HG138" s="343" t="str">
        <f t="shared" si="1219"/>
        <v/>
      </c>
      <c r="HH138" s="349" t="str">
        <f t="shared" si="1220"/>
        <v/>
      </c>
      <c r="HI138" s="317" t="str">
        <f t="shared" si="1260"/>
        <v/>
      </c>
      <c r="HK138" s="310" t="str">
        <f t="shared" ref="HK138:HK150" si="1294">IF(ISNUMBER(HS138),HK137+1,"")</f>
        <v/>
      </c>
      <c r="HL138" s="348" t="str">
        <f t="shared" si="1261"/>
        <v/>
      </c>
      <c r="HM138" s="923" t="str">
        <f t="shared" si="1262"/>
        <v/>
      </c>
      <c r="HN138" s="924" t="str">
        <f t="shared" si="1263"/>
        <v/>
      </c>
      <c r="HO138" s="925"/>
      <c r="HP138" s="926"/>
      <c r="HQ138" s="924" t="str">
        <f t="shared" si="1264"/>
        <v/>
      </c>
      <c r="HR138" s="927" t="str">
        <f t="shared" si="1265"/>
        <v/>
      </c>
      <c r="HS138" s="879" t="str">
        <f t="shared" si="1221"/>
        <v/>
      </c>
      <c r="HT138" s="889" t="str">
        <f t="shared" si="1266"/>
        <v/>
      </c>
      <c r="HU138" s="890" t="str">
        <f t="shared" si="1267"/>
        <v/>
      </c>
      <c r="HV138" s="886" t="str">
        <f t="shared" si="1268"/>
        <v/>
      </c>
      <c r="HW138" s="880" t="str">
        <f t="shared" si="1269"/>
        <v/>
      </c>
      <c r="HX138" s="881" t="str">
        <f t="shared" si="1270"/>
        <v/>
      </c>
      <c r="HY138" s="880" t="str">
        <f t="shared" si="1271"/>
        <v/>
      </c>
      <c r="HZ138" s="882" t="str">
        <f t="shared" si="1272"/>
        <v/>
      </c>
      <c r="IA138" s="883" t="str">
        <f t="shared" si="1273"/>
        <v/>
      </c>
      <c r="IB138" s="884" t="str">
        <f t="shared" si="1274"/>
        <v/>
      </c>
      <c r="IC138" s="855" t="str">
        <f t="shared" si="1275"/>
        <v/>
      </c>
      <c r="ID138" s="351" t="str">
        <f t="shared" si="1276"/>
        <v/>
      </c>
      <c r="IE138" s="857" t="str">
        <f t="shared" si="1277"/>
        <v/>
      </c>
      <c r="IF138" s="858"/>
      <c r="IG138" s="790" t="str">
        <f>IFERROR(IF($IW138="","",IF($IW138&lt;(((Settings!$C$19/2)*-1)*$IG$8),"Taper","Nose")),"")</f>
        <v/>
      </c>
      <c r="IH138" s="482" t="str">
        <f>IFERROR(IF((((($IY138*COS(RADIANS(180-$JA138)))*COS(RADIANS($JA138)))-(($IZ138*SIN(RADIANS(180-$JA138)))*SIN(RADIANS($JA138))))+$IW138)&lt;(((Settings!$C$19+$IH$8)/2)*-1),"Gage",""),"")</f>
        <v/>
      </c>
      <c r="II138" s="788" t="str">
        <f t="shared" si="855"/>
        <v/>
      </c>
      <c r="IJ138" s="674" t="str" cm="1">
        <f t="array" ref="IJ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K138" s="677" t="str" cm="1">
        <f t="array" ref="IK138">IFERROR(ROUND(VALUE(IF($IJ138&lt;1,$IJ138+LARGE((IF($M$9:$M$150="",0,$M$9:$M$150)-MOD(IF($M$9:$M$150="",0,$M$9:$M$150),1)),1),$IJ138)),4),"")</f>
        <v/>
      </c>
      <c r="IL138" s="482" t="str">
        <f t="shared" si="1278"/>
        <v/>
      </c>
      <c r="IM138" s="482" t="str">
        <f t="shared" si="856"/>
        <v/>
      </c>
      <c r="IN138" s="670" t="str">
        <f t="shared" si="1279"/>
        <v/>
      </c>
      <c r="IO138" s="702"/>
      <c r="IP138" s="5" t="str">
        <f t="shared" si="1280"/>
        <v/>
      </c>
      <c r="IQ138" s="714"/>
      <c r="IR138" s="9" t="str">
        <f t="shared" si="1281"/>
        <v/>
      </c>
      <c r="IS138" s="5" t="str">
        <f t="shared" si="1282"/>
        <v/>
      </c>
      <c r="IT138" s="5" t="str">
        <f t="shared" si="1283"/>
        <v/>
      </c>
      <c r="IU138" s="5" t="str">
        <f t="shared" si="1284"/>
        <v/>
      </c>
      <c r="IV138" s="670" t="str">
        <f t="shared" si="1285"/>
        <v/>
      </c>
      <c r="IW138" s="9" t="str">
        <f t="shared" si="1286"/>
        <v/>
      </c>
      <c r="IX138" s="5" t="str">
        <f t="shared" si="1287"/>
        <v/>
      </c>
      <c r="IY138" s="5" t="str">
        <f t="shared" si="1288"/>
        <v/>
      </c>
      <c r="IZ138" s="5" t="str">
        <f t="shared" si="1289"/>
        <v/>
      </c>
      <c r="JA138" s="705" t="str">
        <f t="shared" si="1290"/>
        <v/>
      </c>
    </row>
    <row r="139" spans="1:277" ht="15" customHeight="1" x14ac:dyDescent="0.25">
      <c r="A139" s="75" t="str">
        <f t="shared" si="1234"/>
        <v/>
      </c>
      <c r="B139" s="585" t="str">
        <f t="shared" ref="B139:D139" si="1295">IFERROR(O294+($A139*-E139),"")</f>
        <v/>
      </c>
      <c r="C139" s="582" t="str">
        <f t="shared" si="1295"/>
        <v/>
      </c>
      <c r="D139" s="583" t="str">
        <f t="shared" si="1295"/>
        <v/>
      </c>
      <c r="E139" s="588" t="str">
        <f t="shared" ref="E139:K139" si="1296">R294</f>
        <v/>
      </c>
      <c r="F139" s="582" t="str">
        <f t="shared" si="1296"/>
        <v/>
      </c>
      <c r="G139" s="586" t="str">
        <f t="shared" si="1296"/>
        <v/>
      </c>
      <c r="H139" s="588" t="str">
        <f t="shared" si="1296"/>
        <v/>
      </c>
      <c r="I139" s="582" t="str">
        <f t="shared" si="1296"/>
        <v/>
      </c>
      <c r="J139" s="491" t="str">
        <f t="shared" si="1293"/>
        <v/>
      </c>
      <c r="K139" s="807" t="str">
        <f t="shared" si="1296"/>
        <v/>
      </c>
      <c r="L139" s="309"/>
      <c r="M139" s="492" t="str">
        <f t="shared" si="1237"/>
        <v/>
      </c>
      <c r="N139" s="581" t="str">
        <f t="shared" si="1238"/>
        <v/>
      </c>
      <c r="O139" s="582" t="str">
        <f t="shared" si="1239"/>
        <v/>
      </c>
      <c r="P139" s="583" t="str">
        <f t="shared" si="1240"/>
        <v/>
      </c>
      <c r="Q139" s="536" t="str">
        <f t="shared" si="1079"/>
        <v/>
      </c>
      <c r="R139" s="582" t="str">
        <f t="shared" si="1080"/>
        <v/>
      </c>
      <c r="S139" s="584" t="str">
        <f t="shared" si="1081"/>
        <v/>
      </c>
      <c r="T139" s="585" t="str">
        <f t="shared" si="1082"/>
        <v/>
      </c>
      <c r="U139" s="582" t="str">
        <f t="shared" si="1083"/>
        <v/>
      </c>
      <c r="V139" s="586" t="str">
        <f t="shared" si="1084"/>
        <v/>
      </c>
      <c r="W139" s="536" t="str">
        <f t="shared" si="1085"/>
        <v/>
      </c>
      <c r="X139" s="582" t="str">
        <f t="shared" si="1086"/>
        <v/>
      </c>
      <c r="Y139" s="587" t="str">
        <f t="shared" si="1087"/>
        <v/>
      </c>
      <c r="Z139" s="581" t="str">
        <f t="shared" si="1241"/>
        <v/>
      </c>
      <c r="AA139" s="582" t="str">
        <f t="shared" si="1242"/>
        <v/>
      </c>
      <c r="AB139" s="582" t="str">
        <f t="shared" si="1243"/>
        <v/>
      </c>
      <c r="AC139" s="586" t="str">
        <f t="shared" si="1088"/>
        <v/>
      </c>
      <c r="AD139" s="588" t="str">
        <f t="shared" si="1089"/>
        <v/>
      </c>
      <c r="AE139" s="582" t="str">
        <f t="shared" si="1090"/>
        <v/>
      </c>
      <c r="AF139" s="583" t="str">
        <f t="shared" si="1091"/>
        <v/>
      </c>
      <c r="AG139" s="547" t="str">
        <f t="shared" si="1092"/>
        <v/>
      </c>
      <c r="AH139" s="548" t="str">
        <f t="shared" si="1093"/>
        <v/>
      </c>
      <c r="AI139" s="536" t="str">
        <f t="shared" si="1094"/>
        <v/>
      </c>
      <c r="AJ139" s="537" t="str">
        <f t="shared" si="1095"/>
        <v/>
      </c>
      <c r="AK139" s="585" t="str">
        <f t="shared" si="1096"/>
        <v/>
      </c>
      <c r="AL139" s="582" t="str">
        <f t="shared" si="1097"/>
        <v/>
      </c>
      <c r="AM139" s="584" t="str">
        <f t="shared" si="1098"/>
        <v/>
      </c>
      <c r="AN139" s="534" t="str">
        <f t="shared" si="1099"/>
        <v/>
      </c>
      <c r="AO139" s="535" t="str">
        <f t="shared" si="1058"/>
        <v/>
      </c>
      <c r="AP139" s="536" t="str">
        <f t="shared" si="1100"/>
        <v/>
      </c>
      <c r="AQ139" s="537" t="str">
        <f t="shared" si="1244"/>
        <v/>
      </c>
      <c r="AS139" s="955" t="str">
        <f t="shared" ref="AS139:AS150" si="1297">IF(G139="","",IF(AND(W139&lt;(AS138+180),W139&gt;(AS138-180)),W139,IF(W139&gt;(AS138+180),W139-360,IF(W139&lt;(AS138-180),W139+360,"Error"))))</f>
        <v/>
      </c>
      <c r="AT139" s="951" t="str">
        <f t="shared" si="1245"/>
        <v/>
      </c>
      <c r="AU139" s="418"/>
      <c r="AV139" s="164" t="str">
        <f t="shared" si="1246"/>
        <v/>
      </c>
      <c r="AW139" s="832" t="str">
        <f>IFERROR(INDEX(MassProp!C$9:C$150,MATCH($M139,MassProp!$B$9:$B$150,0)),"")</f>
        <v/>
      </c>
      <c r="AX139" s="833" t="str">
        <f>IFERROR(INDEX(MassProp!D$9:D$150,MATCH($M139,MassProp!$B$9:$B$150,0)),"")</f>
        <v/>
      </c>
      <c r="AY139" s="834" t="str">
        <f>IFERROR(INDEX(MassProp!E$9:E$150,MATCH($M139,MassProp!$B$9:$B$150,0)),"")</f>
        <v/>
      </c>
      <c r="AZ139" s="297" t="str">
        <f t="shared" si="1101"/>
        <v/>
      </c>
      <c r="BA139" s="505" t="str">
        <f t="shared" si="1102"/>
        <v/>
      </c>
      <c r="BB139" s="506" t="str">
        <f t="shared" si="730"/>
        <v/>
      </c>
      <c r="BC139" s="496"/>
      <c r="BD139" s="494" t="str">
        <f t="shared" si="1103"/>
        <v/>
      </c>
      <c r="BE139" s="497" t="str">
        <f t="shared" si="1247"/>
        <v/>
      </c>
      <c r="BF139" s="498" t="str">
        <f t="shared" si="1248"/>
        <v/>
      </c>
      <c r="BG139" s="494" t="str">
        <f t="shared" si="1249"/>
        <v/>
      </c>
      <c r="BH139" s="495" t="str">
        <f t="shared" si="1250"/>
        <v/>
      </c>
      <c r="BI139" s="496" t="str">
        <f t="shared" si="1104"/>
        <v/>
      </c>
      <c r="BJ139" s="494" t="str">
        <f t="shared" si="1251"/>
        <v/>
      </c>
      <c r="BK139" s="499" t="str">
        <f t="shared" si="1252"/>
        <v/>
      </c>
      <c r="BL139" s="502" t="str">
        <f t="shared" si="1253"/>
        <v/>
      </c>
      <c r="BM139" s="494" t="str">
        <f t="shared" si="1254"/>
        <v/>
      </c>
      <c r="BN139" s="497" t="str">
        <f t="shared" si="1255"/>
        <v/>
      </c>
      <c r="BO139" s="498" t="str">
        <f t="shared" si="1105"/>
        <v/>
      </c>
      <c r="BP139" s="494" t="str">
        <f t="shared" si="1106"/>
        <v/>
      </c>
      <c r="BQ139" s="494" t="str">
        <f t="shared" si="1107"/>
        <v/>
      </c>
      <c r="BR139" s="497" t="str">
        <f t="shared" si="1108"/>
        <v/>
      </c>
      <c r="BS139" s="498" t="str">
        <f t="shared" si="1024"/>
        <v/>
      </c>
      <c r="BT139" s="494" t="str">
        <f t="shared" si="1024"/>
        <v/>
      </c>
      <c r="BU139" s="495" t="str">
        <f t="shared" si="733"/>
        <v/>
      </c>
      <c r="BV139" s="496" t="str">
        <f t="shared" si="734"/>
        <v/>
      </c>
      <c r="BW139" s="494" t="str">
        <f t="shared" si="735"/>
        <v/>
      </c>
      <c r="BX139" s="499" t="str">
        <f t="shared" si="736"/>
        <v/>
      </c>
      <c r="BY139" s="502" t="str">
        <f t="shared" si="737"/>
        <v/>
      </c>
      <c r="BZ139" s="494" t="str">
        <f t="shared" si="738"/>
        <v/>
      </c>
      <c r="CA139" s="497" t="str">
        <f t="shared" si="739"/>
        <v/>
      </c>
      <c r="CB139" s="498" t="str">
        <f t="shared" si="1109"/>
        <v/>
      </c>
      <c r="CC139" s="494" t="str">
        <f t="shared" si="1110"/>
        <v/>
      </c>
      <c r="CD139" s="494" t="str">
        <f t="shared" si="1111"/>
        <v/>
      </c>
      <c r="CE139" s="497" t="str">
        <f t="shared" si="1112"/>
        <v/>
      </c>
      <c r="CF139" s="498" t="str">
        <f t="shared" si="1113"/>
        <v/>
      </c>
      <c r="CG139" s="494" t="str">
        <f t="shared" si="1114"/>
        <v/>
      </c>
      <c r="CH139" s="494" t="str">
        <f t="shared" si="1115"/>
        <v/>
      </c>
      <c r="CI139" s="498" t="str">
        <f t="shared" si="740"/>
        <v/>
      </c>
      <c r="CJ139" s="494" t="str">
        <f t="shared" si="1116"/>
        <v/>
      </c>
      <c r="CK139" s="499" t="str">
        <f t="shared" si="1117"/>
        <v/>
      </c>
      <c r="CL139" s="502" t="str">
        <f t="shared" si="1118"/>
        <v/>
      </c>
      <c r="CM139" s="494" t="str">
        <f t="shared" si="1119"/>
        <v/>
      </c>
      <c r="CN139" s="497" t="str">
        <f t="shared" si="1120"/>
        <v/>
      </c>
      <c r="CO139" s="507" t="str">
        <f t="shared" si="1256"/>
        <v/>
      </c>
      <c r="CP139" s="498" t="str">
        <f t="shared" si="1121"/>
        <v/>
      </c>
      <c r="CQ139" s="494" t="str">
        <f t="shared" si="1122"/>
        <v/>
      </c>
      <c r="CR139" s="494" t="str">
        <f t="shared" si="1123"/>
        <v/>
      </c>
      <c r="CS139" s="499" t="str">
        <f t="shared" si="1124"/>
        <v/>
      </c>
      <c r="CT139" s="496" t="str">
        <f t="shared" si="1125"/>
        <v/>
      </c>
      <c r="CU139" s="497" t="str">
        <f t="shared" si="1126"/>
        <v/>
      </c>
      <c r="CV139" s="498" t="str">
        <f t="shared" si="1127"/>
        <v/>
      </c>
      <c r="CW139" s="494" t="str">
        <f t="shared" si="1128"/>
        <v/>
      </c>
      <c r="CX139" s="499" t="str">
        <f t="shared" si="1129"/>
        <v/>
      </c>
      <c r="CY139" s="496" t="str">
        <f t="shared" si="1130"/>
        <v/>
      </c>
      <c r="CZ139" s="494" t="str">
        <f t="shared" si="1131"/>
        <v/>
      </c>
      <c r="DA139" s="497" t="str">
        <f t="shared" si="1132"/>
        <v/>
      </c>
      <c r="DB139" s="498" t="str">
        <f t="shared" si="1030"/>
        <v/>
      </c>
      <c r="DC139" s="494" t="str">
        <f t="shared" si="1030"/>
        <v/>
      </c>
      <c r="DD139" s="495" t="str">
        <f t="shared" si="782"/>
        <v/>
      </c>
      <c r="DE139" s="496" t="str">
        <f t="shared" si="1031"/>
        <v/>
      </c>
      <c r="DF139" s="494" t="str">
        <f t="shared" si="1031"/>
        <v/>
      </c>
      <c r="DG139" s="495" t="str">
        <f t="shared" si="784"/>
        <v/>
      </c>
      <c r="DH139" s="501" t="str">
        <f t="shared" si="1133"/>
        <v/>
      </c>
      <c r="DI139" s="498" t="str">
        <f t="shared" si="1134"/>
        <v/>
      </c>
      <c r="DJ139" s="494" t="str">
        <f t="shared" si="1135"/>
        <v/>
      </c>
      <c r="DK139" s="495" t="str">
        <f t="shared" si="1136"/>
        <v/>
      </c>
      <c r="DL139" s="496" t="str">
        <f t="shared" si="1137"/>
        <v/>
      </c>
      <c r="DM139" s="502" t="str">
        <f t="shared" si="1138"/>
        <v/>
      </c>
      <c r="DN139" s="508" t="str">
        <f t="shared" si="1139"/>
        <v/>
      </c>
      <c r="DO139" s="496" t="str">
        <f t="shared" si="1140"/>
        <v/>
      </c>
      <c r="DP139" s="502" t="str">
        <f t="shared" si="1141"/>
        <v/>
      </c>
      <c r="DQ139" s="503" t="str">
        <f t="shared" si="1142"/>
        <v/>
      </c>
      <c r="DR139" s="502" t="str">
        <f t="shared" si="1143"/>
        <v/>
      </c>
      <c r="DS139" s="494" t="str">
        <f t="shared" si="1144"/>
        <v/>
      </c>
      <c r="DT139" s="494" t="str">
        <f t="shared" si="1145"/>
        <v/>
      </c>
      <c r="DU139" s="494" t="str">
        <f t="shared" si="1146"/>
        <v/>
      </c>
      <c r="DV139" s="494" t="str">
        <f t="shared" si="1147"/>
        <v/>
      </c>
      <c r="DW139" s="494" t="str">
        <f t="shared" si="1148"/>
        <v/>
      </c>
      <c r="DX139" s="507" t="str">
        <f t="shared" si="1149"/>
        <v/>
      </c>
      <c r="DY139" s="496" t="str">
        <f t="shared" si="1150"/>
        <v/>
      </c>
      <c r="DZ139" s="494" t="str">
        <f t="shared" si="1151"/>
        <v/>
      </c>
      <c r="EA139" s="495" t="str">
        <f t="shared" si="1152"/>
        <v/>
      </c>
      <c r="EB139" s="497" t="str">
        <f t="shared" si="1153"/>
        <v/>
      </c>
      <c r="EC139" s="502" t="str">
        <f t="shared" si="1154"/>
        <v/>
      </c>
      <c r="ED139" s="494" t="str">
        <f t="shared" si="1155"/>
        <v/>
      </c>
      <c r="EE139" s="498" t="str">
        <f t="shared" si="1156"/>
        <v/>
      </c>
      <c r="EF139" s="494" t="str">
        <f t="shared" si="1157"/>
        <v/>
      </c>
      <c r="EG139" s="495" t="str">
        <f t="shared" si="1158"/>
        <v/>
      </c>
      <c r="EH139" s="496" t="str">
        <f t="shared" si="1159"/>
        <v/>
      </c>
      <c r="EI139" s="494" t="str">
        <f t="shared" si="1160"/>
        <v/>
      </c>
      <c r="EJ139" s="497" t="str">
        <f t="shared" si="1161"/>
        <v/>
      </c>
      <c r="EK139" s="509" t="str">
        <f t="shared" si="814"/>
        <v/>
      </c>
      <c r="EL139" s="510" t="str">
        <f t="shared" si="815"/>
        <v/>
      </c>
      <c r="EM139" s="498" t="str">
        <f t="shared" si="1162"/>
        <v/>
      </c>
      <c r="EN139" s="494" t="str">
        <f t="shared" si="1163"/>
        <v/>
      </c>
      <c r="EO139" s="495" t="str">
        <f t="shared" si="1164"/>
        <v/>
      </c>
      <c r="EP139" s="496" t="str">
        <f t="shared" si="1165"/>
        <v/>
      </c>
      <c r="EQ139" s="494" t="str">
        <f t="shared" si="1166"/>
        <v/>
      </c>
      <c r="ER139" s="500" t="str">
        <f t="shared" si="1167"/>
        <v/>
      </c>
      <c r="ES139" s="493" t="str">
        <f t="shared" si="1257"/>
        <v/>
      </c>
      <c r="ET139" s="494" t="str">
        <f t="shared" si="1258"/>
        <v/>
      </c>
      <c r="EU139" s="495" t="str">
        <f t="shared" si="1259"/>
        <v/>
      </c>
      <c r="EV139" s="174" t="str">
        <f t="shared" si="1168"/>
        <v/>
      </c>
      <c r="EW139" s="496" t="str">
        <f t="shared" si="1169"/>
        <v/>
      </c>
      <c r="EX139" s="494" t="str">
        <f t="shared" si="1170"/>
        <v/>
      </c>
      <c r="EY139" s="497" t="str">
        <f t="shared" si="1171"/>
        <v/>
      </c>
      <c r="EZ139" s="504" t="str">
        <f t="shared" si="823"/>
        <v/>
      </c>
      <c r="FA139" s="502" t="str">
        <f t="shared" si="947"/>
        <v/>
      </c>
      <c r="FB139" s="494" t="str">
        <f t="shared" si="948"/>
        <v/>
      </c>
      <c r="FC139" s="497" t="str">
        <f t="shared" si="949"/>
        <v/>
      </c>
      <c r="FD139" s="498" t="str">
        <f t="shared" si="1172"/>
        <v/>
      </c>
      <c r="FE139" s="494" t="str">
        <f t="shared" si="1173"/>
        <v/>
      </c>
      <c r="FF139" s="500" t="str">
        <f t="shared" si="1174"/>
        <v/>
      </c>
      <c r="FG139" s="173" t="str">
        <f t="shared" si="1175"/>
        <v/>
      </c>
      <c r="FH139" s="5" t="str">
        <f t="shared" si="1176"/>
        <v/>
      </c>
      <c r="FI139" s="10" t="str">
        <f t="shared" si="1177"/>
        <v/>
      </c>
      <c r="FJ139" s="279" t="str">
        <f t="shared" si="1178"/>
        <v/>
      </c>
      <c r="FK139" s="4" t="str">
        <f t="shared" si="1179"/>
        <v/>
      </c>
      <c r="FL139" s="5" t="str">
        <f t="shared" si="1180"/>
        <v/>
      </c>
      <c r="FM139" s="8" t="str">
        <f t="shared" si="1181"/>
        <v/>
      </c>
      <c r="FN139" s="9" t="str">
        <f t="shared" si="1182"/>
        <v/>
      </c>
      <c r="FO139" s="10" t="str">
        <f t="shared" si="1183"/>
        <v/>
      </c>
      <c r="FP139" s="277" t="str">
        <f t="shared" si="1184"/>
        <v/>
      </c>
      <c r="FQ139" s="173" t="str">
        <f t="shared" si="1185"/>
        <v/>
      </c>
      <c r="FR139" s="10" t="str">
        <f t="shared" si="1186"/>
        <v/>
      </c>
      <c r="FS139" s="9" t="str">
        <f t="shared" si="1187"/>
        <v/>
      </c>
      <c r="FT139" s="6" t="str">
        <f t="shared" si="1188"/>
        <v/>
      </c>
      <c r="FU139" s="4" t="str">
        <f t="shared" si="1189"/>
        <v/>
      </c>
      <c r="FV139" s="5" t="str">
        <f t="shared" si="1190"/>
        <v/>
      </c>
      <c r="FW139" s="8" t="str">
        <f t="shared" si="1191"/>
        <v/>
      </c>
      <c r="FX139" s="9" t="str">
        <f t="shared" si="1192"/>
        <v/>
      </c>
      <c r="FY139" s="10" t="str">
        <f t="shared" si="1193"/>
        <v/>
      </c>
      <c r="FZ139" s="277" t="str">
        <f t="shared" si="1194"/>
        <v/>
      </c>
      <c r="GA139" s="177" t="str">
        <f t="shared" si="1195"/>
        <v/>
      </c>
      <c r="GB139" s="4" t="str">
        <f t="shared" si="1196"/>
        <v/>
      </c>
      <c r="GC139" s="5" t="str">
        <f t="shared" si="1197"/>
        <v/>
      </c>
      <c r="GD139" s="10" t="str">
        <f t="shared" si="1198"/>
        <v/>
      </c>
      <c r="GE139" s="311" t="str">
        <f t="shared" si="1199"/>
        <v/>
      </c>
      <c r="GF139" s="341" t="str">
        <f t="shared" si="1200"/>
        <v/>
      </c>
      <c r="GG139" s="306" t="str">
        <f t="shared" si="1201"/>
        <v/>
      </c>
      <c r="GH139" s="307" t="str">
        <f t="shared" si="1202"/>
        <v/>
      </c>
      <c r="GI139" s="308" t="str">
        <f t="shared" si="1203"/>
        <v/>
      </c>
      <c r="GJ139" s="167" t="str">
        <f t="shared" si="1204"/>
        <v/>
      </c>
      <c r="GK139" s="174" t="str">
        <f t="shared" si="961"/>
        <v/>
      </c>
      <c r="GL139" s="174" t="str">
        <f t="shared" si="1205"/>
        <v/>
      </c>
      <c r="GM139" s="177" t="str">
        <f t="shared" si="1206"/>
        <v/>
      </c>
      <c r="GN139" s="280" t="str">
        <f t="shared" si="1207"/>
        <v/>
      </c>
      <c r="GO139" s="4" t="str">
        <f t="shared" si="1208"/>
        <v/>
      </c>
      <c r="GP139" s="8" t="str">
        <f t="shared" si="1209"/>
        <v/>
      </c>
      <c r="GQ139" s="177" t="str">
        <f t="shared" si="1210"/>
        <v/>
      </c>
      <c r="GR139" s="371" t="str">
        <f t="shared" si="1211"/>
        <v/>
      </c>
      <c r="GS139" s="342" t="str">
        <f t="shared" si="1212"/>
        <v/>
      </c>
      <c r="GT139" s="343" t="str">
        <f t="shared" si="1213"/>
        <v/>
      </c>
      <c r="GU139" s="344" t="str">
        <f t="shared" si="964"/>
        <v/>
      </c>
      <c r="GV139" s="343" t="str">
        <f t="shared" si="1214"/>
        <v/>
      </c>
      <c r="GW139" s="345" t="str">
        <f t="shared" si="965"/>
        <v/>
      </c>
      <c r="GX139" s="346" t="str">
        <f t="shared" si="966"/>
        <v/>
      </c>
      <c r="GY139" s="344" t="str">
        <f t="shared" si="1215"/>
        <v/>
      </c>
      <c r="GZ139" s="345" t="str">
        <f t="shared" si="1216"/>
        <v/>
      </c>
      <c r="HA139" s="342" t="str">
        <f t="shared" si="969"/>
        <v/>
      </c>
      <c r="HB139" s="5" t="str">
        <f t="shared" si="850"/>
        <v/>
      </c>
      <c r="HC139" s="343" t="str">
        <f t="shared" si="1217"/>
        <v/>
      </c>
      <c r="HD139" s="363" t="str">
        <f t="shared" si="1218"/>
        <v/>
      </c>
      <c r="HE139" s="344" t="str">
        <f t="shared" si="970"/>
        <v/>
      </c>
      <c r="HF139" s="5" t="str">
        <f t="shared" si="971"/>
        <v/>
      </c>
      <c r="HG139" s="343" t="str">
        <f t="shared" si="1219"/>
        <v/>
      </c>
      <c r="HH139" s="349" t="str">
        <f t="shared" si="1220"/>
        <v/>
      </c>
      <c r="HI139" s="317" t="str">
        <f t="shared" si="1260"/>
        <v/>
      </c>
      <c r="HK139" s="310" t="str">
        <f t="shared" si="1294"/>
        <v/>
      </c>
      <c r="HL139" s="348" t="str">
        <f t="shared" si="1261"/>
        <v/>
      </c>
      <c r="HM139" s="923" t="str">
        <f t="shared" si="1262"/>
        <v/>
      </c>
      <c r="HN139" s="924" t="str">
        <f t="shared" si="1263"/>
        <v/>
      </c>
      <c r="HO139" s="925"/>
      <c r="HP139" s="926"/>
      <c r="HQ139" s="924" t="str">
        <f t="shared" si="1264"/>
        <v/>
      </c>
      <c r="HR139" s="927" t="str">
        <f t="shared" si="1265"/>
        <v/>
      </c>
      <c r="HS139" s="879" t="str">
        <f t="shared" si="1221"/>
        <v/>
      </c>
      <c r="HT139" s="889" t="str">
        <f t="shared" si="1266"/>
        <v/>
      </c>
      <c r="HU139" s="890" t="str">
        <f t="shared" si="1267"/>
        <v/>
      </c>
      <c r="HV139" s="886" t="str">
        <f t="shared" si="1268"/>
        <v/>
      </c>
      <c r="HW139" s="880" t="str">
        <f t="shared" si="1269"/>
        <v/>
      </c>
      <c r="HX139" s="881" t="str">
        <f t="shared" si="1270"/>
        <v/>
      </c>
      <c r="HY139" s="880" t="str">
        <f t="shared" si="1271"/>
        <v/>
      </c>
      <c r="HZ139" s="882" t="str">
        <f t="shared" si="1272"/>
        <v/>
      </c>
      <c r="IA139" s="883" t="str">
        <f t="shared" si="1273"/>
        <v/>
      </c>
      <c r="IB139" s="884" t="str">
        <f t="shared" si="1274"/>
        <v/>
      </c>
      <c r="IC139" s="855" t="str">
        <f t="shared" si="1275"/>
        <v/>
      </c>
      <c r="ID139" s="351" t="str">
        <f t="shared" si="1276"/>
        <v/>
      </c>
      <c r="IE139" s="857" t="str">
        <f t="shared" si="1277"/>
        <v/>
      </c>
      <c r="IF139" s="858"/>
      <c r="IG139" s="790" t="str">
        <f>IFERROR(IF($IW139="","",IF($IW139&lt;(((Settings!$C$19/2)*-1)*$IG$8),"Taper","Nose")),"")</f>
        <v/>
      </c>
      <c r="IH139" s="482" t="str">
        <f>IFERROR(IF((((($IY139*COS(RADIANS(180-$JA139)))*COS(RADIANS($JA139)))-(($IZ139*SIN(RADIANS(180-$JA139)))*SIN(RADIANS($JA139))))+$IW139)&lt;(((Settings!$C$19+$IH$8)/2)*-1),"Gage",""),"")</f>
        <v/>
      </c>
      <c r="II139" s="788" t="str">
        <f t="shared" ref="II139:II150" si="1298">$M139</f>
        <v/>
      </c>
      <c r="IJ139" s="674" t="str" cm="1">
        <f t="array" ref="IJ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K139" s="677" t="str" cm="1">
        <f t="array" ref="IK139">IFERROR(ROUND(VALUE(IF($IJ139&lt;1,$IJ139+LARGE((IF($M$9:$M$150="",0,$M$9:$M$150)-MOD(IF($M$9:$M$150="",0,$M$9:$M$150),1)),1),$IJ139)),4),"")</f>
        <v/>
      </c>
      <c r="IL139" s="482" t="str">
        <f t="shared" si="1278"/>
        <v/>
      </c>
      <c r="IM139" s="482" t="str">
        <f t="shared" ref="IM139:IM150" si="1299">IF(ISNUMBER($IK139),INDEX($K$9:$K$150,MATCH($II139,$M$9:$M$150,0)),"")</f>
        <v/>
      </c>
      <c r="IN139" s="670" t="str">
        <f t="shared" si="1279"/>
        <v/>
      </c>
      <c r="IO139" s="702"/>
      <c r="IP139" s="5" t="str">
        <f t="shared" si="1280"/>
        <v/>
      </c>
      <c r="IQ139" s="714"/>
      <c r="IR139" s="9" t="str">
        <f t="shared" si="1281"/>
        <v/>
      </c>
      <c r="IS139" s="5" t="str">
        <f t="shared" si="1282"/>
        <v/>
      </c>
      <c r="IT139" s="5" t="str">
        <f t="shared" si="1283"/>
        <v/>
      </c>
      <c r="IU139" s="5" t="str">
        <f t="shared" si="1284"/>
        <v/>
      </c>
      <c r="IV139" s="670" t="str">
        <f t="shared" si="1285"/>
        <v/>
      </c>
      <c r="IW139" s="9" t="str">
        <f t="shared" si="1286"/>
        <v/>
      </c>
      <c r="IX139" s="5" t="str">
        <f t="shared" si="1287"/>
        <v/>
      </c>
      <c r="IY139" s="5" t="str">
        <f t="shared" si="1288"/>
        <v/>
      </c>
      <c r="IZ139" s="5" t="str">
        <f t="shared" si="1289"/>
        <v/>
      </c>
      <c r="JA139" s="705" t="str">
        <f t="shared" si="1290"/>
        <v/>
      </c>
    </row>
    <row r="140" spans="1:277" ht="15" customHeight="1" x14ac:dyDescent="0.25">
      <c r="A140" s="75" t="str">
        <f t="shared" si="1234"/>
        <v/>
      </c>
      <c r="B140" s="585" t="str">
        <f t="shared" ref="B140:D140" si="1300">IFERROR(O295+($A140*-E140),"")</f>
        <v/>
      </c>
      <c r="C140" s="582" t="str">
        <f t="shared" si="1300"/>
        <v/>
      </c>
      <c r="D140" s="583" t="str">
        <f t="shared" si="1300"/>
        <v/>
      </c>
      <c r="E140" s="588" t="str">
        <f t="shared" ref="E140:K140" si="1301">R295</f>
        <v/>
      </c>
      <c r="F140" s="582" t="str">
        <f t="shared" si="1301"/>
        <v/>
      </c>
      <c r="G140" s="586" t="str">
        <f t="shared" si="1301"/>
        <v/>
      </c>
      <c r="H140" s="588" t="str">
        <f t="shared" si="1301"/>
        <v/>
      </c>
      <c r="I140" s="582" t="str">
        <f t="shared" si="1301"/>
        <v/>
      </c>
      <c r="J140" s="491" t="str">
        <f t="shared" si="1293"/>
        <v/>
      </c>
      <c r="K140" s="807" t="str">
        <f t="shared" si="1301"/>
        <v/>
      </c>
      <c r="L140" s="309"/>
      <c r="M140" s="492" t="str">
        <f t="shared" si="1237"/>
        <v/>
      </c>
      <c r="N140" s="581" t="str">
        <f t="shared" si="1238"/>
        <v/>
      </c>
      <c r="O140" s="582" t="str">
        <f t="shared" si="1239"/>
        <v/>
      </c>
      <c r="P140" s="583" t="str">
        <f t="shared" si="1240"/>
        <v/>
      </c>
      <c r="Q140" s="536" t="str">
        <f t="shared" si="1079"/>
        <v/>
      </c>
      <c r="R140" s="582" t="str">
        <f t="shared" si="1080"/>
        <v/>
      </c>
      <c r="S140" s="584" t="str">
        <f t="shared" si="1081"/>
        <v/>
      </c>
      <c r="T140" s="585" t="str">
        <f t="shared" si="1082"/>
        <v/>
      </c>
      <c r="U140" s="582" t="str">
        <f t="shared" si="1083"/>
        <v/>
      </c>
      <c r="V140" s="586" t="str">
        <f t="shared" si="1084"/>
        <v/>
      </c>
      <c r="W140" s="536" t="str">
        <f t="shared" si="1085"/>
        <v/>
      </c>
      <c r="X140" s="582" t="str">
        <f t="shared" si="1086"/>
        <v/>
      </c>
      <c r="Y140" s="587" t="str">
        <f t="shared" si="1087"/>
        <v/>
      </c>
      <c r="Z140" s="581" t="str">
        <f t="shared" si="1241"/>
        <v/>
      </c>
      <c r="AA140" s="582" t="str">
        <f t="shared" si="1242"/>
        <v/>
      </c>
      <c r="AB140" s="582" t="str">
        <f t="shared" si="1243"/>
        <v/>
      </c>
      <c r="AC140" s="586" t="str">
        <f t="shared" si="1088"/>
        <v/>
      </c>
      <c r="AD140" s="588" t="str">
        <f t="shared" si="1089"/>
        <v/>
      </c>
      <c r="AE140" s="582" t="str">
        <f t="shared" si="1090"/>
        <v/>
      </c>
      <c r="AF140" s="583" t="str">
        <f t="shared" si="1091"/>
        <v/>
      </c>
      <c r="AG140" s="547" t="str">
        <f t="shared" si="1092"/>
        <v/>
      </c>
      <c r="AH140" s="548" t="str">
        <f t="shared" si="1093"/>
        <v/>
      </c>
      <c r="AI140" s="536" t="str">
        <f t="shared" si="1094"/>
        <v/>
      </c>
      <c r="AJ140" s="537" t="str">
        <f t="shared" si="1095"/>
        <v/>
      </c>
      <c r="AK140" s="585" t="str">
        <f t="shared" si="1096"/>
        <v/>
      </c>
      <c r="AL140" s="582" t="str">
        <f t="shared" si="1097"/>
        <v/>
      </c>
      <c r="AM140" s="584" t="str">
        <f t="shared" si="1098"/>
        <v/>
      </c>
      <c r="AN140" s="534" t="str">
        <f t="shared" si="1099"/>
        <v/>
      </c>
      <c r="AO140" s="535" t="str">
        <f t="shared" si="1058"/>
        <v/>
      </c>
      <c r="AP140" s="536" t="str">
        <f t="shared" si="1100"/>
        <v/>
      </c>
      <c r="AQ140" s="537" t="str">
        <f t="shared" si="1244"/>
        <v/>
      </c>
      <c r="AS140" s="955" t="str">
        <f t="shared" si="1297"/>
        <v/>
      </c>
      <c r="AT140" s="951" t="str">
        <f t="shared" si="1245"/>
        <v/>
      </c>
      <c r="AU140" s="418"/>
      <c r="AV140" s="164" t="str">
        <f t="shared" si="1246"/>
        <v/>
      </c>
      <c r="AW140" s="832" t="str">
        <f>IFERROR(INDEX(MassProp!C$9:C$150,MATCH($M140,MassProp!$B$9:$B$150,0)),"")</f>
        <v/>
      </c>
      <c r="AX140" s="833" t="str">
        <f>IFERROR(INDEX(MassProp!D$9:D$150,MATCH($M140,MassProp!$B$9:$B$150,0)),"")</f>
        <v/>
      </c>
      <c r="AY140" s="834" t="str">
        <f>IFERROR(INDEX(MassProp!E$9:E$150,MATCH($M140,MassProp!$B$9:$B$150,0)),"")</f>
        <v/>
      </c>
      <c r="AZ140" s="297" t="str">
        <f t="shared" si="1101"/>
        <v/>
      </c>
      <c r="BA140" s="505" t="str">
        <f t="shared" si="1102"/>
        <v/>
      </c>
      <c r="BB140" s="506" t="str">
        <f t="shared" si="730"/>
        <v/>
      </c>
      <c r="BC140" s="496"/>
      <c r="BD140" s="494" t="str">
        <f t="shared" si="1103"/>
        <v/>
      </c>
      <c r="BE140" s="497" t="str">
        <f t="shared" si="1247"/>
        <v/>
      </c>
      <c r="BF140" s="498" t="str">
        <f t="shared" si="1248"/>
        <v/>
      </c>
      <c r="BG140" s="494" t="str">
        <f t="shared" si="1249"/>
        <v/>
      </c>
      <c r="BH140" s="495" t="str">
        <f t="shared" si="1250"/>
        <v/>
      </c>
      <c r="BI140" s="496" t="str">
        <f t="shared" si="1104"/>
        <v/>
      </c>
      <c r="BJ140" s="494" t="str">
        <f t="shared" si="1251"/>
        <v/>
      </c>
      <c r="BK140" s="499" t="str">
        <f t="shared" si="1252"/>
        <v/>
      </c>
      <c r="BL140" s="502" t="str">
        <f t="shared" si="1253"/>
        <v/>
      </c>
      <c r="BM140" s="494" t="str">
        <f t="shared" si="1254"/>
        <v/>
      </c>
      <c r="BN140" s="497" t="str">
        <f t="shared" si="1255"/>
        <v/>
      </c>
      <c r="BO140" s="498" t="str">
        <f t="shared" si="1105"/>
        <v/>
      </c>
      <c r="BP140" s="494" t="str">
        <f t="shared" si="1106"/>
        <v/>
      </c>
      <c r="BQ140" s="494" t="str">
        <f t="shared" si="1107"/>
        <v/>
      </c>
      <c r="BR140" s="497" t="str">
        <f t="shared" si="1108"/>
        <v/>
      </c>
      <c r="BS140" s="498" t="str">
        <f t="shared" si="1024"/>
        <v/>
      </c>
      <c r="BT140" s="494" t="str">
        <f t="shared" si="1024"/>
        <v/>
      </c>
      <c r="BU140" s="495" t="str">
        <f t="shared" si="733"/>
        <v/>
      </c>
      <c r="BV140" s="496" t="str">
        <f t="shared" si="734"/>
        <v/>
      </c>
      <c r="BW140" s="494" t="str">
        <f t="shared" si="735"/>
        <v/>
      </c>
      <c r="BX140" s="499" t="str">
        <f t="shared" si="736"/>
        <v/>
      </c>
      <c r="BY140" s="502" t="str">
        <f t="shared" si="737"/>
        <v/>
      </c>
      <c r="BZ140" s="494" t="str">
        <f t="shared" si="738"/>
        <v/>
      </c>
      <c r="CA140" s="497" t="str">
        <f t="shared" si="739"/>
        <v/>
      </c>
      <c r="CB140" s="498" t="str">
        <f t="shared" si="1109"/>
        <v/>
      </c>
      <c r="CC140" s="494" t="str">
        <f t="shared" si="1110"/>
        <v/>
      </c>
      <c r="CD140" s="494" t="str">
        <f t="shared" si="1111"/>
        <v/>
      </c>
      <c r="CE140" s="497" t="str">
        <f t="shared" si="1112"/>
        <v/>
      </c>
      <c r="CF140" s="498" t="str">
        <f t="shared" si="1113"/>
        <v/>
      </c>
      <c r="CG140" s="494" t="str">
        <f t="shared" si="1114"/>
        <v/>
      </c>
      <c r="CH140" s="494" t="str">
        <f t="shared" si="1115"/>
        <v/>
      </c>
      <c r="CI140" s="498" t="str">
        <f t="shared" si="740"/>
        <v/>
      </c>
      <c r="CJ140" s="494" t="str">
        <f t="shared" si="1116"/>
        <v/>
      </c>
      <c r="CK140" s="499" t="str">
        <f t="shared" si="1117"/>
        <v/>
      </c>
      <c r="CL140" s="502" t="str">
        <f t="shared" si="1118"/>
        <v/>
      </c>
      <c r="CM140" s="494" t="str">
        <f t="shared" si="1119"/>
        <v/>
      </c>
      <c r="CN140" s="497" t="str">
        <f t="shared" si="1120"/>
        <v/>
      </c>
      <c r="CO140" s="507" t="str">
        <f t="shared" si="1256"/>
        <v/>
      </c>
      <c r="CP140" s="498" t="str">
        <f t="shared" si="1121"/>
        <v/>
      </c>
      <c r="CQ140" s="494" t="str">
        <f t="shared" si="1122"/>
        <v/>
      </c>
      <c r="CR140" s="494" t="str">
        <f t="shared" si="1123"/>
        <v/>
      </c>
      <c r="CS140" s="499" t="str">
        <f t="shared" si="1124"/>
        <v/>
      </c>
      <c r="CT140" s="496" t="str">
        <f t="shared" si="1125"/>
        <v/>
      </c>
      <c r="CU140" s="497" t="str">
        <f t="shared" si="1126"/>
        <v/>
      </c>
      <c r="CV140" s="498" t="str">
        <f t="shared" si="1127"/>
        <v/>
      </c>
      <c r="CW140" s="494" t="str">
        <f t="shared" si="1128"/>
        <v/>
      </c>
      <c r="CX140" s="499" t="str">
        <f t="shared" si="1129"/>
        <v/>
      </c>
      <c r="CY140" s="496" t="str">
        <f t="shared" si="1130"/>
        <v/>
      </c>
      <c r="CZ140" s="494" t="str">
        <f t="shared" si="1131"/>
        <v/>
      </c>
      <c r="DA140" s="497" t="str">
        <f t="shared" si="1132"/>
        <v/>
      </c>
      <c r="DB140" s="498" t="str">
        <f t="shared" si="1030"/>
        <v/>
      </c>
      <c r="DC140" s="494" t="str">
        <f t="shared" si="1030"/>
        <v/>
      </c>
      <c r="DD140" s="495" t="str">
        <f t="shared" si="782"/>
        <v/>
      </c>
      <c r="DE140" s="496" t="str">
        <f t="shared" si="1031"/>
        <v/>
      </c>
      <c r="DF140" s="494" t="str">
        <f t="shared" si="1031"/>
        <v/>
      </c>
      <c r="DG140" s="495" t="str">
        <f t="shared" si="784"/>
        <v/>
      </c>
      <c r="DH140" s="501" t="str">
        <f t="shared" si="1133"/>
        <v/>
      </c>
      <c r="DI140" s="498" t="str">
        <f t="shared" si="1134"/>
        <v/>
      </c>
      <c r="DJ140" s="494" t="str">
        <f t="shared" si="1135"/>
        <v/>
      </c>
      <c r="DK140" s="495" t="str">
        <f t="shared" si="1136"/>
        <v/>
      </c>
      <c r="DL140" s="496" t="str">
        <f t="shared" si="1137"/>
        <v/>
      </c>
      <c r="DM140" s="502" t="str">
        <f t="shared" si="1138"/>
        <v/>
      </c>
      <c r="DN140" s="508" t="str">
        <f t="shared" si="1139"/>
        <v/>
      </c>
      <c r="DO140" s="496" t="str">
        <f t="shared" si="1140"/>
        <v/>
      </c>
      <c r="DP140" s="502" t="str">
        <f t="shared" si="1141"/>
        <v/>
      </c>
      <c r="DQ140" s="503" t="str">
        <f t="shared" si="1142"/>
        <v/>
      </c>
      <c r="DR140" s="502" t="str">
        <f t="shared" si="1143"/>
        <v/>
      </c>
      <c r="DS140" s="494" t="str">
        <f t="shared" si="1144"/>
        <v/>
      </c>
      <c r="DT140" s="494" t="str">
        <f t="shared" si="1145"/>
        <v/>
      </c>
      <c r="DU140" s="494" t="str">
        <f t="shared" si="1146"/>
        <v/>
      </c>
      <c r="DV140" s="494" t="str">
        <f t="shared" si="1147"/>
        <v/>
      </c>
      <c r="DW140" s="494" t="str">
        <f t="shared" si="1148"/>
        <v/>
      </c>
      <c r="DX140" s="507" t="str">
        <f t="shared" si="1149"/>
        <v/>
      </c>
      <c r="DY140" s="496" t="str">
        <f t="shared" si="1150"/>
        <v/>
      </c>
      <c r="DZ140" s="494" t="str">
        <f t="shared" si="1151"/>
        <v/>
      </c>
      <c r="EA140" s="495" t="str">
        <f t="shared" si="1152"/>
        <v/>
      </c>
      <c r="EB140" s="497" t="str">
        <f t="shared" si="1153"/>
        <v/>
      </c>
      <c r="EC140" s="502" t="str">
        <f t="shared" si="1154"/>
        <v/>
      </c>
      <c r="ED140" s="494" t="str">
        <f t="shared" si="1155"/>
        <v/>
      </c>
      <c r="EE140" s="498" t="str">
        <f t="shared" si="1156"/>
        <v/>
      </c>
      <c r="EF140" s="494" t="str">
        <f t="shared" si="1157"/>
        <v/>
      </c>
      <c r="EG140" s="495" t="str">
        <f t="shared" si="1158"/>
        <v/>
      </c>
      <c r="EH140" s="496" t="str">
        <f t="shared" si="1159"/>
        <v/>
      </c>
      <c r="EI140" s="494" t="str">
        <f t="shared" si="1160"/>
        <v/>
      </c>
      <c r="EJ140" s="497" t="str">
        <f t="shared" si="1161"/>
        <v/>
      </c>
      <c r="EK140" s="509" t="str">
        <f t="shared" si="814"/>
        <v/>
      </c>
      <c r="EL140" s="510" t="str">
        <f t="shared" si="815"/>
        <v/>
      </c>
      <c r="EM140" s="498" t="str">
        <f t="shared" si="1162"/>
        <v/>
      </c>
      <c r="EN140" s="494" t="str">
        <f t="shared" si="1163"/>
        <v/>
      </c>
      <c r="EO140" s="495" t="str">
        <f t="shared" si="1164"/>
        <v/>
      </c>
      <c r="EP140" s="496" t="str">
        <f t="shared" si="1165"/>
        <v/>
      </c>
      <c r="EQ140" s="494" t="str">
        <f t="shared" si="1166"/>
        <v/>
      </c>
      <c r="ER140" s="500" t="str">
        <f t="shared" si="1167"/>
        <v/>
      </c>
      <c r="ES140" s="493" t="str">
        <f t="shared" si="1257"/>
        <v/>
      </c>
      <c r="ET140" s="494" t="str">
        <f t="shared" si="1258"/>
        <v/>
      </c>
      <c r="EU140" s="495" t="str">
        <f t="shared" si="1259"/>
        <v/>
      </c>
      <c r="EV140" s="174" t="str">
        <f t="shared" si="1168"/>
        <v/>
      </c>
      <c r="EW140" s="496" t="str">
        <f t="shared" si="1169"/>
        <v/>
      </c>
      <c r="EX140" s="494" t="str">
        <f t="shared" si="1170"/>
        <v/>
      </c>
      <c r="EY140" s="497" t="str">
        <f t="shared" si="1171"/>
        <v/>
      </c>
      <c r="EZ140" s="504" t="str">
        <f t="shared" si="823"/>
        <v/>
      </c>
      <c r="FA140" s="502" t="str">
        <f t="shared" si="947"/>
        <v/>
      </c>
      <c r="FB140" s="494" t="str">
        <f t="shared" si="948"/>
        <v/>
      </c>
      <c r="FC140" s="497" t="str">
        <f t="shared" si="949"/>
        <v/>
      </c>
      <c r="FD140" s="498" t="str">
        <f t="shared" si="1172"/>
        <v/>
      </c>
      <c r="FE140" s="494" t="str">
        <f t="shared" si="1173"/>
        <v/>
      </c>
      <c r="FF140" s="500" t="str">
        <f t="shared" si="1174"/>
        <v/>
      </c>
      <c r="FG140" s="173" t="str">
        <f t="shared" si="1175"/>
        <v/>
      </c>
      <c r="FH140" s="5" t="str">
        <f t="shared" si="1176"/>
        <v/>
      </c>
      <c r="FI140" s="10" t="str">
        <f t="shared" si="1177"/>
        <v/>
      </c>
      <c r="FJ140" s="279" t="str">
        <f t="shared" si="1178"/>
        <v/>
      </c>
      <c r="FK140" s="4" t="str">
        <f t="shared" si="1179"/>
        <v/>
      </c>
      <c r="FL140" s="5" t="str">
        <f t="shared" si="1180"/>
        <v/>
      </c>
      <c r="FM140" s="8" t="str">
        <f t="shared" si="1181"/>
        <v/>
      </c>
      <c r="FN140" s="9" t="str">
        <f t="shared" si="1182"/>
        <v/>
      </c>
      <c r="FO140" s="10" t="str">
        <f t="shared" si="1183"/>
        <v/>
      </c>
      <c r="FP140" s="277" t="str">
        <f t="shared" si="1184"/>
        <v/>
      </c>
      <c r="FQ140" s="173" t="str">
        <f t="shared" si="1185"/>
        <v/>
      </c>
      <c r="FR140" s="10" t="str">
        <f t="shared" si="1186"/>
        <v/>
      </c>
      <c r="FS140" s="9" t="str">
        <f t="shared" si="1187"/>
        <v/>
      </c>
      <c r="FT140" s="6" t="str">
        <f t="shared" si="1188"/>
        <v/>
      </c>
      <c r="FU140" s="4" t="str">
        <f t="shared" si="1189"/>
        <v/>
      </c>
      <c r="FV140" s="5" t="str">
        <f t="shared" si="1190"/>
        <v/>
      </c>
      <c r="FW140" s="8" t="str">
        <f t="shared" si="1191"/>
        <v/>
      </c>
      <c r="FX140" s="9" t="str">
        <f t="shared" si="1192"/>
        <v/>
      </c>
      <c r="FY140" s="10" t="str">
        <f t="shared" si="1193"/>
        <v/>
      </c>
      <c r="FZ140" s="277" t="str">
        <f t="shared" si="1194"/>
        <v/>
      </c>
      <c r="GA140" s="177" t="str">
        <f t="shared" si="1195"/>
        <v/>
      </c>
      <c r="GB140" s="4" t="str">
        <f t="shared" si="1196"/>
        <v/>
      </c>
      <c r="GC140" s="5" t="str">
        <f t="shared" si="1197"/>
        <v/>
      </c>
      <c r="GD140" s="10" t="str">
        <f t="shared" si="1198"/>
        <v/>
      </c>
      <c r="GE140" s="311" t="str">
        <f t="shared" si="1199"/>
        <v/>
      </c>
      <c r="GF140" s="341" t="str">
        <f t="shared" si="1200"/>
        <v/>
      </c>
      <c r="GG140" s="306" t="str">
        <f t="shared" si="1201"/>
        <v/>
      </c>
      <c r="GH140" s="307" t="str">
        <f t="shared" si="1202"/>
        <v/>
      </c>
      <c r="GI140" s="308" t="str">
        <f t="shared" si="1203"/>
        <v/>
      </c>
      <c r="GJ140" s="167" t="str">
        <f t="shared" si="1204"/>
        <v/>
      </c>
      <c r="GK140" s="174" t="str">
        <f t="shared" si="961"/>
        <v/>
      </c>
      <c r="GL140" s="174" t="str">
        <f t="shared" si="1205"/>
        <v/>
      </c>
      <c r="GM140" s="177" t="str">
        <f t="shared" si="1206"/>
        <v/>
      </c>
      <c r="GN140" s="280" t="str">
        <f t="shared" si="1207"/>
        <v/>
      </c>
      <c r="GO140" s="4" t="str">
        <f t="shared" si="1208"/>
        <v/>
      </c>
      <c r="GP140" s="8" t="str">
        <f t="shared" si="1209"/>
        <v/>
      </c>
      <c r="GQ140" s="177" t="str">
        <f t="shared" si="1210"/>
        <v/>
      </c>
      <c r="GR140" s="371" t="str">
        <f t="shared" si="1211"/>
        <v/>
      </c>
      <c r="GS140" s="342" t="str">
        <f t="shared" si="1212"/>
        <v/>
      </c>
      <c r="GT140" s="343" t="str">
        <f t="shared" si="1213"/>
        <v/>
      </c>
      <c r="GU140" s="344" t="str">
        <f t="shared" si="964"/>
        <v/>
      </c>
      <c r="GV140" s="343" t="str">
        <f t="shared" si="1214"/>
        <v/>
      </c>
      <c r="GW140" s="345" t="str">
        <f t="shared" si="965"/>
        <v/>
      </c>
      <c r="GX140" s="346" t="str">
        <f t="shared" si="966"/>
        <v/>
      </c>
      <c r="GY140" s="344" t="str">
        <f t="shared" si="1215"/>
        <v/>
      </c>
      <c r="GZ140" s="345" t="str">
        <f t="shared" si="1216"/>
        <v/>
      </c>
      <c r="HA140" s="342" t="str">
        <f t="shared" si="969"/>
        <v/>
      </c>
      <c r="HB140" s="5" t="str">
        <f t="shared" si="850"/>
        <v/>
      </c>
      <c r="HC140" s="343" t="str">
        <f t="shared" si="1217"/>
        <v/>
      </c>
      <c r="HD140" s="363" t="str">
        <f t="shared" si="1218"/>
        <v/>
      </c>
      <c r="HE140" s="344" t="str">
        <f t="shared" si="970"/>
        <v/>
      </c>
      <c r="HF140" s="5" t="str">
        <f t="shared" si="971"/>
        <v/>
      </c>
      <c r="HG140" s="343" t="str">
        <f t="shared" si="1219"/>
        <v/>
      </c>
      <c r="HH140" s="349" t="str">
        <f t="shared" si="1220"/>
        <v/>
      </c>
      <c r="HI140" s="317" t="str">
        <f t="shared" si="1260"/>
        <v/>
      </c>
      <c r="HK140" s="310" t="str">
        <f t="shared" si="1294"/>
        <v/>
      </c>
      <c r="HL140" s="348" t="str">
        <f t="shared" si="1261"/>
        <v/>
      </c>
      <c r="HM140" s="923" t="str">
        <f t="shared" si="1262"/>
        <v/>
      </c>
      <c r="HN140" s="924" t="str">
        <f t="shared" si="1263"/>
        <v/>
      </c>
      <c r="HO140" s="925"/>
      <c r="HP140" s="926"/>
      <c r="HQ140" s="924" t="str">
        <f t="shared" si="1264"/>
        <v/>
      </c>
      <c r="HR140" s="927" t="str">
        <f t="shared" si="1265"/>
        <v/>
      </c>
      <c r="HS140" s="879" t="str">
        <f t="shared" si="1221"/>
        <v/>
      </c>
      <c r="HT140" s="889" t="str">
        <f t="shared" si="1266"/>
        <v/>
      </c>
      <c r="HU140" s="890" t="str">
        <f t="shared" si="1267"/>
        <v/>
      </c>
      <c r="HV140" s="886" t="str">
        <f t="shared" si="1268"/>
        <v/>
      </c>
      <c r="HW140" s="880" t="str">
        <f t="shared" si="1269"/>
        <v/>
      </c>
      <c r="HX140" s="881" t="str">
        <f t="shared" si="1270"/>
        <v/>
      </c>
      <c r="HY140" s="880" t="str">
        <f t="shared" si="1271"/>
        <v/>
      </c>
      <c r="HZ140" s="882" t="str">
        <f t="shared" si="1272"/>
        <v/>
      </c>
      <c r="IA140" s="883" t="str">
        <f t="shared" si="1273"/>
        <v/>
      </c>
      <c r="IB140" s="884" t="str">
        <f t="shared" si="1274"/>
        <v/>
      </c>
      <c r="IC140" s="855" t="str">
        <f t="shared" si="1275"/>
        <v/>
      </c>
      <c r="ID140" s="351" t="str">
        <f t="shared" si="1276"/>
        <v/>
      </c>
      <c r="IE140" s="857" t="str">
        <f t="shared" si="1277"/>
        <v/>
      </c>
      <c r="IF140" s="858"/>
      <c r="IG140" s="790" t="str">
        <f>IFERROR(IF($IW140="","",IF($IW140&lt;(((Settings!$C$19/2)*-1)*$IG$8),"Taper","Nose")),"")</f>
        <v/>
      </c>
      <c r="IH140" s="482" t="str">
        <f>IFERROR(IF((((($IY140*COS(RADIANS(180-$JA140)))*COS(RADIANS($JA140)))-(($IZ140*SIN(RADIANS(180-$JA140)))*SIN(RADIANS($JA140))))+$IW140)&lt;(((Settings!$C$19+$IH$8)/2)*-1),"Gage",""),"")</f>
        <v/>
      </c>
      <c r="II140" s="788" t="str">
        <f t="shared" si="1298"/>
        <v/>
      </c>
      <c r="IJ140" s="674" t="str" cm="1">
        <f t="array" ref="IJ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K140" s="677" t="str" cm="1">
        <f t="array" ref="IK140">IFERROR(ROUND(VALUE(IF($IJ140&lt;1,$IJ140+LARGE((IF($M$9:$M$150="",0,$M$9:$M$150)-MOD(IF($M$9:$M$150="",0,$M$9:$M$150),1)),1),$IJ140)),4),"")</f>
        <v/>
      </c>
      <c r="IL140" s="482" t="str">
        <f t="shared" si="1278"/>
        <v/>
      </c>
      <c r="IM140" s="482" t="str">
        <f t="shared" si="1299"/>
        <v/>
      </c>
      <c r="IN140" s="670" t="str">
        <f t="shared" si="1279"/>
        <v/>
      </c>
      <c r="IO140" s="702"/>
      <c r="IP140" s="5" t="str">
        <f t="shared" si="1280"/>
        <v/>
      </c>
      <c r="IQ140" s="714"/>
      <c r="IR140" s="9" t="str">
        <f t="shared" si="1281"/>
        <v/>
      </c>
      <c r="IS140" s="5" t="str">
        <f t="shared" si="1282"/>
        <v/>
      </c>
      <c r="IT140" s="5" t="str">
        <f t="shared" si="1283"/>
        <v/>
      </c>
      <c r="IU140" s="5" t="str">
        <f t="shared" si="1284"/>
        <v/>
      </c>
      <c r="IV140" s="670" t="str">
        <f t="shared" si="1285"/>
        <v/>
      </c>
      <c r="IW140" s="9" t="str">
        <f t="shared" si="1286"/>
        <v/>
      </c>
      <c r="IX140" s="5" t="str">
        <f t="shared" si="1287"/>
        <v/>
      </c>
      <c r="IY140" s="5" t="str">
        <f t="shared" si="1288"/>
        <v/>
      </c>
      <c r="IZ140" s="5" t="str">
        <f t="shared" si="1289"/>
        <v/>
      </c>
      <c r="JA140" s="705" t="str">
        <f t="shared" si="1290"/>
        <v/>
      </c>
    </row>
    <row r="141" spans="1:277" ht="15" customHeight="1" x14ac:dyDescent="0.25">
      <c r="A141" s="75" t="str">
        <f t="shared" si="1234"/>
        <v/>
      </c>
      <c r="B141" s="585" t="str">
        <f t="shared" ref="B141:D141" si="1302">IFERROR(O296+($A141*-E141),"")</f>
        <v/>
      </c>
      <c r="C141" s="582" t="str">
        <f t="shared" si="1302"/>
        <v/>
      </c>
      <c r="D141" s="583" t="str">
        <f t="shared" si="1302"/>
        <v/>
      </c>
      <c r="E141" s="588" t="str">
        <f t="shared" ref="E141:K141" si="1303">R296</f>
        <v/>
      </c>
      <c r="F141" s="582" t="str">
        <f t="shared" si="1303"/>
        <v/>
      </c>
      <c r="G141" s="586" t="str">
        <f t="shared" si="1303"/>
        <v/>
      </c>
      <c r="H141" s="588" t="str">
        <f t="shared" si="1303"/>
        <v/>
      </c>
      <c r="I141" s="582" t="str">
        <f t="shared" si="1303"/>
        <v/>
      </c>
      <c r="J141" s="491" t="str">
        <f t="shared" si="1293"/>
        <v/>
      </c>
      <c r="K141" s="807" t="str">
        <f t="shared" si="1303"/>
        <v/>
      </c>
      <c r="L141" s="309"/>
      <c r="M141" s="492" t="str">
        <f t="shared" si="1237"/>
        <v/>
      </c>
      <c r="N141" s="581" t="str">
        <f t="shared" si="1238"/>
        <v/>
      </c>
      <c r="O141" s="582" t="str">
        <f t="shared" si="1239"/>
        <v/>
      </c>
      <c r="P141" s="583" t="str">
        <f t="shared" si="1240"/>
        <v/>
      </c>
      <c r="Q141" s="536" t="str">
        <f t="shared" si="1079"/>
        <v/>
      </c>
      <c r="R141" s="582" t="str">
        <f t="shared" si="1080"/>
        <v/>
      </c>
      <c r="S141" s="584" t="str">
        <f t="shared" si="1081"/>
        <v/>
      </c>
      <c r="T141" s="585" t="str">
        <f t="shared" si="1082"/>
        <v/>
      </c>
      <c r="U141" s="582" t="str">
        <f t="shared" si="1083"/>
        <v/>
      </c>
      <c r="V141" s="586" t="str">
        <f t="shared" si="1084"/>
        <v/>
      </c>
      <c r="W141" s="536" t="str">
        <f t="shared" si="1085"/>
        <v/>
      </c>
      <c r="X141" s="582" t="str">
        <f t="shared" si="1086"/>
        <v/>
      </c>
      <c r="Y141" s="587" t="str">
        <f t="shared" si="1087"/>
        <v/>
      </c>
      <c r="Z141" s="581" t="str">
        <f t="shared" si="1241"/>
        <v/>
      </c>
      <c r="AA141" s="582" t="str">
        <f t="shared" si="1242"/>
        <v/>
      </c>
      <c r="AB141" s="582" t="str">
        <f t="shared" si="1243"/>
        <v/>
      </c>
      <c r="AC141" s="586" t="str">
        <f t="shared" si="1088"/>
        <v/>
      </c>
      <c r="AD141" s="588" t="str">
        <f t="shared" si="1089"/>
        <v/>
      </c>
      <c r="AE141" s="582" t="str">
        <f t="shared" si="1090"/>
        <v/>
      </c>
      <c r="AF141" s="583" t="str">
        <f t="shared" si="1091"/>
        <v/>
      </c>
      <c r="AG141" s="547" t="str">
        <f t="shared" si="1092"/>
        <v/>
      </c>
      <c r="AH141" s="548" t="str">
        <f t="shared" si="1093"/>
        <v/>
      </c>
      <c r="AI141" s="536" t="str">
        <f t="shared" si="1094"/>
        <v/>
      </c>
      <c r="AJ141" s="537" t="str">
        <f t="shared" si="1095"/>
        <v/>
      </c>
      <c r="AK141" s="585" t="str">
        <f t="shared" si="1096"/>
        <v/>
      </c>
      <c r="AL141" s="582" t="str">
        <f t="shared" si="1097"/>
        <v/>
      </c>
      <c r="AM141" s="584" t="str">
        <f t="shared" si="1098"/>
        <v/>
      </c>
      <c r="AN141" s="534" t="str">
        <f t="shared" si="1099"/>
        <v/>
      </c>
      <c r="AO141" s="535" t="str">
        <f t="shared" si="1058"/>
        <v/>
      </c>
      <c r="AP141" s="536" t="str">
        <f t="shared" si="1100"/>
        <v/>
      </c>
      <c r="AQ141" s="537" t="str">
        <f t="shared" si="1244"/>
        <v/>
      </c>
      <c r="AS141" s="955" t="str">
        <f t="shared" si="1297"/>
        <v/>
      </c>
      <c r="AT141" s="951" t="str">
        <f t="shared" si="1245"/>
        <v/>
      </c>
      <c r="AU141" s="418"/>
      <c r="AV141" s="164" t="str">
        <f t="shared" si="1246"/>
        <v/>
      </c>
      <c r="AW141" s="832" t="str">
        <f>IFERROR(INDEX(MassProp!C$9:C$150,MATCH($M141,MassProp!$B$9:$B$150,0)),"")</f>
        <v/>
      </c>
      <c r="AX141" s="833" t="str">
        <f>IFERROR(INDEX(MassProp!D$9:D$150,MATCH($M141,MassProp!$B$9:$B$150,0)),"")</f>
        <v/>
      </c>
      <c r="AY141" s="834" t="str">
        <f>IFERROR(INDEX(MassProp!E$9:E$150,MATCH($M141,MassProp!$B$9:$B$150,0)),"")</f>
        <v/>
      </c>
      <c r="AZ141" s="297" t="str">
        <f t="shared" si="1101"/>
        <v/>
      </c>
      <c r="BA141" s="505" t="str">
        <f t="shared" si="1102"/>
        <v/>
      </c>
      <c r="BB141" s="506" t="str">
        <f t="shared" si="730"/>
        <v/>
      </c>
      <c r="BC141" s="496"/>
      <c r="BD141" s="494" t="str">
        <f t="shared" si="1103"/>
        <v/>
      </c>
      <c r="BE141" s="497" t="str">
        <f t="shared" si="1247"/>
        <v/>
      </c>
      <c r="BF141" s="498" t="str">
        <f t="shared" si="1248"/>
        <v/>
      </c>
      <c r="BG141" s="494" t="str">
        <f t="shared" si="1249"/>
        <v/>
      </c>
      <c r="BH141" s="495" t="str">
        <f t="shared" si="1250"/>
        <v/>
      </c>
      <c r="BI141" s="496" t="str">
        <f t="shared" si="1104"/>
        <v/>
      </c>
      <c r="BJ141" s="494" t="str">
        <f t="shared" si="1251"/>
        <v/>
      </c>
      <c r="BK141" s="499" t="str">
        <f t="shared" si="1252"/>
        <v/>
      </c>
      <c r="BL141" s="502" t="str">
        <f t="shared" si="1253"/>
        <v/>
      </c>
      <c r="BM141" s="494" t="str">
        <f t="shared" si="1254"/>
        <v/>
      </c>
      <c r="BN141" s="497" t="str">
        <f t="shared" si="1255"/>
        <v/>
      </c>
      <c r="BO141" s="498" t="str">
        <f t="shared" si="1105"/>
        <v/>
      </c>
      <c r="BP141" s="494" t="str">
        <f t="shared" si="1106"/>
        <v/>
      </c>
      <c r="BQ141" s="494" t="str">
        <f t="shared" si="1107"/>
        <v/>
      </c>
      <c r="BR141" s="497" t="str">
        <f t="shared" si="1108"/>
        <v/>
      </c>
      <c r="BS141" s="498" t="str">
        <f t="shared" si="1024"/>
        <v/>
      </c>
      <c r="BT141" s="494" t="str">
        <f t="shared" si="1024"/>
        <v/>
      </c>
      <c r="BU141" s="495" t="str">
        <f t="shared" si="733"/>
        <v/>
      </c>
      <c r="BV141" s="496" t="str">
        <f t="shared" si="734"/>
        <v/>
      </c>
      <c r="BW141" s="494" t="str">
        <f t="shared" si="735"/>
        <v/>
      </c>
      <c r="BX141" s="499" t="str">
        <f t="shared" si="736"/>
        <v/>
      </c>
      <c r="BY141" s="502" t="str">
        <f t="shared" si="737"/>
        <v/>
      </c>
      <c r="BZ141" s="494" t="str">
        <f t="shared" si="738"/>
        <v/>
      </c>
      <c r="CA141" s="497" t="str">
        <f t="shared" si="739"/>
        <v/>
      </c>
      <c r="CB141" s="498" t="str">
        <f t="shared" si="1109"/>
        <v/>
      </c>
      <c r="CC141" s="494" t="str">
        <f t="shared" si="1110"/>
        <v/>
      </c>
      <c r="CD141" s="494" t="str">
        <f t="shared" si="1111"/>
        <v/>
      </c>
      <c r="CE141" s="497" t="str">
        <f t="shared" si="1112"/>
        <v/>
      </c>
      <c r="CF141" s="498" t="str">
        <f t="shared" si="1113"/>
        <v/>
      </c>
      <c r="CG141" s="494" t="str">
        <f t="shared" si="1114"/>
        <v/>
      </c>
      <c r="CH141" s="494" t="str">
        <f t="shared" si="1115"/>
        <v/>
      </c>
      <c r="CI141" s="498" t="str">
        <f t="shared" si="740"/>
        <v/>
      </c>
      <c r="CJ141" s="494" t="str">
        <f t="shared" si="1116"/>
        <v/>
      </c>
      <c r="CK141" s="499" t="str">
        <f t="shared" si="1117"/>
        <v/>
      </c>
      <c r="CL141" s="502" t="str">
        <f t="shared" si="1118"/>
        <v/>
      </c>
      <c r="CM141" s="494" t="str">
        <f t="shared" si="1119"/>
        <v/>
      </c>
      <c r="CN141" s="497" t="str">
        <f t="shared" si="1120"/>
        <v/>
      </c>
      <c r="CO141" s="507" t="str">
        <f t="shared" si="1256"/>
        <v/>
      </c>
      <c r="CP141" s="498" t="str">
        <f t="shared" si="1121"/>
        <v/>
      </c>
      <c r="CQ141" s="494" t="str">
        <f t="shared" si="1122"/>
        <v/>
      </c>
      <c r="CR141" s="494" t="str">
        <f t="shared" si="1123"/>
        <v/>
      </c>
      <c r="CS141" s="499" t="str">
        <f t="shared" si="1124"/>
        <v/>
      </c>
      <c r="CT141" s="496" t="str">
        <f t="shared" si="1125"/>
        <v/>
      </c>
      <c r="CU141" s="497" t="str">
        <f t="shared" si="1126"/>
        <v/>
      </c>
      <c r="CV141" s="498" t="str">
        <f t="shared" si="1127"/>
        <v/>
      </c>
      <c r="CW141" s="494" t="str">
        <f t="shared" si="1128"/>
        <v/>
      </c>
      <c r="CX141" s="499" t="str">
        <f t="shared" si="1129"/>
        <v/>
      </c>
      <c r="CY141" s="496" t="str">
        <f t="shared" si="1130"/>
        <v/>
      </c>
      <c r="CZ141" s="494" t="str">
        <f t="shared" si="1131"/>
        <v/>
      </c>
      <c r="DA141" s="497" t="str">
        <f t="shared" si="1132"/>
        <v/>
      </c>
      <c r="DB141" s="498" t="str">
        <f t="shared" si="1030"/>
        <v/>
      </c>
      <c r="DC141" s="494" t="str">
        <f t="shared" si="1030"/>
        <v/>
      </c>
      <c r="DD141" s="495" t="str">
        <f t="shared" si="782"/>
        <v/>
      </c>
      <c r="DE141" s="496" t="str">
        <f t="shared" si="1031"/>
        <v/>
      </c>
      <c r="DF141" s="494" t="str">
        <f t="shared" si="1031"/>
        <v/>
      </c>
      <c r="DG141" s="495" t="str">
        <f t="shared" si="784"/>
        <v/>
      </c>
      <c r="DH141" s="501" t="str">
        <f t="shared" si="1133"/>
        <v/>
      </c>
      <c r="DI141" s="498" t="str">
        <f t="shared" si="1134"/>
        <v/>
      </c>
      <c r="DJ141" s="494" t="str">
        <f t="shared" si="1135"/>
        <v/>
      </c>
      <c r="DK141" s="495" t="str">
        <f t="shared" si="1136"/>
        <v/>
      </c>
      <c r="DL141" s="496" t="str">
        <f t="shared" si="1137"/>
        <v/>
      </c>
      <c r="DM141" s="502" t="str">
        <f t="shared" si="1138"/>
        <v/>
      </c>
      <c r="DN141" s="508" t="str">
        <f t="shared" si="1139"/>
        <v/>
      </c>
      <c r="DO141" s="496" t="str">
        <f t="shared" si="1140"/>
        <v/>
      </c>
      <c r="DP141" s="502" t="str">
        <f t="shared" si="1141"/>
        <v/>
      </c>
      <c r="DQ141" s="503" t="str">
        <f t="shared" si="1142"/>
        <v/>
      </c>
      <c r="DR141" s="502" t="str">
        <f t="shared" si="1143"/>
        <v/>
      </c>
      <c r="DS141" s="494" t="str">
        <f t="shared" si="1144"/>
        <v/>
      </c>
      <c r="DT141" s="494" t="str">
        <f t="shared" si="1145"/>
        <v/>
      </c>
      <c r="DU141" s="494" t="str">
        <f t="shared" si="1146"/>
        <v/>
      </c>
      <c r="DV141" s="494" t="str">
        <f t="shared" si="1147"/>
        <v/>
      </c>
      <c r="DW141" s="494" t="str">
        <f t="shared" si="1148"/>
        <v/>
      </c>
      <c r="DX141" s="507" t="str">
        <f t="shared" si="1149"/>
        <v/>
      </c>
      <c r="DY141" s="496" t="str">
        <f t="shared" si="1150"/>
        <v/>
      </c>
      <c r="DZ141" s="494" t="str">
        <f t="shared" si="1151"/>
        <v/>
      </c>
      <c r="EA141" s="495" t="str">
        <f t="shared" si="1152"/>
        <v/>
      </c>
      <c r="EB141" s="497" t="str">
        <f t="shared" si="1153"/>
        <v/>
      </c>
      <c r="EC141" s="502" t="str">
        <f t="shared" si="1154"/>
        <v/>
      </c>
      <c r="ED141" s="494" t="str">
        <f t="shared" si="1155"/>
        <v/>
      </c>
      <c r="EE141" s="498" t="str">
        <f t="shared" si="1156"/>
        <v/>
      </c>
      <c r="EF141" s="494" t="str">
        <f t="shared" si="1157"/>
        <v/>
      </c>
      <c r="EG141" s="495" t="str">
        <f t="shared" si="1158"/>
        <v/>
      </c>
      <c r="EH141" s="496" t="str">
        <f t="shared" si="1159"/>
        <v/>
      </c>
      <c r="EI141" s="494" t="str">
        <f t="shared" si="1160"/>
        <v/>
      </c>
      <c r="EJ141" s="497" t="str">
        <f t="shared" si="1161"/>
        <v/>
      </c>
      <c r="EK141" s="509" t="str">
        <f t="shared" si="814"/>
        <v/>
      </c>
      <c r="EL141" s="510" t="str">
        <f t="shared" si="815"/>
        <v/>
      </c>
      <c r="EM141" s="498" t="str">
        <f t="shared" si="1162"/>
        <v/>
      </c>
      <c r="EN141" s="494" t="str">
        <f t="shared" si="1163"/>
        <v/>
      </c>
      <c r="EO141" s="495" t="str">
        <f t="shared" si="1164"/>
        <v/>
      </c>
      <c r="EP141" s="496" t="str">
        <f t="shared" si="1165"/>
        <v/>
      </c>
      <c r="EQ141" s="494" t="str">
        <f t="shared" si="1166"/>
        <v/>
      </c>
      <c r="ER141" s="500" t="str">
        <f t="shared" si="1167"/>
        <v/>
      </c>
      <c r="ES141" s="493" t="str">
        <f t="shared" si="1257"/>
        <v/>
      </c>
      <c r="ET141" s="494" t="str">
        <f t="shared" si="1258"/>
        <v/>
      </c>
      <c r="EU141" s="495" t="str">
        <f t="shared" si="1259"/>
        <v/>
      </c>
      <c r="EV141" s="174" t="str">
        <f t="shared" si="1168"/>
        <v/>
      </c>
      <c r="EW141" s="496" t="str">
        <f t="shared" si="1169"/>
        <v/>
      </c>
      <c r="EX141" s="494" t="str">
        <f t="shared" si="1170"/>
        <v/>
      </c>
      <c r="EY141" s="497" t="str">
        <f t="shared" si="1171"/>
        <v/>
      </c>
      <c r="EZ141" s="504" t="str">
        <f t="shared" si="823"/>
        <v/>
      </c>
      <c r="FA141" s="502" t="str">
        <f t="shared" si="947"/>
        <v/>
      </c>
      <c r="FB141" s="494" t="str">
        <f t="shared" si="948"/>
        <v/>
      </c>
      <c r="FC141" s="497" t="str">
        <f t="shared" si="949"/>
        <v/>
      </c>
      <c r="FD141" s="498" t="str">
        <f t="shared" si="1172"/>
        <v/>
      </c>
      <c r="FE141" s="494" t="str">
        <f t="shared" si="1173"/>
        <v/>
      </c>
      <c r="FF141" s="500" t="str">
        <f t="shared" si="1174"/>
        <v/>
      </c>
      <c r="FG141" s="173" t="str">
        <f t="shared" si="1175"/>
        <v/>
      </c>
      <c r="FH141" s="5" t="str">
        <f t="shared" si="1176"/>
        <v/>
      </c>
      <c r="FI141" s="10" t="str">
        <f t="shared" si="1177"/>
        <v/>
      </c>
      <c r="FJ141" s="279" t="str">
        <f t="shared" si="1178"/>
        <v/>
      </c>
      <c r="FK141" s="4" t="str">
        <f t="shared" si="1179"/>
        <v/>
      </c>
      <c r="FL141" s="5" t="str">
        <f t="shared" si="1180"/>
        <v/>
      </c>
      <c r="FM141" s="8" t="str">
        <f t="shared" si="1181"/>
        <v/>
      </c>
      <c r="FN141" s="9" t="str">
        <f t="shared" si="1182"/>
        <v/>
      </c>
      <c r="FO141" s="10" t="str">
        <f t="shared" si="1183"/>
        <v/>
      </c>
      <c r="FP141" s="277" t="str">
        <f t="shared" si="1184"/>
        <v/>
      </c>
      <c r="FQ141" s="173" t="str">
        <f t="shared" si="1185"/>
        <v/>
      </c>
      <c r="FR141" s="10" t="str">
        <f t="shared" si="1186"/>
        <v/>
      </c>
      <c r="FS141" s="9" t="str">
        <f t="shared" si="1187"/>
        <v/>
      </c>
      <c r="FT141" s="6" t="str">
        <f t="shared" si="1188"/>
        <v/>
      </c>
      <c r="FU141" s="4" t="str">
        <f t="shared" si="1189"/>
        <v/>
      </c>
      <c r="FV141" s="5" t="str">
        <f t="shared" si="1190"/>
        <v/>
      </c>
      <c r="FW141" s="8" t="str">
        <f t="shared" si="1191"/>
        <v/>
      </c>
      <c r="FX141" s="9" t="str">
        <f t="shared" si="1192"/>
        <v/>
      </c>
      <c r="FY141" s="10" t="str">
        <f t="shared" si="1193"/>
        <v/>
      </c>
      <c r="FZ141" s="277" t="str">
        <f t="shared" si="1194"/>
        <v/>
      </c>
      <c r="GA141" s="177" t="str">
        <f t="shared" si="1195"/>
        <v/>
      </c>
      <c r="GB141" s="4" t="str">
        <f t="shared" si="1196"/>
        <v/>
      </c>
      <c r="GC141" s="5" t="str">
        <f t="shared" si="1197"/>
        <v/>
      </c>
      <c r="GD141" s="10" t="str">
        <f t="shared" si="1198"/>
        <v/>
      </c>
      <c r="GE141" s="311" t="str">
        <f t="shared" si="1199"/>
        <v/>
      </c>
      <c r="GF141" s="341" t="str">
        <f t="shared" si="1200"/>
        <v/>
      </c>
      <c r="GG141" s="306" t="str">
        <f t="shared" si="1201"/>
        <v/>
      </c>
      <c r="GH141" s="307" t="str">
        <f t="shared" si="1202"/>
        <v/>
      </c>
      <c r="GI141" s="308" t="str">
        <f t="shared" si="1203"/>
        <v/>
      </c>
      <c r="GJ141" s="167" t="str">
        <f t="shared" si="1204"/>
        <v/>
      </c>
      <c r="GK141" s="174" t="str">
        <f t="shared" si="961"/>
        <v/>
      </c>
      <c r="GL141" s="174" t="str">
        <f t="shared" si="1205"/>
        <v/>
      </c>
      <c r="GM141" s="177" t="str">
        <f t="shared" si="1206"/>
        <v/>
      </c>
      <c r="GN141" s="280" t="str">
        <f t="shared" si="1207"/>
        <v/>
      </c>
      <c r="GO141" s="4" t="str">
        <f t="shared" si="1208"/>
        <v/>
      </c>
      <c r="GP141" s="8" t="str">
        <f t="shared" si="1209"/>
        <v/>
      </c>
      <c r="GQ141" s="177" t="str">
        <f t="shared" si="1210"/>
        <v/>
      </c>
      <c r="GR141" s="371" t="str">
        <f t="shared" si="1211"/>
        <v/>
      </c>
      <c r="GS141" s="342" t="str">
        <f t="shared" si="1212"/>
        <v/>
      </c>
      <c r="GT141" s="343" t="str">
        <f t="shared" si="1213"/>
        <v/>
      </c>
      <c r="GU141" s="344" t="str">
        <f t="shared" si="964"/>
        <v/>
      </c>
      <c r="GV141" s="343" t="str">
        <f t="shared" si="1214"/>
        <v/>
      </c>
      <c r="GW141" s="345" t="str">
        <f t="shared" si="965"/>
        <v/>
      </c>
      <c r="GX141" s="346" t="str">
        <f t="shared" si="966"/>
        <v/>
      </c>
      <c r="GY141" s="344" t="str">
        <f t="shared" si="1215"/>
        <v/>
      </c>
      <c r="GZ141" s="345" t="str">
        <f t="shared" si="1216"/>
        <v/>
      </c>
      <c r="HA141" s="342" t="str">
        <f t="shared" si="969"/>
        <v/>
      </c>
      <c r="HB141" s="5" t="str">
        <f t="shared" si="850"/>
        <v/>
      </c>
      <c r="HC141" s="343" t="str">
        <f t="shared" si="1217"/>
        <v/>
      </c>
      <c r="HD141" s="363" t="str">
        <f t="shared" si="1218"/>
        <v/>
      </c>
      <c r="HE141" s="344" t="str">
        <f t="shared" si="970"/>
        <v/>
      </c>
      <c r="HF141" s="5" t="str">
        <f t="shared" si="971"/>
        <v/>
      </c>
      <c r="HG141" s="343" t="str">
        <f t="shared" si="1219"/>
        <v/>
      </c>
      <c r="HH141" s="349" t="str">
        <f t="shared" si="1220"/>
        <v/>
      </c>
      <c r="HI141" s="317" t="str">
        <f t="shared" si="1260"/>
        <v/>
      </c>
      <c r="HK141" s="310" t="str">
        <f t="shared" si="1294"/>
        <v/>
      </c>
      <c r="HL141" s="348" t="str">
        <f t="shared" si="1261"/>
        <v/>
      </c>
      <c r="HM141" s="923" t="str">
        <f t="shared" si="1262"/>
        <v/>
      </c>
      <c r="HN141" s="924" t="str">
        <f t="shared" si="1263"/>
        <v/>
      </c>
      <c r="HO141" s="925"/>
      <c r="HP141" s="926"/>
      <c r="HQ141" s="924" t="str">
        <f t="shared" si="1264"/>
        <v/>
      </c>
      <c r="HR141" s="927" t="str">
        <f t="shared" si="1265"/>
        <v/>
      </c>
      <c r="HS141" s="879" t="str">
        <f t="shared" si="1221"/>
        <v/>
      </c>
      <c r="HT141" s="889" t="str">
        <f t="shared" si="1266"/>
        <v/>
      </c>
      <c r="HU141" s="890" t="str">
        <f t="shared" si="1267"/>
        <v/>
      </c>
      <c r="HV141" s="886" t="str">
        <f t="shared" si="1268"/>
        <v/>
      </c>
      <c r="HW141" s="880" t="str">
        <f t="shared" si="1269"/>
        <v/>
      </c>
      <c r="HX141" s="881" t="str">
        <f t="shared" si="1270"/>
        <v/>
      </c>
      <c r="HY141" s="880" t="str">
        <f t="shared" si="1271"/>
        <v/>
      </c>
      <c r="HZ141" s="882" t="str">
        <f t="shared" si="1272"/>
        <v/>
      </c>
      <c r="IA141" s="883" t="str">
        <f t="shared" si="1273"/>
        <v/>
      </c>
      <c r="IB141" s="884" t="str">
        <f t="shared" si="1274"/>
        <v/>
      </c>
      <c r="IC141" s="855" t="str">
        <f t="shared" si="1275"/>
        <v/>
      </c>
      <c r="ID141" s="351" t="str">
        <f t="shared" si="1276"/>
        <v/>
      </c>
      <c r="IE141" s="857" t="str">
        <f t="shared" si="1277"/>
        <v/>
      </c>
      <c r="IF141" s="858"/>
      <c r="IG141" s="790" t="str">
        <f>IFERROR(IF($IW141="","",IF($IW141&lt;(((Settings!$C$19/2)*-1)*$IG$8),"Taper","Nose")),"")</f>
        <v/>
      </c>
      <c r="IH141" s="482" t="str">
        <f>IFERROR(IF((((($IY141*COS(RADIANS(180-$JA141)))*COS(RADIANS($JA141)))-(($IZ141*SIN(RADIANS(180-$JA141)))*SIN(RADIANS($JA141))))+$IW141)&lt;(((Settings!$C$19+$IH$8)/2)*-1),"Gage",""),"")</f>
        <v/>
      </c>
      <c r="II141" s="788" t="str">
        <f t="shared" si="1298"/>
        <v/>
      </c>
      <c r="IJ141" s="674" t="str" cm="1">
        <f t="array" ref="IJ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K141" s="677" t="str" cm="1">
        <f t="array" ref="IK141">IFERROR(ROUND(VALUE(IF($IJ141&lt;1,$IJ141+LARGE((IF($M$9:$M$150="",0,$M$9:$M$150)-MOD(IF($M$9:$M$150="",0,$M$9:$M$150),1)),1),$IJ141)),4),"")</f>
        <v/>
      </c>
      <c r="IL141" s="482" t="str">
        <f t="shared" si="1278"/>
        <v/>
      </c>
      <c r="IM141" s="482" t="str">
        <f t="shared" si="1299"/>
        <v/>
      </c>
      <c r="IN141" s="670" t="str">
        <f t="shared" si="1279"/>
        <v/>
      </c>
      <c r="IO141" s="702"/>
      <c r="IP141" s="5" t="str">
        <f t="shared" si="1280"/>
        <v/>
      </c>
      <c r="IQ141" s="714"/>
      <c r="IR141" s="9" t="str">
        <f t="shared" si="1281"/>
        <v/>
      </c>
      <c r="IS141" s="5" t="str">
        <f t="shared" si="1282"/>
        <v/>
      </c>
      <c r="IT141" s="5" t="str">
        <f t="shared" si="1283"/>
        <v/>
      </c>
      <c r="IU141" s="5" t="str">
        <f t="shared" si="1284"/>
        <v/>
      </c>
      <c r="IV141" s="670" t="str">
        <f t="shared" si="1285"/>
        <v/>
      </c>
      <c r="IW141" s="9" t="str">
        <f t="shared" si="1286"/>
        <v/>
      </c>
      <c r="IX141" s="5" t="str">
        <f t="shared" si="1287"/>
        <v/>
      </c>
      <c r="IY141" s="5" t="str">
        <f t="shared" si="1288"/>
        <v/>
      </c>
      <c r="IZ141" s="5" t="str">
        <f t="shared" si="1289"/>
        <v/>
      </c>
      <c r="JA141" s="705" t="str">
        <f t="shared" si="1290"/>
        <v/>
      </c>
    </row>
    <row r="142" spans="1:277" ht="15" customHeight="1" x14ac:dyDescent="0.25">
      <c r="A142" s="75" t="str">
        <f t="shared" si="1234"/>
        <v/>
      </c>
      <c r="B142" s="585" t="str">
        <f t="shared" ref="B142:D142" si="1304">IFERROR(O297+($A142*-E142),"")</f>
        <v/>
      </c>
      <c r="C142" s="582" t="str">
        <f t="shared" si="1304"/>
        <v/>
      </c>
      <c r="D142" s="583" t="str">
        <f t="shared" si="1304"/>
        <v/>
      </c>
      <c r="E142" s="588" t="str">
        <f t="shared" ref="E142:K142" si="1305">R297</f>
        <v/>
      </c>
      <c r="F142" s="582" t="str">
        <f t="shared" si="1305"/>
        <v/>
      </c>
      <c r="G142" s="586" t="str">
        <f t="shared" si="1305"/>
        <v/>
      </c>
      <c r="H142" s="588" t="str">
        <f t="shared" si="1305"/>
        <v/>
      </c>
      <c r="I142" s="582" t="str">
        <f t="shared" si="1305"/>
        <v/>
      </c>
      <c r="J142" s="491" t="str">
        <f t="shared" si="1293"/>
        <v/>
      </c>
      <c r="K142" s="807" t="str">
        <f t="shared" si="1305"/>
        <v/>
      </c>
      <c r="L142" s="309"/>
      <c r="M142" s="492" t="str">
        <f t="shared" si="1237"/>
        <v/>
      </c>
      <c r="N142" s="581" t="str">
        <f t="shared" si="1238"/>
        <v/>
      </c>
      <c r="O142" s="582" t="str">
        <f t="shared" si="1239"/>
        <v/>
      </c>
      <c r="P142" s="583" t="str">
        <f t="shared" si="1240"/>
        <v/>
      </c>
      <c r="Q142" s="536" t="str">
        <f t="shared" si="1079"/>
        <v/>
      </c>
      <c r="R142" s="582" t="str">
        <f t="shared" si="1080"/>
        <v/>
      </c>
      <c r="S142" s="584" t="str">
        <f t="shared" si="1081"/>
        <v/>
      </c>
      <c r="T142" s="585" t="str">
        <f t="shared" si="1082"/>
        <v/>
      </c>
      <c r="U142" s="582" t="str">
        <f t="shared" si="1083"/>
        <v/>
      </c>
      <c r="V142" s="586" t="str">
        <f t="shared" si="1084"/>
        <v/>
      </c>
      <c r="W142" s="536" t="str">
        <f t="shared" si="1085"/>
        <v/>
      </c>
      <c r="X142" s="582" t="str">
        <f t="shared" si="1086"/>
        <v/>
      </c>
      <c r="Y142" s="587" t="str">
        <f t="shared" si="1087"/>
        <v/>
      </c>
      <c r="Z142" s="581" t="str">
        <f t="shared" si="1241"/>
        <v/>
      </c>
      <c r="AA142" s="582" t="str">
        <f t="shared" si="1242"/>
        <v/>
      </c>
      <c r="AB142" s="582" t="str">
        <f t="shared" si="1243"/>
        <v/>
      </c>
      <c r="AC142" s="586" t="str">
        <f t="shared" si="1088"/>
        <v/>
      </c>
      <c r="AD142" s="588" t="str">
        <f t="shared" si="1089"/>
        <v/>
      </c>
      <c r="AE142" s="582" t="str">
        <f t="shared" si="1090"/>
        <v/>
      </c>
      <c r="AF142" s="583" t="str">
        <f t="shared" si="1091"/>
        <v/>
      </c>
      <c r="AG142" s="547" t="str">
        <f t="shared" si="1092"/>
        <v/>
      </c>
      <c r="AH142" s="548" t="str">
        <f t="shared" si="1093"/>
        <v/>
      </c>
      <c r="AI142" s="536" t="str">
        <f t="shared" si="1094"/>
        <v/>
      </c>
      <c r="AJ142" s="537" t="str">
        <f t="shared" si="1095"/>
        <v/>
      </c>
      <c r="AK142" s="585" t="str">
        <f t="shared" si="1096"/>
        <v/>
      </c>
      <c r="AL142" s="582" t="str">
        <f t="shared" si="1097"/>
        <v/>
      </c>
      <c r="AM142" s="584" t="str">
        <f t="shared" si="1098"/>
        <v/>
      </c>
      <c r="AN142" s="534" t="str">
        <f t="shared" si="1099"/>
        <v/>
      </c>
      <c r="AO142" s="535" t="str">
        <f t="shared" si="1058"/>
        <v/>
      </c>
      <c r="AP142" s="536" t="str">
        <f t="shared" si="1100"/>
        <v/>
      </c>
      <c r="AQ142" s="537" t="str">
        <f t="shared" si="1244"/>
        <v/>
      </c>
      <c r="AS142" s="955" t="str">
        <f t="shared" si="1297"/>
        <v/>
      </c>
      <c r="AT142" s="951" t="str">
        <f t="shared" si="1245"/>
        <v/>
      </c>
      <c r="AU142" s="418"/>
      <c r="AV142" s="164" t="str">
        <f t="shared" si="1246"/>
        <v/>
      </c>
      <c r="AW142" s="832" t="str">
        <f>IFERROR(INDEX(MassProp!C$9:C$150,MATCH($M142,MassProp!$B$9:$B$150,0)),"")</f>
        <v/>
      </c>
      <c r="AX142" s="833" t="str">
        <f>IFERROR(INDEX(MassProp!D$9:D$150,MATCH($M142,MassProp!$B$9:$B$150,0)),"")</f>
        <v/>
      </c>
      <c r="AY142" s="834" t="str">
        <f>IFERROR(INDEX(MassProp!E$9:E$150,MATCH($M142,MassProp!$B$9:$B$150,0)),"")</f>
        <v/>
      </c>
      <c r="AZ142" s="297" t="str">
        <f t="shared" si="1101"/>
        <v/>
      </c>
      <c r="BA142" s="505" t="str">
        <f t="shared" si="1102"/>
        <v/>
      </c>
      <c r="BB142" s="506" t="str">
        <f t="shared" si="730"/>
        <v/>
      </c>
      <c r="BC142" s="496"/>
      <c r="BD142" s="494" t="str">
        <f t="shared" si="1103"/>
        <v/>
      </c>
      <c r="BE142" s="497" t="str">
        <f t="shared" si="1247"/>
        <v/>
      </c>
      <c r="BF142" s="498" t="str">
        <f t="shared" si="1248"/>
        <v/>
      </c>
      <c r="BG142" s="494" t="str">
        <f t="shared" si="1249"/>
        <v/>
      </c>
      <c r="BH142" s="495" t="str">
        <f t="shared" si="1250"/>
        <v/>
      </c>
      <c r="BI142" s="496" t="str">
        <f t="shared" si="1104"/>
        <v/>
      </c>
      <c r="BJ142" s="494" t="str">
        <f t="shared" si="1251"/>
        <v/>
      </c>
      <c r="BK142" s="499" t="str">
        <f t="shared" si="1252"/>
        <v/>
      </c>
      <c r="BL142" s="502" t="str">
        <f t="shared" si="1253"/>
        <v/>
      </c>
      <c r="BM142" s="494" t="str">
        <f t="shared" si="1254"/>
        <v/>
      </c>
      <c r="BN142" s="497" t="str">
        <f t="shared" si="1255"/>
        <v/>
      </c>
      <c r="BO142" s="498" t="str">
        <f t="shared" si="1105"/>
        <v/>
      </c>
      <c r="BP142" s="494" t="str">
        <f t="shared" si="1106"/>
        <v/>
      </c>
      <c r="BQ142" s="494" t="str">
        <f t="shared" si="1107"/>
        <v/>
      </c>
      <c r="BR142" s="497" t="str">
        <f t="shared" si="1108"/>
        <v/>
      </c>
      <c r="BS142" s="498" t="str">
        <f t="shared" si="1024"/>
        <v/>
      </c>
      <c r="BT142" s="494" t="str">
        <f t="shared" si="1024"/>
        <v/>
      </c>
      <c r="BU142" s="495" t="str">
        <f t="shared" si="733"/>
        <v/>
      </c>
      <c r="BV142" s="496" t="str">
        <f t="shared" si="734"/>
        <v/>
      </c>
      <c r="BW142" s="494" t="str">
        <f t="shared" si="735"/>
        <v/>
      </c>
      <c r="BX142" s="499" t="str">
        <f t="shared" si="736"/>
        <v/>
      </c>
      <c r="BY142" s="502" t="str">
        <f t="shared" si="737"/>
        <v/>
      </c>
      <c r="BZ142" s="494" t="str">
        <f t="shared" si="738"/>
        <v/>
      </c>
      <c r="CA142" s="497" t="str">
        <f t="shared" si="739"/>
        <v/>
      </c>
      <c r="CB142" s="498" t="str">
        <f t="shared" si="1109"/>
        <v/>
      </c>
      <c r="CC142" s="494" t="str">
        <f t="shared" si="1110"/>
        <v/>
      </c>
      <c r="CD142" s="494" t="str">
        <f t="shared" si="1111"/>
        <v/>
      </c>
      <c r="CE142" s="497" t="str">
        <f t="shared" si="1112"/>
        <v/>
      </c>
      <c r="CF142" s="498" t="str">
        <f t="shared" si="1113"/>
        <v/>
      </c>
      <c r="CG142" s="494" t="str">
        <f t="shared" si="1114"/>
        <v/>
      </c>
      <c r="CH142" s="494" t="str">
        <f t="shared" si="1115"/>
        <v/>
      </c>
      <c r="CI142" s="498" t="str">
        <f t="shared" si="740"/>
        <v/>
      </c>
      <c r="CJ142" s="494" t="str">
        <f t="shared" si="1116"/>
        <v/>
      </c>
      <c r="CK142" s="499" t="str">
        <f t="shared" si="1117"/>
        <v/>
      </c>
      <c r="CL142" s="502" t="str">
        <f t="shared" si="1118"/>
        <v/>
      </c>
      <c r="CM142" s="494" t="str">
        <f t="shared" si="1119"/>
        <v/>
      </c>
      <c r="CN142" s="497" t="str">
        <f t="shared" si="1120"/>
        <v/>
      </c>
      <c r="CO142" s="507" t="str">
        <f t="shared" si="1256"/>
        <v/>
      </c>
      <c r="CP142" s="498" t="str">
        <f t="shared" si="1121"/>
        <v/>
      </c>
      <c r="CQ142" s="494" t="str">
        <f t="shared" si="1122"/>
        <v/>
      </c>
      <c r="CR142" s="494" t="str">
        <f t="shared" si="1123"/>
        <v/>
      </c>
      <c r="CS142" s="499" t="str">
        <f t="shared" si="1124"/>
        <v/>
      </c>
      <c r="CT142" s="496" t="str">
        <f t="shared" si="1125"/>
        <v/>
      </c>
      <c r="CU142" s="497" t="str">
        <f t="shared" si="1126"/>
        <v/>
      </c>
      <c r="CV142" s="498" t="str">
        <f t="shared" si="1127"/>
        <v/>
      </c>
      <c r="CW142" s="494" t="str">
        <f t="shared" si="1128"/>
        <v/>
      </c>
      <c r="CX142" s="499" t="str">
        <f t="shared" si="1129"/>
        <v/>
      </c>
      <c r="CY142" s="496" t="str">
        <f t="shared" si="1130"/>
        <v/>
      </c>
      <c r="CZ142" s="494" t="str">
        <f t="shared" si="1131"/>
        <v/>
      </c>
      <c r="DA142" s="497" t="str">
        <f t="shared" si="1132"/>
        <v/>
      </c>
      <c r="DB142" s="498" t="str">
        <f t="shared" si="1030"/>
        <v/>
      </c>
      <c r="DC142" s="494" t="str">
        <f t="shared" si="1030"/>
        <v/>
      </c>
      <c r="DD142" s="495" t="str">
        <f t="shared" si="782"/>
        <v/>
      </c>
      <c r="DE142" s="496" t="str">
        <f t="shared" si="1031"/>
        <v/>
      </c>
      <c r="DF142" s="494" t="str">
        <f t="shared" si="1031"/>
        <v/>
      </c>
      <c r="DG142" s="495" t="str">
        <f t="shared" si="784"/>
        <v/>
      </c>
      <c r="DH142" s="501" t="str">
        <f t="shared" si="1133"/>
        <v/>
      </c>
      <c r="DI142" s="498" t="str">
        <f t="shared" si="1134"/>
        <v/>
      </c>
      <c r="DJ142" s="494" t="str">
        <f t="shared" si="1135"/>
        <v/>
      </c>
      <c r="DK142" s="495" t="str">
        <f t="shared" si="1136"/>
        <v/>
      </c>
      <c r="DL142" s="496" t="str">
        <f t="shared" si="1137"/>
        <v/>
      </c>
      <c r="DM142" s="502" t="str">
        <f t="shared" si="1138"/>
        <v/>
      </c>
      <c r="DN142" s="508" t="str">
        <f t="shared" si="1139"/>
        <v/>
      </c>
      <c r="DO142" s="496" t="str">
        <f t="shared" si="1140"/>
        <v/>
      </c>
      <c r="DP142" s="502" t="str">
        <f t="shared" si="1141"/>
        <v/>
      </c>
      <c r="DQ142" s="503" t="str">
        <f t="shared" si="1142"/>
        <v/>
      </c>
      <c r="DR142" s="502" t="str">
        <f t="shared" si="1143"/>
        <v/>
      </c>
      <c r="DS142" s="494" t="str">
        <f t="shared" si="1144"/>
        <v/>
      </c>
      <c r="DT142" s="494" t="str">
        <f t="shared" si="1145"/>
        <v/>
      </c>
      <c r="DU142" s="494" t="str">
        <f t="shared" si="1146"/>
        <v/>
      </c>
      <c r="DV142" s="494" t="str">
        <f t="shared" si="1147"/>
        <v/>
      </c>
      <c r="DW142" s="494" t="str">
        <f t="shared" si="1148"/>
        <v/>
      </c>
      <c r="DX142" s="507" t="str">
        <f t="shared" si="1149"/>
        <v/>
      </c>
      <c r="DY142" s="496" t="str">
        <f t="shared" si="1150"/>
        <v/>
      </c>
      <c r="DZ142" s="494" t="str">
        <f t="shared" si="1151"/>
        <v/>
      </c>
      <c r="EA142" s="495" t="str">
        <f t="shared" si="1152"/>
        <v/>
      </c>
      <c r="EB142" s="497" t="str">
        <f t="shared" si="1153"/>
        <v/>
      </c>
      <c r="EC142" s="502" t="str">
        <f t="shared" si="1154"/>
        <v/>
      </c>
      <c r="ED142" s="494" t="str">
        <f t="shared" si="1155"/>
        <v/>
      </c>
      <c r="EE142" s="498" t="str">
        <f t="shared" si="1156"/>
        <v/>
      </c>
      <c r="EF142" s="494" t="str">
        <f t="shared" si="1157"/>
        <v/>
      </c>
      <c r="EG142" s="495" t="str">
        <f t="shared" si="1158"/>
        <v/>
      </c>
      <c r="EH142" s="496" t="str">
        <f t="shared" si="1159"/>
        <v/>
      </c>
      <c r="EI142" s="494" t="str">
        <f t="shared" si="1160"/>
        <v/>
      </c>
      <c r="EJ142" s="497" t="str">
        <f t="shared" si="1161"/>
        <v/>
      </c>
      <c r="EK142" s="509" t="str">
        <f t="shared" si="814"/>
        <v/>
      </c>
      <c r="EL142" s="510" t="str">
        <f t="shared" si="815"/>
        <v/>
      </c>
      <c r="EM142" s="498" t="str">
        <f t="shared" si="1162"/>
        <v/>
      </c>
      <c r="EN142" s="494" t="str">
        <f t="shared" si="1163"/>
        <v/>
      </c>
      <c r="EO142" s="495" t="str">
        <f t="shared" si="1164"/>
        <v/>
      </c>
      <c r="EP142" s="496" t="str">
        <f t="shared" si="1165"/>
        <v/>
      </c>
      <c r="EQ142" s="494" t="str">
        <f t="shared" si="1166"/>
        <v/>
      </c>
      <c r="ER142" s="500" t="str">
        <f t="shared" si="1167"/>
        <v/>
      </c>
      <c r="ES142" s="493" t="str">
        <f t="shared" si="1257"/>
        <v/>
      </c>
      <c r="ET142" s="494" t="str">
        <f t="shared" si="1258"/>
        <v/>
      </c>
      <c r="EU142" s="495" t="str">
        <f t="shared" si="1259"/>
        <v/>
      </c>
      <c r="EV142" s="174" t="str">
        <f t="shared" si="1168"/>
        <v/>
      </c>
      <c r="EW142" s="496" t="str">
        <f t="shared" si="1169"/>
        <v/>
      </c>
      <c r="EX142" s="494" t="str">
        <f t="shared" si="1170"/>
        <v/>
      </c>
      <c r="EY142" s="497" t="str">
        <f t="shared" si="1171"/>
        <v/>
      </c>
      <c r="EZ142" s="504" t="str">
        <f t="shared" si="823"/>
        <v/>
      </c>
      <c r="FA142" s="502" t="str">
        <f t="shared" si="947"/>
        <v/>
      </c>
      <c r="FB142" s="494" t="str">
        <f t="shared" si="948"/>
        <v/>
      </c>
      <c r="FC142" s="497" t="str">
        <f t="shared" si="949"/>
        <v/>
      </c>
      <c r="FD142" s="498" t="str">
        <f t="shared" si="1172"/>
        <v/>
      </c>
      <c r="FE142" s="494" t="str">
        <f t="shared" si="1173"/>
        <v/>
      </c>
      <c r="FF142" s="500" t="str">
        <f t="shared" si="1174"/>
        <v/>
      </c>
      <c r="FG142" s="173" t="str">
        <f t="shared" si="1175"/>
        <v/>
      </c>
      <c r="FH142" s="5" t="str">
        <f t="shared" si="1176"/>
        <v/>
      </c>
      <c r="FI142" s="10" t="str">
        <f t="shared" si="1177"/>
        <v/>
      </c>
      <c r="FJ142" s="279" t="str">
        <f t="shared" si="1178"/>
        <v/>
      </c>
      <c r="FK142" s="4" t="str">
        <f t="shared" si="1179"/>
        <v/>
      </c>
      <c r="FL142" s="5" t="str">
        <f t="shared" si="1180"/>
        <v/>
      </c>
      <c r="FM142" s="8" t="str">
        <f t="shared" si="1181"/>
        <v/>
      </c>
      <c r="FN142" s="9" t="str">
        <f t="shared" si="1182"/>
        <v/>
      </c>
      <c r="FO142" s="10" t="str">
        <f t="shared" si="1183"/>
        <v/>
      </c>
      <c r="FP142" s="277" t="str">
        <f t="shared" si="1184"/>
        <v/>
      </c>
      <c r="FQ142" s="173" t="str">
        <f t="shared" si="1185"/>
        <v/>
      </c>
      <c r="FR142" s="10" t="str">
        <f t="shared" si="1186"/>
        <v/>
      </c>
      <c r="FS142" s="9" t="str">
        <f t="shared" si="1187"/>
        <v/>
      </c>
      <c r="FT142" s="6" t="str">
        <f t="shared" si="1188"/>
        <v/>
      </c>
      <c r="FU142" s="4" t="str">
        <f t="shared" si="1189"/>
        <v/>
      </c>
      <c r="FV142" s="5" t="str">
        <f t="shared" si="1190"/>
        <v/>
      </c>
      <c r="FW142" s="8" t="str">
        <f t="shared" si="1191"/>
        <v/>
      </c>
      <c r="FX142" s="9" t="str">
        <f t="shared" si="1192"/>
        <v/>
      </c>
      <c r="FY142" s="10" t="str">
        <f t="shared" si="1193"/>
        <v/>
      </c>
      <c r="FZ142" s="277" t="str">
        <f t="shared" si="1194"/>
        <v/>
      </c>
      <c r="GA142" s="177" t="str">
        <f t="shared" si="1195"/>
        <v/>
      </c>
      <c r="GB142" s="4" t="str">
        <f t="shared" si="1196"/>
        <v/>
      </c>
      <c r="GC142" s="5" t="str">
        <f t="shared" si="1197"/>
        <v/>
      </c>
      <c r="GD142" s="10" t="str">
        <f t="shared" si="1198"/>
        <v/>
      </c>
      <c r="GE142" s="311" t="str">
        <f t="shared" si="1199"/>
        <v/>
      </c>
      <c r="GF142" s="341" t="str">
        <f t="shared" si="1200"/>
        <v/>
      </c>
      <c r="GG142" s="306" t="str">
        <f t="shared" si="1201"/>
        <v/>
      </c>
      <c r="GH142" s="307" t="str">
        <f t="shared" si="1202"/>
        <v/>
      </c>
      <c r="GI142" s="308" t="str">
        <f t="shared" si="1203"/>
        <v/>
      </c>
      <c r="GJ142" s="167" t="str">
        <f t="shared" si="1204"/>
        <v/>
      </c>
      <c r="GK142" s="174" t="str">
        <f t="shared" si="961"/>
        <v/>
      </c>
      <c r="GL142" s="174" t="str">
        <f t="shared" si="1205"/>
        <v/>
      </c>
      <c r="GM142" s="177" t="str">
        <f t="shared" si="1206"/>
        <v/>
      </c>
      <c r="GN142" s="280" t="str">
        <f t="shared" si="1207"/>
        <v/>
      </c>
      <c r="GO142" s="4" t="str">
        <f t="shared" si="1208"/>
        <v/>
      </c>
      <c r="GP142" s="8" t="str">
        <f t="shared" si="1209"/>
        <v/>
      </c>
      <c r="GQ142" s="177" t="str">
        <f t="shared" si="1210"/>
        <v/>
      </c>
      <c r="GR142" s="371" t="str">
        <f t="shared" si="1211"/>
        <v/>
      </c>
      <c r="GS142" s="342" t="str">
        <f t="shared" si="1212"/>
        <v/>
      </c>
      <c r="GT142" s="343" t="str">
        <f t="shared" si="1213"/>
        <v/>
      </c>
      <c r="GU142" s="344" t="str">
        <f t="shared" si="964"/>
        <v/>
      </c>
      <c r="GV142" s="343" t="str">
        <f t="shared" si="1214"/>
        <v/>
      </c>
      <c r="GW142" s="345" t="str">
        <f t="shared" si="965"/>
        <v/>
      </c>
      <c r="GX142" s="346" t="str">
        <f t="shared" si="966"/>
        <v/>
      </c>
      <c r="GY142" s="344" t="str">
        <f t="shared" si="1215"/>
        <v/>
      </c>
      <c r="GZ142" s="345" t="str">
        <f t="shared" si="1216"/>
        <v/>
      </c>
      <c r="HA142" s="342" t="str">
        <f t="shared" si="969"/>
        <v/>
      </c>
      <c r="HB142" s="5" t="str">
        <f t="shared" si="850"/>
        <v/>
      </c>
      <c r="HC142" s="343" t="str">
        <f t="shared" si="1217"/>
        <v/>
      </c>
      <c r="HD142" s="363" t="str">
        <f t="shared" si="1218"/>
        <v/>
      </c>
      <c r="HE142" s="344" t="str">
        <f t="shared" si="970"/>
        <v/>
      </c>
      <c r="HF142" s="5" t="str">
        <f t="shared" si="971"/>
        <v/>
      </c>
      <c r="HG142" s="343" t="str">
        <f t="shared" si="1219"/>
        <v/>
      </c>
      <c r="HH142" s="349" t="str">
        <f t="shared" si="1220"/>
        <v/>
      </c>
      <c r="HI142" s="317" t="str">
        <f t="shared" si="1260"/>
        <v/>
      </c>
      <c r="HK142" s="310" t="str">
        <f t="shared" si="1294"/>
        <v/>
      </c>
      <c r="HL142" s="348" t="str">
        <f t="shared" si="1261"/>
        <v/>
      </c>
      <c r="HM142" s="923" t="str">
        <f t="shared" si="1262"/>
        <v/>
      </c>
      <c r="HN142" s="924" t="str">
        <f t="shared" si="1263"/>
        <v/>
      </c>
      <c r="HO142" s="925"/>
      <c r="HP142" s="926"/>
      <c r="HQ142" s="924" t="str">
        <f t="shared" si="1264"/>
        <v/>
      </c>
      <c r="HR142" s="927" t="str">
        <f t="shared" si="1265"/>
        <v/>
      </c>
      <c r="HS142" s="879" t="str">
        <f t="shared" si="1221"/>
        <v/>
      </c>
      <c r="HT142" s="889" t="str">
        <f t="shared" si="1266"/>
        <v/>
      </c>
      <c r="HU142" s="890" t="str">
        <f t="shared" si="1267"/>
        <v/>
      </c>
      <c r="HV142" s="886" t="str">
        <f t="shared" si="1268"/>
        <v/>
      </c>
      <c r="HW142" s="880" t="str">
        <f t="shared" si="1269"/>
        <v/>
      </c>
      <c r="HX142" s="881" t="str">
        <f t="shared" si="1270"/>
        <v/>
      </c>
      <c r="HY142" s="880" t="str">
        <f t="shared" si="1271"/>
        <v/>
      </c>
      <c r="HZ142" s="882" t="str">
        <f t="shared" si="1272"/>
        <v/>
      </c>
      <c r="IA142" s="883" t="str">
        <f t="shared" si="1273"/>
        <v/>
      </c>
      <c r="IB142" s="884" t="str">
        <f t="shared" si="1274"/>
        <v/>
      </c>
      <c r="IC142" s="855" t="str">
        <f t="shared" si="1275"/>
        <v/>
      </c>
      <c r="ID142" s="351" t="str">
        <f t="shared" si="1276"/>
        <v/>
      </c>
      <c r="IE142" s="857" t="str">
        <f t="shared" si="1277"/>
        <v/>
      </c>
      <c r="IF142" s="858"/>
      <c r="IG142" s="790" t="str">
        <f>IFERROR(IF($IW142="","",IF($IW142&lt;(((Settings!$C$19/2)*-1)*$IG$8),"Taper","Nose")),"")</f>
        <v/>
      </c>
      <c r="IH142" s="482" t="str">
        <f>IFERROR(IF((((($IY142*COS(RADIANS(180-$JA142)))*COS(RADIANS($JA142)))-(($IZ142*SIN(RADIANS(180-$JA142)))*SIN(RADIANS($JA142))))+$IW142)&lt;(((Settings!$C$19+$IH$8)/2)*-1),"Gage",""),"")</f>
        <v/>
      </c>
      <c r="II142" s="788" t="str">
        <f t="shared" si="1298"/>
        <v/>
      </c>
      <c r="IJ142" s="674" t="str" cm="1">
        <f t="array" ref="IJ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K142" s="677" t="str" cm="1">
        <f t="array" ref="IK142">IFERROR(ROUND(VALUE(IF($IJ142&lt;1,$IJ142+LARGE((IF($M$9:$M$150="",0,$M$9:$M$150)-MOD(IF($M$9:$M$150="",0,$M$9:$M$150),1)),1),$IJ142)),4),"")</f>
        <v/>
      </c>
      <c r="IL142" s="482" t="str">
        <f t="shared" si="1278"/>
        <v/>
      </c>
      <c r="IM142" s="482" t="str">
        <f t="shared" si="1299"/>
        <v/>
      </c>
      <c r="IN142" s="670" t="str">
        <f t="shared" si="1279"/>
        <v/>
      </c>
      <c r="IO142" s="702"/>
      <c r="IP142" s="5" t="str">
        <f t="shared" si="1280"/>
        <v/>
      </c>
      <c r="IQ142" s="714"/>
      <c r="IR142" s="9" t="str">
        <f t="shared" si="1281"/>
        <v/>
      </c>
      <c r="IS142" s="5" t="str">
        <f t="shared" si="1282"/>
        <v/>
      </c>
      <c r="IT142" s="5" t="str">
        <f t="shared" si="1283"/>
        <v/>
      </c>
      <c r="IU142" s="5" t="str">
        <f t="shared" si="1284"/>
        <v/>
      </c>
      <c r="IV142" s="670" t="str">
        <f t="shared" si="1285"/>
        <v/>
      </c>
      <c r="IW142" s="9" t="str">
        <f t="shared" si="1286"/>
        <v/>
      </c>
      <c r="IX142" s="5" t="str">
        <f t="shared" si="1287"/>
        <v/>
      </c>
      <c r="IY142" s="5" t="str">
        <f t="shared" si="1288"/>
        <v/>
      </c>
      <c r="IZ142" s="5" t="str">
        <f t="shared" si="1289"/>
        <v/>
      </c>
      <c r="JA142" s="705" t="str">
        <f t="shared" si="1290"/>
        <v/>
      </c>
    </row>
    <row r="143" spans="1:277" ht="15" customHeight="1" x14ac:dyDescent="0.25">
      <c r="A143" s="75" t="str">
        <f t="shared" si="1234"/>
        <v/>
      </c>
      <c r="B143" s="585" t="str">
        <f t="shared" ref="B143:D143" si="1306">IFERROR(O298+($A143*-E143),"")</f>
        <v/>
      </c>
      <c r="C143" s="582" t="str">
        <f t="shared" si="1306"/>
        <v/>
      </c>
      <c r="D143" s="583" t="str">
        <f t="shared" si="1306"/>
        <v/>
      </c>
      <c r="E143" s="588" t="str">
        <f t="shared" ref="E143:K143" si="1307">R298</f>
        <v/>
      </c>
      <c r="F143" s="582" t="str">
        <f t="shared" si="1307"/>
        <v/>
      </c>
      <c r="G143" s="586" t="str">
        <f t="shared" si="1307"/>
        <v/>
      </c>
      <c r="H143" s="588" t="str">
        <f t="shared" si="1307"/>
        <v/>
      </c>
      <c r="I143" s="582" t="str">
        <f t="shared" si="1307"/>
        <v/>
      </c>
      <c r="J143" s="491" t="str">
        <f t="shared" si="1293"/>
        <v/>
      </c>
      <c r="K143" s="807" t="str">
        <f t="shared" si="1307"/>
        <v/>
      </c>
      <c r="L143" s="309"/>
      <c r="M143" s="492" t="str">
        <f t="shared" si="1237"/>
        <v/>
      </c>
      <c r="N143" s="581" t="str">
        <f t="shared" si="1238"/>
        <v/>
      </c>
      <c r="O143" s="582" t="str">
        <f t="shared" si="1239"/>
        <v/>
      </c>
      <c r="P143" s="583" t="str">
        <f t="shared" si="1240"/>
        <v/>
      </c>
      <c r="Q143" s="536" t="str">
        <f t="shared" si="1079"/>
        <v/>
      </c>
      <c r="R143" s="582" t="str">
        <f t="shared" si="1080"/>
        <v/>
      </c>
      <c r="S143" s="584" t="str">
        <f t="shared" si="1081"/>
        <v/>
      </c>
      <c r="T143" s="585" t="str">
        <f t="shared" si="1082"/>
        <v/>
      </c>
      <c r="U143" s="582" t="str">
        <f t="shared" si="1083"/>
        <v/>
      </c>
      <c r="V143" s="586" t="str">
        <f t="shared" si="1084"/>
        <v/>
      </c>
      <c r="W143" s="536" t="str">
        <f t="shared" si="1085"/>
        <v/>
      </c>
      <c r="X143" s="582" t="str">
        <f t="shared" si="1086"/>
        <v/>
      </c>
      <c r="Y143" s="587" t="str">
        <f t="shared" si="1087"/>
        <v/>
      </c>
      <c r="Z143" s="581" t="str">
        <f t="shared" si="1241"/>
        <v/>
      </c>
      <c r="AA143" s="582" t="str">
        <f t="shared" si="1242"/>
        <v/>
      </c>
      <c r="AB143" s="582" t="str">
        <f t="shared" si="1243"/>
        <v/>
      </c>
      <c r="AC143" s="586" t="str">
        <f t="shared" si="1088"/>
        <v/>
      </c>
      <c r="AD143" s="588" t="str">
        <f t="shared" si="1089"/>
        <v/>
      </c>
      <c r="AE143" s="582" t="str">
        <f t="shared" si="1090"/>
        <v/>
      </c>
      <c r="AF143" s="583" t="str">
        <f t="shared" si="1091"/>
        <v/>
      </c>
      <c r="AG143" s="547" t="str">
        <f t="shared" si="1092"/>
        <v/>
      </c>
      <c r="AH143" s="548" t="str">
        <f t="shared" si="1093"/>
        <v/>
      </c>
      <c r="AI143" s="536" t="str">
        <f t="shared" si="1094"/>
        <v/>
      </c>
      <c r="AJ143" s="537" t="str">
        <f t="shared" si="1095"/>
        <v/>
      </c>
      <c r="AK143" s="585" t="str">
        <f t="shared" si="1096"/>
        <v/>
      </c>
      <c r="AL143" s="582" t="str">
        <f t="shared" si="1097"/>
        <v/>
      </c>
      <c r="AM143" s="584" t="str">
        <f t="shared" si="1098"/>
        <v/>
      </c>
      <c r="AN143" s="534" t="str">
        <f t="shared" si="1099"/>
        <v/>
      </c>
      <c r="AO143" s="535" t="str">
        <f t="shared" si="1058"/>
        <v/>
      </c>
      <c r="AP143" s="536" t="str">
        <f t="shared" si="1100"/>
        <v/>
      </c>
      <c r="AQ143" s="537" t="str">
        <f t="shared" si="1244"/>
        <v/>
      </c>
      <c r="AS143" s="955" t="str">
        <f t="shared" si="1297"/>
        <v/>
      </c>
      <c r="AT143" s="951" t="str">
        <f t="shared" si="1245"/>
        <v/>
      </c>
      <c r="AU143" s="418"/>
      <c r="AV143" s="164" t="str">
        <f t="shared" si="1246"/>
        <v/>
      </c>
      <c r="AW143" s="832" t="str">
        <f>IFERROR(INDEX(MassProp!C$9:C$150,MATCH($M143,MassProp!$B$9:$B$150,0)),"")</f>
        <v/>
      </c>
      <c r="AX143" s="833" t="str">
        <f>IFERROR(INDEX(MassProp!D$9:D$150,MATCH($M143,MassProp!$B$9:$B$150,0)),"")</f>
        <v/>
      </c>
      <c r="AY143" s="834" t="str">
        <f>IFERROR(INDEX(MassProp!E$9:E$150,MATCH($M143,MassProp!$B$9:$B$150,0)),"")</f>
        <v/>
      </c>
      <c r="AZ143" s="297" t="str">
        <f t="shared" si="1101"/>
        <v/>
      </c>
      <c r="BA143" s="505" t="str">
        <f t="shared" si="1102"/>
        <v/>
      </c>
      <c r="BB143" s="506" t="str">
        <f t="shared" si="730"/>
        <v/>
      </c>
      <c r="BC143" s="496"/>
      <c r="BD143" s="494" t="str">
        <f t="shared" si="1103"/>
        <v/>
      </c>
      <c r="BE143" s="497" t="str">
        <f t="shared" si="1247"/>
        <v/>
      </c>
      <c r="BF143" s="498" t="str">
        <f t="shared" si="1248"/>
        <v/>
      </c>
      <c r="BG143" s="494" t="str">
        <f t="shared" si="1249"/>
        <v/>
      </c>
      <c r="BH143" s="495" t="str">
        <f t="shared" si="1250"/>
        <v/>
      </c>
      <c r="BI143" s="496" t="str">
        <f t="shared" si="1104"/>
        <v/>
      </c>
      <c r="BJ143" s="494" t="str">
        <f t="shared" si="1251"/>
        <v/>
      </c>
      <c r="BK143" s="499" t="str">
        <f t="shared" si="1252"/>
        <v/>
      </c>
      <c r="BL143" s="502" t="str">
        <f t="shared" si="1253"/>
        <v/>
      </c>
      <c r="BM143" s="494" t="str">
        <f t="shared" si="1254"/>
        <v/>
      </c>
      <c r="BN143" s="497" t="str">
        <f t="shared" si="1255"/>
        <v/>
      </c>
      <c r="BO143" s="498" t="str">
        <f t="shared" si="1105"/>
        <v/>
      </c>
      <c r="BP143" s="494" t="str">
        <f t="shared" si="1106"/>
        <v/>
      </c>
      <c r="BQ143" s="494" t="str">
        <f t="shared" si="1107"/>
        <v/>
      </c>
      <c r="BR143" s="497" t="str">
        <f t="shared" si="1108"/>
        <v/>
      </c>
      <c r="BS143" s="498" t="str">
        <f t="shared" si="1024"/>
        <v/>
      </c>
      <c r="BT143" s="494" t="str">
        <f t="shared" si="1024"/>
        <v/>
      </c>
      <c r="BU143" s="495" t="str">
        <f t="shared" si="733"/>
        <v/>
      </c>
      <c r="BV143" s="496" t="str">
        <f t="shared" si="734"/>
        <v/>
      </c>
      <c r="BW143" s="494" t="str">
        <f t="shared" si="735"/>
        <v/>
      </c>
      <c r="BX143" s="499" t="str">
        <f t="shared" si="736"/>
        <v/>
      </c>
      <c r="BY143" s="502" t="str">
        <f t="shared" si="737"/>
        <v/>
      </c>
      <c r="BZ143" s="494" t="str">
        <f t="shared" si="738"/>
        <v/>
      </c>
      <c r="CA143" s="497" t="str">
        <f t="shared" si="739"/>
        <v/>
      </c>
      <c r="CB143" s="498" t="str">
        <f t="shared" si="1109"/>
        <v/>
      </c>
      <c r="CC143" s="494" t="str">
        <f t="shared" si="1110"/>
        <v/>
      </c>
      <c r="CD143" s="494" t="str">
        <f t="shared" si="1111"/>
        <v/>
      </c>
      <c r="CE143" s="497" t="str">
        <f t="shared" si="1112"/>
        <v/>
      </c>
      <c r="CF143" s="498" t="str">
        <f t="shared" si="1113"/>
        <v/>
      </c>
      <c r="CG143" s="494" t="str">
        <f t="shared" si="1114"/>
        <v/>
      </c>
      <c r="CH143" s="494" t="str">
        <f t="shared" si="1115"/>
        <v/>
      </c>
      <c r="CI143" s="498" t="str">
        <f t="shared" si="740"/>
        <v/>
      </c>
      <c r="CJ143" s="494" t="str">
        <f t="shared" si="1116"/>
        <v/>
      </c>
      <c r="CK143" s="499" t="str">
        <f t="shared" si="1117"/>
        <v/>
      </c>
      <c r="CL143" s="502" t="str">
        <f t="shared" si="1118"/>
        <v/>
      </c>
      <c r="CM143" s="494" t="str">
        <f t="shared" si="1119"/>
        <v/>
      </c>
      <c r="CN143" s="497" t="str">
        <f t="shared" si="1120"/>
        <v/>
      </c>
      <c r="CO143" s="507" t="str">
        <f t="shared" si="1256"/>
        <v/>
      </c>
      <c r="CP143" s="498" t="str">
        <f t="shared" si="1121"/>
        <v/>
      </c>
      <c r="CQ143" s="494" t="str">
        <f t="shared" si="1122"/>
        <v/>
      </c>
      <c r="CR143" s="494" t="str">
        <f t="shared" si="1123"/>
        <v/>
      </c>
      <c r="CS143" s="499" t="str">
        <f t="shared" si="1124"/>
        <v/>
      </c>
      <c r="CT143" s="496" t="str">
        <f t="shared" si="1125"/>
        <v/>
      </c>
      <c r="CU143" s="497" t="str">
        <f t="shared" si="1126"/>
        <v/>
      </c>
      <c r="CV143" s="498" t="str">
        <f t="shared" si="1127"/>
        <v/>
      </c>
      <c r="CW143" s="494" t="str">
        <f t="shared" si="1128"/>
        <v/>
      </c>
      <c r="CX143" s="499" t="str">
        <f t="shared" si="1129"/>
        <v/>
      </c>
      <c r="CY143" s="496" t="str">
        <f t="shared" si="1130"/>
        <v/>
      </c>
      <c r="CZ143" s="494" t="str">
        <f t="shared" si="1131"/>
        <v/>
      </c>
      <c r="DA143" s="497" t="str">
        <f t="shared" si="1132"/>
        <v/>
      </c>
      <c r="DB143" s="498" t="str">
        <f t="shared" si="1030"/>
        <v/>
      </c>
      <c r="DC143" s="494" t="str">
        <f t="shared" si="1030"/>
        <v/>
      </c>
      <c r="DD143" s="495" t="str">
        <f t="shared" si="782"/>
        <v/>
      </c>
      <c r="DE143" s="496" t="str">
        <f t="shared" si="1031"/>
        <v/>
      </c>
      <c r="DF143" s="494" t="str">
        <f t="shared" si="1031"/>
        <v/>
      </c>
      <c r="DG143" s="495" t="str">
        <f t="shared" si="784"/>
        <v/>
      </c>
      <c r="DH143" s="501" t="str">
        <f t="shared" si="1133"/>
        <v/>
      </c>
      <c r="DI143" s="498" t="str">
        <f t="shared" si="1134"/>
        <v/>
      </c>
      <c r="DJ143" s="494" t="str">
        <f t="shared" si="1135"/>
        <v/>
      </c>
      <c r="DK143" s="495" t="str">
        <f t="shared" si="1136"/>
        <v/>
      </c>
      <c r="DL143" s="496" t="str">
        <f t="shared" si="1137"/>
        <v/>
      </c>
      <c r="DM143" s="502" t="str">
        <f t="shared" si="1138"/>
        <v/>
      </c>
      <c r="DN143" s="508" t="str">
        <f t="shared" si="1139"/>
        <v/>
      </c>
      <c r="DO143" s="496" t="str">
        <f t="shared" si="1140"/>
        <v/>
      </c>
      <c r="DP143" s="502" t="str">
        <f t="shared" si="1141"/>
        <v/>
      </c>
      <c r="DQ143" s="503" t="str">
        <f t="shared" si="1142"/>
        <v/>
      </c>
      <c r="DR143" s="502" t="str">
        <f t="shared" si="1143"/>
        <v/>
      </c>
      <c r="DS143" s="494" t="str">
        <f t="shared" si="1144"/>
        <v/>
      </c>
      <c r="DT143" s="494" t="str">
        <f t="shared" si="1145"/>
        <v/>
      </c>
      <c r="DU143" s="494" t="str">
        <f t="shared" si="1146"/>
        <v/>
      </c>
      <c r="DV143" s="494" t="str">
        <f t="shared" si="1147"/>
        <v/>
      </c>
      <c r="DW143" s="494" t="str">
        <f t="shared" si="1148"/>
        <v/>
      </c>
      <c r="DX143" s="507" t="str">
        <f t="shared" si="1149"/>
        <v/>
      </c>
      <c r="DY143" s="496" t="str">
        <f t="shared" si="1150"/>
        <v/>
      </c>
      <c r="DZ143" s="494" t="str">
        <f t="shared" si="1151"/>
        <v/>
      </c>
      <c r="EA143" s="495" t="str">
        <f t="shared" si="1152"/>
        <v/>
      </c>
      <c r="EB143" s="497" t="str">
        <f t="shared" si="1153"/>
        <v/>
      </c>
      <c r="EC143" s="502" t="str">
        <f t="shared" si="1154"/>
        <v/>
      </c>
      <c r="ED143" s="494" t="str">
        <f t="shared" si="1155"/>
        <v/>
      </c>
      <c r="EE143" s="498" t="str">
        <f t="shared" si="1156"/>
        <v/>
      </c>
      <c r="EF143" s="494" t="str">
        <f t="shared" si="1157"/>
        <v/>
      </c>
      <c r="EG143" s="495" t="str">
        <f t="shared" si="1158"/>
        <v/>
      </c>
      <c r="EH143" s="496" t="str">
        <f t="shared" si="1159"/>
        <v/>
      </c>
      <c r="EI143" s="494" t="str">
        <f t="shared" si="1160"/>
        <v/>
      </c>
      <c r="EJ143" s="497" t="str">
        <f t="shared" si="1161"/>
        <v/>
      </c>
      <c r="EK143" s="509" t="str">
        <f t="shared" si="814"/>
        <v/>
      </c>
      <c r="EL143" s="510" t="str">
        <f t="shared" si="815"/>
        <v/>
      </c>
      <c r="EM143" s="498" t="str">
        <f t="shared" si="1162"/>
        <v/>
      </c>
      <c r="EN143" s="494" t="str">
        <f t="shared" si="1163"/>
        <v/>
      </c>
      <c r="EO143" s="495" t="str">
        <f t="shared" si="1164"/>
        <v/>
      </c>
      <c r="EP143" s="496" t="str">
        <f t="shared" si="1165"/>
        <v/>
      </c>
      <c r="EQ143" s="494" t="str">
        <f t="shared" si="1166"/>
        <v/>
      </c>
      <c r="ER143" s="500" t="str">
        <f t="shared" si="1167"/>
        <v/>
      </c>
      <c r="ES143" s="493" t="str">
        <f t="shared" si="1257"/>
        <v/>
      </c>
      <c r="ET143" s="494" t="str">
        <f t="shared" si="1258"/>
        <v/>
      </c>
      <c r="EU143" s="495" t="str">
        <f t="shared" si="1259"/>
        <v/>
      </c>
      <c r="EV143" s="174" t="str">
        <f t="shared" si="1168"/>
        <v/>
      </c>
      <c r="EW143" s="496" t="str">
        <f t="shared" si="1169"/>
        <v/>
      </c>
      <c r="EX143" s="494" t="str">
        <f t="shared" si="1170"/>
        <v/>
      </c>
      <c r="EY143" s="497" t="str">
        <f t="shared" si="1171"/>
        <v/>
      </c>
      <c r="EZ143" s="504" t="str">
        <f t="shared" si="823"/>
        <v/>
      </c>
      <c r="FA143" s="502" t="str">
        <f t="shared" si="947"/>
        <v/>
      </c>
      <c r="FB143" s="494" t="str">
        <f t="shared" si="948"/>
        <v/>
      </c>
      <c r="FC143" s="497" t="str">
        <f t="shared" si="949"/>
        <v/>
      </c>
      <c r="FD143" s="498" t="str">
        <f t="shared" si="1172"/>
        <v/>
      </c>
      <c r="FE143" s="494" t="str">
        <f t="shared" si="1173"/>
        <v/>
      </c>
      <c r="FF143" s="500" t="str">
        <f t="shared" si="1174"/>
        <v/>
      </c>
      <c r="FG143" s="173" t="str">
        <f t="shared" si="1175"/>
        <v/>
      </c>
      <c r="FH143" s="5" t="str">
        <f t="shared" si="1176"/>
        <v/>
      </c>
      <c r="FI143" s="10" t="str">
        <f t="shared" si="1177"/>
        <v/>
      </c>
      <c r="FJ143" s="279" t="str">
        <f t="shared" si="1178"/>
        <v/>
      </c>
      <c r="FK143" s="4" t="str">
        <f t="shared" si="1179"/>
        <v/>
      </c>
      <c r="FL143" s="5" t="str">
        <f t="shared" si="1180"/>
        <v/>
      </c>
      <c r="FM143" s="8" t="str">
        <f t="shared" si="1181"/>
        <v/>
      </c>
      <c r="FN143" s="9" t="str">
        <f t="shared" si="1182"/>
        <v/>
      </c>
      <c r="FO143" s="10" t="str">
        <f t="shared" si="1183"/>
        <v/>
      </c>
      <c r="FP143" s="277" t="str">
        <f t="shared" si="1184"/>
        <v/>
      </c>
      <c r="FQ143" s="173" t="str">
        <f t="shared" si="1185"/>
        <v/>
      </c>
      <c r="FR143" s="10" t="str">
        <f t="shared" si="1186"/>
        <v/>
      </c>
      <c r="FS143" s="9" t="str">
        <f t="shared" si="1187"/>
        <v/>
      </c>
      <c r="FT143" s="6" t="str">
        <f t="shared" si="1188"/>
        <v/>
      </c>
      <c r="FU143" s="4" t="str">
        <f t="shared" si="1189"/>
        <v/>
      </c>
      <c r="FV143" s="5" t="str">
        <f t="shared" si="1190"/>
        <v/>
      </c>
      <c r="FW143" s="8" t="str">
        <f t="shared" si="1191"/>
        <v/>
      </c>
      <c r="FX143" s="9" t="str">
        <f t="shared" si="1192"/>
        <v/>
      </c>
      <c r="FY143" s="10" t="str">
        <f t="shared" si="1193"/>
        <v/>
      </c>
      <c r="FZ143" s="277" t="str">
        <f t="shared" si="1194"/>
        <v/>
      </c>
      <c r="GA143" s="177" t="str">
        <f t="shared" si="1195"/>
        <v/>
      </c>
      <c r="GB143" s="4" t="str">
        <f t="shared" si="1196"/>
        <v/>
      </c>
      <c r="GC143" s="5" t="str">
        <f t="shared" si="1197"/>
        <v/>
      </c>
      <c r="GD143" s="10" t="str">
        <f t="shared" si="1198"/>
        <v/>
      </c>
      <c r="GE143" s="311" t="str">
        <f t="shared" si="1199"/>
        <v/>
      </c>
      <c r="GF143" s="341" t="str">
        <f t="shared" si="1200"/>
        <v/>
      </c>
      <c r="GG143" s="306" t="str">
        <f t="shared" si="1201"/>
        <v/>
      </c>
      <c r="GH143" s="307" t="str">
        <f t="shared" si="1202"/>
        <v/>
      </c>
      <c r="GI143" s="308" t="str">
        <f t="shared" si="1203"/>
        <v/>
      </c>
      <c r="GJ143" s="167" t="str">
        <f t="shared" si="1204"/>
        <v/>
      </c>
      <c r="GK143" s="174" t="str">
        <f t="shared" si="961"/>
        <v/>
      </c>
      <c r="GL143" s="174" t="str">
        <f t="shared" si="1205"/>
        <v/>
      </c>
      <c r="GM143" s="177" t="str">
        <f t="shared" si="1206"/>
        <v/>
      </c>
      <c r="GN143" s="280" t="str">
        <f t="shared" si="1207"/>
        <v/>
      </c>
      <c r="GO143" s="4" t="str">
        <f t="shared" si="1208"/>
        <v/>
      </c>
      <c r="GP143" s="8" t="str">
        <f t="shared" si="1209"/>
        <v/>
      </c>
      <c r="GQ143" s="177" t="str">
        <f t="shared" si="1210"/>
        <v/>
      </c>
      <c r="GR143" s="371" t="str">
        <f t="shared" si="1211"/>
        <v/>
      </c>
      <c r="GS143" s="342" t="str">
        <f t="shared" si="1212"/>
        <v/>
      </c>
      <c r="GT143" s="343" t="str">
        <f t="shared" si="1213"/>
        <v/>
      </c>
      <c r="GU143" s="344" t="str">
        <f t="shared" si="964"/>
        <v/>
      </c>
      <c r="GV143" s="343" t="str">
        <f t="shared" si="1214"/>
        <v/>
      </c>
      <c r="GW143" s="345" t="str">
        <f t="shared" si="965"/>
        <v/>
      </c>
      <c r="GX143" s="346" t="str">
        <f t="shared" si="966"/>
        <v/>
      </c>
      <c r="GY143" s="344" t="str">
        <f t="shared" si="1215"/>
        <v/>
      </c>
      <c r="GZ143" s="345" t="str">
        <f t="shared" si="1216"/>
        <v/>
      </c>
      <c r="HA143" s="342" t="str">
        <f t="shared" si="969"/>
        <v/>
      </c>
      <c r="HB143" s="5" t="str">
        <f t="shared" si="850"/>
        <v/>
      </c>
      <c r="HC143" s="343" t="str">
        <f t="shared" si="1217"/>
        <v/>
      </c>
      <c r="HD143" s="363" t="str">
        <f t="shared" si="1218"/>
        <v/>
      </c>
      <c r="HE143" s="344" t="str">
        <f t="shared" si="970"/>
        <v/>
      </c>
      <c r="HF143" s="5" t="str">
        <f t="shared" si="971"/>
        <v/>
      </c>
      <c r="HG143" s="343" t="str">
        <f t="shared" si="1219"/>
        <v/>
      </c>
      <c r="HH143" s="349" t="str">
        <f t="shared" si="1220"/>
        <v/>
      </c>
      <c r="HI143" s="317" t="str">
        <f t="shared" si="1260"/>
        <v/>
      </c>
      <c r="HK143" s="310" t="str">
        <f t="shared" si="1294"/>
        <v/>
      </c>
      <c r="HL143" s="348" t="str">
        <f t="shared" si="1261"/>
        <v/>
      </c>
      <c r="HM143" s="923" t="str">
        <f t="shared" si="1262"/>
        <v/>
      </c>
      <c r="HN143" s="924" t="str">
        <f t="shared" si="1263"/>
        <v/>
      </c>
      <c r="HO143" s="925"/>
      <c r="HP143" s="926"/>
      <c r="HQ143" s="924" t="str">
        <f t="shared" si="1264"/>
        <v/>
      </c>
      <c r="HR143" s="927" t="str">
        <f t="shared" si="1265"/>
        <v/>
      </c>
      <c r="HS143" s="879" t="str">
        <f t="shared" si="1221"/>
        <v/>
      </c>
      <c r="HT143" s="889" t="str">
        <f t="shared" si="1266"/>
        <v/>
      </c>
      <c r="HU143" s="890" t="str">
        <f t="shared" si="1267"/>
        <v/>
      </c>
      <c r="HV143" s="886" t="str">
        <f t="shared" si="1268"/>
        <v/>
      </c>
      <c r="HW143" s="880" t="str">
        <f t="shared" si="1269"/>
        <v/>
      </c>
      <c r="HX143" s="881" t="str">
        <f t="shared" si="1270"/>
        <v/>
      </c>
      <c r="HY143" s="880" t="str">
        <f t="shared" si="1271"/>
        <v/>
      </c>
      <c r="HZ143" s="882" t="str">
        <f t="shared" si="1272"/>
        <v/>
      </c>
      <c r="IA143" s="883" t="str">
        <f t="shared" si="1273"/>
        <v/>
      </c>
      <c r="IB143" s="884" t="str">
        <f t="shared" si="1274"/>
        <v/>
      </c>
      <c r="IC143" s="855" t="str">
        <f t="shared" si="1275"/>
        <v/>
      </c>
      <c r="ID143" s="351" t="str">
        <f t="shared" si="1276"/>
        <v/>
      </c>
      <c r="IE143" s="857" t="str">
        <f t="shared" si="1277"/>
        <v/>
      </c>
      <c r="IF143" s="858"/>
      <c r="IG143" s="790" t="str">
        <f>IFERROR(IF($IW143="","",IF($IW143&lt;(((Settings!$C$19/2)*-1)*$IG$8),"Taper","Nose")),"")</f>
        <v/>
      </c>
      <c r="IH143" s="482" t="str">
        <f>IFERROR(IF((((($IY143*COS(RADIANS(180-$JA143)))*COS(RADIANS($JA143)))-(($IZ143*SIN(RADIANS(180-$JA143)))*SIN(RADIANS($JA143))))+$IW143)&lt;(((Settings!$C$19+$IH$8)/2)*-1),"Gage",""),"")</f>
        <v/>
      </c>
      <c r="II143" s="788" t="str">
        <f t="shared" si="1298"/>
        <v/>
      </c>
      <c r="IJ143" s="674" t="str" cm="1">
        <f t="array" ref="IJ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K143" s="677" t="str" cm="1">
        <f t="array" ref="IK143">IFERROR(ROUND(VALUE(IF($IJ143&lt;1,$IJ143+LARGE((IF($M$9:$M$150="",0,$M$9:$M$150)-MOD(IF($M$9:$M$150="",0,$M$9:$M$150),1)),1),$IJ143)),4),"")</f>
        <v/>
      </c>
      <c r="IL143" s="482" t="str">
        <f t="shared" si="1278"/>
        <v/>
      </c>
      <c r="IM143" s="482" t="str">
        <f t="shared" si="1299"/>
        <v/>
      </c>
      <c r="IN143" s="670" t="str">
        <f t="shared" si="1279"/>
        <v/>
      </c>
      <c r="IO143" s="702"/>
      <c r="IP143" s="5" t="str">
        <f t="shared" si="1280"/>
        <v/>
      </c>
      <c r="IQ143" s="714"/>
      <c r="IR143" s="9" t="str">
        <f t="shared" si="1281"/>
        <v/>
      </c>
      <c r="IS143" s="5" t="str">
        <f t="shared" si="1282"/>
        <v/>
      </c>
      <c r="IT143" s="5" t="str">
        <f t="shared" si="1283"/>
        <v/>
      </c>
      <c r="IU143" s="5" t="str">
        <f t="shared" si="1284"/>
        <v/>
      </c>
      <c r="IV143" s="670" t="str">
        <f t="shared" si="1285"/>
        <v/>
      </c>
      <c r="IW143" s="9" t="str">
        <f t="shared" si="1286"/>
        <v/>
      </c>
      <c r="IX143" s="5" t="str">
        <f t="shared" si="1287"/>
        <v/>
      </c>
      <c r="IY143" s="5" t="str">
        <f t="shared" si="1288"/>
        <v/>
      </c>
      <c r="IZ143" s="5" t="str">
        <f t="shared" si="1289"/>
        <v/>
      </c>
      <c r="JA143" s="705" t="str">
        <f t="shared" si="1290"/>
        <v/>
      </c>
    </row>
    <row r="144" spans="1:277" ht="15" customHeight="1" x14ac:dyDescent="0.25">
      <c r="A144" s="75" t="str">
        <f t="shared" si="1234"/>
        <v/>
      </c>
      <c r="B144" s="585" t="str">
        <f t="shared" ref="B144:D144" si="1308">IFERROR(O299+($A144*-E144),"")</f>
        <v/>
      </c>
      <c r="C144" s="582" t="str">
        <f t="shared" si="1308"/>
        <v/>
      </c>
      <c r="D144" s="583" t="str">
        <f t="shared" si="1308"/>
        <v/>
      </c>
      <c r="E144" s="588" t="str">
        <f t="shared" ref="E144:K144" si="1309">R299</f>
        <v/>
      </c>
      <c r="F144" s="582" t="str">
        <f t="shared" si="1309"/>
        <v/>
      </c>
      <c r="G144" s="586" t="str">
        <f t="shared" si="1309"/>
        <v/>
      </c>
      <c r="H144" s="588" t="str">
        <f t="shared" si="1309"/>
        <v/>
      </c>
      <c r="I144" s="582" t="str">
        <f t="shared" si="1309"/>
        <v/>
      </c>
      <c r="J144" s="491" t="str">
        <f t="shared" si="1293"/>
        <v/>
      </c>
      <c r="K144" s="807" t="str">
        <f t="shared" si="1309"/>
        <v/>
      </c>
      <c r="L144" s="309"/>
      <c r="M144" s="492" t="str">
        <f t="shared" si="1237"/>
        <v/>
      </c>
      <c r="N144" s="581" t="str">
        <f t="shared" si="1238"/>
        <v/>
      </c>
      <c r="O144" s="582" t="str">
        <f t="shared" si="1239"/>
        <v/>
      </c>
      <c r="P144" s="583" t="str">
        <f t="shared" si="1240"/>
        <v/>
      </c>
      <c r="Q144" s="536" t="str">
        <f t="shared" si="1079"/>
        <v/>
      </c>
      <c r="R144" s="582" t="str">
        <f t="shared" si="1080"/>
        <v/>
      </c>
      <c r="S144" s="584" t="str">
        <f t="shared" si="1081"/>
        <v/>
      </c>
      <c r="T144" s="585" t="str">
        <f t="shared" si="1082"/>
        <v/>
      </c>
      <c r="U144" s="582" t="str">
        <f t="shared" si="1083"/>
        <v/>
      </c>
      <c r="V144" s="586" t="str">
        <f t="shared" si="1084"/>
        <v/>
      </c>
      <c r="W144" s="536" t="str">
        <f t="shared" si="1085"/>
        <v/>
      </c>
      <c r="X144" s="582" t="str">
        <f t="shared" si="1086"/>
        <v/>
      </c>
      <c r="Y144" s="587" t="str">
        <f t="shared" si="1087"/>
        <v/>
      </c>
      <c r="Z144" s="581" t="str">
        <f t="shared" si="1241"/>
        <v/>
      </c>
      <c r="AA144" s="582" t="str">
        <f t="shared" si="1242"/>
        <v/>
      </c>
      <c r="AB144" s="582" t="str">
        <f t="shared" si="1243"/>
        <v/>
      </c>
      <c r="AC144" s="586" t="str">
        <f t="shared" si="1088"/>
        <v/>
      </c>
      <c r="AD144" s="588" t="str">
        <f t="shared" si="1089"/>
        <v/>
      </c>
      <c r="AE144" s="582" t="str">
        <f t="shared" si="1090"/>
        <v/>
      </c>
      <c r="AF144" s="583" t="str">
        <f t="shared" si="1091"/>
        <v/>
      </c>
      <c r="AG144" s="547" t="str">
        <f t="shared" si="1092"/>
        <v/>
      </c>
      <c r="AH144" s="548" t="str">
        <f t="shared" si="1093"/>
        <v/>
      </c>
      <c r="AI144" s="536" t="str">
        <f t="shared" si="1094"/>
        <v/>
      </c>
      <c r="AJ144" s="537" t="str">
        <f t="shared" si="1095"/>
        <v/>
      </c>
      <c r="AK144" s="585" t="str">
        <f t="shared" si="1096"/>
        <v/>
      </c>
      <c r="AL144" s="582" t="str">
        <f t="shared" si="1097"/>
        <v/>
      </c>
      <c r="AM144" s="584" t="str">
        <f t="shared" si="1098"/>
        <v/>
      </c>
      <c r="AN144" s="534" t="str">
        <f t="shared" si="1099"/>
        <v/>
      </c>
      <c r="AO144" s="535" t="str">
        <f t="shared" si="1058"/>
        <v/>
      </c>
      <c r="AP144" s="536" t="str">
        <f t="shared" si="1100"/>
        <v/>
      </c>
      <c r="AQ144" s="537" t="str">
        <f t="shared" si="1244"/>
        <v/>
      </c>
      <c r="AS144" s="955" t="str">
        <f t="shared" si="1297"/>
        <v/>
      </c>
      <c r="AT144" s="951" t="str">
        <f t="shared" si="1245"/>
        <v/>
      </c>
      <c r="AU144" s="418"/>
      <c r="AV144" s="164" t="str">
        <f t="shared" si="1246"/>
        <v/>
      </c>
      <c r="AW144" s="832" t="str">
        <f>IFERROR(INDEX(MassProp!C$9:C$150,MATCH($M144,MassProp!$B$9:$B$150,0)),"")</f>
        <v/>
      </c>
      <c r="AX144" s="833" t="str">
        <f>IFERROR(INDEX(MassProp!D$9:D$150,MATCH($M144,MassProp!$B$9:$B$150,0)),"")</f>
        <v/>
      </c>
      <c r="AY144" s="834" t="str">
        <f>IFERROR(INDEX(MassProp!E$9:E$150,MATCH($M144,MassProp!$B$9:$B$150,0)),"")</f>
        <v/>
      </c>
      <c r="AZ144" s="297" t="str">
        <f t="shared" si="1101"/>
        <v/>
      </c>
      <c r="BA144" s="505" t="str">
        <f t="shared" si="1102"/>
        <v/>
      </c>
      <c r="BB144" s="506" t="str">
        <f t="shared" si="730"/>
        <v/>
      </c>
      <c r="BC144" s="496"/>
      <c r="BD144" s="494" t="str">
        <f t="shared" si="1103"/>
        <v/>
      </c>
      <c r="BE144" s="497" t="str">
        <f t="shared" si="1247"/>
        <v/>
      </c>
      <c r="BF144" s="498" t="str">
        <f t="shared" si="1248"/>
        <v/>
      </c>
      <c r="BG144" s="494" t="str">
        <f t="shared" si="1249"/>
        <v/>
      </c>
      <c r="BH144" s="495" t="str">
        <f t="shared" si="1250"/>
        <v/>
      </c>
      <c r="BI144" s="496" t="str">
        <f t="shared" si="1104"/>
        <v/>
      </c>
      <c r="BJ144" s="494" t="str">
        <f t="shared" si="1251"/>
        <v/>
      </c>
      <c r="BK144" s="499" t="str">
        <f t="shared" si="1252"/>
        <v/>
      </c>
      <c r="BL144" s="502" t="str">
        <f t="shared" si="1253"/>
        <v/>
      </c>
      <c r="BM144" s="494" t="str">
        <f t="shared" si="1254"/>
        <v/>
      </c>
      <c r="BN144" s="497" t="str">
        <f t="shared" si="1255"/>
        <v/>
      </c>
      <c r="BO144" s="498" t="str">
        <f t="shared" si="1105"/>
        <v/>
      </c>
      <c r="BP144" s="494" t="str">
        <f t="shared" si="1106"/>
        <v/>
      </c>
      <c r="BQ144" s="494" t="str">
        <f t="shared" si="1107"/>
        <v/>
      </c>
      <c r="BR144" s="497" t="str">
        <f t="shared" si="1108"/>
        <v/>
      </c>
      <c r="BS144" s="498" t="str">
        <f t="shared" si="1024"/>
        <v/>
      </c>
      <c r="BT144" s="494" t="str">
        <f t="shared" si="1024"/>
        <v/>
      </c>
      <c r="BU144" s="495" t="str">
        <f t="shared" si="733"/>
        <v/>
      </c>
      <c r="BV144" s="496" t="str">
        <f t="shared" si="734"/>
        <v/>
      </c>
      <c r="BW144" s="494" t="str">
        <f t="shared" si="735"/>
        <v/>
      </c>
      <c r="BX144" s="499" t="str">
        <f t="shared" si="736"/>
        <v/>
      </c>
      <c r="BY144" s="502" t="str">
        <f t="shared" si="737"/>
        <v/>
      </c>
      <c r="BZ144" s="494" t="str">
        <f t="shared" si="738"/>
        <v/>
      </c>
      <c r="CA144" s="497" t="str">
        <f t="shared" si="739"/>
        <v/>
      </c>
      <c r="CB144" s="498" t="str">
        <f t="shared" si="1109"/>
        <v/>
      </c>
      <c r="CC144" s="494" t="str">
        <f t="shared" si="1110"/>
        <v/>
      </c>
      <c r="CD144" s="494" t="str">
        <f t="shared" si="1111"/>
        <v/>
      </c>
      <c r="CE144" s="497" t="str">
        <f t="shared" si="1112"/>
        <v/>
      </c>
      <c r="CF144" s="498" t="str">
        <f t="shared" si="1113"/>
        <v/>
      </c>
      <c r="CG144" s="494" t="str">
        <f t="shared" si="1114"/>
        <v/>
      </c>
      <c r="CH144" s="494" t="str">
        <f t="shared" si="1115"/>
        <v/>
      </c>
      <c r="CI144" s="498" t="str">
        <f t="shared" si="740"/>
        <v/>
      </c>
      <c r="CJ144" s="494" t="str">
        <f t="shared" si="1116"/>
        <v/>
      </c>
      <c r="CK144" s="499" t="str">
        <f t="shared" si="1117"/>
        <v/>
      </c>
      <c r="CL144" s="502" t="str">
        <f t="shared" si="1118"/>
        <v/>
      </c>
      <c r="CM144" s="494" t="str">
        <f t="shared" si="1119"/>
        <v/>
      </c>
      <c r="CN144" s="497" t="str">
        <f t="shared" si="1120"/>
        <v/>
      </c>
      <c r="CO144" s="507" t="str">
        <f t="shared" si="1256"/>
        <v/>
      </c>
      <c r="CP144" s="498" t="str">
        <f t="shared" si="1121"/>
        <v/>
      </c>
      <c r="CQ144" s="494" t="str">
        <f t="shared" si="1122"/>
        <v/>
      </c>
      <c r="CR144" s="494" t="str">
        <f t="shared" si="1123"/>
        <v/>
      </c>
      <c r="CS144" s="499" t="str">
        <f t="shared" si="1124"/>
        <v/>
      </c>
      <c r="CT144" s="496" t="str">
        <f t="shared" si="1125"/>
        <v/>
      </c>
      <c r="CU144" s="497" t="str">
        <f t="shared" si="1126"/>
        <v/>
      </c>
      <c r="CV144" s="498" t="str">
        <f t="shared" si="1127"/>
        <v/>
      </c>
      <c r="CW144" s="494" t="str">
        <f t="shared" si="1128"/>
        <v/>
      </c>
      <c r="CX144" s="499" t="str">
        <f t="shared" si="1129"/>
        <v/>
      </c>
      <c r="CY144" s="496" t="str">
        <f t="shared" si="1130"/>
        <v/>
      </c>
      <c r="CZ144" s="494" t="str">
        <f t="shared" si="1131"/>
        <v/>
      </c>
      <c r="DA144" s="497" t="str">
        <f t="shared" si="1132"/>
        <v/>
      </c>
      <c r="DB144" s="498" t="str">
        <f t="shared" si="1030"/>
        <v/>
      </c>
      <c r="DC144" s="494" t="str">
        <f t="shared" si="1030"/>
        <v/>
      </c>
      <c r="DD144" s="495" t="str">
        <f t="shared" si="782"/>
        <v/>
      </c>
      <c r="DE144" s="496" t="str">
        <f t="shared" si="1031"/>
        <v/>
      </c>
      <c r="DF144" s="494" t="str">
        <f t="shared" si="1031"/>
        <v/>
      </c>
      <c r="DG144" s="495" t="str">
        <f t="shared" si="784"/>
        <v/>
      </c>
      <c r="DH144" s="501" t="str">
        <f t="shared" si="1133"/>
        <v/>
      </c>
      <c r="DI144" s="498" t="str">
        <f t="shared" si="1134"/>
        <v/>
      </c>
      <c r="DJ144" s="494" t="str">
        <f t="shared" si="1135"/>
        <v/>
      </c>
      <c r="DK144" s="495" t="str">
        <f t="shared" si="1136"/>
        <v/>
      </c>
      <c r="DL144" s="496" t="str">
        <f t="shared" si="1137"/>
        <v/>
      </c>
      <c r="DM144" s="502" t="str">
        <f t="shared" si="1138"/>
        <v/>
      </c>
      <c r="DN144" s="508" t="str">
        <f t="shared" si="1139"/>
        <v/>
      </c>
      <c r="DO144" s="496" t="str">
        <f t="shared" si="1140"/>
        <v/>
      </c>
      <c r="DP144" s="502" t="str">
        <f t="shared" si="1141"/>
        <v/>
      </c>
      <c r="DQ144" s="503" t="str">
        <f t="shared" si="1142"/>
        <v/>
      </c>
      <c r="DR144" s="502" t="str">
        <f t="shared" si="1143"/>
        <v/>
      </c>
      <c r="DS144" s="494" t="str">
        <f t="shared" si="1144"/>
        <v/>
      </c>
      <c r="DT144" s="494" t="str">
        <f t="shared" si="1145"/>
        <v/>
      </c>
      <c r="DU144" s="494" t="str">
        <f t="shared" si="1146"/>
        <v/>
      </c>
      <c r="DV144" s="494" t="str">
        <f t="shared" si="1147"/>
        <v/>
      </c>
      <c r="DW144" s="494" t="str">
        <f t="shared" si="1148"/>
        <v/>
      </c>
      <c r="DX144" s="507" t="str">
        <f t="shared" si="1149"/>
        <v/>
      </c>
      <c r="DY144" s="496" t="str">
        <f t="shared" si="1150"/>
        <v/>
      </c>
      <c r="DZ144" s="494" t="str">
        <f t="shared" si="1151"/>
        <v/>
      </c>
      <c r="EA144" s="495" t="str">
        <f t="shared" si="1152"/>
        <v/>
      </c>
      <c r="EB144" s="497" t="str">
        <f t="shared" si="1153"/>
        <v/>
      </c>
      <c r="EC144" s="502" t="str">
        <f t="shared" si="1154"/>
        <v/>
      </c>
      <c r="ED144" s="494" t="str">
        <f t="shared" si="1155"/>
        <v/>
      </c>
      <c r="EE144" s="498" t="str">
        <f t="shared" si="1156"/>
        <v/>
      </c>
      <c r="EF144" s="494" t="str">
        <f t="shared" si="1157"/>
        <v/>
      </c>
      <c r="EG144" s="495" t="str">
        <f t="shared" si="1158"/>
        <v/>
      </c>
      <c r="EH144" s="496" t="str">
        <f t="shared" si="1159"/>
        <v/>
      </c>
      <c r="EI144" s="494" t="str">
        <f t="shared" si="1160"/>
        <v/>
      </c>
      <c r="EJ144" s="497" t="str">
        <f t="shared" si="1161"/>
        <v/>
      </c>
      <c r="EK144" s="509" t="str">
        <f t="shared" si="814"/>
        <v/>
      </c>
      <c r="EL144" s="510" t="str">
        <f t="shared" si="815"/>
        <v/>
      </c>
      <c r="EM144" s="498" t="str">
        <f t="shared" si="1162"/>
        <v/>
      </c>
      <c r="EN144" s="494" t="str">
        <f t="shared" si="1163"/>
        <v/>
      </c>
      <c r="EO144" s="495" t="str">
        <f t="shared" si="1164"/>
        <v/>
      </c>
      <c r="EP144" s="496" t="str">
        <f t="shared" si="1165"/>
        <v/>
      </c>
      <c r="EQ144" s="494" t="str">
        <f t="shared" si="1166"/>
        <v/>
      </c>
      <c r="ER144" s="500" t="str">
        <f t="shared" si="1167"/>
        <v/>
      </c>
      <c r="ES144" s="493" t="str">
        <f t="shared" si="1257"/>
        <v/>
      </c>
      <c r="ET144" s="494" t="str">
        <f t="shared" si="1258"/>
        <v/>
      </c>
      <c r="EU144" s="495" t="str">
        <f t="shared" si="1259"/>
        <v/>
      </c>
      <c r="EV144" s="174" t="str">
        <f t="shared" si="1168"/>
        <v/>
      </c>
      <c r="EW144" s="496" t="str">
        <f t="shared" si="1169"/>
        <v/>
      </c>
      <c r="EX144" s="494" t="str">
        <f t="shared" si="1170"/>
        <v/>
      </c>
      <c r="EY144" s="497" t="str">
        <f t="shared" si="1171"/>
        <v/>
      </c>
      <c r="EZ144" s="504" t="str">
        <f t="shared" si="823"/>
        <v/>
      </c>
      <c r="FA144" s="502" t="str">
        <f t="shared" si="947"/>
        <v/>
      </c>
      <c r="FB144" s="494" t="str">
        <f t="shared" si="948"/>
        <v/>
      </c>
      <c r="FC144" s="497" t="str">
        <f t="shared" si="949"/>
        <v/>
      </c>
      <c r="FD144" s="498" t="str">
        <f t="shared" si="1172"/>
        <v/>
      </c>
      <c r="FE144" s="494" t="str">
        <f t="shared" si="1173"/>
        <v/>
      </c>
      <c r="FF144" s="500" t="str">
        <f t="shared" si="1174"/>
        <v/>
      </c>
      <c r="FG144" s="173" t="str">
        <f t="shared" si="1175"/>
        <v/>
      </c>
      <c r="FH144" s="5" t="str">
        <f t="shared" si="1176"/>
        <v/>
      </c>
      <c r="FI144" s="10" t="str">
        <f t="shared" si="1177"/>
        <v/>
      </c>
      <c r="FJ144" s="279" t="str">
        <f t="shared" si="1178"/>
        <v/>
      </c>
      <c r="FK144" s="4" t="str">
        <f t="shared" si="1179"/>
        <v/>
      </c>
      <c r="FL144" s="5" t="str">
        <f t="shared" si="1180"/>
        <v/>
      </c>
      <c r="FM144" s="8" t="str">
        <f t="shared" si="1181"/>
        <v/>
      </c>
      <c r="FN144" s="9" t="str">
        <f t="shared" si="1182"/>
        <v/>
      </c>
      <c r="FO144" s="10" t="str">
        <f t="shared" si="1183"/>
        <v/>
      </c>
      <c r="FP144" s="277" t="str">
        <f t="shared" si="1184"/>
        <v/>
      </c>
      <c r="FQ144" s="173" t="str">
        <f t="shared" si="1185"/>
        <v/>
      </c>
      <c r="FR144" s="10" t="str">
        <f t="shared" si="1186"/>
        <v/>
      </c>
      <c r="FS144" s="9" t="str">
        <f t="shared" si="1187"/>
        <v/>
      </c>
      <c r="FT144" s="6" t="str">
        <f t="shared" si="1188"/>
        <v/>
      </c>
      <c r="FU144" s="4" t="str">
        <f t="shared" si="1189"/>
        <v/>
      </c>
      <c r="FV144" s="5" t="str">
        <f t="shared" si="1190"/>
        <v/>
      </c>
      <c r="FW144" s="8" t="str">
        <f t="shared" si="1191"/>
        <v/>
      </c>
      <c r="FX144" s="9" t="str">
        <f t="shared" si="1192"/>
        <v/>
      </c>
      <c r="FY144" s="10" t="str">
        <f t="shared" si="1193"/>
        <v/>
      </c>
      <c r="FZ144" s="277" t="str">
        <f t="shared" si="1194"/>
        <v/>
      </c>
      <c r="GA144" s="177" t="str">
        <f t="shared" si="1195"/>
        <v/>
      </c>
      <c r="GB144" s="4" t="str">
        <f t="shared" si="1196"/>
        <v/>
      </c>
      <c r="GC144" s="5" t="str">
        <f t="shared" si="1197"/>
        <v/>
      </c>
      <c r="GD144" s="10" t="str">
        <f t="shared" si="1198"/>
        <v/>
      </c>
      <c r="GE144" s="311" t="str">
        <f t="shared" si="1199"/>
        <v/>
      </c>
      <c r="GF144" s="341" t="str">
        <f t="shared" si="1200"/>
        <v/>
      </c>
      <c r="GG144" s="306" t="str">
        <f t="shared" si="1201"/>
        <v/>
      </c>
      <c r="GH144" s="307" t="str">
        <f t="shared" si="1202"/>
        <v/>
      </c>
      <c r="GI144" s="308" t="str">
        <f t="shared" si="1203"/>
        <v/>
      </c>
      <c r="GJ144" s="167" t="str">
        <f t="shared" si="1204"/>
        <v/>
      </c>
      <c r="GK144" s="174" t="str">
        <f t="shared" si="961"/>
        <v/>
      </c>
      <c r="GL144" s="174" t="str">
        <f t="shared" si="1205"/>
        <v/>
      </c>
      <c r="GM144" s="177" t="str">
        <f t="shared" si="1206"/>
        <v/>
      </c>
      <c r="GN144" s="280" t="str">
        <f t="shared" si="1207"/>
        <v/>
      </c>
      <c r="GO144" s="4" t="str">
        <f t="shared" si="1208"/>
        <v/>
      </c>
      <c r="GP144" s="8" t="str">
        <f t="shared" si="1209"/>
        <v/>
      </c>
      <c r="GQ144" s="177" t="str">
        <f t="shared" si="1210"/>
        <v/>
      </c>
      <c r="GR144" s="371" t="str">
        <f t="shared" si="1211"/>
        <v/>
      </c>
      <c r="GS144" s="342" t="str">
        <f t="shared" si="1212"/>
        <v/>
      </c>
      <c r="GT144" s="343" t="str">
        <f t="shared" si="1213"/>
        <v/>
      </c>
      <c r="GU144" s="344" t="str">
        <f t="shared" si="964"/>
        <v/>
      </c>
      <c r="GV144" s="343" t="str">
        <f t="shared" si="1214"/>
        <v/>
      </c>
      <c r="GW144" s="345" t="str">
        <f t="shared" si="965"/>
        <v/>
      </c>
      <c r="GX144" s="346" t="str">
        <f t="shared" si="966"/>
        <v/>
      </c>
      <c r="GY144" s="344" t="str">
        <f t="shared" si="1215"/>
        <v/>
      </c>
      <c r="GZ144" s="345" t="str">
        <f t="shared" si="1216"/>
        <v/>
      </c>
      <c r="HA144" s="342" t="str">
        <f t="shared" si="969"/>
        <v/>
      </c>
      <c r="HB144" s="5" t="str">
        <f t="shared" si="850"/>
        <v/>
      </c>
      <c r="HC144" s="343" t="str">
        <f t="shared" si="1217"/>
        <v/>
      </c>
      <c r="HD144" s="363" t="str">
        <f t="shared" si="1218"/>
        <v/>
      </c>
      <c r="HE144" s="344" t="str">
        <f t="shared" si="970"/>
        <v/>
      </c>
      <c r="HF144" s="5" t="str">
        <f t="shared" si="971"/>
        <v/>
      </c>
      <c r="HG144" s="343" t="str">
        <f t="shared" si="1219"/>
        <v/>
      </c>
      <c r="HH144" s="349" t="str">
        <f t="shared" si="1220"/>
        <v/>
      </c>
      <c r="HI144" s="317" t="str">
        <f t="shared" si="1260"/>
        <v/>
      </c>
      <c r="HK144" s="310" t="str">
        <f t="shared" si="1294"/>
        <v/>
      </c>
      <c r="HL144" s="348" t="str">
        <f t="shared" si="1261"/>
        <v/>
      </c>
      <c r="HM144" s="923" t="str">
        <f t="shared" si="1262"/>
        <v/>
      </c>
      <c r="HN144" s="924" t="str">
        <f t="shared" si="1263"/>
        <v/>
      </c>
      <c r="HO144" s="925"/>
      <c r="HP144" s="926"/>
      <c r="HQ144" s="924" t="str">
        <f t="shared" si="1264"/>
        <v/>
      </c>
      <c r="HR144" s="927" t="str">
        <f t="shared" si="1265"/>
        <v/>
      </c>
      <c r="HS144" s="879" t="str">
        <f t="shared" si="1221"/>
        <v/>
      </c>
      <c r="HT144" s="889" t="str">
        <f t="shared" si="1266"/>
        <v/>
      </c>
      <c r="HU144" s="890" t="str">
        <f t="shared" si="1267"/>
        <v/>
      </c>
      <c r="HV144" s="886" t="str">
        <f t="shared" si="1268"/>
        <v/>
      </c>
      <c r="HW144" s="880" t="str">
        <f t="shared" si="1269"/>
        <v/>
      </c>
      <c r="HX144" s="881" t="str">
        <f t="shared" si="1270"/>
        <v/>
      </c>
      <c r="HY144" s="880" t="str">
        <f t="shared" si="1271"/>
        <v/>
      </c>
      <c r="HZ144" s="882" t="str">
        <f t="shared" si="1272"/>
        <v/>
      </c>
      <c r="IA144" s="883" t="str">
        <f t="shared" si="1273"/>
        <v/>
      </c>
      <c r="IB144" s="884" t="str">
        <f t="shared" si="1274"/>
        <v/>
      </c>
      <c r="IC144" s="855" t="str">
        <f t="shared" si="1275"/>
        <v/>
      </c>
      <c r="ID144" s="351" t="str">
        <f t="shared" si="1276"/>
        <v/>
      </c>
      <c r="IE144" s="857" t="str">
        <f t="shared" si="1277"/>
        <v/>
      </c>
      <c r="IF144" s="858"/>
      <c r="IG144" s="790" t="str">
        <f>IFERROR(IF($IW144="","",IF($IW144&lt;(((Settings!$C$19/2)*-1)*$IG$8),"Taper","Nose")),"")</f>
        <v/>
      </c>
      <c r="IH144" s="482" t="str">
        <f>IFERROR(IF((((($IY144*COS(RADIANS(180-$JA144)))*COS(RADIANS($JA144)))-(($IZ144*SIN(RADIANS(180-$JA144)))*SIN(RADIANS($JA144))))+$IW144)&lt;(((Settings!$C$19+$IH$8)/2)*-1),"Gage",""),"")</f>
        <v/>
      </c>
      <c r="II144" s="788" t="str">
        <f t="shared" si="1298"/>
        <v/>
      </c>
      <c r="IJ144" s="674" t="str" cm="1">
        <f t="array" ref="IJ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K144" s="677" t="str" cm="1">
        <f t="array" ref="IK144">IFERROR(ROUND(VALUE(IF($IJ144&lt;1,$IJ144+LARGE((IF($M$9:$M$150="",0,$M$9:$M$150)-MOD(IF($M$9:$M$150="",0,$M$9:$M$150),1)),1),$IJ144)),4),"")</f>
        <v/>
      </c>
      <c r="IL144" s="482" t="str">
        <f t="shared" si="1278"/>
        <v/>
      </c>
      <c r="IM144" s="482" t="str">
        <f t="shared" si="1299"/>
        <v/>
      </c>
      <c r="IN144" s="670" t="str">
        <f t="shared" si="1279"/>
        <v/>
      </c>
      <c r="IO144" s="702"/>
      <c r="IP144" s="5" t="str">
        <f t="shared" si="1280"/>
        <v/>
      </c>
      <c r="IQ144" s="714"/>
      <c r="IR144" s="9" t="str">
        <f t="shared" si="1281"/>
        <v/>
      </c>
      <c r="IS144" s="5" t="str">
        <f t="shared" si="1282"/>
        <v/>
      </c>
      <c r="IT144" s="5" t="str">
        <f t="shared" si="1283"/>
        <v/>
      </c>
      <c r="IU144" s="5" t="str">
        <f t="shared" si="1284"/>
        <v/>
      </c>
      <c r="IV144" s="670" t="str">
        <f t="shared" si="1285"/>
        <v/>
      </c>
      <c r="IW144" s="9" t="str">
        <f t="shared" si="1286"/>
        <v/>
      </c>
      <c r="IX144" s="5" t="str">
        <f t="shared" si="1287"/>
        <v/>
      </c>
      <c r="IY144" s="5" t="str">
        <f t="shared" si="1288"/>
        <v/>
      </c>
      <c r="IZ144" s="5" t="str">
        <f t="shared" si="1289"/>
        <v/>
      </c>
      <c r="JA144" s="705" t="str">
        <f t="shared" si="1290"/>
        <v/>
      </c>
    </row>
    <row r="145" spans="1:261" ht="15" customHeight="1" x14ac:dyDescent="0.25">
      <c r="A145" s="75" t="str">
        <f t="shared" si="1234"/>
        <v/>
      </c>
      <c r="B145" s="585" t="str">
        <f t="shared" ref="B145:D145" si="1310">IFERROR(O300+($A145*-E145),"")</f>
        <v/>
      </c>
      <c r="C145" s="582" t="str">
        <f t="shared" si="1310"/>
        <v/>
      </c>
      <c r="D145" s="583" t="str">
        <f t="shared" si="1310"/>
        <v/>
      </c>
      <c r="E145" s="588" t="str">
        <f t="shared" ref="E145:K145" si="1311">R300</f>
        <v/>
      </c>
      <c r="F145" s="582" t="str">
        <f t="shared" si="1311"/>
        <v/>
      </c>
      <c r="G145" s="586" t="str">
        <f t="shared" si="1311"/>
        <v/>
      </c>
      <c r="H145" s="588" t="str">
        <f t="shared" si="1311"/>
        <v/>
      </c>
      <c r="I145" s="582" t="str">
        <f t="shared" si="1311"/>
        <v/>
      </c>
      <c r="J145" s="491" t="str">
        <f t="shared" si="1293"/>
        <v/>
      </c>
      <c r="K145" s="807" t="str">
        <f t="shared" si="1311"/>
        <v/>
      </c>
      <c r="L145" s="309"/>
      <c r="M145" s="492" t="str">
        <f t="shared" si="1237"/>
        <v/>
      </c>
      <c r="N145" s="581" t="str">
        <f t="shared" si="1238"/>
        <v/>
      </c>
      <c r="O145" s="582" t="str">
        <f t="shared" si="1239"/>
        <v/>
      </c>
      <c r="P145" s="583" t="str">
        <f t="shared" si="1240"/>
        <v/>
      </c>
      <c r="Q145" s="536" t="str">
        <f t="shared" si="1079"/>
        <v/>
      </c>
      <c r="R145" s="582" t="str">
        <f t="shared" si="1080"/>
        <v/>
      </c>
      <c r="S145" s="584" t="str">
        <f t="shared" si="1081"/>
        <v/>
      </c>
      <c r="T145" s="585" t="str">
        <f t="shared" si="1082"/>
        <v/>
      </c>
      <c r="U145" s="582" t="str">
        <f t="shared" si="1083"/>
        <v/>
      </c>
      <c r="V145" s="586" t="str">
        <f t="shared" si="1084"/>
        <v/>
      </c>
      <c r="W145" s="536" t="str">
        <f t="shared" si="1085"/>
        <v/>
      </c>
      <c r="X145" s="582" t="str">
        <f t="shared" si="1086"/>
        <v/>
      </c>
      <c r="Y145" s="587" t="str">
        <f t="shared" si="1087"/>
        <v/>
      </c>
      <c r="Z145" s="581" t="str">
        <f t="shared" si="1241"/>
        <v/>
      </c>
      <c r="AA145" s="582" t="str">
        <f t="shared" si="1242"/>
        <v/>
      </c>
      <c r="AB145" s="582" t="str">
        <f t="shared" si="1243"/>
        <v/>
      </c>
      <c r="AC145" s="586" t="str">
        <f t="shared" si="1088"/>
        <v/>
      </c>
      <c r="AD145" s="588" t="str">
        <f t="shared" si="1089"/>
        <v/>
      </c>
      <c r="AE145" s="582" t="str">
        <f t="shared" si="1090"/>
        <v/>
      </c>
      <c r="AF145" s="583" t="str">
        <f t="shared" si="1091"/>
        <v/>
      </c>
      <c r="AG145" s="547" t="str">
        <f t="shared" si="1092"/>
        <v/>
      </c>
      <c r="AH145" s="548" t="str">
        <f t="shared" si="1093"/>
        <v/>
      </c>
      <c r="AI145" s="536" t="str">
        <f t="shared" si="1094"/>
        <v/>
      </c>
      <c r="AJ145" s="537" t="str">
        <f t="shared" si="1095"/>
        <v/>
      </c>
      <c r="AK145" s="585" t="str">
        <f t="shared" si="1096"/>
        <v/>
      </c>
      <c r="AL145" s="582" t="str">
        <f t="shared" si="1097"/>
        <v/>
      </c>
      <c r="AM145" s="584" t="str">
        <f t="shared" si="1098"/>
        <v/>
      </c>
      <c r="AN145" s="534" t="str">
        <f t="shared" si="1099"/>
        <v/>
      </c>
      <c r="AO145" s="535" t="str">
        <f t="shared" si="1058"/>
        <v/>
      </c>
      <c r="AP145" s="536" t="str">
        <f t="shared" si="1100"/>
        <v/>
      </c>
      <c r="AQ145" s="537" t="str">
        <f t="shared" si="1244"/>
        <v/>
      </c>
      <c r="AS145" s="955" t="str">
        <f t="shared" si="1297"/>
        <v/>
      </c>
      <c r="AT145" s="951" t="str">
        <f t="shared" si="1245"/>
        <v/>
      </c>
      <c r="AU145" s="418"/>
      <c r="AV145" s="164" t="str">
        <f t="shared" si="1246"/>
        <v/>
      </c>
      <c r="AW145" s="832" t="str">
        <f>IFERROR(INDEX(MassProp!C$9:C$150,MATCH($M145,MassProp!$B$9:$B$150,0)),"")</f>
        <v/>
      </c>
      <c r="AX145" s="833" t="str">
        <f>IFERROR(INDEX(MassProp!D$9:D$150,MATCH($M145,MassProp!$B$9:$B$150,0)),"")</f>
        <v/>
      </c>
      <c r="AY145" s="834" t="str">
        <f>IFERROR(INDEX(MassProp!E$9:E$150,MATCH($M145,MassProp!$B$9:$B$150,0)),"")</f>
        <v/>
      </c>
      <c r="AZ145" s="297" t="str">
        <f t="shared" si="1101"/>
        <v/>
      </c>
      <c r="BA145" s="505" t="str">
        <f t="shared" si="1102"/>
        <v/>
      </c>
      <c r="BB145" s="506" t="str">
        <f t="shared" si="730"/>
        <v/>
      </c>
      <c r="BC145" s="496"/>
      <c r="BD145" s="494" t="str">
        <f t="shared" si="1103"/>
        <v/>
      </c>
      <c r="BE145" s="497" t="str">
        <f t="shared" si="1247"/>
        <v/>
      </c>
      <c r="BF145" s="498" t="str">
        <f t="shared" si="1248"/>
        <v/>
      </c>
      <c r="BG145" s="494" t="str">
        <f t="shared" si="1249"/>
        <v/>
      </c>
      <c r="BH145" s="495" t="str">
        <f t="shared" si="1250"/>
        <v/>
      </c>
      <c r="BI145" s="496" t="str">
        <f t="shared" si="1104"/>
        <v/>
      </c>
      <c r="BJ145" s="494" t="str">
        <f t="shared" si="1251"/>
        <v/>
      </c>
      <c r="BK145" s="499" t="str">
        <f t="shared" si="1252"/>
        <v/>
      </c>
      <c r="BL145" s="502" t="str">
        <f t="shared" si="1253"/>
        <v/>
      </c>
      <c r="BM145" s="494" t="str">
        <f t="shared" si="1254"/>
        <v/>
      </c>
      <c r="BN145" s="497" t="str">
        <f t="shared" si="1255"/>
        <v/>
      </c>
      <c r="BO145" s="498" t="str">
        <f t="shared" si="1105"/>
        <v/>
      </c>
      <c r="BP145" s="494" t="str">
        <f t="shared" si="1106"/>
        <v/>
      </c>
      <c r="BQ145" s="494" t="str">
        <f t="shared" si="1107"/>
        <v/>
      </c>
      <c r="BR145" s="497" t="str">
        <f t="shared" si="1108"/>
        <v/>
      </c>
      <c r="BS145" s="498" t="str">
        <f t="shared" si="1024"/>
        <v/>
      </c>
      <c r="BT145" s="494" t="str">
        <f t="shared" si="1024"/>
        <v/>
      </c>
      <c r="BU145" s="495" t="str">
        <f t="shared" si="733"/>
        <v/>
      </c>
      <c r="BV145" s="496" t="str">
        <f t="shared" si="734"/>
        <v/>
      </c>
      <c r="BW145" s="494" t="str">
        <f t="shared" si="735"/>
        <v/>
      </c>
      <c r="BX145" s="499" t="str">
        <f t="shared" si="736"/>
        <v/>
      </c>
      <c r="BY145" s="502" t="str">
        <f t="shared" si="737"/>
        <v/>
      </c>
      <c r="BZ145" s="494" t="str">
        <f t="shared" si="738"/>
        <v/>
      </c>
      <c r="CA145" s="497" t="str">
        <f t="shared" si="739"/>
        <v/>
      </c>
      <c r="CB145" s="498" t="str">
        <f t="shared" si="1109"/>
        <v/>
      </c>
      <c r="CC145" s="494" t="str">
        <f t="shared" si="1110"/>
        <v/>
      </c>
      <c r="CD145" s="494" t="str">
        <f t="shared" si="1111"/>
        <v/>
      </c>
      <c r="CE145" s="497" t="str">
        <f t="shared" si="1112"/>
        <v/>
      </c>
      <c r="CF145" s="498" t="str">
        <f t="shared" si="1113"/>
        <v/>
      </c>
      <c r="CG145" s="494" t="str">
        <f t="shared" si="1114"/>
        <v/>
      </c>
      <c r="CH145" s="494" t="str">
        <f t="shared" si="1115"/>
        <v/>
      </c>
      <c r="CI145" s="498" t="str">
        <f t="shared" si="740"/>
        <v/>
      </c>
      <c r="CJ145" s="494" t="str">
        <f t="shared" si="1116"/>
        <v/>
      </c>
      <c r="CK145" s="499" t="str">
        <f t="shared" si="1117"/>
        <v/>
      </c>
      <c r="CL145" s="502" t="str">
        <f t="shared" si="1118"/>
        <v/>
      </c>
      <c r="CM145" s="494" t="str">
        <f t="shared" si="1119"/>
        <v/>
      </c>
      <c r="CN145" s="497" t="str">
        <f t="shared" si="1120"/>
        <v/>
      </c>
      <c r="CO145" s="507" t="str">
        <f t="shared" si="1256"/>
        <v/>
      </c>
      <c r="CP145" s="498" t="str">
        <f t="shared" si="1121"/>
        <v/>
      </c>
      <c r="CQ145" s="494" t="str">
        <f t="shared" si="1122"/>
        <v/>
      </c>
      <c r="CR145" s="494" t="str">
        <f t="shared" si="1123"/>
        <v/>
      </c>
      <c r="CS145" s="499" t="str">
        <f t="shared" si="1124"/>
        <v/>
      </c>
      <c r="CT145" s="496" t="str">
        <f t="shared" si="1125"/>
        <v/>
      </c>
      <c r="CU145" s="497" t="str">
        <f t="shared" si="1126"/>
        <v/>
      </c>
      <c r="CV145" s="498" t="str">
        <f t="shared" si="1127"/>
        <v/>
      </c>
      <c r="CW145" s="494" t="str">
        <f t="shared" si="1128"/>
        <v/>
      </c>
      <c r="CX145" s="499" t="str">
        <f t="shared" si="1129"/>
        <v/>
      </c>
      <c r="CY145" s="496" t="str">
        <f t="shared" si="1130"/>
        <v/>
      </c>
      <c r="CZ145" s="494" t="str">
        <f t="shared" si="1131"/>
        <v/>
      </c>
      <c r="DA145" s="497" t="str">
        <f t="shared" si="1132"/>
        <v/>
      </c>
      <c r="DB145" s="498" t="str">
        <f t="shared" si="1030"/>
        <v/>
      </c>
      <c r="DC145" s="494" t="str">
        <f t="shared" si="1030"/>
        <v/>
      </c>
      <c r="DD145" s="495" t="str">
        <f t="shared" si="782"/>
        <v/>
      </c>
      <c r="DE145" s="496" t="str">
        <f t="shared" si="1031"/>
        <v/>
      </c>
      <c r="DF145" s="494" t="str">
        <f t="shared" si="1031"/>
        <v/>
      </c>
      <c r="DG145" s="495" t="str">
        <f t="shared" si="784"/>
        <v/>
      </c>
      <c r="DH145" s="501" t="str">
        <f t="shared" si="1133"/>
        <v/>
      </c>
      <c r="DI145" s="498" t="str">
        <f t="shared" si="1134"/>
        <v/>
      </c>
      <c r="DJ145" s="494" t="str">
        <f t="shared" si="1135"/>
        <v/>
      </c>
      <c r="DK145" s="495" t="str">
        <f t="shared" si="1136"/>
        <v/>
      </c>
      <c r="DL145" s="496" t="str">
        <f t="shared" si="1137"/>
        <v/>
      </c>
      <c r="DM145" s="502" t="str">
        <f t="shared" si="1138"/>
        <v/>
      </c>
      <c r="DN145" s="508" t="str">
        <f t="shared" si="1139"/>
        <v/>
      </c>
      <c r="DO145" s="496" t="str">
        <f t="shared" si="1140"/>
        <v/>
      </c>
      <c r="DP145" s="502" t="str">
        <f t="shared" si="1141"/>
        <v/>
      </c>
      <c r="DQ145" s="503" t="str">
        <f t="shared" si="1142"/>
        <v/>
      </c>
      <c r="DR145" s="502" t="str">
        <f t="shared" si="1143"/>
        <v/>
      </c>
      <c r="DS145" s="494" t="str">
        <f t="shared" si="1144"/>
        <v/>
      </c>
      <c r="DT145" s="494" t="str">
        <f t="shared" si="1145"/>
        <v/>
      </c>
      <c r="DU145" s="494" t="str">
        <f t="shared" si="1146"/>
        <v/>
      </c>
      <c r="DV145" s="494" t="str">
        <f t="shared" si="1147"/>
        <v/>
      </c>
      <c r="DW145" s="494" t="str">
        <f t="shared" si="1148"/>
        <v/>
      </c>
      <c r="DX145" s="507" t="str">
        <f t="shared" si="1149"/>
        <v/>
      </c>
      <c r="DY145" s="496" t="str">
        <f t="shared" si="1150"/>
        <v/>
      </c>
      <c r="DZ145" s="494" t="str">
        <f t="shared" si="1151"/>
        <v/>
      </c>
      <c r="EA145" s="495" t="str">
        <f t="shared" si="1152"/>
        <v/>
      </c>
      <c r="EB145" s="497" t="str">
        <f t="shared" si="1153"/>
        <v/>
      </c>
      <c r="EC145" s="502" t="str">
        <f t="shared" si="1154"/>
        <v/>
      </c>
      <c r="ED145" s="494" t="str">
        <f t="shared" si="1155"/>
        <v/>
      </c>
      <c r="EE145" s="498" t="str">
        <f t="shared" si="1156"/>
        <v/>
      </c>
      <c r="EF145" s="494" t="str">
        <f t="shared" si="1157"/>
        <v/>
      </c>
      <c r="EG145" s="495" t="str">
        <f t="shared" si="1158"/>
        <v/>
      </c>
      <c r="EH145" s="496" t="str">
        <f t="shared" si="1159"/>
        <v/>
      </c>
      <c r="EI145" s="494" t="str">
        <f t="shared" si="1160"/>
        <v/>
      </c>
      <c r="EJ145" s="497" t="str">
        <f t="shared" si="1161"/>
        <v/>
      </c>
      <c r="EK145" s="509" t="str">
        <f t="shared" si="814"/>
        <v/>
      </c>
      <c r="EL145" s="510" t="str">
        <f t="shared" si="815"/>
        <v/>
      </c>
      <c r="EM145" s="498" t="str">
        <f t="shared" si="1162"/>
        <v/>
      </c>
      <c r="EN145" s="494" t="str">
        <f t="shared" si="1163"/>
        <v/>
      </c>
      <c r="EO145" s="495" t="str">
        <f t="shared" si="1164"/>
        <v/>
      </c>
      <c r="EP145" s="496" t="str">
        <f t="shared" si="1165"/>
        <v/>
      </c>
      <c r="EQ145" s="494" t="str">
        <f t="shared" si="1166"/>
        <v/>
      </c>
      <c r="ER145" s="500" t="str">
        <f t="shared" si="1167"/>
        <v/>
      </c>
      <c r="ES145" s="493" t="str">
        <f t="shared" si="1257"/>
        <v/>
      </c>
      <c r="ET145" s="494" t="str">
        <f t="shared" si="1258"/>
        <v/>
      </c>
      <c r="EU145" s="495" t="str">
        <f t="shared" si="1259"/>
        <v/>
      </c>
      <c r="EV145" s="174" t="str">
        <f t="shared" si="1168"/>
        <v/>
      </c>
      <c r="EW145" s="496" t="str">
        <f t="shared" si="1169"/>
        <v/>
      </c>
      <c r="EX145" s="494" t="str">
        <f t="shared" si="1170"/>
        <v/>
      </c>
      <c r="EY145" s="497" t="str">
        <f t="shared" si="1171"/>
        <v/>
      </c>
      <c r="EZ145" s="504" t="str">
        <f t="shared" si="823"/>
        <v/>
      </c>
      <c r="FA145" s="502" t="str">
        <f t="shared" si="947"/>
        <v/>
      </c>
      <c r="FB145" s="494" t="str">
        <f t="shared" si="948"/>
        <v/>
      </c>
      <c r="FC145" s="497" t="str">
        <f t="shared" si="949"/>
        <v/>
      </c>
      <c r="FD145" s="498" t="str">
        <f t="shared" si="1172"/>
        <v/>
      </c>
      <c r="FE145" s="494" t="str">
        <f t="shared" si="1173"/>
        <v/>
      </c>
      <c r="FF145" s="500" t="str">
        <f t="shared" si="1174"/>
        <v/>
      </c>
      <c r="FG145" s="173" t="str">
        <f t="shared" si="1175"/>
        <v/>
      </c>
      <c r="FH145" s="5" t="str">
        <f t="shared" si="1176"/>
        <v/>
      </c>
      <c r="FI145" s="10" t="str">
        <f t="shared" si="1177"/>
        <v/>
      </c>
      <c r="FJ145" s="279" t="str">
        <f t="shared" si="1178"/>
        <v/>
      </c>
      <c r="FK145" s="4" t="str">
        <f t="shared" si="1179"/>
        <v/>
      </c>
      <c r="FL145" s="5" t="str">
        <f t="shared" si="1180"/>
        <v/>
      </c>
      <c r="FM145" s="8" t="str">
        <f t="shared" si="1181"/>
        <v/>
      </c>
      <c r="FN145" s="9" t="str">
        <f t="shared" si="1182"/>
        <v/>
      </c>
      <c r="FO145" s="10" t="str">
        <f t="shared" si="1183"/>
        <v/>
      </c>
      <c r="FP145" s="277" t="str">
        <f t="shared" si="1184"/>
        <v/>
      </c>
      <c r="FQ145" s="173" t="str">
        <f t="shared" si="1185"/>
        <v/>
      </c>
      <c r="FR145" s="10" t="str">
        <f t="shared" si="1186"/>
        <v/>
      </c>
      <c r="FS145" s="9" t="str">
        <f t="shared" si="1187"/>
        <v/>
      </c>
      <c r="FT145" s="6" t="str">
        <f t="shared" si="1188"/>
        <v/>
      </c>
      <c r="FU145" s="4" t="str">
        <f t="shared" si="1189"/>
        <v/>
      </c>
      <c r="FV145" s="5" t="str">
        <f t="shared" si="1190"/>
        <v/>
      </c>
      <c r="FW145" s="8" t="str">
        <f t="shared" si="1191"/>
        <v/>
      </c>
      <c r="FX145" s="9" t="str">
        <f t="shared" si="1192"/>
        <v/>
      </c>
      <c r="FY145" s="10" t="str">
        <f t="shared" si="1193"/>
        <v/>
      </c>
      <c r="FZ145" s="277" t="str">
        <f t="shared" si="1194"/>
        <v/>
      </c>
      <c r="GA145" s="177" t="str">
        <f t="shared" si="1195"/>
        <v/>
      </c>
      <c r="GB145" s="4" t="str">
        <f t="shared" si="1196"/>
        <v/>
      </c>
      <c r="GC145" s="5" t="str">
        <f t="shared" si="1197"/>
        <v/>
      </c>
      <c r="GD145" s="10" t="str">
        <f t="shared" si="1198"/>
        <v/>
      </c>
      <c r="GE145" s="311" t="str">
        <f t="shared" si="1199"/>
        <v/>
      </c>
      <c r="GF145" s="341" t="str">
        <f t="shared" si="1200"/>
        <v/>
      </c>
      <c r="GG145" s="306" t="str">
        <f t="shared" si="1201"/>
        <v/>
      </c>
      <c r="GH145" s="307" t="str">
        <f t="shared" si="1202"/>
        <v/>
      </c>
      <c r="GI145" s="308" t="str">
        <f t="shared" si="1203"/>
        <v/>
      </c>
      <c r="GJ145" s="167" t="str">
        <f t="shared" si="1204"/>
        <v/>
      </c>
      <c r="GK145" s="174" t="str">
        <f t="shared" si="961"/>
        <v/>
      </c>
      <c r="GL145" s="174" t="str">
        <f t="shared" si="1205"/>
        <v/>
      </c>
      <c r="GM145" s="177" t="str">
        <f t="shared" si="1206"/>
        <v/>
      </c>
      <c r="GN145" s="280" t="str">
        <f t="shared" si="1207"/>
        <v/>
      </c>
      <c r="GO145" s="4" t="str">
        <f t="shared" si="1208"/>
        <v/>
      </c>
      <c r="GP145" s="8" t="str">
        <f t="shared" si="1209"/>
        <v/>
      </c>
      <c r="GQ145" s="177" t="str">
        <f t="shared" si="1210"/>
        <v/>
      </c>
      <c r="GR145" s="371" t="str">
        <f t="shared" si="1211"/>
        <v/>
      </c>
      <c r="GS145" s="342" t="str">
        <f t="shared" si="1212"/>
        <v/>
      </c>
      <c r="GT145" s="343" t="str">
        <f t="shared" si="1213"/>
        <v/>
      </c>
      <c r="GU145" s="344" t="str">
        <f t="shared" si="964"/>
        <v/>
      </c>
      <c r="GV145" s="343" t="str">
        <f t="shared" si="1214"/>
        <v/>
      </c>
      <c r="GW145" s="345" t="str">
        <f t="shared" si="965"/>
        <v/>
      </c>
      <c r="GX145" s="346" t="str">
        <f t="shared" si="966"/>
        <v/>
      </c>
      <c r="GY145" s="344" t="str">
        <f t="shared" si="1215"/>
        <v/>
      </c>
      <c r="GZ145" s="345" t="str">
        <f t="shared" si="1216"/>
        <v/>
      </c>
      <c r="HA145" s="342" t="str">
        <f t="shared" si="969"/>
        <v/>
      </c>
      <c r="HB145" s="5" t="str">
        <f t="shared" si="850"/>
        <v/>
      </c>
      <c r="HC145" s="343" t="str">
        <f t="shared" si="1217"/>
        <v/>
      </c>
      <c r="HD145" s="363" t="str">
        <f t="shared" si="1218"/>
        <v/>
      </c>
      <c r="HE145" s="344" t="str">
        <f t="shared" si="970"/>
        <v/>
      </c>
      <c r="HF145" s="5" t="str">
        <f t="shared" si="971"/>
        <v/>
      </c>
      <c r="HG145" s="343" t="str">
        <f t="shared" si="1219"/>
        <v/>
      </c>
      <c r="HH145" s="349" t="str">
        <f t="shared" si="1220"/>
        <v/>
      </c>
      <c r="HI145" s="317" t="str">
        <f t="shared" si="1260"/>
        <v/>
      </c>
      <c r="HK145" s="310" t="str">
        <f t="shared" si="1294"/>
        <v/>
      </c>
      <c r="HL145" s="348" t="str">
        <f t="shared" si="1261"/>
        <v/>
      </c>
      <c r="HM145" s="923" t="str">
        <f t="shared" si="1262"/>
        <v/>
      </c>
      <c r="HN145" s="924" t="str">
        <f t="shared" si="1263"/>
        <v/>
      </c>
      <c r="HO145" s="925"/>
      <c r="HP145" s="926"/>
      <c r="HQ145" s="924" t="str">
        <f t="shared" si="1264"/>
        <v/>
      </c>
      <c r="HR145" s="927" t="str">
        <f t="shared" si="1265"/>
        <v/>
      </c>
      <c r="HS145" s="879" t="str">
        <f t="shared" si="1221"/>
        <v/>
      </c>
      <c r="HT145" s="889" t="str">
        <f t="shared" si="1266"/>
        <v/>
      </c>
      <c r="HU145" s="890" t="str">
        <f t="shared" si="1267"/>
        <v/>
      </c>
      <c r="HV145" s="886" t="str">
        <f t="shared" si="1268"/>
        <v/>
      </c>
      <c r="HW145" s="880" t="str">
        <f t="shared" si="1269"/>
        <v/>
      </c>
      <c r="HX145" s="881" t="str">
        <f t="shared" si="1270"/>
        <v/>
      </c>
      <c r="HY145" s="880" t="str">
        <f t="shared" si="1271"/>
        <v/>
      </c>
      <c r="HZ145" s="882" t="str">
        <f t="shared" si="1272"/>
        <v/>
      </c>
      <c r="IA145" s="883" t="str">
        <f t="shared" si="1273"/>
        <v/>
      </c>
      <c r="IB145" s="884" t="str">
        <f t="shared" si="1274"/>
        <v/>
      </c>
      <c r="IC145" s="855" t="str">
        <f t="shared" si="1275"/>
        <v/>
      </c>
      <c r="ID145" s="351" t="str">
        <f t="shared" si="1276"/>
        <v/>
      </c>
      <c r="IE145" s="857" t="str">
        <f t="shared" si="1277"/>
        <v/>
      </c>
      <c r="IF145" s="858"/>
      <c r="IG145" s="790" t="str">
        <f>IFERROR(IF($IW145="","",IF($IW145&lt;(((Settings!$C$19/2)*-1)*$IG$8),"Taper","Nose")),"")</f>
        <v/>
      </c>
      <c r="IH145" s="482" t="str">
        <f>IFERROR(IF((((($IY145*COS(RADIANS(180-$JA145)))*COS(RADIANS($JA145)))-(($IZ145*SIN(RADIANS(180-$JA145)))*SIN(RADIANS($JA145))))+$IW145)&lt;(((Settings!$C$19+$IH$8)/2)*-1),"Gage",""),"")</f>
        <v/>
      </c>
      <c r="II145" s="788" t="str">
        <f t="shared" si="1298"/>
        <v/>
      </c>
      <c r="IJ145" s="674" t="str" cm="1">
        <f t="array" ref="IJ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K145" s="677" t="str" cm="1">
        <f t="array" ref="IK145">IFERROR(ROUND(VALUE(IF($IJ145&lt;1,$IJ145+LARGE((IF($M$9:$M$150="",0,$M$9:$M$150)-MOD(IF($M$9:$M$150="",0,$M$9:$M$150),1)),1),$IJ145)),4),"")</f>
        <v/>
      </c>
      <c r="IL145" s="482" t="str">
        <f t="shared" si="1278"/>
        <v/>
      </c>
      <c r="IM145" s="482" t="str">
        <f t="shared" si="1299"/>
        <v/>
      </c>
      <c r="IN145" s="670" t="str">
        <f t="shared" si="1279"/>
        <v/>
      </c>
      <c r="IO145" s="702"/>
      <c r="IP145" s="5" t="str">
        <f t="shared" si="1280"/>
        <v/>
      </c>
      <c r="IQ145" s="714"/>
      <c r="IR145" s="9" t="str">
        <f t="shared" si="1281"/>
        <v/>
      </c>
      <c r="IS145" s="5" t="str">
        <f t="shared" si="1282"/>
        <v/>
      </c>
      <c r="IT145" s="5" t="str">
        <f t="shared" si="1283"/>
        <v/>
      </c>
      <c r="IU145" s="5" t="str">
        <f t="shared" si="1284"/>
        <v/>
      </c>
      <c r="IV145" s="670" t="str">
        <f t="shared" si="1285"/>
        <v/>
      </c>
      <c r="IW145" s="9" t="str">
        <f t="shared" si="1286"/>
        <v/>
      </c>
      <c r="IX145" s="5" t="str">
        <f t="shared" si="1287"/>
        <v/>
      </c>
      <c r="IY145" s="5" t="str">
        <f t="shared" si="1288"/>
        <v/>
      </c>
      <c r="IZ145" s="5" t="str">
        <f t="shared" si="1289"/>
        <v/>
      </c>
      <c r="JA145" s="705" t="str">
        <f t="shared" si="1290"/>
        <v/>
      </c>
    </row>
    <row r="146" spans="1:261" ht="15" customHeight="1" x14ac:dyDescent="0.25">
      <c r="A146" s="75" t="str">
        <f t="shared" si="1234"/>
        <v/>
      </c>
      <c r="B146" s="585" t="str">
        <f t="shared" ref="B146:D146" si="1312">IFERROR(O301+($A146*-E146),"")</f>
        <v/>
      </c>
      <c r="C146" s="582" t="str">
        <f t="shared" si="1312"/>
        <v/>
      </c>
      <c r="D146" s="583" t="str">
        <f t="shared" si="1312"/>
        <v/>
      </c>
      <c r="E146" s="588" t="str">
        <f t="shared" ref="E146:K146" si="1313">R301</f>
        <v/>
      </c>
      <c r="F146" s="582" t="str">
        <f t="shared" si="1313"/>
        <v/>
      </c>
      <c r="G146" s="586" t="str">
        <f t="shared" si="1313"/>
        <v/>
      </c>
      <c r="H146" s="588" t="str">
        <f t="shared" si="1313"/>
        <v/>
      </c>
      <c r="I146" s="582" t="str">
        <f t="shared" si="1313"/>
        <v/>
      </c>
      <c r="J146" s="491" t="str">
        <f t="shared" si="1293"/>
        <v/>
      </c>
      <c r="K146" s="807" t="str">
        <f t="shared" si="1313"/>
        <v/>
      </c>
      <c r="L146" s="309"/>
      <c r="M146" s="492" t="str">
        <f t="shared" si="1237"/>
        <v/>
      </c>
      <c r="N146" s="581" t="str">
        <f t="shared" si="1238"/>
        <v/>
      </c>
      <c r="O146" s="582" t="str">
        <f t="shared" si="1239"/>
        <v/>
      </c>
      <c r="P146" s="583" t="str">
        <f t="shared" si="1240"/>
        <v/>
      </c>
      <c r="Q146" s="536" t="str">
        <f t="shared" si="1079"/>
        <v/>
      </c>
      <c r="R146" s="582" t="str">
        <f t="shared" si="1080"/>
        <v/>
      </c>
      <c r="S146" s="584" t="str">
        <f t="shared" si="1081"/>
        <v/>
      </c>
      <c r="T146" s="585" t="str">
        <f t="shared" si="1082"/>
        <v/>
      </c>
      <c r="U146" s="582" t="str">
        <f t="shared" si="1083"/>
        <v/>
      </c>
      <c r="V146" s="586" t="str">
        <f t="shared" si="1084"/>
        <v/>
      </c>
      <c r="W146" s="536" t="str">
        <f t="shared" si="1085"/>
        <v/>
      </c>
      <c r="X146" s="582" t="str">
        <f t="shared" si="1086"/>
        <v/>
      </c>
      <c r="Y146" s="587" t="str">
        <f t="shared" si="1087"/>
        <v/>
      </c>
      <c r="Z146" s="581" t="str">
        <f t="shared" si="1241"/>
        <v/>
      </c>
      <c r="AA146" s="582" t="str">
        <f t="shared" si="1242"/>
        <v/>
      </c>
      <c r="AB146" s="582" t="str">
        <f t="shared" si="1243"/>
        <v/>
      </c>
      <c r="AC146" s="586" t="str">
        <f t="shared" si="1088"/>
        <v/>
      </c>
      <c r="AD146" s="588" t="str">
        <f t="shared" si="1089"/>
        <v/>
      </c>
      <c r="AE146" s="582" t="str">
        <f t="shared" si="1090"/>
        <v/>
      </c>
      <c r="AF146" s="583" t="str">
        <f t="shared" si="1091"/>
        <v/>
      </c>
      <c r="AG146" s="547" t="str">
        <f t="shared" si="1092"/>
        <v/>
      </c>
      <c r="AH146" s="548" t="str">
        <f t="shared" si="1093"/>
        <v/>
      </c>
      <c r="AI146" s="536" t="str">
        <f t="shared" si="1094"/>
        <v/>
      </c>
      <c r="AJ146" s="537" t="str">
        <f t="shared" si="1095"/>
        <v/>
      </c>
      <c r="AK146" s="585" t="str">
        <f t="shared" si="1096"/>
        <v/>
      </c>
      <c r="AL146" s="582" t="str">
        <f t="shared" si="1097"/>
        <v/>
      </c>
      <c r="AM146" s="584" t="str">
        <f t="shared" si="1098"/>
        <v/>
      </c>
      <c r="AN146" s="534" t="str">
        <f t="shared" si="1099"/>
        <v/>
      </c>
      <c r="AO146" s="535" t="str">
        <f t="shared" si="1058"/>
        <v/>
      </c>
      <c r="AP146" s="536" t="str">
        <f t="shared" si="1100"/>
        <v/>
      </c>
      <c r="AQ146" s="537" t="str">
        <f t="shared" si="1244"/>
        <v/>
      </c>
      <c r="AS146" s="955" t="str">
        <f t="shared" si="1297"/>
        <v/>
      </c>
      <c r="AT146" s="951" t="str">
        <f t="shared" si="1245"/>
        <v/>
      </c>
      <c r="AU146" s="418"/>
      <c r="AV146" s="164" t="str">
        <f t="shared" si="1246"/>
        <v/>
      </c>
      <c r="AW146" s="832" t="str">
        <f>IFERROR(INDEX(MassProp!C$9:C$150,MATCH($M146,MassProp!$B$9:$B$150,0)),"")</f>
        <v/>
      </c>
      <c r="AX146" s="833" t="str">
        <f>IFERROR(INDEX(MassProp!D$9:D$150,MATCH($M146,MassProp!$B$9:$B$150,0)),"")</f>
        <v/>
      </c>
      <c r="AY146" s="834" t="str">
        <f>IFERROR(INDEX(MassProp!E$9:E$150,MATCH($M146,MassProp!$B$9:$B$150,0)),"")</f>
        <v/>
      </c>
      <c r="AZ146" s="297" t="str">
        <f t="shared" si="1101"/>
        <v/>
      </c>
      <c r="BA146" s="505" t="str">
        <f t="shared" si="1102"/>
        <v/>
      </c>
      <c r="BB146" s="506" t="str">
        <f t="shared" si="730"/>
        <v/>
      </c>
      <c r="BC146" s="496"/>
      <c r="BD146" s="494" t="str">
        <f t="shared" si="1103"/>
        <v/>
      </c>
      <c r="BE146" s="497" t="str">
        <f t="shared" si="1247"/>
        <v/>
      </c>
      <c r="BF146" s="498" t="str">
        <f t="shared" si="1248"/>
        <v/>
      </c>
      <c r="BG146" s="494" t="str">
        <f t="shared" si="1249"/>
        <v/>
      </c>
      <c r="BH146" s="495" t="str">
        <f t="shared" si="1250"/>
        <v/>
      </c>
      <c r="BI146" s="496" t="str">
        <f t="shared" si="1104"/>
        <v/>
      </c>
      <c r="BJ146" s="494" t="str">
        <f t="shared" si="1251"/>
        <v/>
      </c>
      <c r="BK146" s="499" t="str">
        <f t="shared" si="1252"/>
        <v/>
      </c>
      <c r="BL146" s="502" t="str">
        <f t="shared" si="1253"/>
        <v/>
      </c>
      <c r="BM146" s="494" t="str">
        <f t="shared" si="1254"/>
        <v/>
      </c>
      <c r="BN146" s="497" t="str">
        <f t="shared" si="1255"/>
        <v/>
      </c>
      <c r="BO146" s="498" t="str">
        <f t="shared" si="1105"/>
        <v/>
      </c>
      <c r="BP146" s="494" t="str">
        <f t="shared" si="1106"/>
        <v/>
      </c>
      <c r="BQ146" s="494" t="str">
        <f t="shared" si="1107"/>
        <v/>
      </c>
      <c r="BR146" s="497" t="str">
        <f t="shared" si="1108"/>
        <v/>
      </c>
      <c r="BS146" s="498" t="str">
        <f t="shared" si="1024"/>
        <v/>
      </c>
      <c r="BT146" s="494" t="str">
        <f t="shared" si="1024"/>
        <v/>
      </c>
      <c r="BU146" s="495" t="str">
        <f t="shared" si="733"/>
        <v/>
      </c>
      <c r="BV146" s="496" t="str">
        <f t="shared" si="734"/>
        <v/>
      </c>
      <c r="BW146" s="494" t="str">
        <f t="shared" si="735"/>
        <v/>
      </c>
      <c r="BX146" s="499" t="str">
        <f t="shared" si="736"/>
        <v/>
      </c>
      <c r="BY146" s="502" t="str">
        <f t="shared" si="737"/>
        <v/>
      </c>
      <c r="BZ146" s="494" t="str">
        <f t="shared" si="738"/>
        <v/>
      </c>
      <c r="CA146" s="497" t="str">
        <f t="shared" si="739"/>
        <v/>
      </c>
      <c r="CB146" s="498" t="str">
        <f t="shared" si="1109"/>
        <v/>
      </c>
      <c r="CC146" s="494" t="str">
        <f t="shared" si="1110"/>
        <v/>
      </c>
      <c r="CD146" s="494" t="str">
        <f t="shared" si="1111"/>
        <v/>
      </c>
      <c r="CE146" s="497" t="str">
        <f t="shared" si="1112"/>
        <v/>
      </c>
      <c r="CF146" s="498" t="str">
        <f t="shared" si="1113"/>
        <v/>
      </c>
      <c r="CG146" s="494" t="str">
        <f t="shared" si="1114"/>
        <v/>
      </c>
      <c r="CH146" s="494" t="str">
        <f t="shared" si="1115"/>
        <v/>
      </c>
      <c r="CI146" s="498" t="str">
        <f t="shared" si="740"/>
        <v/>
      </c>
      <c r="CJ146" s="494" t="str">
        <f t="shared" si="1116"/>
        <v/>
      </c>
      <c r="CK146" s="499" t="str">
        <f t="shared" si="1117"/>
        <v/>
      </c>
      <c r="CL146" s="502" t="str">
        <f t="shared" si="1118"/>
        <v/>
      </c>
      <c r="CM146" s="494" t="str">
        <f t="shared" si="1119"/>
        <v/>
      </c>
      <c r="CN146" s="497" t="str">
        <f t="shared" si="1120"/>
        <v/>
      </c>
      <c r="CO146" s="507" t="str">
        <f t="shared" si="1256"/>
        <v/>
      </c>
      <c r="CP146" s="498" t="str">
        <f t="shared" si="1121"/>
        <v/>
      </c>
      <c r="CQ146" s="494" t="str">
        <f t="shared" si="1122"/>
        <v/>
      </c>
      <c r="CR146" s="494" t="str">
        <f t="shared" si="1123"/>
        <v/>
      </c>
      <c r="CS146" s="499" t="str">
        <f t="shared" si="1124"/>
        <v/>
      </c>
      <c r="CT146" s="496" t="str">
        <f t="shared" si="1125"/>
        <v/>
      </c>
      <c r="CU146" s="497" t="str">
        <f t="shared" si="1126"/>
        <v/>
      </c>
      <c r="CV146" s="498" t="str">
        <f t="shared" si="1127"/>
        <v/>
      </c>
      <c r="CW146" s="494" t="str">
        <f t="shared" si="1128"/>
        <v/>
      </c>
      <c r="CX146" s="499" t="str">
        <f t="shared" si="1129"/>
        <v/>
      </c>
      <c r="CY146" s="496" t="str">
        <f t="shared" si="1130"/>
        <v/>
      </c>
      <c r="CZ146" s="494" t="str">
        <f t="shared" si="1131"/>
        <v/>
      </c>
      <c r="DA146" s="497" t="str">
        <f t="shared" si="1132"/>
        <v/>
      </c>
      <c r="DB146" s="498" t="str">
        <f t="shared" si="1030"/>
        <v/>
      </c>
      <c r="DC146" s="494" t="str">
        <f t="shared" si="1030"/>
        <v/>
      </c>
      <c r="DD146" s="495" t="str">
        <f t="shared" si="782"/>
        <v/>
      </c>
      <c r="DE146" s="496" t="str">
        <f t="shared" si="1031"/>
        <v/>
      </c>
      <c r="DF146" s="494" t="str">
        <f t="shared" si="1031"/>
        <v/>
      </c>
      <c r="DG146" s="495" t="str">
        <f t="shared" si="784"/>
        <v/>
      </c>
      <c r="DH146" s="501" t="str">
        <f t="shared" si="1133"/>
        <v/>
      </c>
      <c r="DI146" s="498" t="str">
        <f t="shared" si="1134"/>
        <v/>
      </c>
      <c r="DJ146" s="494" t="str">
        <f t="shared" si="1135"/>
        <v/>
      </c>
      <c r="DK146" s="495" t="str">
        <f t="shared" si="1136"/>
        <v/>
      </c>
      <c r="DL146" s="496" t="str">
        <f t="shared" si="1137"/>
        <v/>
      </c>
      <c r="DM146" s="502" t="str">
        <f t="shared" si="1138"/>
        <v/>
      </c>
      <c r="DN146" s="508" t="str">
        <f t="shared" si="1139"/>
        <v/>
      </c>
      <c r="DO146" s="496" t="str">
        <f t="shared" si="1140"/>
        <v/>
      </c>
      <c r="DP146" s="502" t="str">
        <f t="shared" si="1141"/>
        <v/>
      </c>
      <c r="DQ146" s="503" t="str">
        <f t="shared" si="1142"/>
        <v/>
      </c>
      <c r="DR146" s="502" t="str">
        <f t="shared" si="1143"/>
        <v/>
      </c>
      <c r="DS146" s="494" t="str">
        <f t="shared" si="1144"/>
        <v/>
      </c>
      <c r="DT146" s="494" t="str">
        <f t="shared" si="1145"/>
        <v/>
      </c>
      <c r="DU146" s="494" t="str">
        <f t="shared" si="1146"/>
        <v/>
      </c>
      <c r="DV146" s="494" t="str">
        <f t="shared" si="1147"/>
        <v/>
      </c>
      <c r="DW146" s="494" t="str">
        <f t="shared" si="1148"/>
        <v/>
      </c>
      <c r="DX146" s="507" t="str">
        <f t="shared" si="1149"/>
        <v/>
      </c>
      <c r="DY146" s="496" t="str">
        <f t="shared" si="1150"/>
        <v/>
      </c>
      <c r="DZ146" s="494" t="str">
        <f t="shared" si="1151"/>
        <v/>
      </c>
      <c r="EA146" s="495" t="str">
        <f t="shared" si="1152"/>
        <v/>
      </c>
      <c r="EB146" s="497" t="str">
        <f t="shared" si="1153"/>
        <v/>
      </c>
      <c r="EC146" s="502" t="str">
        <f t="shared" si="1154"/>
        <v/>
      </c>
      <c r="ED146" s="494" t="str">
        <f t="shared" si="1155"/>
        <v/>
      </c>
      <c r="EE146" s="498" t="str">
        <f t="shared" si="1156"/>
        <v/>
      </c>
      <c r="EF146" s="494" t="str">
        <f t="shared" si="1157"/>
        <v/>
      </c>
      <c r="EG146" s="495" t="str">
        <f t="shared" si="1158"/>
        <v/>
      </c>
      <c r="EH146" s="496" t="str">
        <f t="shared" si="1159"/>
        <v/>
      </c>
      <c r="EI146" s="494" t="str">
        <f t="shared" si="1160"/>
        <v/>
      </c>
      <c r="EJ146" s="497" t="str">
        <f t="shared" si="1161"/>
        <v/>
      </c>
      <c r="EK146" s="509" t="str">
        <f t="shared" si="814"/>
        <v/>
      </c>
      <c r="EL146" s="510" t="str">
        <f t="shared" si="815"/>
        <v/>
      </c>
      <c r="EM146" s="498" t="str">
        <f t="shared" si="1162"/>
        <v/>
      </c>
      <c r="EN146" s="494" t="str">
        <f t="shared" si="1163"/>
        <v/>
      </c>
      <c r="EO146" s="495" t="str">
        <f t="shared" si="1164"/>
        <v/>
      </c>
      <c r="EP146" s="496" t="str">
        <f t="shared" si="1165"/>
        <v/>
      </c>
      <c r="EQ146" s="494" t="str">
        <f t="shared" si="1166"/>
        <v/>
      </c>
      <c r="ER146" s="500" t="str">
        <f t="shared" si="1167"/>
        <v/>
      </c>
      <c r="ES146" s="493" t="str">
        <f t="shared" si="1257"/>
        <v/>
      </c>
      <c r="ET146" s="494" t="str">
        <f t="shared" si="1258"/>
        <v/>
      </c>
      <c r="EU146" s="495" t="str">
        <f t="shared" si="1259"/>
        <v/>
      </c>
      <c r="EV146" s="174" t="str">
        <f t="shared" si="1168"/>
        <v/>
      </c>
      <c r="EW146" s="496" t="str">
        <f t="shared" si="1169"/>
        <v/>
      </c>
      <c r="EX146" s="494" t="str">
        <f t="shared" si="1170"/>
        <v/>
      </c>
      <c r="EY146" s="497" t="str">
        <f t="shared" si="1171"/>
        <v/>
      </c>
      <c r="EZ146" s="504" t="str">
        <f t="shared" si="823"/>
        <v/>
      </c>
      <c r="FA146" s="502" t="str">
        <f t="shared" si="947"/>
        <v/>
      </c>
      <c r="FB146" s="494" t="str">
        <f t="shared" si="948"/>
        <v/>
      </c>
      <c r="FC146" s="497" t="str">
        <f t="shared" si="949"/>
        <v/>
      </c>
      <c r="FD146" s="498" t="str">
        <f t="shared" si="1172"/>
        <v/>
      </c>
      <c r="FE146" s="494" t="str">
        <f t="shared" si="1173"/>
        <v/>
      </c>
      <c r="FF146" s="500" t="str">
        <f t="shared" si="1174"/>
        <v/>
      </c>
      <c r="FG146" s="173" t="str">
        <f t="shared" si="1175"/>
        <v/>
      </c>
      <c r="FH146" s="5" t="str">
        <f t="shared" si="1176"/>
        <v/>
      </c>
      <c r="FI146" s="10" t="str">
        <f t="shared" si="1177"/>
        <v/>
      </c>
      <c r="FJ146" s="279" t="str">
        <f t="shared" si="1178"/>
        <v/>
      </c>
      <c r="FK146" s="4" t="str">
        <f t="shared" si="1179"/>
        <v/>
      </c>
      <c r="FL146" s="5" t="str">
        <f t="shared" si="1180"/>
        <v/>
      </c>
      <c r="FM146" s="8" t="str">
        <f t="shared" si="1181"/>
        <v/>
      </c>
      <c r="FN146" s="9" t="str">
        <f t="shared" si="1182"/>
        <v/>
      </c>
      <c r="FO146" s="10" t="str">
        <f t="shared" si="1183"/>
        <v/>
      </c>
      <c r="FP146" s="277" t="str">
        <f t="shared" si="1184"/>
        <v/>
      </c>
      <c r="FQ146" s="173" t="str">
        <f t="shared" si="1185"/>
        <v/>
      </c>
      <c r="FR146" s="10" t="str">
        <f t="shared" si="1186"/>
        <v/>
      </c>
      <c r="FS146" s="9" t="str">
        <f t="shared" si="1187"/>
        <v/>
      </c>
      <c r="FT146" s="6" t="str">
        <f t="shared" si="1188"/>
        <v/>
      </c>
      <c r="FU146" s="4" t="str">
        <f t="shared" si="1189"/>
        <v/>
      </c>
      <c r="FV146" s="5" t="str">
        <f t="shared" si="1190"/>
        <v/>
      </c>
      <c r="FW146" s="8" t="str">
        <f t="shared" si="1191"/>
        <v/>
      </c>
      <c r="FX146" s="9" t="str">
        <f t="shared" si="1192"/>
        <v/>
      </c>
      <c r="FY146" s="10" t="str">
        <f t="shared" si="1193"/>
        <v/>
      </c>
      <c r="FZ146" s="277" t="str">
        <f t="shared" si="1194"/>
        <v/>
      </c>
      <c r="GA146" s="177" t="str">
        <f t="shared" si="1195"/>
        <v/>
      </c>
      <c r="GB146" s="4" t="str">
        <f t="shared" si="1196"/>
        <v/>
      </c>
      <c r="GC146" s="5" t="str">
        <f t="shared" si="1197"/>
        <v/>
      </c>
      <c r="GD146" s="10" t="str">
        <f t="shared" si="1198"/>
        <v/>
      </c>
      <c r="GE146" s="311" t="str">
        <f t="shared" si="1199"/>
        <v/>
      </c>
      <c r="GF146" s="341" t="str">
        <f t="shared" si="1200"/>
        <v/>
      </c>
      <c r="GG146" s="306" t="str">
        <f t="shared" si="1201"/>
        <v/>
      </c>
      <c r="GH146" s="307" t="str">
        <f t="shared" si="1202"/>
        <v/>
      </c>
      <c r="GI146" s="308" t="str">
        <f t="shared" si="1203"/>
        <v/>
      </c>
      <c r="GJ146" s="167" t="str">
        <f t="shared" si="1204"/>
        <v/>
      </c>
      <c r="GK146" s="174" t="str">
        <f t="shared" si="961"/>
        <v/>
      </c>
      <c r="GL146" s="174" t="str">
        <f t="shared" si="1205"/>
        <v/>
      </c>
      <c r="GM146" s="177" t="str">
        <f t="shared" si="1206"/>
        <v/>
      </c>
      <c r="GN146" s="280" t="str">
        <f t="shared" si="1207"/>
        <v/>
      </c>
      <c r="GO146" s="4" t="str">
        <f t="shared" si="1208"/>
        <v/>
      </c>
      <c r="GP146" s="8" t="str">
        <f t="shared" si="1209"/>
        <v/>
      </c>
      <c r="GQ146" s="177" t="str">
        <f t="shared" si="1210"/>
        <v/>
      </c>
      <c r="GR146" s="371" t="str">
        <f t="shared" si="1211"/>
        <v/>
      </c>
      <c r="GS146" s="342" t="str">
        <f t="shared" si="1212"/>
        <v/>
      </c>
      <c r="GT146" s="343" t="str">
        <f t="shared" si="1213"/>
        <v/>
      </c>
      <c r="GU146" s="344" t="str">
        <f t="shared" si="964"/>
        <v/>
      </c>
      <c r="GV146" s="343" t="str">
        <f t="shared" si="1214"/>
        <v/>
      </c>
      <c r="GW146" s="345" t="str">
        <f t="shared" si="965"/>
        <v/>
      </c>
      <c r="GX146" s="346" t="str">
        <f t="shared" si="966"/>
        <v/>
      </c>
      <c r="GY146" s="344" t="str">
        <f t="shared" si="1215"/>
        <v/>
      </c>
      <c r="GZ146" s="345" t="str">
        <f t="shared" si="1216"/>
        <v/>
      </c>
      <c r="HA146" s="342" t="str">
        <f t="shared" si="969"/>
        <v/>
      </c>
      <c r="HB146" s="5" t="str">
        <f t="shared" si="850"/>
        <v/>
      </c>
      <c r="HC146" s="343" t="str">
        <f t="shared" si="1217"/>
        <v/>
      </c>
      <c r="HD146" s="363" t="str">
        <f t="shared" si="1218"/>
        <v/>
      </c>
      <c r="HE146" s="344" t="str">
        <f t="shared" si="970"/>
        <v/>
      </c>
      <c r="HF146" s="5" t="str">
        <f t="shared" si="971"/>
        <v/>
      </c>
      <c r="HG146" s="343" t="str">
        <f t="shared" si="1219"/>
        <v/>
      </c>
      <c r="HH146" s="349" t="str">
        <f t="shared" si="1220"/>
        <v/>
      </c>
      <c r="HI146" s="317" t="str">
        <f t="shared" si="1260"/>
        <v/>
      </c>
      <c r="HK146" s="310" t="str">
        <f t="shared" si="1294"/>
        <v/>
      </c>
      <c r="HL146" s="348" t="str">
        <f t="shared" si="1261"/>
        <v/>
      </c>
      <c r="HM146" s="923" t="str">
        <f t="shared" si="1262"/>
        <v/>
      </c>
      <c r="HN146" s="924" t="str">
        <f t="shared" si="1263"/>
        <v/>
      </c>
      <c r="HO146" s="925"/>
      <c r="HP146" s="926"/>
      <c r="HQ146" s="924" t="str">
        <f t="shared" si="1264"/>
        <v/>
      </c>
      <c r="HR146" s="927" t="str">
        <f t="shared" si="1265"/>
        <v/>
      </c>
      <c r="HS146" s="879" t="str">
        <f t="shared" si="1221"/>
        <v/>
      </c>
      <c r="HT146" s="889" t="str">
        <f t="shared" si="1266"/>
        <v/>
      </c>
      <c r="HU146" s="890" t="str">
        <f t="shared" si="1267"/>
        <v/>
      </c>
      <c r="HV146" s="886" t="str">
        <f t="shared" si="1268"/>
        <v/>
      </c>
      <c r="HW146" s="880" t="str">
        <f t="shared" si="1269"/>
        <v/>
      </c>
      <c r="HX146" s="881" t="str">
        <f t="shared" si="1270"/>
        <v/>
      </c>
      <c r="HY146" s="880" t="str">
        <f t="shared" si="1271"/>
        <v/>
      </c>
      <c r="HZ146" s="882" t="str">
        <f t="shared" si="1272"/>
        <v/>
      </c>
      <c r="IA146" s="883" t="str">
        <f t="shared" si="1273"/>
        <v/>
      </c>
      <c r="IB146" s="884" t="str">
        <f t="shared" si="1274"/>
        <v/>
      </c>
      <c r="IC146" s="855" t="str">
        <f t="shared" si="1275"/>
        <v/>
      </c>
      <c r="ID146" s="351" t="str">
        <f t="shared" si="1276"/>
        <v/>
      </c>
      <c r="IE146" s="857" t="str">
        <f t="shared" si="1277"/>
        <v/>
      </c>
      <c r="IF146" s="858"/>
      <c r="IG146" s="790" t="str">
        <f>IFERROR(IF($IW146="","",IF($IW146&lt;(((Settings!$C$19/2)*-1)*$IG$8),"Taper","Nose")),"")</f>
        <v/>
      </c>
      <c r="IH146" s="482" t="str">
        <f>IFERROR(IF((((($IY146*COS(RADIANS(180-$JA146)))*COS(RADIANS($JA146)))-(($IZ146*SIN(RADIANS(180-$JA146)))*SIN(RADIANS($JA146))))+$IW146)&lt;(((Settings!$C$19+$IH$8)/2)*-1),"Gage",""),"")</f>
        <v/>
      </c>
      <c r="II146" s="788" t="str">
        <f t="shared" si="1298"/>
        <v/>
      </c>
      <c r="IJ146" s="674" t="str" cm="1">
        <f t="array" ref="IJ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K146" s="677" t="str" cm="1">
        <f t="array" ref="IK146">IFERROR(ROUND(VALUE(IF($IJ146&lt;1,$IJ146+LARGE((IF($M$9:$M$150="",0,$M$9:$M$150)-MOD(IF($M$9:$M$150="",0,$M$9:$M$150),1)),1),$IJ146)),4),"")</f>
        <v/>
      </c>
      <c r="IL146" s="482" t="str">
        <f t="shared" si="1278"/>
        <v/>
      </c>
      <c r="IM146" s="482" t="str">
        <f t="shared" si="1299"/>
        <v/>
      </c>
      <c r="IN146" s="670" t="str">
        <f t="shared" si="1279"/>
        <v/>
      </c>
      <c r="IO146" s="702"/>
      <c r="IP146" s="5" t="str">
        <f t="shared" si="1280"/>
        <v/>
      </c>
      <c r="IQ146" s="714"/>
      <c r="IR146" s="9" t="str">
        <f t="shared" si="1281"/>
        <v/>
      </c>
      <c r="IS146" s="5" t="str">
        <f t="shared" si="1282"/>
        <v/>
      </c>
      <c r="IT146" s="5" t="str">
        <f t="shared" si="1283"/>
        <v/>
      </c>
      <c r="IU146" s="5" t="str">
        <f t="shared" si="1284"/>
        <v/>
      </c>
      <c r="IV146" s="670" t="str">
        <f t="shared" si="1285"/>
        <v/>
      </c>
      <c r="IW146" s="9" t="str">
        <f t="shared" si="1286"/>
        <v/>
      </c>
      <c r="IX146" s="5" t="str">
        <f t="shared" si="1287"/>
        <v/>
      </c>
      <c r="IY146" s="5" t="str">
        <f t="shared" si="1288"/>
        <v/>
      </c>
      <c r="IZ146" s="5" t="str">
        <f t="shared" si="1289"/>
        <v/>
      </c>
      <c r="JA146" s="705" t="str">
        <f t="shared" si="1290"/>
        <v/>
      </c>
    </row>
    <row r="147" spans="1:261" ht="15" customHeight="1" x14ac:dyDescent="0.25">
      <c r="A147" s="75" t="str">
        <f t="shared" si="1234"/>
        <v/>
      </c>
      <c r="B147" s="585" t="str">
        <f t="shared" ref="B147:D147" si="1314">IFERROR(O302+($A147*-E147),"")</f>
        <v/>
      </c>
      <c r="C147" s="582" t="str">
        <f t="shared" si="1314"/>
        <v/>
      </c>
      <c r="D147" s="583" t="str">
        <f t="shared" si="1314"/>
        <v/>
      </c>
      <c r="E147" s="588" t="str">
        <f t="shared" ref="E147:K147" si="1315">R302</f>
        <v/>
      </c>
      <c r="F147" s="582" t="str">
        <f t="shared" si="1315"/>
        <v/>
      </c>
      <c r="G147" s="586" t="str">
        <f t="shared" si="1315"/>
        <v/>
      </c>
      <c r="H147" s="588" t="str">
        <f t="shared" si="1315"/>
        <v/>
      </c>
      <c r="I147" s="582" t="str">
        <f t="shared" si="1315"/>
        <v/>
      </c>
      <c r="J147" s="491" t="str">
        <f t="shared" si="1293"/>
        <v/>
      </c>
      <c r="K147" s="807" t="str">
        <f t="shared" si="1315"/>
        <v/>
      </c>
      <c r="L147" s="309"/>
      <c r="M147" s="492" t="str">
        <f t="shared" si="1237"/>
        <v/>
      </c>
      <c r="N147" s="581" t="str">
        <f t="shared" si="1238"/>
        <v/>
      </c>
      <c r="O147" s="582" t="str">
        <f t="shared" si="1239"/>
        <v/>
      </c>
      <c r="P147" s="583" t="str">
        <f t="shared" si="1240"/>
        <v/>
      </c>
      <c r="Q147" s="536" t="str">
        <f t="shared" si="1079"/>
        <v/>
      </c>
      <c r="R147" s="582" t="str">
        <f t="shared" si="1080"/>
        <v/>
      </c>
      <c r="S147" s="584" t="str">
        <f t="shared" si="1081"/>
        <v/>
      </c>
      <c r="T147" s="585" t="str">
        <f t="shared" si="1082"/>
        <v/>
      </c>
      <c r="U147" s="582" t="str">
        <f t="shared" si="1083"/>
        <v/>
      </c>
      <c r="V147" s="586" t="str">
        <f t="shared" si="1084"/>
        <v/>
      </c>
      <c r="W147" s="536" t="str">
        <f t="shared" si="1085"/>
        <v/>
      </c>
      <c r="X147" s="582" t="str">
        <f t="shared" si="1086"/>
        <v/>
      </c>
      <c r="Y147" s="587" t="str">
        <f t="shared" si="1087"/>
        <v/>
      </c>
      <c r="Z147" s="581" t="str">
        <f t="shared" si="1241"/>
        <v/>
      </c>
      <c r="AA147" s="582" t="str">
        <f t="shared" si="1242"/>
        <v/>
      </c>
      <c r="AB147" s="582" t="str">
        <f t="shared" si="1243"/>
        <v/>
      </c>
      <c r="AC147" s="586" t="str">
        <f t="shared" si="1088"/>
        <v/>
      </c>
      <c r="AD147" s="588" t="str">
        <f t="shared" si="1089"/>
        <v/>
      </c>
      <c r="AE147" s="582" t="str">
        <f t="shared" si="1090"/>
        <v/>
      </c>
      <c r="AF147" s="583" t="str">
        <f t="shared" si="1091"/>
        <v/>
      </c>
      <c r="AG147" s="547" t="str">
        <f t="shared" si="1092"/>
        <v/>
      </c>
      <c r="AH147" s="548" t="str">
        <f t="shared" si="1093"/>
        <v/>
      </c>
      <c r="AI147" s="536" t="str">
        <f t="shared" si="1094"/>
        <v/>
      </c>
      <c r="AJ147" s="537" t="str">
        <f t="shared" si="1095"/>
        <v/>
      </c>
      <c r="AK147" s="585" t="str">
        <f t="shared" si="1096"/>
        <v/>
      </c>
      <c r="AL147" s="582" t="str">
        <f t="shared" si="1097"/>
        <v/>
      </c>
      <c r="AM147" s="584" t="str">
        <f t="shared" si="1098"/>
        <v/>
      </c>
      <c r="AN147" s="534" t="str">
        <f t="shared" si="1099"/>
        <v/>
      </c>
      <c r="AO147" s="535" t="str">
        <f t="shared" si="1058"/>
        <v/>
      </c>
      <c r="AP147" s="536" t="str">
        <f t="shared" si="1100"/>
        <v/>
      </c>
      <c r="AQ147" s="537" t="str">
        <f t="shared" si="1244"/>
        <v/>
      </c>
      <c r="AS147" s="955" t="str">
        <f t="shared" si="1297"/>
        <v/>
      </c>
      <c r="AT147" s="951" t="str">
        <f t="shared" si="1245"/>
        <v/>
      </c>
      <c r="AU147" s="418"/>
      <c r="AV147" s="164" t="str">
        <f t="shared" si="1246"/>
        <v/>
      </c>
      <c r="AW147" s="832" t="str">
        <f>IFERROR(INDEX(MassProp!C$9:C$150,MATCH($M147,MassProp!$B$9:$B$150,0)),"")</f>
        <v/>
      </c>
      <c r="AX147" s="833" t="str">
        <f>IFERROR(INDEX(MassProp!D$9:D$150,MATCH($M147,MassProp!$B$9:$B$150,0)),"")</f>
        <v/>
      </c>
      <c r="AY147" s="834" t="str">
        <f>IFERROR(INDEX(MassProp!E$9:E$150,MATCH($M147,MassProp!$B$9:$B$150,0)),"")</f>
        <v/>
      </c>
      <c r="AZ147" s="297" t="str">
        <f t="shared" si="1101"/>
        <v/>
      </c>
      <c r="BA147" s="505" t="str">
        <f t="shared" si="1102"/>
        <v/>
      </c>
      <c r="BB147" s="506" t="str">
        <f t="shared" si="730"/>
        <v/>
      </c>
      <c r="BC147" s="496"/>
      <c r="BD147" s="494" t="str">
        <f t="shared" si="1103"/>
        <v/>
      </c>
      <c r="BE147" s="497" t="str">
        <f t="shared" si="1247"/>
        <v/>
      </c>
      <c r="BF147" s="498" t="str">
        <f t="shared" si="1248"/>
        <v/>
      </c>
      <c r="BG147" s="494" t="str">
        <f t="shared" si="1249"/>
        <v/>
      </c>
      <c r="BH147" s="495" t="str">
        <f t="shared" si="1250"/>
        <v/>
      </c>
      <c r="BI147" s="496" t="str">
        <f t="shared" si="1104"/>
        <v/>
      </c>
      <c r="BJ147" s="494" t="str">
        <f t="shared" si="1251"/>
        <v/>
      </c>
      <c r="BK147" s="499" t="str">
        <f t="shared" si="1252"/>
        <v/>
      </c>
      <c r="BL147" s="502" t="str">
        <f t="shared" si="1253"/>
        <v/>
      </c>
      <c r="BM147" s="494" t="str">
        <f t="shared" si="1254"/>
        <v/>
      </c>
      <c r="BN147" s="497" t="str">
        <f t="shared" si="1255"/>
        <v/>
      </c>
      <c r="BO147" s="498" t="str">
        <f t="shared" si="1105"/>
        <v/>
      </c>
      <c r="BP147" s="494" t="str">
        <f t="shared" si="1106"/>
        <v/>
      </c>
      <c r="BQ147" s="494" t="str">
        <f t="shared" si="1107"/>
        <v/>
      </c>
      <c r="BR147" s="497" t="str">
        <f t="shared" si="1108"/>
        <v/>
      </c>
      <c r="BS147" s="498" t="str">
        <f t="shared" si="1024"/>
        <v/>
      </c>
      <c r="BT147" s="494" t="str">
        <f t="shared" si="1024"/>
        <v/>
      </c>
      <c r="BU147" s="495" t="str">
        <f t="shared" si="733"/>
        <v/>
      </c>
      <c r="BV147" s="496" t="str">
        <f t="shared" si="734"/>
        <v/>
      </c>
      <c r="BW147" s="494" t="str">
        <f t="shared" si="735"/>
        <v/>
      </c>
      <c r="BX147" s="499" t="str">
        <f t="shared" si="736"/>
        <v/>
      </c>
      <c r="BY147" s="502" t="str">
        <f t="shared" si="737"/>
        <v/>
      </c>
      <c r="BZ147" s="494" t="str">
        <f t="shared" si="738"/>
        <v/>
      </c>
      <c r="CA147" s="497" t="str">
        <f t="shared" si="739"/>
        <v/>
      </c>
      <c r="CB147" s="498" t="str">
        <f t="shared" si="1109"/>
        <v/>
      </c>
      <c r="CC147" s="494" t="str">
        <f t="shared" si="1110"/>
        <v/>
      </c>
      <c r="CD147" s="494" t="str">
        <f t="shared" si="1111"/>
        <v/>
      </c>
      <c r="CE147" s="497" t="str">
        <f t="shared" si="1112"/>
        <v/>
      </c>
      <c r="CF147" s="498" t="str">
        <f t="shared" si="1113"/>
        <v/>
      </c>
      <c r="CG147" s="494" t="str">
        <f t="shared" si="1114"/>
        <v/>
      </c>
      <c r="CH147" s="494" t="str">
        <f t="shared" si="1115"/>
        <v/>
      </c>
      <c r="CI147" s="498" t="str">
        <f t="shared" si="740"/>
        <v/>
      </c>
      <c r="CJ147" s="494" t="str">
        <f t="shared" si="1116"/>
        <v/>
      </c>
      <c r="CK147" s="499" t="str">
        <f t="shared" si="1117"/>
        <v/>
      </c>
      <c r="CL147" s="502" t="str">
        <f t="shared" si="1118"/>
        <v/>
      </c>
      <c r="CM147" s="494" t="str">
        <f t="shared" si="1119"/>
        <v/>
      </c>
      <c r="CN147" s="497" t="str">
        <f t="shared" si="1120"/>
        <v/>
      </c>
      <c r="CO147" s="507" t="str">
        <f t="shared" si="1256"/>
        <v/>
      </c>
      <c r="CP147" s="498" t="str">
        <f t="shared" si="1121"/>
        <v/>
      </c>
      <c r="CQ147" s="494" t="str">
        <f t="shared" si="1122"/>
        <v/>
      </c>
      <c r="CR147" s="494" t="str">
        <f t="shared" si="1123"/>
        <v/>
      </c>
      <c r="CS147" s="499" t="str">
        <f t="shared" si="1124"/>
        <v/>
      </c>
      <c r="CT147" s="496" t="str">
        <f t="shared" si="1125"/>
        <v/>
      </c>
      <c r="CU147" s="497" t="str">
        <f t="shared" si="1126"/>
        <v/>
      </c>
      <c r="CV147" s="498" t="str">
        <f t="shared" si="1127"/>
        <v/>
      </c>
      <c r="CW147" s="494" t="str">
        <f t="shared" si="1128"/>
        <v/>
      </c>
      <c r="CX147" s="499" t="str">
        <f t="shared" si="1129"/>
        <v/>
      </c>
      <c r="CY147" s="496" t="str">
        <f t="shared" si="1130"/>
        <v/>
      </c>
      <c r="CZ147" s="494" t="str">
        <f t="shared" si="1131"/>
        <v/>
      </c>
      <c r="DA147" s="497" t="str">
        <f t="shared" si="1132"/>
        <v/>
      </c>
      <c r="DB147" s="498" t="str">
        <f t="shared" si="1030"/>
        <v/>
      </c>
      <c r="DC147" s="494" t="str">
        <f t="shared" si="1030"/>
        <v/>
      </c>
      <c r="DD147" s="495" t="str">
        <f t="shared" si="782"/>
        <v/>
      </c>
      <c r="DE147" s="496" t="str">
        <f t="shared" si="1031"/>
        <v/>
      </c>
      <c r="DF147" s="494" t="str">
        <f t="shared" si="1031"/>
        <v/>
      </c>
      <c r="DG147" s="495" t="str">
        <f t="shared" si="784"/>
        <v/>
      </c>
      <c r="DH147" s="501" t="str">
        <f t="shared" si="1133"/>
        <v/>
      </c>
      <c r="DI147" s="498" t="str">
        <f t="shared" si="1134"/>
        <v/>
      </c>
      <c r="DJ147" s="494" t="str">
        <f t="shared" si="1135"/>
        <v/>
      </c>
      <c r="DK147" s="495" t="str">
        <f t="shared" si="1136"/>
        <v/>
      </c>
      <c r="DL147" s="496" t="str">
        <f t="shared" si="1137"/>
        <v/>
      </c>
      <c r="DM147" s="502" t="str">
        <f t="shared" si="1138"/>
        <v/>
      </c>
      <c r="DN147" s="508" t="str">
        <f t="shared" si="1139"/>
        <v/>
      </c>
      <c r="DO147" s="496" t="str">
        <f t="shared" si="1140"/>
        <v/>
      </c>
      <c r="DP147" s="502" t="str">
        <f t="shared" si="1141"/>
        <v/>
      </c>
      <c r="DQ147" s="503" t="str">
        <f t="shared" si="1142"/>
        <v/>
      </c>
      <c r="DR147" s="502" t="str">
        <f t="shared" si="1143"/>
        <v/>
      </c>
      <c r="DS147" s="494" t="str">
        <f t="shared" si="1144"/>
        <v/>
      </c>
      <c r="DT147" s="494" t="str">
        <f t="shared" si="1145"/>
        <v/>
      </c>
      <c r="DU147" s="494" t="str">
        <f t="shared" si="1146"/>
        <v/>
      </c>
      <c r="DV147" s="494" t="str">
        <f t="shared" si="1147"/>
        <v/>
      </c>
      <c r="DW147" s="494" t="str">
        <f t="shared" si="1148"/>
        <v/>
      </c>
      <c r="DX147" s="507" t="str">
        <f t="shared" si="1149"/>
        <v/>
      </c>
      <c r="DY147" s="496" t="str">
        <f t="shared" si="1150"/>
        <v/>
      </c>
      <c r="DZ147" s="494" t="str">
        <f t="shared" si="1151"/>
        <v/>
      </c>
      <c r="EA147" s="495" t="str">
        <f t="shared" si="1152"/>
        <v/>
      </c>
      <c r="EB147" s="497" t="str">
        <f t="shared" si="1153"/>
        <v/>
      </c>
      <c r="EC147" s="502" t="str">
        <f t="shared" si="1154"/>
        <v/>
      </c>
      <c r="ED147" s="494" t="str">
        <f t="shared" si="1155"/>
        <v/>
      </c>
      <c r="EE147" s="498" t="str">
        <f t="shared" si="1156"/>
        <v/>
      </c>
      <c r="EF147" s="494" t="str">
        <f t="shared" si="1157"/>
        <v/>
      </c>
      <c r="EG147" s="495" t="str">
        <f t="shared" si="1158"/>
        <v/>
      </c>
      <c r="EH147" s="496" t="str">
        <f t="shared" si="1159"/>
        <v/>
      </c>
      <c r="EI147" s="494" t="str">
        <f t="shared" si="1160"/>
        <v/>
      </c>
      <c r="EJ147" s="497" t="str">
        <f t="shared" si="1161"/>
        <v/>
      </c>
      <c r="EK147" s="509" t="str">
        <f t="shared" si="814"/>
        <v/>
      </c>
      <c r="EL147" s="510" t="str">
        <f t="shared" si="815"/>
        <v/>
      </c>
      <c r="EM147" s="498" t="str">
        <f t="shared" si="1162"/>
        <v/>
      </c>
      <c r="EN147" s="494" t="str">
        <f t="shared" si="1163"/>
        <v/>
      </c>
      <c r="EO147" s="495" t="str">
        <f t="shared" si="1164"/>
        <v/>
      </c>
      <c r="EP147" s="496" t="str">
        <f t="shared" si="1165"/>
        <v/>
      </c>
      <c r="EQ147" s="494" t="str">
        <f t="shared" si="1166"/>
        <v/>
      </c>
      <c r="ER147" s="500" t="str">
        <f t="shared" si="1167"/>
        <v/>
      </c>
      <c r="ES147" s="493" t="str">
        <f t="shared" si="1257"/>
        <v/>
      </c>
      <c r="ET147" s="494" t="str">
        <f t="shared" si="1258"/>
        <v/>
      </c>
      <c r="EU147" s="495" t="str">
        <f t="shared" si="1259"/>
        <v/>
      </c>
      <c r="EV147" s="174" t="str">
        <f t="shared" si="1168"/>
        <v/>
      </c>
      <c r="EW147" s="496" t="str">
        <f t="shared" si="1169"/>
        <v/>
      </c>
      <c r="EX147" s="494" t="str">
        <f t="shared" si="1170"/>
        <v/>
      </c>
      <c r="EY147" s="497" t="str">
        <f t="shared" si="1171"/>
        <v/>
      </c>
      <c r="EZ147" s="504" t="str">
        <f t="shared" si="823"/>
        <v/>
      </c>
      <c r="FA147" s="502" t="str">
        <f t="shared" si="947"/>
        <v/>
      </c>
      <c r="FB147" s="494" t="str">
        <f t="shared" si="948"/>
        <v/>
      </c>
      <c r="FC147" s="497" t="str">
        <f t="shared" si="949"/>
        <v/>
      </c>
      <c r="FD147" s="498" t="str">
        <f t="shared" si="1172"/>
        <v/>
      </c>
      <c r="FE147" s="494" t="str">
        <f t="shared" si="1173"/>
        <v/>
      </c>
      <c r="FF147" s="500" t="str">
        <f t="shared" si="1174"/>
        <v/>
      </c>
      <c r="FG147" s="173" t="str">
        <f t="shared" si="1175"/>
        <v/>
      </c>
      <c r="FH147" s="5" t="str">
        <f t="shared" si="1176"/>
        <v/>
      </c>
      <c r="FI147" s="10" t="str">
        <f t="shared" si="1177"/>
        <v/>
      </c>
      <c r="FJ147" s="279" t="str">
        <f t="shared" si="1178"/>
        <v/>
      </c>
      <c r="FK147" s="4" t="str">
        <f t="shared" si="1179"/>
        <v/>
      </c>
      <c r="FL147" s="5" t="str">
        <f t="shared" si="1180"/>
        <v/>
      </c>
      <c r="FM147" s="8" t="str">
        <f t="shared" si="1181"/>
        <v/>
      </c>
      <c r="FN147" s="9" t="str">
        <f t="shared" si="1182"/>
        <v/>
      </c>
      <c r="FO147" s="10" t="str">
        <f t="shared" si="1183"/>
        <v/>
      </c>
      <c r="FP147" s="277" t="str">
        <f t="shared" si="1184"/>
        <v/>
      </c>
      <c r="FQ147" s="173" t="str">
        <f t="shared" si="1185"/>
        <v/>
      </c>
      <c r="FR147" s="10" t="str">
        <f t="shared" si="1186"/>
        <v/>
      </c>
      <c r="FS147" s="9" t="str">
        <f t="shared" si="1187"/>
        <v/>
      </c>
      <c r="FT147" s="6" t="str">
        <f t="shared" si="1188"/>
        <v/>
      </c>
      <c r="FU147" s="4" t="str">
        <f t="shared" si="1189"/>
        <v/>
      </c>
      <c r="FV147" s="5" t="str">
        <f t="shared" si="1190"/>
        <v/>
      </c>
      <c r="FW147" s="8" t="str">
        <f t="shared" si="1191"/>
        <v/>
      </c>
      <c r="FX147" s="9" t="str">
        <f t="shared" si="1192"/>
        <v/>
      </c>
      <c r="FY147" s="10" t="str">
        <f t="shared" si="1193"/>
        <v/>
      </c>
      <c r="FZ147" s="277" t="str">
        <f t="shared" si="1194"/>
        <v/>
      </c>
      <c r="GA147" s="177" t="str">
        <f t="shared" si="1195"/>
        <v/>
      </c>
      <c r="GB147" s="4" t="str">
        <f t="shared" si="1196"/>
        <v/>
      </c>
      <c r="GC147" s="5" t="str">
        <f t="shared" si="1197"/>
        <v/>
      </c>
      <c r="GD147" s="10" t="str">
        <f t="shared" si="1198"/>
        <v/>
      </c>
      <c r="GE147" s="311" t="str">
        <f t="shared" si="1199"/>
        <v/>
      </c>
      <c r="GF147" s="341" t="str">
        <f t="shared" si="1200"/>
        <v/>
      </c>
      <c r="GG147" s="306" t="str">
        <f t="shared" si="1201"/>
        <v/>
      </c>
      <c r="GH147" s="307" t="str">
        <f t="shared" si="1202"/>
        <v/>
      </c>
      <c r="GI147" s="308" t="str">
        <f t="shared" si="1203"/>
        <v/>
      </c>
      <c r="GJ147" s="167" t="str">
        <f t="shared" si="1204"/>
        <v/>
      </c>
      <c r="GK147" s="174" t="str">
        <f t="shared" si="961"/>
        <v/>
      </c>
      <c r="GL147" s="174" t="str">
        <f t="shared" si="1205"/>
        <v/>
      </c>
      <c r="GM147" s="177" t="str">
        <f t="shared" si="1206"/>
        <v/>
      </c>
      <c r="GN147" s="280" t="str">
        <f t="shared" si="1207"/>
        <v/>
      </c>
      <c r="GO147" s="4" t="str">
        <f t="shared" si="1208"/>
        <v/>
      </c>
      <c r="GP147" s="8" t="str">
        <f t="shared" si="1209"/>
        <v/>
      </c>
      <c r="GQ147" s="177" t="str">
        <f t="shared" si="1210"/>
        <v/>
      </c>
      <c r="GR147" s="371" t="str">
        <f t="shared" si="1211"/>
        <v/>
      </c>
      <c r="GS147" s="342" t="str">
        <f t="shared" si="1212"/>
        <v/>
      </c>
      <c r="GT147" s="343" t="str">
        <f t="shared" si="1213"/>
        <v/>
      </c>
      <c r="GU147" s="344" t="str">
        <f t="shared" si="964"/>
        <v/>
      </c>
      <c r="GV147" s="343" t="str">
        <f t="shared" si="1214"/>
        <v/>
      </c>
      <c r="GW147" s="345" t="str">
        <f t="shared" si="965"/>
        <v/>
      </c>
      <c r="GX147" s="346" t="str">
        <f t="shared" si="966"/>
        <v/>
      </c>
      <c r="GY147" s="344" t="str">
        <f t="shared" si="1215"/>
        <v/>
      </c>
      <c r="GZ147" s="345" t="str">
        <f t="shared" si="1216"/>
        <v/>
      </c>
      <c r="HA147" s="342" t="str">
        <f t="shared" si="969"/>
        <v/>
      </c>
      <c r="HB147" s="5" t="str">
        <f t="shared" si="850"/>
        <v/>
      </c>
      <c r="HC147" s="343" t="str">
        <f t="shared" si="1217"/>
        <v/>
      </c>
      <c r="HD147" s="363" t="str">
        <f t="shared" si="1218"/>
        <v/>
      </c>
      <c r="HE147" s="344" t="str">
        <f t="shared" si="970"/>
        <v/>
      </c>
      <c r="HF147" s="5" t="str">
        <f t="shared" si="971"/>
        <v/>
      </c>
      <c r="HG147" s="343" t="str">
        <f t="shared" si="1219"/>
        <v/>
      </c>
      <c r="HH147" s="349" t="str">
        <f t="shared" si="1220"/>
        <v/>
      </c>
      <c r="HI147" s="317" t="str">
        <f t="shared" si="1260"/>
        <v/>
      </c>
      <c r="HK147" s="310" t="str">
        <f t="shared" si="1294"/>
        <v/>
      </c>
      <c r="HL147" s="348" t="str">
        <f t="shared" si="1261"/>
        <v/>
      </c>
      <c r="HM147" s="923" t="str">
        <f t="shared" si="1262"/>
        <v/>
      </c>
      <c r="HN147" s="924" t="str">
        <f t="shared" si="1263"/>
        <v/>
      </c>
      <c r="HO147" s="925"/>
      <c r="HP147" s="926"/>
      <c r="HQ147" s="924" t="str">
        <f t="shared" si="1264"/>
        <v/>
      </c>
      <c r="HR147" s="927" t="str">
        <f t="shared" si="1265"/>
        <v/>
      </c>
      <c r="HS147" s="879" t="str">
        <f t="shared" si="1221"/>
        <v/>
      </c>
      <c r="HT147" s="889" t="str">
        <f t="shared" si="1266"/>
        <v/>
      </c>
      <c r="HU147" s="890" t="str">
        <f t="shared" si="1267"/>
        <v/>
      </c>
      <c r="HV147" s="886" t="str">
        <f t="shared" si="1268"/>
        <v/>
      </c>
      <c r="HW147" s="880" t="str">
        <f t="shared" si="1269"/>
        <v/>
      </c>
      <c r="HX147" s="881" t="str">
        <f t="shared" si="1270"/>
        <v/>
      </c>
      <c r="HY147" s="880" t="str">
        <f t="shared" si="1271"/>
        <v/>
      </c>
      <c r="HZ147" s="882" t="str">
        <f t="shared" si="1272"/>
        <v/>
      </c>
      <c r="IA147" s="883" t="str">
        <f t="shared" si="1273"/>
        <v/>
      </c>
      <c r="IB147" s="884" t="str">
        <f t="shared" si="1274"/>
        <v/>
      </c>
      <c r="IC147" s="855" t="str">
        <f t="shared" si="1275"/>
        <v/>
      </c>
      <c r="ID147" s="351" t="str">
        <f t="shared" si="1276"/>
        <v/>
      </c>
      <c r="IE147" s="857" t="str">
        <f t="shared" si="1277"/>
        <v/>
      </c>
      <c r="IF147" s="858"/>
      <c r="IG147" s="790" t="str">
        <f>IFERROR(IF($IW147="","",IF($IW147&lt;(((Settings!$C$19/2)*-1)*$IG$8),"Taper","Nose")),"")</f>
        <v/>
      </c>
      <c r="IH147" s="482" t="str">
        <f>IFERROR(IF((((($IY147*COS(RADIANS(180-$JA147)))*COS(RADIANS($JA147)))-(($IZ147*SIN(RADIANS(180-$JA147)))*SIN(RADIANS($JA147))))+$IW147)&lt;(((Settings!$C$19+$IH$8)/2)*-1),"Gage",""),"")</f>
        <v/>
      </c>
      <c r="II147" s="788" t="str">
        <f t="shared" si="1298"/>
        <v/>
      </c>
      <c r="IJ147" s="674" t="str" cm="1">
        <f t="array" ref="IJ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K147" s="677" t="str" cm="1">
        <f t="array" ref="IK147">IFERROR(ROUND(VALUE(IF($IJ147&lt;1,$IJ147+LARGE((IF($M$9:$M$150="",0,$M$9:$M$150)-MOD(IF($M$9:$M$150="",0,$M$9:$M$150),1)),1),$IJ147)),4),"")</f>
        <v/>
      </c>
      <c r="IL147" s="482" t="str">
        <f t="shared" si="1278"/>
        <v/>
      </c>
      <c r="IM147" s="482" t="str">
        <f t="shared" si="1299"/>
        <v/>
      </c>
      <c r="IN147" s="670" t="str">
        <f t="shared" si="1279"/>
        <v/>
      </c>
      <c r="IO147" s="702"/>
      <c r="IP147" s="5" t="str">
        <f t="shared" si="1280"/>
        <v/>
      </c>
      <c r="IQ147" s="714"/>
      <c r="IR147" s="9" t="str">
        <f t="shared" si="1281"/>
        <v/>
      </c>
      <c r="IS147" s="5" t="str">
        <f t="shared" si="1282"/>
        <v/>
      </c>
      <c r="IT147" s="5" t="str">
        <f t="shared" si="1283"/>
        <v/>
      </c>
      <c r="IU147" s="5" t="str">
        <f t="shared" si="1284"/>
        <v/>
      </c>
      <c r="IV147" s="670" t="str">
        <f t="shared" si="1285"/>
        <v/>
      </c>
      <c r="IW147" s="9" t="str">
        <f t="shared" si="1286"/>
        <v/>
      </c>
      <c r="IX147" s="5" t="str">
        <f t="shared" si="1287"/>
        <v/>
      </c>
      <c r="IY147" s="5" t="str">
        <f t="shared" si="1288"/>
        <v/>
      </c>
      <c r="IZ147" s="5" t="str">
        <f t="shared" si="1289"/>
        <v/>
      </c>
      <c r="JA147" s="705" t="str">
        <f t="shared" si="1290"/>
        <v/>
      </c>
    </row>
    <row r="148" spans="1:261" ht="15" customHeight="1" x14ac:dyDescent="0.25">
      <c r="A148" s="75" t="str">
        <f t="shared" si="1234"/>
        <v/>
      </c>
      <c r="B148" s="585" t="str">
        <f t="shared" ref="B148:D148" si="1316">IFERROR(O303+($A148*-E148),"")</f>
        <v/>
      </c>
      <c r="C148" s="582" t="str">
        <f t="shared" si="1316"/>
        <v/>
      </c>
      <c r="D148" s="583" t="str">
        <f t="shared" si="1316"/>
        <v/>
      </c>
      <c r="E148" s="588" t="str">
        <f t="shared" ref="E148:K148" si="1317">R303</f>
        <v/>
      </c>
      <c r="F148" s="582" t="str">
        <f t="shared" si="1317"/>
        <v/>
      </c>
      <c r="G148" s="586" t="str">
        <f t="shared" si="1317"/>
        <v/>
      </c>
      <c r="H148" s="588" t="str">
        <f t="shared" si="1317"/>
        <v/>
      </c>
      <c r="I148" s="582" t="str">
        <f t="shared" si="1317"/>
        <v/>
      </c>
      <c r="J148" s="491" t="str">
        <f t="shared" si="1293"/>
        <v/>
      </c>
      <c r="K148" s="807" t="str">
        <f t="shared" si="1317"/>
        <v/>
      </c>
      <c r="L148" s="309"/>
      <c r="M148" s="492" t="str">
        <f t="shared" si="1237"/>
        <v/>
      </c>
      <c r="N148" s="581" t="str">
        <f t="shared" si="1238"/>
        <v/>
      </c>
      <c r="O148" s="582" t="str">
        <f t="shared" si="1239"/>
        <v/>
      </c>
      <c r="P148" s="583" t="str">
        <f t="shared" si="1240"/>
        <v/>
      </c>
      <c r="Q148" s="536" t="str">
        <f t="shared" si="1079"/>
        <v/>
      </c>
      <c r="R148" s="582" t="str">
        <f t="shared" si="1080"/>
        <v/>
      </c>
      <c r="S148" s="584" t="str">
        <f t="shared" si="1081"/>
        <v/>
      </c>
      <c r="T148" s="585" t="str">
        <f t="shared" si="1082"/>
        <v/>
      </c>
      <c r="U148" s="582" t="str">
        <f t="shared" si="1083"/>
        <v/>
      </c>
      <c r="V148" s="586" t="str">
        <f t="shared" si="1084"/>
        <v/>
      </c>
      <c r="W148" s="536" t="str">
        <f t="shared" si="1085"/>
        <v/>
      </c>
      <c r="X148" s="582" t="str">
        <f t="shared" si="1086"/>
        <v/>
      </c>
      <c r="Y148" s="587" t="str">
        <f t="shared" si="1087"/>
        <v/>
      </c>
      <c r="Z148" s="581" t="str">
        <f t="shared" si="1241"/>
        <v/>
      </c>
      <c r="AA148" s="582" t="str">
        <f t="shared" si="1242"/>
        <v/>
      </c>
      <c r="AB148" s="582" t="str">
        <f t="shared" si="1243"/>
        <v/>
      </c>
      <c r="AC148" s="586" t="str">
        <f t="shared" si="1088"/>
        <v/>
      </c>
      <c r="AD148" s="588" t="str">
        <f t="shared" si="1089"/>
        <v/>
      </c>
      <c r="AE148" s="582" t="str">
        <f t="shared" si="1090"/>
        <v/>
      </c>
      <c r="AF148" s="583" t="str">
        <f t="shared" si="1091"/>
        <v/>
      </c>
      <c r="AG148" s="547" t="str">
        <f t="shared" si="1092"/>
        <v/>
      </c>
      <c r="AH148" s="548" t="str">
        <f t="shared" si="1093"/>
        <v/>
      </c>
      <c r="AI148" s="536" t="str">
        <f t="shared" si="1094"/>
        <v/>
      </c>
      <c r="AJ148" s="537" t="str">
        <f t="shared" si="1095"/>
        <v/>
      </c>
      <c r="AK148" s="585" t="str">
        <f t="shared" si="1096"/>
        <v/>
      </c>
      <c r="AL148" s="582" t="str">
        <f t="shared" si="1097"/>
        <v/>
      </c>
      <c r="AM148" s="584" t="str">
        <f t="shared" si="1098"/>
        <v/>
      </c>
      <c r="AN148" s="534" t="str">
        <f t="shared" si="1099"/>
        <v/>
      </c>
      <c r="AO148" s="535" t="str">
        <f t="shared" si="1058"/>
        <v/>
      </c>
      <c r="AP148" s="536" t="str">
        <f t="shared" si="1100"/>
        <v/>
      </c>
      <c r="AQ148" s="537" t="str">
        <f t="shared" si="1244"/>
        <v/>
      </c>
      <c r="AS148" s="955" t="str">
        <f t="shared" si="1297"/>
        <v/>
      </c>
      <c r="AT148" s="951" t="str">
        <f t="shared" si="1245"/>
        <v/>
      </c>
      <c r="AU148" s="418"/>
      <c r="AV148" s="164" t="str">
        <f t="shared" si="1246"/>
        <v/>
      </c>
      <c r="AW148" s="832" t="str">
        <f>IFERROR(INDEX(MassProp!C$9:C$150,MATCH($M148,MassProp!$B$9:$B$150,0)),"")</f>
        <v/>
      </c>
      <c r="AX148" s="833" t="str">
        <f>IFERROR(INDEX(MassProp!D$9:D$150,MATCH($M148,MassProp!$B$9:$B$150,0)),"")</f>
        <v/>
      </c>
      <c r="AY148" s="834" t="str">
        <f>IFERROR(INDEX(MassProp!E$9:E$150,MATCH($M148,MassProp!$B$9:$B$150,0)),"")</f>
        <v/>
      </c>
      <c r="AZ148" s="297" t="str">
        <f t="shared" si="1101"/>
        <v/>
      </c>
      <c r="BA148" s="505" t="str">
        <f t="shared" si="1102"/>
        <v/>
      </c>
      <c r="BB148" s="506" t="str">
        <f t="shared" si="730"/>
        <v/>
      </c>
      <c r="BC148" s="496"/>
      <c r="BD148" s="494" t="str">
        <f t="shared" si="1103"/>
        <v/>
      </c>
      <c r="BE148" s="497" t="str">
        <f t="shared" si="1247"/>
        <v/>
      </c>
      <c r="BF148" s="498" t="str">
        <f t="shared" si="1248"/>
        <v/>
      </c>
      <c r="BG148" s="494" t="str">
        <f t="shared" si="1249"/>
        <v/>
      </c>
      <c r="BH148" s="495" t="str">
        <f t="shared" si="1250"/>
        <v/>
      </c>
      <c r="BI148" s="496" t="str">
        <f t="shared" si="1104"/>
        <v/>
      </c>
      <c r="BJ148" s="494" t="str">
        <f t="shared" si="1251"/>
        <v/>
      </c>
      <c r="BK148" s="499" t="str">
        <f t="shared" si="1252"/>
        <v/>
      </c>
      <c r="BL148" s="502" t="str">
        <f t="shared" si="1253"/>
        <v/>
      </c>
      <c r="BM148" s="494" t="str">
        <f t="shared" si="1254"/>
        <v/>
      </c>
      <c r="BN148" s="497" t="str">
        <f t="shared" si="1255"/>
        <v/>
      </c>
      <c r="BO148" s="498" t="str">
        <f t="shared" si="1105"/>
        <v/>
      </c>
      <c r="BP148" s="494" t="str">
        <f t="shared" si="1106"/>
        <v/>
      </c>
      <c r="BQ148" s="494" t="str">
        <f t="shared" si="1107"/>
        <v/>
      </c>
      <c r="BR148" s="497" t="str">
        <f t="shared" si="1108"/>
        <v/>
      </c>
      <c r="BS148" s="498" t="str">
        <f t="shared" si="1024"/>
        <v/>
      </c>
      <c r="BT148" s="494" t="str">
        <f t="shared" si="1024"/>
        <v/>
      </c>
      <c r="BU148" s="495" t="str">
        <f t="shared" si="733"/>
        <v/>
      </c>
      <c r="BV148" s="496" t="str">
        <f t="shared" si="734"/>
        <v/>
      </c>
      <c r="BW148" s="494" t="str">
        <f t="shared" si="735"/>
        <v/>
      </c>
      <c r="BX148" s="499" t="str">
        <f t="shared" si="736"/>
        <v/>
      </c>
      <c r="BY148" s="502" t="str">
        <f t="shared" si="737"/>
        <v/>
      </c>
      <c r="BZ148" s="494" t="str">
        <f t="shared" si="738"/>
        <v/>
      </c>
      <c r="CA148" s="497" t="str">
        <f t="shared" si="739"/>
        <v/>
      </c>
      <c r="CB148" s="498" t="str">
        <f t="shared" si="1109"/>
        <v/>
      </c>
      <c r="CC148" s="494" t="str">
        <f t="shared" si="1110"/>
        <v/>
      </c>
      <c r="CD148" s="494" t="str">
        <f t="shared" si="1111"/>
        <v/>
      </c>
      <c r="CE148" s="497" t="str">
        <f t="shared" si="1112"/>
        <v/>
      </c>
      <c r="CF148" s="498" t="str">
        <f t="shared" si="1113"/>
        <v/>
      </c>
      <c r="CG148" s="494" t="str">
        <f t="shared" si="1114"/>
        <v/>
      </c>
      <c r="CH148" s="494" t="str">
        <f t="shared" si="1115"/>
        <v/>
      </c>
      <c r="CI148" s="498" t="str">
        <f t="shared" si="740"/>
        <v/>
      </c>
      <c r="CJ148" s="494" t="str">
        <f t="shared" si="1116"/>
        <v/>
      </c>
      <c r="CK148" s="499" t="str">
        <f t="shared" si="1117"/>
        <v/>
      </c>
      <c r="CL148" s="502" t="str">
        <f t="shared" si="1118"/>
        <v/>
      </c>
      <c r="CM148" s="494" t="str">
        <f t="shared" si="1119"/>
        <v/>
      </c>
      <c r="CN148" s="497" t="str">
        <f t="shared" si="1120"/>
        <v/>
      </c>
      <c r="CO148" s="507" t="str">
        <f t="shared" si="1256"/>
        <v/>
      </c>
      <c r="CP148" s="498" t="str">
        <f t="shared" si="1121"/>
        <v/>
      </c>
      <c r="CQ148" s="494" t="str">
        <f t="shared" si="1122"/>
        <v/>
      </c>
      <c r="CR148" s="494" t="str">
        <f t="shared" si="1123"/>
        <v/>
      </c>
      <c r="CS148" s="499" t="str">
        <f t="shared" si="1124"/>
        <v/>
      </c>
      <c r="CT148" s="496" t="str">
        <f t="shared" si="1125"/>
        <v/>
      </c>
      <c r="CU148" s="497" t="str">
        <f t="shared" si="1126"/>
        <v/>
      </c>
      <c r="CV148" s="498" t="str">
        <f t="shared" si="1127"/>
        <v/>
      </c>
      <c r="CW148" s="494" t="str">
        <f t="shared" si="1128"/>
        <v/>
      </c>
      <c r="CX148" s="499" t="str">
        <f t="shared" si="1129"/>
        <v/>
      </c>
      <c r="CY148" s="496" t="str">
        <f t="shared" si="1130"/>
        <v/>
      </c>
      <c r="CZ148" s="494" t="str">
        <f t="shared" si="1131"/>
        <v/>
      </c>
      <c r="DA148" s="497" t="str">
        <f t="shared" si="1132"/>
        <v/>
      </c>
      <c r="DB148" s="498" t="str">
        <f t="shared" si="1030"/>
        <v/>
      </c>
      <c r="DC148" s="494" t="str">
        <f t="shared" si="1030"/>
        <v/>
      </c>
      <c r="DD148" s="495" t="str">
        <f t="shared" si="782"/>
        <v/>
      </c>
      <c r="DE148" s="496" t="str">
        <f t="shared" si="1031"/>
        <v/>
      </c>
      <c r="DF148" s="494" t="str">
        <f t="shared" si="1031"/>
        <v/>
      </c>
      <c r="DG148" s="495" t="str">
        <f t="shared" si="784"/>
        <v/>
      </c>
      <c r="DH148" s="501" t="str">
        <f t="shared" si="1133"/>
        <v/>
      </c>
      <c r="DI148" s="498" t="str">
        <f t="shared" si="1134"/>
        <v/>
      </c>
      <c r="DJ148" s="494" t="str">
        <f t="shared" si="1135"/>
        <v/>
      </c>
      <c r="DK148" s="495" t="str">
        <f t="shared" si="1136"/>
        <v/>
      </c>
      <c r="DL148" s="496" t="str">
        <f t="shared" si="1137"/>
        <v/>
      </c>
      <c r="DM148" s="502" t="str">
        <f t="shared" si="1138"/>
        <v/>
      </c>
      <c r="DN148" s="508" t="str">
        <f t="shared" si="1139"/>
        <v/>
      </c>
      <c r="DO148" s="496" t="str">
        <f t="shared" si="1140"/>
        <v/>
      </c>
      <c r="DP148" s="502" t="str">
        <f t="shared" si="1141"/>
        <v/>
      </c>
      <c r="DQ148" s="503" t="str">
        <f t="shared" si="1142"/>
        <v/>
      </c>
      <c r="DR148" s="502" t="str">
        <f t="shared" si="1143"/>
        <v/>
      </c>
      <c r="DS148" s="494" t="str">
        <f t="shared" si="1144"/>
        <v/>
      </c>
      <c r="DT148" s="494" t="str">
        <f t="shared" si="1145"/>
        <v/>
      </c>
      <c r="DU148" s="494" t="str">
        <f t="shared" si="1146"/>
        <v/>
      </c>
      <c r="DV148" s="494" t="str">
        <f t="shared" si="1147"/>
        <v/>
      </c>
      <c r="DW148" s="494" t="str">
        <f t="shared" si="1148"/>
        <v/>
      </c>
      <c r="DX148" s="507" t="str">
        <f t="shared" si="1149"/>
        <v/>
      </c>
      <c r="DY148" s="496" t="str">
        <f t="shared" si="1150"/>
        <v/>
      </c>
      <c r="DZ148" s="494" t="str">
        <f t="shared" si="1151"/>
        <v/>
      </c>
      <c r="EA148" s="495" t="str">
        <f t="shared" si="1152"/>
        <v/>
      </c>
      <c r="EB148" s="497" t="str">
        <f t="shared" si="1153"/>
        <v/>
      </c>
      <c r="EC148" s="502" t="str">
        <f t="shared" si="1154"/>
        <v/>
      </c>
      <c r="ED148" s="494" t="str">
        <f t="shared" si="1155"/>
        <v/>
      </c>
      <c r="EE148" s="498" t="str">
        <f t="shared" si="1156"/>
        <v/>
      </c>
      <c r="EF148" s="494" t="str">
        <f t="shared" si="1157"/>
        <v/>
      </c>
      <c r="EG148" s="495" t="str">
        <f t="shared" si="1158"/>
        <v/>
      </c>
      <c r="EH148" s="496" t="str">
        <f t="shared" si="1159"/>
        <v/>
      </c>
      <c r="EI148" s="494" t="str">
        <f t="shared" si="1160"/>
        <v/>
      </c>
      <c r="EJ148" s="497" t="str">
        <f t="shared" si="1161"/>
        <v/>
      </c>
      <c r="EK148" s="509" t="str">
        <f t="shared" si="814"/>
        <v/>
      </c>
      <c r="EL148" s="510" t="str">
        <f t="shared" si="815"/>
        <v/>
      </c>
      <c r="EM148" s="498" t="str">
        <f t="shared" si="1162"/>
        <v/>
      </c>
      <c r="EN148" s="494" t="str">
        <f t="shared" si="1163"/>
        <v/>
      </c>
      <c r="EO148" s="495" t="str">
        <f t="shared" si="1164"/>
        <v/>
      </c>
      <c r="EP148" s="496" t="str">
        <f t="shared" si="1165"/>
        <v/>
      </c>
      <c r="EQ148" s="494" t="str">
        <f t="shared" si="1166"/>
        <v/>
      </c>
      <c r="ER148" s="500" t="str">
        <f t="shared" si="1167"/>
        <v/>
      </c>
      <c r="ES148" s="493" t="str">
        <f t="shared" si="1257"/>
        <v/>
      </c>
      <c r="ET148" s="494" t="str">
        <f t="shared" si="1258"/>
        <v/>
      </c>
      <c r="EU148" s="495" t="str">
        <f t="shared" si="1259"/>
        <v/>
      </c>
      <c r="EV148" s="174" t="str">
        <f t="shared" si="1168"/>
        <v/>
      </c>
      <c r="EW148" s="496" t="str">
        <f t="shared" si="1169"/>
        <v/>
      </c>
      <c r="EX148" s="494" t="str">
        <f t="shared" si="1170"/>
        <v/>
      </c>
      <c r="EY148" s="497" t="str">
        <f t="shared" si="1171"/>
        <v/>
      </c>
      <c r="EZ148" s="504" t="str">
        <f t="shared" si="823"/>
        <v/>
      </c>
      <c r="FA148" s="502" t="str">
        <f t="shared" si="947"/>
        <v/>
      </c>
      <c r="FB148" s="494" t="str">
        <f t="shared" si="948"/>
        <v/>
      </c>
      <c r="FC148" s="497" t="str">
        <f t="shared" si="949"/>
        <v/>
      </c>
      <c r="FD148" s="498" t="str">
        <f t="shared" si="1172"/>
        <v/>
      </c>
      <c r="FE148" s="494" t="str">
        <f t="shared" si="1173"/>
        <v/>
      </c>
      <c r="FF148" s="500" t="str">
        <f t="shared" si="1174"/>
        <v/>
      </c>
      <c r="FG148" s="173" t="str">
        <f t="shared" si="1175"/>
        <v/>
      </c>
      <c r="FH148" s="5" t="str">
        <f t="shared" si="1176"/>
        <v/>
      </c>
      <c r="FI148" s="10" t="str">
        <f t="shared" si="1177"/>
        <v/>
      </c>
      <c r="FJ148" s="279" t="str">
        <f t="shared" si="1178"/>
        <v/>
      </c>
      <c r="FK148" s="4" t="str">
        <f t="shared" si="1179"/>
        <v/>
      </c>
      <c r="FL148" s="5" t="str">
        <f t="shared" si="1180"/>
        <v/>
      </c>
      <c r="FM148" s="8" t="str">
        <f t="shared" si="1181"/>
        <v/>
      </c>
      <c r="FN148" s="9" t="str">
        <f t="shared" si="1182"/>
        <v/>
      </c>
      <c r="FO148" s="10" t="str">
        <f t="shared" si="1183"/>
        <v/>
      </c>
      <c r="FP148" s="277" t="str">
        <f t="shared" si="1184"/>
        <v/>
      </c>
      <c r="FQ148" s="173" t="str">
        <f t="shared" si="1185"/>
        <v/>
      </c>
      <c r="FR148" s="10" t="str">
        <f t="shared" si="1186"/>
        <v/>
      </c>
      <c r="FS148" s="9" t="str">
        <f t="shared" si="1187"/>
        <v/>
      </c>
      <c r="FT148" s="6" t="str">
        <f t="shared" si="1188"/>
        <v/>
      </c>
      <c r="FU148" s="4" t="str">
        <f t="shared" si="1189"/>
        <v/>
      </c>
      <c r="FV148" s="5" t="str">
        <f t="shared" si="1190"/>
        <v/>
      </c>
      <c r="FW148" s="8" t="str">
        <f t="shared" si="1191"/>
        <v/>
      </c>
      <c r="FX148" s="9" t="str">
        <f t="shared" si="1192"/>
        <v/>
      </c>
      <c r="FY148" s="10" t="str">
        <f t="shared" si="1193"/>
        <v/>
      </c>
      <c r="FZ148" s="277" t="str">
        <f t="shared" si="1194"/>
        <v/>
      </c>
      <c r="GA148" s="177" t="str">
        <f t="shared" si="1195"/>
        <v/>
      </c>
      <c r="GB148" s="4" t="str">
        <f t="shared" si="1196"/>
        <v/>
      </c>
      <c r="GC148" s="5" t="str">
        <f t="shared" si="1197"/>
        <v/>
      </c>
      <c r="GD148" s="10" t="str">
        <f t="shared" si="1198"/>
        <v/>
      </c>
      <c r="GE148" s="311" t="str">
        <f t="shared" si="1199"/>
        <v/>
      </c>
      <c r="GF148" s="341" t="str">
        <f t="shared" si="1200"/>
        <v/>
      </c>
      <c r="GG148" s="306" t="str">
        <f t="shared" si="1201"/>
        <v/>
      </c>
      <c r="GH148" s="307" t="str">
        <f t="shared" si="1202"/>
        <v/>
      </c>
      <c r="GI148" s="308" t="str">
        <f t="shared" si="1203"/>
        <v/>
      </c>
      <c r="GJ148" s="167" t="str">
        <f t="shared" si="1204"/>
        <v/>
      </c>
      <c r="GK148" s="174" t="str">
        <f t="shared" si="961"/>
        <v/>
      </c>
      <c r="GL148" s="174" t="str">
        <f t="shared" si="1205"/>
        <v/>
      </c>
      <c r="GM148" s="177" t="str">
        <f t="shared" si="1206"/>
        <v/>
      </c>
      <c r="GN148" s="280" t="str">
        <f t="shared" si="1207"/>
        <v/>
      </c>
      <c r="GO148" s="4" t="str">
        <f t="shared" si="1208"/>
        <v/>
      </c>
      <c r="GP148" s="8" t="str">
        <f t="shared" si="1209"/>
        <v/>
      </c>
      <c r="GQ148" s="177" t="str">
        <f t="shared" si="1210"/>
        <v/>
      </c>
      <c r="GR148" s="371" t="str">
        <f t="shared" si="1211"/>
        <v/>
      </c>
      <c r="GS148" s="342" t="str">
        <f t="shared" si="1212"/>
        <v/>
      </c>
      <c r="GT148" s="343" t="str">
        <f t="shared" si="1213"/>
        <v/>
      </c>
      <c r="GU148" s="344" t="str">
        <f t="shared" si="964"/>
        <v/>
      </c>
      <c r="GV148" s="343" t="str">
        <f t="shared" si="1214"/>
        <v/>
      </c>
      <c r="GW148" s="345" t="str">
        <f t="shared" si="965"/>
        <v/>
      </c>
      <c r="GX148" s="346" t="str">
        <f t="shared" si="966"/>
        <v/>
      </c>
      <c r="GY148" s="344" t="str">
        <f t="shared" si="1215"/>
        <v/>
      </c>
      <c r="GZ148" s="345" t="str">
        <f t="shared" si="1216"/>
        <v/>
      </c>
      <c r="HA148" s="342" t="str">
        <f t="shared" si="969"/>
        <v/>
      </c>
      <c r="HB148" s="5" t="str">
        <f t="shared" si="850"/>
        <v/>
      </c>
      <c r="HC148" s="343" t="str">
        <f t="shared" si="1217"/>
        <v/>
      </c>
      <c r="HD148" s="363" t="str">
        <f t="shared" si="1218"/>
        <v/>
      </c>
      <c r="HE148" s="344" t="str">
        <f t="shared" si="970"/>
        <v/>
      </c>
      <c r="HF148" s="5" t="str">
        <f t="shared" si="971"/>
        <v/>
      </c>
      <c r="HG148" s="343" t="str">
        <f t="shared" si="1219"/>
        <v/>
      </c>
      <c r="HH148" s="349" t="str">
        <f t="shared" si="1220"/>
        <v/>
      </c>
      <c r="HI148" s="317" t="str">
        <f t="shared" si="1260"/>
        <v/>
      </c>
      <c r="HK148" s="310" t="str">
        <f t="shared" si="1294"/>
        <v/>
      </c>
      <c r="HL148" s="348" t="str">
        <f t="shared" si="1261"/>
        <v/>
      </c>
      <c r="HM148" s="923" t="str">
        <f t="shared" si="1262"/>
        <v/>
      </c>
      <c r="HN148" s="924" t="str">
        <f t="shared" si="1263"/>
        <v/>
      </c>
      <c r="HO148" s="925"/>
      <c r="HP148" s="926"/>
      <c r="HQ148" s="924" t="str">
        <f t="shared" si="1264"/>
        <v/>
      </c>
      <c r="HR148" s="927" t="str">
        <f t="shared" si="1265"/>
        <v/>
      </c>
      <c r="HS148" s="879" t="str">
        <f t="shared" si="1221"/>
        <v/>
      </c>
      <c r="HT148" s="889" t="str">
        <f t="shared" si="1266"/>
        <v/>
      </c>
      <c r="HU148" s="890" t="str">
        <f t="shared" si="1267"/>
        <v/>
      </c>
      <c r="HV148" s="886" t="str">
        <f t="shared" si="1268"/>
        <v/>
      </c>
      <c r="HW148" s="880" t="str">
        <f t="shared" si="1269"/>
        <v/>
      </c>
      <c r="HX148" s="881" t="str">
        <f t="shared" si="1270"/>
        <v/>
      </c>
      <c r="HY148" s="880" t="str">
        <f t="shared" si="1271"/>
        <v/>
      </c>
      <c r="HZ148" s="882" t="str">
        <f t="shared" si="1272"/>
        <v/>
      </c>
      <c r="IA148" s="883" t="str">
        <f t="shared" si="1273"/>
        <v/>
      </c>
      <c r="IB148" s="884" t="str">
        <f t="shared" si="1274"/>
        <v/>
      </c>
      <c r="IC148" s="855" t="str">
        <f t="shared" si="1275"/>
        <v/>
      </c>
      <c r="ID148" s="351" t="str">
        <f t="shared" si="1276"/>
        <v/>
      </c>
      <c r="IE148" s="857" t="str">
        <f t="shared" si="1277"/>
        <v/>
      </c>
      <c r="IF148" s="858"/>
      <c r="IG148" s="790" t="str">
        <f>IFERROR(IF($IW148="","",IF($IW148&lt;(((Settings!$C$19/2)*-1)*$IG$8),"Taper","Nose")),"")</f>
        <v/>
      </c>
      <c r="IH148" s="482" t="str">
        <f>IFERROR(IF((((($IY148*COS(RADIANS(180-$JA148)))*COS(RADIANS($JA148)))-(($IZ148*SIN(RADIANS(180-$JA148)))*SIN(RADIANS($JA148))))+$IW148)&lt;(((Settings!$C$19+$IH$8)/2)*-1),"Gage",""),"")</f>
        <v/>
      </c>
      <c r="II148" s="788" t="str">
        <f t="shared" si="1298"/>
        <v/>
      </c>
      <c r="IJ148" s="674" t="str" cm="1">
        <f t="array" ref="IJ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K148" s="677" t="str" cm="1">
        <f t="array" ref="IK148">IFERROR(ROUND(VALUE(IF($IJ148&lt;1,$IJ148+LARGE((IF($M$9:$M$150="",0,$M$9:$M$150)-MOD(IF($M$9:$M$150="",0,$M$9:$M$150),1)),1),$IJ148)),4),"")</f>
        <v/>
      </c>
      <c r="IL148" s="482" t="str">
        <f t="shared" si="1278"/>
        <v/>
      </c>
      <c r="IM148" s="482" t="str">
        <f t="shared" si="1299"/>
        <v/>
      </c>
      <c r="IN148" s="670" t="str">
        <f t="shared" si="1279"/>
        <v/>
      </c>
      <c r="IO148" s="702"/>
      <c r="IP148" s="5" t="str">
        <f t="shared" si="1280"/>
        <v/>
      </c>
      <c r="IQ148" s="714"/>
      <c r="IR148" s="9" t="str">
        <f t="shared" si="1281"/>
        <v/>
      </c>
      <c r="IS148" s="5" t="str">
        <f t="shared" si="1282"/>
        <v/>
      </c>
      <c r="IT148" s="5" t="str">
        <f t="shared" si="1283"/>
        <v/>
      </c>
      <c r="IU148" s="5" t="str">
        <f t="shared" si="1284"/>
        <v/>
      </c>
      <c r="IV148" s="670" t="str">
        <f t="shared" si="1285"/>
        <v/>
      </c>
      <c r="IW148" s="9" t="str">
        <f t="shared" si="1286"/>
        <v/>
      </c>
      <c r="IX148" s="5" t="str">
        <f t="shared" si="1287"/>
        <v/>
      </c>
      <c r="IY148" s="5" t="str">
        <f t="shared" si="1288"/>
        <v/>
      </c>
      <c r="IZ148" s="5" t="str">
        <f t="shared" si="1289"/>
        <v/>
      </c>
      <c r="JA148" s="705" t="str">
        <f t="shared" si="1290"/>
        <v/>
      </c>
    </row>
    <row r="149" spans="1:261" ht="15" customHeight="1" x14ac:dyDescent="0.25">
      <c r="A149" s="75" t="str">
        <f t="shared" si="1234"/>
        <v/>
      </c>
      <c r="B149" s="585" t="str">
        <f t="shared" ref="B149:D149" si="1318">IFERROR(O304+($A149*-E149),"")</f>
        <v/>
      </c>
      <c r="C149" s="582" t="str">
        <f t="shared" si="1318"/>
        <v/>
      </c>
      <c r="D149" s="583" t="str">
        <f t="shared" si="1318"/>
        <v/>
      </c>
      <c r="E149" s="588" t="str">
        <f t="shared" ref="E149:K149" si="1319">R304</f>
        <v/>
      </c>
      <c r="F149" s="582" t="str">
        <f t="shared" si="1319"/>
        <v/>
      </c>
      <c r="G149" s="586" t="str">
        <f t="shared" si="1319"/>
        <v/>
      </c>
      <c r="H149" s="588" t="str">
        <f t="shared" si="1319"/>
        <v/>
      </c>
      <c r="I149" s="582" t="str">
        <f t="shared" si="1319"/>
        <v/>
      </c>
      <c r="J149" s="491" t="str">
        <f t="shared" si="1293"/>
        <v/>
      </c>
      <c r="K149" s="807" t="str">
        <f t="shared" si="1319"/>
        <v/>
      </c>
      <c r="L149" s="309"/>
      <c r="M149" s="492" t="str">
        <f t="shared" si="1237"/>
        <v/>
      </c>
      <c r="N149" s="581" t="str">
        <f t="shared" si="1238"/>
        <v/>
      </c>
      <c r="O149" s="582" t="str">
        <f t="shared" si="1239"/>
        <v/>
      </c>
      <c r="P149" s="583" t="str">
        <f t="shared" si="1240"/>
        <v/>
      </c>
      <c r="Q149" s="536" t="str">
        <f t="shared" si="1079"/>
        <v/>
      </c>
      <c r="R149" s="582" t="str">
        <f t="shared" si="1080"/>
        <v/>
      </c>
      <c r="S149" s="584" t="str">
        <f t="shared" si="1081"/>
        <v/>
      </c>
      <c r="T149" s="585" t="str">
        <f t="shared" si="1082"/>
        <v/>
      </c>
      <c r="U149" s="582" t="str">
        <f t="shared" si="1083"/>
        <v/>
      </c>
      <c r="V149" s="586" t="str">
        <f t="shared" si="1084"/>
        <v/>
      </c>
      <c r="W149" s="536" t="str">
        <f t="shared" si="1085"/>
        <v/>
      </c>
      <c r="X149" s="582" t="str">
        <f t="shared" si="1086"/>
        <v/>
      </c>
      <c r="Y149" s="587" t="str">
        <f t="shared" si="1087"/>
        <v/>
      </c>
      <c r="Z149" s="581" t="str">
        <f t="shared" si="1241"/>
        <v/>
      </c>
      <c r="AA149" s="582" t="str">
        <f t="shared" si="1242"/>
        <v/>
      </c>
      <c r="AB149" s="582" t="str">
        <f t="shared" si="1243"/>
        <v/>
      </c>
      <c r="AC149" s="586" t="str">
        <f t="shared" si="1088"/>
        <v/>
      </c>
      <c r="AD149" s="588" t="str">
        <f t="shared" si="1089"/>
        <v/>
      </c>
      <c r="AE149" s="582" t="str">
        <f t="shared" si="1090"/>
        <v/>
      </c>
      <c r="AF149" s="583" t="str">
        <f t="shared" si="1091"/>
        <v/>
      </c>
      <c r="AG149" s="547" t="str">
        <f t="shared" si="1092"/>
        <v/>
      </c>
      <c r="AH149" s="548" t="str">
        <f t="shared" si="1093"/>
        <v/>
      </c>
      <c r="AI149" s="536" t="str">
        <f t="shared" si="1094"/>
        <v/>
      </c>
      <c r="AJ149" s="537" t="str">
        <f t="shared" si="1095"/>
        <v/>
      </c>
      <c r="AK149" s="585" t="str">
        <f t="shared" si="1096"/>
        <v/>
      </c>
      <c r="AL149" s="582" t="str">
        <f t="shared" si="1097"/>
        <v/>
      </c>
      <c r="AM149" s="584" t="str">
        <f t="shared" si="1098"/>
        <v/>
      </c>
      <c r="AN149" s="534" t="str">
        <f t="shared" si="1099"/>
        <v/>
      </c>
      <c r="AO149" s="535" t="str">
        <f t="shared" si="1058"/>
        <v/>
      </c>
      <c r="AP149" s="536" t="str">
        <f t="shared" si="1100"/>
        <v/>
      </c>
      <c r="AQ149" s="537" t="str">
        <f t="shared" si="1244"/>
        <v/>
      </c>
      <c r="AS149" s="955" t="str">
        <f t="shared" si="1297"/>
        <v/>
      </c>
      <c r="AT149" s="951" t="str">
        <f t="shared" si="1245"/>
        <v/>
      </c>
      <c r="AU149" s="418"/>
      <c r="AV149" s="164" t="str">
        <f t="shared" si="1246"/>
        <v/>
      </c>
      <c r="AW149" s="832" t="str">
        <f>IFERROR(INDEX(MassProp!C$9:C$150,MATCH($M149,MassProp!$B$9:$B$150,0)),"")</f>
        <v/>
      </c>
      <c r="AX149" s="833" t="str">
        <f>IFERROR(INDEX(MassProp!D$9:D$150,MATCH($M149,MassProp!$B$9:$B$150,0)),"")</f>
        <v/>
      </c>
      <c r="AY149" s="834" t="str">
        <f>IFERROR(INDEX(MassProp!E$9:E$150,MATCH($M149,MassProp!$B$9:$B$150,0)),"")</f>
        <v/>
      </c>
      <c r="AZ149" s="297" t="str">
        <f t="shared" si="1101"/>
        <v/>
      </c>
      <c r="BA149" s="505" t="str">
        <f t="shared" si="1102"/>
        <v/>
      </c>
      <c r="BB149" s="506" t="str">
        <f t="shared" si="730"/>
        <v/>
      </c>
      <c r="BC149" s="496"/>
      <c r="BD149" s="494" t="str">
        <f t="shared" si="1103"/>
        <v/>
      </c>
      <c r="BE149" s="497" t="str">
        <f t="shared" si="1247"/>
        <v/>
      </c>
      <c r="BF149" s="498" t="str">
        <f t="shared" si="1248"/>
        <v/>
      </c>
      <c r="BG149" s="494" t="str">
        <f t="shared" si="1249"/>
        <v/>
      </c>
      <c r="BH149" s="495" t="str">
        <f t="shared" si="1250"/>
        <v/>
      </c>
      <c r="BI149" s="496" t="str">
        <f t="shared" si="1104"/>
        <v/>
      </c>
      <c r="BJ149" s="494" t="str">
        <f t="shared" si="1251"/>
        <v/>
      </c>
      <c r="BK149" s="499" t="str">
        <f t="shared" si="1252"/>
        <v/>
      </c>
      <c r="BL149" s="502" t="str">
        <f t="shared" si="1253"/>
        <v/>
      </c>
      <c r="BM149" s="494" t="str">
        <f t="shared" si="1254"/>
        <v/>
      </c>
      <c r="BN149" s="497" t="str">
        <f t="shared" si="1255"/>
        <v/>
      </c>
      <c r="BO149" s="498" t="str">
        <f t="shared" si="1105"/>
        <v/>
      </c>
      <c r="BP149" s="494" t="str">
        <f t="shared" si="1106"/>
        <v/>
      </c>
      <c r="BQ149" s="494" t="str">
        <f t="shared" si="1107"/>
        <v/>
      </c>
      <c r="BR149" s="497" t="str">
        <f t="shared" si="1108"/>
        <v/>
      </c>
      <c r="BS149" s="498" t="str">
        <f t="shared" si="1024"/>
        <v/>
      </c>
      <c r="BT149" s="494" t="str">
        <f t="shared" si="1024"/>
        <v/>
      </c>
      <c r="BU149" s="495" t="str">
        <f t="shared" si="733"/>
        <v/>
      </c>
      <c r="BV149" s="496" t="str">
        <f t="shared" si="734"/>
        <v/>
      </c>
      <c r="BW149" s="494" t="str">
        <f t="shared" si="735"/>
        <v/>
      </c>
      <c r="BX149" s="499" t="str">
        <f t="shared" si="736"/>
        <v/>
      </c>
      <c r="BY149" s="502" t="str">
        <f t="shared" si="737"/>
        <v/>
      </c>
      <c r="BZ149" s="494" t="str">
        <f t="shared" si="738"/>
        <v/>
      </c>
      <c r="CA149" s="497" t="str">
        <f t="shared" si="739"/>
        <v/>
      </c>
      <c r="CB149" s="498" t="str">
        <f t="shared" si="1109"/>
        <v/>
      </c>
      <c r="CC149" s="494" t="str">
        <f t="shared" si="1110"/>
        <v/>
      </c>
      <c r="CD149" s="494" t="str">
        <f t="shared" si="1111"/>
        <v/>
      </c>
      <c r="CE149" s="497" t="str">
        <f t="shared" si="1112"/>
        <v/>
      </c>
      <c r="CF149" s="498" t="str">
        <f t="shared" si="1113"/>
        <v/>
      </c>
      <c r="CG149" s="494" t="str">
        <f t="shared" si="1114"/>
        <v/>
      </c>
      <c r="CH149" s="494" t="str">
        <f t="shared" si="1115"/>
        <v/>
      </c>
      <c r="CI149" s="498" t="str">
        <f t="shared" si="740"/>
        <v/>
      </c>
      <c r="CJ149" s="494" t="str">
        <f t="shared" si="1116"/>
        <v/>
      </c>
      <c r="CK149" s="499" t="str">
        <f t="shared" si="1117"/>
        <v/>
      </c>
      <c r="CL149" s="502" t="str">
        <f t="shared" si="1118"/>
        <v/>
      </c>
      <c r="CM149" s="494" t="str">
        <f t="shared" si="1119"/>
        <v/>
      </c>
      <c r="CN149" s="497" t="str">
        <f t="shared" si="1120"/>
        <v/>
      </c>
      <c r="CO149" s="507" t="str">
        <f t="shared" si="1256"/>
        <v/>
      </c>
      <c r="CP149" s="498" t="str">
        <f t="shared" si="1121"/>
        <v/>
      </c>
      <c r="CQ149" s="494" t="str">
        <f t="shared" si="1122"/>
        <v/>
      </c>
      <c r="CR149" s="494" t="str">
        <f t="shared" si="1123"/>
        <v/>
      </c>
      <c r="CS149" s="499" t="str">
        <f t="shared" si="1124"/>
        <v/>
      </c>
      <c r="CT149" s="496" t="str">
        <f t="shared" si="1125"/>
        <v/>
      </c>
      <c r="CU149" s="497" t="str">
        <f t="shared" si="1126"/>
        <v/>
      </c>
      <c r="CV149" s="498" t="str">
        <f t="shared" si="1127"/>
        <v/>
      </c>
      <c r="CW149" s="494" t="str">
        <f t="shared" si="1128"/>
        <v/>
      </c>
      <c r="CX149" s="499" t="str">
        <f t="shared" si="1129"/>
        <v/>
      </c>
      <c r="CY149" s="496" t="str">
        <f t="shared" si="1130"/>
        <v/>
      </c>
      <c r="CZ149" s="494" t="str">
        <f t="shared" si="1131"/>
        <v/>
      </c>
      <c r="DA149" s="497" t="str">
        <f t="shared" si="1132"/>
        <v/>
      </c>
      <c r="DB149" s="498" t="str">
        <f t="shared" si="1030"/>
        <v/>
      </c>
      <c r="DC149" s="494" t="str">
        <f t="shared" si="1030"/>
        <v/>
      </c>
      <c r="DD149" s="495" t="str">
        <f t="shared" si="782"/>
        <v/>
      </c>
      <c r="DE149" s="496" t="str">
        <f t="shared" si="1031"/>
        <v/>
      </c>
      <c r="DF149" s="494" t="str">
        <f t="shared" si="1031"/>
        <v/>
      </c>
      <c r="DG149" s="495" t="str">
        <f t="shared" si="784"/>
        <v/>
      </c>
      <c r="DH149" s="501" t="str">
        <f t="shared" si="1133"/>
        <v/>
      </c>
      <c r="DI149" s="498" t="str">
        <f t="shared" si="1134"/>
        <v/>
      </c>
      <c r="DJ149" s="494" t="str">
        <f t="shared" si="1135"/>
        <v/>
      </c>
      <c r="DK149" s="495" t="str">
        <f t="shared" si="1136"/>
        <v/>
      </c>
      <c r="DL149" s="496" t="str">
        <f t="shared" si="1137"/>
        <v/>
      </c>
      <c r="DM149" s="502" t="str">
        <f t="shared" si="1138"/>
        <v/>
      </c>
      <c r="DN149" s="508" t="str">
        <f t="shared" si="1139"/>
        <v/>
      </c>
      <c r="DO149" s="496" t="str">
        <f t="shared" si="1140"/>
        <v/>
      </c>
      <c r="DP149" s="502" t="str">
        <f t="shared" si="1141"/>
        <v/>
      </c>
      <c r="DQ149" s="503" t="str">
        <f t="shared" si="1142"/>
        <v/>
      </c>
      <c r="DR149" s="502" t="str">
        <f t="shared" si="1143"/>
        <v/>
      </c>
      <c r="DS149" s="494" t="str">
        <f t="shared" si="1144"/>
        <v/>
      </c>
      <c r="DT149" s="494" t="str">
        <f t="shared" si="1145"/>
        <v/>
      </c>
      <c r="DU149" s="494" t="str">
        <f t="shared" si="1146"/>
        <v/>
      </c>
      <c r="DV149" s="494" t="str">
        <f t="shared" si="1147"/>
        <v/>
      </c>
      <c r="DW149" s="494" t="str">
        <f t="shared" si="1148"/>
        <v/>
      </c>
      <c r="DX149" s="507" t="str">
        <f t="shared" si="1149"/>
        <v/>
      </c>
      <c r="DY149" s="496" t="str">
        <f t="shared" si="1150"/>
        <v/>
      </c>
      <c r="DZ149" s="494" t="str">
        <f t="shared" si="1151"/>
        <v/>
      </c>
      <c r="EA149" s="495" t="str">
        <f t="shared" si="1152"/>
        <v/>
      </c>
      <c r="EB149" s="497" t="str">
        <f t="shared" si="1153"/>
        <v/>
      </c>
      <c r="EC149" s="502" t="str">
        <f t="shared" si="1154"/>
        <v/>
      </c>
      <c r="ED149" s="494" t="str">
        <f t="shared" si="1155"/>
        <v/>
      </c>
      <c r="EE149" s="498" t="str">
        <f t="shared" si="1156"/>
        <v/>
      </c>
      <c r="EF149" s="494" t="str">
        <f t="shared" si="1157"/>
        <v/>
      </c>
      <c r="EG149" s="495" t="str">
        <f t="shared" si="1158"/>
        <v/>
      </c>
      <c r="EH149" s="496" t="str">
        <f t="shared" si="1159"/>
        <v/>
      </c>
      <c r="EI149" s="494" t="str">
        <f t="shared" si="1160"/>
        <v/>
      </c>
      <c r="EJ149" s="497" t="str">
        <f t="shared" si="1161"/>
        <v/>
      </c>
      <c r="EK149" s="509" t="str">
        <f t="shared" si="814"/>
        <v/>
      </c>
      <c r="EL149" s="510" t="str">
        <f t="shared" si="815"/>
        <v/>
      </c>
      <c r="EM149" s="498" t="str">
        <f t="shared" si="1162"/>
        <v/>
      </c>
      <c r="EN149" s="494" t="str">
        <f t="shared" si="1163"/>
        <v/>
      </c>
      <c r="EO149" s="495" t="str">
        <f t="shared" si="1164"/>
        <v/>
      </c>
      <c r="EP149" s="496" t="str">
        <f t="shared" si="1165"/>
        <v/>
      </c>
      <c r="EQ149" s="494" t="str">
        <f t="shared" si="1166"/>
        <v/>
      </c>
      <c r="ER149" s="500" t="str">
        <f t="shared" si="1167"/>
        <v/>
      </c>
      <c r="ES149" s="493" t="str">
        <f t="shared" si="1257"/>
        <v/>
      </c>
      <c r="ET149" s="494" t="str">
        <f t="shared" si="1258"/>
        <v/>
      </c>
      <c r="EU149" s="495" t="str">
        <f t="shared" si="1259"/>
        <v/>
      </c>
      <c r="EV149" s="174" t="str">
        <f t="shared" si="1168"/>
        <v/>
      </c>
      <c r="EW149" s="496" t="str">
        <f t="shared" si="1169"/>
        <v/>
      </c>
      <c r="EX149" s="494" t="str">
        <f t="shared" si="1170"/>
        <v/>
      </c>
      <c r="EY149" s="497" t="str">
        <f t="shared" si="1171"/>
        <v/>
      </c>
      <c r="EZ149" s="504" t="str">
        <f t="shared" si="823"/>
        <v/>
      </c>
      <c r="FA149" s="502" t="str">
        <f t="shared" si="947"/>
        <v/>
      </c>
      <c r="FB149" s="494" t="str">
        <f t="shared" si="948"/>
        <v/>
      </c>
      <c r="FC149" s="497" t="str">
        <f t="shared" si="949"/>
        <v/>
      </c>
      <c r="FD149" s="498" t="str">
        <f t="shared" si="1172"/>
        <v/>
      </c>
      <c r="FE149" s="494" t="str">
        <f t="shared" si="1173"/>
        <v/>
      </c>
      <c r="FF149" s="500" t="str">
        <f t="shared" si="1174"/>
        <v/>
      </c>
      <c r="FG149" s="173" t="str">
        <f t="shared" si="1175"/>
        <v/>
      </c>
      <c r="FH149" s="5" t="str">
        <f t="shared" si="1176"/>
        <v/>
      </c>
      <c r="FI149" s="10" t="str">
        <f t="shared" si="1177"/>
        <v/>
      </c>
      <c r="FJ149" s="279" t="str">
        <f t="shared" si="1178"/>
        <v/>
      </c>
      <c r="FK149" s="4" t="str">
        <f t="shared" si="1179"/>
        <v/>
      </c>
      <c r="FL149" s="5" t="str">
        <f t="shared" si="1180"/>
        <v/>
      </c>
      <c r="FM149" s="8" t="str">
        <f t="shared" si="1181"/>
        <v/>
      </c>
      <c r="FN149" s="9" t="str">
        <f t="shared" si="1182"/>
        <v/>
      </c>
      <c r="FO149" s="10" t="str">
        <f t="shared" si="1183"/>
        <v/>
      </c>
      <c r="FP149" s="277" t="str">
        <f t="shared" si="1184"/>
        <v/>
      </c>
      <c r="FQ149" s="173" t="str">
        <f t="shared" si="1185"/>
        <v/>
      </c>
      <c r="FR149" s="10" t="str">
        <f t="shared" si="1186"/>
        <v/>
      </c>
      <c r="FS149" s="9" t="str">
        <f t="shared" si="1187"/>
        <v/>
      </c>
      <c r="FT149" s="6" t="str">
        <f t="shared" si="1188"/>
        <v/>
      </c>
      <c r="FU149" s="4" t="str">
        <f t="shared" si="1189"/>
        <v/>
      </c>
      <c r="FV149" s="5" t="str">
        <f t="shared" si="1190"/>
        <v/>
      </c>
      <c r="FW149" s="8" t="str">
        <f t="shared" si="1191"/>
        <v/>
      </c>
      <c r="FX149" s="9" t="str">
        <f t="shared" si="1192"/>
        <v/>
      </c>
      <c r="FY149" s="10" t="str">
        <f t="shared" si="1193"/>
        <v/>
      </c>
      <c r="FZ149" s="277" t="str">
        <f t="shared" si="1194"/>
        <v/>
      </c>
      <c r="GA149" s="177" t="str">
        <f t="shared" si="1195"/>
        <v/>
      </c>
      <c r="GB149" s="4" t="str">
        <f t="shared" si="1196"/>
        <v/>
      </c>
      <c r="GC149" s="5" t="str">
        <f t="shared" si="1197"/>
        <v/>
      </c>
      <c r="GD149" s="10" t="str">
        <f t="shared" si="1198"/>
        <v/>
      </c>
      <c r="GE149" s="311" t="str">
        <f t="shared" si="1199"/>
        <v/>
      </c>
      <c r="GF149" s="341" t="str">
        <f t="shared" si="1200"/>
        <v/>
      </c>
      <c r="GG149" s="306" t="str">
        <f t="shared" si="1201"/>
        <v/>
      </c>
      <c r="GH149" s="307" t="str">
        <f t="shared" si="1202"/>
        <v/>
      </c>
      <c r="GI149" s="308" t="str">
        <f t="shared" si="1203"/>
        <v/>
      </c>
      <c r="GJ149" s="167" t="str">
        <f t="shared" si="1204"/>
        <v/>
      </c>
      <c r="GK149" s="174" t="str">
        <f t="shared" si="961"/>
        <v/>
      </c>
      <c r="GL149" s="174" t="str">
        <f t="shared" si="1205"/>
        <v/>
      </c>
      <c r="GM149" s="177" t="str">
        <f t="shared" si="1206"/>
        <v/>
      </c>
      <c r="GN149" s="280" t="str">
        <f t="shared" si="1207"/>
        <v/>
      </c>
      <c r="GO149" s="4" t="str">
        <f t="shared" si="1208"/>
        <v/>
      </c>
      <c r="GP149" s="8" t="str">
        <f t="shared" si="1209"/>
        <v/>
      </c>
      <c r="GQ149" s="177" t="str">
        <f t="shared" si="1210"/>
        <v/>
      </c>
      <c r="GR149" s="371" t="str">
        <f t="shared" si="1211"/>
        <v/>
      </c>
      <c r="GS149" s="342" t="str">
        <f t="shared" si="1212"/>
        <v/>
      </c>
      <c r="GT149" s="343" t="str">
        <f t="shared" si="1213"/>
        <v/>
      </c>
      <c r="GU149" s="344" t="str">
        <f t="shared" si="964"/>
        <v/>
      </c>
      <c r="GV149" s="343" t="str">
        <f t="shared" si="1214"/>
        <v/>
      </c>
      <c r="GW149" s="345" t="str">
        <f t="shared" si="965"/>
        <v/>
      </c>
      <c r="GX149" s="346" t="str">
        <f t="shared" si="966"/>
        <v/>
      </c>
      <c r="GY149" s="344" t="str">
        <f t="shared" si="1215"/>
        <v/>
      </c>
      <c r="GZ149" s="345" t="str">
        <f t="shared" si="1216"/>
        <v/>
      </c>
      <c r="HA149" s="342" t="str">
        <f t="shared" si="969"/>
        <v/>
      </c>
      <c r="HB149" s="5" t="str">
        <f t="shared" si="850"/>
        <v/>
      </c>
      <c r="HC149" s="343" t="str">
        <f t="shared" si="1217"/>
        <v/>
      </c>
      <c r="HD149" s="363" t="str">
        <f t="shared" si="1218"/>
        <v/>
      </c>
      <c r="HE149" s="344" t="str">
        <f t="shared" si="970"/>
        <v/>
      </c>
      <c r="HF149" s="5" t="str">
        <f t="shared" si="971"/>
        <v/>
      </c>
      <c r="HG149" s="343" t="str">
        <f t="shared" si="1219"/>
        <v/>
      </c>
      <c r="HH149" s="349" t="str">
        <f t="shared" si="1220"/>
        <v/>
      </c>
      <c r="HI149" s="317" t="str">
        <f t="shared" si="1260"/>
        <v/>
      </c>
      <c r="HK149" s="310" t="str">
        <f t="shared" si="1294"/>
        <v/>
      </c>
      <c r="HL149" s="348" t="str">
        <f t="shared" si="1261"/>
        <v/>
      </c>
      <c r="HM149" s="923" t="str">
        <f t="shared" si="1262"/>
        <v/>
      </c>
      <c r="HN149" s="924" t="str">
        <f t="shared" si="1263"/>
        <v/>
      </c>
      <c r="HO149" s="925"/>
      <c r="HP149" s="926"/>
      <c r="HQ149" s="924" t="str">
        <f t="shared" si="1264"/>
        <v/>
      </c>
      <c r="HR149" s="927" t="str">
        <f t="shared" si="1265"/>
        <v/>
      </c>
      <c r="HS149" s="879" t="str">
        <f t="shared" si="1221"/>
        <v/>
      </c>
      <c r="HT149" s="889" t="str">
        <f t="shared" si="1266"/>
        <v/>
      </c>
      <c r="HU149" s="890" t="str">
        <f t="shared" si="1267"/>
        <v/>
      </c>
      <c r="HV149" s="886" t="str">
        <f t="shared" si="1268"/>
        <v/>
      </c>
      <c r="HW149" s="880" t="str">
        <f t="shared" si="1269"/>
        <v/>
      </c>
      <c r="HX149" s="881" t="str">
        <f t="shared" si="1270"/>
        <v/>
      </c>
      <c r="HY149" s="880" t="str">
        <f t="shared" si="1271"/>
        <v/>
      </c>
      <c r="HZ149" s="882" t="str">
        <f t="shared" si="1272"/>
        <v/>
      </c>
      <c r="IA149" s="883" t="str">
        <f t="shared" si="1273"/>
        <v/>
      </c>
      <c r="IB149" s="884" t="str">
        <f t="shared" si="1274"/>
        <v/>
      </c>
      <c r="IC149" s="855" t="str">
        <f t="shared" si="1275"/>
        <v/>
      </c>
      <c r="ID149" s="351" t="str">
        <f t="shared" si="1276"/>
        <v/>
      </c>
      <c r="IE149" s="857" t="str">
        <f t="shared" si="1277"/>
        <v/>
      </c>
      <c r="IF149" s="858"/>
      <c r="IG149" s="790" t="str">
        <f>IFERROR(IF($IW149="","",IF($IW149&lt;(((Settings!$C$19/2)*-1)*$IG$8),"Taper","Nose")),"")</f>
        <v/>
      </c>
      <c r="IH149" s="482" t="str">
        <f>IFERROR(IF((((($IY149*COS(RADIANS(180-$JA149)))*COS(RADIANS($JA149)))-(($IZ149*SIN(RADIANS(180-$JA149)))*SIN(RADIANS($JA149))))+$IW149)&lt;(((Settings!$C$19+$IH$8)/2)*-1),"Gage",""),"")</f>
        <v/>
      </c>
      <c r="II149" s="788" t="str">
        <f t="shared" si="1298"/>
        <v/>
      </c>
      <c r="IJ149" s="674" t="str" cm="1">
        <f t="array" ref="IJ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K149" s="677" t="str" cm="1">
        <f t="array" ref="IK149">IFERROR(ROUND(VALUE(IF($IJ149&lt;1,$IJ149+LARGE((IF($M$9:$M$150="",0,$M$9:$M$150)-MOD(IF($M$9:$M$150="",0,$M$9:$M$150),1)),1),$IJ149)),4),"")</f>
        <v/>
      </c>
      <c r="IL149" s="482" t="str">
        <f t="shared" si="1278"/>
        <v/>
      </c>
      <c r="IM149" s="482" t="str">
        <f t="shared" si="1299"/>
        <v/>
      </c>
      <c r="IN149" s="670" t="str">
        <f t="shared" si="1279"/>
        <v/>
      </c>
      <c r="IO149" s="702"/>
      <c r="IP149" s="5" t="str">
        <f t="shared" si="1280"/>
        <v/>
      </c>
      <c r="IQ149" s="714"/>
      <c r="IR149" s="9" t="str">
        <f t="shared" si="1281"/>
        <v/>
      </c>
      <c r="IS149" s="5" t="str">
        <f t="shared" si="1282"/>
        <v/>
      </c>
      <c r="IT149" s="5" t="str">
        <f t="shared" si="1283"/>
        <v/>
      </c>
      <c r="IU149" s="5" t="str">
        <f t="shared" si="1284"/>
        <v/>
      </c>
      <c r="IV149" s="670" t="str">
        <f t="shared" si="1285"/>
        <v/>
      </c>
      <c r="IW149" s="9" t="str">
        <f t="shared" si="1286"/>
        <v/>
      </c>
      <c r="IX149" s="5" t="str">
        <f t="shared" si="1287"/>
        <v/>
      </c>
      <c r="IY149" s="5" t="str">
        <f t="shared" si="1288"/>
        <v/>
      </c>
      <c r="IZ149" s="5" t="str">
        <f t="shared" si="1289"/>
        <v/>
      </c>
      <c r="JA149" s="705" t="str">
        <f t="shared" si="1290"/>
        <v/>
      </c>
    </row>
    <row r="150" spans="1:261" ht="15" customHeight="1" thickBot="1" x14ac:dyDescent="0.3">
      <c r="A150" s="75" t="str">
        <f t="shared" si="1234"/>
        <v/>
      </c>
      <c r="B150" s="593" t="str">
        <f t="shared" ref="B150:D150" si="1320">IFERROR(O305+($A150*-E150),"")</f>
        <v/>
      </c>
      <c r="C150" s="590" t="str">
        <f t="shared" si="1320"/>
        <v/>
      </c>
      <c r="D150" s="591" t="str">
        <f t="shared" si="1320"/>
        <v/>
      </c>
      <c r="E150" s="596" t="str">
        <f t="shared" ref="E150:K150" si="1321">R305</f>
        <v/>
      </c>
      <c r="F150" s="590" t="str">
        <f t="shared" si="1321"/>
        <v/>
      </c>
      <c r="G150" s="594" t="str">
        <f t="shared" si="1321"/>
        <v/>
      </c>
      <c r="H150" s="596" t="str">
        <f t="shared" si="1321"/>
        <v/>
      </c>
      <c r="I150" s="590" t="str">
        <f t="shared" si="1321"/>
        <v/>
      </c>
      <c r="J150" s="485" t="str">
        <f t="shared" si="1293"/>
        <v/>
      </c>
      <c r="K150" s="808" t="str">
        <f t="shared" si="1321"/>
        <v/>
      </c>
      <c r="L150" s="309"/>
      <c r="M150" s="165" t="str">
        <f t="shared" si="1237"/>
        <v/>
      </c>
      <c r="N150" s="589" t="str">
        <f t="shared" si="1238"/>
        <v/>
      </c>
      <c r="O150" s="590" t="str">
        <f t="shared" si="1239"/>
        <v/>
      </c>
      <c r="P150" s="591" t="str">
        <f t="shared" si="1240"/>
        <v/>
      </c>
      <c r="Q150" s="540" t="str">
        <f t="shared" si="1079"/>
        <v/>
      </c>
      <c r="R150" s="590" t="str">
        <f t="shared" si="1080"/>
        <v/>
      </c>
      <c r="S150" s="592" t="str">
        <f t="shared" si="1081"/>
        <v/>
      </c>
      <c r="T150" s="593" t="str">
        <f t="shared" si="1082"/>
        <v/>
      </c>
      <c r="U150" s="590" t="str">
        <f t="shared" si="1083"/>
        <v/>
      </c>
      <c r="V150" s="594" t="str">
        <f t="shared" si="1084"/>
        <v/>
      </c>
      <c r="W150" s="540" t="str">
        <f t="shared" si="1085"/>
        <v/>
      </c>
      <c r="X150" s="590" t="str">
        <f t="shared" si="1086"/>
        <v/>
      </c>
      <c r="Y150" s="595" t="str">
        <f t="shared" si="1087"/>
        <v/>
      </c>
      <c r="Z150" s="589" t="str">
        <f t="shared" si="1241"/>
        <v/>
      </c>
      <c r="AA150" s="590" t="str">
        <f t="shared" si="1242"/>
        <v/>
      </c>
      <c r="AB150" s="590" t="str">
        <f t="shared" si="1243"/>
        <v/>
      </c>
      <c r="AC150" s="594" t="str">
        <f t="shared" si="1088"/>
        <v/>
      </c>
      <c r="AD150" s="596" t="str">
        <f t="shared" si="1089"/>
        <v/>
      </c>
      <c r="AE150" s="590" t="str">
        <f t="shared" si="1090"/>
        <v/>
      </c>
      <c r="AF150" s="591" t="str">
        <f t="shared" si="1091"/>
        <v/>
      </c>
      <c r="AG150" s="549" t="str">
        <f t="shared" si="1092"/>
        <v/>
      </c>
      <c r="AH150" s="550" t="str">
        <f t="shared" si="1093"/>
        <v/>
      </c>
      <c r="AI150" s="540" t="str">
        <f t="shared" si="1094"/>
        <v/>
      </c>
      <c r="AJ150" s="541" t="str">
        <f t="shared" si="1095"/>
        <v/>
      </c>
      <c r="AK150" s="593" t="str">
        <f t="shared" si="1096"/>
        <v/>
      </c>
      <c r="AL150" s="590" t="str">
        <f t="shared" si="1097"/>
        <v/>
      </c>
      <c r="AM150" s="592" t="str">
        <f t="shared" si="1098"/>
        <v/>
      </c>
      <c r="AN150" s="538" t="str">
        <f t="shared" si="1099"/>
        <v/>
      </c>
      <c r="AO150" s="539" t="str">
        <f t="shared" si="1058"/>
        <v/>
      </c>
      <c r="AP150" s="540" t="str">
        <f t="shared" si="1100"/>
        <v/>
      </c>
      <c r="AQ150" s="541" t="str">
        <f t="shared" si="1244"/>
        <v/>
      </c>
      <c r="AS150" s="956" t="str">
        <f t="shared" si="1297"/>
        <v/>
      </c>
      <c r="AT150" s="952" t="str">
        <f t="shared" si="1245"/>
        <v/>
      </c>
      <c r="AU150" s="418"/>
      <c r="AV150" s="164" t="str">
        <f t="shared" si="1246"/>
        <v/>
      </c>
      <c r="AW150" s="835" t="str">
        <f>IFERROR(INDEX(MassProp!C$9:C$150,MATCH($M150,MassProp!$B$9:$B$150,0)),"")</f>
        <v/>
      </c>
      <c r="AX150" s="836" t="str">
        <f>IFERROR(INDEX(MassProp!D$9:D$150,MATCH($M150,MassProp!$B$9:$B$150,0)),"")</f>
        <v/>
      </c>
      <c r="AY150" s="837" t="str">
        <f>IFERROR(INDEX(MassProp!E$9:E$150,MATCH($M150,MassProp!$B$9:$B$150,0)),"")</f>
        <v/>
      </c>
      <c r="AZ150" s="297" t="str">
        <f t="shared" si="1101"/>
        <v/>
      </c>
      <c r="BA150" s="298" t="str">
        <f t="shared" si="1102"/>
        <v/>
      </c>
      <c r="BB150" s="372" t="str">
        <f t="shared" si="730"/>
        <v/>
      </c>
      <c r="BC150" s="17"/>
      <c r="BD150" s="13" t="str">
        <f t="shared" si="1103"/>
        <v/>
      </c>
      <c r="BE150" s="14" t="str">
        <f t="shared" si="1247"/>
        <v/>
      </c>
      <c r="BF150" s="12" t="str">
        <f t="shared" si="1248"/>
        <v/>
      </c>
      <c r="BG150" s="13" t="str">
        <f t="shared" si="1249"/>
        <v/>
      </c>
      <c r="BH150" s="18" t="str">
        <f t="shared" si="1250"/>
        <v/>
      </c>
      <c r="BI150" s="17" t="str">
        <f t="shared" si="1104"/>
        <v/>
      </c>
      <c r="BJ150" s="13" t="str">
        <f t="shared" si="1251"/>
        <v/>
      </c>
      <c r="BK150" s="16" t="str">
        <f t="shared" si="1252"/>
        <v/>
      </c>
      <c r="BL150" s="214" t="str">
        <f t="shared" si="1253"/>
        <v/>
      </c>
      <c r="BM150" s="13" t="str">
        <f t="shared" si="1254"/>
        <v/>
      </c>
      <c r="BN150" s="14" t="str">
        <f t="shared" si="1255"/>
        <v/>
      </c>
      <c r="BO150" s="12" t="str">
        <f t="shared" si="1105"/>
        <v/>
      </c>
      <c r="BP150" s="13" t="str">
        <f t="shared" si="1106"/>
        <v/>
      </c>
      <c r="BQ150" s="13" t="str">
        <f t="shared" si="1107"/>
        <v/>
      </c>
      <c r="BR150" s="14" t="str">
        <f t="shared" si="1108"/>
        <v/>
      </c>
      <c r="BS150" s="12" t="str">
        <f t="shared" si="1024"/>
        <v/>
      </c>
      <c r="BT150" s="13" t="str">
        <f t="shared" si="1024"/>
        <v/>
      </c>
      <c r="BU150" s="18" t="str">
        <f t="shared" si="733"/>
        <v/>
      </c>
      <c r="BV150" s="17" t="str">
        <f t="shared" si="734"/>
        <v/>
      </c>
      <c r="BW150" s="13" t="str">
        <f t="shared" si="735"/>
        <v/>
      </c>
      <c r="BX150" s="16" t="str">
        <f t="shared" si="736"/>
        <v/>
      </c>
      <c r="BY150" s="214" t="str">
        <f t="shared" si="737"/>
        <v/>
      </c>
      <c r="BZ150" s="13" t="str">
        <f t="shared" si="738"/>
        <v/>
      </c>
      <c r="CA150" s="14" t="str">
        <f t="shared" si="739"/>
        <v/>
      </c>
      <c r="CB150" s="12" t="str">
        <f t="shared" si="1109"/>
        <v/>
      </c>
      <c r="CC150" s="13" t="str">
        <f t="shared" si="1110"/>
        <v/>
      </c>
      <c r="CD150" s="13" t="str">
        <f t="shared" si="1111"/>
        <v/>
      </c>
      <c r="CE150" s="14" t="str">
        <f t="shared" si="1112"/>
        <v/>
      </c>
      <c r="CF150" s="12" t="str">
        <f t="shared" si="1113"/>
        <v/>
      </c>
      <c r="CG150" s="13" t="str">
        <f t="shared" si="1114"/>
        <v/>
      </c>
      <c r="CH150" s="13" t="str">
        <f t="shared" si="1115"/>
        <v/>
      </c>
      <c r="CI150" s="12" t="str">
        <f t="shared" si="740"/>
        <v/>
      </c>
      <c r="CJ150" s="13" t="str">
        <f t="shared" si="1116"/>
        <v/>
      </c>
      <c r="CK150" s="16" t="str">
        <f t="shared" si="1117"/>
        <v/>
      </c>
      <c r="CL150" s="214" t="str">
        <f t="shared" si="1118"/>
        <v/>
      </c>
      <c r="CM150" s="13" t="str">
        <f t="shared" si="1119"/>
        <v/>
      </c>
      <c r="CN150" s="14" t="str">
        <f t="shared" si="1120"/>
        <v/>
      </c>
      <c r="CO150" s="227" t="str">
        <f t="shared" si="1256"/>
        <v/>
      </c>
      <c r="CP150" s="12" t="str">
        <f t="shared" si="1121"/>
        <v/>
      </c>
      <c r="CQ150" s="13" t="str">
        <f t="shared" si="1122"/>
        <v/>
      </c>
      <c r="CR150" s="13" t="str">
        <f t="shared" si="1123"/>
        <v/>
      </c>
      <c r="CS150" s="16" t="str">
        <f t="shared" si="1124"/>
        <v/>
      </c>
      <c r="CT150" s="17" t="str">
        <f t="shared" si="1125"/>
        <v/>
      </c>
      <c r="CU150" s="14" t="str">
        <f t="shared" si="1126"/>
        <v/>
      </c>
      <c r="CV150" s="12" t="str">
        <f t="shared" si="1127"/>
        <v/>
      </c>
      <c r="CW150" s="13" t="str">
        <f t="shared" si="1128"/>
        <v/>
      </c>
      <c r="CX150" s="16" t="str">
        <f t="shared" si="1129"/>
        <v/>
      </c>
      <c r="CY150" s="17" t="str">
        <f t="shared" si="1130"/>
        <v/>
      </c>
      <c r="CZ150" s="13" t="str">
        <f t="shared" si="1131"/>
        <v/>
      </c>
      <c r="DA150" s="14" t="str">
        <f t="shared" si="1132"/>
        <v/>
      </c>
      <c r="DB150" s="12" t="str">
        <f t="shared" si="1030"/>
        <v/>
      </c>
      <c r="DC150" s="13" t="str">
        <f t="shared" si="1030"/>
        <v/>
      </c>
      <c r="DD150" s="18" t="str">
        <f t="shared" si="782"/>
        <v/>
      </c>
      <c r="DE150" s="17" t="str">
        <f t="shared" si="1031"/>
        <v/>
      </c>
      <c r="DF150" s="13" t="str">
        <f t="shared" si="1031"/>
        <v/>
      </c>
      <c r="DG150" s="18" t="str">
        <f t="shared" si="784"/>
        <v/>
      </c>
      <c r="DH150" s="218" t="str">
        <f t="shared" si="1133"/>
        <v/>
      </c>
      <c r="DI150" s="12" t="str">
        <f t="shared" si="1134"/>
        <v/>
      </c>
      <c r="DJ150" s="13" t="str">
        <f t="shared" si="1135"/>
        <v/>
      </c>
      <c r="DK150" s="18" t="str">
        <f t="shared" si="1136"/>
        <v/>
      </c>
      <c r="DL150" s="17" t="str">
        <f t="shared" si="1137"/>
        <v/>
      </c>
      <c r="DM150" s="214" t="str">
        <f t="shared" si="1138"/>
        <v/>
      </c>
      <c r="DN150" s="245" t="str">
        <f t="shared" si="1139"/>
        <v/>
      </c>
      <c r="DO150" s="17" t="str">
        <f t="shared" si="1140"/>
        <v/>
      </c>
      <c r="DP150" s="214" t="str">
        <f t="shared" si="1141"/>
        <v/>
      </c>
      <c r="DQ150" s="19" t="str">
        <f t="shared" si="1142"/>
        <v/>
      </c>
      <c r="DR150" s="214" t="str">
        <f t="shared" si="1143"/>
        <v/>
      </c>
      <c r="DS150" s="13" t="str">
        <f t="shared" si="1144"/>
        <v/>
      </c>
      <c r="DT150" s="13" t="str">
        <f t="shared" si="1145"/>
        <v/>
      </c>
      <c r="DU150" s="13" t="str">
        <f t="shared" si="1146"/>
        <v/>
      </c>
      <c r="DV150" s="13" t="str">
        <f t="shared" si="1147"/>
        <v/>
      </c>
      <c r="DW150" s="13" t="str">
        <f t="shared" si="1148"/>
        <v/>
      </c>
      <c r="DX150" s="227" t="str">
        <f t="shared" si="1149"/>
        <v/>
      </c>
      <c r="DY150" s="17" t="str">
        <f t="shared" si="1150"/>
        <v/>
      </c>
      <c r="DZ150" s="13" t="str">
        <f t="shared" si="1151"/>
        <v/>
      </c>
      <c r="EA150" s="18" t="str">
        <f t="shared" si="1152"/>
        <v/>
      </c>
      <c r="EB150" s="14" t="str">
        <f t="shared" si="1153"/>
        <v/>
      </c>
      <c r="EC150" s="214" t="str">
        <f t="shared" si="1154"/>
        <v/>
      </c>
      <c r="ED150" s="13" t="str">
        <f t="shared" si="1155"/>
        <v/>
      </c>
      <c r="EE150" s="12" t="str">
        <f t="shared" si="1156"/>
        <v/>
      </c>
      <c r="EF150" s="13" t="str">
        <f t="shared" si="1157"/>
        <v/>
      </c>
      <c r="EG150" s="18" t="str">
        <f t="shared" si="1158"/>
        <v/>
      </c>
      <c r="EH150" s="17" t="str">
        <f t="shared" si="1159"/>
        <v/>
      </c>
      <c r="EI150" s="13" t="str">
        <f t="shared" si="1160"/>
        <v/>
      </c>
      <c r="EJ150" s="14" t="str">
        <f t="shared" si="1161"/>
        <v/>
      </c>
      <c r="EK150" s="246" t="str">
        <f t="shared" si="814"/>
        <v/>
      </c>
      <c r="EL150" s="247" t="str">
        <f t="shared" si="815"/>
        <v/>
      </c>
      <c r="EM150" s="12" t="str">
        <f t="shared" si="1162"/>
        <v/>
      </c>
      <c r="EN150" s="13" t="str">
        <f t="shared" si="1163"/>
        <v/>
      </c>
      <c r="EO150" s="18" t="str">
        <f t="shared" si="1164"/>
        <v/>
      </c>
      <c r="EP150" s="17" t="str">
        <f t="shared" si="1165"/>
        <v/>
      </c>
      <c r="EQ150" s="13" t="str">
        <f t="shared" si="1166"/>
        <v/>
      </c>
      <c r="ER150" s="15" t="str">
        <f t="shared" si="1167"/>
        <v/>
      </c>
      <c r="ES150" s="255" t="str">
        <f t="shared" si="1257"/>
        <v/>
      </c>
      <c r="ET150" s="256" t="str">
        <f t="shared" si="1258"/>
        <v/>
      </c>
      <c r="EU150" s="257" t="str">
        <f t="shared" si="1259"/>
        <v/>
      </c>
      <c r="EV150" s="174" t="str">
        <f t="shared" si="1168"/>
        <v/>
      </c>
      <c r="EW150" s="258" t="str">
        <f t="shared" si="1169"/>
        <v/>
      </c>
      <c r="EX150" s="256" t="str">
        <f t="shared" si="1170"/>
        <v/>
      </c>
      <c r="EY150" s="259" t="str">
        <f t="shared" si="1171"/>
        <v/>
      </c>
      <c r="EZ150" s="260" t="str">
        <f t="shared" si="823"/>
        <v/>
      </c>
      <c r="FA150" s="261" t="str">
        <f t="shared" si="947"/>
        <v/>
      </c>
      <c r="FB150" s="256" t="str">
        <f t="shared" si="948"/>
        <v/>
      </c>
      <c r="FC150" s="259" t="str">
        <f t="shared" si="949"/>
        <v/>
      </c>
      <c r="FD150" s="270" t="str">
        <f t="shared" si="1172"/>
        <v/>
      </c>
      <c r="FE150" s="256" t="str">
        <f t="shared" si="1173"/>
        <v/>
      </c>
      <c r="FF150" s="262" t="str">
        <f t="shared" si="1174"/>
        <v/>
      </c>
      <c r="FG150" s="173" t="str">
        <f t="shared" si="1175"/>
        <v/>
      </c>
      <c r="FH150" s="5" t="str">
        <f t="shared" si="1176"/>
        <v/>
      </c>
      <c r="FI150" s="10" t="str">
        <f t="shared" si="1177"/>
        <v/>
      </c>
      <c r="FJ150" s="279" t="str">
        <f t="shared" si="1178"/>
        <v/>
      </c>
      <c r="FK150" s="4" t="str">
        <f t="shared" si="1179"/>
        <v/>
      </c>
      <c r="FL150" s="5" t="str">
        <f t="shared" si="1180"/>
        <v/>
      </c>
      <c r="FM150" s="8" t="str">
        <f t="shared" si="1181"/>
        <v/>
      </c>
      <c r="FN150" s="9" t="str">
        <f t="shared" si="1182"/>
        <v/>
      </c>
      <c r="FO150" s="10" t="str">
        <f t="shared" si="1183"/>
        <v/>
      </c>
      <c r="FP150" s="277" t="str">
        <f t="shared" si="1184"/>
        <v/>
      </c>
      <c r="FQ150" s="173" t="str">
        <f t="shared" si="1185"/>
        <v/>
      </c>
      <c r="FR150" s="10" t="str">
        <f t="shared" si="1186"/>
        <v/>
      </c>
      <c r="FS150" s="9" t="str">
        <f t="shared" si="1187"/>
        <v/>
      </c>
      <c r="FT150" s="6" t="str">
        <f t="shared" si="1188"/>
        <v/>
      </c>
      <c r="FU150" s="4" t="str">
        <f t="shared" si="1189"/>
        <v/>
      </c>
      <c r="FV150" s="5" t="str">
        <f t="shared" si="1190"/>
        <v/>
      </c>
      <c r="FW150" s="8" t="str">
        <f t="shared" si="1191"/>
        <v/>
      </c>
      <c r="FX150" s="9" t="str">
        <f t="shared" si="1192"/>
        <v/>
      </c>
      <c r="FY150" s="10" t="str">
        <f t="shared" si="1193"/>
        <v/>
      </c>
      <c r="FZ150" s="277" t="str">
        <f t="shared" si="1194"/>
        <v/>
      </c>
      <c r="GA150" s="177" t="str">
        <f t="shared" si="1195"/>
        <v/>
      </c>
      <c r="GB150" s="4" t="str">
        <f t="shared" si="1196"/>
        <v/>
      </c>
      <c r="GC150" s="5" t="str">
        <f t="shared" si="1197"/>
        <v/>
      </c>
      <c r="GD150" s="10" t="str">
        <f t="shared" si="1198"/>
        <v/>
      </c>
      <c r="GE150" s="311" t="str">
        <f t="shared" si="1199"/>
        <v/>
      </c>
      <c r="GF150" s="341" t="str">
        <f t="shared" si="1200"/>
        <v/>
      </c>
      <c r="GG150" s="306" t="str">
        <f t="shared" si="1201"/>
        <v/>
      </c>
      <c r="GH150" s="307" t="str">
        <f t="shared" si="1202"/>
        <v/>
      </c>
      <c r="GI150" s="308" t="str">
        <f t="shared" si="1203"/>
        <v/>
      </c>
      <c r="GJ150" s="167" t="str">
        <f t="shared" si="1204"/>
        <v/>
      </c>
      <c r="GK150" s="174" t="str">
        <f t="shared" si="961"/>
        <v/>
      </c>
      <c r="GL150" s="174" t="str">
        <f t="shared" si="1205"/>
        <v/>
      </c>
      <c r="GM150" s="177" t="str">
        <f t="shared" si="1206"/>
        <v/>
      </c>
      <c r="GN150" s="280" t="str">
        <f t="shared" si="1207"/>
        <v/>
      </c>
      <c r="GO150" s="4" t="str">
        <f t="shared" si="1208"/>
        <v/>
      </c>
      <c r="GP150" s="8" t="str">
        <f t="shared" si="1209"/>
        <v/>
      </c>
      <c r="GQ150" s="177" t="str">
        <f t="shared" si="1210"/>
        <v/>
      </c>
      <c r="GR150" s="371" t="str">
        <f t="shared" si="1211"/>
        <v/>
      </c>
      <c r="GS150" s="342" t="str">
        <f t="shared" si="1212"/>
        <v/>
      </c>
      <c r="GT150" s="343" t="str">
        <f t="shared" si="1213"/>
        <v/>
      </c>
      <c r="GU150" s="344" t="str">
        <f t="shared" si="964"/>
        <v/>
      </c>
      <c r="GV150" s="343" t="str">
        <f t="shared" si="1214"/>
        <v/>
      </c>
      <c r="GW150" s="345" t="str">
        <f t="shared" si="965"/>
        <v/>
      </c>
      <c r="GX150" s="346" t="str">
        <f t="shared" si="966"/>
        <v/>
      </c>
      <c r="GY150" s="344" t="str">
        <f t="shared" si="1215"/>
        <v/>
      </c>
      <c r="GZ150" s="345" t="str">
        <f t="shared" si="1216"/>
        <v/>
      </c>
      <c r="HA150" s="342" t="str">
        <f t="shared" si="969"/>
        <v/>
      </c>
      <c r="HB150" s="5" t="str">
        <f t="shared" si="850"/>
        <v/>
      </c>
      <c r="HC150" s="343" t="str">
        <f t="shared" si="1217"/>
        <v/>
      </c>
      <c r="HD150" s="363" t="str">
        <f t="shared" si="1218"/>
        <v/>
      </c>
      <c r="HE150" s="344" t="str">
        <f t="shared" si="970"/>
        <v/>
      </c>
      <c r="HF150" s="5" t="str">
        <f t="shared" si="971"/>
        <v/>
      </c>
      <c r="HG150" s="343" t="str">
        <f t="shared" si="1219"/>
        <v/>
      </c>
      <c r="HH150" s="349" t="str">
        <f t="shared" si="1220"/>
        <v/>
      </c>
      <c r="HI150" s="317" t="str">
        <f t="shared" si="1260"/>
        <v/>
      </c>
      <c r="HK150" s="310" t="str">
        <f t="shared" si="1294"/>
        <v/>
      </c>
      <c r="HL150" s="348" t="str">
        <f t="shared" si="1261"/>
        <v/>
      </c>
      <c r="HM150" s="923" t="str">
        <f t="shared" si="1262"/>
        <v/>
      </c>
      <c r="HN150" s="924" t="str">
        <f t="shared" si="1263"/>
        <v/>
      </c>
      <c r="HO150" s="925"/>
      <c r="HP150" s="926"/>
      <c r="HQ150" s="924" t="str">
        <f t="shared" si="1264"/>
        <v/>
      </c>
      <c r="HR150" s="927" t="str">
        <f t="shared" si="1265"/>
        <v/>
      </c>
      <c r="HS150" s="879" t="str">
        <f t="shared" si="1221"/>
        <v/>
      </c>
      <c r="HT150" s="889" t="str">
        <f t="shared" si="1266"/>
        <v/>
      </c>
      <c r="HU150" s="890" t="str">
        <f t="shared" si="1267"/>
        <v/>
      </c>
      <c r="HV150" s="886" t="str">
        <f t="shared" si="1268"/>
        <v/>
      </c>
      <c r="HW150" s="880" t="str">
        <f t="shared" si="1269"/>
        <v/>
      </c>
      <c r="HX150" s="881" t="str">
        <f t="shared" si="1270"/>
        <v/>
      </c>
      <c r="HY150" s="880" t="str">
        <f t="shared" si="1271"/>
        <v/>
      </c>
      <c r="HZ150" s="882" t="str">
        <f t="shared" si="1272"/>
        <v/>
      </c>
      <c r="IA150" s="883" t="str">
        <f t="shared" si="1273"/>
        <v/>
      </c>
      <c r="IB150" s="884" t="str">
        <f t="shared" si="1274"/>
        <v/>
      </c>
      <c r="IC150" s="855" t="str">
        <f t="shared" si="1275"/>
        <v/>
      </c>
      <c r="ID150" s="351" t="str">
        <f t="shared" si="1276"/>
        <v/>
      </c>
      <c r="IE150" s="857" t="str">
        <f t="shared" si="1277"/>
        <v/>
      </c>
      <c r="IF150" s="858"/>
      <c r="IG150" s="791" t="str">
        <f>IFERROR(IF($IW150="","",IF($IW150&lt;(((Settings!$C$19/2)*-1)*$IG$8),"Taper","Nose")),"")</f>
        <v/>
      </c>
      <c r="IH150" s="782" t="str">
        <f>IFERROR(IF((((($IY150*COS(RADIANS(180-$JA150)))*COS(RADIANS($JA150)))-(($IZ150*SIN(RADIANS(180-$JA150)))*SIN(RADIANS($JA150))))+$IW150)&lt;(((Settings!$C$19+$IH$8)/2)*-1),"Gage",""),"")</f>
        <v/>
      </c>
      <c r="II150" s="789" t="str">
        <f t="shared" si="1298"/>
        <v/>
      </c>
      <c r="IJ150" s="675" t="str" cm="1">
        <f t="array" ref="IJ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K150" s="678" t="str" cm="1">
        <f t="array" ref="IK150">IFERROR(ROUND(VALUE(IF($IJ150&lt;1,$IJ150+LARGE((IF($M$9:$M$150="",0,$M$9:$M$150)-MOD(IF($M$9:$M$150="",0,$M$9:$M$150),1)),1),$IJ150)),4),"")</f>
        <v/>
      </c>
      <c r="IL150" s="782" t="str">
        <f t="shared" si="1278"/>
        <v/>
      </c>
      <c r="IM150" s="782" t="str">
        <f t="shared" si="1299"/>
        <v/>
      </c>
      <c r="IN150" s="671" t="str">
        <f t="shared" si="1279"/>
        <v/>
      </c>
      <c r="IO150" s="703"/>
      <c r="IP150" s="175" t="str">
        <f t="shared" si="1280"/>
        <v/>
      </c>
      <c r="IQ150" s="715"/>
      <c r="IR150" s="711" t="str">
        <f t="shared" si="1281"/>
        <v/>
      </c>
      <c r="IS150" s="175" t="str">
        <f t="shared" si="1282"/>
        <v/>
      </c>
      <c r="IT150" s="175" t="str">
        <f t="shared" si="1283"/>
        <v/>
      </c>
      <c r="IU150" s="175" t="str">
        <f t="shared" si="1284"/>
        <v/>
      </c>
      <c r="IV150" s="671" t="str">
        <f t="shared" si="1285"/>
        <v/>
      </c>
      <c r="IW150" s="711" t="str">
        <f t="shared" si="1286"/>
        <v/>
      </c>
      <c r="IX150" s="175" t="str">
        <f t="shared" si="1287"/>
        <v/>
      </c>
      <c r="IY150" s="175" t="str">
        <f t="shared" si="1288"/>
        <v/>
      </c>
      <c r="IZ150" s="175" t="str">
        <f t="shared" si="1289"/>
        <v/>
      </c>
      <c r="JA150" s="706" t="str">
        <f t="shared" si="1290"/>
        <v/>
      </c>
    </row>
    <row r="151" spans="1:261" x14ac:dyDescent="0.25">
      <c r="L151" s="309"/>
      <c r="AZ151" s="187">
        <f>SUM(AZ9:AZ150)</f>
        <v>0</v>
      </c>
      <c r="BA151" s="288">
        <f>SUM(BA9:BA150)</f>
        <v>0</v>
      </c>
      <c r="BB151" s="189"/>
    </row>
    <row r="152" spans="1:261" x14ac:dyDescent="0.25">
      <c r="H152" s="68"/>
    </row>
    <row r="153" spans="1:261" x14ac:dyDescent="0.25">
      <c r="H153" s="68"/>
    </row>
    <row r="154" spans="1:261" x14ac:dyDescent="0.25">
      <c r="E154" s="166"/>
      <c r="F154" s="166"/>
      <c r="G154" s="166"/>
      <c r="H154" s="135"/>
      <c r="I154" s="82"/>
      <c r="J154" s="75"/>
    </row>
    <row r="155" spans="1:261" x14ac:dyDescent="0.25">
      <c r="E155" s="166"/>
      <c r="F155" s="166"/>
      <c r="G155" s="166"/>
      <c r="H155" s="135"/>
      <c r="I155" s="82"/>
      <c r="J155" s="75"/>
    </row>
    <row r="156" spans="1:261" ht="15.75" thickBot="1" x14ac:dyDescent="0.3">
      <c r="B156" s="69"/>
      <c r="C156" s="69"/>
      <c r="D156" s="69"/>
      <c r="E156" s="166"/>
      <c r="F156" s="166"/>
      <c r="G156" s="166"/>
      <c r="H156" s="135"/>
      <c r="I156" s="82"/>
      <c r="J156" s="75"/>
    </row>
    <row r="157" spans="1:261" ht="15" customHeight="1" x14ac:dyDescent="0.25">
      <c r="B157" s="1147" t="s">
        <v>42</v>
      </c>
      <c r="C157" s="1340"/>
      <c r="D157" s="1340"/>
      <c r="E157" s="1340"/>
      <c r="F157" s="1340"/>
      <c r="G157" s="1340"/>
      <c r="H157" s="1340"/>
      <c r="I157" s="1340"/>
      <c r="J157" s="1340"/>
      <c r="K157" s="1340"/>
      <c r="L157" s="1340"/>
      <c r="M157" s="1341"/>
      <c r="Z157" t="s">
        <v>101</v>
      </c>
      <c r="AA157" s="219">
        <v>0</v>
      </c>
    </row>
    <row r="158" spans="1:261" x14ac:dyDescent="0.25">
      <c r="B158" s="1342"/>
      <c r="C158" s="1343"/>
      <c r="D158" s="1343"/>
      <c r="E158" s="1343"/>
      <c r="F158" s="1343"/>
      <c r="G158" s="1343"/>
      <c r="H158" s="1343"/>
      <c r="I158" s="1343"/>
      <c r="J158" s="1343"/>
      <c r="K158" s="1343"/>
      <c r="L158" s="1343"/>
      <c r="M158" s="1344"/>
      <c r="Z158" t="s">
        <v>102</v>
      </c>
      <c r="AA158" s="219">
        <v>0.01</v>
      </c>
    </row>
    <row r="159" spans="1:261" x14ac:dyDescent="0.25">
      <c r="B159" s="1345"/>
      <c r="C159" s="1346"/>
      <c r="D159" s="1346"/>
      <c r="E159" s="1346"/>
      <c r="F159" s="1346"/>
      <c r="G159" s="1346"/>
      <c r="H159" s="1346"/>
      <c r="I159" s="1346"/>
      <c r="J159" s="1346"/>
      <c r="K159" s="1346"/>
      <c r="L159" s="1346"/>
      <c r="M159" s="1347"/>
    </row>
    <row r="160" spans="1:261" ht="15" customHeight="1" x14ac:dyDescent="0.25">
      <c r="B160" s="1348" t="str">
        <f>CONCATENATE(B162," ; ",E162," ; ",H163)</f>
        <v>Absolute-Point ; Incremental-Vector Point ; Radius</v>
      </c>
      <c r="C160" s="1349"/>
      <c r="D160" s="1349"/>
      <c r="E160" s="1349"/>
      <c r="F160" s="1349"/>
      <c r="G160" s="1349"/>
      <c r="H160" s="1349"/>
      <c r="I160" s="1349"/>
      <c r="J160" s="1349"/>
      <c r="K160" s="1349"/>
      <c r="L160" s="1349"/>
      <c r="M160" s="1350"/>
      <c r="Z160" t="s">
        <v>160</v>
      </c>
      <c r="AA160" s="31" t="s">
        <v>159</v>
      </c>
      <c r="AB160" s="31" t="s">
        <v>101</v>
      </c>
      <c r="AC160" s="31" t="s">
        <v>102</v>
      </c>
    </row>
    <row r="161" spans="2:38" ht="15" customHeight="1" x14ac:dyDescent="0.25">
      <c r="B161" s="1144"/>
      <c r="C161" s="1145"/>
      <c r="D161" s="1145"/>
      <c r="E161" s="1145"/>
      <c r="F161" s="1145"/>
      <c r="G161" s="1145"/>
      <c r="H161" s="1145"/>
      <c r="I161" s="1145"/>
      <c r="J161" s="1145"/>
      <c r="K161" s="1145"/>
      <c r="L161" s="1145"/>
      <c r="M161" s="1146"/>
      <c r="O161">
        <f>SQRT(R179^2+S179^2+T179^2)</f>
        <v>1</v>
      </c>
      <c r="Z161" t="s">
        <v>151</v>
      </c>
      <c r="AA161" s="199">
        <v>0.433</v>
      </c>
      <c r="AB161" s="162">
        <f t="shared" ref="AB161:AB168" si="1322">AA161+$AA$157</f>
        <v>0.433</v>
      </c>
      <c r="AC161" s="162">
        <f t="shared" ref="AC161:AC168" si="1323">AA161+$AA$158</f>
        <v>0.443</v>
      </c>
    </row>
    <row r="162" spans="2:38" x14ac:dyDescent="0.25">
      <c r="B162" s="1338" t="s">
        <v>40</v>
      </c>
      <c r="C162" s="1137"/>
      <c r="D162" s="1339"/>
      <c r="E162" s="1136" t="s">
        <v>41</v>
      </c>
      <c r="F162" s="1137"/>
      <c r="G162" s="1138"/>
      <c r="H162" s="1003" t="s">
        <v>305</v>
      </c>
      <c r="I162" s="1023"/>
      <c r="J162" s="1004"/>
      <c r="K162" s="155"/>
      <c r="L162" s="1351" t="s">
        <v>399</v>
      </c>
      <c r="M162" s="1352"/>
      <c r="Z162" t="s">
        <v>152</v>
      </c>
      <c r="AA162" s="199">
        <v>0.48099999999999998</v>
      </c>
      <c r="AB162" s="162">
        <f t="shared" si="1322"/>
        <v>0.48099999999999998</v>
      </c>
      <c r="AC162" s="162">
        <f t="shared" si="1323"/>
        <v>0.49099999999999999</v>
      </c>
    </row>
    <row r="163" spans="2:38" ht="15.75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929" t="s">
        <v>386</v>
      </c>
      <c r="L163" s="935" t="s">
        <v>398</v>
      </c>
      <c r="M163" s="936" t="s">
        <v>397</v>
      </c>
      <c r="Z163" t="s">
        <v>153</v>
      </c>
      <c r="AA163" s="199">
        <v>0.52900000000000003</v>
      </c>
      <c r="AB163" s="162">
        <f t="shared" si="1322"/>
        <v>0.52900000000000003</v>
      </c>
      <c r="AC163" s="162">
        <f t="shared" si="1323"/>
        <v>0.53900000000000003</v>
      </c>
    </row>
    <row r="164" spans="2:38" ht="15.75" thickTop="1" x14ac:dyDescent="0.25">
      <c r="B164" s="645">
        <v>0</v>
      </c>
      <c r="C164" s="646">
        <v>0.29520089032588526</v>
      </c>
      <c r="D164" s="647">
        <v>-0.50970153725983647</v>
      </c>
      <c r="E164" s="648">
        <v>-0.93969263802333458</v>
      </c>
      <c r="F164" s="646">
        <v>-8.8521302156295598E-2</v>
      </c>
      <c r="G164" s="649">
        <v>0.33036604714967338</v>
      </c>
      <c r="H164" s="648">
        <v>0.26600000000000001</v>
      </c>
      <c r="I164" s="941">
        <v>0.52</v>
      </c>
      <c r="J164" s="945">
        <v>1.101</v>
      </c>
      <c r="K164" s="930">
        <f>IF($J164="","",IF(IFERROR(INDEX(Settings!$AK$14:$AK$60,MATCH((((ROUND($H164,6)*2)*1000000)+ROUND($I164,6)),Settings!$AI$14:$AI$60,0)),"Undefined")="Undefined","Undefined",IFERROR(INDEX(_xlfn.ANCHORARRAY(Settings!$BC$14),MATCH(IFERROR(INDEX(Settings!$AK$14:$AK$60,MATCH((((ROUND($H164,6)*2)*1000000)+ROUND($I164,6)),Settings!$AI$14:$AI$60,0)),"Undefined"),_xlfn.ANCHORARRAY(Settings!$BC$14),0)),"Inactive")))</f>
        <v>1313</v>
      </c>
      <c r="L164" s="693"/>
      <c r="M164" s="938"/>
      <c r="N164" s="31" t="str">
        <f>IF(M164="Y","N","Y")</f>
        <v>Y</v>
      </c>
      <c r="O164" s="162">
        <f t="shared" ref="O164:O195" si="1324">IFERROR(INDEX(B$164:B$305,MATCH($W164,$J$164:$J$305,0)),"")</f>
        <v>0</v>
      </c>
      <c r="P164" s="162">
        <f t="shared" ref="P164:P195" si="1325">IFERROR(INDEX(C$164:C$305,MATCH($W164,$J$164:$J$305,0)),"")</f>
        <v>0.29520089032588526</v>
      </c>
      <c r="Q164" s="162">
        <f t="shared" ref="Q164:Q195" si="1326">IFERROR(INDEX(D$164:D$305,MATCH($W164,$J$164:$J$305,0)),"")</f>
        <v>-0.50970153725983647</v>
      </c>
      <c r="R164" s="162">
        <f>IFERROR(IF($L164="Y",-1*INDEX(E$164:E$305,MATCH($W164,$J$164:$J$305,0)),INDEX(E$164:E$305,MATCH($W164,$J$164:$J$305,0))),"")</f>
        <v>-0.93969263802333458</v>
      </c>
      <c r="S164" s="162">
        <f t="shared" ref="S164:S227" si="1327">IFERROR(IF($L164="Y",-1*INDEX(F$164:F$305,MATCH($W164,$J$164:$J$305,0)),INDEX(F$164:F$305,MATCH($W164,$J$164:$J$305,0))),"")</f>
        <v>-8.8521302156295598E-2</v>
      </c>
      <c r="T164" s="162">
        <f t="shared" ref="T164:T227" si="1328">IFERROR(IF($L164="Y",-1*INDEX(G$164:G$305,MATCH($W164,$J$164:$J$305,0)),INDEX(G$164:G$305,MATCH($W164,$J$164:$J$305,0))),"")</f>
        <v>0.33036604714967338</v>
      </c>
      <c r="U164" s="162">
        <f>IFERROR(IF(ISNUMBER(MATCH($X164,Settings!$AK$52:$AK$60,0)),INDEX(Settings!$AO$14:$AO$60,MATCH($X164,Settings!$AK$14:$AK$60,0))/2,INDEX(Settings!$AM$14:$AM$60,MATCH($X164,Settings!$AK$14:$AK$60,0))/2),"")</f>
        <v>0.26450000000000001</v>
      </c>
      <c r="V164" s="162">
        <f t="shared" ref="V164:V195" si="1329">IFERROR(INDEX(I$164:I$305,MATCH($W164,$J$164:$J$305,0)),"")</f>
        <v>0.52</v>
      </c>
      <c r="W164" s="75" cm="1">
        <f t="array" ref="W164:W209">IFERROR(_xlfn._xlws.FILTER(_xlfn._xlws.SORT(_xlfn.UNIQUE(_xlfn._xlws.FILTER($J$164:$J$305,$M$164:$M$305&lt;&gt;"Y")),,1),_xlfn._xlws.SORT(_xlfn.UNIQUE(_xlfn._xlws.FILTER($J$164:$J$305,$M$164:$M$305&lt;&gt;"Y")),,1)&lt;&gt;0),"")</f>
        <v>1.101</v>
      </c>
      <c r="X164" s="937">
        <f>IFERROR(INDEX(K$164:K$305,MATCH($W164,$J$164:$J$305,0)),"")</f>
        <v>1313</v>
      </c>
      <c r="Y164" s="31"/>
      <c r="Z164" t="s">
        <v>154</v>
      </c>
      <c r="AA164" s="199">
        <v>0.57699999999999996</v>
      </c>
      <c r="AB164" s="162">
        <f t="shared" si="1322"/>
        <v>0.57699999999999996</v>
      </c>
      <c r="AC164" s="162">
        <f t="shared" si="1323"/>
        <v>0.58699999999999997</v>
      </c>
      <c r="AK164" s="82" t="str">
        <f>IF(M164="","Y","")</f>
        <v>Y</v>
      </c>
      <c r="AL164" s="419" t="s">
        <v>400</v>
      </c>
    </row>
    <row r="165" spans="2:38" x14ac:dyDescent="0.25">
      <c r="B165" s="650">
        <v>0</v>
      </c>
      <c r="C165" s="651">
        <v>0.92690279553883137</v>
      </c>
      <c r="D165" s="652">
        <v>-0.34040102664949634</v>
      </c>
      <c r="E165" s="653">
        <v>-0.96592583607220739</v>
      </c>
      <c r="F165" s="651">
        <v>-6.6987279208207212E-2</v>
      </c>
      <c r="G165" s="654">
        <v>0.24999996726497564</v>
      </c>
      <c r="H165" s="653">
        <v>0.26600000000000001</v>
      </c>
      <c r="I165" s="942">
        <v>0.52</v>
      </c>
      <c r="J165" s="946">
        <v>1.1040000000000001</v>
      </c>
      <c r="K165" s="931">
        <f>IF($J165="","",IF(IFERROR(INDEX(Settings!$AK$14:$AK$60,MATCH((((ROUND($H165,6)*2)*1000000)+ROUND($I165,6)),Settings!$AI$14:$AI$60,0)),"Undefined")="Undefined","Undefined",IFERROR(INDEX(_xlfn.ANCHORARRAY(Settings!$BC$14),MATCH(IFERROR(INDEX(Settings!$AK$14:$AK$60,MATCH((((ROUND($H165,6)*2)*1000000)+ROUND($I165,6)),Settings!$AI$14:$AI$60,0)),"Undefined"),_xlfn.ANCHORARRAY(Settings!$BC$14),0)),"Inactive")))</f>
        <v>1313</v>
      </c>
      <c r="L165" s="683"/>
      <c r="M165" s="934"/>
      <c r="N165" s="31" t="str">
        <f t="shared" ref="N165:N228" si="1330">IF(M165="Y","N","Y")</f>
        <v>Y</v>
      </c>
      <c r="O165" s="162">
        <f t="shared" si="1324"/>
        <v>0</v>
      </c>
      <c r="P165" s="162">
        <f t="shared" si="1325"/>
        <v>0.92690279553883137</v>
      </c>
      <c r="Q165" s="162">
        <f t="shared" si="1326"/>
        <v>-0.34040102664949634</v>
      </c>
      <c r="R165" s="162">
        <f t="shared" ref="R165:R228" si="1331">IFERROR(IF($L165="Y",-1*INDEX(E$164:E$305,MATCH($W165,$J$164:$J$305,0)),INDEX(E$164:E$305,MATCH($W165,$J$164:$J$305,0))),"")</f>
        <v>-0.96592583607220739</v>
      </c>
      <c r="S165" s="162">
        <f t="shared" si="1327"/>
        <v>-6.6987279208207212E-2</v>
      </c>
      <c r="T165" s="162">
        <f t="shared" si="1328"/>
        <v>0.24999996726497564</v>
      </c>
      <c r="U165" s="162">
        <f>IFERROR(IF(ISNUMBER(MATCH($X165,Settings!$AK$52:$AK$60,0)),INDEX(Settings!$AO$14:$AO$60,MATCH($X165,Settings!$AK$14:$AK$60,0))/2,INDEX(Settings!$AM$14:$AM$60,MATCH($X165,Settings!$AK$14:$AK$60,0))/2),"")</f>
        <v>0.26450000000000001</v>
      </c>
      <c r="V165" s="162">
        <f t="shared" si="1329"/>
        <v>0.52</v>
      </c>
      <c r="W165" s="75">
        <v>1.1040000000000001</v>
      </c>
      <c r="X165" s="937">
        <f t="shared" ref="X165:X228" si="1332">IFERROR(INDEX(K$164:K$305,MATCH($W165,$J$164:$J$305,0)),"")</f>
        <v>1313</v>
      </c>
      <c r="Y165" s="31"/>
      <c r="Z165" t="s">
        <v>155</v>
      </c>
      <c r="AA165" s="199">
        <v>0.625</v>
      </c>
      <c r="AB165" s="162">
        <f t="shared" si="1322"/>
        <v>0.625</v>
      </c>
      <c r="AC165" s="162">
        <f t="shared" si="1323"/>
        <v>0.63500000000000001</v>
      </c>
      <c r="AK165" s="82" t="str">
        <f t="shared" ref="AK165:AK228" si="1333">IF(M165="","Y","")</f>
        <v>Y</v>
      </c>
      <c r="AL165" s="419" t="s">
        <v>400</v>
      </c>
    </row>
    <row r="166" spans="2:38" x14ac:dyDescent="0.25">
      <c r="B166" s="650">
        <v>0</v>
      </c>
      <c r="C166" s="651">
        <v>1.5586047007517776</v>
      </c>
      <c r="D166" s="652">
        <v>-0.17120051634075728</v>
      </c>
      <c r="E166" s="653">
        <v>-0.9659258360722075</v>
      </c>
      <c r="F166" s="651">
        <v>-4.3772284368665593E-2</v>
      </c>
      <c r="G166" s="654">
        <v>0.2550907021617132</v>
      </c>
      <c r="H166" s="653">
        <v>0.26600000000000001</v>
      </c>
      <c r="I166" s="942">
        <v>0.52</v>
      </c>
      <c r="J166" s="946">
        <v>1.1080000000000001</v>
      </c>
      <c r="K166" s="931">
        <f>IF($J166="","",IF(IFERROR(INDEX(Settings!$AK$14:$AK$60,MATCH((((ROUND($H166,6)*2)*1000000)+ROUND($I166,6)),Settings!$AI$14:$AI$60,0)),"Undefined")="Undefined","Undefined",IFERROR(INDEX(_xlfn.ANCHORARRAY(Settings!$BC$14),MATCH(IFERROR(INDEX(Settings!$AK$14:$AK$60,MATCH((((ROUND($H166,6)*2)*1000000)+ROUND($I166,6)),Settings!$AI$14:$AI$60,0)),"Undefined"),_xlfn.ANCHORARRAY(Settings!$BC$14),0)),"Inactive")))</f>
        <v>1313</v>
      </c>
      <c r="L166" s="683"/>
      <c r="M166" s="934"/>
      <c r="N166" s="31" t="str">
        <f t="shared" si="1330"/>
        <v>Y</v>
      </c>
      <c r="O166" s="162">
        <f t="shared" si="1324"/>
        <v>0</v>
      </c>
      <c r="P166" s="162">
        <f t="shared" si="1325"/>
        <v>1.5586047007517776</v>
      </c>
      <c r="Q166" s="162">
        <f t="shared" si="1326"/>
        <v>-0.17120051634075728</v>
      </c>
      <c r="R166" s="162">
        <f>IFERROR(IF($L166="Y",-1*INDEX(E$164:E$305,MATCH($W166,$J$164:$J$305,0)),INDEX(E$164:E$305,MATCH($W166,$J$164:$J$305,0))),"")</f>
        <v>-0.9659258360722075</v>
      </c>
      <c r="S166" s="162">
        <f t="shared" si="1327"/>
        <v>-4.3772284368665593E-2</v>
      </c>
      <c r="T166" s="162">
        <f t="shared" si="1328"/>
        <v>0.2550907021617132</v>
      </c>
      <c r="U166" s="162">
        <f>IFERROR(IF(ISNUMBER(MATCH($X166,Settings!$AK$52:$AK$60,0)),INDEX(Settings!$AO$14:$AO$60,MATCH($X166,Settings!$AK$14:$AK$60,0))/2,INDEX(Settings!$AM$14:$AM$60,MATCH($X166,Settings!$AK$14:$AK$60,0))/2),"")</f>
        <v>0.26450000000000001</v>
      </c>
      <c r="V166" s="162">
        <f t="shared" si="1329"/>
        <v>0.52</v>
      </c>
      <c r="W166" s="75">
        <v>1.1080000000000001</v>
      </c>
      <c r="X166" s="937">
        <f t="shared" si="1332"/>
        <v>1313</v>
      </c>
      <c r="Y166" s="31"/>
      <c r="Z166" t="s">
        <v>156</v>
      </c>
      <c r="AA166" s="199">
        <v>0.66500000000000004</v>
      </c>
      <c r="AB166" s="162">
        <f t="shared" si="1322"/>
        <v>0.66500000000000004</v>
      </c>
      <c r="AC166" s="162">
        <f t="shared" si="1323"/>
        <v>0.67500000000000004</v>
      </c>
      <c r="AK166" s="82" t="str">
        <f t="shared" si="1333"/>
        <v>Y</v>
      </c>
      <c r="AL166" s="419" t="s">
        <v>400</v>
      </c>
    </row>
    <row r="167" spans="2:38" x14ac:dyDescent="0.25">
      <c r="B167" s="650">
        <v>1.8073734096193152E-2</v>
      </c>
      <c r="C167" s="651">
        <v>2.2516342539223393</v>
      </c>
      <c r="D167" s="652">
        <v>-5.7100172214119393E-2</v>
      </c>
      <c r="E167" s="653">
        <v>-0.96567566817900163</v>
      </c>
      <c r="F167" s="651">
        <v>3.5042685381898454E-2</v>
      </c>
      <c r="G167" s="654">
        <v>0.25737621119338938</v>
      </c>
      <c r="H167" s="653">
        <v>0.26600000000000001</v>
      </c>
      <c r="I167" s="942">
        <v>0.52</v>
      </c>
      <c r="J167" s="946">
        <v>1.1140000000000001</v>
      </c>
      <c r="K167" s="931">
        <f>IF($J167="","",IF(IFERROR(INDEX(Settings!$AK$14:$AK$60,MATCH((((ROUND($H167,6)*2)*1000000)+ROUND($I167,6)),Settings!$AI$14:$AI$60,0)),"Undefined")="Undefined","Undefined",IFERROR(INDEX(_xlfn.ANCHORARRAY(Settings!$BC$14),MATCH(IFERROR(INDEX(Settings!$AK$14:$AK$60,MATCH((((ROUND($H167,6)*2)*1000000)+ROUND($I167,6)),Settings!$AI$14:$AI$60,0)),"Undefined"),_xlfn.ANCHORARRAY(Settings!$BC$14),0)),"Inactive")))</f>
        <v>1313</v>
      </c>
      <c r="L167" s="683"/>
      <c r="M167" s="934"/>
      <c r="N167" s="31" t="str">
        <f t="shared" si="1330"/>
        <v>Y</v>
      </c>
      <c r="O167" s="162">
        <f t="shared" si="1324"/>
        <v>1.8073734096193152E-2</v>
      </c>
      <c r="P167" s="162">
        <f t="shared" si="1325"/>
        <v>2.2516342539223393</v>
      </c>
      <c r="Q167" s="162">
        <f t="shared" si="1326"/>
        <v>-5.7100172214119393E-2</v>
      </c>
      <c r="R167" s="162">
        <f>IFERROR(IF($L167="Y",-1*INDEX(E$164:E$305,MATCH($W167,$J$164:$J$305,0)),INDEX(E$164:E$305,MATCH($W167,$J$164:$J$305,0))),"")</f>
        <v>-0.96567566817900163</v>
      </c>
      <c r="S167" s="162">
        <f t="shared" si="1327"/>
        <v>3.5042685381898454E-2</v>
      </c>
      <c r="T167" s="162">
        <f t="shared" si="1328"/>
        <v>0.25737621119338938</v>
      </c>
      <c r="U167" s="162">
        <f>IFERROR(IF(ISNUMBER(MATCH($X167,Settings!$AK$52:$AK$60,0)),INDEX(Settings!$AO$14:$AO$60,MATCH($X167,Settings!$AK$14:$AK$60,0))/2,INDEX(Settings!$AM$14:$AM$60,MATCH($X167,Settings!$AK$14:$AK$60,0))/2),"")</f>
        <v>0.26450000000000001</v>
      </c>
      <c r="V167" s="162">
        <f t="shared" si="1329"/>
        <v>0.52</v>
      </c>
      <c r="W167" s="75">
        <v>1.1140000000000001</v>
      </c>
      <c r="X167" s="937">
        <f t="shared" si="1332"/>
        <v>1313</v>
      </c>
      <c r="Y167" s="31"/>
      <c r="Z167" t="s">
        <v>157</v>
      </c>
      <c r="AA167" s="199">
        <v>0.70799999999999996</v>
      </c>
      <c r="AB167" s="162">
        <f t="shared" si="1322"/>
        <v>0.70799999999999996</v>
      </c>
      <c r="AC167" s="162">
        <f t="shared" si="1323"/>
        <v>0.71799999999999997</v>
      </c>
      <c r="AK167" s="82" t="str">
        <f t="shared" si="1333"/>
        <v>Y</v>
      </c>
      <c r="AL167" s="419" t="s">
        <v>400</v>
      </c>
    </row>
    <row r="168" spans="2:38" x14ac:dyDescent="0.25">
      <c r="B168" s="650">
        <v>6.7146632640643536E-2</v>
      </c>
      <c r="C168" s="651">
        <v>2.908533801585222</v>
      </c>
      <c r="D168" s="652">
        <v>-0.23010069398369307</v>
      </c>
      <c r="E168" s="653">
        <v>-0.96294683926068059</v>
      </c>
      <c r="F168" s="651">
        <v>0.14018691463299643</v>
      </c>
      <c r="G168" s="654">
        <v>0.23039317204193785</v>
      </c>
      <c r="H168" s="653">
        <v>0.26600000000000001</v>
      </c>
      <c r="I168" s="942">
        <v>0.52</v>
      </c>
      <c r="J168" s="946">
        <v>1.1220000000000001</v>
      </c>
      <c r="K168" s="931">
        <f>IF($J168="","",IF(IFERROR(INDEX(Settings!$AK$14:$AK$60,MATCH((((ROUND($H168,6)*2)*1000000)+ROUND($I168,6)),Settings!$AI$14:$AI$60,0)),"Undefined")="Undefined","Undefined",IFERROR(INDEX(_xlfn.ANCHORARRAY(Settings!$BC$14),MATCH(IFERROR(INDEX(Settings!$AK$14:$AK$60,MATCH((((ROUND($H168,6)*2)*1000000)+ROUND($I168,6)),Settings!$AI$14:$AI$60,0)),"Undefined"),_xlfn.ANCHORARRAY(Settings!$BC$14),0)),"Inactive")))</f>
        <v>1313</v>
      </c>
      <c r="L168" s="683"/>
      <c r="M168" s="934"/>
      <c r="N168" s="31" t="str">
        <f t="shared" si="1330"/>
        <v>Y</v>
      </c>
      <c r="O168" s="162">
        <f t="shared" si="1324"/>
        <v>6.7146632640643536E-2</v>
      </c>
      <c r="P168" s="162">
        <f t="shared" si="1325"/>
        <v>2.908533801585222</v>
      </c>
      <c r="Q168" s="162">
        <f t="shared" si="1326"/>
        <v>-0.23010069398369307</v>
      </c>
      <c r="R168" s="162">
        <f t="shared" si="1331"/>
        <v>-0.96294683926068059</v>
      </c>
      <c r="S168" s="162">
        <f t="shared" si="1327"/>
        <v>0.14018691463299643</v>
      </c>
      <c r="T168" s="162">
        <f t="shared" si="1328"/>
        <v>0.23039317204193785</v>
      </c>
      <c r="U168" s="162">
        <f>IFERROR(IF(ISNUMBER(MATCH($X168,Settings!$AK$52:$AK$60,0)),INDEX(Settings!$AO$14:$AO$60,MATCH($X168,Settings!$AK$14:$AK$60,0))/2,INDEX(Settings!$AM$14:$AM$60,MATCH($X168,Settings!$AK$14:$AK$60,0))/2),"")</f>
        <v>0.26450000000000001</v>
      </c>
      <c r="V168" s="162">
        <f t="shared" si="1329"/>
        <v>0.52</v>
      </c>
      <c r="W168" s="75">
        <v>1.1220000000000001</v>
      </c>
      <c r="X168" s="937">
        <f t="shared" si="1332"/>
        <v>1313</v>
      </c>
      <c r="Y168" s="31"/>
      <c r="Z168" t="s">
        <v>158</v>
      </c>
      <c r="AA168" s="199">
        <v>0.75</v>
      </c>
      <c r="AB168" s="162">
        <f t="shared" si="1322"/>
        <v>0.75</v>
      </c>
      <c r="AC168" s="162">
        <f t="shared" si="1323"/>
        <v>0.76</v>
      </c>
      <c r="AK168" s="82" t="str">
        <f t="shared" si="1333"/>
        <v>Y</v>
      </c>
      <c r="AL168" s="419" t="s">
        <v>400</v>
      </c>
    </row>
    <row r="169" spans="2:38" x14ac:dyDescent="0.25">
      <c r="B169" s="650">
        <v>0.12818592318878827</v>
      </c>
      <c r="C169" s="651">
        <v>3.4280145145327108</v>
      </c>
      <c r="D169" s="652">
        <v>-0.66660201047166356</v>
      </c>
      <c r="E169" s="653">
        <v>-0.92295207988225003</v>
      </c>
      <c r="F169" s="651">
        <v>0.30167815644712354</v>
      </c>
      <c r="G169" s="654">
        <v>0.23906013503655024</v>
      </c>
      <c r="H169" s="653">
        <v>0.26600000000000001</v>
      </c>
      <c r="I169" s="942">
        <v>0.52</v>
      </c>
      <c r="J169" s="946">
        <v>1.1299999999999999</v>
      </c>
      <c r="K169" s="931">
        <f>IF($J169="","",IF(IFERROR(INDEX(Settings!$AK$14:$AK$60,MATCH((((ROUND($H169,6)*2)*1000000)+ROUND($I169,6)),Settings!$AI$14:$AI$60,0)),"Undefined")="Undefined","Undefined",IFERROR(INDEX(_xlfn.ANCHORARRAY(Settings!$BC$14),MATCH(IFERROR(INDEX(Settings!$AK$14:$AK$60,MATCH((((ROUND($H169,6)*2)*1000000)+ROUND($I169,6)),Settings!$AI$14:$AI$60,0)),"Undefined"),_xlfn.ANCHORARRAY(Settings!$BC$14),0)),"Inactive")))</f>
        <v>1313</v>
      </c>
      <c r="L169" s="683"/>
      <c r="M169" s="934"/>
      <c r="N169" s="31" t="str">
        <f t="shared" si="1330"/>
        <v>Y</v>
      </c>
      <c r="O169" s="162">
        <f t="shared" si="1324"/>
        <v>0.12818592318878827</v>
      </c>
      <c r="P169" s="162">
        <f t="shared" si="1325"/>
        <v>3.4280145145327108</v>
      </c>
      <c r="Q169" s="162">
        <f t="shared" si="1326"/>
        <v>-0.66660201047166356</v>
      </c>
      <c r="R169" s="162">
        <f t="shared" si="1331"/>
        <v>-0.92295207988225003</v>
      </c>
      <c r="S169" s="162">
        <f t="shared" si="1327"/>
        <v>0.30167815644712354</v>
      </c>
      <c r="T169" s="162">
        <f t="shared" si="1328"/>
        <v>0.23906013503655024</v>
      </c>
      <c r="U169" s="162">
        <f>IFERROR(IF(ISNUMBER(MATCH($X169,Settings!$AK$52:$AK$60,0)),INDEX(Settings!$AO$14:$AO$60,MATCH($X169,Settings!$AK$14:$AK$60,0))/2,INDEX(Settings!$AM$14:$AM$60,MATCH($X169,Settings!$AK$14:$AK$60,0))/2),"")</f>
        <v>0.26450000000000001</v>
      </c>
      <c r="V169" s="162">
        <f t="shared" si="1329"/>
        <v>0.52</v>
      </c>
      <c r="W169" s="75">
        <v>1.1299999999999999</v>
      </c>
      <c r="X169" s="937">
        <f t="shared" si="1332"/>
        <v>1313</v>
      </c>
      <c r="Y169" s="31"/>
      <c r="AK169" s="82" t="str">
        <f t="shared" si="1333"/>
        <v>Y</v>
      </c>
      <c r="AL169" s="419" t="s">
        <v>400</v>
      </c>
    </row>
    <row r="170" spans="2:38" x14ac:dyDescent="0.25">
      <c r="B170" s="650">
        <v>0.16858837206779159</v>
      </c>
      <c r="C170" s="651">
        <v>3.7034759558323964</v>
      </c>
      <c r="D170" s="652">
        <v>-1.2869038813021059</v>
      </c>
      <c r="E170" s="653">
        <v>-0.85310387022532896</v>
      </c>
      <c r="F170" s="651">
        <v>0.49254808466941546</v>
      </c>
      <c r="G170" s="654">
        <v>0.17207606136547707</v>
      </c>
      <c r="H170" s="653">
        <v>0.26600000000000001</v>
      </c>
      <c r="I170" s="942">
        <v>0.52</v>
      </c>
      <c r="J170" s="946">
        <v>1.1379999999999999</v>
      </c>
      <c r="K170" s="931">
        <f>IF($J170="","",IF(IFERROR(INDEX(Settings!$AK$14:$AK$60,MATCH((((ROUND($H170,6)*2)*1000000)+ROUND($I170,6)),Settings!$AI$14:$AI$60,0)),"Undefined")="Undefined","Undefined",IFERROR(INDEX(_xlfn.ANCHORARRAY(Settings!$BC$14),MATCH(IFERROR(INDEX(Settings!$AK$14:$AK$60,MATCH((((ROUND($H170,6)*2)*1000000)+ROUND($I170,6)),Settings!$AI$14:$AI$60,0)),"Undefined"),_xlfn.ANCHORARRAY(Settings!$BC$14),0)),"Inactive")))</f>
        <v>1313</v>
      </c>
      <c r="L170" s="683"/>
      <c r="M170" s="934"/>
      <c r="N170" s="31" t="str">
        <f t="shared" si="1330"/>
        <v>Y</v>
      </c>
      <c r="O170" s="162">
        <f t="shared" si="1324"/>
        <v>0.16858837206779159</v>
      </c>
      <c r="P170" s="162">
        <f t="shared" si="1325"/>
        <v>3.7034759558323964</v>
      </c>
      <c r="Q170" s="162">
        <f t="shared" si="1326"/>
        <v>-1.2869038813021059</v>
      </c>
      <c r="R170" s="162">
        <f t="shared" si="1331"/>
        <v>-0.85310387022532896</v>
      </c>
      <c r="S170" s="162">
        <f t="shared" si="1327"/>
        <v>0.49254808466941546</v>
      </c>
      <c r="T170" s="162">
        <f t="shared" si="1328"/>
        <v>0.17207606136547707</v>
      </c>
      <c r="U170" s="162">
        <f>IFERROR(IF(ISNUMBER(MATCH($X170,Settings!$AK$52:$AK$60,0)),INDEX(Settings!$AO$14:$AO$60,MATCH($X170,Settings!$AK$14:$AK$60,0))/2,INDEX(Settings!$AM$14:$AM$60,MATCH($X170,Settings!$AK$14:$AK$60,0))/2),"")</f>
        <v>0.26450000000000001</v>
      </c>
      <c r="V170" s="162">
        <f t="shared" si="1329"/>
        <v>0.52</v>
      </c>
      <c r="W170" s="75">
        <v>1.1379999999999999</v>
      </c>
      <c r="X170" s="937">
        <f t="shared" si="1332"/>
        <v>1313</v>
      </c>
      <c r="Y170" s="31"/>
      <c r="AK170" s="82" t="str">
        <f t="shared" si="1333"/>
        <v>Y</v>
      </c>
      <c r="AL170" s="419" t="s">
        <v>400</v>
      </c>
    </row>
    <row r="171" spans="2:38" x14ac:dyDescent="0.25">
      <c r="B171" s="650">
        <v>0.17271089878540669</v>
      </c>
      <c r="C171" s="651">
        <v>3.7294142410704763</v>
      </c>
      <c r="D171" s="652">
        <v>-1.969705940633117</v>
      </c>
      <c r="E171" s="653">
        <v>-0.84205584868728101</v>
      </c>
      <c r="F171" s="651">
        <v>0.5376271087070742</v>
      </c>
      <c r="G171" s="654">
        <v>4.3577972357774768E-2</v>
      </c>
      <c r="H171" s="653">
        <v>0.26600000000000001</v>
      </c>
      <c r="I171" s="942">
        <v>0.52</v>
      </c>
      <c r="J171" s="946">
        <v>1.1459999999999999</v>
      </c>
      <c r="K171" s="931">
        <f>IF($J171="","",IF(IFERROR(INDEX(Settings!$AK$14:$AK$60,MATCH((((ROUND($H171,6)*2)*1000000)+ROUND($I171,6)),Settings!$AI$14:$AI$60,0)),"Undefined")="Undefined","Undefined",IFERROR(INDEX(_xlfn.ANCHORARRAY(Settings!$BC$14),MATCH(IFERROR(INDEX(Settings!$AK$14:$AK$60,MATCH((((ROUND($H171,6)*2)*1000000)+ROUND($I171,6)),Settings!$AI$14:$AI$60,0)),"Undefined"),_xlfn.ANCHORARRAY(Settings!$BC$14),0)),"Inactive")))</f>
        <v>1313</v>
      </c>
      <c r="L171" s="683"/>
      <c r="M171" s="934"/>
      <c r="N171" s="31" t="str">
        <f t="shared" si="1330"/>
        <v>Y</v>
      </c>
      <c r="O171" s="162">
        <f>IFERROR(INDEX(B$164:B$305,MATCH($W171,$J$164:$J$305,0)),"")</f>
        <v>0.17271089878540669</v>
      </c>
      <c r="P171" s="162">
        <f t="shared" si="1325"/>
        <v>3.7294142410704763</v>
      </c>
      <c r="Q171" s="162">
        <f t="shared" si="1326"/>
        <v>-1.969705940633117</v>
      </c>
      <c r="R171" s="162">
        <f>IFERROR(IF($L171="Y",-1*INDEX(E$164:E$305,MATCH($W171,$J$164:$J$305,0)),INDEX(E$164:E$305,MATCH($W171,$J$164:$J$305,0))),"")</f>
        <v>-0.84205584868728101</v>
      </c>
      <c r="S171" s="162">
        <f t="shared" si="1327"/>
        <v>0.5376271087070742</v>
      </c>
      <c r="T171" s="162">
        <f t="shared" si="1328"/>
        <v>4.3577972357774768E-2</v>
      </c>
      <c r="U171" s="162">
        <f>IFERROR(IF(ISNUMBER(MATCH($X171,Settings!$AK$52:$AK$60,0)),INDEX(Settings!$AO$14:$AO$60,MATCH($X171,Settings!$AK$14:$AK$60,0))/2,INDEX(Settings!$AM$14:$AM$60,MATCH($X171,Settings!$AK$14:$AK$60,0))/2),"")</f>
        <v>0.26450000000000001</v>
      </c>
      <c r="V171" s="162">
        <f t="shared" si="1329"/>
        <v>0.52</v>
      </c>
      <c r="W171" s="75">
        <v>1.1459999999999999</v>
      </c>
      <c r="X171" s="937">
        <f t="shared" si="1332"/>
        <v>1313</v>
      </c>
      <c r="Y171" s="31"/>
      <c r="AK171" s="82" t="str">
        <f t="shared" si="1333"/>
        <v>Y</v>
      </c>
      <c r="AL171" s="419" t="s">
        <v>400</v>
      </c>
    </row>
    <row r="172" spans="2:38" x14ac:dyDescent="0.25">
      <c r="B172" s="650">
        <v>1.5415182797481906</v>
      </c>
      <c r="C172" s="651">
        <v>1.5217552054812018</v>
      </c>
      <c r="D172" s="652">
        <v>-5.6000168896509391E-2</v>
      </c>
      <c r="E172" s="653">
        <v>-0.66760087609527574</v>
      </c>
      <c r="F172" s="651">
        <v>0.69825520050375489</v>
      </c>
      <c r="G172" s="654">
        <v>0.2583577852635402</v>
      </c>
      <c r="H172" s="653">
        <v>0.26600000000000001</v>
      </c>
      <c r="I172" s="942">
        <v>0.52</v>
      </c>
      <c r="J172" s="946">
        <v>2.113</v>
      </c>
      <c r="K172" s="931">
        <f>IF($J172="","",IF(IFERROR(INDEX(Settings!$AK$14:$AK$60,MATCH((((ROUND($H172,6)*2)*1000000)+ROUND($I172,6)),Settings!$AI$14:$AI$60,0)),"Undefined")="Undefined","Undefined",IFERROR(INDEX(_xlfn.ANCHORARRAY(Settings!$BC$14),MATCH(IFERROR(INDEX(Settings!$AK$14:$AK$60,MATCH((((ROUND($H172,6)*2)*1000000)+ROUND($I172,6)),Settings!$AI$14:$AI$60,0)),"Undefined"),_xlfn.ANCHORARRAY(Settings!$BC$14),0)),"Inactive")))</f>
        <v>1313</v>
      </c>
      <c r="L172" s="683"/>
      <c r="M172" s="934"/>
      <c r="N172" s="31" t="str">
        <f t="shared" si="1330"/>
        <v>Y</v>
      </c>
      <c r="O172" s="162">
        <f t="shared" si="1324"/>
        <v>1.5415182797481906</v>
      </c>
      <c r="P172" s="162">
        <f t="shared" si="1325"/>
        <v>1.5217552054812018</v>
      </c>
      <c r="Q172" s="162">
        <f t="shared" si="1326"/>
        <v>-5.6000168896509391E-2</v>
      </c>
      <c r="R172" s="162">
        <f t="shared" si="1331"/>
        <v>-0.66760087609527574</v>
      </c>
      <c r="S172" s="162">
        <f t="shared" si="1327"/>
        <v>0.69825520050375489</v>
      </c>
      <c r="T172" s="162">
        <f t="shared" si="1328"/>
        <v>0.2583577852635402</v>
      </c>
      <c r="U172" s="162">
        <f>IFERROR(IF(ISNUMBER(MATCH($X172,Settings!$AK$52:$AK$60,0)),INDEX(Settings!$AO$14:$AO$60,MATCH($X172,Settings!$AK$14:$AK$60,0))/2,INDEX(Settings!$AM$14:$AM$60,MATCH($X172,Settings!$AK$14:$AK$60,0))/2),"")</f>
        <v>0.26450000000000001</v>
      </c>
      <c r="V172" s="162">
        <f t="shared" si="1329"/>
        <v>0.52</v>
      </c>
      <c r="W172" s="75">
        <v>2.113</v>
      </c>
      <c r="X172" s="937">
        <f t="shared" si="1332"/>
        <v>1313</v>
      </c>
      <c r="Y172" s="31"/>
      <c r="AK172" s="82" t="str">
        <f t="shared" si="1333"/>
        <v>Y</v>
      </c>
      <c r="AL172" s="419" t="s">
        <v>400</v>
      </c>
    </row>
    <row r="173" spans="2:38" x14ac:dyDescent="0.25">
      <c r="B173" s="650">
        <v>2.0444230049102257</v>
      </c>
      <c r="C173" s="651">
        <v>1.9598911624425668</v>
      </c>
      <c r="D173" s="652">
        <v>-0.1930005820897556</v>
      </c>
      <c r="E173" s="653">
        <v>-0.59104435980995451</v>
      </c>
      <c r="F173" s="651">
        <v>0.77147644579378272</v>
      </c>
      <c r="G173" s="654">
        <v>0.23556455234655699</v>
      </c>
      <c r="H173" s="653">
        <v>0.26600000000000001</v>
      </c>
      <c r="I173" s="942">
        <v>0.52</v>
      </c>
      <c r="J173" s="946">
        <v>2.121</v>
      </c>
      <c r="K173" s="931">
        <f>IF($J173="","",IF(IFERROR(INDEX(Settings!$AK$14:$AK$60,MATCH((((ROUND($H173,6)*2)*1000000)+ROUND($I173,6)),Settings!$AI$14:$AI$60,0)),"Undefined")="Undefined","Undefined",IFERROR(INDEX(_xlfn.ANCHORARRAY(Settings!$BC$14),MATCH(IFERROR(INDEX(Settings!$AK$14:$AK$60,MATCH((((ROUND($H173,6)*2)*1000000)+ROUND($I173,6)),Settings!$AI$14:$AI$60,0)),"Undefined"),_xlfn.ANCHORARRAY(Settings!$BC$14),0)),"Inactive")))</f>
        <v>1313</v>
      </c>
      <c r="L173" s="683"/>
      <c r="M173" s="934"/>
      <c r="N173" s="31" t="str">
        <f t="shared" si="1330"/>
        <v>Y</v>
      </c>
      <c r="O173" s="162">
        <f t="shared" si="1324"/>
        <v>2.0444230049102257</v>
      </c>
      <c r="P173" s="162">
        <f t="shared" si="1325"/>
        <v>1.9598911624425668</v>
      </c>
      <c r="Q173" s="162">
        <f t="shared" si="1326"/>
        <v>-0.1930005820897556</v>
      </c>
      <c r="R173" s="162">
        <f t="shared" si="1331"/>
        <v>-0.59104435980995451</v>
      </c>
      <c r="S173" s="162">
        <f t="shared" si="1327"/>
        <v>0.77147644579378272</v>
      </c>
      <c r="T173" s="162">
        <f t="shared" si="1328"/>
        <v>0.23556455234655699</v>
      </c>
      <c r="U173" s="162">
        <f>IFERROR(IF(ISNUMBER(MATCH($X173,Settings!$AK$52:$AK$60,0)),INDEX(Settings!$AO$14:$AO$60,MATCH($X173,Settings!$AK$14:$AK$60,0))/2,INDEX(Settings!$AM$14:$AM$60,MATCH($X173,Settings!$AK$14:$AK$60,0))/2),"")</f>
        <v>0.26450000000000001</v>
      </c>
      <c r="V173" s="162">
        <f t="shared" si="1329"/>
        <v>0.52</v>
      </c>
      <c r="W173" s="75">
        <v>2.121</v>
      </c>
      <c r="X173" s="937">
        <f t="shared" si="1332"/>
        <v>1313</v>
      </c>
      <c r="Y173" s="31"/>
      <c r="AK173" s="82" t="str">
        <f t="shared" si="1333"/>
        <v>Y</v>
      </c>
      <c r="AL173" s="419" t="s">
        <v>400</v>
      </c>
    </row>
    <row r="174" spans="2:38" x14ac:dyDescent="0.25">
      <c r="B174" s="650">
        <v>2.4717125448266417</v>
      </c>
      <c r="C174" s="651">
        <v>2.3006105197408777</v>
      </c>
      <c r="D174" s="652">
        <v>-0.59980180900225599</v>
      </c>
      <c r="E174" s="653">
        <v>-0.46158251979223625</v>
      </c>
      <c r="F174" s="651">
        <v>0.85412363361094656</v>
      </c>
      <c r="G174" s="654">
        <v>0.23961301285506864</v>
      </c>
      <c r="H174" s="653">
        <v>0.26600000000000001</v>
      </c>
      <c r="I174" s="942">
        <v>0.52</v>
      </c>
      <c r="J174" s="946">
        <v>2.129</v>
      </c>
      <c r="K174" s="931">
        <f>IF($J174="","",IF(IFERROR(INDEX(Settings!$AK$14:$AK$60,MATCH((((ROUND($H174,6)*2)*1000000)+ROUND($I174,6)),Settings!$AI$14:$AI$60,0)),"Undefined")="Undefined","Undefined",IFERROR(INDEX(_xlfn.ANCHORARRAY(Settings!$BC$14),MATCH(IFERROR(INDEX(Settings!$AK$14:$AK$60,MATCH((((ROUND($H174,6)*2)*1000000)+ROUND($I174,6)),Settings!$AI$14:$AI$60,0)),"Undefined"),_xlfn.ANCHORARRAY(Settings!$BC$14),0)),"Inactive")))</f>
        <v>1313</v>
      </c>
      <c r="L174" s="683"/>
      <c r="M174" s="934"/>
      <c r="N174" s="31" t="str">
        <f t="shared" si="1330"/>
        <v>Y</v>
      </c>
      <c r="O174" s="162">
        <f>IFERROR(INDEX(B$164:B$305,MATCH($W174,$J$164:$J$305,0)),"")</f>
        <v>2.4717125448266417</v>
      </c>
      <c r="P174" s="162">
        <f t="shared" si="1325"/>
        <v>2.3006105197408777</v>
      </c>
      <c r="Q174" s="162">
        <f t="shared" si="1326"/>
        <v>-0.59980180900225599</v>
      </c>
      <c r="R174" s="162">
        <f t="shared" si="1331"/>
        <v>-0.46158251979223625</v>
      </c>
      <c r="S174" s="162">
        <f t="shared" si="1327"/>
        <v>0.85412363361094656</v>
      </c>
      <c r="T174" s="162">
        <f t="shared" si="1328"/>
        <v>0.23961301285506864</v>
      </c>
      <c r="U174" s="162">
        <f>IFERROR(IF(ISNUMBER(MATCH($X174,Settings!$AK$52:$AK$60,0)),INDEX(Settings!$AO$14:$AO$60,MATCH($X174,Settings!$AK$14:$AK$60,0))/2,INDEX(Settings!$AM$14:$AM$60,MATCH($X174,Settings!$AK$14:$AK$60,0))/2),"")</f>
        <v>0.26450000000000001</v>
      </c>
      <c r="V174" s="162">
        <f t="shared" si="1329"/>
        <v>0.52</v>
      </c>
      <c r="W174" s="75">
        <v>2.129</v>
      </c>
      <c r="X174" s="937">
        <f t="shared" si="1332"/>
        <v>1313</v>
      </c>
      <c r="Y174" s="31"/>
      <c r="AK174" s="82" t="str">
        <f t="shared" si="1333"/>
        <v>Y</v>
      </c>
      <c r="AL174" s="419" t="s">
        <v>400</v>
      </c>
    </row>
    <row r="175" spans="2:38" x14ac:dyDescent="0.25">
      <c r="B175" s="650">
        <v>2.7229473410870479</v>
      </c>
      <c r="C175" s="651">
        <v>2.488550842748205</v>
      </c>
      <c r="D175" s="652">
        <v>-1.2032036288621446</v>
      </c>
      <c r="E175" s="653">
        <v>-0.27766091007410082</v>
      </c>
      <c r="F175" s="651">
        <v>0.94238096177654407</v>
      </c>
      <c r="G175" s="654">
        <v>0.18660798990916239</v>
      </c>
      <c r="H175" s="653">
        <v>0.26600000000000001</v>
      </c>
      <c r="I175" s="942">
        <v>0.52</v>
      </c>
      <c r="J175" s="946">
        <v>2.137</v>
      </c>
      <c r="K175" s="931">
        <f>IF($J175="","",IF(IFERROR(INDEX(Settings!$AK$14:$AK$60,MATCH((((ROUND($H175,6)*2)*1000000)+ROUND($I175,6)),Settings!$AI$14:$AI$60,0)),"Undefined")="Undefined","Undefined",IFERROR(INDEX(_xlfn.ANCHORARRAY(Settings!$BC$14),MATCH(IFERROR(INDEX(Settings!$AK$14:$AK$60,MATCH((((ROUND($H175,6)*2)*1000000)+ROUND($I175,6)),Settings!$AI$14:$AI$60,0)),"Undefined"),_xlfn.ANCHORARRAY(Settings!$BC$14),0)),"Inactive")))</f>
        <v>1313</v>
      </c>
      <c r="L175" s="683"/>
      <c r="M175" s="934"/>
      <c r="N175" s="31" t="str">
        <f t="shared" si="1330"/>
        <v>Y</v>
      </c>
      <c r="O175" s="162">
        <f>IFERROR(INDEX(B$164:B$305,MATCH($W175,$J$164:$J$305,0)),"")</f>
        <v>2.7229473410870479</v>
      </c>
      <c r="P175" s="162">
        <f t="shared" si="1325"/>
        <v>2.488550842748205</v>
      </c>
      <c r="Q175" s="162">
        <f t="shared" si="1326"/>
        <v>-1.2032036288621446</v>
      </c>
      <c r="R175" s="162">
        <f t="shared" si="1331"/>
        <v>-0.27766091007410082</v>
      </c>
      <c r="S175" s="162">
        <f t="shared" si="1327"/>
        <v>0.94238096177654407</v>
      </c>
      <c r="T175" s="162">
        <f t="shared" si="1328"/>
        <v>0.18660798990916239</v>
      </c>
      <c r="U175" s="162">
        <f>IFERROR(IF(ISNUMBER(MATCH($X175,Settings!$AK$52:$AK$60,0)),INDEX(Settings!$AO$14:$AO$60,MATCH($X175,Settings!$AK$14:$AK$60,0))/2,INDEX(Settings!$AM$14:$AM$60,MATCH($X175,Settings!$AK$14:$AK$60,0))/2),"")</f>
        <v>0.26450000000000001</v>
      </c>
      <c r="V175" s="162">
        <f t="shared" si="1329"/>
        <v>0.52</v>
      </c>
      <c r="W175" s="75">
        <v>2.137</v>
      </c>
      <c r="X175" s="937">
        <f t="shared" si="1332"/>
        <v>1313</v>
      </c>
      <c r="Y175" s="31"/>
      <c r="AK175" s="82" t="str">
        <f t="shared" si="1333"/>
        <v>Y</v>
      </c>
      <c r="AL175" s="419" t="s">
        <v>9</v>
      </c>
    </row>
    <row r="176" spans="2:38" x14ac:dyDescent="0.25">
      <c r="B176" s="650">
        <v>2.7592211437672423</v>
      </c>
      <c r="C176" s="651">
        <v>2.514966861778964</v>
      </c>
      <c r="D176" s="652">
        <v>-1.8841056824627385</v>
      </c>
      <c r="E176" s="653">
        <v>-0.215262852027514</v>
      </c>
      <c r="F176" s="651">
        <v>0.97558334593317342</v>
      </c>
      <c r="G176" s="654">
        <v>4.3577972357775073E-2</v>
      </c>
      <c r="H176" s="653">
        <v>0.26600000000000001</v>
      </c>
      <c r="I176" s="942">
        <v>0.52</v>
      </c>
      <c r="J176" s="946">
        <v>2.145</v>
      </c>
      <c r="K176" s="931">
        <f>IF($J176="","",IF(IFERROR(INDEX(Settings!$AK$14:$AK$60,MATCH((((ROUND($H176,6)*2)*1000000)+ROUND($I176,6)),Settings!$AI$14:$AI$60,0)),"Undefined")="Undefined","Undefined",IFERROR(INDEX(_xlfn.ANCHORARRAY(Settings!$BC$14),MATCH(IFERROR(INDEX(Settings!$AK$14:$AK$60,MATCH((((ROUND($H176,6)*2)*1000000)+ROUND($I176,6)),Settings!$AI$14:$AI$60,0)),"Undefined"),_xlfn.ANCHORARRAY(Settings!$BC$14),0)),"Inactive")))</f>
        <v>1313</v>
      </c>
      <c r="L176" s="683"/>
      <c r="M176" s="934"/>
      <c r="N176" s="31" t="str">
        <f t="shared" si="1330"/>
        <v>Y</v>
      </c>
      <c r="O176" s="162">
        <f t="shared" si="1324"/>
        <v>2.7592211437672423</v>
      </c>
      <c r="P176" s="162">
        <f t="shared" si="1325"/>
        <v>2.514966861778964</v>
      </c>
      <c r="Q176" s="162">
        <f t="shared" si="1326"/>
        <v>-1.8841056824627385</v>
      </c>
      <c r="R176" s="162">
        <f t="shared" si="1331"/>
        <v>-0.215262852027514</v>
      </c>
      <c r="S176" s="162">
        <f t="shared" si="1327"/>
        <v>0.97558334593317342</v>
      </c>
      <c r="T176" s="162">
        <f t="shared" si="1328"/>
        <v>4.3577972357775073E-2</v>
      </c>
      <c r="U176" s="162">
        <f>IFERROR(IF(ISNUMBER(MATCH($X176,Settings!$AK$52:$AK$60,0)),INDEX(Settings!$AO$14:$AO$60,MATCH($X176,Settings!$AK$14:$AK$60,0))/2,INDEX(Settings!$AM$14:$AM$60,MATCH($X176,Settings!$AK$14:$AK$60,0))/2),"")</f>
        <v>0.26450000000000001</v>
      </c>
      <c r="V176" s="162">
        <f t="shared" si="1329"/>
        <v>0.52</v>
      </c>
      <c r="W176" s="75">
        <v>2.145</v>
      </c>
      <c r="X176" s="937">
        <f t="shared" si="1332"/>
        <v>1313</v>
      </c>
      <c r="Y176" s="31"/>
      <c r="AK176" s="82" t="str">
        <f t="shared" si="1333"/>
        <v>Y</v>
      </c>
      <c r="AL176" s="419" t="s">
        <v>9</v>
      </c>
    </row>
    <row r="177" spans="2:38" x14ac:dyDescent="0.25">
      <c r="B177" s="650">
        <v>0.61975376000684446</v>
      </c>
      <c r="C177" s="651">
        <v>3.7035024337723037</v>
      </c>
      <c r="D177" s="652">
        <v>-6.4599999999999991</v>
      </c>
      <c r="E177" s="653">
        <v>-0.65105980226085369</v>
      </c>
      <c r="F177" s="651">
        <v>0.75077450389689859</v>
      </c>
      <c r="G177" s="654">
        <v>-0.11161889704894981</v>
      </c>
      <c r="H177" s="653">
        <v>0.26600000000000001</v>
      </c>
      <c r="I177" s="942">
        <v>0.52</v>
      </c>
      <c r="J177" s="946">
        <v>3.09</v>
      </c>
      <c r="K177" s="931">
        <f>IF($J177="","",IF(IFERROR(INDEX(Settings!$AK$14:$AK$60,MATCH((((ROUND($H177,6)*2)*1000000)+ROUND($I177,6)),Settings!$AI$14:$AI$60,0)),"Undefined")="Undefined","Undefined",IFERROR(INDEX(_xlfn.ANCHORARRAY(Settings!$BC$14),MATCH(IFERROR(INDEX(Settings!$AK$14:$AK$60,MATCH((((ROUND($H177,6)*2)*1000000)+ROUND($I177,6)),Settings!$AI$14:$AI$60,0)),"Undefined"),_xlfn.ANCHORARRAY(Settings!$BC$14),0)),"Inactive")))</f>
        <v>1313</v>
      </c>
      <c r="L177" s="683"/>
      <c r="M177" s="934" t="s">
        <v>9</v>
      </c>
      <c r="N177" s="31" t="str">
        <f t="shared" si="1330"/>
        <v>N</v>
      </c>
      <c r="O177" s="162">
        <f t="shared" si="1324"/>
        <v>0.76843390636911613</v>
      </c>
      <c r="P177" s="162">
        <f t="shared" si="1325"/>
        <v>-2.6834822904664914E-2</v>
      </c>
      <c r="Q177" s="162">
        <f t="shared" si="1326"/>
        <v>-0.38280115452828201</v>
      </c>
      <c r="R177" s="162">
        <f t="shared" si="1331"/>
        <v>-3.7748518379267952E-2</v>
      </c>
      <c r="S177" s="162">
        <f t="shared" si="1327"/>
        <v>0.96316589416231857</v>
      </c>
      <c r="T177" s="162">
        <f t="shared" si="1328"/>
        <v>0.26624520593368695</v>
      </c>
      <c r="U177" s="162">
        <f>IFERROR(IF(ISNUMBER(MATCH($X177,Settings!$AK$52:$AK$60,0)),INDEX(Settings!$AO$14:$AO$60,MATCH($X177,Settings!$AK$14:$AK$60,0))/2,INDEX(Settings!$AM$14:$AM$60,MATCH($X177,Settings!$AK$14:$AK$60,0))/2),"")</f>
        <v>0.26450000000000001</v>
      </c>
      <c r="V177" s="162">
        <f t="shared" si="1329"/>
        <v>0.52</v>
      </c>
      <c r="W177" s="75">
        <v>3.1030000000000002</v>
      </c>
      <c r="X177" s="937">
        <f t="shared" si="1332"/>
        <v>1313</v>
      </c>
      <c r="Y177" s="31"/>
      <c r="AK177" s="82" t="str">
        <f t="shared" si="1333"/>
        <v/>
      </c>
      <c r="AL177" s="419" t="s">
        <v>9</v>
      </c>
    </row>
    <row r="178" spans="2:38" x14ac:dyDescent="0.25">
      <c r="B178" s="650">
        <v>0.76843390636911613</v>
      </c>
      <c r="C178" s="651">
        <v>-2.6834822904664914E-2</v>
      </c>
      <c r="D178" s="652">
        <v>-0.38280115452828201</v>
      </c>
      <c r="E178" s="653">
        <v>-3.7748518379267952E-2</v>
      </c>
      <c r="F178" s="651">
        <v>0.96316589416231857</v>
      </c>
      <c r="G178" s="654">
        <v>0.26624520593368695</v>
      </c>
      <c r="H178" s="653">
        <v>0.26600000000000001</v>
      </c>
      <c r="I178" s="942">
        <v>0.52</v>
      </c>
      <c r="J178" s="946">
        <v>3.1030000000000002</v>
      </c>
      <c r="K178" s="931">
        <f>IF($J178="","",IF(IFERROR(INDEX(Settings!$AK$14:$AK$60,MATCH((((ROUND($H178,6)*2)*1000000)+ROUND($I178,6)),Settings!$AI$14:$AI$60,0)),"Undefined")="Undefined","Undefined",IFERROR(INDEX(_xlfn.ANCHORARRAY(Settings!$BC$14),MATCH(IFERROR(INDEX(Settings!$AK$14:$AK$60,MATCH((((ROUND($H178,6)*2)*1000000)+ROUND($I178,6)),Settings!$AI$14:$AI$60,0)),"Undefined"),_xlfn.ANCHORARRAY(Settings!$BC$14),0)),"Inactive")))</f>
        <v>1313</v>
      </c>
      <c r="L178" s="683"/>
      <c r="M178" s="934"/>
      <c r="N178" s="31" t="str">
        <f t="shared" si="1330"/>
        <v>Y</v>
      </c>
      <c r="O178" s="162">
        <f t="shared" si="1324"/>
        <v>1.3998509203423342</v>
      </c>
      <c r="P178" s="162">
        <f t="shared" si="1325"/>
        <v>-4.8884817847007614E-2</v>
      </c>
      <c r="Q178" s="162">
        <f t="shared" si="1326"/>
        <v>-0.21350064391794207</v>
      </c>
      <c r="R178" s="162">
        <f>IFERROR(IF($L178="Y",-1*INDEX(E$164:E$305,MATCH($W178,$J$164:$J$305,0)),INDEX(E$164:E$305,MATCH($W178,$J$164:$J$305,0))),"")</f>
        <v>-2.1693495806838312E-2</v>
      </c>
      <c r="S178" s="162">
        <f t="shared" si="1327"/>
        <v>0.96727220168774286</v>
      </c>
      <c r="T178" s="162">
        <f t="shared" si="1328"/>
        <v>0.25281194608211288</v>
      </c>
      <c r="U178" s="162">
        <f>IFERROR(IF(ISNUMBER(MATCH($X178,Settings!$AK$52:$AK$60,0)),INDEX(Settings!$AO$14:$AO$60,MATCH($X178,Settings!$AK$14:$AK$60,0))/2,INDEX(Settings!$AM$14:$AM$60,MATCH($X178,Settings!$AK$14:$AK$60,0))/2),"")</f>
        <v>0.26450000000000001</v>
      </c>
      <c r="V178" s="162">
        <f t="shared" si="1329"/>
        <v>0.52</v>
      </c>
      <c r="W178" s="75">
        <v>3.1070000000000002</v>
      </c>
      <c r="X178" s="937">
        <f t="shared" si="1332"/>
        <v>1313</v>
      </c>
      <c r="Y178" s="31"/>
      <c r="AK178" s="82" t="str">
        <f t="shared" si="1333"/>
        <v>Y</v>
      </c>
      <c r="AL178" s="419" t="s">
        <v>9</v>
      </c>
    </row>
    <row r="179" spans="2:38" x14ac:dyDescent="0.25">
      <c r="B179" s="650">
        <v>1.3998509203423342</v>
      </c>
      <c r="C179" s="651">
        <v>-4.8884817847007614E-2</v>
      </c>
      <c r="D179" s="652">
        <v>-0.21350064391794207</v>
      </c>
      <c r="E179" s="653">
        <v>-2.1693495806838312E-2</v>
      </c>
      <c r="F179" s="651">
        <v>0.96727220168774286</v>
      </c>
      <c r="G179" s="654">
        <v>0.25281194608211288</v>
      </c>
      <c r="H179" s="653">
        <v>0.26600000000000001</v>
      </c>
      <c r="I179" s="942">
        <v>0.52</v>
      </c>
      <c r="J179" s="946">
        <v>3.1070000000000002</v>
      </c>
      <c r="K179" s="931">
        <f>IF($J179="","",IF(IFERROR(INDEX(Settings!$AK$14:$AK$60,MATCH((((ROUND($H179,6)*2)*1000000)+ROUND($I179,6)),Settings!$AI$14:$AI$60,0)),"Undefined")="Undefined","Undefined",IFERROR(INDEX(_xlfn.ANCHORARRAY(Settings!$BC$14),MATCH(IFERROR(INDEX(Settings!$AK$14:$AK$60,MATCH((((ROUND($H179,6)*2)*1000000)+ROUND($I179,6)),Settings!$AI$14:$AI$60,0)),"Undefined"),_xlfn.ANCHORARRAY(Settings!$BC$14),0)),"Inactive")))</f>
        <v>1313</v>
      </c>
      <c r="L179" s="683"/>
      <c r="M179" s="934"/>
      <c r="N179" s="31" t="str">
        <f t="shared" si="1330"/>
        <v>Y</v>
      </c>
      <c r="O179" s="162">
        <f>IFERROR(INDEX(B$164:B$305,MATCH($W179,$J$164:$J$305,0)),"")</f>
        <v>2.0504093137618473</v>
      </c>
      <c r="P179" s="162">
        <f t="shared" si="1325"/>
        <v>-8.0938526797216595E-2</v>
      </c>
      <c r="Q179" s="162">
        <f t="shared" si="1326"/>
        <v>-6.190018669096306E-2</v>
      </c>
      <c r="R179" s="162">
        <f>IFERROR(IF($L179="Y",-1*INDEX(E$164:E$305,MATCH($W179,$J$164:$J$305,0)),INDEX(E$164:E$305,MATCH($W179,$J$164:$J$305,0))),"")</f>
        <v>4.1662956224246421E-2</v>
      </c>
      <c r="S179" s="162">
        <f t="shared" si="1327"/>
        <v>0.96503348966056302</v>
      </c>
      <c r="T179" s="162">
        <f t="shared" si="1328"/>
        <v>0.25879443949245273</v>
      </c>
      <c r="U179" s="162">
        <f>IFERROR(IF(ISNUMBER(MATCH($X179,Settings!$AK$52:$AK$60,0)),INDEX(Settings!$AO$14:$AO$60,MATCH($X179,Settings!$AK$14:$AK$60,0))/2,INDEX(Settings!$AM$14:$AM$60,MATCH($X179,Settings!$AK$14:$AK$60,0))/2),"")</f>
        <v>0.26450000000000001</v>
      </c>
      <c r="V179" s="162">
        <f t="shared" si="1329"/>
        <v>0.52</v>
      </c>
      <c r="W179" s="75">
        <v>3.1120000000000001</v>
      </c>
      <c r="X179" s="937">
        <f t="shared" si="1332"/>
        <v>1313</v>
      </c>
      <c r="Y179" s="31" t="s">
        <v>9</v>
      </c>
      <c r="AK179" s="82" t="str">
        <f t="shared" si="1333"/>
        <v>Y</v>
      </c>
      <c r="AL179" s="419" t="s">
        <v>9</v>
      </c>
    </row>
    <row r="180" spans="2:38" x14ac:dyDescent="0.25">
      <c r="B180" s="650">
        <v>2.0504093137618473</v>
      </c>
      <c r="C180" s="651">
        <v>-8.0938526797216595E-2</v>
      </c>
      <c r="D180" s="652">
        <v>-6.190018669096306E-2</v>
      </c>
      <c r="E180" s="653">
        <v>4.1662956224246421E-2</v>
      </c>
      <c r="F180" s="651">
        <v>0.96503348966056302</v>
      </c>
      <c r="G180" s="654">
        <v>0.25879443949245273</v>
      </c>
      <c r="H180" s="653">
        <v>0.26600000000000001</v>
      </c>
      <c r="I180" s="942">
        <v>0.52</v>
      </c>
      <c r="J180" s="946">
        <v>3.1120000000000001</v>
      </c>
      <c r="K180" s="931">
        <f>IF($J180="","",IF(IFERROR(INDEX(Settings!$AK$14:$AK$60,MATCH((((ROUND($H180,6)*2)*1000000)+ROUND($I180,6)),Settings!$AI$14:$AI$60,0)),"Undefined")="Undefined","Undefined",IFERROR(INDEX(_xlfn.ANCHORARRAY(Settings!$BC$14),MATCH(IFERROR(INDEX(Settings!$AK$14:$AK$60,MATCH((((ROUND($H180,6)*2)*1000000)+ROUND($I180,6)),Settings!$AI$14:$AI$60,0)),"Undefined"),_xlfn.ANCHORARRAY(Settings!$BC$14),0)),"Inactive")))</f>
        <v>1313</v>
      </c>
      <c r="L180" s="683"/>
      <c r="M180" s="934"/>
      <c r="N180" s="31" t="s">
        <v>9</v>
      </c>
      <c r="O180" s="162">
        <f t="shared" si="1324"/>
        <v>2.7489900313709135</v>
      </c>
      <c r="P180" s="162">
        <f t="shared" si="1325"/>
        <v>-0.14868935473817463</v>
      </c>
      <c r="Q180" s="162">
        <f t="shared" si="1326"/>
        <v>-0.16020048316465724</v>
      </c>
      <c r="R180" s="162">
        <f t="shared" si="1331"/>
        <v>0.14832249967548344</v>
      </c>
      <c r="S180" s="162">
        <f t="shared" si="1327"/>
        <v>0.95931518121021275</v>
      </c>
      <c r="T180" s="162">
        <f t="shared" si="1328"/>
        <v>0.2402390875557783</v>
      </c>
      <c r="U180" s="162">
        <f>IFERROR(IF(ISNUMBER(MATCH($X180,Settings!$AK$52:$AK$60,0)),INDEX(Settings!$AO$14:$AO$60,MATCH($X180,Settings!$AK$14:$AK$60,0))/2,INDEX(Settings!$AM$14:$AM$60,MATCH($X180,Settings!$AK$14:$AK$60,0))/2),"")</f>
        <v>0.26450000000000001</v>
      </c>
      <c r="V180" s="162">
        <f t="shared" si="1329"/>
        <v>0.52</v>
      </c>
      <c r="W180" s="75">
        <v>3.12</v>
      </c>
      <c r="X180" s="937">
        <f t="shared" si="1332"/>
        <v>1313</v>
      </c>
      <c r="Y180" s="31" t="s">
        <v>9</v>
      </c>
      <c r="AK180" s="82" t="str">
        <f t="shared" si="1333"/>
        <v>Y</v>
      </c>
      <c r="AL180" s="419" t="s">
        <v>9</v>
      </c>
    </row>
    <row r="181" spans="2:38" x14ac:dyDescent="0.25">
      <c r="B181" s="650">
        <v>2.7489900313709135</v>
      </c>
      <c r="C181" s="651">
        <v>-0.14868935473817463</v>
      </c>
      <c r="D181" s="652">
        <v>-0.16020048316465724</v>
      </c>
      <c r="E181" s="653">
        <v>0.14832249967548344</v>
      </c>
      <c r="F181" s="651">
        <v>0.95931518121021275</v>
      </c>
      <c r="G181" s="654">
        <v>0.2402390875557783</v>
      </c>
      <c r="H181" s="653">
        <v>0.26600000000000001</v>
      </c>
      <c r="I181" s="942">
        <v>0.52</v>
      </c>
      <c r="J181" s="946">
        <v>3.12</v>
      </c>
      <c r="K181" s="931">
        <f>IF($J181="","",IF(IFERROR(INDEX(Settings!$AK$14:$AK$60,MATCH((((ROUND($H181,6)*2)*1000000)+ROUND($I181,6)),Settings!$AI$14:$AI$60,0)),"Undefined")="Undefined","Undefined",IFERROR(INDEX(_xlfn.ANCHORARRAY(Settings!$BC$14),MATCH(IFERROR(INDEX(Settings!$AK$14:$AK$60,MATCH((((ROUND($H181,6)*2)*1000000)+ROUND($I181,6)),Settings!$AI$14:$AI$60,0)),"Undefined"),_xlfn.ANCHORARRAY(Settings!$BC$14),0)),"Inactive")))</f>
        <v>1313</v>
      </c>
      <c r="L181" s="683"/>
      <c r="M181" s="934"/>
      <c r="N181" s="31" t="str">
        <f t="shared" si="1330"/>
        <v>Y</v>
      </c>
      <c r="O181" s="162">
        <f t="shared" si="1324"/>
        <v>3.3113850258235744</v>
      </c>
      <c r="P181" s="162">
        <f t="shared" si="1325"/>
        <v>-0.229233854687932</v>
      </c>
      <c r="Q181" s="162">
        <f t="shared" si="1326"/>
        <v>-0.53620161718407744</v>
      </c>
      <c r="R181" s="162">
        <f t="shared" si="1331"/>
        <v>0.28636816563338574</v>
      </c>
      <c r="S181" s="162">
        <f t="shared" si="1327"/>
        <v>0.9279573419943089</v>
      </c>
      <c r="T181" s="162">
        <f t="shared" si="1328"/>
        <v>0.2385129873835537</v>
      </c>
      <c r="U181" s="162">
        <f>IFERROR(IF(ISNUMBER(MATCH($X181,Settings!$AK$52:$AK$60,0)),INDEX(Settings!$AO$14:$AO$60,MATCH($X181,Settings!$AK$14:$AK$60,0))/2,INDEX(Settings!$AM$14:$AM$60,MATCH($X181,Settings!$AK$14:$AK$60,0))/2),"")</f>
        <v>0.26450000000000001</v>
      </c>
      <c r="V181" s="162">
        <f t="shared" si="1329"/>
        <v>0.52</v>
      </c>
      <c r="W181" s="75">
        <v>3.1280000000000001</v>
      </c>
      <c r="X181" s="937">
        <f t="shared" si="1332"/>
        <v>1313</v>
      </c>
      <c r="Y181" s="31" t="s">
        <v>9</v>
      </c>
      <c r="AK181" s="82" t="str">
        <f t="shared" si="1333"/>
        <v>Y</v>
      </c>
      <c r="AL181" s="419" t="s">
        <v>9</v>
      </c>
    </row>
    <row r="182" spans="2:38" x14ac:dyDescent="0.25">
      <c r="B182" s="650">
        <v>3.3113850258235744</v>
      </c>
      <c r="C182" s="651">
        <v>-0.229233854687932</v>
      </c>
      <c r="D182" s="652">
        <v>-0.53620161718407744</v>
      </c>
      <c r="E182" s="653">
        <v>0.28636816563338574</v>
      </c>
      <c r="F182" s="651">
        <v>0.9279573419943089</v>
      </c>
      <c r="G182" s="654">
        <v>0.2385129873835537</v>
      </c>
      <c r="H182" s="653">
        <v>0.26600000000000001</v>
      </c>
      <c r="I182" s="942">
        <v>0.52</v>
      </c>
      <c r="J182" s="946">
        <v>3.1280000000000001</v>
      </c>
      <c r="K182" s="931">
        <f>IF($J182="","",IF(IFERROR(INDEX(Settings!$AK$14:$AK$60,MATCH((((ROUND($H182,6)*2)*1000000)+ROUND($I182,6)),Settings!$AI$14:$AI$60,0)),"Undefined")="Undefined","Undefined",IFERROR(INDEX(_xlfn.ANCHORARRAY(Settings!$BC$14),MATCH(IFERROR(INDEX(Settings!$AK$14:$AK$60,MATCH((((ROUND($H182,6)*2)*1000000)+ROUND($I182,6)),Settings!$AI$14:$AI$60,0)),"Undefined"),_xlfn.ANCHORARRAY(Settings!$BC$14),0)),"Inactive")))</f>
        <v>1313</v>
      </c>
      <c r="L182" s="683"/>
      <c r="M182" s="934"/>
      <c r="N182" s="31" t="str">
        <f t="shared" si="1330"/>
        <v>Y</v>
      </c>
      <c r="O182" s="162">
        <f t="shared" si="1324"/>
        <v>3.6540329283967221</v>
      </c>
      <c r="P182" s="162">
        <f t="shared" si="1325"/>
        <v>-0.28985281411281288</v>
      </c>
      <c r="Q182" s="162">
        <f t="shared" si="1326"/>
        <v>-1.1208033803429951</v>
      </c>
      <c r="R182" s="162">
        <f t="shared" si="1331"/>
        <v>0.47704067243714315</v>
      </c>
      <c r="S182" s="162">
        <f t="shared" si="1327"/>
        <v>0.85596458975935874</v>
      </c>
      <c r="T182" s="162">
        <f t="shared" si="1328"/>
        <v>0.19939111795366163</v>
      </c>
      <c r="U182" s="162">
        <f>IFERROR(IF(ISNUMBER(MATCH($X182,Settings!$AK$52:$AK$60,0)),INDEX(Settings!$AO$14:$AO$60,MATCH($X182,Settings!$AK$14:$AK$60,0))/2,INDEX(Settings!$AM$14:$AM$60,MATCH($X182,Settings!$AK$14:$AK$60,0))/2),"")</f>
        <v>0.26450000000000001</v>
      </c>
      <c r="V182" s="162">
        <f t="shared" si="1329"/>
        <v>0.52</v>
      </c>
      <c r="W182" s="75">
        <v>3.1360000000000001</v>
      </c>
      <c r="X182" s="937">
        <f t="shared" si="1332"/>
        <v>1313</v>
      </c>
      <c r="Y182" s="31" t="s">
        <v>9</v>
      </c>
      <c r="AK182" s="82" t="str">
        <f t="shared" si="1333"/>
        <v>Y</v>
      </c>
      <c r="AL182" s="419" t="s">
        <v>400</v>
      </c>
    </row>
    <row r="183" spans="2:38" x14ac:dyDescent="0.25">
      <c r="B183" s="650">
        <v>3.6540329283967221</v>
      </c>
      <c r="C183" s="651">
        <v>-0.28985281411281288</v>
      </c>
      <c r="D183" s="652">
        <v>-1.1208033803429951</v>
      </c>
      <c r="E183" s="653">
        <v>0.47704067243714315</v>
      </c>
      <c r="F183" s="651">
        <v>0.85596458975935874</v>
      </c>
      <c r="G183" s="654">
        <v>0.19939111795366163</v>
      </c>
      <c r="H183" s="653">
        <v>0.26600000000000001</v>
      </c>
      <c r="I183" s="942">
        <v>0.52</v>
      </c>
      <c r="J183" s="946">
        <v>3.1360000000000001</v>
      </c>
      <c r="K183" s="931">
        <f>IF($J183="","",IF(IFERROR(INDEX(Settings!$AK$14:$AK$60,MATCH((((ROUND($H183,6)*2)*1000000)+ROUND($I183,6)),Settings!$AI$14:$AI$60,0)),"Undefined")="Undefined","Undefined",IFERROR(INDEX(_xlfn.ANCHORARRAY(Settings!$BC$14),MATCH(IFERROR(INDEX(Settings!$AK$14:$AK$60,MATCH((((ROUND($H183,6)*2)*1000000)+ROUND($I183,6)),Settings!$AI$14:$AI$60,0)),"Undefined"),_xlfn.ANCHORARRAY(Settings!$BC$14),0)),"Inactive")))</f>
        <v>1313</v>
      </c>
      <c r="L183" s="683"/>
      <c r="M183" s="934"/>
      <c r="N183" s="31" t="str">
        <f t="shared" si="1330"/>
        <v>Y</v>
      </c>
      <c r="O183" s="162">
        <f t="shared" si="1324"/>
        <v>3.721114654769079</v>
      </c>
      <c r="P183" s="162">
        <f t="shared" si="1325"/>
        <v>-0.30276288101637056</v>
      </c>
      <c r="Q183" s="162">
        <f t="shared" si="1326"/>
        <v>-1.799205426403566</v>
      </c>
      <c r="R183" s="162">
        <f t="shared" si="1331"/>
        <v>0.56668748177328276</v>
      </c>
      <c r="S183" s="162">
        <f t="shared" si="1327"/>
        <v>0.82277959279909252</v>
      </c>
      <c r="T183" s="162">
        <f t="shared" si="1328"/>
        <v>4.3577972357774879E-2</v>
      </c>
      <c r="U183" s="162">
        <f>IFERROR(IF(ISNUMBER(MATCH($X183,Settings!$AK$52:$AK$60,0)),INDEX(Settings!$AO$14:$AO$60,MATCH($X183,Settings!$AK$14:$AK$60,0))/2,INDEX(Settings!$AM$14:$AM$60,MATCH($X183,Settings!$AK$14:$AK$60,0))/2),"")</f>
        <v>0.26450000000000001</v>
      </c>
      <c r="V183" s="162">
        <f t="shared" si="1329"/>
        <v>0.52</v>
      </c>
      <c r="W183" s="75">
        <v>3.1440000000000001</v>
      </c>
      <c r="X183" s="937">
        <f t="shared" si="1332"/>
        <v>1313</v>
      </c>
      <c r="Y183" s="31"/>
      <c r="AK183" s="82" t="str">
        <f t="shared" si="1333"/>
        <v>Y</v>
      </c>
      <c r="AL183" s="419" t="s">
        <v>400</v>
      </c>
    </row>
    <row r="184" spans="2:38" x14ac:dyDescent="0.25">
      <c r="B184" s="650">
        <v>3.721114654769079</v>
      </c>
      <c r="C184" s="651">
        <v>-0.30276288101637056</v>
      </c>
      <c r="D184" s="652">
        <v>-1.799205426403566</v>
      </c>
      <c r="E184" s="653">
        <v>0.56668748177328276</v>
      </c>
      <c r="F184" s="651">
        <v>0.82277959279909252</v>
      </c>
      <c r="G184" s="654">
        <v>4.3577972357774879E-2</v>
      </c>
      <c r="H184" s="653">
        <v>0.26600000000000001</v>
      </c>
      <c r="I184" s="942">
        <v>0.52</v>
      </c>
      <c r="J184" s="946">
        <v>3.1440000000000001</v>
      </c>
      <c r="K184" s="931">
        <f>IF($J184="","",IF(IFERROR(INDEX(Settings!$AK$14:$AK$60,MATCH((((ROUND($H184,6)*2)*1000000)+ROUND($I184,6)),Settings!$AI$14:$AI$60,0)),"Undefined")="Undefined","Undefined",IFERROR(INDEX(_xlfn.ANCHORARRAY(Settings!$BC$14),MATCH(IFERROR(INDEX(Settings!$AK$14:$AK$60,MATCH((((ROUND($H184,6)*2)*1000000)+ROUND($I184,6)),Settings!$AI$14:$AI$60,0)),"Undefined"),_xlfn.ANCHORARRAY(Settings!$BC$14),0)),"Inactive")))</f>
        <v>1313</v>
      </c>
      <c r="L184" s="683"/>
      <c r="M184" s="934"/>
      <c r="N184" s="31" t="str">
        <f t="shared" si="1330"/>
        <v>Y</v>
      </c>
      <c r="O184" s="162">
        <f t="shared" si="1324"/>
        <v>1.9227622819711701</v>
      </c>
      <c r="P184" s="162">
        <f t="shared" si="1325"/>
        <v>-1.8557157971095177</v>
      </c>
      <c r="Q184" s="162">
        <f t="shared" si="1326"/>
        <v>-0.13180039750999889</v>
      </c>
      <c r="R184" s="162">
        <f t="shared" si="1331"/>
        <v>0.73206492396084144</v>
      </c>
      <c r="S184" s="162">
        <f t="shared" si="1327"/>
        <v>0.6358822260428878</v>
      </c>
      <c r="T184" s="162">
        <f t="shared" si="1328"/>
        <v>0.24440691829191186</v>
      </c>
      <c r="U184" s="162">
        <f>IFERROR(IF(ISNUMBER(MATCH($X184,Settings!$AK$52:$AK$60,0)),INDEX(Settings!$AO$14:$AO$60,MATCH($X184,Settings!$AK$14:$AK$60,0))/2,INDEX(Settings!$AM$14:$AM$60,MATCH($X184,Settings!$AK$14:$AK$60,0))/2),"")</f>
        <v>0.26450000000000001</v>
      </c>
      <c r="V184" s="162">
        <f t="shared" si="1329"/>
        <v>0.52</v>
      </c>
      <c r="W184" s="75">
        <v>4.1189999999999998</v>
      </c>
      <c r="X184" s="937">
        <f t="shared" si="1332"/>
        <v>1313</v>
      </c>
      <c r="Y184" s="31"/>
      <c r="AK184" s="82" t="str">
        <f t="shared" si="1333"/>
        <v>Y</v>
      </c>
      <c r="AL184" s="419" t="s">
        <v>400</v>
      </c>
    </row>
    <row r="185" spans="2:38" x14ac:dyDescent="0.25">
      <c r="B185" s="650">
        <v>1.9227622819711701</v>
      </c>
      <c r="C185" s="651">
        <v>-1.8557157971095177</v>
      </c>
      <c r="D185" s="652">
        <v>-0.13180039750999889</v>
      </c>
      <c r="E185" s="653">
        <v>0.73206492396084144</v>
      </c>
      <c r="F185" s="651">
        <v>0.6358822260428878</v>
      </c>
      <c r="G185" s="654">
        <v>0.24440691829191186</v>
      </c>
      <c r="H185" s="653">
        <v>0.26600000000000001</v>
      </c>
      <c r="I185" s="942">
        <v>0.52</v>
      </c>
      <c r="J185" s="946">
        <v>4.1189999999999998</v>
      </c>
      <c r="K185" s="931">
        <f>IF($J185="","",IF(IFERROR(INDEX(Settings!$AK$14:$AK$60,MATCH((((ROUND($H185,6)*2)*1000000)+ROUND($I185,6)),Settings!$AI$14:$AI$60,0)),"Undefined")="Undefined","Undefined",IFERROR(INDEX(_xlfn.ANCHORARRAY(Settings!$BC$14),MATCH(IFERROR(INDEX(Settings!$AK$14:$AK$60,MATCH((((ROUND($H185,6)*2)*1000000)+ROUND($I185,6)),Settings!$AI$14:$AI$60,0)),"Undefined"),_xlfn.ANCHORARRAY(Settings!$BC$14),0)),"Inactive")))</f>
        <v>1313</v>
      </c>
      <c r="L185" s="683"/>
      <c r="M185" s="934"/>
      <c r="N185" s="31" t="str">
        <f t="shared" si="1330"/>
        <v>Y</v>
      </c>
      <c r="O185" s="162">
        <f t="shared" si="1324"/>
        <v>2.3096559878433647</v>
      </c>
      <c r="P185" s="162">
        <f t="shared" si="1325"/>
        <v>-2.2985594433933736</v>
      </c>
      <c r="Q185" s="162">
        <f t="shared" si="1326"/>
        <v>-0.47590143531872892</v>
      </c>
      <c r="R185" s="162">
        <f t="shared" si="1331"/>
        <v>0.81243838099092602</v>
      </c>
      <c r="S185" s="162">
        <f t="shared" si="1327"/>
        <v>0.53323488189027624</v>
      </c>
      <c r="T185" s="162">
        <f t="shared" si="1328"/>
        <v>0.23580593255536686</v>
      </c>
      <c r="U185" s="162">
        <f>IFERROR(IF(ISNUMBER(MATCH($X185,Settings!$AK$52:$AK$60,0)),INDEX(Settings!$AO$14:$AO$60,MATCH($X185,Settings!$AK$14:$AK$60,0))/2,INDEX(Settings!$AM$14:$AM$60,MATCH($X185,Settings!$AK$14:$AK$60,0))/2),"")</f>
        <v>0.26450000000000001</v>
      </c>
      <c r="V185" s="162">
        <f t="shared" si="1329"/>
        <v>0.52</v>
      </c>
      <c r="W185" s="75">
        <v>4.1269999999999998</v>
      </c>
      <c r="X185" s="937">
        <f t="shared" si="1332"/>
        <v>1313</v>
      </c>
      <c r="Y185" s="31"/>
      <c r="AK185" s="82" t="str">
        <f t="shared" si="1333"/>
        <v>Y</v>
      </c>
      <c r="AL185" s="419" t="s">
        <v>400</v>
      </c>
    </row>
    <row r="186" spans="2:38" x14ac:dyDescent="0.25">
      <c r="B186" s="650">
        <v>2.3096559878433647</v>
      </c>
      <c r="C186" s="651">
        <v>-2.2985594433933736</v>
      </c>
      <c r="D186" s="652">
        <v>-0.47590143531872892</v>
      </c>
      <c r="E186" s="653">
        <v>0.81243838099092602</v>
      </c>
      <c r="F186" s="651">
        <v>0.53323488189027624</v>
      </c>
      <c r="G186" s="654">
        <v>0.23580593255536686</v>
      </c>
      <c r="H186" s="653">
        <v>0.26600000000000001</v>
      </c>
      <c r="I186" s="942">
        <v>0.52</v>
      </c>
      <c r="J186" s="946">
        <v>4.1269999999999998</v>
      </c>
      <c r="K186" s="931">
        <f>IF($J186="","",IF(IFERROR(INDEX(Settings!$AK$14:$AK$60,MATCH((((ROUND($H186,6)*2)*1000000)+ROUND($I186,6)),Settings!$AI$14:$AI$60,0)),"Undefined")="Undefined","Undefined",IFERROR(INDEX(_xlfn.ANCHORARRAY(Settings!$BC$14),MATCH(IFERROR(INDEX(Settings!$AK$14:$AK$60,MATCH((((ROUND($H186,6)*2)*1000000)+ROUND($I186,6)),Settings!$AI$14:$AI$60,0)),"Undefined"),_xlfn.ANCHORARRAY(Settings!$BC$14),0)),"Inactive")))</f>
        <v>1313</v>
      </c>
      <c r="L186" s="683"/>
      <c r="M186" s="934"/>
      <c r="N186" s="31" t="str">
        <f t="shared" si="1330"/>
        <v>Y</v>
      </c>
      <c r="O186" s="162">
        <f t="shared" si="1324"/>
        <v>2.5505732621648578</v>
      </c>
      <c r="P186" s="162">
        <f t="shared" si="1325"/>
        <v>-2.5934652680406756</v>
      </c>
      <c r="Q186" s="162">
        <f t="shared" si="1326"/>
        <v>-1.0399031363478597</v>
      </c>
      <c r="R186" s="162">
        <f t="shared" si="1331"/>
        <v>0.9104780962758906</v>
      </c>
      <c r="S186" s="162">
        <f t="shared" si="1327"/>
        <v>0.35602976075395998</v>
      </c>
      <c r="T186" s="162">
        <f t="shared" si="1328"/>
        <v>0.2104101843051053</v>
      </c>
      <c r="U186" s="162">
        <f>IFERROR(IF(ISNUMBER(MATCH($X186,Settings!$AK$52:$AK$60,0)),INDEX(Settings!$AO$14:$AO$60,MATCH($X186,Settings!$AK$14:$AK$60,0))/2,INDEX(Settings!$AM$14:$AM$60,MATCH($X186,Settings!$AK$14:$AK$60,0))/2),"")</f>
        <v>0.26450000000000001</v>
      </c>
      <c r="V186" s="162">
        <f t="shared" si="1329"/>
        <v>0.52</v>
      </c>
      <c r="W186" s="75">
        <v>4.1349999999999998</v>
      </c>
      <c r="X186" s="937">
        <f t="shared" si="1332"/>
        <v>1313</v>
      </c>
      <c r="Y186" s="31"/>
      <c r="AK186" s="82" t="str">
        <f t="shared" si="1333"/>
        <v>Y</v>
      </c>
      <c r="AL186" s="419" t="s">
        <v>400</v>
      </c>
    </row>
    <row r="187" spans="2:38" x14ac:dyDescent="0.25">
      <c r="B187" s="650">
        <v>2.5505732621648578</v>
      </c>
      <c r="C187" s="651">
        <v>-2.5934652680406756</v>
      </c>
      <c r="D187" s="652">
        <v>-1.0399031363478597</v>
      </c>
      <c r="E187" s="653">
        <v>0.9104780962758906</v>
      </c>
      <c r="F187" s="651">
        <v>0.35602976075395998</v>
      </c>
      <c r="G187" s="654">
        <v>0.2104101843051053</v>
      </c>
      <c r="H187" s="653">
        <v>0.26600000000000001</v>
      </c>
      <c r="I187" s="942">
        <v>0.52</v>
      </c>
      <c r="J187" s="946">
        <v>4.1349999999999998</v>
      </c>
      <c r="K187" s="931">
        <f>IF($J187="","",IF(IFERROR(INDEX(Settings!$AK$14:$AK$60,MATCH((((ROUND($H187,6)*2)*1000000)+ROUND($I187,6)),Settings!$AI$14:$AI$60,0)),"Undefined")="Undefined","Undefined",IFERROR(INDEX(_xlfn.ANCHORARRAY(Settings!$BC$14),MATCH(IFERROR(INDEX(Settings!$AK$14:$AK$60,MATCH((((ROUND($H187,6)*2)*1000000)+ROUND($I187,6)),Settings!$AI$14:$AI$60,0)),"Undefined"),_xlfn.ANCHORARRAY(Settings!$BC$14),0)),"Inactive")))</f>
        <v>1313</v>
      </c>
      <c r="L187" s="683"/>
      <c r="M187" s="934"/>
      <c r="N187" s="31" t="str">
        <f t="shared" si="1330"/>
        <v>Y</v>
      </c>
      <c r="O187" s="162">
        <f t="shared" si="1324"/>
        <v>2.6097308331619118</v>
      </c>
      <c r="P187" s="162">
        <f t="shared" si="1325"/>
        <v>-2.6697686443777435</v>
      </c>
      <c r="Q187" s="162">
        <f t="shared" si="1326"/>
        <v>-1.7136051682331874</v>
      </c>
      <c r="R187" s="162">
        <f t="shared" si="1331"/>
        <v>0.96571062719124223</v>
      </c>
      <c r="S187" s="162">
        <f t="shared" si="1327"/>
        <v>0.25098572415458364</v>
      </c>
      <c r="T187" s="162">
        <f t="shared" si="1328"/>
        <v>6.6401436735186087E-2</v>
      </c>
      <c r="U187" s="162">
        <f>IFERROR(IF(ISNUMBER(MATCH($X187,Settings!$AK$52:$AK$60,0)),INDEX(Settings!$AO$14:$AO$60,MATCH($X187,Settings!$AK$14:$AK$60,0))/2,INDEX(Settings!$AM$14:$AM$60,MATCH($X187,Settings!$AK$14:$AK$60,0))/2),"")</f>
        <v>0.26450000000000001</v>
      </c>
      <c r="V187" s="162">
        <f t="shared" si="1329"/>
        <v>0.52</v>
      </c>
      <c r="W187" s="75">
        <v>4.1429999999999998</v>
      </c>
      <c r="X187" s="937">
        <f t="shared" si="1332"/>
        <v>1313</v>
      </c>
      <c r="Y187" s="31"/>
      <c r="AK187" s="82" t="str">
        <f t="shared" si="1333"/>
        <v>Y</v>
      </c>
      <c r="AL187" s="419" t="s">
        <v>400</v>
      </c>
    </row>
    <row r="188" spans="2:38" x14ac:dyDescent="0.25">
      <c r="B188" s="650">
        <v>2.6097308331619118</v>
      </c>
      <c r="C188" s="651">
        <v>-2.6697686443777435</v>
      </c>
      <c r="D188" s="652">
        <v>-1.7136051682331874</v>
      </c>
      <c r="E188" s="653">
        <v>0.96571062719124223</v>
      </c>
      <c r="F188" s="651">
        <v>0.25098572415458364</v>
      </c>
      <c r="G188" s="654">
        <v>6.6401436735186087E-2</v>
      </c>
      <c r="H188" s="653">
        <v>0.26600000000000001</v>
      </c>
      <c r="I188" s="942">
        <v>0.52</v>
      </c>
      <c r="J188" s="946">
        <v>4.1429999999999998</v>
      </c>
      <c r="K188" s="931">
        <f>IF($J188="","",IF(IFERROR(INDEX(Settings!$AK$14:$AK$60,MATCH((((ROUND($H188,6)*2)*1000000)+ROUND($I188,6)),Settings!$AI$14:$AI$60,0)),"Undefined")="Undefined","Undefined",IFERROR(INDEX(_xlfn.ANCHORARRAY(Settings!$BC$14),MATCH(IFERROR(INDEX(Settings!$AK$14:$AK$60,MATCH((((ROUND($H188,6)*2)*1000000)+ROUND($I188,6)),Settings!$AI$14:$AI$60,0)),"Undefined"),_xlfn.ANCHORARRAY(Settings!$BC$14),0)),"Inactive")))</f>
        <v>1313</v>
      </c>
      <c r="L188" s="683"/>
      <c r="M188" s="934"/>
      <c r="N188" s="31" t="str">
        <f t="shared" si="1330"/>
        <v>Y</v>
      </c>
      <c r="O188" s="162">
        <f t="shared" si="1324"/>
        <v>2.0311301579867144E-2</v>
      </c>
      <c r="P188" s="162">
        <f t="shared" si="1325"/>
        <v>-0.58164722488854281</v>
      </c>
      <c r="Q188" s="162">
        <f t="shared" si="1326"/>
        <v>-0.4328013053287369</v>
      </c>
      <c r="R188" s="162">
        <f t="shared" si="1331"/>
        <v>0.94768598131740756</v>
      </c>
      <c r="S188" s="162">
        <f t="shared" si="1327"/>
        <v>0.113121699236782</v>
      </c>
      <c r="T188" s="162">
        <f t="shared" si="1328"/>
        <v>0.2984874569831123</v>
      </c>
      <c r="U188" s="162">
        <f>IFERROR(IF(ISNUMBER(MATCH($X188,Settings!$AK$52:$AK$60,0)),INDEX(Settings!$AO$14:$AO$60,MATCH($X188,Settings!$AK$14:$AK$60,0))/2,INDEX(Settings!$AM$14:$AM$60,MATCH($X188,Settings!$AK$14:$AK$60,0))/2),"")</f>
        <v>0.26450000000000001</v>
      </c>
      <c r="V188" s="162">
        <f t="shared" si="1329"/>
        <v>0.52</v>
      </c>
      <c r="W188" s="75">
        <v>5.1020000000000003</v>
      </c>
      <c r="X188" s="937">
        <f t="shared" si="1332"/>
        <v>1313</v>
      </c>
      <c r="Y188" s="31"/>
      <c r="AK188" s="82" t="str">
        <f t="shared" si="1333"/>
        <v>Y</v>
      </c>
      <c r="AL188" s="419" t="s">
        <v>400</v>
      </c>
    </row>
    <row r="189" spans="2:38" x14ac:dyDescent="0.25">
      <c r="B189" s="650">
        <v>2.0311301579867144E-2</v>
      </c>
      <c r="C189" s="651">
        <v>-0.58164722488854281</v>
      </c>
      <c r="D189" s="652">
        <v>-0.4328013053287369</v>
      </c>
      <c r="E189" s="653">
        <v>0.94768598131740756</v>
      </c>
      <c r="F189" s="651">
        <v>0.113121699236782</v>
      </c>
      <c r="G189" s="654">
        <v>0.2984874569831123</v>
      </c>
      <c r="H189" s="653">
        <v>0.26600000000000001</v>
      </c>
      <c r="I189" s="942">
        <v>0.52</v>
      </c>
      <c r="J189" s="946">
        <v>5.1020000000000003</v>
      </c>
      <c r="K189" s="931">
        <f>IF($J189="","",IF(IFERROR(INDEX(Settings!$AK$14:$AK$60,MATCH((((ROUND($H189,6)*2)*1000000)+ROUND($I189,6)),Settings!$AI$14:$AI$60,0)),"Undefined")="Undefined","Undefined",IFERROR(INDEX(_xlfn.ANCHORARRAY(Settings!$BC$14),MATCH(IFERROR(INDEX(Settings!$AK$14:$AK$60,MATCH((((ROUND($H189,6)*2)*1000000)+ROUND($I189,6)),Settings!$AI$14:$AI$60,0)),"Undefined"),_xlfn.ANCHORARRAY(Settings!$BC$14),0)),"Inactive")))</f>
        <v>1313</v>
      </c>
      <c r="L189" s="683"/>
      <c r="M189" s="934"/>
      <c r="N189" s="31" t="str">
        <f t="shared" si="1330"/>
        <v>Y</v>
      </c>
      <c r="O189" s="162">
        <f t="shared" si="1324"/>
        <v>4.336916576168539E-2</v>
      </c>
      <c r="P189" s="162">
        <f t="shared" si="1325"/>
        <v>-1.2419467463384743</v>
      </c>
      <c r="Q189" s="162">
        <f t="shared" si="1326"/>
        <v>-0.25580077149512687</v>
      </c>
      <c r="R189" s="162">
        <f t="shared" si="1331"/>
        <v>0.96299964398557225</v>
      </c>
      <c r="S189" s="162">
        <f t="shared" si="1327"/>
        <v>0.10065635623830378</v>
      </c>
      <c r="T189" s="162">
        <f t="shared" si="1328"/>
        <v>0.24999996726497561</v>
      </c>
      <c r="U189" s="162">
        <f>IFERROR(IF(ISNUMBER(MATCH($X189,Settings!$AK$52:$AK$60,0)),INDEX(Settings!$AO$14:$AO$60,MATCH($X189,Settings!$AK$14:$AK$60,0))/2,INDEX(Settings!$AM$14:$AM$60,MATCH($X189,Settings!$AK$14:$AK$60,0))/2),"")</f>
        <v>0.26450000000000001</v>
      </c>
      <c r="V189" s="162">
        <f t="shared" si="1329"/>
        <v>0.52</v>
      </c>
      <c r="W189" s="75">
        <v>5.1059999999999999</v>
      </c>
      <c r="X189" s="937">
        <f t="shared" si="1332"/>
        <v>1313</v>
      </c>
      <c r="Y189" s="31"/>
      <c r="AK189" s="82" t="str">
        <f t="shared" si="1333"/>
        <v>Y</v>
      </c>
      <c r="AL189" s="419" t="s">
        <v>400</v>
      </c>
    </row>
    <row r="190" spans="2:38" x14ac:dyDescent="0.25">
      <c r="B190" s="650">
        <v>4.336916576168539E-2</v>
      </c>
      <c r="C190" s="651">
        <v>-1.2419467463384743</v>
      </c>
      <c r="D190" s="652">
        <v>-0.25580077149512687</v>
      </c>
      <c r="E190" s="653">
        <v>0.96299964398557225</v>
      </c>
      <c r="F190" s="651">
        <v>0.10065635623830378</v>
      </c>
      <c r="G190" s="654">
        <v>0.24999996726497561</v>
      </c>
      <c r="H190" s="653">
        <v>0.26600000000000001</v>
      </c>
      <c r="I190" s="942">
        <v>0.52</v>
      </c>
      <c r="J190" s="946">
        <v>5.1059999999999999</v>
      </c>
      <c r="K190" s="931">
        <f>IF($J190="","",IF(IFERROR(INDEX(Settings!$AK$14:$AK$60,MATCH((((ROUND($H190,6)*2)*1000000)+ROUND($I190,6)),Settings!$AI$14:$AI$60,0)),"Undefined")="Undefined","Undefined",IFERROR(INDEX(_xlfn.ANCHORARRAY(Settings!$BC$14),MATCH(IFERROR(INDEX(Settings!$AK$14:$AK$60,MATCH((((ROUND($H190,6)*2)*1000000)+ROUND($I190,6)),Settings!$AI$14:$AI$60,0)),"Undefined"),_xlfn.ANCHORARRAY(Settings!$BC$14),0)),"Inactive")))</f>
        <v>1313</v>
      </c>
      <c r="L190" s="683"/>
      <c r="M190" s="934"/>
      <c r="N190" s="31" t="str">
        <f t="shared" si="1330"/>
        <v>Y</v>
      </c>
      <c r="O190" s="162">
        <f t="shared" si="1324"/>
        <v>6.202135052624997E-2</v>
      </c>
      <c r="P190" s="162">
        <f t="shared" si="1325"/>
        <v>-1.937813578789346</v>
      </c>
      <c r="Q190" s="162">
        <f t="shared" si="1326"/>
        <v>-7.6500230724695875E-2</v>
      </c>
      <c r="R190" s="162">
        <f t="shared" si="1331"/>
        <v>0.96516533526876802</v>
      </c>
      <c r="S190" s="162">
        <f t="shared" si="1327"/>
        <v>3.9214991086598039E-2</v>
      </c>
      <c r="T190" s="162">
        <f t="shared" si="1328"/>
        <v>0.25868525290322342</v>
      </c>
      <c r="U190" s="162">
        <f>IFERROR(IF(ISNUMBER(MATCH($X190,Settings!$AK$52:$AK$60,0)),INDEX(Settings!$AO$14:$AO$60,MATCH($X190,Settings!$AK$14:$AK$60,0))/2,INDEX(Settings!$AM$14:$AM$60,MATCH($X190,Settings!$AK$14:$AK$60,0))/2),"")</f>
        <v>0.26450000000000001</v>
      </c>
      <c r="V190" s="162">
        <f t="shared" si="1329"/>
        <v>0.52</v>
      </c>
      <c r="W190" s="75">
        <v>5.1109999999999998</v>
      </c>
      <c r="X190" s="937">
        <f t="shared" si="1332"/>
        <v>1313</v>
      </c>
      <c r="Y190" s="31"/>
      <c r="AK190" s="82" t="str">
        <f t="shared" si="1333"/>
        <v>Y</v>
      </c>
      <c r="AL190" s="419" t="s">
        <v>9</v>
      </c>
    </row>
    <row r="191" spans="2:38" x14ac:dyDescent="0.25">
      <c r="B191" s="650">
        <v>6.202135052624997E-2</v>
      </c>
      <c r="C191" s="651">
        <v>-1.937813578789346</v>
      </c>
      <c r="D191" s="652">
        <v>-7.6500230724695875E-2</v>
      </c>
      <c r="E191" s="653">
        <v>0.96516533526876802</v>
      </c>
      <c r="F191" s="651">
        <v>3.9214991086598039E-2</v>
      </c>
      <c r="G191" s="654">
        <v>0.25868525290322342</v>
      </c>
      <c r="H191" s="653">
        <v>0.26600000000000001</v>
      </c>
      <c r="I191" s="942">
        <v>0.52</v>
      </c>
      <c r="J191" s="946">
        <v>5.1109999999999998</v>
      </c>
      <c r="K191" s="931">
        <f>IF($J191="","",IF(IFERROR(INDEX(Settings!$AK$14:$AK$60,MATCH((((ROUND($H191,6)*2)*1000000)+ROUND($I191,6)),Settings!$AI$14:$AI$60,0)),"Undefined")="Undefined","Undefined",IFERROR(INDEX(_xlfn.ANCHORARRAY(Settings!$BC$14),MATCH(IFERROR(INDEX(Settings!$AK$14:$AK$60,MATCH((((ROUND($H191,6)*2)*1000000)+ROUND($I191,6)),Settings!$AI$14:$AI$60,0)),"Undefined"),_xlfn.ANCHORARRAY(Settings!$BC$14),0)),"Inactive")))</f>
        <v>1313</v>
      </c>
      <c r="L191" s="683"/>
      <c r="M191" s="934"/>
      <c r="N191" s="31" t="str">
        <f t="shared" si="1330"/>
        <v>Y</v>
      </c>
      <c r="O191" s="162">
        <f t="shared" si="1324"/>
        <v>5.0976782108444585E-2</v>
      </c>
      <c r="P191" s="162">
        <f t="shared" si="1325"/>
        <v>-2.5895060979129054</v>
      </c>
      <c r="Q191" s="162">
        <f t="shared" si="1326"/>
        <v>-0.10780032512578056</v>
      </c>
      <c r="R191" s="162">
        <f t="shared" si="1331"/>
        <v>0.96719225662015762</v>
      </c>
      <c r="S191" s="162">
        <f t="shared" si="1327"/>
        <v>-5.4824677725050494E-2</v>
      </c>
      <c r="T191" s="162">
        <f t="shared" si="1328"/>
        <v>0.24805925390186856</v>
      </c>
      <c r="U191" s="162">
        <f>IFERROR(IF(ISNUMBER(MATCH($X191,Settings!$AK$52:$AK$60,0)),INDEX(Settings!$AO$14:$AO$60,MATCH($X191,Settings!$AK$14:$AK$60,0))/2,INDEX(Settings!$AM$14:$AM$60,MATCH($X191,Settings!$AK$14:$AK$60,0))/2),"")</f>
        <v>0.26450000000000001</v>
      </c>
      <c r="V191" s="162">
        <f t="shared" si="1329"/>
        <v>0.52</v>
      </c>
      <c r="W191" s="75">
        <v>5.1180000000000003</v>
      </c>
      <c r="X191" s="937">
        <f t="shared" si="1332"/>
        <v>1313</v>
      </c>
      <c r="Y191" s="31"/>
      <c r="AK191" s="82" t="str">
        <f t="shared" si="1333"/>
        <v>Y</v>
      </c>
      <c r="AL191" s="419" t="s">
        <v>9</v>
      </c>
    </row>
    <row r="192" spans="2:38" x14ac:dyDescent="0.25">
      <c r="B192" s="650">
        <v>5.0976782108444585E-2</v>
      </c>
      <c r="C192" s="651">
        <v>-2.5895060979129054</v>
      </c>
      <c r="D192" s="652">
        <v>-0.10780032512578056</v>
      </c>
      <c r="E192" s="653">
        <v>0.96719225662015762</v>
      </c>
      <c r="F192" s="651">
        <v>-5.4824677725050494E-2</v>
      </c>
      <c r="G192" s="654">
        <v>0.24805925390186856</v>
      </c>
      <c r="H192" s="653">
        <v>0.26600000000000001</v>
      </c>
      <c r="I192" s="942">
        <v>0.52</v>
      </c>
      <c r="J192" s="946">
        <v>5.1180000000000003</v>
      </c>
      <c r="K192" s="931">
        <f>IF($J192="","",IF(IFERROR(INDEX(Settings!$AK$14:$AK$60,MATCH((((ROUND($H192,6)*2)*1000000)+ROUND($I192,6)),Settings!$AI$14:$AI$60,0)),"Undefined")="Undefined","Undefined",IFERROR(INDEX(_xlfn.ANCHORARRAY(Settings!$BC$14),MATCH(IFERROR(INDEX(Settings!$AK$14:$AK$60,MATCH((((ROUND($H192,6)*2)*1000000)+ROUND($I192,6)),Settings!$AI$14:$AI$60,0)),"Undefined"),_xlfn.ANCHORARRAY(Settings!$BC$14),0)),"Inactive")))</f>
        <v>1313</v>
      </c>
      <c r="L192" s="683"/>
      <c r="M192" s="934"/>
      <c r="N192" s="31" t="str">
        <f t="shared" si="1330"/>
        <v>Y</v>
      </c>
      <c r="O192" s="162">
        <f t="shared" si="1324"/>
        <v>1.3384378024715659E-2</v>
      </c>
      <c r="P192" s="162">
        <f t="shared" si="1325"/>
        <v>-3.1942815931805315</v>
      </c>
      <c r="Q192" s="162">
        <f t="shared" si="1326"/>
        <v>-0.41920126431101323</v>
      </c>
      <c r="R192" s="162">
        <f t="shared" si="1331"/>
        <v>0.95704437131991182</v>
      </c>
      <c r="S192" s="162">
        <f t="shared" si="1327"/>
        <v>-0.17450822910809666</v>
      </c>
      <c r="T192" s="162">
        <f t="shared" si="1328"/>
        <v>0.23154470259202845</v>
      </c>
      <c r="U192" s="162">
        <f>IFERROR(IF(ISNUMBER(MATCH($X192,Settings!$AK$52:$AK$60,0)),INDEX(Settings!$AO$14:$AO$60,MATCH($X192,Settings!$AK$14:$AK$60,0))/2,INDEX(Settings!$AM$14:$AM$60,MATCH($X192,Settings!$AK$14:$AK$60,0))/2),"")</f>
        <v>0.26450000000000001</v>
      </c>
      <c r="V192" s="162">
        <f t="shared" si="1329"/>
        <v>0.52</v>
      </c>
      <c r="W192" s="75">
        <v>5.1260000000000003</v>
      </c>
      <c r="X192" s="937">
        <f t="shared" si="1332"/>
        <v>1313</v>
      </c>
      <c r="Y192" s="31" t="s">
        <v>9</v>
      </c>
      <c r="AK192" s="82" t="str">
        <f t="shared" si="1333"/>
        <v>Y</v>
      </c>
      <c r="AL192" s="419" t="s">
        <v>9</v>
      </c>
    </row>
    <row r="193" spans="2:38" x14ac:dyDescent="0.25">
      <c r="B193" s="650">
        <v>1.3384378024715659E-2</v>
      </c>
      <c r="C193" s="651">
        <v>-3.1942815931805315</v>
      </c>
      <c r="D193" s="652">
        <v>-0.41920126431101323</v>
      </c>
      <c r="E193" s="653">
        <v>0.95704437131991182</v>
      </c>
      <c r="F193" s="651">
        <v>-0.17450822910809666</v>
      </c>
      <c r="G193" s="654">
        <v>0.23154470259202845</v>
      </c>
      <c r="H193" s="653">
        <v>0.26600000000000001</v>
      </c>
      <c r="I193" s="942">
        <v>0.52</v>
      </c>
      <c r="J193" s="946">
        <v>5.1260000000000003</v>
      </c>
      <c r="K193" s="931">
        <f>IF($J193="","",IF(IFERROR(INDEX(Settings!$AK$14:$AK$60,MATCH((((ROUND($H193,6)*2)*1000000)+ROUND($I193,6)),Settings!$AI$14:$AI$60,0)),"Undefined")="Undefined","Undefined",IFERROR(INDEX(_xlfn.ANCHORARRAY(Settings!$BC$14),MATCH(IFERROR(INDEX(Settings!$AK$14:$AK$60,MATCH((((ROUND($H193,6)*2)*1000000)+ROUND($I193,6)),Settings!$AI$14:$AI$60,0)),"Undefined"),_xlfn.ANCHORARRAY(Settings!$BC$14),0)),"Inactive")))</f>
        <v>1313</v>
      </c>
      <c r="L193" s="683"/>
      <c r="M193" s="934"/>
      <c r="N193" s="31" t="str">
        <f t="shared" si="1330"/>
        <v>Y</v>
      </c>
      <c r="O193" s="162">
        <f t="shared" si="1324"/>
        <v>-2.7206172869281901E-2</v>
      </c>
      <c r="P193" s="162">
        <f t="shared" si="1325"/>
        <v>-3.6047082056440174</v>
      </c>
      <c r="Q193" s="162">
        <f t="shared" si="1326"/>
        <v>-0.96070289747993887</v>
      </c>
      <c r="R193" s="162">
        <f t="shared" si="1331"/>
        <v>0.90355709591758437</v>
      </c>
      <c r="S193" s="162">
        <f t="shared" si="1327"/>
        <v>-0.36787909453996581</v>
      </c>
      <c r="T193" s="162">
        <f t="shared" si="1328"/>
        <v>0.21965779343660091</v>
      </c>
      <c r="U193" s="162">
        <f>IFERROR(IF(ISNUMBER(MATCH($X193,Settings!$AK$52:$AK$60,0)),INDEX(Settings!$AO$14:$AO$60,MATCH($X193,Settings!$AK$14:$AK$60,0))/2,INDEX(Settings!$AM$14:$AM$60,MATCH($X193,Settings!$AK$14:$AK$60,0))/2),"")</f>
        <v>0.26450000000000001</v>
      </c>
      <c r="V193" s="162">
        <f t="shared" si="1329"/>
        <v>0.52</v>
      </c>
      <c r="W193" s="75">
        <v>5.1340000000000003</v>
      </c>
      <c r="X193" s="937">
        <f t="shared" si="1332"/>
        <v>1313</v>
      </c>
      <c r="Y193" s="31"/>
      <c r="AK193" s="82" t="str">
        <f t="shared" si="1333"/>
        <v>Y</v>
      </c>
      <c r="AL193" s="419" t="s">
        <v>9</v>
      </c>
    </row>
    <row r="194" spans="2:38" x14ac:dyDescent="0.25">
      <c r="B194" s="650">
        <v>-2.7206172869281901E-2</v>
      </c>
      <c r="C194" s="651">
        <v>-3.6047082056440174</v>
      </c>
      <c r="D194" s="652">
        <v>-0.96070289747993887</v>
      </c>
      <c r="E194" s="653">
        <v>0.90355709591758437</v>
      </c>
      <c r="F194" s="651">
        <v>-0.36787909453996581</v>
      </c>
      <c r="G194" s="654">
        <v>0.21965779343660091</v>
      </c>
      <c r="H194" s="653">
        <v>0.26600000000000001</v>
      </c>
      <c r="I194" s="942">
        <v>0.52</v>
      </c>
      <c r="J194" s="946">
        <v>5.1340000000000003</v>
      </c>
      <c r="K194" s="931">
        <f>IF($J194="","",IF(IFERROR(INDEX(Settings!$AK$14:$AK$60,MATCH((((ROUND($H194,6)*2)*1000000)+ROUND($I194,6)),Settings!$AI$14:$AI$60,0)),"Undefined")="Undefined","Undefined",IFERROR(INDEX(_xlfn.ANCHORARRAY(Settings!$BC$14),MATCH(IFERROR(INDEX(Settings!$AK$14:$AK$60,MATCH((((ROUND($H194,6)*2)*1000000)+ROUND($I194,6)),Settings!$AI$14:$AI$60,0)),"Undefined"),_xlfn.ANCHORARRAY(Settings!$BC$14),0)),"Inactive")))</f>
        <v>1313</v>
      </c>
      <c r="L194" s="683"/>
      <c r="M194" s="934"/>
      <c r="N194" s="31" t="str">
        <f t="shared" si="1330"/>
        <v>Y</v>
      </c>
      <c r="O194" s="162">
        <f t="shared" si="1324"/>
        <v>-4.2452720106374991E-2</v>
      </c>
      <c r="P194" s="162">
        <f t="shared" si="1325"/>
        <v>-3.7331698866531791</v>
      </c>
      <c r="Q194" s="162">
        <f t="shared" si="1326"/>
        <v>-1.6279049097612077</v>
      </c>
      <c r="R194" s="162">
        <f t="shared" si="1331"/>
        <v>0.8603749078844305</v>
      </c>
      <c r="S194" s="162">
        <f t="shared" si="1327"/>
        <v>-0.5018156110536881</v>
      </c>
      <c r="T194" s="162">
        <f t="shared" si="1328"/>
        <v>8.908484936099674E-2</v>
      </c>
      <c r="U194" s="162">
        <f>IFERROR(IF(ISNUMBER(MATCH($X194,Settings!$AK$52:$AK$60,0)),INDEX(Settings!$AO$14:$AO$60,MATCH($X194,Settings!$AK$14:$AK$60,0))/2,INDEX(Settings!$AM$14:$AM$60,MATCH($X194,Settings!$AK$14:$AK$60,0))/2),"")</f>
        <v>0.26450000000000001</v>
      </c>
      <c r="V194" s="162">
        <f t="shared" si="1329"/>
        <v>0.52</v>
      </c>
      <c r="W194" s="75">
        <v>5.1420000000000003</v>
      </c>
      <c r="X194" s="937">
        <f t="shared" si="1332"/>
        <v>1313</v>
      </c>
      <c r="Y194" s="31"/>
      <c r="AK194" s="82" t="str">
        <f t="shared" si="1333"/>
        <v>Y</v>
      </c>
      <c r="AL194" s="419" t="s">
        <v>9</v>
      </c>
    </row>
    <row r="195" spans="2:38" x14ac:dyDescent="0.25">
      <c r="B195" s="650">
        <v>-4.2452720106374991E-2</v>
      </c>
      <c r="C195" s="651">
        <v>-3.7331698866531791</v>
      </c>
      <c r="D195" s="652">
        <v>-1.6279049097612077</v>
      </c>
      <c r="E195" s="653">
        <v>0.8603749078844305</v>
      </c>
      <c r="F195" s="651">
        <v>-0.5018156110536881</v>
      </c>
      <c r="G195" s="654">
        <v>8.908484936099674E-2</v>
      </c>
      <c r="H195" s="653">
        <v>0.26600000000000001</v>
      </c>
      <c r="I195" s="942">
        <v>0.52</v>
      </c>
      <c r="J195" s="946">
        <v>5.1420000000000003</v>
      </c>
      <c r="K195" s="931">
        <f>IF($J195="","",IF(IFERROR(INDEX(Settings!$AK$14:$AK$60,MATCH((((ROUND($H195,6)*2)*1000000)+ROUND($I195,6)),Settings!$AI$14:$AI$60,0)),"Undefined")="Undefined","Undefined",IFERROR(INDEX(_xlfn.ANCHORARRAY(Settings!$BC$14),MATCH(IFERROR(INDEX(Settings!$AK$14:$AK$60,MATCH((((ROUND($H195,6)*2)*1000000)+ROUND($I195,6)),Settings!$AI$14:$AI$60,0)),"Undefined"),_xlfn.ANCHORARRAY(Settings!$BC$14),0)),"Inactive")))</f>
        <v>1313</v>
      </c>
      <c r="L195" s="683"/>
      <c r="M195" s="934"/>
      <c r="N195" s="31" t="str">
        <f t="shared" si="1330"/>
        <v>Y</v>
      </c>
      <c r="O195" s="162">
        <f t="shared" si="1324"/>
        <v>-1.2480745178966886</v>
      </c>
      <c r="P195" s="162">
        <f t="shared" si="1325"/>
        <v>-1.3341265832190448</v>
      </c>
      <c r="Q195" s="162">
        <f t="shared" si="1326"/>
        <v>-9.9600300394505917E-2</v>
      </c>
      <c r="R195" s="162">
        <f t="shared" si="1331"/>
        <v>0.71917441602095833</v>
      </c>
      <c r="S195" s="162">
        <f t="shared" si="1327"/>
        <v>-0.64514218837897419</v>
      </c>
      <c r="T195" s="162">
        <f t="shared" si="1328"/>
        <v>0.25803045578865635</v>
      </c>
      <c r="U195" s="162">
        <f>IFERROR(IF(ISNUMBER(MATCH($X195,Settings!$AK$52:$AK$60,0)),INDEX(Settings!$AO$14:$AO$60,MATCH($X195,Settings!$AK$14:$AK$60,0))/2,INDEX(Settings!$AM$14:$AM$60,MATCH($X195,Settings!$AK$14:$AK$60,0))/2),"")</f>
        <v>0.26450000000000001</v>
      </c>
      <c r="V195" s="162">
        <f t="shared" si="1329"/>
        <v>0.52</v>
      </c>
      <c r="W195" s="75">
        <v>6.11</v>
      </c>
      <c r="X195" s="937">
        <f t="shared" si="1332"/>
        <v>1313</v>
      </c>
      <c r="Y195" s="31"/>
      <c r="AK195" s="82" t="str">
        <f t="shared" si="1333"/>
        <v>Y</v>
      </c>
      <c r="AL195" s="419" t="s">
        <v>400</v>
      </c>
    </row>
    <row r="196" spans="2:38" x14ac:dyDescent="0.25">
      <c r="B196" s="650">
        <v>-1.2480745178966886</v>
      </c>
      <c r="C196" s="651">
        <v>-1.3341265832190448</v>
      </c>
      <c r="D196" s="652">
        <v>-9.9600300394505917E-2</v>
      </c>
      <c r="E196" s="653">
        <v>0.71917441602095833</v>
      </c>
      <c r="F196" s="651">
        <v>-0.64514218837897419</v>
      </c>
      <c r="G196" s="654">
        <v>0.25803045578865635</v>
      </c>
      <c r="H196" s="653">
        <v>0.26600000000000001</v>
      </c>
      <c r="I196" s="942">
        <v>0.52</v>
      </c>
      <c r="J196" s="946">
        <v>6.11</v>
      </c>
      <c r="K196" s="931">
        <f>IF($J196="","",IF(IFERROR(INDEX(Settings!$AK$14:$AK$60,MATCH((((ROUND($H196,6)*2)*1000000)+ROUND($I196,6)),Settings!$AI$14:$AI$60,0)),"Undefined")="Undefined","Undefined",IFERROR(INDEX(_xlfn.ANCHORARRAY(Settings!$BC$14),MATCH(IFERROR(INDEX(Settings!$AK$14:$AK$60,MATCH((((ROUND($H196,6)*2)*1000000)+ROUND($I196,6)),Settings!$AI$14:$AI$60,0)),"Undefined"),_xlfn.ANCHORARRAY(Settings!$BC$14),0)),"Inactive")))</f>
        <v>1313</v>
      </c>
      <c r="L196" s="683"/>
      <c r="M196" s="934"/>
      <c r="N196" s="31" t="str">
        <f t="shared" si="1330"/>
        <v>Y</v>
      </c>
      <c r="O196" s="162">
        <f t="shared" ref="O196:O227" si="1334">IFERROR(INDEX(B$164:B$305,MATCH($W196,$J$164:$J$305,0)),"")</f>
        <v>-1.7337758993734713</v>
      </c>
      <c r="P196" s="162">
        <f t="shared" ref="P196:P227" si="1335">IFERROR(INDEX(C$164:C$305,MATCH($W196,$J$164:$J$305,0)),"")</f>
        <v>-1.8102769374440819</v>
      </c>
      <c r="Q196" s="162">
        <f t="shared" ref="Q196:Q227" si="1336">IFERROR(INDEX(D$164:D$305,MATCH($W196,$J$164:$J$305,0)),"")</f>
        <v>-8.8200266012002301E-2</v>
      </c>
      <c r="R196" s="162">
        <f t="shared" si="1331"/>
        <v>0.65444415534309142</v>
      </c>
      <c r="S196" s="162">
        <f t="shared" si="1327"/>
        <v>-0.71316704898995653</v>
      </c>
      <c r="T196" s="162">
        <f t="shared" si="1328"/>
        <v>0.25118839099812074</v>
      </c>
      <c r="U196" s="162">
        <f>IFERROR(IF(ISNUMBER(MATCH($X196,Settings!$AK$52:$AK$60,0)),INDEX(Settings!$AO$14:$AO$60,MATCH($X196,Settings!$AK$14:$AK$60,0))/2,INDEX(Settings!$AM$14:$AM$60,MATCH($X196,Settings!$AK$14:$AK$60,0))/2),"")</f>
        <v>0.26450000000000001</v>
      </c>
      <c r="V196" s="162">
        <f t="shared" ref="V196:V227" si="1337">IFERROR(INDEX(I$164:I$305,MATCH($W196,$J$164:$J$305,0)),"")</f>
        <v>0.52</v>
      </c>
      <c r="W196" s="75">
        <v>6.117</v>
      </c>
      <c r="X196" s="937">
        <f t="shared" si="1332"/>
        <v>1313</v>
      </c>
      <c r="Y196" s="31"/>
      <c r="AK196" s="82" t="str">
        <f t="shared" si="1333"/>
        <v>Y</v>
      </c>
      <c r="AL196" s="419" t="s">
        <v>400</v>
      </c>
    </row>
    <row r="197" spans="2:38" x14ac:dyDescent="0.25">
      <c r="B197" s="650">
        <v>-1.7337758993734713</v>
      </c>
      <c r="C197" s="651">
        <v>-1.8102769374440819</v>
      </c>
      <c r="D197" s="652">
        <v>-8.8200266012002301E-2</v>
      </c>
      <c r="E197" s="653">
        <v>0.65444415534309142</v>
      </c>
      <c r="F197" s="651">
        <v>-0.71316704898995653</v>
      </c>
      <c r="G197" s="654">
        <v>0.25118839099812074</v>
      </c>
      <c r="H197" s="653">
        <v>0.26600000000000001</v>
      </c>
      <c r="I197" s="942">
        <v>0.52</v>
      </c>
      <c r="J197" s="946">
        <v>6.117</v>
      </c>
      <c r="K197" s="931">
        <f>IF($J197="","",IF(IFERROR(INDEX(Settings!$AK$14:$AK$60,MATCH((((ROUND($H197,6)*2)*1000000)+ROUND($I197,6)),Settings!$AI$14:$AI$60,0)),"Undefined")="Undefined","Undefined",IFERROR(INDEX(_xlfn.ANCHORARRAY(Settings!$BC$14),MATCH(IFERROR(INDEX(Settings!$AK$14:$AK$60,MATCH((((ROUND($H197,6)*2)*1000000)+ROUND($I197,6)),Settings!$AI$14:$AI$60,0)),"Undefined"),_xlfn.ANCHORARRAY(Settings!$BC$14),0)),"Inactive")))</f>
        <v>1313</v>
      </c>
      <c r="L197" s="683"/>
      <c r="M197" s="934"/>
      <c r="N197" s="31" t="str">
        <f t="shared" si="1330"/>
        <v>Y</v>
      </c>
      <c r="O197" s="162">
        <f t="shared" si="1334"/>
        <v>-2.19781548786615</v>
      </c>
      <c r="P197" s="162">
        <f t="shared" si="1335"/>
        <v>-2.2245045464123314</v>
      </c>
      <c r="Q197" s="162">
        <f t="shared" si="1336"/>
        <v>-0.36610110416093011</v>
      </c>
      <c r="R197" s="162">
        <f t="shared" si="1331"/>
        <v>0.57268814409708801</v>
      </c>
      <c r="S197" s="162">
        <f t="shared" si="1327"/>
        <v>-0.78806577689101598</v>
      </c>
      <c r="T197" s="162">
        <f t="shared" si="1328"/>
        <v>0.22578888569589151</v>
      </c>
      <c r="U197" s="162">
        <f>IFERROR(IF(ISNUMBER(MATCH($X197,Settings!$AK$52:$AK$60,0)),INDEX(Settings!$AO$14:$AO$60,MATCH($X197,Settings!$AK$14:$AK$60,0))/2,INDEX(Settings!$AM$14:$AM$60,MATCH($X197,Settings!$AK$14:$AK$60,0))/2),"")</f>
        <v>0.26450000000000001</v>
      </c>
      <c r="V197" s="162">
        <f t="shared" si="1337"/>
        <v>0.52</v>
      </c>
      <c r="W197" s="75">
        <v>6.125</v>
      </c>
      <c r="X197" s="937">
        <f t="shared" si="1332"/>
        <v>1313</v>
      </c>
      <c r="Y197" s="31"/>
      <c r="AK197" s="82" t="str">
        <f t="shared" si="1333"/>
        <v>Y</v>
      </c>
      <c r="AL197" s="419" t="s">
        <v>400</v>
      </c>
    </row>
    <row r="198" spans="2:38" x14ac:dyDescent="0.25">
      <c r="B198" s="650">
        <v>-2.19781548786615</v>
      </c>
      <c r="C198" s="651">
        <v>-2.2245045464123314</v>
      </c>
      <c r="D198" s="652">
        <v>-0.36610110416093011</v>
      </c>
      <c r="E198" s="653">
        <v>0.57268814409708801</v>
      </c>
      <c r="F198" s="651">
        <v>-0.78806577689101598</v>
      </c>
      <c r="G198" s="654">
        <v>0.22578888569589151</v>
      </c>
      <c r="H198" s="653">
        <v>0.26600000000000001</v>
      </c>
      <c r="I198" s="942">
        <v>0.52</v>
      </c>
      <c r="J198" s="946">
        <v>6.125</v>
      </c>
      <c r="K198" s="931">
        <f>IF($J198="","",IF(IFERROR(INDEX(Settings!$AK$14:$AK$60,MATCH((((ROUND($H198,6)*2)*1000000)+ROUND($I198,6)),Settings!$AI$14:$AI$60,0)),"Undefined")="Undefined","Undefined",IFERROR(INDEX(_xlfn.ANCHORARRAY(Settings!$BC$14),MATCH(IFERROR(INDEX(Settings!$AK$14:$AK$60,MATCH((((ROUND($H198,6)*2)*1000000)+ROUND($I198,6)),Settings!$AI$14:$AI$60,0)),"Undefined"),_xlfn.ANCHORARRAY(Settings!$BC$14),0)),"Inactive")))</f>
        <v>1313</v>
      </c>
      <c r="L198" s="683"/>
      <c r="M198" s="934"/>
      <c r="N198" s="31" t="str">
        <f t="shared" si="1330"/>
        <v>Y</v>
      </c>
      <c r="O198" s="162">
        <f t="shared" si="1334"/>
        <v>-2.5389119168504246</v>
      </c>
      <c r="P198" s="162">
        <f t="shared" si="1335"/>
        <v>-2.5063465069158779</v>
      </c>
      <c r="Q198" s="162">
        <f t="shared" si="1336"/>
        <v>-0.88350266464403648</v>
      </c>
      <c r="R198" s="162">
        <f t="shared" si="1331"/>
        <v>0.40167236188388927</v>
      </c>
      <c r="S198" s="162">
        <f t="shared" si="1327"/>
        <v>-0.88716924601994007</v>
      </c>
      <c r="T198" s="162">
        <f t="shared" si="1328"/>
        <v>0.2271344153029855</v>
      </c>
      <c r="U198" s="162">
        <f>IFERROR(IF(ISNUMBER(MATCH($X198,Settings!$AK$52:$AK$60,0)),INDEX(Settings!$AO$14:$AO$60,MATCH($X198,Settings!$AK$14:$AK$60,0))/2,INDEX(Settings!$AM$14:$AM$60,MATCH($X198,Settings!$AK$14:$AK$60,0))/2),"")</f>
        <v>0.26450000000000001</v>
      </c>
      <c r="V198" s="162">
        <f t="shared" si="1337"/>
        <v>0.52</v>
      </c>
      <c r="W198" s="75">
        <v>6.133</v>
      </c>
      <c r="X198" s="937">
        <f t="shared" si="1332"/>
        <v>1313</v>
      </c>
      <c r="Y198" s="31"/>
      <c r="AK198" s="82" t="str">
        <f t="shared" si="1333"/>
        <v>Y</v>
      </c>
      <c r="AL198" s="419" t="s">
        <v>400</v>
      </c>
    </row>
    <row r="199" spans="2:38" x14ac:dyDescent="0.25">
      <c r="B199" s="650">
        <v>-2.5389119168504246</v>
      </c>
      <c r="C199" s="651">
        <v>-2.5063465069158779</v>
      </c>
      <c r="D199" s="652">
        <v>-0.88350266464403648</v>
      </c>
      <c r="E199" s="653">
        <v>0.40167236188388927</v>
      </c>
      <c r="F199" s="651">
        <v>-0.88716924601994007</v>
      </c>
      <c r="G199" s="654">
        <v>0.2271344153029855</v>
      </c>
      <c r="H199" s="653">
        <v>0.26600000000000001</v>
      </c>
      <c r="I199" s="942">
        <v>0.52</v>
      </c>
      <c r="J199" s="946">
        <v>6.133</v>
      </c>
      <c r="K199" s="931">
        <f>IF($J199="","",IF(IFERROR(INDEX(Settings!$AK$14:$AK$60,MATCH((((ROUND($H199,6)*2)*1000000)+ROUND($I199,6)),Settings!$AI$14:$AI$60,0)),"Undefined")="Undefined","Undefined",IFERROR(INDEX(_xlfn.ANCHORARRAY(Settings!$BC$14),MATCH(IFERROR(INDEX(Settings!$AK$14:$AK$60,MATCH((((ROUND($H199,6)*2)*1000000)+ROUND($I199,6)),Settings!$AI$14:$AI$60,0)),"Undefined"),_xlfn.ANCHORARRAY(Settings!$BC$14),0)),"Inactive")))</f>
        <v>1313</v>
      </c>
      <c r="L199" s="683"/>
      <c r="M199" s="934"/>
      <c r="N199" s="31" t="str">
        <f t="shared" si="1330"/>
        <v>Y</v>
      </c>
      <c r="O199" s="162">
        <f t="shared" si="1334"/>
        <v>-2.6696828779462742</v>
      </c>
      <c r="P199" s="162">
        <f t="shared" si="1335"/>
        <v>-2.6096755148399393</v>
      </c>
      <c r="Q199" s="162">
        <f t="shared" si="1336"/>
        <v>-1.5423046515908294</v>
      </c>
      <c r="R199" s="162">
        <f t="shared" si="1331"/>
        <v>0.25684079029006179</v>
      </c>
      <c r="S199" s="162">
        <f t="shared" si="1327"/>
        <v>-0.9599909531432147</v>
      </c>
      <c r="T199" s="162">
        <f t="shared" si="1328"/>
        <v>0.1115803671187674</v>
      </c>
      <c r="U199" s="162">
        <f>IFERROR(IF(ISNUMBER(MATCH($X199,Settings!$AK$52:$AK$60,0)),INDEX(Settings!$AO$14:$AO$60,MATCH($X199,Settings!$AK$14:$AK$60,0))/2,INDEX(Settings!$AM$14:$AM$60,MATCH($X199,Settings!$AK$14:$AK$60,0))/2),"")</f>
        <v>0.26450000000000001</v>
      </c>
      <c r="V199" s="162">
        <f t="shared" si="1337"/>
        <v>0.52</v>
      </c>
      <c r="W199" s="75">
        <v>6.141</v>
      </c>
      <c r="X199" s="937">
        <f t="shared" si="1332"/>
        <v>1313</v>
      </c>
      <c r="Y199" s="31"/>
      <c r="AK199" s="82" t="str">
        <f t="shared" si="1333"/>
        <v>Y</v>
      </c>
      <c r="AL199" s="419" t="s">
        <v>400</v>
      </c>
    </row>
    <row r="200" spans="2:38" x14ac:dyDescent="0.25">
      <c r="B200" s="650">
        <v>-2.6696828779462742</v>
      </c>
      <c r="C200" s="651">
        <v>-2.6096755148399393</v>
      </c>
      <c r="D200" s="652">
        <v>-1.5423046515908294</v>
      </c>
      <c r="E200" s="653">
        <v>0.25684079029006179</v>
      </c>
      <c r="F200" s="651">
        <v>-0.9599909531432147</v>
      </c>
      <c r="G200" s="654">
        <v>0.1115803671187674</v>
      </c>
      <c r="H200" s="653">
        <v>0.26600000000000001</v>
      </c>
      <c r="I200" s="942">
        <v>0.52</v>
      </c>
      <c r="J200" s="946">
        <v>6.141</v>
      </c>
      <c r="K200" s="931">
        <f>IF($J200="","",IF(IFERROR(INDEX(Settings!$AK$14:$AK$60,MATCH((((ROUND($H200,6)*2)*1000000)+ROUND($I200,6)),Settings!$AI$14:$AI$60,0)),"Undefined")="Undefined","Undefined",IFERROR(INDEX(_xlfn.ANCHORARRAY(Settings!$BC$14),MATCH(IFERROR(INDEX(Settings!$AK$14:$AK$60,MATCH((((ROUND($H200,6)*2)*1000000)+ROUND($I200,6)),Settings!$AI$14:$AI$60,0)),"Undefined"),_xlfn.ANCHORARRAY(Settings!$BC$14),0)),"Inactive")))</f>
        <v>1313</v>
      </c>
      <c r="L200" s="683"/>
      <c r="M200" s="934"/>
      <c r="N200" s="31" t="str">
        <f t="shared" si="1330"/>
        <v>Y</v>
      </c>
      <c r="O200" s="162">
        <f t="shared" si="1334"/>
        <v>-1.0848032717666396</v>
      </c>
      <c r="P200" s="162">
        <f t="shared" si="1335"/>
        <v>2.460278459974489E-7</v>
      </c>
      <c r="Q200" s="162">
        <f t="shared" si="1336"/>
        <v>-0.29810089907231152</v>
      </c>
      <c r="R200" s="162">
        <f t="shared" si="1331"/>
        <v>6.6987060141155297E-2</v>
      </c>
      <c r="S200" s="162">
        <f t="shared" si="1327"/>
        <v>-0.96592585126455566</v>
      </c>
      <c r="T200" s="162">
        <f t="shared" si="1328"/>
        <v>0.24999996726497573</v>
      </c>
      <c r="U200" s="162">
        <f>IFERROR(IF(ISNUMBER(MATCH($X200,Settings!$AK$52:$AK$60,0)),INDEX(Settings!$AO$14:$AO$60,MATCH($X200,Settings!$AK$14:$AK$60,0))/2,INDEX(Settings!$AM$14:$AM$60,MATCH($X200,Settings!$AK$14:$AK$60,0))/2),"")</f>
        <v>0.26450000000000001</v>
      </c>
      <c r="V200" s="162">
        <f t="shared" si="1337"/>
        <v>0.52</v>
      </c>
      <c r="W200" s="75">
        <v>7.1050000000000004</v>
      </c>
      <c r="X200" s="937">
        <f t="shared" si="1332"/>
        <v>1313</v>
      </c>
      <c r="Y200" s="31"/>
      <c r="AK200" s="82" t="str">
        <f t="shared" si="1333"/>
        <v>Y</v>
      </c>
      <c r="AL200" s="419" t="s">
        <v>400</v>
      </c>
    </row>
    <row r="201" spans="2:38" x14ac:dyDescent="0.25">
      <c r="B201" s="650">
        <v>-1.0848032717666396</v>
      </c>
      <c r="C201" s="651">
        <v>2.460278459974489E-7</v>
      </c>
      <c r="D201" s="652">
        <v>-0.29810089907231152</v>
      </c>
      <c r="E201" s="653">
        <v>6.6987060141155297E-2</v>
      </c>
      <c r="F201" s="651">
        <v>-0.96592585126455566</v>
      </c>
      <c r="G201" s="654">
        <v>0.24999996726497573</v>
      </c>
      <c r="H201" s="653">
        <v>0.26600000000000001</v>
      </c>
      <c r="I201" s="942">
        <v>0.52</v>
      </c>
      <c r="J201" s="946">
        <v>7.1050000000000004</v>
      </c>
      <c r="K201" s="931">
        <f>IF($J201="","",IF(IFERROR(INDEX(Settings!$AK$14:$AK$60,MATCH((((ROUND($H201,6)*2)*1000000)+ROUND($I201,6)),Settings!$AI$14:$AI$60,0)),"Undefined")="Undefined","Undefined",IFERROR(INDEX(_xlfn.ANCHORARRAY(Settings!$BC$14),MATCH(IFERROR(INDEX(Settings!$AK$14:$AK$60,MATCH((((ROUND($H201,6)*2)*1000000)+ROUND($I201,6)),Settings!$AI$14:$AI$60,0)),"Undefined"),_xlfn.ANCHORARRAY(Settings!$BC$14),0)),"Inactive")))</f>
        <v>1313</v>
      </c>
      <c r="L201" s="683"/>
      <c r="M201" s="934"/>
      <c r="N201" s="31" t="str">
        <f t="shared" si="1330"/>
        <v>Y</v>
      </c>
      <c r="O201" s="162">
        <f t="shared" si="1334"/>
        <v>-1.7165048303365569</v>
      </c>
      <c r="P201" s="162">
        <f t="shared" si="1335"/>
        <v>1.0908845412885989E-3</v>
      </c>
      <c r="Q201" s="162">
        <f t="shared" si="1336"/>
        <v>-0.1288003884619715</v>
      </c>
      <c r="R201" s="162">
        <f t="shared" si="1331"/>
        <v>3.1400121657827906E-2</v>
      </c>
      <c r="S201" s="162">
        <f t="shared" si="1327"/>
        <v>-0.96594598675176513</v>
      </c>
      <c r="T201" s="162">
        <f t="shared" si="1328"/>
        <v>0.25683142922553792</v>
      </c>
      <c r="U201" s="162">
        <f>IFERROR(IF(ISNUMBER(MATCH($X201,Settings!$AK$52:$AK$60,0)),INDEX(Settings!$AO$14:$AO$60,MATCH($X201,Settings!$AK$14:$AK$60,0))/2,INDEX(Settings!$AM$14:$AM$60,MATCH($X201,Settings!$AK$14:$AK$60,0))/2),"")</f>
        <v>0.26450000000000001</v>
      </c>
      <c r="V201" s="162">
        <f t="shared" si="1337"/>
        <v>0.52</v>
      </c>
      <c r="W201" s="75">
        <v>7.109</v>
      </c>
      <c r="X201" s="937">
        <f t="shared" si="1332"/>
        <v>1313</v>
      </c>
      <c r="Y201" s="31"/>
      <c r="AK201" s="82" t="str">
        <f t="shared" si="1333"/>
        <v>Y</v>
      </c>
      <c r="AL201" s="419" t="s">
        <v>400</v>
      </c>
    </row>
    <row r="202" spans="2:38" x14ac:dyDescent="0.25">
      <c r="B202" s="650">
        <v>-1.7165048303365569</v>
      </c>
      <c r="C202" s="651">
        <v>1.0908845412885989E-3</v>
      </c>
      <c r="D202" s="652">
        <v>-0.1288003884619715</v>
      </c>
      <c r="E202" s="653">
        <v>3.1400121657827906E-2</v>
      </c>
      <c r="F202" s="651">
        <v>-0.96594598675176513</v>
      </c>
      <c r="G202" s="654">
        <v>0.25683142922553792</v>
      </c>
      <c r="H202" s="653">
        <v>0.26600000000000001</v>
      </c>
      <c r="I202" s="942">
        <v>0.52</v>
      </c>
      <c r="J202" s="946">
        <v>7.109</v>
      </c>
      <c r="K202" s="931">
        <f>IF($J202="","",IF(IFERROR(INDEX(Settings!$AK$14:$AK$60,MATCH((((ROUND($H202,6)*2)*1000000)+ROUND($I202,6)),Settings!$AI$14:$AI$60,0)),"Undefined")="Undefined","Undefined",IFERROR(INDEX(_xlfn.ANCHORARRAY(Settings!$BC$14),MATCH(IFERROR(INDEX(Settings!$AK$14:$AK$60,MATCH((((ROUND($H202,6)*2)*1000000)+ROUND($I202,6)),Settings!$AI$14:$AI$60,0)),"Undefined"),_xlfn.ANCHORARRAY(Settings!$BC$14),0)),"Inactive")))</f>
        <v>1313</v>
      </c>
      <c r="L202" s="683"/>
      <c r="M202" s="934"/>
      <c r="N202" s="31" t="str">
        <f t="shared" si="1330"/>
        <v>Y</v>
      </c>
      <c r="O202" s="162">
        <f t="shared" si="1334"/>
        <v>-2.4220476674611882</v>
      </c>
      <c r="P202" s="162">
        <f t="shared" si="1335"/>
        <v>2.7808753453798254E-2</v>
      </c>
      <c r="Q202" s="162">
        <f t="shared" si="1336"/>
        <v>-7.3300221073466773E-2</v>
      </c>
      <c r="R202" s="162">
        <f t="shared" si="1331"/>
        <v>-6.1870724688650298E-2</v>
      </c>
      <c r="S202" s="162">
        <f t="shared" si="1327"/>
        <v>-0.96527913148319666</v>
      </c>
      <c r="T202" s="162">
        <f t="shared" si="1328"/>
        <v>0.25378772970643582</v>
      </c>
      <c r="U202" s="162">
        <f>IFERROR(IF(ISNUMBER(MATCH($X202,Settings!$AK$52:$AK$60,0)),INDEX(Settings!$AO$14:$AO$60,MATCH($X202,Settings!$AK$14:$AK$60,0))/2,INDEX(Settings!$AM$14:$AM$60,MATCH($X202,Settings!$AK$14:$AK$60,0))/2),"")</f>
        <v>0.26450000000000001</v>
      </c>
      <c r="V202" s="162">
        <f t="shared" si="1337"/>
        <v>0.52</v>
      </c>
      <c r="W202" s="75">
        <v>7.1159999999999997</v>
      </c>
      <c r="X202" s="937">
        <f t="shared" si="1332"/>
        <v>1313</v>
      </c>
      <c r="Y202" s="31"/>
      <c r="AK202" s="82" t="str">
        <f t="shared" si="1333"/>
        <v>Y</v>
      </c>
      <c r="AL202" s="419" t="s">
        <v>400</v>
      </c>
    </row>
    <row r="203" spans="2:38" x14ac:dyDescent="0.25">
      <c r="B203" s="650">
        <v>-2.4220476674611882</v>
      </c>
      <c r="C203" s="651">
        <v>2.7808753453798254E-2</v>
      </c>
      <c r="D203" s="652">
        <v>-7.3300221073466773E-2</v>
      </c>
      <c r="E203" s="653">
        <v>-6.1870724688650298E-2</v>
      </c>
      <c r="F203" s="651">
        <v>-0.96527913148319666</v>
      </c>
      <c r="G203" s="654">
        <v>0.25378772970643582</v>
      </c>
      <c r="H203" s="653">
        <v>0.26600000000000001</v>
      </c>
      <c r="I203" s="942">
        <v>0.52</v>
      </c>
      <c r="J203" s="946">
        <v>7.1159999999999997</v>
      </c>
      <c r="K203" s="931">
        <f>IF($J203="","",IF(IFERROR(INDEX(Settings!$AK$14:$AK$60,MATCH((((ROUND($H203,6)*2)*1000000)+ROUND($I203,6)),Settings!$AI$14:$AI$60,0)),"Undefined")="Undefined","Undefined",IFERROR(INDEX(_xlfn.ANCHORARRAY(Settings!$BC$14),MATCH(IFERROR(INDEX(Settings!$AK$14:$AK$60,MATCH((((ROUND($H203,6)*2)*1000000)+ROUND($I203,6)),Settings!$AI$14:$AI$60,0)),"Undefined"),_xlfn.ANCHORARRAY(Settings!$BC$14),0)),"Inactive")))</f>
        <v>1313</v>
      </c>
      <c r="L203" s="683"/>
      <c r="M203" s="934"/>
      <c r="N203" s="31" t="str">
        <f t="shared" si="1330"/>
        <v>Y</v>
      </c>
      <c r="O203" s="162">
        <f t="shared" si="1334"/>
        <v>-3.0559968049637547</v>
      </c>
      <c r="P203" s="162">
        <f t="shared" si="1335"/>
        <v>8.246400752060952E-2</v>
      </c>
      <c r="Q203" s="162">
        <f t="shared" si="1336"/>
        <v>-0.31680095547168174</v>
      </c>
      <c r="R203" s="162">
        <f t="shared" si="1331"/>
        <v>-0.16456662934110805</v>
      </c>
      <c r="S203" s="162">
        <f t="shared" si="1327"/>
        <v>-0.96183672410644838</v>
      </c>
      <c r="T203" s="162">
        <f t="shared" si="1328"/>
        <v>0.21860453029953977</v>
      </c>
      <c r="U203" s="162">
        <f>IFERROR(IF(ISNUMBER(MATCH($X203,Settings!$AK$52:$AK$60,0)),INDEX(Settings!$AO$14:$AO$60,MATCH($X203,Settings!$AK$14:$AK$60,0))/2,INDEX(Settings!$AM$14:$AM$60,MATCH($X203,Settings!$AK$14:$AK$60,0))/2),"")</f>
        <v>0.26450000000000001</v>
      </c>
      <c r="V203" s="162">
        <f t="shared" si="1337"/>
        <v>0.52</v>
      </c>
      <c r="W203" s="75">
        <v>7.1239999999999997</v>
      </c>
      <c r="X203" s="937">
        <f t="shared" si="1332"/>
        <v>1313</v>
      </c>
      <c r="Y203" s="31"/>
      <c r="AK203" s="82" t="str">
        <f t="shared" si="1333"/>
        <v>Y</v>
      </c>
      <c r="AL203" s="419" t="s">
        <v>400</v>
      </c>
    </row>
    <row r="204" spans="2:38" x14ac:dyDescent="0.25">
      <c r="B204" s="650">
        <v>-3.0559968049637547</v>
      </c>
      <c r="C204" s="651">
        <v>8.246400752060952E-2</v>
      </c>
      <c r="D204" s="652">
        <v>-0.31680095547168174</v>
      </c>
      <c r="E204" s="653">
        <v>-0.16456662934110805</v>
      </c>
      <c r="F204" s="651">
        <v>-0.96183672410644838</v>
      </c>
      <c r="G204" s="654">
        <v>0.21860453029953977</v>
      </c>
      <c r="H204" s="653">
        <v>0.26600000000000001</v>
      </c>
      <c r="I204" s="942">
        <v>0.52</v>
      </c>
      <c r="J204" s="946">
        <v>7.1239999999999997</v>
      </c>
      <c r="K204" s="931">
        <f>IF($J204="","",IF(IFERROR(INDEX(Settings!$AK$14:$AK$60,MATCH((((ROUND($H204,6)*2)*1000000)+ROUND($I204,6)),Settings!$AI$14:$AI$60,0)),"Undefined")="Undefined","Undefined",IFERROR(INDEX(_xlfn.ANCHORARRAY(Settings!$BC$14),MATCH(IFERROR(INDEX(Settings!$AK$14:$AK$60,MATCH((((ROUND($H204,6)*2)*1000000)+ROUND($I204,6)),Settings!$AI$14:$AI$60,0)),"Undefined"),_xlfn.ANCHORARRAY(Settings!$BC$14),0)),"Inactive")))</f>
        <v>1313</v>
      </c>
      <c r="L204" s="683"/>
      <c r="M204" s="934"/>
      <c r="N204" s="31" t="str">
        <f t="shared" si="1330"/>
        <v>Y</v>
      </c>
      <c r="O204" s="162">
        <f t="shared" si="1334"/>
        <v>-3.5231697848021373</v>
      </c>
      <c r="P204" s="162">
        <f t="shared" si="1335"/>
        <v>0.14151205495703512</v>
      </c>
      <c r="Q204" s="162">
        <f t="shared" si="1336"/>
        <v>-0.8086024387449553</v>
      </c>
      <c r="R204" s="162">
        <f t="shared" si="1331"/>
        <v>-0.3504618011412523</v>
      </c>
      <c r="S204" s="162">
        <f t="shared" si="1327"/>
        <v>-0.9071704197478504</v>
      </c>
      <c r="T204" s="162">
        <f t="shared" si="1328"/>
        <v>0.2328483529581826</v>
      </c>
      <c r="U204" s="162">
        <f>IFERROR(IF(ISNUMBER(MATCH($X204,Settings!$AK$52:$AK$60,0)),INDEX(Settings!$AO$14:$AO$60,MATCH($X204,Settings!$AK$14:$AK$60,0))/2,INDEX(Settings!$AM$14:$AM$60,MATCH($X204,Settings!$AK$14:$AK$60,0))/2),"")</f>
        <v>0.26450000000000001</v>
      </c>
      <c r="V204" s="162">
        <f t="shared" si="1337"/>
        <v>0.52</v>
      </c>
      <c r="W204" s="75">
        <v>7.1319999999999997</v>
      </c>
      <c r="X204" s="937">
        <f t="shared" si="1332"/>
        <v>1313</v>
      </c>
      <c r="Y204" s="31"/>
      <c r="AK204" s="82" t="str">
        <f t="shared" si="1333"/>
        <v>Y</v>
      </c>
      <c r="AL204" s="419" t="s">
        <v>400</v>
      </c>
    </row>
    <row r="205" spans="2:38" x14ac:dyDescent="0.25">
      <c r="B205" s="650">
        <v>-3.5231697848021373</v>
      </c>
      <c r="C205" s="651">
        <v>0.14151205495703512</v>
      </c>
      <c r="D205" s="652">
        <v>-0.8086024387449553</v>
      </c>
      <c r="E205" s="653">
        <v>-0.3504618011412523</v>
      </c>
      <c r="F205" s="651">
        <v>-0.9071704197478504</v>
      </c>
      <c r="G205" s="654">
        <v>0.2328483529581826</v>
      </c>
      <c r="H205" s="653">
        <v>0.26600000000000001</v>
      </c>
      <c r="I205" s="942">
        <v>0.52</v>
      </c>
      <c r="J205" s="946">
        <v>7.1319999999999997</v>
      </c>
      <c r="K205" s="931">
        <f>IF($J205="","",IF(IFERROR(INDEX(Settings!$AK$14:$AK$60,MATCH((((ROUND($H205,6)*2)*1000000)+ROUND($I205,6)),Settings!$AI$14:$AI$60,0)),"Undefined")="Undefined","Undefined",IFERROR(INDEX(_xlfn.ANCHORARRAY(Settings!$BC$14),MATCH(IFERROR(INDEX(Settings!$AK$14:$AK$60,MATCH((((ROUND($H205,6)*2)*1000000)+ROUND($I205,6)),Settings!$AI$14:$AI$60,0)),"Undefined"),_xlfn.ANCHORARRAY(Settings!$BC$14),0)),"Inactive")))</f>
        <v>1313</v>
      </c>
      <c r="L205" s="683"/>
      <c r="M205" s="934"/>
      <c r="N205" s="31" t="str">
        <f t="shared" si="1330"/>
        <v>Y</v>
      </c>
      <c r="O205" s="162">
        <f t="shared" si="1334"/>
        <v>-3.7256381087951689</v>
      </c>
      <c r="P205" s="162">
        <f t="shared" si="1335"/>
        <v>0.17210679035708909</v>
      </c>
      <c r="Q205" s="162">
        <f t="shared" si="1336"/>
        <v>-1.4567043934204507</v>
      </c>
      <c r="R205" s="162">
        <f t="shared" si="1331"/>
        <v>-0.52120415117911922</v>
      </c>
      <c r="S205" s="162">
        <f t="shared" si="1327"/>
        <v>-0.84287184185452912</v>
      </c>
      <c r="T205" s="162">
        <f t="shared" si="1328"/>
        <v>0.13384054319378502</v>
      </c>
      <c r="U205" s="162">
        <f>IFERROR(IF(ISNUMBER(MATCH($X205,Settings!$AK$52:$AK$60,0)),INDEX(Settings!$AO$14:$AO$60,MATCH($X205,Settings!$AK$14:$AK$60,0))/2,INDEX(Settings!$AM$14:$AM$60,MATCH($X205,Settings!$AK$14:$AK$60,0))/2),"")</f>
        <v>0.26450000000000001</v>
      </c>
      <c r="V205" s="162">
        <f t="shared" si="1337"/>
        <v>0.52</v>
      </c>
      <c r="W205" s="75">
        <v>7.14</v>
      </c>
      <c r="X205" s="937">
        <f t="shared" si="1332"/>
        <v>1313</v>
      </c>
      <c r="Y205" s="31"/>
      <c r="AK205" s="82" t="str">
        <f t="shared" si="1333"/>
        <v>Y</v>
      </c>
      <c r="AL205" s="419" t="s">
        <v>400</v>
      </c>
    </row>
    <row r="206" spans="2:38" x14ac:dyDescent="0.25">
      <c r="B206" s="650">
        <v>-3.7256381087951689</v>
      </c>
      <c r="C206" s="651">
        <v>0.17210679035708909</v>
      </c>
      <c r="D206" s="652">
        <v>-1.4567043934204507</v>
      </c>
      <c r="E206" s="653">
        <v>-0.52120415117911922</v>
      </c>
      <c r="F206" s="651">
        <v>-0.84287184185452912</v>
      </c>
      <c r="G206" s="654">
        <v>0.13384054319378502</v>
      </c>
      <c r="H206" s="653">
        <v>0.26600000000000001</v>
      </c>
      <c r="I206" s="942">
        <v>0.52</v>
      </c>
      <c r="J206" s="946">
        <v>7.14</v>
      </c>
      <c r="K206" s="931">
        <f>IF($J206="","",IF(IFERROR(INDEX(Settings!$AK$14:$AK$60,MATCH((((ROUND($H206,6)*2)*1000000)+ROUND($I206,6)),Settings!$AI$14:$AI$60,0)),"Undefined")="Undefined","Undefined",IFERROR(INDEX(_xlfn.ANCHORARRAY(Settings!$BC$14),MATCH(IFERROR(INDEX(Settings!$AK$14:$AK$60,MATCH((((ROUND($H206,6)*2)*1000000)+ROUND($I206,6)),Settings!$AI$14:$AI$60,0)),"Undefined"),_xlfn.ANCHORARRAY(Settings!$BC$14),0)),"Inactive")))</f>
        <v>1313</v>
      </c>
      <c r="L206" s="683"/>
      <c r="M206" s="934"/>
      <c r="N206" s="31" t="str">
        <f t="shared" si="1330"/>
        <v>Y</v>
      </c>
      <c r="O206" s="162">
        <f t="shared" si="1334"/>
        <v>-1.748941791178289</v>
      </c>
      <c r="P206" s="162">
        <f t="shared" si="1335"/>
        <v>1.550399755238083</v>
      </c>
      <c r="Q206" s="162">
        <f t="shared" si="1336"/>
        <v>-6.2900189706972157E-2</v>
      </c>
      <c r="R206" s="162">
        <f t="shared" si="1331"/>
        <v>-0.66999519340004665</v>
      </c>
      <c r="S206" s="162">
        <f t="shared" si="1327"/>
        <v>-0.69688327832559049</v>
      </c>
      <c r="T206" s="162">
        <f t="shared" si="1328"/>
        <v>0.25585178758611737</v>
      </c>
      <c r="U206" s="162">
        <f>IFERROR(IF(ISNUMBER(MATCH($X206,Settings!$AK$52:$AK$60,0)),INDEX(Settings!$AO$14:$AO$60,MATCH($X206,Settings!$AK$14:$AK$60,0))/2,INDEX(Settings!$AM$14:$AM$60,MATCH($X206,Settings!$AK$14:$AK$60,0))/2),"")</f>
        <v>0.26450000000000001</v>
      </c>
      <c r="V206" s="162">
        <f t="shared" si="1337"/>
        <v>0.52</v>
      </c>
      <c r="W206" s="75">
        <v>8.1150000000000002</v>
      </c>
      <c r="X206" s="937">
        <f t="shared" si="1332"/>
        <v>1313</v>
      </c>
      <c r="Y206" s="31"/>
      <c r="AK206" s="82" t="str">
        <f t="shared" si="1333"/>
        <v>Y</v>
      </c>
      <c r="AL206" s="419" t="s">
        <v>9</v>
      </c>
    </row>
    <row r="207" spans="2:38" x14ac:dyDescent="0.25">
      <c r="B207" s="650">
        <v>-1.748941791178289</v>
      </c>
      <c r="C207" s="651">
        <v>1.550399755238083</v>
      </c>
      <c r="D207" s="652">
        <v>-6.2900189706972157E-2</v>
      </c>
      <c r="E207" s="653">
        <v>-0.66999519340004665</v>
      </c>
      <c r="F207" s="651">
        <v>-0.69688327832559049</v>
      </c>
      <c r="G207" s="654">
        <v>0.25585178758611737</v>
      </c>
      <c r="H207" s="653">
        <v>0.26600000000000001</v>
      </c>
      <c r="I207" s="942">
        <v>0.52</v>
      </c>
      <c r="J207" s="946">
        <v>8.1150000000000002</v>
      </c>
      <c r="K207" s="931">
        <f>IF($J207="","",IF(IFERROR(INDEX(Settings!$AK$14:$AK$60,MATCH((((ROUND($H207,6)*2)*1000000)+ROUND($I207,6)),Settings!$AI$14:$AI$60,0)),"Undefined")="Undefined","Undefined",IFERROR(INDEX(_xlfn.ANCHORARRAY(Settings!$BC$14),MATCH(IFERROR(INDEX(Settings!$AK$14:$AK$60,MATCH((((ROUND($H207,6)*2)*1000000)+ROUND($I207,6)),Settings!$AI$14:$AI$60,0)),"Undefined"),_xlfn.ANCHORARRAY(Settings!$BC$14),0)),"Inactive")))</f>
        <v>1313</v>
      </c>
      <c r="L207" s="683"/>
      <c r="M207" s="934"/>
      <c r="N207" s="31" t="str">
        <f t="shared" si="1330"/>
        <v>Y</v>
      </c>
      <c r="O207" s="162">
        <f t="shared" si="1334"/>
        <v>-2.2026263259259489</v>
      </c>
      <c r="P207" s="162">
        <f t="shared" si="1335"/>
        <v>2.0137364160817457</v>
      </c>
      <c r="Q207" s="162">
        <f t="shared" si="1336"/>
        <v>-0.27140081854486869</v>
      </c>
      <c r="R207" s="162">
        <f t="shared" si="1331"/>
        <v>-0.74650967823854808</v>
      </c>
      <c r="S207" s="162">
        <f t="shared" si="1327"/>
        <v>-0.62627238183232503</v>
      </c>
      <c r="T207" s="162">
        <f t="shared" si="1328"/>
        <v>0.22473585394913287</v>
      </c>
      <c r="U207" s="162">
        <f>IFERROR(IF(ISNUMBER(MATCH($X207,Settings!$AK$52:$AK$60,0)),INDEX(Settings!$AO$14:$AO$60,MATCH($X207,Settings!$AK$14:$AK$60,0))/2,INDEX(Settings!$AM$14:$AM$60,MATCH($X207,Settings!$AK$14:$AK$60,0))/2),"")</f>
        <v>0.26450000000000001</v>
      </c>
      <c r="V207" s="162">
        <f t="shared" si="1337"/>
        <v>0.52</v>
      </c>
      <c r="W207" s="75">
        <v>8.1229999999999993</v>
      </c>
      <c r="X207" s="937">
        <f t="shared" si="1332"/>
        <v>1313</v>
      </c>
      <c r="Y207" s="31" t="s">
        <v>9</v>
      </c>
      <c r="AK207" s="82" t="str">
        <f t="shared" si="1333"/>
        <v>Y</v>
      </c>
      <c r="AL207" s="419" t="s">
        <v>9</v>
      </c>
    </row>
    <row r="208" spans="2:38" x14ac:dyDescent="0.25">
      <c r="B208" s="650">
        <v>-2.2026263259259489</v>
      </c>
      <c r="C208" s="651">
        <v>2.0137364160817457</v>
      </c>
      <c r="D208" s="652">
        <v>-0.27140081854486869</v>
      </c>
      <c r="E208" s="653">
        <v>-0.74650967823854808</v>
      </c>
      <c r="F208" s="651">
        <v>-0.62627238183232503</v>
      </c>
      <c r="G208" s="654">
        <v>0.22473585394913287</v>
      </c>
      <c r="H208" s="653">
        <v>0.26600000000000001</v>
      </c>
      <c r="I208" s="942">
        <v>0.52</v>
      </c>
      <c r="J208" s="946">
        <v>8.1229999999999993</v>
      </c>
      <c r="K208" s="931">
        <f>IF($J208="","",IF(IFERROR(INDEX(Settings!$AK$14:$AK$60,MATCH((((ROUND($H208,6)*2)*1000000)+ROUND($I208,6)),Settings!$AI$14:$AI$60,0)),"Undefined")="Undefined","Undefined",IFERROR(INDEX(_xlfn.ANCHORARRAY(Settings!$BC$14),MATCH(IFERROR(INDEX(Settings!$AK$14:$AK$60,MATCH((((ROUND($H208,6)*2)*1000000)+ROUND($I208,6)),Settings!$AI$14:$AI$60,0)),"Undefined"),_xlfn.ANCHORARRAY(Settings!$BC$14),0)),"Inactive")))</f>
        <v>1313</v>
      </c>
      <c r="L208" s="683"/>
      <c r="M208" s="934"/>
      <c r="N208" s="31" t="str">
        <f t="shared" si="1330"/>
        <v>Y</v>
      </c>
      <c r="O208" s="162">
        <f t="shared" si="1334"/>
        <v>-2.5359700010392139</v>
      </c>
      <c r="P208" s="162">
        <f t="shared" si="1335"/>
        <v>2.3834263681702592</v>
      </c>
      <c r="Q208" s="162">
        <f t="shared" si="1336"/>
        <v>-0.73620222038589678</v>
      </c>
      <c r="R208" s="162">
        <f t="shared" si="1331"/>
        <v>-0.84648740491983365</v>
      </c>
      <c r="S208" s="162">
        <f t="shared" si="1327"/>
        <v>-0.47684107195572312</v>
      </c>
      <c r="T208" s="162">
        <f t="shared" si="1328"/>
        <v>0.23681567813006538</v>
      </c>
      <c r="U208" s="162">
        <f>IFERROR(IF(ISNUMBER(MATCH($X208,Settings!$AK$52:$AK$60,0)),INDEX(Settings!$AO$14:$AO$60,MATCH($X208,Settings!$AK$14:$AK$60,0))/2,INDEX(Settings!$AM$14:$AM$60,MATCH($X208,Settings!$AK$14:$AK$60,0))/2),"")</f>
        <v>0.26450000000000001</v>
      </c>
      <c r="V208" s="162">
        <f t="shared" si="1337"/>
        <v>0.52</v>
      </c>
      <c r="W208" s="75">
        <v>8.1310000000000002</v>
      </c>
      <c r="X208" s="937">
        <f t="shared" si="1332"/>
        <v>1313</v>
      </c>
      <c r="Y208" s="31"/>
      <c r="AK208" s="82" t="str">
        <f t="shared" si="1333"/>
        <v>Y</v>
      </c>
      <c r="AL208" s="419" t="s">
        <v>9</v>
      </c>
    </row>
    <row r="209" spans="2:38" x14ac:dyDescent="0.25">
      <c r="B209" s="650">
        <v>-2.5359700010392139</v>
      </c>
      <c r="C209" s="651">
        <v>2.3834263681702592</v>
      </c>
      <c r="D209" s="652">
        <v>-0.73620222038589678</v>
      </c>
      <c r="E209" s="653">
        <v>-0.84648740491983365</v>
      </c>
      <c r="F209" s="651">
        <v>-0.47684107195572312</v>
      </c>
      <c r="G209" s="654">
        <v>0.23681567813006538</v>
      </c>
      <c r="H209" s="653">
        <v>0.26600000000000001</v>
      </c>
      <c r="I209" s="942">
        <v>0.52</v>
      </c>
      <c r="J209" s="946">
        <v>8.1310000000000002</v>
      </c>
      <c r="K209" s="931">
        <f>IF($J209="","",IF(IFERROR(INDEX(Settings!$AK$14:$AK$60,MATCH((((ROUND($H209,6)*2)*1000000)+ROUND($I209,6)),Settings!$AI$14:$AI$60,0)),"Undefined")="Undefined","Undefined",IFERROR(INDEX(_xlfn.ANCHORARRAY(Settings!$BC$14),MATCH(IFERROR(INDEX(Settings!$AK$14:$AK$60,MATCH((((ROUND($H209,6)*2)*1000000)+ROUND($I209,6)),Settings!$AI$14:$AI$60,0)),"Undefined"),_xlfn.ANCHORARRAY(Settings!$BC$14),0)),"Inactive")))</f>
        <v>1313</v>
      </c>
      <c r="L209" s="683"/>
      <c r="M209" s="934"/>
      <c r="N209" s="31" t="str">
        <f t="shared" si="1330"/>
        <v>Y</v>
      </c>
      <c r="O209" s="162">
        <f t="shared" si="1334"/>
        <v>-2.6933028756020518</v>
      </c>
      <c r="P209" s="162">
        <f t="shared" si="1335"/>
        <v>2.5674976414330879</v>
      </c>
      <c r="Q209" s="162">
        <f t="shared" si="1336"/>
        <v>-1.3715041364564753</v>
      </c>
      <c r="R209" s="162">
        <f t="shared" si="1331"/>
        <v>-0.94143978678150453</v>
      </c>
      <c r="S209" s="162">
        <f t="shared" si="1327"/>
        <v>-0.29901796873503267</v>
      </c>
      <c r="T209" s="162">
        <f t="shared" si="1328"/>
        <v>0.15581842714637609</v>
      </c>
      <c r="U209" s="162">
        <f>IFERROR(IF(ISNUMBER(MATCH($X209,Settings!$AK$52:$AK$60,0)),INDEX(Settings!$AO$14:$AO$60,MATCH($X209,Settings!$AK$14:$AK$60,0))/2,INDEX(Settings!$AM$14:$AM$60,MATCH($X209,Settings!$AK$14:$AK$60,0))/2),"")</f>
        <v>0.26450000000000001</v>
      </c>
      <c r="V209" s="162">
        <f t="shared" si="1337"/>
        <v>0.52</v>
      </c>
      <c r="W209" s="75">
        <v>8.1389999999999993</v>
      </c>
      <c r="X209" s="937">
        <f t="shared" si="1332"/>
        <v>1313</v>
      </c>
      <c r="Y209" s="31"/>
      <c r="AK209" s="82" t="str">
        <f t="shared" si="1333"/>
        <v>Y</v>
      </c>
      <c r="AL209" s="419" t="s">
        <v>9</v>
      </c>
    </row>
    <row r="210" spans="2:38" x14ac:dyDescent="0.25">
      <c r="B210" s="650">
        <v>-2.6933028756020518</v>
      </c>
      <c r="C210" s="651">
        <v>2.5674976414330879</v>
      </c>
      <c r="D210" s="652">
        <v>-1.3715041364564753</v>
      </c>
      <c r="E210" s="653">
        <v>-0.94143978678150453</v>
      </c>
      <c r="F210" s="651">
        <v>-0.29901796873503267</v>
      </c>
      <c r="G210" s="654">
        <v>0.15581842714637609</v>
      </c>
      <c r="H210" s="653">
        <v>0.26600000000000001</v>
      </c>
      <c r="I210" s="942">
        <v>0.52</v>
      </c>
      <c r="J210" s="946">
        <v>8.1389999999999993</v>
      </c>
      <c r="K210" s="931">
        <f>IF($J210="","",IF(IFERROR(INDEX(Settings!$AK$14:$AK$60,MATCH((((ROUND($H210,6)*2)*1000000)+ROUND($I210,6)),Settings!$AI$14:$AI$60,0)),"Undefined")="Undefined","Undefined",IFERROR(INDEX(_xlfn.ANCHORARRAY(Settings!$BC$14),MATCH(IFERROR(INDEX(Settings!$AK$14:$AK$60,MATCH((((ROUND($H210,6)*2)*1000000)+ROUND($I210,6)),Settings!$AI$14:$AI$60,0)),"Undefined"),_xlfn.ANCHORARRAY(Settings!$BC$14),0)),"Inactive")))</f>
        <v>1313</v>
      </c>
      <c r="L210" s="683"/>
      <c r="M210" s="934"/>
      <c r="N210" s="31" t="str">
        <f t="shared" si="1330"/>
        <v>Y</v>
      </c>
      <c r="O210" s="162" t="str">
        <f t="shared" si="1334"/>
        <v/>
      </c>
      <c r="P210" s="162" t="str">
        <f t="shared" si="1335"/>
        <v/>
      </c>
      <c r="Q210" s="162" t="str">
        <f t="shared" si="1336"/>
        <v/>
      </c>
      <c r="R210" s="162" t="str">
        <f t="shared" si="1331"/>
        <v/>
      </c>
      <c r="S210" s="162" t="str">
        <f t="shared" si="1327"/>
        <v/>
      </c>
      <c r="T210" s="162" t="str">
        <f t="shared" si="1328"/>
        <v/>
      </c>
      <c r="U210" s="162" t="str">
        <f>IFERROR(IF(ISNUMBER(MATCH($X210,Settings!$AK$52:$AK$60,0)),INDEX(Settings!$AO$14:$AO$60,MATCH($X210,Settings!$AK$14:$AK$60,0))/2,INDEX(Settings!$AM$14:$AM$60,MATCH($X210,Settings!$AK$14:$AK$60,0))/2),"")</f>
        <v/>
      </c>
      <c r="V210" s="162" t="str">
        <f t="shared" si="1337"/>
        <v/>
      </c>
      <c r="W210" s="75"/>
      <c r="X210" s="937" t="str">
        <f t="shared" si="1332"/>
        <v/>
      </c>
      <c r="Y210" s="31"/>
      <c r="AK210" s="82" t="str">
        <f t="shared" si="1333"/>
        <v>Y</v>
      </c>
      <c r="AL210" s="419" t="s">
        <v>9</v>
      </c>
    </row>
    <row r="211" spans="2:38" x14ac:dyDescent="0.25">
      <c r="B211" s="650"/>
      <c r="C211" s="651"/>
      <c r="D211" s="652"/>
      <c r="E211" s="653"/>
      <c r="F211" s="651"/>
      <c r="G211" s="654"/>
      <c r="H211" s="653"/>
      <c r="I211" s="942"/>
      <c r="J211" s="946"/>
      <c r="K211" s="931" t="str">
        <f>IF($J211="","",IF(IFERROR(INDEX(Settings!$AK$14:$AK$60,MATCH((((ROUND($H211,6)*2)*1000000)+ROUND($I211,6)),Settings!$AI$14:$AI$60,0)),"Undefined")="Undefined","Undefined",IFERROR(INDEX(_xlfn.ANCHORARRAY(Settings!$BC$14),MATCH(IFERROR(INDEX(Settings!$AK$14:$AK$60,MATCH((((ROUND($H211,6)*2)*1000000)+ROUND($I211,6)),Settings!$AI$14:$AI$60,0)),"Undefined"),_xlfn.ANCHORARRAY(Settings!$BC$14),0)),"Inactive")))</f>
        <v/>
      </c>
      <c r="L211" s="683"/>
      <c r="M211" s="934"/>
      <c r="N211" s="31" t="str">
        <f t="shared" si="1330"/>
        <v>Y</v>
      </c>
      <c r="O211" s="162" t="str">
        <f t="shared" si="1334"/>
        <v/>
      </c>
      <c r="P211" s="162" t="str">
        <f t="shared" si="1335"/>
        <v/>
      </c>
      <c r="Q211" s="162" t="str">
        <f t="shared" si="1336"/>
        <v/>
      </c>
      <c r="R211" s="162" t="str">
        <f t="shared" si="1331"/>
        <v/>
      </c>
      <c r="S211" s="162" t="str">
        <f t="shared" si="1327"/>
        <v/>
      </c>
      <c r="T211" s="162" t="str">
        <f t="shared" si="1328"/>
        <v/>
      </c>
      <c r="U211" s="162" t="str">
        <f>IFERROR(IF(ISNUMBER(MATCH($X211,Settings!$AK$52:$AK$60,0)),INDEX(Settings!$AO$14:$AO$60,MATCH($X211,Settings!$AK$14:$AK$60,0))/2,INDEX(Settings!$AM$14:$AM$60,MATCH($X211,Settings!$AK$14:$AK$60,0))/2),"")</f>
        <v/>
      </c>
      <c r="V211" s="162" t="str">
        <f t="shared" si="1337"/>
        <v/>
      </c>
      <c r="W211" s="75"/>
      <c r="X211" s="937" t="str">
        <f t="shared" si="1332"/>
        <v/>
      </c>
      <c r="Y211" s="31"/>
      <c r="AK211" s="82" t="str">
        <f t="shared" si="1333"/>
        <v>Y</v>
      </c>
      <c r="AL211" s="419" t="s">
        <v>9</v>
      </c>
    </row>
    <row r="212" spans="2:38" x14ac:dyDescent="0.25">
      <c r="B212" s="650"/>
      <c r="C212" s="651"/>
      <c r="D212" s="652"/>
      <c r="E212" s="653"/>
      <c r="F212" s="651"/>
      <c r="G212" s="654"/>
      <c r="H212" s="653"/>
      <c r="I212" s="942"/>
      <c r="J212" s="946"/>
      <c r="K212" s="931" t="str">
        <f>IF($J212="","",IF(IFERROR(INDEX(Settings!$AK$14:$AK$60,MATCH((((ROUND($H212,6)*2)*1000000)+ROUND($I212,6)),Settings!$AI$14:$AI$60,0)),"Undefined")="Undefined","Undefined",IFERROR(INDEX(_xlfn.ANCHORARRAY(Settings!$BC$14),MATCH(IFERROR(INDEX(Settings!$AK$14:$AK$60,MATCH((((ROUND($H212,6)*2)*1000000)+ROUND($I212,6)),Settings!$AI$14:$AI$60,0)),"Undefined"),_xlfn.ANCHORARRAY(Settings!$BC$14),0)),"Inactive")))</f>
        <v/>
      </c>
      <c r="L212" s="683"/>
      <c r="M212" s="934"/>
      <c r="N212" s="31" t="str">
        <f t="shared" si="1330"/>
        <v>Y</v>
      </c>
      <c r="O212" s="162" t="str">
        <f t="shared" si="1334"/>
        <v/>
      </c>
      <c r="P212" s="162" t="str">
        <f t="shared" si="1335"/>
        <v/>
      </c>
      <c r="Q212" s="162" t="str">
        <f t="shared" si="1336"/>
        <v/>
      </c>
      <c r="R212" s="162" t="str">
        <f t="shared" si="1331"/>
        <v/>
      </c>
      <c r="S212" s="162" t="str">
        <f t="shared" si="1327"/>
        <v/>
      </c>
      <c r="T212" s="162" t="str">
        <f t="shared" si="1328"/>
        <v/>
      </c>
      <c r="U212" s="162" t="str">
        <f>IFERROR(IF(ISNUMBER(MATCH($X212,Settings!$AK$52:$AK$60,0)),INDEX(Settings!$AO$14:$AO$60,MATCH($X212,Settings!$AK$14:$AK$60,0))/2,INDEX(Settings!$AM$14:$AM$60,MATCH($X212,Settings!$AK$14:$AK$60,0))/2),"")</f>
        <v/>
      </c>
      <c r="V212" s="162" t="str">
        <f t="shared" si="1337"/>
        <v/>
      </c>
      <c r="W212" s="75"/>
      <c r="X212" s="937" t="str">
        <f t="shared" si="1332"/>
        <v/>
      </c>
      <c r="Y212" s="31"/>
      <c r="AK212" s="82" t="str">
        <f t="shared" si="1333"/>
        <v>Y</v>
      </c>
      <c r="AL212" s="419" t="s">
        <v>9</v>
      </c>
    </row>
    <row r="213" spans="2:38" x14ac:dyDescent="0.25">
      <c r="B213" s="650"/>
      <c r="C213" s="651"/>
      <c r="D213" s="652"/>
      <c r="E213" s="653"/>
      <c r="F213" s="651"/>
      <c r="G213" s="654"/>
      <c r="H213" s="653"/>
      <c r="I213" s="942"/>
      <c r="J213" s="946"/>
      <c r="K213" s="931" t="str">
        <f>IF($J213="","",IF(IFERROR(INDEX(Settings!$AK$14:$AK$60,MATCH((((ROUND($H213,6)*2)*1000000)+ROUND($I213,6)),Settings!$AI$14:$AI$60,0)),"Undefined")="Undefined","Undefined",IFERROR(INDEX(_xlfn.ANCHORARRAY(Settings!$BC$14),MATCH(IFERROR(INDEX(Settings!$AK$14:$AK$60,MATCH((((ROUND($H213,6)*2)*1000000)+ROUND($I213,6)),Settings!$AI$14:$AI$60,0)),"Undefined"),_xlfn.ANCHORARRAY(Settings!$BC$14),0)),"Inactive")))</f>
        <v/>
      </c>
      <c r="L213" s="683"/>
      <c r="M213" s="934"/>
      <c r="N213" s="31" t="str">
        <f t="shared" si="1330"/>
        <v>Y</v>
      </c>
      <c r="O213" s="162" t="str">
        <f t="shared" si="1334"/>
        <v/>
      </c>
      <c r="P213" s="162" t="str">
        <f t="shared" si="1335"/>
        <v/>
      </c>
      <c r="Q213" s="162" t="str">
        <f t="shared" si="1336"/>
        <v/>
      </c>
      <c r="R213" s="162" t="str">
        <f t="shared" si="1331"/>
        <v/>
      </c>
      <c r="S213" s="162" t="str">
        <f t="shared" si="1327"/>
        <v/>
      </c>
      <c r="T213" s="162" t="str">
        <f t="shared" si="1328"/>
        <v/>
      </c>
      <c r="U213" s="162" t="str">
        <f>IFERROR(IF(ISNUMBER(MATCH($X213,Settings!$AK$52:$AK$60,0)),INDEX(Settings!$AO$14:$AO$60,MATCH($X213,Settings!$AK$14:$AK$60,0))/2,INDEX(Settings!$AM$14:$AM$60,MATCH($X213,Settings!$AK$14:$AK$60,0))/2),"")</f>
        <v/>
      </c>
      <c r="V213" s="162" t="str">
        <f t="shared" si="1337"/>
        <v/>
      </c>
      <c r="W213" s="75"/>
      <c r="X213" s="937" t="str">
        <f t="shared" si="1332"/>
        <v/>
      </c>
      <c r="Y213" s="31"/>
      <c r="AK213" s="82" t="str">
        <f t="shared" si="1333"/>
        <v>Y</v>
      </c>
      <c r="AL213" s="419" t="s">
        <v>400</v>
      </c>
    </row>
    <row r="214" spans="2:38" x14ac:dyDescent="0.25">
      <c r="B214" s="650"/>
      <c r="C214" s="651"/>
      <c r="D214" s="652"/>
      <c r="E214" s="653"/>
      <c r="F214" s="651"/>
      <c r="G214" s="654"/>
      <c r="H214" s="653"/>
      <c r="I214" s="942"/>
      <c r="J214" s="946"/>
      <c r="K214" s="931" t="str">
        <f>IF($J214="","",IF(IFERROR(INDEX(Settings!$AK$14:$AK$60,MATCH((((ROUND($H214,6)*2)*1000000)+ROUND($I214,6)),Settings!$AI$14:$AI$60,0)),"Undefined")="Undefined","Undefined",IFERROR(INDEX(_xlfn.ANCHORARRAY(Settings!$BC$14),MATCH(IFERROR(INDEX(Settings!$AK$14:$AK$60,MATCH((((ROUND($H214,6)*2)*1000000)+ROUND($I214,6)),Settings!$AI$14:$AI$60,0)),"Undefined"),_xlfn.ANCHORARRAY(Settings!$BC$14),0)),"Inactive")))</f>
        <v/>
      </c>
      <c r="L214" s="683"/>
      <c r="M214" s="934"/>
      <c r="N214" s="31" t="str">
        <f t="shared" si="1330"/>
        <v>Y</v>
      </c>
      <c r="O214" s="162" t="str">
        <f t="shared" si="1334"/>
        <v/>
      </c>
      <c r="P214" s="162" t="str">
        <f t="shared" si="1335"/>
        <v/>
      </c>
      <c r="Q214" s="162" t="str">
        <f t="shared" si="1336"/>
        <v/>
      </c>
      <c r="R214" s="162" t="str">
        <f t="shared" si="1331"/>
        <v/>
      </c>
      <c r="S214" s="162" t="str">
        <f t="shared" si="1327"/>
        <v/>
      </c>
      <c r="T214" s="162" t="str">
        <f t="shared" si="1328"/>
        <v/>
      </c>
      <c r="U214" s="162" t="str">
        <f>IFERROR(IF(ISNUMBER(MATCH($X214,Settings!$AK$52:$AK$60,0)),INDEX(Settings!$AO$14:$AO$60,MATCH($X214,Settings!$AK$14:$AK$60,0))/2,INDEX(Settings!$AM$14:$AM$60,MATCH($X214,Settings!$AK$14:$AK$60,0))/2),"")</f>
        <v/>
      </c>
      <c r="V214" s="162" t="str">
        <f t="shared" si="1337"/>
        <v/>
      </c>
      <c r="W214" s="75"/>
      <c r="X214" s="937" t="str">
        <f t="shared" si="1332"/>
        <v/>
      </c>
      <c r="Y214" s="31"/>
      <c r="AK214" s="82" t="str">
        <f t="shared" si="1333"/>
        <v>Y</v>
      </c>
      <c r="AL214" s="419" t="s">
        <v>400</v>
      </c>
    </row>
    <row r="215" spans="2:38" x14ac:dyDescent="0.25">
      <c r="B215" s="650"/>
      <c r="C215" s="651"/>
      <c r="D215" s="652"/>
      <c r="E215" s="653"/>
      <c r="F215" s="651"/>
      <c r="G215" s="654"/>
      <c r="H215" s="653"/>
      <c r="I215" s="942"/>
      <c r="J215" s="946"/>
      <c r="K215" s="931" t="str">
        <f>IF($J215="","",IF(IFERROR(INDEX(Settings!$AK$14:$AK$60,MATCH((((ROUND($H215,6)*2)*1000000)+ROUND($I215,6)),Settings!$AI$14:$AI$60,0)),"Undefined")="Undefined","Undefined",IFERROR(INDEX(_xlfn.ANCHORARRAY(Settings!$BC$14),MATCH(IFERROR(INDEX(Settings!$AK$14:$AK$60,MATCH((((ROUND($H215,6)*2)*1000000)+ROUND($I215,6)),Settings!$AI$14:$AI$60,0)),"Undefined"),_xlfn.ANCHORARRAY(Settings!$BC$14),0)),"Inactive")))</f>
        <v/>
      </c>
      <c r="L215" s="683"/>
      <c r="M215" s="934"/>
      <c r="N215" s="31" t="str">
        <f t="shared" si="1330"/>
        <v>Y</v>
      </c>
      <c r="O215" s="162" t="str">
        <f t="shared" si="1334"/>
        <v/>
      </c>
      <c r="P215" s="162" t="str">
        <f t="shared" si="1335"/>
        <v/>
      </c>
      <c r="Q215" s="162" t="str">
        <f t="shared" si="1336"/>
        <v/>
      </c>
      <c r="R215" s="162" t="str">
        <f t="shared" si="1331"/>
        <v/>
      </c>
      <c r="S215" s="162" t="str">
        <f t="shared" si="1327"/>
        <v/>
      </c>
      <c r="T215" s="162" t="str">
        <f t="shared" si="1328"/>
        <v/>
      </c>
      <c r="U215" s="162" t="str">
        <f>IFERROR(IF(ISNUMBER(MATCH($X215,Settings!$AK$52:$AK$60,0)),INDEX(Settings!$AO$14:$AO$60,MATCH($X215,Settings!$AK$14:$AK$60,0))/2,INDEX(Settings!$AM$14:$AM$60,MATCH($X215,Settings!$AK$14:$AK$60,0))/2),"")</f>
        <v/>
      </c>
      <c r="V215" s="162" t="str">
        <f t="shared" si="1337"/>
        <v/>
      </c>
      <c r="W215" s="75"/>
      <c r="X215" s="937" t="str">
        <f t="shared" si="1332"/>
        <v/>
      </c>
      <c r="Y215" s="31"/>
      <c r="AK215" s="82" t="str">
        <f t="shared" si="1333"/>
        <v>Y</v>
      </c>
      <c r="AL215" s="419" t="s">
        <v>400</v>
      </c>
    </row>
    <row r="216" spans="2:38" x14ac:dyDescent="0.25">
      <c r="B216" s="650"/>
      <c r="C216" s="651"/>
      <c r="D216" s="652"/>
      <c r="E216" s="653"/>
      <c r="F216" s="651"/>
      <c r="G216" s="654"/>
      <c r="H216" s="653"/>
      <c r="I216" s="942"/>
      <c r="J216" s="946"/>
      <c r="K216" s="931" t="str">
        <f>IF($J216="","",IF(IFERROR(INDEX(Settings!$AK$14:$AK$60,MATCH((((ROUND($H216,6)*2)*1000000)+ROUND($I216,6)),Settings!$AI$14:$AI$60,0)),"Undefined")="Undefined","Undefined",IFERROR(INDEX(_xlfn.ANCHORARRAY(Settings!$BC$14),MATCH(IFERROR(INDEX(Settings!$AK$14:$AK$60,MATCH((((ROUND($H216,6)*2)*1000000)+ROUND($I216,6)),Settings!$AI$14:$AI$60,0)),"Undefined"),_xlfn.ANCHORARRAY(Settings!$BC$14),0)),"Inactive")))</f>
        <v/>
      </c>
      <c r="L216" s="683"/>
      <c r="M216" s="934"/>
      <c r="N216" s="31" t="str">
        <f t="shared" si="1330"/>
        <v>Y</v>
      </c>
      <c r="O216" s="162" t="str">
        <f t="shared" si="1334"/>
        <v/>
      </c>
      <c r="P216" s="162" t="str">
        <f t="shared" si="1335"/>
        <v/>
      </c>
      <c r="Q216" s="162" t="str">
        <f t="shared" si="1336"/>
        <v/>
      </c>
      <c r="R216" s="162" t="str">
        <f t="shared" si="1331"/>
        <v/>
      </c>
      <c r="S216" s="162" t="str">
        <f t="shared" si="1327"/>
        <v/>
      </c>
      <c r="T216" s="162" t="str">
        <f t="shared" si="1328"/>
        <v/>
      </c>
      <c r="U216" s="162" t="str">
        <f>IFERROR(IF(ISNUMBER(MATCH($X216,Settings!$AK$52:$AK$60,0)),INDEX(Settings!$AO$14:$AO$60,MATCH($X216,Settings!$AK$14:$AK$60,0))/2,INDEX(Settings!$AM$14:$AM$60,MATCH($X216,Settings!$AK$14:$AK$60,0))/2),"")</f>
        <v/>
      </c>
      <c r="V216" s="162" t="str">
        <f t="shared" si="1337"/>
        <v/>
      </c>
      <c r="W216" s="75"/>
      <c r="X216" s="937" t="str">
        <f t="shared" si="1332"/>
        <v/>
      </c>
      <c r="Y216" s="31"/>
      <c r="AK216" s="82" t="str">
        <f t="shared" si="1333"/>
        <v>Y</v>
      </c>
      <c r="AL216" s="419" t="s">
        <v>400</v>
      </c>
    </row>
    <row r="217" spans="2:38" x14ac:dyDescent="0.25">
      <c r="B217" s="650"/>
      <c r="C217" s="651"/>
      <c r="D217" s="652"/>
      <c r="E217" s="653"/>
      <c r="F217" s="651"/>
      <c r="G217" s="654"/>
      <c r="H217" s="653"/>
      <c r="I217" s="942"/>
      <c r="J217" s="946"/>
      <c r="K217" s="931" t="str">
        <f>IF($J217="","",IF(IFERROR(INDEX(Settings!$AK$14:$AK$60,MATCH((((ROUND($H217,6)*2)*1000000)+ROUND($I217,6)),Settings!$AI$14:$AI$60,0)),"Undefined")="Undefined","Undefined",IFERROR(INDEX(_xlfn.ANCHORARRAY(Settings!$BC$14),MATCH(IFERROR(INDEX(Settings!$AK$14:$AK$60,MATCH((((ROUND($H217,6)*2)*1000000)+ROUND($I217,6)),Settings!$AI$14:$AI$60,0)),"Undefined"),_xlfn.ANCHORARRAY(Settings!$BC$14),0)),"Inactive")))</f>
        <v/>
      </c>
      <c r="L217" s="683"/>
      <c r="M217" s="934"/>
      <c r="N217" s="31" t="str">
        <f t="shared" si="1330"/>
        <v>Y</v>
      </c>
      <c r="O217" s="162" t="str">
        <f t="shared" si="1334"/>
        <v/>
      </c>
      <c r="P217" s="162" t="str">
        <f t="shared" si="1335"/>
        <v/>
      </c>
      <c r="Q217" s="162" t="str">
        <f t="shared" si="1336"/>
        <v/>
      </c>
      <c r="R217" s="162" t="str">
        <f t="shared" si="1331"/>
        <v/>
      </c>
      <c r="S217" s="162" t="str">
        <f t="shared" si="1327"/>
        <v/>
      </c>
      <c r="T217" s="162" t="str">
        <f t="shared" si="1328"/>
        <v/>
      </c>
      <c r="U217" s="162" t="str">
        <f>IFERROR(IF(ISNUMBER(MATCH($X217,Settings!$AK$52:$AK$60,0)),INDEX(Settings!$AO$14:$AO$60,MATCH($X217,Settings!$AK$14:$AK$60,0))/2,INDEX(Settings!$AM$14:$AM$60,MATCH($X217,Settings!$AK$14:$AK$60,0))/2),"")</f>
        <v/>
      </c>
      <c r="V217" s="162" t="str">
        <f t="shared" si="1337"/>
        <v/>
      </c>
      <c r="W217" s="75"/>
      <c r="X217" s="937" t="str">
        <f t="shared" si="1332"/>
        <v/>
      </c>
      <c r="Y217" s="31" t="s">
        <v>9</v>
      </c>
      <c r="AK217" s="82" t="str">
        <f t="shared" si="1333"/>
        <v>Y</v>
      </c>
      <c r="AL217" s="419" t="s">
        <v>400</v>
      </c>
    </row>
    <row r="218" spans="2:38" x14ac:dyDescent="0.25">
      <c r="B218" s="650"/>
      <c r="C218" s="651"/>
      <c r="D218" s="652"/>
      <c r="E218" s="653"/>
      <c r="F218" s="651"/>
      <c r="G218" s="654"/>
      <c r="H218" s="653"/>
      <c r="I218" s="942"/>
      <c r="J218" s="946"/>
      <c r="K218" s="931" t="str">
        <f>IF($J218="","",IF(IFERROR(INDEX(Settings!$AK$14:$AK$60,MATCH((((ROUND($H218,6)*2)*1000000)+ROUND($I218,6)),Settings!$AI$14:$AI$60,0)),"Undefined")="Undefined","Undefined",IFERROR(INDEX(_xlfn.ANCHORARRAY(Settings!$BC$14),MATCH(IFERROR(INDEX(Settings!$AK$14:$AK$60,MATCH((((ROUND($H218,6)*2)*1000000)+ROUND($I218,6)),Settings!$AI$14:$AI$60,0)),"Undefined"),_xlfn.ANCHORARRAY(Settings!$BC$14),0)),"Inactive")))</f>
        <v/>
      </c>
      <c r="L218" s="683"/>
      <c r="M218" s="934"/>
      <c r="N218" s="31" t="str">
        <f t="shared" si="1330"/>
        <v>Y</v>
      </c>
      <c r="O218" s="162" t="str">
        <f t="shared" si="1334"/>
        <v/>
      </c>
      <c r="P218" s="162" t="str">
        <f t="shared" si="1335"/>
        <v/>
      </c>
      <c r="Q218" s="162" t="str">
        <f t="shared" si="1336"/>
        <v/>
      </c>
      <c r="R218" s="162" t="str">
        <f t="shared" si="1331"/>
        <v/>
      </c>
      <c r="S218" s="162" t="str">
        <f t="shared" si="1327"/>
        <v/>
      </c>
      <c r="T218" s="162" t="str">
        <f t="shared" si="1328"/>
        <v/>
      </c>
      <c r="U218" s="162" t="str">
        <f>IFERROR(IF(ISNUMBER(MATCH($X218,Settings!$AK$52:$AK$60,0)),INDEX(Settings!$AO$14:$AO$60,MATCH($X218,Settings!$AK$14:$AK$60,0))/2,INDEX(Settings!$AM$14:$AM$60,MATCH($X218,Settings!$AK$14:$AK$60,0))/2),"")</f>
        <v/>
      </c>
      <c r="V218" s="162" t="str">
        <f t="shared" si="1337"/>
        <v/>
      </c>
      <c r="W218" s="75"/>
      <c r="X218" s="937" t="str">
        <f t="shared" si="1332"/>
        <v/>
      </c>
      <c r="Y218" s="31"/>
      <c r="AK218" s="82" t="str">
        <f t="shared" si="1333"/>
        <v>Y</v>
      </c>
      <c r="AL218" s="419" t="s">
        <v>400</v>
      </c>
    </row>
    <row r="219" spans="2:38" x14ac:dyDescent="0.25">
      <c r="B219" s="650"/>
      <c r="C219" s="651"/>
      <c r="D219" s="652"/>
      <c r="E219" s="653"/>
      <c r="F219" s="651"/>
      <c r="G219" s="654"/>
      <c r="H219" s="653"/>
      <c r="I219" s="942"/>
      <c r="J219" s="946"/>
      <c r="K219" s="931" t="str">
        <f>IF($J219="","",IF(IFERROR(INDEX(Settings!$AK$14:$AK$60,MATCH((((ROUND($H219,6)*2)*1000000)+ROUND($I219,6)),Settings!$AI$14:$AI$60,0)),"Undefined")="Undefined","Undefined",IFERROR(INDEX(_xlfn.ANCHORARRAY(Settings!$BC$14),MATCH(IFERROR(INDEX(Settings!$AK$14:$AK$60,MATCH((((ROUND($H219,6)*2)*1000000)+ROUND($I219,6)),Settings!$AI$14:$AI$60,0)),"Undefined"),_xlfn.ANCHORARRAY(Settings!$BC$14),0)),"Inactive")))</f>
        <v/>
      </c>
      <c r="L219" s="683"/>
      <c r="M219" s="934"/>
      <c r="N219" s="31" t="str">
        <f t="shared" si="1330"/>
        <v>Y</v>
      </c>
      <c r="O219" s="162" t="str">
        <f t="shared" si="1334"/>
        <v/>
      </c>
      <c r="P219" s="162" t="str">
        <f t="shared" si="1335"/>
        <v/>
      </c>
      <c r="Q219" s="162" t="str">
        <f t="shared" si="1336"/>
        <v/>
      </c>
      <c r="R219" s="162" t="str">
        <f t="shared" si="1331"/>
        <v/>
      </c>
      <c r="S219" s="162" t="str">
        <f t="shared" si="1327"/>
        <v/>
      </c>
      <c r="T219" s="162" t="str">
        <f t="shared" si="1328"/>
        <v/>
      </c>
      <c r="U219" s="162" t="str">
        <f>IFERROR(IF(ISNUMBER(MATCH($X219,Settings!$AK$52:$AK$60,0)),INDEX(Settings!$AO$14:$AO$60,MATCH($X219,Settings!$AK$14:$AK$60,0))/2,INDEX(Settings!$AM$14:$AM$60,MATCH($X219,Settings!$AK$14:$AK$60,0))/2),"")</f>
        <v/>
      </c>
      <c r="V219" s="162" t="str">
        <f t="shared" si="1337"/>
        <v/>
      </c>
      <c r="W219" s="75"/>
      <c r="X219" s="937" t="str">
        <f t="shared" si="1332"/>
        <v/>
      </c>
      <c r="Y219" s="31"/>
      <c r="AK219" s="82" t="str">
        <f t="shared" si="1333"/>
        <v>Y</v>
      </c>
      <c r="AL219" s="419" t="s">
        <v>400</v>
      </c>
    </row>
    <row r="220" spans="2:38" x14ac:dyDescent="0.25">
      <c r="B220" s="650"/>
      <c r="C220" s="651"/>
      <c r="D220" s="652"/>
      <c r="E220" s="653"/>
      <c r="F220" s="651"/>
      <c r="G220" s="654"/>
      <c r="H220" s="653"/>
      <c r="I220" s="942"/>
      <c r="J220" s="946"/>
      <c r="K220" s="931" t="str">
        <f>IF($J220="","",IF(IFERROR(INDEX(Settings!$AK$14:$AK$60,MATCH((((ROUND($H220,6)*2)*1000000)+ROUND($I220,6)),Settings!$AI$14:$AI$60,0)),"Undefined")="Undefined","Undefined",IFERROR(INDEX(_xlfn.ANCHORARRAY(Settings!$BC$14),MATCH(IFERROR(INDEX(Settings!$AK$14:$AK$60,MATCH((((ROUND($H220,6)*2)*1000000)+ROUND($I220,6)),Settings!$AI$14:$AI$60,0)),"Undefined"),_xlfn.ANCHORARRAY(Settings!$BC$14),0)),"Inactive")))</f>
        <v/>
      </c>
      <c r="L220" s="683"/>
      <c r="M220" s="934"/>
      <c r="N220" s="31" t="str">
        <f t="shared" si="1330"/>
        <v>Y</v>
      </c>
      <c r="O220" s="162" t="str">
        <f t="shared" si="1334"/>
        <v/>
      </c>
      <c r="P220" s="162" t="str">
        <f t="shared" si="1335"/>
        <v/>
      </c>
      <c r="Q220" s="162" t="str">
        <f t="shared" si="1336"/>
        <v/>
      </c>
      <c r="R220" s="162" t="str">
        <f t="shared" si="1331"/>
        <v/>
      </c>
      <c r="S220" s="162" t="str">
        <f t="shared" si="1327"/>
        <v/>
      </c>
      <c r="T220" s="162" t="str">
        <f t="shared" si="1328"/>
        <v/>
      </c>
      <c r="U220" s="162" t="str">
        <f>IFERROR(IF(ISNUMBER(MATCH($X220,Settings!$AK$52:$AK$60,0)),INDEX(Settings!$AO$14:$AO$60,MATCH($X220,Settings!$AK$14:$AK$60,0))/2,INDEX(Settings!$AM$14:$AM$60,MATCH($X220,Settings!$AK$14:$AK$60,0))/2),"")</f>
        <v/>
      </c>
      <c r="V220" s="162" t="str">
        <f t="shared" si="1337"/>
        <v/>
      </c>
      <c r="W220" s="75"/>
      <c r="X220" s="937" t="str">
        <f t="shared" si="1332"/>
        <v/>
      </c>
      <c r="Y220" s="31"/>
      <c r="AK220" s="82" t="str">
        <f t="shared" si="1333"/>
        <v>Y</v>
      </c>
      <c r="AL220" s="419" t="s">
        <v>400</v>
      </c>
    </row>
    <row r="221" spans="2:38" x14ac:dyDescent="0.25">
      <c r="B221" s="650"/>
      <c r="C221" s="651"/>
      <c r="D221" s="652"/>
      <c r="E221" s="653"/>
      <c r="F221" s="651"/>
      <c r="G221" s="654"/>
      <c r="H221" s="653"/>
      <c r="I221" s="942"/>
      <c r="J221" s="946"/>
      <c r="K221" s="931" t="str">
        <f>IF($J221="","",IF(IFERROR(INDEX(Settings!$AK$14:$AK$60,MATCH((((ROUND($H221,6)*2)*1000000)+ROUND($I221,6)),Settings!$AI$14:$AI$60,0)),"Undefined")="Undefined","Undefined",IFERROR(INDEX(_xlfn.ANCHORARRAY(Settings!$BC$14),MATCH(IFERROR(INDEX(Settings!$AK$14:$AK$60,MATCH((((ROUND($H221,6)*2)*1000000)+ROUND($I221,6)),Settings!$AI$14:$AI$60,0)),"Undefined"),_xlfn.ANCHORARRAY(Settings!$BC$14),0)),"Inactive")))</f>
        <v/>
      </c>
      <c r="L221" s="683"/>
      <c r="M221" s="934"/>
      <c r="N221" s="31" t="str">
        <f t="shared" si="1330"/>
        <v>Y</v>
      </c>
      <c r="O221" s="162" t="str">
        <f t="shared" si="1334"/>
        <v/>
      </c>
      <c r="P221" s="162" t="str">
        <f t="shared" si="1335"/>
        <v/>
      </c>
      <c r="Q221" s="162" t="str">
        <f t="shared" si="1336"/>
        <v/>
      </c>
      <c r="R221" s="162" t="str">
        <f t="shared" si="1331"/>
        <v/>
      </c>
      <c r="S221" s="162" t="str">
        <f t="shared" si="1327"/>
        <v/>
      </c>
      <c r="T221" s="162" t="str">
        <f t="shared" si="1328"/>
        <v/>
      </c>
      <c r="U221" s="162" t="str">
        <f>IFERROR(IF(ISNUMBER(MATCH($X221,Settings!$AK$52:$AK$60,0)),INDEX(Settings!$AO$14:$AO$60,MATCH($X221,Settings!$AK$14:$AK$60,0))/2,INDEX(Settings!$AM$14:$AM$60,MATCH($X221,Settings!$AK$14:$AK$60,0))/2),"")</f>
        <v/>
      </c>
      <c r="V221" s="162" t="str">
        <f t="shared" si="1337"/>
        <v/>
      </c>
      <c r="W221" s="75"/>
      <c r="X221" s="937" t="str">
        <f t="shared" si="1332"/>
        <v/>
      </c>
      <c r="Y221" s="31"/>
      <c r="AK221" s="82" t="str">
        <f t="shared" si="1333"/>
        <v>Y</v>
      </c>
      <c r="AL221" s="419" t="s">
        <v>9</v>
      </c>
    </row>
    <row r="222" spans="2:38" x14ac:dyDescent="0.25">
      <c r="B222" s="650"/>
      <c r="C222" s="651"/>
      <c r="D222" s="652"/>
      <c r="E222" s="653"/>
      <c r="F222" s="651"/>
      <c r="G222" s="654"/>
      <c r="H222" s="653"/>
      <c r="I222" s="942"/>
      <c r="J222" s="946"/>
      <c r="K222" s="931" t="str">
        <f>IF($J222="","",IF(IFERROR(INDEX(Settings!$AK$14:$AK$60,MATCH((((ROUND($H222,6)*2)*1000000)+ROUND($I222,6)),Settings!$AI$14:$AI$60,0)),"Undefined")="Undefined","Undefined",IFERROR(INDEX(_xlfn.ANCHORARRAY(Settings!$BC$14),MATCH(IFERROR(INDEX(Settings!$AK$14:$AK$60,MATCH((((ROUND($H222,6)*2)*1000000)+ROUND($I222,6)),Settings!$AI$14:$AI$60,0)),"Undefined"),_xlfn.ANCHORARRAY(Settings!$BC$14),0)),"Inactive")))</f>
        <v/>
      </c>
      <c r="L222" s="683"/>
      <c r="M222" s="934"/>
      <c r="N222" s="31" t="str">
        <f t="shared" si="1330"/>
        <v>Y</v>
      </c>
      <c r="O222" s="162" t="str">
        <f t="shared" si="1334"/>
        <v/>
      </c>
      <c r="P222" s="162" t="str">
        <f t="shared" si="1335"/>
        <v/>
      </c>
      <c r="Q222" s="162" t="str">
        <f t="shared" si="1336"/>
        <v/>
      </c>
      <c r="R222" s="162" t="str">
        <f t="shared" si="1331"/>
        <v/>
      </c>
      <c r="S222" s="162" t="str">
        <f t="shared" si="1327"/>
        <v/>
      </c>
      <c r="T222" s="162" t="str">
        <f t="shared" si="1328"/>
        <v/>
      </c>
      <c r="U222" s="162" t="str">
        <f>IFERROR(IF(ISNUMBER(MATCH($X222,Settings!$AK$52:$AK$60,0)),INDEX(Settings!$AO$14:$AO$60,MATCH($X222,Settings!$AK$14:$AK$60,0))/2,INDEX(Settings!$AM$14:$AM$60,MATCH($X222,Settings!$AK$14:$AK$60,0))/2),"")</f>
        <v/>
      </c>
      <c r="V222" s="162" t="str">
        <f t="shared" si="1337"/>
        <v/>
      </c>
      <c r="W222" s="75"/>
      <c r="X222" s="937" t="str">
        <f t="shared" si="1332"/>
        <v/>
      </c>
      <c r="Y222" s="31"/>
      <c r="AK222" s="82" t="str">
        <f t="shared" si="1333"/>
        <v>Y</v>
      </c>
      <c r="AL222" s="419" t="s">
        <v>9</v>
      </c>
    </row>
    <row r="223" spans="2:38" x14ac:dyDescent="0.25">
      <c r="B223" s="650"/>
      <c r="C223" s="651"/>
      <c r="D223" s="652"/>
      <c r="E223" s="653"/>
      <c r="F223" s="651"/>
      <c r="G223" s="654"/>
      <c r="H223" s="653"/>
      <c r="I223" s="942"/>
      <c r="J223" s="946"/>
      <c r="K223" s="931" t="str">
        <f>IF($J223="","",IF(IFERROR(INDEX(Settings!$AK$14:$AK$60,MATCH((((ROUND($H223,6)*2)*1000000)+ROUND($I223,6)),Settings!$AI$14:$AI$60,0)),"Undefined")="Undefined","Undefined",IFERROR(INDEX(_xlfn.ANCHORARRAY(Settings!$BC$14),MATCH(IFERROR(INDEX(Settings!$AK$14:$AK$60,MATCH((((ROUND($H223,6)*2)*1000000)+ROUND($I223,6)),Settings!$AI$14:$AI$60,0)),"Undefined"),_xlfn.ANCHORARRAY(Settings!$BC$14),0)),"Inactive")))</f>
        <v/>
      </c>
      <c r="L223" s="683"/>
      <c r="M223" s="934"/>
      <c r="N223" s="31" t="str">
        <f t="shared" si="1330"/>
        <v>Y</v>
      </c>
      <c r="O223" s="162" t="str">
        <f t="shared" si="1334"/>
        <v/>
      </c>
      <c r="P223" s="162" t="str">
        <f t="shared" si="1335"/>
        <v/>
      </c>
      <c r="Q223" s="162" t="str">
        <f t="shared" si="1336"/>
        <v/>
      </c>
      <c r="R223" s="162" t="str">
        <f t="shared" si="1331"/>
        <v/>
      </c>
      <c r="S223" s="162" t="str">
        <f t="shared" si="1327"/>
        <v/>
      </c>
      <c r="T223" s="162" t="str">
        <f t="shared" si="1328"/>
        <v/>
      </c>
      <c r="U223" s="162" t="str">
        <f>IFERROR(IF(ISNUMBER(MATCH($X223,Settings!$AK$52:$AK$60,0)),INDEX(Settings!$AO$14:$AO$60,MATCH($X223,Settings!$AK$14:$AK$60,0))/2,INDEX(Settings!$AM$14:$AM$60,MATCH($X223,Settings!$AK$14:$AK$60,0))/2),"")</f>
        <v/>
      </c>
      <c r="V223" s="162" t="str">
        <f t="shared" si="1337"/>
        <v/>
      </c>
      <c r="W223" s="75"/>
      <c r="X223" s="937" t="str">
        <f t="shared" si="1332"/>
        <v/>
      </c>
      <c r="Y223" s="31"/>
      <c r="AK223" s="82" t="str">
        <f t="shared" si="1333"/>
        <v>Y</v>
      </c>
      <c r="AL223" s="419" t="s">
        <v>9</v>
      </c>
    </row>
    <row r="224" spans="2:38" x14ac:dyDescent="0.25">
      <c r="B224" s="650"/>
      <c r="C224" s="651"/>
      <c r="D224" s="652"/>
      <c r="E224" s="653"/>
      <c r="F224" s="651"/>
      <c r="G224" s="654"/>
      <c r="H224" s="653"/>
      <c r="I224" s="942"/>
      <c r="J224" s="946"/>
      <c r="K224" s="931" t="str">
        <f>IF($J224="","",IF(IFERROR(INDEX(Settings!$AK$14:$AK$60,MATCH((((ROUND($H224,6)*2)*1000000)+ROUND($I224,6)),Settings!$AI$14:$AI$60,0)),"Undefined")="Undefined","Undefined",IFERROR(INDEX(_xlfn.ANCHORARRAY(Settings!$BC$14),MATCH(IFERROR(INDEX(Settings!$AK$14:$AK$60,MATCH((((ROUND($H224,6)*2)*1000000)+ROUND($I224,6)),Settings!$AI$14:$AI$60,0)),"Undefined"),_xlfn.ANCHORARRAY(Settings!$BC$14),0)),"Inactive")))</f>
        <v/>
      </c>
      <c r="L224" s="683"/>
      <c r="M224" s="934"/>
      <c r="N224" s="31" t="str">
        <f t="shared" si="1330"/>
        <v>Y</v>
      </c>
      <c r="O224" s="162" t="str">
        <f t="shared" si="1334"/>
        <v/>
      </c>
      <c r="P224" s="162" t="str">
        <f t="shared" si="1335"/>
        <v/>
      </c>
      <c r="Q224" s="162" t="str">
        <f t="shared" si="1336"/>
        <v/>
      </c>
      <c r="R224" s="162" t="str">
        <f t="shared" si="1331"/>
        <v/>
      </c>
      <c r="S224" s="162" t="str">
        <f t="shared" si="1327"/>
        <v/>
      </c>
      <c r="T224" s="162" t="str">
        <f t="shared" si="1328"/>
        <v/>
      </c>
      <c r="U224" s="162" t="str">
        <f>IFERROR(IF(ISNUMBER(MATCH($X224,Settings!$AK$52:$AK$60,0)),INDEX(Settings!$AO$14:$AO$60,MATCH($X224,Settings!$AK$14:$AK$60,0))/2,INDEX(Settings!$AM$14:$AM$60,MATCH($X224,Settings!$AK$14:$AK$60,0))/2),"")</f>
        <v/>
      </c>
      <c r="V224" s="162" t="str">
        <f t="shared" si="1337"/>
        <v/>
      </c>
      <c r="W224" s="75"/>
      <c r="X224" s="937" t="str">
        <f t="shared" si="1332"/>
        <v/>
      </c>
      <c r="Y224" s="31"/>
      <c r="AK224" s="82" t="str">
        <f t="shared" si="1333"/>
        <v>Y</v>
      </c>
      <c r="AL224" s="419" t="s">
        <v>9</v>
      </c>
    </row>
    <row r="225" spans="2:38" x14ac:dyDescent="0.25">
      <c r="B225" s="650"/>
      <c r="C225" s="651"/>
      <c r="D225" s="652"/>
      <c r="E225" s="653"/>
      <c r="F225" s="651"/>
      <c r="G225" s="654"/>
      <c r="H225" s="653"/>
      <c r="I225" s="942"/>
      <c r="J225" s="946"/>
      <c r="K225" s="931" t="str">
        <f>IF($J225="","",IF(IFERROR(INDEX(Settings!$AK$14:$AK$60,MATCH((((ROUND($H225,6)*2)*1000000)+ROUND($I225,6)),Settings!$AI$14:$AI$60,0)),"Undefined")="Undefined","Undefined",IFERROR(INDEX(_xlfn.ANCHORARRAY(Settings!$BC$14),MATCH(IFERROR(INDEX(Settings!$AK$14:$AK$60,MATCH((((ROUND($H225,6)*2)*1000000)+ROUND($I225,6)),Settings!$AI$14:$AI$60,0)),"Undefined"),_xlfn.ANCHORARRAY(Settings!$BC$14),0)),"Inactive")))</f>
        <v/>
      </c>
      <c r="L225" s="683"/>
      <c r="M225" s="934"/>
      <c r="N225" s="31" t="str">
        <f t="shared" si="1330"/>
        <v>Y</v>
      </c>
      <c r="O225" s="162" t="str">
        <f t="shared" si="1334"/>
        <v/>
      </c>
      <c r="P225" s="162" t="str">
        <f t="shared" si="1335"/>
        <v/>
      </c>
      <c r="Q225" s="162" t="str">
        <f t="shared" si="1336"/>
        <v/>
      </c>
      <c r="R225" s="162" t="str">
        <f t="shared" si="1331"/>
        <v/>
      </c>
      <c r="S225" s="162" t="str">
        <f t="shared" si="1327"/>
        <v/>
      </c>
      <c r="T225" s="162" t="str">
        <f t="shared" si="1328"/>
        <v/>
      </c>
      <c r="U225" s="162" t="str">
        <f>IFERROR(IF(ISNUMBER(MATCH($X225,Settings!$AK$52:$AK$60,0)),INDEX(Settings!$AO$14:$AO$60,MATCH($X225,Settings!$AK$14:$AK$60,0))/2,INDEX(Settings!$AM$14:$AM$60,MATCH($X225,Settings!$AK$14:$AK$60,0))/2),"")</f>
        <v/>
      </c>
      <c r="V225" s="162" t="str">
        <f t="shared" si="1337"/>
        <v/>
      </c>
      <c r="W225" s="75"/>
      <c r="X225" s="937" t="str">
        <f t="shared" si="1332"/>
        <v/>
      </c>
      <c r="Y225" s="31"/>
      <c r="AK225" s="82" t="str">
        <f t="shared" si="1333"/>
        <v>Y</v>
      </c>
      <c r="AL225" s="419" t="s">
        <v>9</v>
      </c>
    </row>
    <row r="226" spans="2:38" x14ac:dyDescent="0.25">
      <c r="B226" s="650"/>
      <c r="C226" s="651"/>
      <c r="D226" s="652"/>
      <c r="E226" s="653"/>
      <c r="F226" s="651"/>
      <c r="G226" s="654"/>
      <c r="H226" s="653"/>
      <c r="I226" s="942"/>
      <c r="J226" s="946"/>
      <c r="K226" s="931" t="str">
        <f>IF($J226="","",IF(IFERROR(INDEX(Settings!$AK$14:$AK$60,MATCH((((ROUND($H226,6)*2)*1000000)+ROUND($I226,6)),Settings!$AI$14:$AI$60,0)),"Undefined")="Undefined","Undefined",IFERROR(INDEX(_xlfn.ANCHORARRAY(Settings!$BC$14),MATCH(IFERROR(INDEX(Settings!$AK$14:$AK$60,MATCH((((ROUND($H226,6)*2)*1000000)+ROUND($I226,6)),Settings!$AI$14:$AI$60,0)),"Undefined"),_xlfn.ANCHORARRAY(Settings!$BC$14),0)),"Inactive")))</f>
        <v/>
      </c>
      <c r="L226" s="683"/>
      <c r="M226" s="934"/>
      <c r="N226" s="31" t="str">
        <f t="shared" si="1330"/>
        <v>Y</v>
      </c>
      <c r="O226" s="162" t="str">
        <f t="shared" si="1334"/>
        <v/>
      </c>
      <c r="P226" s="162" t="str">
        <f t="shared" si="1335"/>
        <v/>
      </c>
      <c r="Q226" s="162" t="str">
        <f t="shared" si="1336"/>
        <v/>
      </c>
      <c r="R226" s="162" t="str">
        <f t="shared" si="1331"/>
        <v/>
      </c>
      <c r="S226" s="162" t="str">
        <f t="shared" si="1327"/>
        <v/>
      </c>
      <c r="T226" s="162" t="str">
        <f t="shared" si="1328"/>
        <v/>
      </c>
      <c r="U226" s="162" t="str">
        <f>IFERROR(IF(ISNUMBER(MATCH($X226,Settings!$AK$52:$AK$60,0)),INDEX(Settings!$AO$14:$AO$60,MATCH($X226,Settings!$AK$14:$AK$60,0))/2,INDEX(Settings!$AM$14:$AM$60,MATCH($X226,Settings!$AK$14:$AK$60,0))/2),"")</f>
        <v/>
      </c>
      <c r="V226" s="162" t="str">
        <f t="shared" si="1337"/>
        <v/>
      </c>
      <c r="W226" s="75"/>
      <c r="X226" s="937" t="str">
        <f t="shared" si="1332"/>
        <v/>
      </c>
      <c r="Y226" s="31"/>
      <c r="AK226" s="82" t="str">
        <f t="shared" si="1333"/>
        <v>Y</v>
      </c>
      <c r="AL226" s="419" t="s">
        <v>400</v>
      </c>
    </row>
    <row r="227" spans="2:38" x14ac:dyDescent="0.25">
      <c r="B227" s="650"/>
      <c r="C227" s="651"/>
      <c r="D227" s="652"/>
      <c r="E227" s="653"/>
      <c r="F227" s="651"/>
      <c r="G227" s="654"/>
      <c r="H227" s="653"/>
      <c r="I227" s="942"/>
      <c r="J227" s="946"/>
      <c r="K227" s="931" t="str">
        <f>IF($J227="","",IF(IFERROR(INDEX(Settings!$AK$14:$AK$60,MATCH((((ROUND($H227,6)*2)*1000000)+ROUND($I227,6)),Settings!$AI$14:$AI$60,0)),"Undefined")="Undefined","Undefined",IFERROR(INDEX(_xlfn.ANCHORARRAY(Settings!$BC$14),MATCH(IFERROR(INDEX(Settings!$AK$14:$AK$60,MATCH((((ROUND($H227,6)*2)*1000000)+ROUND($I227,6)),Settings!$AI$14:$AI$60,0)),"Undefined"),_xlfn.ANCHORARRAY(Settings!$BC$14),0)),"Inactive")))</f>
        <v/>
      </c>
      <c r="L227" s="683"/>
      <c r="M227" s="934"/>
      <c r="N227" s="31" t="str">
        <f t="shared" si="1330"/>
        <v>Y</v>
      </c>
      <c r="O227" s="162" t="str">
        <f t="shared" si="1334"/>
        <v/>
      </c>
      <c r="P227" s="162" t="str">
        <f t="shared" si="1335"/>
        <v/>
      </c>
      <c r="Q227" s="162" t="str">
        <f t="shared" si="1336"/>
        <v/>
      </c>
      <c r="R227" s="162" t="str">
        <f t="shared" si="1331"/>
        <v/>
      </c>
      <c r="S227" s="162" t="str">
        <f t="shared" si="1327"/>
        <v/>
      </c>
      <c r="T227" s="162" t="str">
        <f t="shared" si="1328"/>
        <v/>
      </c>
      <c r="U227" s="162" t="str">
        <f>IFERROR(IF(ISNUMBER(MATCH($X227,Settings!$AK$52:$AK$60,0)),INDEX(Settings!$AO$14:$AO$60,MATCH($X227,Settings!$AK$14:$AK$60,0))/2,INDEX(Settings!$AM$14:$AM$60,MATCH($X227,Settings!$AK$14:$AK$60,0))/2),"")</f>
        <v/>
      </c>
      <c r="V227" s="162" t="str">
        <f t="shared" si="1337"/>
        <v/>
      </c>
      <c r="W227" s="75"/>
      <c r="X227" s="937" t="str">
        <f t="shared" si="1332"/>
        <v/>
      </c>
      <c r="Y227" s="31"/>
      <c r="AK227" s="82" t="str">
        <f t="shared" si="1333"/>
        <v>Y</v>
      </c>
      <c r="AL227" s="419" t="s">
        <v>400</v>
      </c>
    </row>
    <row r="228" spans="2:38" x14ac:dyDescent="0.25">
      <c r="B228" s="650"/>
      <c r="C228" s="651"/>
      <c r="D228" s="652"/>
      <c r="E228" s="653"/>
      <c r="F228" s="651"/>
      <c r="G228" s="654"/>
      <c r="H228" s="653"/>
      <c r="I228" s="942"/>
      <c r="J228" s="946"/>
      <c r="K228" s="931" t="str">
        <f>IF($J228="","",IF(IFERROR(INDEX(Settings!$AK$14:$AK$60,MATCH((((ROUND($H228,6)*2)*1000000)+ROUND($I228,6)),Settings!$AI$14:$AI$60,0)),"Undefined")="Undefined","Undefined",IFERROR(INDEX(_xlfn.ANCHORARRAY(Settings!$BC$14),MATCH(IFERROR(INDEX(Settings!$AK$14:$AK$60,MATCH((((ROUND($H228,6)*2)*1000000)+ROUND($I228,6)),Settings!$AI$14:$AI$60,0)),"Undefined"),_xlfn.ANCHORARRAY(Settings!$BC$14),0)),"Inactive")))</f>
        <v/>
      </c>
      <c r="L228" s="683"/>
      <c r="M228" s="934"/>
      <c r="N228" s="31" t="str">
        <f t="shared" si="1330"/>
        <v>Y</v>
      </c>
      <c r="O228" s="162" t="str">
        <f t="shared" ref="O228:O259" si="1338">IFERROR(INDEX(B$164:B$305,MATCH($W228,$J$164:$J$305,0)),"")</f>
        <v/>
      </c>
      <c r="P228" s="162" t="str">
        <f t="shared" ref="P228:P259" si="1339">IFERROR(INDEX(C$164:C$305,MATCH($W228,$J$164:$J$305,0)),"")</f>
        <v/>
      </c>
      <c r="Q228" s="162" t="str">
        <f t="shared" ref="Q228:Q259" si="1340">IFERROR(INDEX(D$164:D$305,MATCH($W228,$J$164:$J$305,0)),"")</f>
        <v/>
      </c>
      <c r="R228" s="162" t="str">
        <f t="shared" si="1331"/>
        <v/>
      </c>
      <c r="S228" s="162" t="str">
        <f t="shared" ref="S228:S291" si="1341">IFERROR(IF($L228="Y",-1*INDEX(F$164:F$305,MATCH($W228,$J$164:$J$305,0)),INDEX(F$164:F$305,MATCH($W228,$J$164:$J$305,0))),"")</f>
        <v/>
      </c>
      <c r="T228" s="162" t="str">
        <f t="shared" ref="T228:T291" si="1342">IFERROR(IF($L228="Y",-1*INDEX(G$164:G$305,MATCH($W228,$J$164:$J$305,0)),INDEX(G$164:G$305,MATCH($W228,$J$164:$J$305,0))),"")</f>
        <v/>
      </c>
      <c r="U228" s="162" t="str">
        <f>IFERROR(IF(ISNUMBER(MATCH($X228,Settings!$AK$52:$AK$60,0)),INDEX(Settings!$AO$14:$AO$60,MATCH($X228,Settings!$AK$14:$AK$60,0))/2,INDEX(Settings!$AM$14:$AM$60,MATCH($X228,Settings!$AK$14:$AK$60,0))/2),"")</f>
        <v/>
      </c>
      <c r="V228" s="162" t="str">
        <f t="shared" ref="V228:V259" si="1343">IFERROR(INDEX(I$164:I$305,MATCH($W228,$J$164:$J$305,0)),"")</f>
        <v/>
      </c>
      <c r="W228" s="75"/>
      <c r="X228" s="937" t="str">
        <f t="shared" si="1332"/>
        <v/>
      </c>
      <c r="Y228" s="31"/>
      <c r="AK228" s="82" t="str">
        <f t="shared" si="1333"/>
        <v>Y</v>
      </c>
      <c r="AL228" s="419" t="s">
        <v>400</v>
      </c>
    </row>
    <row r="229" spans="2:38" x14ac:dyDescent="0.25">
      <c r="B229" s="650"/>
      <c r="C229" s="651"/>
      <c r="D229" s="652"/>
      <c r="E229" s="653"/>
      <c r="F229" s="651"/>
      <c r="G229" s="654"/>
      <c r="H229" s="653"/>
      <c r="I229" s="942"/>
      <c r="J229" s="946"/>
      <c r="K229" s="931" t="str">
        <f>IF($J229="","",IF(IFERROR(INDEX(Settings!$AK$14:$AK$60,MATCH((((ROUND($H229,6)*2)*1000000)+ROUND($I229,6)),Settings!$AI$14:$AI$60,0)),"Undefined")="Undefined","Undefined",IFERROR(INDEX(_xlfn.ANCHORARRAY(Settings!$BC$14),MATCH(IFERROR(INDEX(Settings!$AK$14:$AK$60,MATCH((((ROUND($H229,6)*2)*1000000)+ROUND($I229,6)),Settings!$AI$14:$AI$60,0)),"Undefined"),_xlfn.ANCHORARRAY(Settings!$BC$14),0)),"Inactive")))</f>
        <v/>
      </c>
      <c r="L229" s="683"/>
      <c r="M229" s="934"/>
      <c r="N229" s="31" t="str">
        <f t="shared" ref="N229:N290" si="1344">IF(M229="Y","N","Y")</f>
        <v>Y</v>
      </c>
      <c r="O229" s="162" t="str">
        <f t="shared" si="1338"/>
        <v/>
      </c>
      <c r="P229" s="162" t="str">
        <f t="shared" si="1339"/>
        <v/>
      </c>
      <c r="Q229" s="162" t="str">
        <f t="shared" si="1340"/>
        <v/>
      </c>
      <c r="R229" s="162" t="str">
        <f t="shared" ref="R229:R292" si="1345">IFERROR(IF($L229="Y",-1*INDEX(E$164:E$305,MATCH($W229,$J$164:$J$305,0)),INDEX(E$164:E$305,MATCH($W229,$J$164:$J$305,0))),"")</f>
        <v/>
      </c>
      <c r="S229" s="162" t="str">
        <f t="shared" si="1341"/>
        <v/>
      </c>
      <c r="T229" s="162" t="str">
        <f t="shared" si="1342"/>
        <v/>
      </c>
      <c r="U229" s="162" t="str">
        <f>IFERROR(IF(ISNUMBER(MATCH($X229,Settings!$AK$52:$AK$60,0)),INDEX(Settings!$AO$14:$AO$60,MATCH($X229,Settings!$AK$14:$AK$60,0))/2,INDEX(Settings!$AM$14:$AM$60,MATCH($X229,Settings!$AK$14:$AK$60,0))/2),"")</f>
        <v/>
      </c>
      <c r="V229" s="162" t="str">
        <f t="shared" si="1343"/>
        <v/>
      </c>
      <c r="W229" s="75"/>
      <c r="X229" s="937" t="str">
        <f t="shared" ref="X229:X292" si="1346">IFERROR(INDEX(K$164:K$305,MATCH($W229,$J$164:$J$305,0)),"")</f>
        <v/>
      </c>
      <c r="Y229" s="31"/>
      <c r="AK229" s="82" t="str">
        <f t="shared" ref="AK229:AK256" si="1347">IF(M229="","Y","")</f>
        <v>Y</v>
      </c>
      <c r="AL229" s="419" t="s">
        <v>400</v>
      </c>
    </row>
    <row r="230" spans="2:38" x14ac:dyDescent="0.25">
      <c r="B230" s="650"/>
      <c r="C230" s="651"/>
      <c r="D230" s="652"/>
      <c r="E230" s="653"/>
      <c r="F230" s="651"/>
      <c r="G230" s="654"/>
      <c r="H230" s="653"/>
      <c r="I230" s="942"/>
      <c r="J230" s="946"/>
      <c r="K230" s="931" t="str">
        <f>IF($J230="","",IF(IFERROR(INDEX(Settings!$AK$14:$AK$60,MATCH((((ROUND($H230,6)*2)*1000000)+ROUND($I230,6)),Settings!$AI$14:$AI$60,0)),"Undefined")="Undefined","Undefined",IFERROR(INDEX(_xlfn.ANCHORARRAY(Settings!$BC$14),MATCH(IFERROR(INDEX(Settings!$AK$14:$AK$60,MATCH((((ROUND($H230,6)*2)*1000000)+ROUND($I230,6)),Settings!$AI$14:$AI$60,0)),"Undefined"),_xlfn.ANCHORARRAY(Settings!$BC$14),0)),"Inactive")))</f>
        <v/>
      </c>
      <c r="L230" s="683"/>
      <c r="M230" s="934"/>
      <c r="N230" s="31" t="str">
        <f t="shared" si="1344"/>
        <v>Y</v>
      </c>
      <c r="O230" s="162" t="str">
        <f t="shared" si="1338"/>
        <v/>
      </c>
      <c r="P230" s="162" t="str">
        <f t="shared" si="1339"/>
        <v/>
      </c>
      <c r="Q230" s="162" t="str">
        <f t="shared" si="1340"/>
        <v/>
      </c>
      <c r="R230" s="162" t="str">
        <f t="shared" si="1345"/>
        <v/>
      </c>
      <c r="S230" s="162" t="str">
        <f t="shared" si="1341"/>
        <v/>
      </c>
      <c r="T230" s="162" t="str">
        <f t="shared" si="1342"/>
        <v/>
      </c>
      <c r="U230" s="162" t="str">
        <f>IFERROR(IF(ISNUMBER(MATCH($X230,Settings!$AK$52:$AK$60,0)),INDEX(Settings!$AO$14:$AO$60,MATCH($X230,Settings!$AK$14:$AK$60,0))/2,INDEX(Settings!$AM$14:$AM$60,MATCH($X230,Settings!$AK$14:$AK$60,0))/2),"")</f>
        <v/>
      </c>
      <c r="V230" s="162" t="str">
        <f t="shared" si="1343"/>
        <v/>
      </c>
      <c r="W230" s="75"/>
      <c r="X230" s="937" t="str">
        <f t="shared" si="1346"/>
        <v/>
      </c>
      <c r="Y230" s="31"/>
      <c r="AK230" s="82" t="str">
        <f t="shared" si="1347"/>
        <v>Y</v>
      </c>
      <c r="AL230" s="419" t="s">
        <v>400</v>
      </c>
    </row>
    <row r="231" spans="2:38" x14ac:dyDescent="0.25">
      <c r="B231" s="650"/>
      <c r="C231" s="651"/>
      <c r="D231" s="652"/>
      <c r="E231" s="653"/>
      <c r="F231" s="651"/>
      <c r="G231" s="654"/>
      <c r="H231" s="653"/>
      <c r="I231" s="942"/>
      <c r="J231" s="946"/>
      <c r="K231" s="931" t="str">
        <f>IF($J231="","",IF(IFERROR(INDEX(Settings!$AK$14:$AK$60,MATCH((((ROUND($H231,6)*2)*1000000)+ROUND($I231,6)),Settings!$AI$14:$AI$60,0)),"Undefined")="Undefined","Undefined",IFERROR(INDEX(_xlfn.ANCHORARRAY(Settings!$BC$14),MATCH(IFERROR(INDEX(Settings!$AK$14:$AK$60,MATCH((((ROUND($H231,6)*2)*1000000)+ROUND($I231,6)),Settings!$AI$14:$AI$60,0)),"Undefined"),_xlfn.ANCHORARRAY(Settings!$BC$14),0)),"Inactive")))</f>
        <v/>
      </c>
      <c r="L231" s="683"/>
      <c r="M231" s="934"/>
      <c r="N231" s="31" t="str">
        <f t="shared" si="1344"/>
        <v>Y</v>
      </c>
      <c r="O231" s="162" t="str">
        <f t="shared" si="1338"/>
        <v/>
      </c>
      <c r="P231" s="162" t="str">
        <f t="shared" si="1339"/>
        <v/>
      </c>
      <c r="Q231" s="162" t="str">
        <f t="shared" si="1340"/>
        <v/>
      </c>
      <c r="R231" s="162" t="str">
        <f t="shared" si="1345"/>
        <v/>
      </c>
      <c r="S231" s="162" t="str">
        <f t="shared" si="1341"/>
        <v/>
      </c>
      <c r="T231" s="162" t="str">
        <f t="shared" si="1342"/>
        <v/>
      </c>
      <c r="U231" s="162" t="str">
        <f>IFERROR(IF(ISNUMBER(MATCH($X231,Settings!$AK$52:$AK$60,0)),INDEX(Settings!$AO$14:$AO$60,MATCH($X231,Settings!$AK$14:$AK$60,0))/2,INDEX(Settings!$AM$14:$AM$60,MATCH($X231,Settings!$AK$14:$AK$60,0))/2),"")</f>
        <v/>
      </c>
      <c r="V231" s="162" t="str">
        <f t="shared" si="1343"/>
        <v/>
      </c>
      <c r="W231" s="75"/>
      <c r="X231" s="937" t="str">
        <f t="shared" si="1346"/>
        <v/>
      </c>
      <c r="Y231" s="31"/>
      <c r="AK231" s="82" t="str">
        <f t="shared" si="1347"/>
        <v>Y</v>
      </c>
      <c r="AL231" s="419" t="s">
        <v>400</v>
      </c>
    </row>
    <row r="232" spans="2:38" x14ac:dyDescent="0.25">
      <c r="B232" s="650"/>
      <c r="C232" s="651"/>
      <c r="D232" s="652"/>
      <c r="E232" s="653"/>
      <c r="F232" s="651"/>
      <c r="G232" s="654"/>
      <c r="H232" s="653"/>
      <c r="I232" s="942"/>
      <c r="J232" s="946"/>
      <c r="K232" s="931" t="str">
        <f>IF($J232="","",IF(IFERROR(INDEX(Settings!$AK$14:$AK$60,MATCH((((ROUND($H232,6)*2)*1000000)+ROUND($I232,6)),Settings!$AI$14:$AI$60,0)),"Undefined")="Undefined","Undefined",IFERROR(INDEX(_xlfn.ANCHORARRAY(Settings!$BC$14),MATCH(IFERROR(INDEX(Settings!$AK$14:$AK$60,MATCH((((ROUND($H232,6)*2)*1000000)+ROUND($I232,6)),Settings!$AI$14:$AI$60,0)),"Undefined"),_xlfn.ANCHORARRAY(Settings!$BC$14),0)),"Inactive")))</f>
        <v/>
      </c>
      <c r="L232" s="683"/>
      <c r="M232" s="934"/>
      <c r="N232" s="31" t="str">
        <f t="shared" si="1344"/>
        <v>Y</v>
      </c>
      <c r="O232" s="162" t="str">
        <f t="shared" si="1338"/>
        <v/>
      </c>
      <c r="P232" s="162" t="str">
        <f t="shared" si="1339"/>
        <v/>
      </c>
      <c r="Q232" s="162" t="str">
        <f t="shared" si="1340"/>
        <v/>
      </c>
      <c r="R232" s="162" t="str">
        <f t="shared" si="1345"/>
        <v/>
      </c>
      <c r="S232" s="162" t="str">
        <f t="shared" si="1341"/>
        <v/>
      </c>
      <c r="T232" s="162" t="str">
        <f t="shared" si="1342"/>
        <v/>
      </c>
      <c r="U232" s="162" t="str">
        <f>IFERROR(IF(ISNUMBER(MATCH($X232,Settings!$AK$52:$AK$60,0)),INDEX(Settings!$AO$14:$AO$60,MATCH($X232,Settings!$AK$14:$AK$60,0))/2,INDEX(Settings!$AM$14:$AM$60,MATCH($X232,Settings!$AK$14:$AK$60,0))/2),"")</f>
        <v/>
      </c>
      <c r="V232" s="162" t="str">
        <f t="shared" si="1343"/>
        <v/>
      </c>
      <c r="W232" s="75"/>
      <c r="X232" s="937" t="str">
        <f t="shared" si="1346"/>
        <v/>
      </c>
      <c r="Y232" s="31" t="s">
        <v>9</v>
      </c>
      <c r="AK232" s="82" t="str">
        <f t="shared" si="1347"/>
        <v>Y</v>
      </c>
      <c r="AL232" s="419" t="s">
        <v>400</v>
      </c>
    </row>
    <row r="233" spans="2:38" x14ac:dyDescent="0.25">
      <c r="B233" s="650"/>
      <c r="C233" s="651"/>
      <c r="D233" s="652"/>
      <c r="E233" s="653"/>
      <c r="F233" s="651"/>
      <c r="G233" s="654"/>
      <c r="H233" s="653"/>
      <c r="I233" s="942"/>
      <c r="J233" s="946"/>
      <c r="K233" s="931" t="str">
        <f>IF($J233="","",IF(IFERROR(INDEX(Settings!$AK$14:$AK$60,MATCH((((ROUND($H233,6)*2)*1000000)+ROUND($I233,6)),Settings!$AI$14:$AI$60,0)),"Undefined")="Undefined","Undefined",IFERROR(INDEX(_xlfn.ANCHORARRAY(Settings!$BC$14),MATCH(IFERROR(INDEX(Settings!$AK$14:$AK$60,MATCH((((ROUND($H233,6)*2)*1000000)+ROUND($I233,6)),Settings!$AI$14:$AI$60,0)),"Undefined"),_xlfn.ANCHORARRAY(Settings!$BC$14),0)),"Inactive")))</f>
        <v/>
      </c>
      <c r="L233" s="683"/>
      <c r="M233" s="934"/>
      <c r="N233" s="31" t="str">
        <f t="shared" si="1344"/>
        <v>Y</v>
      </c>
      <c r="O233" s="162" t="str">
        <f t="shared" si="1338"/>
        <v/>
      </c>
      <c r="P233" s="162" t="str">
        <f t="shared" si="1339"/>
        <v/>
      </c>
      <c r="Q233" s="162" t="str">
        <f t="shared" si="1340"/>
        <v/>
      </c>
      <c r="R233" s="162" t="str">
        <f t="shared" si="1345"/>
        <v/>
      </c>
      <c r="S233" s="162" t="str">
        <f t="shared" si="1341"/>
        <v/>
      </c>
      <c r="T233" s="162" t="str">
        <f t="shared" si="1342"/>
        <v/>
      </c>
      <c r="U233" s="162" t="str">
        <f>IFERROR(IF(ISNUMBER(MATCH($X233,Settings!$AK$52:$AK$60,0)),INDEX(Settings!$AO$14:$AO$60,MATCH($X233,Settings!$AK$14:$AK$60,0))/2,INDEX(Settings!$AM$14:$AM$60,MATCH($X233,Settings!$AK$14:$AK$60,0))/2),"")</f>
        <v/>
      </c>
      <c r="V233" s="162" t="str">
        <f t="shared" si="1343"/>
        <v/>
      </c>
      <c r="W233" s="75"/>
      <c r="X233" s="937" t="str">
        <f t="shared" si="1346"/>
        <v/>
      </c>
      <c r="Y233" s="31"/>
      <c r="AK233" s="82" t="str">
        <f t="shared" si="1347"/>
        <v>Y</v>
      </c>
      <c r="AL233" s="419" t="s">
        <v>400</v>
      </c>
    </row>
    <row r="234" spans="2:38" x14ac:dyDescent="0.25">
      <c r="B234" s="650"/>
      <c r="C234" s="651"/>
      <c r="D234" s="652"/>
      <c r="E234" s="653"/>
      <c r="F234" s="651"/>
      <c r="G234" s="654"/>
      <c r="H234" s="653"/>
      <c r="I234" s="942"/>
      <c r="J234" s="946"/>
      <c r="K234" s="931" t="str">
        <f>IF($J234="","",IF(IFERROR(INDEX(Settings!$AK$14:$AK$60,MATCH((((ROUND($H234,6)*2)*1000000)+ROUND($I234,6)),Settings!$AI$14:$AI$60,0)),"Undefined")="Undefined","Undefined",IFERROR(INDEX(_xlfn.ANCHORARRAY(Settings!$BC$14),MATCH(IFERROR(INDEX(Settings!$AK$14:$AK$60,MATCH((((ROUND($H234,6)*2)*1000000)+ROUND($I234,6)),Settings!$AI$14:$AI$60,0)),"Undefined"),_xlfn.ANCHORARRAY(Settings!$BC$14),0)),"Inactive")))</f>
        <v/>
      </c>
      <c r="L234" s="683"/>
      <c r="M234" s="934"/>
      <c r="N234" s="31" t="str">
        <f t="shared" si="1344"/>
        <v>Y</v>
      </c>
      <c r="O234" s="162" t="str">
        <f t="shared" si="1338"/>
        <v/>
      </c>
      <c r="P234" s="162" t="str">
        <f t="shared" si="1339"/>
        <v/>
      </c>
      <c r="Q234" s="162" t="str">
        <f t="shared" si="1340"/>
        <v/>
      </c>
      <c r="R234" s="162" t="str">
        <f t="shared" si="1345"/>
        <v/>
      </c>
      <c r="S234" s="162" t="str">
        <f t="shared" si="1341"/>
        <v/>
      </c>
      <c r="T234" s="162" t="str">
        <f t="shared" si="1342"/>
        <v/>
      </c>
      <c r="U234" s="162" t="str">
        <f>IFERROR(IF(ISNUMBER(MATCH($X234,Settings!$AK$52:$AK$60,0)),INDEX(Settings!$AO$14:$AO$60,MATCH($X234,Settings!$AK$14:$AK$60,0))/2,INDEX(Settings!$AM$14:$AM$60,MATCH($X234,Settings!$AK$14:$AK$60,0))/2),"")</f>
        <v/>
      </c>
      <c r="V234" s="162" t="str">
        <f t="shared" si="1343"/>
        <v/>
      </c>
      <c r="W234" s="75"/>
      <c r="X234" s="937" t="str">
        <f t="shared" si="1346"/>
        <v/>
      </c>
      <c r="Y234" s="31"/>
      <c r="AK234" s="82" t="str">
        <f t="shared" si="1347"/>
        <v>Y</v>
      </c>
      <c r="AL234" s="419" t="s">
        <v>400</v>
      </c>
    </row>
    <row r="235" spans="2:38" x14ac:dyDescent="0.25">
      <c r="B235" s="650"/>
      <c r="C235" s="651"/>
      <c r="D235" s="652"/>
      <c r="E235" s="653"/>
      <c r="F235" s="651"/>
      <c r="G235" s="654"/>
      <c r="H235" s="653"/>
      <c r="I235" s="942"/>
      <c r="J235" s="946"/>
      <c r="K235" s="931" t="str">
        <f>IF($J235="","",IF(IFERROR(INDEX(Settings!$AK$14:$AK$60,MATCH((((ROUND($H235,6)*2)*1000000)+ROUND($I235,6)),Settings!$AI$14:$AI$60,0)),"Undefined")="Undefined","Undefined",IFERROR(INDEX(_xlfn.ANCHORARRAY(Settings!$BC$14),MATCH(IFERROR(INDEX(Settings!$AK$14:$AK$60,MATCH((((ROUND($H235,6)*2)*1000000)+ROUND($I235,6)),Settings!$AI$14:$AI$60,0)),"Undefined"),_xlfn.ANCHORARRAY(Settings!$BC$14),0)),"Inactive")))</f>
        <v/>
      </c>
      <c r="L235" s="683"/>
      <c r="M235" s="934"/>
      <c r="N235" s="31" t="str">
        <f t="shared" si="1344"/>
        <v>Y</v>
      </c>
      <c r="O235" s="162" t="str">
        <f t="shared" si="1338"/>
        <v/>
      </c>
      <c r="P235" s="162" t="str">
        <f t="shared" si="1339"/>
        <v/>
      </c>
      <c r="Q235" s="162" t="str">
        <f t="shared" si="1340"/>
        <v/>
      </c>
      <c r="R235" s="162" t="str">
        <f t="shared" si="1345"/>
        <v/>
      </c>
      <c r="S235" s="162" t="str">
        <f t="shared" si="1341"/>
        <v/>
      </c>
      <c r="T235" s="162" t="str">
        <f t="shared" si="1342"/>
        <v/>
      </c>
      <c r="U235" s="162" t="str">
        <f>IFERROR(IF(ISNUMBER(MATCH($X235,Settings!$AK$52:$AK$60,0)),INDEX(Settings!$AO$14:$AO$60,MATCH($X235,Settings!$AK$14:$AK$60,0))/2,INDEX(Settings!$AM$14:$AM$60,MATCH($X235,Settings!$AK$14:$AK$60,0))/2),"")</f>
        <v/>
      </c>
      <c r="V235" s="162" t="str">
        <f t="shared" si="1343"/>
        <v/>
      </c>
      <c r="W235" s="75"/>
      <c r="X235" s="937" t="str">
        <f t="shared" si="1346"/>
        <v/>
      </c>
      <c r="Y235" s="31"/>
      <c r="AK235" s="82" t="str">
        <f t="shared" si="1347"/>
        <v>Y</v>
      </c>
      <c r="AL235" s="419" t="s">
        <v>400</v>
      </c>
    </row>
    <row r="236" spans="2:38" x14ac:dyDescent="0.25">
      <c r="B236" s="650"/>
      <c r="C236" s="651"/>
      <c r="D236" s="652"/>
      <c r="E236" s="653"/>
      <c r="F236" s="651"/>
      <c r="G236" s="654"/>
      <c r="H236" s="653"/>
      <c r="I236" s="942"/>
      <c r="J236" s="946"/>
      <c r="K236" s="931" t="str">
        <f>IF($J236="","",IF(IFERROR(INDEX(Settings!$AK$14:$AK$60,MATCH((((ROUND($H236,6)*2)*1000000)+ROUND($I236,6)),Settings!$AI$14:$AI$60,0)),"Undefined")="Undefined","Undefined",IFERROR(INDEX(_xlfn.ANCHORARRAY(Settings!$BC$14),MATCH(IFERROR(INDEX(Settings!$AK$14:$AK$60,MATCH((((ROUND($H236,6)*2)*1000000)+ROUND($I236,6)),Settings!$AI$14:$AI$60,0)),"Undefined"),_xlfn.ANCHORARRAY(Settings!$BC$14),0)),"Inactive")))</f>
        <v/>
      </c>
      <c r="L236" s="683"/>
      <c r="M236" s="934"/>
      <c r="N236" s="31" t="str">
        <f t="shared" si="1344"/>
        <v>Y</v>
      </c>
      <c r="O236" s="162" t="str">
        <f t="shared" si="1338"/>
        <v/>
      </c>
      <c r="P236" s="162" t="str">
        <f t="shared" si="1339"/>
        <v/>
      </c>
      <c r="Q236" s="162" t="str">
        <f t="shared" si="1340"/>
        <v/>
      </c>
      <c r="R236" s="162" t="str">
        <f t="shared" si="1345"/>
        <v/>
      </c>
      <c r="S236" s="162" t="str">
        <f t="shared" si="1341"/>
        <v/>
      </c>
      <c r="T236" s="162" t="str">
        <f t="shared" si="1342"/>
        <v/>
      </c>
      <c r="U236" s="162" t="str">
        <f>IFERROR(IF(ISNUMBER(MATCH($X236,Settings!$AK$52:$AK$60,0)),INDEX(Settings!$AO$14:$AO$60,MATCH($X236,Settings!$AK$14:$AK$60,0))/2,INDEX(Settings!$AM$14:$AM$60,MATCH($X236,Settings!$AK$14:$AK$60,0))/2),"")</f>
        <v/>
      </c>
      <c r="V236" s="162" t="str">
        <f t="shared" si="1343"/>
        <v/>
      </c>
      <c r="W236" s="75"/>
      <c r="X236" s="937" t="str">
        <f t="shared" si="1346"/>
        <v/>
      </c>
      <c r="Y236" s="31"/>
      <c r="AK236" s="82" t="str">
        <f t="shared" si="1347"/>
        <v>Y</v>
      </c>
      <c r="AL236" s="419" t="s">
        <v>400</v>
      </c>
    </row>
    <row r="237" spans="2:38" x14ac:dyDescent="0.25">
      <c r="B237" s="650"/>
      <c r="C237" s="651"/>
      <c r="D237" s="652"/>
      <c r="E237" s="653"/>
      <c r="F237" s="651"/>
      <c r="G237" s="654"/>
      <c r="H237" s="653"/>
      <c r="I237" s="942"/>
      <c r="J237" s="946"/>
      <c r="K237" s="931" t="str">
        <f>IF($J237="","",IF(IFERROR(INDEX(Settings!$AK$14:$AK$60,MATCH((((ROUND($H237,6)*2)*1000000)+ROUND($I237,6)),Settings!$AI$14:$AI$60,0)),"Undefined")="Undefined","Undefined",IFERROR(INDEX(_xlfn.ANCHORARRAY(Settings!$BC$14),MATCH(IFERROR(INDEX(Settings!$AK$14:$AK$60,MATCH((((ROUND($H237,6)*2)*1000000)+ROUND($I237,6)),Settings!$AI$14:$AI$60,0)),"Undefined"),_xlfn.ANCHORARRAY(Settings!$BC$14),0)),"Inactive")))</f>
        <v/>
      </c>
      <c r="L237" s="683"/>
      <c r="M237" s="934"/>
      <c r="N237" s="31" t="str">
        <f t="shared" si="1344"/>
        <v>Y</v>
      </c>
      <c r="O237" s="162" t="str">
        <f t="shared" si="1338"/>
        <v/>
      </c>
      <c r="P237" s="162" t="str">
        <f t="shared" si="1339"/>
        <v/>
      </c>
      <c r="Q237" s="162" t="str">
        <f t="shared" si="1340"/>
        <v/>
      </c>
      <c r="R237" s="162" t="str">
        <f t="shared" si="1345"/>
        <v/>
      </c>
      <c r="S237" s="162" t="str">
        <f t="shared" si="1341"/>
        <v/>
      </c>
      <c r="T237" s="162" t="str">
        <f t="shared" si="1342"/>
        <v/>
      </c>
      <c r="U237" s="162" t="str">
        <f>IFERROR(IF(ISNUMBER(MATCH($X237,Settings!$AK$52:$AK$60,0)),INDEX(Settings!$AO$14:$AO$60,MATCH($X237,Settings!$AK$14:$AK$60,0))/2,INDEX(Settings!$AM$14:$AM$60,MATCH($X237,Settings!$AK$14:$AK$60,0))/2),"")</f>
        <v/>
      </c>
      <c r="V237" s="162" t="str">
        <f t="shared" si="1343"/>
        <v/>
      </c>
      <c r="W237" s="75"/>
      <c r="X237" s="937" t="str">
        <f t="shared" si="1346"/>
        <v/>
      </c>
      <c r="Y237" s="31"/>
      <c r="AK237" s="82" t="str">
        <f t="shared" si="1347"/>
        <v>Y</v>
      </c>
      <c r="AL237" s="419" t="s">
        <v>9</v>
      </c>
    </row>
    <row r="238" spans="2:38" x14ac:dyDescent="0.25">
      <c r="B238" s="650"/>
      <c r="C238" s="651"/>
      <c r="D238" s="652"/>
      <c r="E238" s="653"/>
      <c r="F238" s="651"/>
      <c r="G238" s="654"/>
      <c r="H238" s="653"/>
      <c r="I238" s="942"/>
      <c r="J238" s="946"/>
      <c r="K238" s="931" t="str">
        <f>IF($J238="","",IF(IFERROR(INDEX(Settings!$AK$14:$AK$60,MATCH((((ROUND($H238,6)*2)*1000000)+ROUND($I238,6)),Settings!$AI$14:$AI$60,0)),"Undefined")="Undefined","Undefined",IFERROR(INDEX(_xlfn.ANCHORARRAY(Settings!$BC$14),MATCH(IFERROR(INDEX(Settings!$AK$14:$AK$60,MATCH((((ROUND($H238,6)*2)*1000000)+ROUND($I238,6)),Settings!$AI$14:$AI$60,0)),"Undefined"),_xlfn.ANCHORARRAY(Settings!$BC$14),0)),"Inactive")))</f>
        <v/>
      </c>
      <c r="L238" s="683"/>
      <c r="M238" s="934"/>
      <c r="N238" s="31" t="str">
        <f t="shared" si="1344"/>
        <v>Y</v>
      </c>
      <c r="O238" s="162" t="str">
        <f t="shared" si="1338"/>
        <v/>
      </c>
      <c r="P238" s="162" t="str">
        <f t="shared" si="1339"/>
        <v/>
      </c>
      <c r="Q238" s="162" t="str">
        <f t="shared" si="1340"/>
        <v/>
      </c>
      <c r="R238" s="162" t="str">
        <f t="shared" si="1345"/>
        <v/>
      </c>
      <c r="S238" s="162" t="str">
        <f t="shared" si="1341"/>
        <v/>
      </c>
      <c r="T238" s="162" t="str">
        <f t="shared" si="1342"/>
        <v/>
      </c>
      <c r="U238" s="162" t="str">
        <f>IFERROR(IF(ISNUMBER(MATCH($X238,Settings!$AK$52:$AK$60,0)),INDEX(Settings!$AO$14:$AO$60,MATCH($X238,Settings!$AK$14:$AK$60,0))/2,INDEX(Settings!$AM$14:$AM$60,MATCH($X238,Settings!$AK$14:$AK$60,0))/2),"")</f>
        <v/>
      </c>
      <c r="V238" s="162" t="str">
        <f t="shared" si="1343"/>
        <v/>
      </c>
      <c r="W238" s="75"/>
      <c r="X238" s="937" t="str">
        <f t="shared" si="1346"/>
        <v/>
      </c>
      <c r="Y238" s="31"/>
      <c r="AK238" s="82" t="str">
        <f t="shared" si="1347"/>
        <v>Y</v>
      </c>
      <c r="AL238" s="419" t="s">
        <v>9</v>
      </c>
    </row>
    <row r="239" spans="2:38" x14ac:dyDescent="0.25">
      <c r="B239" s="650"/>
      <c r="C239" s="651"/>
      <c r="D239" s="652"/>
      <c r="E239" s="653"/>
      <c r="F239" s="651"/>
      <c r="G239" s="654"/>
      <c r="H239" s="653"/>
      <c r="I239" s="942"/>
      <c r="J239" s="946"/>
      <c r="K239" s="931" t="str">
        <f>IF($J239="","",IF(IFERROR(INDEX(Settings!$AK$14:$AK$60,MATCH((((ROUND($H239,6)*2)*1000000)+ROUND($I239,6)),Settings!$AI$14:$AI$60,0)),"Undefined")="Undefined","Undefined",IFERROR(INDEX(_xlfn.ANCHORARRAY(Settings!$BC$14),MATCH(IFERROR(INDEX(Settings!$AK$14:$AK$60,MATCH((((ROUND($H239,6)*2)*1000000)+ROUND($I239,6)),Settings!$AI$14:$AI$60,0)),"Undefined"),_xlfn.ANCHORARRAY(Settings!$BC$14),0)),"Inactive")))</f>
        <v/>
      </c>
      <c r="L239" s="683"/>
      <c r="M239" s="934"/>
      <c r="N239" s="31" t="str">
        <f t="shared" si="1344"/>
        <v>Y</v>
      </c>
      <c r="O239" s="162" t="str">
        <f t="shared" si="1338"/>
        <v/>
      </c>
      <c r="P239" s="162" t="str">
        <f t="shared" si="1339"/>
        <v/>
      </c>
      <c r="Q239" s="162" t="str">
        <f t="shared" si="1340"/>
        <v/>
      </c>
      <c r="R239" s="162" t="str">
        <f t="shared" si="1345"/>
        <v/>
      </c>
      <c r="S239" s="162" t="str">
        <f t="shared" si="1341"/>
        <v/>
      </c>
      <c r="T239" s="162" t="str">
        <f t="shared" si="1342"/>
        <v/>
      </c>
      <c r="U239" s="162" t="str">
        <f>IFERROR(IF(ISNUMBER(MATCH($X239,Settings!$AK$52:$AK$60,0)),INDEX(Settings!$AO$14:$AO$60,MATCH($X239,Settings!$AK$14:$AK$60,0))/2,INDEX(Settings!$AM$14:$AM$60,MATCH($X239,Settings!$AK$14:$AK$60,0))/2),"")</f>
        <v/>
      </c>
      <c r="V239" s="162" t="str">
        <f t="shared" si="1343"/>
        <v/>
      </c>
      <c r="W239" s="75"/>
      <c r="X239" s="937" t="str">
        <f t="shared" si="1346"/>
        <v/>
      </c>
      <c r="Y239" s="31"/>
      <c r="AK239" s="82" t="str">
        <f t="shared" si="1347"/>
        <v>Y</v>
      </c>
      <c r="AL239" s="419" t="s">
        <v>9</v>
      </c>
    </row>
    <row r="240" spans="2:38" x14ac:dyDescent="0.25">
      <c r="B240" s="650"/>
      <c r="C240" s="651"/>
      <c r="D240" s="652"/>
      <c r="E240" s="653"/>
      <c r="F240" s="651"/>
      <c r="G240" s="654"/>
      <c r="H240" s="653"/>
      <c r="I240" s="942"/>
      <c r="J240" s="946"/>
      <c r="K240" s="931" t="str">
        <f>IF($J240="","",IF(IFERROR(INDEX(Settings!$AK$14:$AK$60,MATCH((((ROUND($H240,6)*2)*1000000)+ROUND($I240,6)),Settings!$AI$14:$AI$60,0)),"Undefined")="Undefined","Undefined",IFERROR(INDEX(_xlfn.ANCHORARRAY(Settings!$BC$14),MATCH(IFERROR(INDEX(Settings!$AK$14:$AK$60,MATCH((((ROUND($H240,6)*2)*1000000)+ROUND($I240,6)),Settings!$AI$14:$AI$60,0)),"Undefined"),_xlfn.ANCHORARRAY(Settings!$BC$14),0)),"Inactive")))</f>
        <v/>
      </c>
      <c r="L240" s="683"/>
      <c r="M240" s="934"/>
      <c r="N240" s="31" t="str">
        <f t="shared" si="1344"/>
        <v>Y</v>
      </c>
      <c r="O240" s="162" t="str">
        <f t="shared" si="1338"/>
        <v/>
      </c>
      <c r="P240" s="162" t="str">
        <f t="shared" si="1339"/>
        <v/>
      </c>
      <c r="Q240" s="162" t="str">
        <f t="shared" si="1340"/>
        <v/>
      </c>
      <c r="R240" s="162" t="str">
        <f t="shared" si="1345"/>
        <v/>
      </c>
      <c r="S240" s="162" t="str">
        <f t="shared" si="1341"/>
        <v/>
      </c>
      <c r="T240" s="162" t="str">
        <f t="shared" si="1342"/>
        <v/>
      </c>
      <c r="U240" s="162" t="str">
        <f>IFERROR(IF(ISNUMBER(MATCH($X240,Settings!$AK$52:$AK$60,0)),INDEX(Settings!$AO$14:$AO$60,MATCH($X240,Settings!$AK$14:$AK$60,0))/2,INDEX(Settings!$AM$14:$AM$60,MATCH($X240,Settings!$AK$14:$AK$60,0))/2),"")</f>
        <v/>
      </c>
      <c r="V240" s="162" t="str">
        <f t="shared" si="1343"/>
        <v/>
      </c>
      <c r="W240" s="75"/>
      <c r="X240" s="937" t="str">
        <f t="shared" si="1346"/>
        <v/>
      </c>
      <c r="Y240" s="31"/>
      <c r="AK240" s="82" t="str">
        <f t="shared" si="1347"/>
        <v>Y</v>
      </c>
      <c r="AL240" s="419" t="s">
        <v>9</v>
      </c>
    </row>
    <row r="241" spans="2:38" x14ac:dyDescent="0.25">
      <c r="B241" s="650"/>
      <c r="C241" s="651"/>
      <c r="D241" s="652"/>
      <c r="E241" s="653"/>
      <c r="F241" s="651"/>
      <c r="G241" s="654"/>
      <c r="H241" s="653"/>
      <c r="I241" s="942"/>
      <c r="J241" s="946"/>
      <c r="K241" s="931" t="str">
        <f>IF($J241="","",IF(IFERROR(INDEX(Settings!$AK$14:$AK$60,MATCH((((ROUND($H241,6)*2)*1000000)+ROUND($I241,6)),Settings!$AI$14:$AI$60,0)),"Undefined")="Undefined","Undefined",IFERROR(INDEX(_xlfn.ANCHORARRAY(Settings!$BC$14),MATCH(IFERROR(INDEX(Settings!$AK$14:$AK$60,MATCH((((ROUND($H241,6)*2)*1000000)+ROUND($I241,6)),Settings!$AI$14:$AI$60,0)),"Undefined"),_xlfn.ANCHORARRAY(Settings!$BC$14),0)),"Inactive")))</f>
        <v/>
      </c>
      <c r="L241" s="683"/>
      <c r="M241" s="934"/>
      <c r="N241" s="31" t="str">
        <f t="shared" si="1344"/>
        <v>Y</v>
      </c>
      <c r="O241" s="162" t="str">
        <f t="shared" si="1338"/>
        <v/>
      </c>
      <c r="P241" s="162" t="str">
        <f t="shared" si="1339"/>
        <v/>
      </c>
      <c r="Q241" s="162" t="str">
        <f t="shared" si="1340"/>
        <v/>
      </c>
      <c r="R241" s="162" t="str">
        <f t="shared" si="1345"/>
        <v/>
      </c>
      <c r="S241" s="162" t="str">
        <f t="shared" si="1341"/>
        <v/>
      </c>
      <c r="T241" s="162" t="str">
        <f t="shared" si="1342"/>
        <v/>
      </c>
      <c r="U241" s="162" t="str">
        <f>IFERROR(IF(ISNUMBER(MATCH($X241,Settings!$AK$52:$AK$60,0)),INDEX(Settings!$AO$14:$AO$60,MATCH($X241,Settings!$AK$14:$AK$60,0))/2,INDEX(Settings!$AM$14:$AM$60,MATCH($X241,Settings!$AK$14:$AK$60,0))/2),"")</f>
        <v/>
      </c>
      <c r="V241" s="162" t="str">
        <f t="shared" si="1343"/>
        <v/>
      </c>
      <c r="W241" s="75"/>
      <c r="X241" s="937" t="str">
        <f t="shared" si="1346"/>
        <v/>
      </c>
      <c r="Y241" s="31"/>
      <c r="AK241" s="82" t="str">
        <f t="shared" si="1347"/>
        <v>Y</v>
      </c>
      <c r="AL241" s="419" t="s">
        <v>9</v>
      </c>
    </row>
    <row r="242" spans="2:38" x14ac:dyDescent="0.25">
      <c r="B242" s="650"/>
      <c r="C242" s="651"/>
      <c r="D242" s="652"/>
      <c r="E242" s="653"/>
      <c r="F242" s="651"/>
      <c r="G242" s="654"/>
      <c r="H242" s="653"/>
      <c r="I242" s="942"/>
      <c r="J242" s="946"/>
      <c r="K242" s="931" t="str">
        <f>IF($J242="","",IF(IFERROR(INDEX(Settings!$AK$14:$AK$60,MATCH((((ROUND($H242,6)*2)*1000000)+ROUND($I242,6)),Settings!$AI$14:$AI$60,0)),"Undefined")="Undefined","Undefined",IFERROR(INDEX(_xlfn.ANCHORARRAY(Settings!$BC$14),MATCH(IFERROR(INDEX(Settings!$AK$14:$AK$60,MATCH((((ROUND($H242,6)*2)*1000000)+ROUND($I242,6)),Settings!$AI$14:$AI$60,0)),"Undefined"),_xlfn.ANCHORARRAY(Settings!$BC$14),0)),"Inactive")))</f>
        <v/>
      </c>
      <c r="L242" s="683"/>
      <c r="M242" s="934"/>
      <c r="N242" s="31" t="str">
        <f t="shared" si="1344"/>
        <v>Y</v>
      </c>
      <c r="O242" s="162" t="str">
        <f t="shared" si="1338"/>
        <v/>
      </c>
      <c r="P242" s="162" t="str">
        <f t="shared" si="1339"/>
        <v/>
      </c>
      <c r="Q242" s="162" t="str">
        <f t="shared" si="1340"/>
        <v/>
      </c>
      <c r="R242" s="162" t="str">
        <f t="shared" si="1345"/>
        <v/>
      </c>
      <c r="S242" s="162" t="str">
        <f t="shared" si="1341"/>
        <v/>
      </c>
      <c r="T242" s="162" t="str">
        <f t="shared" si="1342"/>
        <v/>
      </c>
      <c r="U242" s="162" t="str">
        <f>IFERROR(IF(ISNUMBER(MATCH($X242,Settings!$AK$52:$AK$60,0)),INDEX(Settings!$AO$14:$AO$60,MATCH($X242,Settings!$AK$14:$AK$60,0))/2,INDEX(Settings!$AM$14:$AM$60,MATCH($X242,Settings!$AK$14:$AK$60,0))/2),"")</f>
        <v/>
      </c>
      <c r="V242" s="162" t="str">
        <f t="shared" si="1343"/>
        <v/>
      </c>
      <c r="W242" s="75"/>
      <c r="X242" s="937" t="str">
        <f t="shared" si="1346"/>
        <v/>
      </c>
      <c r="Y242" s="31" t="s">
        <v>9</v>
      </c>
      <c r="AK242" s="82" t="str">
        <f t="shared" si="1347"/>
        <v>Y</v>
      </c>
      <c r="AL242" s="419" t="s">
        <v>9</v>
      </c>
    </row>
    <row r="243" spans="2:38" x14ac:dyDescent="0.25">
      <c r="B243" s="650"/>
      <c r="C243" s="651"/>
      <c r="D243" s="652"/>
      <c r="E243" s="653"/>
      <c r="F243" s="651"/>
      <c r="G243" s="654"/>
      <c r="H243" s="653"/>
      <c r="I243" s="942"/>
      <c r="J243" s="946"/>
      <c r="K243" s="931" t="str">
        <f>IF($J243="","",IF(IFERROR(INDEX(Settings!$AK$14:$AK$60,MATCH((((ROUND($H243,6)*2)*1000000)+ROUND($I243,6)),Settings!$AI$14:$AI$60,0)),"Undefined")="Undefined","Undefined",IFERROR(INDEX(_xlfn.ANCHORARRAY(Settings!$BC$14),MATCH(IFERROR(INDEX(Settings!$AK$14:$AK$60,MATCH((((ROUND($H243,6)*2)*1000000)+ROUND($I243,6)),Settings!$AI$14:$AI$60,0)),"Undefined"),_xlfn.ANCHORARRAY(Settings!$BC$14),0)),"Inactive")))</f>
        <v/>
      </c>
      <c r="L243" s="683"/>
      <c r="M243" s="934"/>
      <c r="N243" s="31" t="str">
        <f t="shared" si="1344"/>
        <v>Y</v>
      </c>
      <c r="O243" s="162" t="str">
        <f t="shared" si="1338"/>
        <v/>
      </c>
      <c r="P243" s="162" t="str">
        <f t="shared" si="1339"/>
        <v/>
      </c>
      <c r="Q243" s="162" t="str">
        <f t="shared" si="1340"/>
        <v/>
      </c>
      <c r="R243" s="162" t="str">
        <f t="shared" si="1345"/>
        <v/>
      </c>
      <c r="S243" s="162" t="str">
        <f t="shared" si="1341"/>
        <v/>
      </c>
      <c r="T243" s="162" t="str">
        <f t="shared" si="1342"/>
        <v/>
      </c>
      <c r="U243" s="162" t="str">
        <f>IFERROR(IF(ISNUMBER(MATCH($X243,Settings!$AK$52:$AK$60,0)),INDEX(Settings!$AO$14:$AO$60,MATCH($X243,Settings!$AK$14:$AK$60,0))/2,INDEX(Settings!$AM$14:$AM$60,MATCH($X243,Settings!$AK$14:$AK$60,0))/2),"")</f>
        <v/>
      </c>
      <c r="V243" s="162" t="str">
        <f t="shared" si="1343"/>
        <v/>
      </c>
      <c r="W243" s="75"/>
      <c r="X243" s="937" t="str">
        <f t="shared" si="1346"/>
        <v/>
      </c>
      <c r="Y243" s="31"/>
      <c r="AK243" s="82" t="str">
        <f t="shared" si="1347"/>
        <v>Y</v>
      </c>
      <c r="AL243" s="419" t="s">
        <v>9</v>
      </c>
    </row>
    <row r="244" spans="2:38" x14ac:dyDescent="0.25">
      <c r="B244" s="650"/>
      <c r="C244" s="651"/>
      <c r="D244" s="652"/>
      <c r="E244" s="653"/>
      <c r="F244" s="651"/>
      <c r="G244" s="654"/>
      <c r="H244" s="653"/>
      <c r="I244" s="942"/>
      <c r="J244" s="946"/>
      <c r="K244" s="931" t="str">
        <f>IF($J244="","",IF(IFERROR(INDEX(Settings!$AK$14:$AK$60,MATCH((((ROUND($H244,6)*2)*1000000)+ROUND($I244,6)),Settings!$AI$14:$AI$60,0)),"Undefined")="Undefined","Undefined",IFERROR(INDEX(_xlfn.ANCHORARRAY(Settings!$BC$14),MATCH(IFERROR(INDEX(Settings!$AK$14:$AK$60,MATCH((((ROUND($H244,6)*2)*1000000)+ROUND($I244,6)),Settings!$AI$14:$AI$60,0)),"Undefined"),_xlfn.ANCHORARRAY(Settings!$BC$14),0)),"Inactive")))</f>
        <v/>
      </c>
      <c r="L244" s="683"/>
      <c r="M244" s="934"/>
      <c r="N244" s="31" t="str">
        <f t="shared" si="1344"/>
        <v>Y</v>
      </c>
      <c r="O244" s="162" t="str">
        <f t="shared" si="1338"/>
        <v/>
      </c>
      <c r="P244" s="162" t="str">
        <f t="shared" si="1339"/>
        <v/>
      </c>
      <c r="Q244" s="162" t="str">
        <f t="shared" si="1340"/>
        <v/>
      </c>
      <c r="R244" s="162" t="str">
        <f t="shared" si="1345"/>
        <v/>
      </c>
      <c r="S244" s="162" t="str">
        <f t="shared" si="1341"/>
        <v/>
      </c>
      <c r="T244" s="162" t="str">
        <f t="shared" si="1342"/>
        <v/>
      </c>
      <c r="U244" s="162" t="str">
        <f>IFERROR(IF(ISNUMBER(MATCH($X244,Settings!$AK$52:$AK$60,0)),INDEX(Settings!$AO$14:$AO$60,MATCH($X244,Settings!$AK$14:$AK$60,0))/2,INDEX(Settings!$AM$14:$AM$60,MATCH($X244,Settings!$AK$14:$AK$60,0))/2),"")</f>
        <v/>
      </c>
      <c r="V244" s="162" t="str">
        <f t="shared" si="1343"/>
        <v/>
      </c>
      <c r="W244" s="75"/>
      <c r="X244" s="937" t="str">
        <f t="shared" si="1346"/>
        <v/>
      </c>
      <c r="Y244" s="31"/>
      <c r="AK244" s="82" t="str">
        <f t="shared" si="1347"/>
        <v>Y</v>
      </c>
      <c r="AL244" s="419" t="s">
        <v>400</v>
      </c>
    </row>
    <row r="245" spans="2:38" x14ac:dyDescent="0.25">
      <c r="B245" s="650"/>
      <c r="C245" s="651"/>
      <c r="D245" s="652"/>
      <c r="E245" s="653"/>
      <c r="F245" s="651"/>
      <c r="G245" s="654"/>
      <c r="H245" s="653"/>
      <c r="I245" s="942"/>
      <c r="J245" s="946"/>
      <c r="K245" s="931" t="str">
        <f>IF($J245="","",IF(IFERROR(INDEX(Settings!$AK$14:$AK$60,MATCH((((ROUND($H245,6)*2)*1000000)+ROUND($I245,6)),Settings!$AI$14:$AI$60,0)),"Undefined")="Undefined","Undefined",IFERROR(INDEX(_xlfn.ANCHORARRAY(Settings!$BC$14),MATCH(IFERROR(INDEX(Settings!$AK$14:$AK$60,MATCH((((ROUND($H245,6)*2)*1000000)+ROUND($I245,6)),Settings!$AI$14:$AI$60,0)),"Undefined"),_xlfn.ANCHORARRAY(Settings!$BC$14),0)),"Inactive")))</f>
        <v/>
      </c>
      <c r="L245" s="683"/>
      <c r="M245" s="934"/>
      <c r="N245" s="31" t="str">
        <f t="shared" si="1344"/>
        <v>Y</v>
      </c>
      <c r="O245" s="162" t="str">
        <f t="shared" si="1338"/>
        <v/>
      </c>
      <c r="P245" s="162" t="str">
        <f t="shared" si="1339"/>
        <v/>
      </c>
      <c r="Q245" s="162" t="str">
        <f t="shared" si="1340"/>
        <v/>
      </c>
      <c r="R245" s="162" t="str">
        <f t="shared" si="1345"/>
        <v/>
      </c>
      <c r="S245" s="162" t="str">
        <f t="shared" si="1341"/>
        <v/>
      </c>
      <c r="T245" s="162" t="str">
        <f t="shared" si="1342"/>
        <v/>
      </c>
      <c r="U245" s="162" t="str">
        <f>IFERROR(IF(ISNUMBER(MATCH($X245,Settings!$AK$52:$AK$60,0)),INDEX(Settings!$AO$14:$AO$60,MATCH($X245,Settings!$AK$14:$AK$60,0))/2,INDEX(Settings!$AM$14:$AM$60,MATCH($X245,Settings!$AK$14:$AK$60,0))/2),"")</f>
        <v/>
      </c>
      <c r="V245" s="162" t="str">
        <f t="shared" si="1343"/>
        <v/>
      </c>
      <c r="W245" s="75"/>
      <c r="X245" s="937" t="str">
        <f t="shared" si="1346"/>
        <v/>
      </c>
      <c r="Y245" s="31"/>
      <c r="AK245" s="82" t="str">
        <f t="shared" si="1347"/>
        <v>Y</v>
      </c>
      <c r="AL245" s="419" t="s">
        <v>400</v>
      </c>
    </row>
    <row r="246" spans="2:38" x14ac:dyDescent="0.25">
      <c r="B246" s="650"/>
      <c r="C246" s="651"/>
      <c r="D246" s="652"/>
      <c r="E246" s="653"/>
      <c r="F246" s="651"/>
      <c r="G246" s="654"/>
      <c r="H246" s="653"/>
      <c r="I246" s="942"/>
      <c r="J246" s="946"/>
      <c r="K246" s="931" t="str">
        <f>IF($J246="","",IF(IFERROR(INDEX(Settings!$AK$14:$AK$60,MATCH((((ROUND($H246,6)*2)*1000000)+ROUND($I246,6)),Settings!$AI$14:$AI$60,0)),"Undefined")="Undefined","Undefined",IFERROR(INDEX(_xlfn.ANCHORARRAY(Settings!$BC$14),MATCH(IFERROR(INDEX(Settings!$AK$14:$AK$60,MATCH((((ROUND($H246,6)*2)*1000000)+ROUND($I246,6)),Settings!$AI$14:$AI$60,0)),"Undefined"),_xlfn.ANCHORARRAY(Settings!$BC$14),0)),"Inactive")))</f>
        <v/>
      </c>
      <c r="L246" s="683"/>
      <c r="M246" s="934"/>
      <c r="N246" s="31" t="str">
        <f t="shared" si="1344"/>
        <v>Y</v>
      </c>
      <c r="O246" s="162" t="str">
        <f t="shared" si="1338"/>
        <v/>
      </c>
      <c r="P246" s="162" t="str">
        <f t="shared" si="1339"/>
        <v/>
      </c>
      <c r="Q246" s="162" t="str">
        <f t="shared" si="1340"/>
        <v/>
      </c>
      <c r="R246" s="162" t="str">
        <f t="shared" si="1345"/>
        <v/>
      </c>
      <c r="S246" s="162" t="str">
        <f t="shared" si="1341"/>
        <v/>
      </c>
      <c r="T246" s="162" t="str">
        <f t="shared" si="1342"/>
        <v/>
      </c>
      <c r="U246" s="162" t="str">
        <f>IFERROR(IF(ISNUMBER(MATCH($X246,Settings!$AK$52:$AK$60,0)),INDEX(Settings!$AO$14:$AO$60,MATCH($X246,Settings!$AK$14:$AK$60,0))/2,INDEX(Settings!$AM$14:$AM$60,MATCH($X246,Settings!$AK$14:$AK$60,0))/2),"")</f>
        <v/>
      </c>
      <c r="V246" s="162" t="str">
        <f t="shared" si="1343"/>
        <v/>
      </c>
      <c r="W246" s="75"/>
      <c r="X246" s="937" t="str">
        <f t="shared" si="1346"/>
        <v/>
      </c>
      <c r="Y246" s="31"/>
      <c r="AK246" s="82" t="str">
        <f t="shared" si="1347"/>
        <v>Y</v>
      </c>
      <c r="AL246" s="419" t="s">
        <v>400</v>
      </c>
    </row>
    <row r="247" spans="2:38" x14ac:dyDescent="0.25">
      <c r="B247" s="650"/>
      <c r="C247" s="651"/>
      <c r="D247" s="652"/>
      <c r="E247" s="653"/>
      <c r="F247" s="651"/>
      <c r="G247" s="654"/>
      <c r="H247" s="653"/>
      <c r="I247" s="942"/>
      <c r="J247" s="946"/>
      <c r="K247" s="931" t="str">
        <f>IF($J247="","",IF(IFERROR(INDEX(Settings!$AK$14:$AK$60,MATCH((((ROUND($H247,6)*2)*1000000)+ROUND($I247,6)),Settings!$AI$14:$AI$60,0)),"Undefined")="Undefined","Undefined",IFERROR(INDEX(_xlfn.ANCHORARRAY(Settings!$BC$14),MATCH(IFERROR(INDEX(Settings!$AK$14:$AK$60,MATCH((((ROUND($H247,6)*2)*1000000)+ROUND($I247,6)),Settings!$AI$14:$AI$60,0)),"Undefined"),_xlfn.ANCHORARRAY(Settings!$BC$14),0)),"Inactive")))</f>
        <v/>
      </c>
      <c r="L247" s="683"/>
      <c r="M247" s="934"/>
      <c r="N247" s="31" t="str">
        <f t="shared" si="1344"/>
        <v>Y</v>
      </c>
      <c r="O247" s="162" t="str">
        <f t="shared" si="1338"/>
        <v/>
      </c>
      <c r="P247" s="162" t="str">
        <f t="shared" si="1339"/>
        <v/>
      </c>
      <c r="Q247" s="162" t="str">
        <f t="shared" si="1340"/>
        <v/>
      </c>
      <c r="R247" s="162" t="str">
        <f t="shared" si="1345"/>
        <v/>
      </c>
      <c r="S247" s="162" t="str">
        <f t="shared" si="1341"/>
        <v/>
      </c>
      <c r="T247" s="162" t="str">
        <f t="shared" si="1342"/>
        <v/>
      </c>
      <c r="U247" s="162" t="str">
        <f>IFERROR(IF(ISNUMBER(MATCH($X247,Settings!$AK$52:$AK$60,0)),INDEX(Settings!$AO$14:$AO$60,MATCH($X247,Settings!$AK$14:$AK$60,0))/2,INDEX(Settings!$AM$14:$AM$60,MATCH($X247,Settings!$AK$14:$AK$60,0))/2),"")</f>
        <v/>
      </c>
      <c r="V247" s="162" t="str">
        <f t="shared" si="1343"/>
        <v/>
      </c>
      <c r="W247" s="75"/>
      <c r="X247" s="937" t="str">
        <f t="shared" si="1346"/>
        <v/>
      </c>
      <c r="Y247" s="31"/>
      <c r="AK247" s="82" t="str">
        <f t="shared" si="1347"/>
        <v>Y</v>
      </c>
      <c r="AL247" s="419" t="s">
        <v>400</v>
      </c>
    </row>
    <row r="248" spans="2:38" x14ac:dyDescent="0.25">
      <c r="B248" s="650"/>
      <c r="C248" s="651"/>
      <c r="D248" s="652"/>
      <c r="E248" s="653"/>
      <c r="F248" s="651"/>
      <c r="G248" s="654"/>
      <c r="H248" s="653"/>
      <c r="I248" s="942"/>
      <c r="J248" s="946"/>
      <c r="K248" s="931" t="str">
        <f>IF($J248="","",IF(IFERROR(INDEX(Settings!$AK$14:$AK$60,MATCH((((ROUND($H248,6)*2)*1000000)+ROUND($I248,6)),Settings!$AI$14:$AI$60,0)),"Undefined")="Undefined","Undefined",IFERROR(INDEX(_xlfn.ANCHORARRAY(Settings!$BC$14),MATCH(IFERROR(INDEX(Settings!$AK$14:$AK$60,MATCH((((ROUND($H248,6)*2)*1000000)+ROUND($I248,6)),Settings!$AI$14:$AI$60,0)),"Undefined"),_xlfn.ANCHORARRAY(Settings!$BC$14),0)),"Inactive")))</f>
        <v/>
      </c>
      <c r="L248" s="683"/>
      <c r="M248" s="934"/>
      <c r="N248" s="31" t="str">
        <f t="shared" si="1344"/>
        <v>Y</v>
      </c>
      <c r="O248" s="162" t="str">
        <f t="shared" si="1338"/>
        <v/>
      </c>
      <c r="P248" s="162" t="str">
        <f t="shared" si="1339"/>
        <v/>
      </c>
      <c r="Q248" s="162" t="str">
        <f t="shared" si="1340"/>
        <v/>
      </c>
      <c r="R248" s="162" t="str">
        <f t="shared" si="1345"/>
        <v/>
      </c>
      <c r="S248" s="162" t="str">
        <f t="shared" si="1341"/>
        <v/>
      </c>
      <c r="T248" s="162" t="str">
        <f t="shared" si="1342"/>
        <v/>
      </c>
      <c r="U248" s="162" t="str">
        <f>IFERROR(IF(ISNUMBER(MATCH($X248,Settings!$AK$52:$AK$60,0)),INDEX(Settings!$AO$14:$AO$60,MATCH($X248,Settings!$AK$14:$AK$60,0))/2,INDEX(Settings!$AM$14:$AM$60,MATCH($X248,Settings!$AK$14:$AK$60,0))/2),"")</f>
        <v/>
      </c>
      <c r="V248" s="162" t="str">
        <f t="shared" si="1343"/>
        <v/>
      </c>
      <c r="W248" s="75"/>
      <c r="X248" s="937" t="str">
        <f t="shared" si="1346"/>
        <v/>
      </c>
      <c r="Y248" s="31"/>
      <c r="AK248" s="82" t="str">
        <f t="shared" si="1347"/>
        <v>Y</v>
      </c>
      <c r="AL248" s="419" t="s">
        <v>400</v>
      </c>
    </row>
    <row r="249" spans="2:38" x14ac:dyDescent="0.25">
      <c r="B249" s="650"/>
      <c r="C249" s="651"/>
      <c r="D249" s="652"/>
      <c r="E249" s="653"/>
      <c r="F249" s="651"/>
      <c r="G249" s="654"/>
      <c r="H249" s="653"/>
      <c r="I249" s="942"/>
      <c r="J249" s="946"/>
      <c r="K249" s="931" t="str">
        <f>IF($J249="","",IF(IFERROR(INDEX(Settings!$AK$14:$AK$60,MATCH((((ROUND($H249,6)*2)*1000000)+ROUND($I249,6)),Settings!$AI$14:$AI$60,0)),"Undefined")="Undefined","Undefined",IFERROR(INDEX(_xlfn.ANCHORARRAY(Settings!$BC$14),MATCH(IFERROR(INDEX(Settings!$AK$14:$AK$60,MATCH((((ROUND($H249,6)*2)*1000000)+ROUND($I249,6)),Settings!$AI$14:$AI$60,0)),"Undefined"),_xlfn.ANCHORARRAY(Settings!$BC$14),0)),"Inactive")))</f>
        <v/>
      </c>
      <c r="L249" s="683"/>
      <c r="M249" s="934"/>
      <c r="N249" s="31" t="str">
        <f t="shared" si="1344"/>
        <v>Y</v>
      </c>
      <c r="O249" s="162" t="str">
        <f t="shared" si="1338"/>
        <v/>
      </c>
      <c r="P249" s="162" t="str">
        <f t="shared" si="1339"/>
        <v/>
      </c>
      <c r="Q249" s="162" t="str">
        <f t="shared" si="1340"/>
        <v/>
      </c>
      <c r="R249" s="162" t="str">
        <f t="shared" si="1345"/>
        <v/>
      </c>
      <c r="S249" s="162" t="str">
        <f t="shared" si="1341"/>
        <v/>
      </c>
      <c r="T249" s="162" t="str">
        <f t="shared" si="1342"/>
        <v/>
      </c>
      <c r="U249" s="162" t="str">
        <f>IFERROR(IF(ISNUMBER(MATCH($X249,Settings!$AK$52:$AK$60,0)),INDEX(Settings!$AO$14:$AO$60,MATCH($X249,Settings!$AK$14:$AK$60,0))/2,INDEX(Settings!$AM$14:$AM$60,MATCH($X249,Settings!$AK$14:$AK$60,0))/2),"")</f>
        <v/>
      </c>
      <c r="V249" s="162" t="str">
        <f t="shared" si="1343"/>
        <v/>
      </c>
      <c r="W249" s="75"/>
      <c r="X249" s="937" t="str">
        <f t="shared" si="1346"/>
        <v/>
      </c>
      <c r="Y249" s="31"/>
      <c r="AK249" s="82" t="str">
        <f t="shared" si="1347"/>
        <v>Y</v>
      </c>
      <c r="AL249" s="419" t="s">
        <v>400</v>
      </c>
    </row>
    <row r="250" spans="2:38" x14ac:dyDescent="0.25">
      <c r="B250" s="650"/>
      <c r="C250" s="651"/>
      <c r="D250" s="652"/>
      <c r="E250" s="653"/>
      <c r="F250" s="651"/>
      <c r="G250" s="654"/>
      <c r="H250" s="653"/>
      <c r="I250" s="942"/>
      <c r="J250" s="946"/>
      <c r="K250" s="931" t="str">
        <f>IF($J250="","",IF(IFERROR(INDEX(Settings!$AK$14:$AK$60,MATCH((((ROUND($H250,6)*2)*1000000)+ROUND($I250,6)),Settings!$AI$14:$AI$60,0)),"Undefined")="Undefined","Undefined",IFERROR(INDEX(_xlfn.ANCHORARRAY(Settings!$BC$14),MATCH(IFERROR(INDEX(Settings!$AK$14:$AK$60,MATCH((((ROUND($H250,6)*2)*1000000)+ROUND($I250,6)),Settings!$AI$14:$AI$60,0)),"Undefined"),_xlfn.ANCHORARRAY(Settings!$BC$14),0)),"Inactive")))</f>
        <v/>
      </c>
      <c r="L250" s="683"/>
      <c r="M250" s="934"/>
      <c r="N250" s="31" t="str">
        <f t="shared" si="1344"/>
        <v>Y</v>
      </c>
      <c r="O250" s="162" t="str">
        <f t="shared" si="1338"/>
        <v/>
      </c>
      <c r="P250" s="162" t="str">
        <f t="shared" si="1339"/>
        <v/>
      </c>
      <c r="Q250" s="162" t="str">
        <f t="shared" si="1340"/>
        <v/>
      </c>
      <c r="R250" s="162" t="str">
        <f t="shared" si="1345"/>
        <v/>
      </c>
      <c r="S250" s="162" t="str">
        <f t="shared" si="1341"/>
        <v/>
      </c>
      <c r="T250" s="162" t="str">
        <f t="shared" si="1342"/>
        <v/>
      </c>
      <c r="U250" s="162" t="str">
        <f>IFERROR(IF(ISNUMBER(MATCH($X250,Settings!$AK$52:$AK$60,0)),INDEX(Settings!$AO$14:$AO$60,MATCH($X250,Settings!$AK$14:$AK$60,0))/2,INDEX(Settings!$AM$14:$AM$60,MATCH($X250,Settings!$AK$14:$AK$60,0))/2),"")</f>
        <v/>
      </c>
      <c r="V250" s="162" t="str">
        <f t="shared" si="1343"/>
        <v/>
      </c>
      <c r="W250" s="75"/>
      <c r="X250" s="937" t="str">
        <f t="shared" si="1346"/>
        <v/>
      </c>
      <c r="Y250" s="31"/>
      <c r="AK250" s="82" t="str">
        <f t="shared" si="1347"/>
        <v>Y</v>
      </c>
      <c r="AL250" s="419" t="s">
        <v>400</v>
      </c>
    </row>
    <row r="251" spans="2:38" x14ac:dyDescent="0.25">
      <c r="B251" s="650"/>
      <c r="C251" s="651"/>
      <c r="D251" s="652"/>
      <c r="E251" s="653"/>
      <c r="F251" s="651"/>
      <c r="G251" s="654"/>
      <c r="H251" s="653"/>
      <c r="I251" s="942"/>
      <c r="J251" s="946"/>
      <c r="K251" s="931" t="str">
        <f>IF($J251="","",IF(IFERROR(INDEX(Settings!$AK$14:$AK$60,MATCH((((ROUND($H251,6)*2)*1000000)+ROUND($I251,6)),Settings!$AI$14:$AI$60,0)),"Undefined")="Undefined","Undefined",IFERROR(INDEX(_xlfn.ANCHORARRAY(Settings!$BC$14),MATCH(IFERROR(INDEX(Settings!$AK$14:$AK$60,MATCH((((ROUND($H251,6)*2)*1000000)+ROUND($I251,6)),Settings!$AI$14:$AI$60,0)),"Undefined"),_xlfn.ANCHORARRAY(Settings!$BC$14),0)),"Inactive")))</f>
        <v/>
      </c>
      <c r="L251" s="683"/>
      <c r="M251" s="934"/>
      <c r="N251" s="31" t="str">
        <f t="shared" si="1344"/>
        <v>Y</v>
      </c>
      <c r="O251" s="162" t="str">
        <f t="shared" si="1338"/>
        <v/>
      </c>
      <c r="P251" s="162" t="str">
        <f t="shared" si="1339"/>
        <v/>
      </c>
      <c r="Q251" s="162" t="str">
        <f t="shared" si="1340"/>
        <v/>
      </c>
      <c r="R251" s="162" t="str">
        <f t="shared" si="1345"/>
        <v/>
      </c>
      <c r="S251" s="162" t="str">
        <f t="shared" si="1341"/>
        <v/>
      </c>
      <c r="T251" s="162" t="str">
        <f t="shared" si="1342"/>
        <v/>
      </c>
      <c r="U251" s="162" t="str">
        <f>IFERROR(IF(ISNUMBER(MATCH($X251,Settings!$AK$52:$AK$60,0)),INDEX(Settings!$AO$14:$AO$60,MATCH($X251,Settings!$AK$14:$AK$60,0))/2,INDEX(Settings!$AM$14:$AM$60,MATCH($X251,Settings!$AK$14:$AK$60,0))/2),"")</f>
        <v/>
      </c>
      <c r="V251" s="162" t="str">
        <f t="shared" si="1343"/>
        <v/>
      </c>
      <c r="W251" s="75"/>
      <c r="X251" s="937" t="str">
        <f t="shared" si="1346"/>
        <v/>
      </c>
      <c r="Y251" s="31"/>
      <c r="AK251" s="82" t="str">
        <f t="shared" si="1347"/>
        <v>Y</v>
      </c>
      <c r="AL251" s="419" t="s">
        <v>400</v>
      </c>
    </row>
    <row r="252" spans="2:38" x14ac:dyDescent="0.25">
      <c r="B252" s="650"/>
      <c r="C252" s="651"/>
      <c r="D252" s="652"/>
      <c r="E252" s="653"/>
      <c r="F252" s="651"/>
      <c r="G252" s="654"/>
      <c r="H252" s="653"/>
      <c r="I252" s="942"/>
      <c r="J252" s="946"/>
      <c r="K252" s="931" t="str">
        <f>IF($J252="","",IF(IFERROR(INDEX(Settings!$AK$14:$AK$60,MATCH((((ROUND($H252,6)*2)*1000000)+ROUND($I252,6)),Settings!$AI$14:$AI$60,0)),"Undefined")="Undefined","Undefined",IFERROR(INDEX(_xlfn.ANCHORARRAY(Settings!$BC$14),MATCH(IFERROR(INDEX(Settings!$AK$14:$AK$60,MATCH((((ROUND($H252,6)*2)*1000000)+ROUND($I252,6)),Settings!$AI$14:$AI$60,0)),"Undefined"),_xlfn.ANCHORARRAY(Settings!$BC$14),0)),"Inactive")))</f>
        <v/>
      </c>
      <c r="L252" s="683"/>
      <c r="M252" s="934"/>
      <c r="N252" s="31" t="str">
        <f t="shared" si="1344"/>
        <v>Y</v>
      </c>
      <c r="O252" s="162" t="str">
        <f t="shared" si="1338"/>
        <v/>
      </c>
      <c r="P252" s="162" t="str">
        <f t="shared" si="1339"/>
        <v/>
      </c>
      <c r="Q252" s="162" t="str">
        <f t="shared" si="1340"/>
        <v/>
      </c>
      <c r="R252" s="162" t="str">
        <f t="shared" si="1345"/>
        <v/>
      </c>
      <c r="S252" s="162" t="str">
        <f t="shared" si="1341"/>
        <v/>
      </c>
      <c r="T252" s="162" t="str">
        <f t="shared" si="1342"/>
        <v/>
      </c>
      <c r="U252" s="162" t="str">
        <f>IFERROR(IF(ISNUMBER(MATCH($X252,Settings!$AK$52:$AK$60,0)),INDEX(Settings!$AO$14:$AO$60,MATCH($X252,Settings!$AK$14:$AK$60,0))/2,INDEX(Settings!$AM$14:$AM$60,MATCH($X252,Settings!$AK$14:$AK$60,0))/2),"")</f>
        <v/>
      </c>
      <c r="V252" s="162" t="str">
        <f t="shared" si="1343"/>
        <v/>
      </c>
      <c r="W252" s="75"/>
      <c r="X252" s="937" t="str">
        <f t="shared" si="1346"/>
        <v/>
      </c>
      <c r="Y252" s="31"/>
      <c r="AK252" s="82" t="str">
        <f t="shared" si="1347"/>
        <v>Y</v>
      </c>
      <c r="AL252" s="419" t="s">
        <v>9</v>
      </c>
    </row>
    <row r="253" spans="2:38" x14ac:dyDescent="0.25">
      <c r="B253" s="650"/>
      <c r="C253" s="651"/>
      <c r="D253" s="652"/>
      <c r="E253" s="653"/>
      <c r="F253" s="651"/>
      <c r="G253" s="654"/>
      <c r="H253" s="653"/>
      <c r="I253" s="942"/>
      <c r="J253" s="946"/>
      <c r="K253" s="931" t="str">
        <f>IF($J253="","",IF(IFERROR(INDEX(Settings!$AK$14:$AK$60,MATCH((((ROUND($H253,6)*2)*1000000)+ROUND($I253,6)),Settings!$AI$14:$AI$60,0)),"Undefined")="Undefined","Undefined",IFERROR(INDEX(_xlfn.ANCHORARRAY(Settings!$BC$14),MATCH(IFERROR(INDEX(Settings!$AK$14:$AK$60,MATCH((((ROUND($H253,6)*2)*1000000)+ROUND($I253,6)),Settings!$AI$14:$AI$60,0)),"Undefined"),_xlfn.ANCHORARRAY(Settings!$BC$14),0)),"Inactive")))</f>
        <v/>
      </c>
      <c r="L253" s="683"/>
      <c r="M253" s="934"/>
      <c r="N253" s="31" t="str">
        <f t="shared" si="1344"/>
        <v>Y</v>
      </c>
      <c r="O253" s="162" t="str">
        <f t="shared" si="1338"/>
        <v/>
      </c>
      <c r="P253" s="162" t="str">
        <f t="shared" si="1339"/>
        <v/>
      </c>
      <c r="Q253" s="162" t="str">
        <f t="shared" si="1340"/>
        <v/>
      </c>
      <c r="R253" s="162" t="str">
        <f t="shared" si="1345"/>
        <v/>
      </c>
      <c r="S253" s="162" t="str">
        <f t="shared" si="1341"/>
        <v/>
      </c>
      <c r="T253" s="162" t="str">
        <f t="shared" si="1342"/>
        <v/>
      </c>
      <c r="U253" s="162" t="str">
        <f>IFERROR(IF(ISNUMBER(MATCH($X253,Settings!$AK$52:$AK$60,0)),INDEX(Settings!$AO$14:$AO$60,MATCH($X253,Settings!$AK$14:$AK$60,0))/2,INDEX(Settings!$AM$14:$AM$60,MATCH($X253,Settings!$AK$14:$AK$60,0))/2),"")</f>
        <v/>
      </c>
      <c r="V253" s="162" t="str">
        <f t="shared" si="1343"/>
        <v/>
      </c>
      <c r="W253" s="75"/>
      <c r="X253" s="937" t="str">
        <f t="shared" si="1346"/>
        <v/>
      </c>
      <c r="Y253" s="31"/>
      <c r="AK253" s="82" t="str">
        <f t="shared" si="1347"/>
        <v>Y</v>
      </c>
      <c r="AL253" s="419" t="s">
        <v>9</v>
      </c>
    </row>
    <row r="254" spans="2:38" x14ac:dyDescent="0.25">
      <c r="B254" s="650"/>
      <c r="C254" s="651"/>
      <c r="D254" s="652"/>
      <c r="E254" s="653"/>
      <c r="F254" s="651"/>
      <c r="G254" s="654"/>
      <c r="H254" s="653"/>
      <c r="I254" s="942"/>
      <c r="J254" s="946"/>
      <c r="K254" s="931" t="str">
        <f>IF($J254="","",IF(IFERROR(INDEX(Settings!$AK$14:$AK$60,MATCH((((ROUND($H254,6)*2)*1000000)+ROUND($I254,6)),Settings!$AI$14:$AI$60,0)),"Undefined")="Undefined","Undefined",IFERROR(INDEX(_xlfn.ANCHORARRAY(Settings!$BC$14),MATCH(IFERROR(INDEX(Settings!$AK$14:$AK$60,MATCH((((ROUND($H254,6)*2)*1000000)+ROUND($I254,6)),Settings!$AI$14:$AI$60,0)),"Undefined"),_xlfn.ANCHORARRAY(Settings!$BC$14),0)),"Inactive")))</f>
        <v/>
      </c>
      <c r="L254" s="683"/>
      <c r="M254" s="934"/>
      <c r="N254" s="31" t="str">
        <f t="shared" si="1344"/>
        <v>Y</v>
      </c>
      <c r="O254" s="162" t="str">
        <f t="shared" si="1338"/>
        <v/>
      </c>
      <c r="P254" s="162" t="str">
        <f t="shared" si="1339"/>
        <v/>
      </c>
      <c r="Q254" s="162" t="str">
        <f t="shared" si="1340"/>
        <v/>
      </c>
      <c r="R254" s="162" t="str">
        <f t="shared" si="1345"/>
        <v/>
      </c>
      <c r="S254" s="162" t="str">
        <f t="shared" si="1341"/>
        <v/>
      </c>
      <c r="T254" s="162" t="str">
        <f t="shared" si="1342"/>
        <v/>
      </c>
      <c r="U254" s="162" t="str">
        <f>IFERROR(IF(ISNUMBER(MATCH($X254,Settings!$AK$52:$AK$60,0)),INDEX(Settings!$AO$14:$AO$60,MATCH($X254,Settings!$AK$14:$AK$60,0))/2,INDEX(Settings!$AM$14:$AM$60,MATCH($X254,Settings!$AK$14:$AK$60,0))/2),"")</f>
        <v/>
      </c>
      <c r="V254" s="162" t="str">
        <f t="shared" si="1343"/>
        <v/>
      </c>
      <c r="W254" s="75"/>
      <c r="X254" s="937" t="str">
        <f t="shared" si="1346"/>
        <v/>
      </c>
      <c r="Y254" s="31"/>
      <c r="AK254" s="82" t="str">
        <f t="shared" si="1347"/>
        <v>Y</v>
      </c>
      <c r="AL254" s="419" t="s">
        <v>9</v>
      </c>
    </row>
    <row r="255" spans="2:38" x14ac:dyDescent="0.25">
      <c r="B255" s="650"/>
      <c r="C255" s="651"/>
      <c r="D255" s="652"/>
      <c r="E255" s="653"/>
      <c r="F255" s="651"/>
      <c r="G255" s="654"/>
      <c r="H255" s="653"/>
      <c r="I255" s="942"/>
      <c r="J255" s="946"/>
      <c r="K255" s="931" t="str">
        <f>IF($J255="","",IF(IFERROR(INDEX(Settings!$AK$14:$AK$60,MATCH((((ROUND($H255,6)*2)*1000000)+ROUND($I255,6)),Settings!$AI$14:$AI$60,0)),"Undefined")="Undefined","Undefined",IFERROR(INDEX(_xlfn.ANCHORARRAY(Settings!$BC$14),MATCH(IFERROR(INDEX(Settings!$AK$14:$AK$60,MATCH((((ROUND($H255,6)*2)*1000000)+ROUND($I255,6)),Settings!$AI$14:$AI$60,0)),"Undefined"),_xlfn.ANCHORARRAY(Settings!$BC$14),0)),"Inactive")))</f>
        <v/>
      </c>
      <c r="L255" s="683"/>
      <c r="M255" s="934"/>
      <c r="N255" s="31" t="str">
        <f t="shared" si="1344"/>
        <v>Y</v>
      </c>
      <c r="O255" s="162" t="str">
        <f t="shared" si="1338"/>
        <v/>
      </c>
      <c r="P255" s="162" t="str">
        <f t="shared" si="1339"/>
        <v/>
      </c>
      <c r="Q255" s="162" t="str">
        <f t="shared" si="1340"/>
        <v/>
      </c>
      <c r="R255" s="162" t="str">
        <f t="shared" si="1345"/>
        <v/>
      </c>
      <c r="S255" s="162" t="str">
        <f t="shared" si="1341"/>
        <v/>
      </c>
      <c r="T255" s="162" t="str">
        <f t="shared" si="1342"/>
        <v/>
      </c>
      <c r="U255" s="162" t="str">
        <f>IFERROR(IF(ISNUMBER(MATCH($X255,Settings!$AK$52:$AK$60,0)),INDEX(Settings!$AO$14:$AO$60,MATCH($X255,Settings!$AK$14:$AK$60,0))/2,INDEX(Settings!$AM$14:$AM$60,MATCH($X255,Settings!$AK$14:$AK$60,0))/2),"")</f>
        <v/>
      </c>
      <c r="V255" s="162" t="str">
        <f t="shared" si="1343"/>
        <v/>
      </c>
      <c r="W255" s="75"/>
      <c r="X255" s="937" t="str">
        <f t="shared" si="1346"/>
        <v/>
      </c>
      <c r="Y255" s="31"/>
      <c r="AK255" s="82" t="str">
        <f t="shared" si="1347"/>
        <v>Y</v>
      </c>
      <c r="AL255" s="419" t="s">
        <v>9</v>
      </c>
    </row>
    <row r="256" spans="2:38" x14ac:dyDescent="0.25">
      <c r="B256" s="650"/>
      <c r="C256" s="651"/>
      <c r="D256" s="652"/>
      <c r="E256" s="653"/>
      <c r="F256" s="651"/>
      <c r="G256" s="654"/>
      <c r="H256" s="653"/>
      <c r="I256" s="942"/>
      <c r="J256" s="946"/>
      <c r="K256" s="931" t="str">
        <f>IF($J256="","",IF(IFERROR(INDEX(Settings!$AK$14:$AK$60,MATCH((((ROUND($H256,6)*2)*1000000)+ROUND($I256,6)),Settings!$AI$14:$AI$60,0)),"Undefined")="Undefined","Undefined",IFERROR(INDEX(_xlfn.ANCHORARRAY(Settings!$BC$14),MATCH(IFERROR(INDEX(Settings!$AK$14:$AK$60,MATCH((((ROUND($H256,6)*2)*1000000)+ROUND($I256,6)),Settings!$AI$14:$AI$60,0)),"Undefined"),_xlfn.ANCHORARRAY(Settings!$BC$14),0)),"Inactive")))</f>
        <v/>
      </c>
      <c r="L256" s="683"/>
      <c r="M256" s="934"/>
      <c r="N256" s="31" t="str">
        <f t="shared" si="1344"/>
        <v>Y</v>
      </c>
      <c r="O256" s="162" t="str">
        <f t="shared" si="1338"/>
        <v/>
      </c>
      <c r="P256" s="162" t="str">
        <f t="shared" si="1339"/>
        <v/>
      </c>
      <c r="Q256" s="162" t="str">
        <f t="shared" si="1340"/>
        <v/>
      </c>
      <c r="R256" s="162" t="str">
        <f t="shared" si="1345"/>
        <v/>
      </c>
      <c r="S256" s="162" t="str">
        <f t="shared" si="1341"/>
        <v/>
      </c>
      <c r="T256" s="162" t="str">
        <f t="shared" si="1342"/>
        <v/>
      </c>
      <c r="U256" s="162" t="str">
        <f>IFERROR(IF(ISNUMBER(MATCH($X256,Settings!$AK$52:$AK$60,0)),INDEX(Settings!$AO$14:$AO$60,MATCH($X256,Settings!$AK$14:$AK$60,0))/2,INDEX(Settings!$AM$14:$AM$60,MATCH($X256,Settings!$AK$14:$AK$60,0))/2),"")</f>
        <v/>
      </c>
      <c r="V256" s="162" t="str">
        <f t="shared" si="1343"/>
        <v/>
      </c>
      <c r="W256" s="75"/>
      <c r="X256" s="937" t="str">
        <f t="shared" si="1346"/>
        <v/>
      </c>
      <c r="Y256" s="31"/>
      <c r="AK256" s="82" t="str">
        <f t="shared" si="1347"/>
        <v>Y</v>
      </c>
      <c r="AL256" s="419" t="s">
        <v>9</v>
      </c>
    </row>
    <row r="257" spans="2:25" x14ac:dyDescent="0.25">
      <c r="B257" s="650"/>
      <c r="C257" s="651"/>
      <c r="D257" s="652"/>
      <c r="E257" s="653"/>
      <c r="F257" s="651"/>
      <c r="G257" s="654"/>
      <c r="H257" s="653"/>
      <c r="I257" s="942"/>
      <c r="J257" s="946"/>
      <c r="K257" s="931" t="str">
        <f>IF($J257="","",IF(IFERROR(INDEX(Settings!$AK$14:$AK$60,MATCH((((ROUND($H257,6)*2)*1000000)+ROUND($I257,6)),Settings!$AI$14:$AI$60,0)),"Undefined")="Undefined","Undefined",IFERROR(INDEX(_xlfn.ANCHORARRAY(Settings!$BC$14),MATCH(IFERROR(INDEX(Settings!$AK$14:$AK$60,MATCH((((ROUND($H257,6)*2)*1000000)+ROUND($I257,6)),Settings!$AI$14:$AI$60,0)),"Undefined"),_xlfn.ANCHORARRAY(Settings!$BC$14),0)),"Inactive")))</f>
        <v/>
      </c>
      <c r="L257" s="683"/>
      <c r="M257" s="934"/>
      <c r="N257" s="31" t="str">
        <f t="shared" si="1344"/>
        <v>Y</v>
      </c>
      <c r="O257" s="162" t="str">
        <f t="shared" si="1338"/>
        <v/>
      </c>
      <c r="P257" s="162" t="str">
        <f t="shared" si="1339"/>
        <v/>
      </c>
      <c r="Q257" s="162" t="str">
        <f t="shared" si="1340"/>
        <v/>
      </c>
      <c r="R257" s="162" t="str">
        <f t="shared" si="1345"/>
        <v/>
      </c>
      <c r="S257" s="162" t="str">
        <f t="shared" si="1341"/>
        <v/>
      </c>
      <c r="T257" s="162" t="str">
        <f t="shared" si="1342"/>
        <v/>
      </c>
      <c r="U257" s="162" t="str">
        <f>IFERROR(IF(ISNUMBER(MATCH($X257,Settings!$AK$52:$AK$60,0)),INDEX(Settings!$AO$14:$AO$60,MATCH($X257,Settings!$AK$14:$AK$60,0))/2,INDEX(Settings!$AM$14:$AM$60,MATCH($X257,Settings!$AK$14:$AK$60,0))/2),"")</f>
        <v/>
      </c>
      <c r="V257" s="162" t="str">
        <f t="shared" si="1343"/>
        <v/>
      </c>
      <c r="W257" s="75"/>
      <c r="X257" s="937" t="str">
        <f t="shared" si="1346"/>
        <v/>
      </c>
      <c r="Y257" s="31"/>
    </row>
    <row r="258" spans="2:25" x14ac:dyDescent="0.25">
      <c r="B258" s="650"/>
      <c r="C258" s="651"/>
      <c r="D258" s="652"/>
      <c r="E258" s="653"/>
      <c r="F258" s="651"/>
      <c r="G258" s="654"/>
      <c r="H258" s="653"/>
      <c r="I258" s="942"/>
      <c r="J258" s="946"/>
      <c r="K258" s="931" t="str">
        <f>IF($J258="","",IF(IFERROR(INDEX(Settings!$AK$14:$AK$60,MATCH((((ROUND($H258,6)*2)*1000000)+ROUND($I258,6)),Settings!$AI$14:$AI$60,0)),"Undefined")="Undefined","Undefined",IFERROR(INDEX(_xlfn.ANCHORARRAY(Settings!$BC$14),MATCH(IFERROR(INDEX(Settings!$AK$14:$AK$60,MATCH((((ROUND($H258,6)*2)*1000000)+ROUND($I258,6)),Settings!$AI$14:$AI$60,0)),"Undefined"),_xlfn.ANCHORARRAY(Settings!$BC$14),0)),"Inactive")))</f>
        <v/>
      </c>
      <c r="L258" s="683"/>
      <c r="M258" s="934"/>
      <c r="N258" s="31" t="str">
        <f t="shared" si="1344"/>
        <v>Y</v>
      </c>
      <c r="O258" s="162" t="str">
        <f t="shared" si="1338"/>
        <v/>
      </c>
      <c r="P258" s="162" t="str">
        <f t="shared" si="1339"/>
        <v/>
      </c>
      <c r="Q258" s="162" t="str">
        <f t="shared" si="1340"/>
        <v/>
      </c>
      <c r="R258" s="162" t="str">
        <f t="shared" si="1345"/>
        <v/>
      </c>
      <c r="S258" s="162" t="str">
        <f t="shared" si="1341"/>
        <v/>
      </c>
      <c r="T258" s="162" t="str">
        <f t="shared" si="1342"/>
        <v/>
      </c>
      <c r="U258" s="162" t="str">
        <f>IFERROR(IF(ISNUMBER(MATCH($X258,Settings!$AK$52:$AK$60,0)),INDEX(Settings!$AO$14:$AO$60,MATCH($X258,Settings!$AK$14:$AK$60,0))/2,INDEX(Settings!$AM$14:$AM$60,MATCH($X258,Settings!$AK$14:$AK$60,0))/2),"")</f>
        <v/>
      </c>
      <c r="V258" s="162" t="str">
        <f t="shared" si="1343"/>
        <v/>
      </c>
      <c r="W258" s="75"/>
      <c r="X258" s="937" t="str">
        <f t="shared" si="1346"/>
        <v/>
      </c>
      <c r="Y258" s="31"/>
    </row>
    <row r="259" spans="2:25" x14ac:dyDescent="0.25">
      <c r="B259" s="650"/>
      <c r="C259" s="651"/>
      <c r="D259" s="652"/>
      <c r="E259" s="653"/>
      <c r="F259" s="651"/>
      <c r="G259" s="654"/>
      <c r="H259" s="653"/>
      <c r="I259" s="942"/>
      <c r="J259" s="946"/>
      <c r="K259" s="931" t="str">
        <f>IF($J259="","",IF(IFERROR(INDEX(Settings!$AK$14:$AK$60,MATCH((((ROUND($H259,6)*2)*1000000)+ROUND($I259,6)),Settings!$AI$14:$AI$60,0)),"Undefined")="Undefined","Undefined",IFERROR(INDEX(_xlfn.ANCHORARRAY(Settings!$BC$14),MATCH(IFERROR(INDEX(Settings!$AK$14:$AK$60,MATCH((((ROUND($H259,6)*2)*1000000)+ROUND($I259,6)),Settings!$AI$14:$AI$60,0)),"Undefined"),_xlfn.ANCHORARRAY(Settings!$BC$14),0)),"Inactive")))</f>
        <v/>
      </c>
      <c r="L259" s="683"/>
      <c r="M259" s="934"/>
      <c r="N259" s="31" t="str">
        <f t="shared" si="1344"/>
        <v>Y</v>
      </c>
      <c r="O259" s="162" t="str">
        <f t="shared" si="1338"/>
        <v/>
      </c>
      <c r="P259" s="162" t="str">
        <f t="shared" si="1339"/>
        <v/>
      </c>
      <c r="Q259" s="162" t="str">
        <f t="shared" si="1340"/>
        <v/>
      </c>
      <c r="R259" s="162" t="str">
        <f t="shared" si="1345"/>
        <v/>
      </c>
      <c r="S259" s="162" t="str">
        <f t="shared" si="1341"/>
        <v/>
      </c>
      <c r="T259" s="162" t="str">
        <f t="shared" si="1342"/>
        <v/>
      </c>
      <c r="U259" s="162" t="str">
        <f>IFERROR(IF(ISNUMBER(MATCH($X259,Settings!$AK$52:$AK$60,0)),INDEX(Settings!$AO$14:$AO$60,MATCH($X259,Settings!$AK$14:$AK$60,0))/2,INDEX(Settings!$AM$14:$AM$60,MATCH($X259,Settings!$AK$14:$AK$60,0))/2),"")</f>
        <v/>
      </c>
      <c r="V259" s="162" t="str">
        <f t="shared" si="1343"/>
        <v/>
      </c>
      <c r="W259" s="75"/>
      <c r="X259" s="937" t="str">
        <f t="shared" si="1346"/>
        <v/>
      </c>
      <c r="Y259" s="31"/>
    </row>
    <row r="260" spans="2:25" x14ac:dyDescent="0.25">
      <c r="B260" s="650"/>
      <c r="C260" s="651"/>
      <c r="D260" s="652"/>
      <c r="E260" s="653"/>
      <c r="F260" s="651"/>
      <c r="G260" s="654"/>
      <c r="H260" s="653"/>
      <c r="I260" s="942"/>
      <c r="J260" s="946"/>
      <c r="K260" s="931" t="str">
        <f>IF($J260="","",IF(IFERROR(INDEX(Settings!$AK$14:$AK$60,MATCH((((ROUND($H260,6)*2)*1000000)+ROUND($I260,6)),Settings!$AI$14:$AI$60,0)),"Undefined")="Undefined","Undefined",IFERROR(INDEX(_xlfn.ANCHORARRAY(Settings!$BC$14),MATCH(IFERROR(INDEX(Settings!$AK$14:$AK$60,MATCH((((ROUND($H260,6)*2)*1000000)+ROUND($I260,6)),Settings!$AI$14:$AI$60,0)),"Undefined"),_xlfn.ANCHORARRAY(Settings!$BC$14),0)),"Inactive")))</f>
        <v/>
      </c>
      <c r="L260" s="683"/>
      <c r="M260" s="934"/>
      <c r="N260" s="31" t="str">
        <f t="shared" si="1344"/>
        <v>Y</v>
      </c>
      <c r="O260" s="162" t="str">
        <f t="shared" ref="O260:O291" si="1348">IFERROR(INDEX(B$164:B$305,MATCH($W260,$J$164:$J$305,0)),"")</f>
        <v/>
      </c>
      <c r="P260" s="162" t="str">
        <f t="shared" ref="P260:P291" si="1349">IFERROR(INDEX(C$164:C$305,MATCH($W260,$J$164:$J$305,0)),"")</f>
        <v/>
      </c>
      <c r="Q260" s="162" t="str">
        <f t="shared" ref="Q260:Q291" si="1350">IFERROR(INDEX(D$164:D$305,MATCH($W260,$J$164:$J$305,0)),"")</f>
        <v/>
      </c>
      <c r="R260" s="162" t="str">
        <f t="shared" si="1345"/>
        <v/>
      </c>
      <c r="S260" s="162" t="str">
        <f t="shared" si="1341"/>
        <v/>
      </c>
      <c r="T260" s="162" t="str">
        <f t="shared" si="1342"/>
        <v/>
      </c>
      <c r="U260" s="162" t="str">
        <f>IFERROR(IF(ISNUMBER(MATCH($X260,Settings!$AK$52:$AK$60,0)),INDEX(Settings!$AO$14:$AO$60,MATCH($X260,Settings!$AK$14:$AK$60,0))/2,INDEX(Settings!$AM$14:$AM$60,MATCH($X260,Settings!$AK$14:$AK$60,0))/2),"")</f>
        <v/>
      </c>
      <c r="V260" s="162" t="str">
        <f t="shared" ref="V260:V291" si="1351">IFERROR(INDEX(I$164:I$305,MATCH($W260,$J$164:$J$305,0)),"")</f>
        <v/>
      </c>
      <c r="W260" s="75"/>
      <c r="X260" s="937" t="str">
        <f t="shared" si="1346"/>
        <v/>
      </c>
      <c r="Y260" s="31"/>
    </row>
    <row r="261" spans="2:25" x14ac:dyDescent="0.25">
      <c r="B261" s="650"/>
      <c r="C261" s="651"/>
      <c r="D261" s="652"/>
      <c r="E261" s="653"/>
      <c r="F261" s="651"/>
      <c r="G261" s="654"/>
      <c r="H261" s="653"/>
      <c r="I261" s="942"/>
      <c r="J261" s="946"/>
      <c r="K261" s="931" t="str">
        <f>IF($J261="","",IF(IFERROR(INDEX(Settings!$AK$14:$AK$60,MATCH((((ROUND($H261,6)*2)*1000000)+ROUND($I261,6)),Settings!$AI$14:$AI$60,0)),"Undefined")="Undefined","Undefined",IFERROR(INDEX(_xlfn.ANCHORARRAY(Settings!$BC$14),MATCH(IFERROR(INDEX(Settings!$AK$14:$AK$60,MATCH((((ROUND($H261,6)*2)*1000000)+ROUND($I261,6)),Settings!$AI$14:$AI$60,0)),"Undefined"),_xlfn.ANCHORARRAY(Settings!$BC$14),0)),"Inactive")))</f>
        <v/>
      </c>
      <c r="L261" s="683"/>
      <c r="M261" s="934"/>
      <c r="N261" s="31" t="str">
        <f t="shared" si="1344"/>
        <v>Y</v>
      </c>
      <c r="O261" s="162" t="str">
        <f t="shared" si="1348"/>
        <v/>
      </c>
      <c r="P261" s="162" t="str">
        <f t="shared" si="1349"/>
        <v/>
      </c>
      <c r="Q261" s="162" t="str">
        <f t="shared" si="1350"/>
        <v/>
      </c>
      <c r="R261" s="162" t="str">
        <f t="shared" si="1345"/>
        <v/>
      </c>
      <c r="S261" s="162" t="str">
        <f t="shared" si="1341"/>
        <v/>
      </c>
      <c r="T261" s="162" t="str">
        <f t="shared" si="1342"/>
        <v/>
      </c>
      <c r="U261" s="162" t="str">
        <f>IFERROR(IF(ISNUMBER(MATCH($X261,Settings!$AK$52:$AK$60,0)),INDEX(Settings!$AO$14:$AO$60,MATCH($X261,Settings!$AK$14:$AK$60,0))/2,INDEX(Settings!$AM$14:$AM$60,MATCH($X261,Settings!$AK$14:$AK$60,0))/2),"")</f>
        <v/>
      </c>
      <c r="V261" s="162" t="str">
        <f t="shared" si="1351"/>
        <v/>
      </c>
      <c r="W261" s="75"/>
      <c r="X261" s="937" t="str">
        <f t="shared" si="1346"/>
        <v/>
      </c>
      <c r="Y261" s="31"/>
    </row>
    <row r="262" spans="2:25" x14ac:dyDescent="0.25">
      <c r="B262" s="650"/>
      <c r="C262" s="651"/>
      <c r="D262" s="652"/>
      <c r="E262" s="653"/>
      <c r="F262" s="651"/>
      <c r="G262" s="654"/>
      <c r="H262" s="653"/>
      <c r="I262" s="942"/>
      <c r="J262" s="946"/>
      <c r="K262" s="931" t="str">
        <f>IF($J262="","",IF(IFERROR(INDEX(Settings!$AK$14:$AK$60,MATCH((((ROUND($H262,6)*2)*1000000)+ROUND($I262,6)),Settings!$AI$14:$AI$60,0)),"Undefined")="Undefined","Undefined",IFERROR(INDEX(_xlfn.ANCHORARRAY(Settings!$BC$14),MATCH(IFERROR(INDEX(Settings!$AK$14:$AK$60,MATCH((((ROUND($H262,6)*2)*1000000)+ROUND($I262,6)),Settings!$AI$14:$AI$60,0)),"Undefined"),_xlfn.ANCHORARRAY(Settings!$BC$14),0)),"Inactive")))</f>
        <v/>
      </c>
      <c r="L262" s="683"/>
      <c r="M262" s="934"/>
      <c r="N262" s="31" t="str">
        <f t="shared" si="1344"/>
        <v>Y</v>
      </c>
      <c r="O262" s="162" t="str">
        <f t="shared" si="1348"/>
        <v/>
      </c>
      <c r="P262" s="162" t="str">
        <f t="shared" si="1349"/>
        <v/>
      </c>
      <c r="Q262" s="162" t="str">
        <f t="shared" si="1350"/>
        <v/>
      </c>
      <c r="R262" s="162" t="str">
        <f t="shared" si="1345"/>
        <v/>
      </c>
      <c r="S262" s="162" t="str">
        <f t="shared" si="1341"/>
        <v/>
      </c>
      <c r="T262" s="162" t="str">
        <f t="shared" si="1342"/>
        <v/>
      </c>
      <c r="U262" s="162" t="str">
        <f>IFERROR(IF(ISNUMBER(MATCH($X262,Settings!$AK$52:$AK$60,0)),INDEX(Settings!$AO$14:$AO$60,MATCH($X262,Settings!$AK$14:$AK$60,0))/2,INDEX(Settings!$AM$14:$AM$60,MATCH($X262,Settings!$AK$14:$AK$60,0))/2),"")</f>
        <v/>
      </c>
      <c r="V262" s="162" t="str">
        <f t="shared" si="1351"/>
        <v/>
      </c>
      <c r="W262" s="75"/>
      <c r="X262" s="937" t="str">
        <f t="shared" si="1346"/>
        <v/>
      </c>
      <c r="Y262" s="31"/>
    </row>
    <row r="263" spans="2:25" x14ac:dyDescent="0.25">
      <c r="B263" s="650"/>
      <c r="C263" s="651"/>
      <c r="D263" s="652"/>
      <c r="E263" s="653"/>
      <c r="F263" s="651"/>
      <c r="G263" s="654"/>
      <c r="H263" s="653"/>
      <c r="I263" s="942"/>
      <c r="J263" s="946"/>
      <c r="K263" s="931" t="str">
        <f>IF($J263="","",IF(IFERROR(INDEX(Settings!$AK$14:$AK$60,MATCH((((ROUND($H263,6)*2)*1000000)+ROUND($I263,6)),Settings!$AI$14:$AI$60,0)),"Undefined")="Undefined","Undefined",IFERROR(INDEX(_xlfn.ANCHORARRAY(Settings!$BC$14),MATCH(IFERROR(INDEX(Settings!$AK$14:$AK$60,MATCH((((ROUND($H263,6)*2)*1000000)+ROUND($I263,6)),Settings!$AI$14:$AI$60,0)),"Undefined"),_xlfn.ANCHORARRAY(Settings!$BC$14),0)),"Inactive")))</f>
        <v/>
      </c>
      <c r="L263" s="683"/>
      <c r="M263" s="934"/>
      <c r="N263" s="31" t="str">
        <f t="shared" si="1344"/>
        <v>Y</v>
      </c>
      <c r="O263" s="162" t="str">
        <f t="shared" si="1348"/>
        <v/>
      </c>
      <c r="P263" s="162" t="str">
        <f t="shared" si="1349"/>
        <v/>
      </c>
      <c r="Q263" s="162" t="str">
        <f t="shared" si="1350"/>
        <v/>
      </c>
      <c r="R263" s="162" t="str">
        <f t="shared" si="1345"/>
        <v/>
      </c>
      <c r="S263" s="162" t="str">
        <f t="shared" si="1341"/>
        <v/>
      </c>
      <c r="T263" s="162" t="str">
        <f t="shared" si="1342"/>
        <v/>
      </c>
      <c r="U263" s="162" t="str">
        <f>IFERROR(IF(ISNUMBER(MATCH($X263,Settings!$AK$52:$AK$60,0)),INDEX(Settings!$AO$14:$AO$60,MATCH($X263,Settings!$AK$14:$AK$60,0))/2,INDEX(Settings!$AM$14:$AM$60,MATCH($X263,Settings!$AK$14:$AK$60,0))/2),"")</f>
        <v/>
      </c>
      <c r="V263" s="162" t="str">
        <f t="shared" si="1351"/>
        <v/>
      </c>
      <c r="W263" s="75"/>
      <c r="X263" s="937" t="str">
        <f t="shared" si="1346"/>
        <v/>
      </c>
      <c r="Y263" s="31"/>
    </row>
    <row r="264" spans="2:25" x14ac:dyDescent="0.25">
      <c r="B264" s="650"/>
      <c r="C264" s="651"/>
      <c r="D264" s="652"/>
      <c r="E264" s="653"/>
      <c r="F264" s="651"/>
      <c r="G264" s="654"/>
      <c r="H264" s="653"/>
      <c r="I264" s="942"/>
      <c r="J264" s="946"/>
      <c r="K264" s="931" t="str">
        <f>IF($J264="","",IF(IFERROR(INDEX(Settings!$AK$14:$AK$60,MATCH((((ROUND($H264,6)*2)*1000000)+ROUND($I264,6)),Settings!$AI$14:$AI$60,0)),"Undefined")="Undefined","Undefined",IFERROR(INDEX(_xlfn.ANCHORARRAY(Settings!$BC$14),MATCH(IFERROR(INDEX(Settings!$AK$14:$AK$60,MATCH((((ROUND($H264,6)*2)*1000000)+ROUND($I264,6)),Settings!$AI$14:$AI$60,0)),"Undefined"),_xlfn.ANCHORARRAY(Settings!$BC$14),0)),"Inactive")))</f>
        <v/>
      </c>
      <c r="L264" s="683"/>
      <c r="M264" s="934"/>
      <c r="N264" s="31" t="str">
        <f t="shared" si="1344"/>
        <v>Y</v>
      </c>
      <c r="O264" s="162" t="str">
        <f t="shared" si="1348"/>
        <v/>
      </c>
      <c r="P264" s="162" t="str">
        <f t="shared" si="1349"/>
        <v/>
      </c>
      <c r="Q264" s="162" t="str">
        <f t="shared" si="1350"/>
        <v/>
      </c>
      <c r="R264" s="162" t="str">
        <f t="shared" si="1345"/>
        <v/>
      </c>
      <c r="S264" s="162" t="str">
        <f t="shared" si="1341"/>
        <v/>
      </c>
      <c r="T264" s="162" t="str">
        <f t="shared" si="1342"/>
        <v/>
      </c>
      <c r="U264" s="162" t="str">
        <f>IFERROR(IF(ISNUMBER(MATCH($X264,Settings!$AK$52:$AK$60,0)),INDEX(Settings!$AO$14:$AO$60,MATCH($X264,Settings!$AK$14:$AK$60,0))/2,INDEX(Settings!$AM$14:$AM$60,MATCH($X264,Settings!$AK$14:$AK$60,0))/2),"")</f>
        <v/>
      </c>
      <c r="V264" s="162" t="str">
        <f t="shared" si="1351"/>
        <v/>
      </c>
      <c r="W264" s="75"/>
      <c r="X264" s="937" t="str">
        <f t="shared" si="1346"/>
        <v/>
      </c>
      <c r="Y264" s="31"/>
    </row>
    <row r="265" spans="2:25" x14ac:dyDescent="0.25">
      <c r="B265" s="650"/>
      <c r="C265" s="651"/>
      <c r="D265" s="652"/>
      <c r="E265" s="653"/>
      <c r="F265" s="651"/>
      <c r="G265" s="654"/>
      <c r="H265" s="653"/>
      <c r="I265" s="942"/>
      <c r="J265" s="946"/>
      <c r="K265" s="931" t="str">
        <f>IF($J265="","",IF(IFERROR(INDEX(Settings!$AK$14:$AK$60,MATCH((((ROUND($H265,6)*2)*1000000)+ROUND($I265,6)),Settings!$AI$14:$AI$60,0)),"Undefined")="Undefined","Undefined",IFERROR(INDEX(_xlfn.ANCHORARRAY(Settings!$BC$14),MATCH(IFERROR(INDEX(Settings!$AK$14:$AK$60,MATCH((((ROUND($H265,6)*2)*1000000)+ROUND($I265,6)),Settings!$AI$14:$AI$60,0)),"Undefined"),_xlfn.ANCHORARRAY(Settings!$BC$14),0)),"Inactive")))</f>
        <v/>
      </c>
      <c r="L265" s="683"/>
      <c r="M265" s="934"/>
      <c r="N265" s="31" t="str">
        <f t="shared" si="1344"/>
        <v>Y</v>
      </c>
      <c r="O265" s="162" t="str">
        <f t="shared" si="1348"/>
        <v/>
      </c>
      <c r="P265" s="162" t="str">
        <f t="shared" si="1349"/>
        <v/>
      </c>
      <c r="Q265" s="162" t="str">
        <f t="shared" si="1350"/>
        <v/>
      </c>
      <c r="R265" s="162" t="str">
        <f t="shared" si="1345"/>
        <v/>
      </c>
      <c r="S265" s="162" t="str">
        <f t="shared" si="1341"/>
        <v/>
      </c>
      <c r="T265" s="162" t="str">
        <f t="shared" si="1342"/>
        <v/>
      </c>
      <c r="U265" s="162" t="str">
        <f>IFERROR(IF(ISNUMBER(MATCH($X265,Settings!$AK$52:$AK$60,0)),INDEX(Settings!$AO$14:$AO$60,MATCH($X265,Settings!$AK$14:$AK$60,0))/2,INDEX(Settings!$AM$14:$AM$60,MATCH($X265,Settings!$AK$14:$AK$60,0))/2),"")</f>
        <v/>
      </c>
      <c r="V265" s="162" t="str">
        <f t="shared" si="1351"/>
        <v/>
      </c>
      <c r="W265" s="75"/>
      <c r="X265" s="937" t="str">
        <f t="shared" si="1346"/>
        <v/>
      </c>
      <c r="Y265" s="31"/>
    </row>
    <row r="266" spans="2:25" x14ac:dyDescent="0.25">
      <c r="B266" s="650"/>
      <c r="C266" s="651"/>
      <c r="D266" s="652"/>
      <c r="E266" s="653"/>
      <c r="F266" s="651"/>
      <c r="G266" s="654"/>
      <c r="H266" s="653"/>
      <c r="I266" s="942"/>
      <c r="J266" s="946"/>
      <c r="K266" s="931" t="str">
        <f>IF($J266="","",IF(IFERROR(INDEX(Settings!$AK$14:$AK$60,MATCH((((ROUND($H266,6)*2)*1000000)+ROUND($I266,6)),Settings!$AI$14:$AI$60,0)),"Undefined")="Undefined","Undefined",IFERROR(INDEX(_xlfn.ANCHORARRAY(Settings!$BC$14),MATCH(IFERROR(INDEX(Settings!$AK$14:$AK$60,MATCH((((ROUND($H266,6)*2)*1000000)+ROUND($I266,6)),Settings!$AI$14:$AI$60,0)),"Undefined"),_xlfn.ANCHORARRAY(Settings!$BC$14),0)),"Inactive")))</f>
        <v/>
      </c>
      <c r="L266" s="683"/>
      <c r="M266" s="934"/>
      <c r="N266" s="31" t="str">
        <f t="shared" si="1344"/>
        <v>Y</v>
      </c>
      <c r="O266" s="162" t="str">
        <f t="shared" si="1348"/>
        <v/>
      </c>
      <c r="P266" s="162" t="str">
        <f t="shared" si="1349"/>
        <v/>
      </c>
      <c r="Q266" s="162" t="str">
        <f t="shared" si="1350"/>
        <v/>
      </c>
      <c r="R266" s="162" t="str">
        <f t="shared" si="1345"/>
        <v/>
      </c>
      <c r="S266" s="162" t="str">
        <f t="shared" si="1341"/>
        <v/>
      </c>
      <c r="T266" s="162" t="str">
        <f t="shared" si="1342"/>
        <v/>
      </c>
      <c r="U266" s="162" t="str">
        <f>IFERROR(IF(ISNUMBER(MATCH($X266,Settings!$AK$52:$AK$60,0)),INDEX(Settings!$AO$14:$AO$60,MATCH($X266,Settings!$AK$14:$AK$60,0))/2,INDEX(Settings!$AM$14:$AM$60,MATCH($X266,Settings!$AK$14:$AK$60,0))/2),"")</f>
        <v/>
      </c>
      <c r="V266" s="162" t="str">
        <f t="shared" si="1351"/>
        <v/>
      </c>
      <c r="W266" s="75"/>
      <c r="X266" s="937" t="str">
        <f t="shared" si="1346"/>
        <v/>
      </c>
      <c r="Y266" s="31"/>
    </row>
    <row r="267" spans="2:25" x14ac:dyDescent="0.25">
      <c r="B267" s="650"/>
      <c r="C267" s="651"/>
      <c r="D267" s="652"/>
      <c r="E267" s="653"/>
      <c r="F267" s="651"/>
      <c r="G267" s="654"/>
      <c r="H267" s="653"/>
      <c r="I267" s="942"/>
      <c r="J267" s="946"/>
      <c r="K267" s="931" t="str">
        <f>IF($J267="","",IF(IFERROR(INDEX(Settings!$AK$14:$AK$60,MATCH((((ROUND($H267,6)*2)*1000000)+ROUND($I267,6)),Settings!$AI$14:$AI$60,0)),"Undefined")="Undefined","Undefined",IFERROR(INDEX(_xlfn.ANCHORARRAY(Settings!$BC$14),MATCH(IFERROR(INDEX(Settings!$AK$14:$AK$60,MATCH((((ROUND($H267,6)*2)*1000000)+ROUND($I267,6)),Settings!$AI$14:$AI$60,0)),"Undefined"),_xlfn.ANCHORARRAY(Settings!$BC$14),0)),"Inactive")))</f>
        <v/>
      </c>
      <c r="L267" s="683"/>
      <c r="M267" s="934"/>
      <c r="N267" s="31" t="str">
        <f t="shared" si="1344"/>
        <v>Y</v>
      </c>
      <c r="O267" s="162" t="str">
        <f t="shared" si="1348"/>
        <v/>
      </c>
      <c r="P267" s="162" t="str">
        <f t="shared" si="1349"/>
        <v/>
      </c>
      <c r="Q267" s="162" t="str">
        <f t="shared" si="1350"/>
        <v/>
      </c>
      <c r="R267" s="162" t="str">
        <f t="shared" si="1345"/>
        <v/>
      </c>
      <c r="S267" s="162" t="str">
        <f t="shared" si="1341"/>
        <v/>
      </c>
      <c r="T267" s="162" t="str">
        <f t="shared" si="1342"/>
        <v/>
      </c>
      <c r="U267" s="162" t="str">
        <f>IFERROR(IF(ISNUMBER(MATCH($X267,Settings!$AK$52:$AK$60,0)),INDEX(Settings!$AO$14:$AO$60,MATCH($X267,Settings!$AK$14:$AK$60,0))/2,INDEX(Settings!$AM$14:$AM$60,MATCH($X267,Settings!$AK$14:$AK$60,0))/2),"")</f>
        <v/>
      </c>
      <c r="V267" s="162" t="str">
        <f t="shared" si="1351"/>
        <v/>
      </c>
      <c r="W267" s="75"/>
      <c r="X267" s="937" t="str">
        <f t="shared" si="1346"/>
        <v/>
      </c>
      <c r="Y267" s="31"/>
    </row>
    <row r="268" spans="2:25" x14ac:dyDescent="0.25">
      <c r="B268" s="650"/>
      <c r="C268" s="651"/>
      <c r="D268" s="652"/>
      <c r="E268" s="653"/>
      <c r="F268" s="651"/>
      <c r="G268" s="654"/>
      <c r="H268" s="653"/>
      <c r="I268" s="942"/>
      <c r="J268" s="946"/>
      <c r="K268" s="931" t="str">
        <f>IF($J268="","",IF(IFERROR(INDEX(Settings!$AK$14:$AK$60,MATCH((((ROUND($H268,6)*2)*1000000)+ROUND($I268,6)),Settings!$AI$14:$AI$60,0)),"Undefined")="Undefined","Undefined",IFERROR(INDEX(_xlfn.ANCHORARRAY(Settings!$BC$14),MATCH(IFERROR(INDEX(Settings!$AK$14:$AK$60,MATCH((((ROUND($H268,6)*2)*1000000)+ROUND($I268,6)),Settings!$AI$14:$AI$60,0)),"Undefined"),_xlfn.ANCHORARRAY(Settings!$BC$14),0)),"Inactive")))</f>
        <v/>
      </c>
      <c r="L268" s="683"/>
      <c r="M268" s="934"/>
      <c r="N268" s="31" t="str">
        <f t="shared" si="1344"/>
        <v>Y</v>
      </c>
      <c r="O268" s="162" t="str">
        <f t="shared" si="1348"/>
        <v/>
      </c>
      <c r="P268" s="162" t="str">
        <f t="shared" si="1349"/>
        <v/>
      </c>
      <c r="Q268" s="162" t="str">
        <f t="shared" si="1350"/>
        <v/>
      </c>
      <c r="R268" s="162" t="str">
        <f t="shared" si="1345"/>
        <v/>
      </c>
      <c r="S268" s="162" t="str">
        <f t="shared" si="1341"/>
        <v/>
      </c>
      <c r="T268" s="162" t="str">
        <f t="shared" si="1342"/>
        <v/>
      </c>
      <c r="U268" s="162" t="str">
        <f>IFERROR(IF(ISNUMBER(MATCH($X268,Settings!$AK$52:$AK$60,0)),INDEX(Settings!$AO$14:$AO$60,MATCH($X268,Settings!$AK$14:$AK$60,0))/2,INDEX(Settings!$AM$14:$AM$60,MATCH($X268,Settings!$AK$14:$AK$60,0))/2),"")</f>
        <v/>
      </c>
      <c r="V268" s="162" t="str">
        <f t="shared" si="1351"/>
        <v/>
      </c>
      <c r="W268" s="75"/>
      <c r="X268" s="937" t="str">
        <f t="shared" si="1346"/>
        <v/>
      </c>
      <c r="Y268" s="31"/>
    </row>
    <row r="269" spans="2:25" x14ac:dyDescent="0.25">
      <c r="B269" s="650"/>
      <c r="C269" s="651"/>
      <c r="D269" s="652"/>
      <c r="E269" s="653"/>
      <c r="F269" s="651"/>
      <c r="G269" s="654"/>
      <c r="H269" s="653"/>
      <c r="I269" s="942"/>
      <c r="J269" s="946"/>
      <c r="K269" s="931" t="str">
        <f>IF($J269="","",IF(IFERROR(INDEX(Settings!$AK$14:$AK$60,MATCH((((ROUND($H269,6)*2)*1000000)+ROUND($I269,6)),Settings!$AI$14:$AI$60,0)),"Undefined")="Undefined","Undefined",IFERROR(INDEX(_xlfn.ANCHORARRAY(Settings!$BC$14),MATCH(IFERROR(INDEX(Settings!$AK$14:$AK$60,MATCH((((ROUND($H269,6)*2)*1000000)+ROUND($I269,6)),Settings!$AI$14:$AI$60,0)),"Undefined"),_xlfn.ANCHORARRAY(Settings!$BC$14),0)),"Inactive")))</f>
        <v/>
      </c>
      <c r="L269" s="683"/>
      <c r="M269" s="934"/>
      <c r="N269" s="31" t="str">
        <f t="shared" si="1344"/>
        <v>Y</v>
      </c>
      <c r="O269" s="162" t="str">
        <f t="shared" si="1348"/>
        <v/>
      </c>
      <c r="P269" s="162" t="str">
        <f t="shared" si="1349"/>
        <v/>
      </c>
      <c r="Q269" s="162" t="str">
        <f t="shared" si="1350"/>
        <v/>
      </c>
      <c r="R269" s="162" t="str">
        <f t="shared" si="1345"/>
        <v/>
      </c>
      <c r="S269" s="162" t="str">
        <f t="shared" si="1341"/>
        <v/>
      </c>
      <c r="T269" s="162" t="str">
        <f t="shared" si="1342"/>
        <v/>
      </c>
      <c r="U269" s="162" t="str">
        <f>IFERROR(IF(ISNUMBER(MATCH($X269,Settings!$AK$52:$AK$60,0)),INDEX(Settings!$AO$14:$AO$60,MATCH($X269,Settings!$AK$14:$AK$60,0))/2,INDEX(Settings!$AM$14:$AM$60,MATCH($X269,Settings!$AK$14:$AK$60,0))/2),"")</f>
        <v/>
      </c>
      <c r="V269" s="162" t="str">
        <f t="shared" si="1351"/>
        <v/>
      </c>
      <c r="W269" s="75"/>
      <c r="X269" s="937" t="str">
        <f t="shared" si="1346"/>
        <v/>
      </c>
      <c r="Y269" s="31"/>
    </row>
    <row r="270" spans="2:25" x14ac:dyDescent="0.25">
      <c r="B270" s="650"/>
      <c r="C270" s="651"/>
      <c r="D270" s="652"/>
      <c r="E270" s="653"/>
      <c r="F270" s="651"/>
      <c r="G270" s="654"/>
      <c r="H270" s="653"/>
      <c r="I270" s="942"/>
      <c r="J270" s="946"/>
      <c r="K270" s="931" t="str">
        <f>IF($J270="","",IF(IFERROR(INDEX(Settings!$AK$14:$AK$60,MATCH((((ROUND($H270,6)*2)*1000000)+ROUND($I270,6)),Settings!$AI$14:$AI$60,0)),"Undefined")="Undefined","Undefined",IFERROR(INDEX(_xlfn.ANCHORARRAY(Settings!$BC$14),MATCH(IFERROR(INDEX(Settings!$AK$14:$AK$60,MATCH((((ROUND($H270,6)*2)*1000000)+ROUND($I270,6)),Settings!$AI$14:$AI$60,0)),"Undefined"),_xlfn.ANCHORARRAY(Settings!$BC$14),0)),"Inactive")))</f>
        <v/>
      </c>
      <c r="L270" s="683"/>
      <c r="M270" s="934"/>
      <c r="N270" s="31" t="str">
        <f t="shared" si="1344"/>
        <v>Y</v>
      </c>
      <c r="O270" s="162" t="str">
        <f t="shared" si="1348"/>
        <v/>
      </c>
      <c r="P270" s="162" t="str">
        <f t="shared" si="1349"/>
        <v/>
      </c>
      <c r="Q270" s="162" t="str">
        <f t="shared" si="1350"/>
        <v/>
      </c>
      <c r="R270" s="162" t="str">
        <f t="shared" si="1345"/>
        <v/>
      </c>
      <c r="S270" s="162" t="str">
        <f t="shared" si="1341"/>
        <v/>
      </c>
      <c r="T270" s="162" t="str">
        <f t="shared" si="1342"/>
        <v/>
      </c>
      <c r="U270" s="162" t="str">
        <f>IFERROR(IF(ISNUMBER(MATCH($X270,Settings!$AK$52:$AK$60,0)),INDEX(Settings!$AO$14:$AO$60,MATCH($X270,Settings!$AK$14:$AK$60,0))/2,INDEX(Settings!$AM$14:$AM$60,MATCH($X270,Settings!$AK$14:$AK$60,0))/2),"")</f>
        <v/>
      </c>
      <c r="V270" s="162" t="str">
        <f t="shared" si="1351"/>
        <v/>
      </c>
      <c r="W270" s="75"/>
      <c r="X270" s="937" t="str">
        <f t="shared" si="1346"/>
        <v/>
      </c>
      <c r="Y270" s="31"/>
    </row>
    <row r="271" spans="2:25" x14ac:dyDescent="0.25">
      <c r="B271" s="650"/>
      <c r="C271" s="651"/>
      <c r="D271" s="652"/>
      <c r="E271" s="653"/>
      <c r="F271" s="651"/>
      <c r="G271" s="654"/>
      <c r="H271" s="653"/>
      <c r="I271" s="942"/>
      <c r="J271" s="946"/>
      <c r="K271" s="931" t="str">
        <f>IF($J271="","",IF(IFERROR(INDEX(Settings!$AK$14:$AK$60,MATCH((((ROUND($H271,6)*2)*1000000)+ROUND($I271,6)),Settings!$AI$14:$AI$60,0)),"Undefined")="Undefined","Undefined",IFERROR(INDEX(_xlfn.ANCHORARRAY(Settings!$BC$14),MATCH(IFERROR(INDEX(Settings!$AK$14:$AK$60,MATCH((((ROUND($H271,6)*2)*1000000)+ROUND($I271,6)),Settings!$AI$14:$AI$60,0)),"Undefined"),_xlfn.ANCHORARRAY(Settings!$BC$14),0)),"Inactive")))</f>
        <v/>
      </c>
      <c r="L271" s="683"/>
      <c r="M271" s="934"/>
      <c r="N271" s="31" t="str">
        <f t="shared" si="1344"/>
        <v>Y</v>
      </c>
      <c r="O271" s="162" t="str">
        <f t="shared" si="1348"/>
        <v/>
      </c>
      <c r="P271" s="162" t="str">
        <f t="shared" si="1349"/>
        <v/>
      </c>
      <c r="Q271" s="162" t="str">
        <f t="shared" si="1350"/>
        <v/>
      </c>
      <c r="R271" s="162" t="str">
        <f t="shared" si="1345"/>
        <v/>
      </c>
      <c r="S271" s="162" t="str">
        <f t="shared" si="1341"/>
        <v/>
      </c>
      <c r="T271" s="162" t="str">
        <f t="shared" si="1342"/>
        <v/>
      </c>
      <c r="U271" s="162" t="str">
        <f>IFERROR(IF(ISNUMBER(MATCH($X271,Settings!$AK$52:$AK$60,0)),INDEX(Settings!$AO$14:$AO$60,MATCH($X271,Settings!$AK$14:$AK$60,0))/2,INDEX(Settings!$AM$14:$AM$60,MATCH($X271,Settings!$AK$14:$AK$60,0))/2),"")</f>
        <v/>
      </c>
      <c r="V271" s="162" t="str">
        <f t="shared" si="1351"/>
        <v/>
      </c>
      <c r="W271" s="75"/>
      <c r="X271" s="937" t="str">
        <f t="shared" si="1346"/>
        <v/>
      </c>
      <c r="Y271" s="31"/>
    </row>
    <row r="272" spans="2:25" x14ac:dyDescent="0.25">
      <c r="B272" s="650"/>
      <c r="C272" s="651"/>
      <c r="D272" s="652"/>
      <c r="E272" s="653"/>
      <c r="F272" s="651"/>
      <c r="G272" s="654"/>
      <c r="H272" s="653"/>
      <c r="I272" s="942"/>
      <c r="J272" s="946"/>
      <c r="K272" s="931" t="str">
        <f>IF($J272="","",IF(IFERROR(INDEX(Settings!$AK$14:$AK$60,MATCH((((ROUND($H272,6)*2)*1000000)+ROUND($I272,6)),Settings!$AI$14:$AI$60,0)),"Undefined")="Undefined","Undefined",IFERROR(INDEX(_xlfn.ANCHORARRAY(Settings!$BC$14),MATCH(IFERROR(INDEX(Settings!$AK$14:$AK$60,MATCH((((ROUND($H272,6)*2)*1000000)+ROUND($I272,6)),Settings!$AI$14:$AI$60,0)),"Undefined"),_xlfn.ANCHORARRAY(Settings!$BC$14),0)),"Inactive")))</f>
        <v/>
      </c>
      <c r="L272" s="683"/>
      <c r="M272" s="934"/>
      <c r="N272" s="31" t="str">
        <f t="shared" si="1344"/>
        <v>Y</v>
      </c>
      <c r="O272" s="162" t="str">
        <f t="shared" si="1348"/>
        <v/>
      </c>
      <c r="P272" s="162" t="str">
        <f t="shared" si="1349"/>
        <v/>
      </c>
      <c r="Q272" s="162" t="str">
        <f t="shared" si="1350"/>
        <v/>
      </c>
      <c r="R272" s="162" t="str">
        <f t="shared" si="1345"/>
        <v/>
      </c>
      <c r="S272" s="162" t="str">
        <f t="shared" si="1341"/>
        <v/>
      </c>
      <c r="T272" s="162" t="str">
        <f t="shared" si="1342"/>
        <v/>
      </c>
      <c r="U272" s="162" t="str">
        <f>IFERROR(IF(ISNUMBER(MATCH($X272,Settings!$AK$52:$AK$60,0)),INDEX(Settings!$AO$14:$AO$60,MATCH($X272,Settings!$AK$14:$AK$60,0))/2,INDEX(Settings!$AM$14:$AM$60,MATCH($X272,Settings!$AK$14:$AK$60,0))/2),"")</f>
        <v/>
      </c>
      <c r="V272" s="162" t="str">
        <f t="shared" si="1351"/>
        <v/>
      </c>
      <c r="W272" s="75"/>
      <c r="X272" s="937" t="str">
        <f t="shared" si="1346"/>
        <v/>
      </c>
      <c r="Y272" s="31"/>
    </row>
    <row r="273" spans="2:25" x14ac:dyDescent="0.25">
      <c r="B273" s="650"/>
      <c r="C273" s="651"/>
      <c r="D273" s="652"/>
      <c r="E273" s="653"/>
      <c r="F273" s="651"/>
      <c r="G273" s="654"/>
      <c r="H273" s="653"/>
      <c r="I273" s="942"/>
      <c r="J273" s="946"/>
      <c r="K273" s="931" t="str">
        <f>IF($J273="","",IF(IFERROR(INDEX(Settings!$AK$14:$AK$60,MATCH((((ROUND($H273,6)*2)*1000000)+ROUND($I273,6)),Settings!$AI$14:$AI$60,0)),"Undefined")="Undefined","Undefined",IFERROR(INDEX(_xlfn.ANCHORARRAY(Settings!$BC$14),MATCH(IFERROR(INDEX(Settings!$AK$14:$AK$60,MATCH((((ROUND($H273,6)*2)*1000000)+ROUND($I273,6)),Settings!$AI$14:$AI$60,0)),"Undefined"),_xlfn.ANCHORARRAY(Settings!$BC$14),0)),"Inactive")))</f>
        <v/>
      </c>
      <c r="L273" s="683"/>
      <c r="M273" s="934"/>
      <c r="N273" s="31" t="str">
        <f t="shared" si="1344"/>
        <v>Y</v>
      </c>
      <c r="O273" s="162" t="str">
        <f t="shared" si="1348"/>
        <v/>
      </c>
      <c r="P273" s="162" t="str">
        <f t="shared" si="1349"/>
        <v/>
      </c>
      <c r="Q273" s="162" t="str">
        <f t="shared" si="1350"/>
        <v/>
      </c>
      <c r="R273" s="162" t="str">
        <f t="shared" si="1345"/>
        <v/>
      </c>
      <c r="S273" s="162" t="str">
        <f t="shared" si="1341"/>
        <v/>
      </c>
      <c r="T273" s="162" t="str">
        <f t="shared" si="1342"/>
        <v/>
      </c>
      <c r="U273" s="162" t="str">
        <f>IFERROR(IF(ISNUMBER(MATCH($X273,Settings!$AK$52:$AK$60,0)),INDEX(Settings!$AO$14:$AO$60,MATCH($X273,Settings!$AK$14:$AK$60,0))/2,INDEX(Settings!$AM$14:$AM$60,MATCH($X273,Settings!$AK$14:$AK$60,0))/2),"")</f>
        <v/>
      </c>
      <c r="V273" s="162" t="str">
        <f t="shared" si="1351"/>
        <v/>
      </c>
      <c r="W273" s="75"/>
      <c r="X273" s="937" t="str">
        <f t="shared" si="1346"/>
        <v/>
      </c>
      <c r="Y273" s="31"/>
    </row>
    <row r="274" spans="2:25" x14ac:dyDescent="0.25">
      <c r="B274" s="650"/>
      <c r="C274" s="651"/>
      <c r="D274" s="652"/>
      <c r="E274" s="653"/>
      <c r="F274" s="651"/>
      <c r="G274" s="654"/>
      <c r="H274" s="653"/>
      <c r="I274" s="942"/>
      <c r="J274" s="946"/>
      <c r="K274" s="931" t="str">
        <f>IF($J274="","",IF(IFERROR(INDEX(Settings!$AK$14:$AK$60,MATCH((((ROUND($H274,6)*2)*1000000)+ROUND($I274,6)),Settings!$AI$14:$AI$60,0)),"Undefined")="Undefined","Undefined",IFERROR(INDEX(_xlfn.ANCHORARRAY(Settings!$BC$14),MATCH(IFERROR(INDEX(Settings!$AK$14:$AK$60,MATCH((((ROUND($H274,6)*2)*1000000)+ROUND($I274,6)),Settings!$AI$14:$AI$60,0)),"Undefined"),_xlfn.ANCHORARRAY(Settings!$BC$14),0)),"Inactive")))</f>
        <v/>
      </c>
      <c r="L274" s="683"/>
      <c r="M274" s="934"/>
      <c r="N274" s="31" t="str">
        <f t="shared" si="1344"/>
        <v>Y</v>
      </c>
      <c r="O274" s="162" t="str">
        <f t="shared" si="1348"/>
        <v/>
      </c>
      <c r="P274" s="162" t="str">
        <f t="shared" si="1349"/>
        <v/>
      </c>
      <c r="Q274" s="162" t="str">
        <f t="shared" si="1350"/>
        <v/>
      </c>
      <c r="R274" s="162" t="str">
        <f t="shared" si="1345"/>
        <v/>
      </c>
      <c r="S274" s="162" t="str">
        <f t="shared" si="1341"/>
        <v/>
      </c>
      <c r="T274" s="162" t="str">
        <f t="shared" si="1342"/>
        <v/>
      </c>
      <c r="U274" s="162" t="str">
        <f>IFERROR(IF(ISNUMBER(MATCH($X274,Settings!$AK$52:$AK$60,0)),INDEX(Settings!$AO$14:$AO$60,MATCH($X274,Settings!$AK$14:$AK$60,0))/2,INDEX(Settings!$AM$14:$AM$60,MATCH($X274,Settings!$AK$14:$AK$60,0))/2),"")</f>
        <v/>
      </c>
      <c r="V274" s="162" t="str">
        <f t="shared" si="1351"/>
        <v/>
      </c>
      <c r="W274" s="75"/>
      <c r="X274" s="937" t="str">
        <f t="shared" si="1346"/>
        <v/>
      </c>
      <c r="Y274" s="31"/>
    </row>
    <row r="275" spans="2:25" x14ac:dyDescent="0.25">
      <c r="B275" s="650"/>
      <c r="C275" s="651"/>
      <c r="D275" s="652"/>
      <c r="E275" s="653"/>
      <c r="F275" s="651"/>
      <c r="G275" s="654"/>
      <c r="H275" s="653"/>
      <c r="I275" s="942"/>
      <c r="J275" s="946"/>
      <c r="K275" s="931" t="str">
        <f>IF($J275="","",IF(IFERROR(INDEX(Settings!$AK$14:$AK$60,MATCH((((ROUND($H275,6)*2)*1000000)+ROUND($I275,6)),Settings!$AI$14:$AI$60,0)),"Undefined")="Undefined","Undefined",IFERROR(INDEX(_xlfn.ANCHORARRAY(Settings!$BC$14),MATCH(IFERROR(INDEX(Settings!$AK$14:$AK$60,MATCH((((ROUND($H275,6)*2)*1000000)+ROUND($I275,6)),Settings!$AI$14:$AI$60,0)),"Undefined"),_xlfn.ANCHORARRAY(Settings!$BC$14),0)),"Inactive")))</f>
        <v/>
      </c>
      <c r="L275" s="683"/>
      <c r="M275" s="934"/>
      <c r="N275" s="31" t="str">
        <f t="shared" si="1344"/>
        <v>Y</v>
      </c>
      <c r="O275" s="162" t="str">
        <f t="shared" si="1348"/>
        <v/>
      </c>
      <c r="P275" s="162" t="str">
        <f t="shared" si="1349"/>
        <v/>
      </c>
      <c r="Q275" s="162" t="str">
        <f t="shared" si="1350"/>
        <v/>
      </c>
      <c r="R275" s="162" t="str">
        <f t="shared" si="1345"/>
        <v/>
      </c>
      <c r="S275" s="162" t="str">
        <f t="shared" si="1341"/>
        <v/>
      </c>
      <c r="T275" s="162" t="str">
        <f t="shared" si="1342"/>
        <v/>
      </c>
      <c r="U275" s="162" t="str">
        <f>IFERROR(IF(ISNUMBER(MATCH($X275,Settings!$AK$52:$AK$60,0)),INDEX(Settings!$AO$14:$AO$60,MATCH($X275,Settings!$AK$14:$AK$60,0))/2,INDEX(Settings!$AM$14:$AM$60,MATCH($X275,Settings!$AK$14:$AK$60,0))/2),"")</f>
        <v/>
      </c>
      <c r="V275" s="162" t="str">
        <f t="shared" si="1351"/>
        <v/>
      </c>
      <c r="W275" s="75"/>
      <c r="X275" s="937" t="str">
        <f t="shared" si="1346"/>
        <v/>
      </c>
      <c r="Y275" s="31"/>
    </row>
    <row r="276" spans="2:25" x14ac:dyDescent="0.25">
      <c r="B276" s="650"/>
      <c r="C276" s="651"/>
      <c r="D276" s="652"/>
      <c r="E276" s="653"/>
      <c r="F276" s="651"/>
      <c r="G276" s="654"/>
      <c r="H276" s="653"/>
      <c r="I276" s="942"/>
      <c r="J276" s="946"/>
      <c r="K276" s="931" t="str">
        <f>IF($J276="","",IF(IFERROR(INDEX(Settings!$AK$14:$AK$60,MATCH((((ROUND($H276,6)*2)*1000000)+ROUND($I276,6)),Settings!$AI$14:$AI$60,0)),"Undefined")="Undefined","Undefined",IFERROR(INDEX(_xlfn.ANCHORARRAY(Settings!$BC$14),MATCH(IFERROR(INDEX(Settings!$AK$14:$AK$60,MATCH((((ROUND($H276,6)*2)*1000000)+ROUND($I276,6)),Settings!$AI$14:$AI$60,0)),"Undefined"),_xlfn.ANCHORARRAY(Settings!$BC$14),0)),"Inactive")))</f>
        <v/>
      </c>
      <c r="L276" s="683"/>
      <c r="M276" s="934"/>
      <c r="N276" s="31" t="str">
        <f t="shared" si="1344"/>
        <v>Y</v>
      </c>
      <c r="O276" s="162" t="str">
        <f t="shared" si="1348"/>
        <v/>
      </c>
      <c r="P276" s="162" t="str">
        <f t="shared" si="1349"/>
        <v/>
      </c>
      <c r="Q276" s="162" t="str">
        <f t="shared" si="1350"/>
        <v/>
      </c>
      <c r="R276" s="162" t="str">
        <f t="shared" si="1345"/>
        <v/>
      </c>
      <c r="S276" s="162" t="str">
        <f t="shared" si="1341"/>
        <v/>
      </c>
      <c r="T276" s="162" t="str">
        <f t="shared" si="1342"/>
        <v/>
      </c>
      <c r="U276" s="162" t="str">
        <f>IFERROR(IF(ISNUMBER(MATCH($X276,Settings!$AK$52:$AK$60,0)),INDEX(Settings!$AO$14:$AO$60,MATCH($X276,Settings!$AK$14:$AK$60,0))/2,INDEX(Settings!$AM$14:$AM$60,MATCH($X276,Settings!$AK$14:$AK$60,0))/2),"")</f>
        <v/>
      </c>
      <c r="V276" s="162" t="str">
        <f t="shared" si="1351"/>
        <v/>
      </c>
      <c r="W276" s="75"/>
      <c r="X276" s="937" t="str">
        <f t="shared" si="1346"/>
        <v/>
      </c>
      <c r="Y276" s="31"/>
    </row>
    <row r="277" spans="2:25" x14ac:dyDescent="0.25">
      <c r="B277" s="650"/>
      <c r="C277" s="651"/>
      <c r="D277" s="652"/>
      <c r="E277" s="653"/>
      <c r="F277" s="651"/>
      <c r="G277" s="654"/>
      <c r="H277" s="653"/>
      <c r="I277" s="942"/>
      <c r="J277" s="946"/>
      <c r="K277" s="931" t="str">
        <f>IF($J277="","",IF(IFERROR(INDEX(Settings!$AK$14:$AK$60,MATCH((((ROUND($H277,6)*2)*1000000)+ROUND($I277,6)),Settings!$AI$14:$AI$60,0)),"Undefined")="Undefined","Undefined",IFERROR(INDEX(_xlfn.ANCHORARRAY(Settings!$BC$14),MATCH(IFERROR(INDEX(Settings!$AK$14:$AK$60,MATCH((((ROUND($H277,6)*2)*1000000)+ROUND($I277,6)),Settings!$AI$14:$AI$60,0)),"Undefined"),_xlfn.ANCHORARRAY(Settings!$BC$14),0)),"Inactive")))</f>
        <v/>
      </c>
      <c r="L277" s="683"/>
      <c r="M277" s="934"/>
      <c r="N277" s="31" t="str">
        <f t="shared" si="1344"/>
        <v>Y</v>
      </c>
      <c r="O277" s="162" t="str">
        <f t="shared" si="1348"/>
        <v/>
      </c>
      <c r="P277" s="162" t="str">
        <f t="shared" si="1349"/>
        <v/>
      </c>
      <c r="Q277" s="162" t="str">
        <f t="shared" si="1350"/>
        <v/>
      </c>
      <c r="R277" s="162" t="str">
        <f t="shared" si="1345"/>
        <v/>
      </c>
      <c r="S277" s="162" t="str">
        <f t="shared" si="1341"/>
        <v/>
      </c>
      <c r="T277" s="162" t="str">
        <f t="shared" si="1342"/>
        <v/>
      </c>
      <c r="U277" s="162" t="str">
        <f>IFERROR(IF(ISNUMBER(MATCH($X277,Settings!$AK$52:$AK$60,0)),INDEX(Settings!$AO$14:$AO$60,MATCH($X277,Settings!$AK$14:$AK$60,0))/2,INDEX(Settings!$AM$14:$AM$60,MATCH($X277,Settings!$AK$14:$AK$60,0))/2),"")</f>
        <v/>
      </c>
      <c r="V277" s="162" t="str">
        <f t="shared" si="1351"/>
        <v/>
      </c>
      <c r="W277" s="75"/>
      <c r="X277" s="937" t="str">
        <f t="shared" si="1346"/>
        <v/>
      </c>
      <c r="Y277" s="31"/>
    </row>
    <row r="278" spans="2:25" x14ac:dyDescent="0.25">
      <c r="B278" s="650"/>
      <c r="C278" s="651"/>
      <c r="D278" s="652"/>
      <c r="E278" s="653"/>
      <c r="F278" s="651"/>
      <c r="G278" s="654"/>
      <c r="H278" s="653"/>
      <c r="I278" s="942"/>
      <c r="J278" s="946"/>
      <c r="K278" s="931" t="str">
        <f>IF($J278="","",IF(IFERROR(INDEX(Settings!$AK$14:$AK$60,MATCH((((ROUND($H278,6)*2)*1000000)+ROUND($I278,6)),Settings!$AI$14:$AI$60,0)),"Undefined")="Undefined","Undefined",IFERROR(INDEX(_xlfn.ANCHORARRAY(Settings!$BC$14),MATCH(IFERROR(INDEX(Settings!$AK$14:$AK$60,MATCH((((ROUND($H278,6)*2)*1000000)+ROUND($I278,6)),Settings!$AI$14:$AI$60,0)),"Undefined"),_xlfn.ANCHORARRAY(Settings!$BC$14),0)),"Inactive")))</f>
        <v/>
      </c>
      <c r="L278" s="683"/>
      <c r="M278" s="934"/>
      <c r="N278" s="31" t="str">
        <f t="shared" si="1344"/>
        <v>Y</v>
      </c>
      <c r="O278" s="162" t="str">
        <f t="shared" si="1348"/>
        <v/>
      </c>
      <c r="P278" s="162" t="str">
        <f t="shared" si="1349"/>
        <v/>
      </c>
      <c r="Q278" s="162" t="str">
        <f t="shared" si="1350"/>
        <v/>
      </c>
      <c r="R278" s="162" t="str">
        <f t="shared" si="1345"/>
        <v/>
      </c>
      <c r="S278" s="162" t="str">
        <f t="shared" si="1341"/>
        <v/>
      </c>
      <c r="T278" s="162" t="str">
        <f t="shared" si="1342"/>
        <v/>
      </c>
      <c r="U278" s="162" t="str">
        <f>IFERROR(IF(ISNUMBER(MATCH($X278,Settings!$AK$52:$AK$60,0)),INDEX(Settings!$AO$14:$AO$60,MATCH($X278,Settings!$AK$14:$AK$60,0))/2,INDEX(Settings!$AM$14:$AM$60,MATCH($X278,Settings!$AK$14:$AK$60,0))/2),"")</f>
        <v/>
      </c>
      <c r="V278" s="162" t="str">
        <f t="shared" si="1351"/>
        <v/>
      </c>
      <c r="W278" s="75"/>
      <c r="X278" s="937" t="str">
        <f t="shared" si="1346"/>
        <v/>
      </c>
      <c r="Y278" s="31"/>
    </row>
    <row r="279" spans="2:25" x14ac:dyDescent="0.25">
      <c r="B279" s="650"/>
      <c r="C279" s="651"/>
      <c r="D279" s="652"/>
      <c r="E279" s="653"/>
      <c r="F279" s="651"/>
      <c r="G279" s="654"/>
      <c r="H279" s="653"/>
      <c r="I279" s="942"/>
      <c r="J279" s="946"/>
      <c r="K279" s="931" t="str">
        <f>IF($J279="","",IF(IFERROR(INDEX(Settings!$AK$14:$AK$60,MATCH((((ROUND($H279,6)*2)*1000000)+ROUND($I279,6)),Settings!$AI$14:$AI$60,0)),"Undefined")="Undefined","Undefined",IFERROR(INDEX(_xlfn.ANCHORARRAY(Settings!$BC$14),MATCH(IFERROR(INDEX(Settings!$AK$14:$AK$60,MATCH((((ROUND($H279,6)*2)*1000000)+ROUND($I279,6)),Settings!$AI$14:$AI$60,0)),"Undefined"),_xlfn.ANCHORARRAY(Settings!$BC$14),0)),"Inactive")))</f>
        <v/>
      </c>
      <c r="L279" s="683"/>
      <c r="M279" s="934"/>
      <c r="N279" s="31" t="str">
        <f t="shared" si="1344"/>
        <v>Y</v>
      </c>
      <c r="O279" s="162" t="str">
        <f t="shared" si="1348"/>
        <v/>
      </c>
      <c r="P279" s="162" t="str">
        <f t="shared" si="1349"/>
        <v/>
      </c>
      <c r="Q279" s="162" t="str">
        <f t="shared" si="1350"/>
        <v/>
      </c>
      <c r="R279" s="162" t="str">
        <f t="shared" si="1345"/>
        <v/>
      </c>
      <c r="S279" s="162" t="str">
        <f t="shared" si="1341"/>
        <v/>
      </c>
      <c r="T279" s="162" t="str">
        <f t="shared" si="1342"/>
        <v/>
      </c>
      <c r="U279" s="162" t="str">
        <f>IFERROR(IF(ISNUMBER(MATCH($X279,Settings!$AK$52:$AK$60,0)),INDEX(Settings!$AO$14:$AO$60,MATCH($X279,Settings!$AK$14:$AK$60,0))/2,INDEX(Settings!$AM$14:$AM$60,MATCH($X279,Settings!$AK$14:$AK$60,0))/2),"")</f>
        <v/>
      </c>
      <c r="V279" s="162" t="str">
        <f t="shared" si="1351"/>
        <v/>
      </c>
      <c r="W279" s="75"/>
      <c r="X279" s="937" t="str">
        <f t="shared" si="1346"/>
        <v/>
      </c>
      <c r="Y279" s="31"/>
    </row>
    <row r="280" spans="2:25" x14ac:dyDescent="0.25">
      <c r="B280" s="650"/>
      <c r="C280" s="651"/>
      <c r="D280" s="652"/>
      <c r="E280" s="653"/>
      <c r="F280" s="651"/>
      <c r="G280" s="654"/>
      <c r="H280" s="653"/>
      <c r="I280" s="942"/>
      <c r="J280" s="946"/>
      <c r="K280" s="931" t="str">
        <f>IF($J280="","",IF(IFERROR(INDEX(Settings!$AK$14:$AK$60,MATCH((((ROUND($H280,6)*2)*1000000)+ROUND($I280,6)),Settings!$AI$14:$AI$60,0)),"Undefined")="Undefined","Undefined",IFERROR(INDEX(_xlfn.ANCHORARRAY(Settings!$BC$14),MATCH(IFERROR(INDEX(Settings!$AK$14:$AK$60,MATCH((((ROUND($H280,6)*2)*1000000)+ROUND($I280,6)),Settings!$AI$14:$AI$60,0)),"Undefined"),_xlfn.ANCHORARRAY(Settings!$BC$14),0)),"Inactive")))</f>
        <v/>
      </c>
      <c r="L280" s="683"/>
      <c r="M280" s="934"/>
      <c r="N280" s="31" t="str">
        <f t="shared" si="1344"/>
        <v>Y</v>
      </c>
      <c r="O280" s="162" t="str">
        <f t="shared" si="1348"/>
        <v/>
      </c>
      <c r="P280" s="162" t="str">
        <f t="shared" si="1349"/>
        <v/>
      </c>
      <c r="Q280" s="162" t="str">
        <f t="shared" si="1350"/>
        <v/>
      </c>
      <c r="R280" s="162" t="str">
        <f t="shared" si="1345"/>
        <v/>
      </c>
      <c r="S280" s="162" t="str">
        <f t="shared" si="1341"/>
        <v/>
      </c>
      <c r="T280" s="162" t="str">
        <f t="shared" si="1342"/>
        <v/>
      </c>
      <c r="U280" s="162" t="str">
        <f>IFERROR(IF(ISNUMBER(MATCH($X280,Settings!$AK$52:$AK$60,0)),INDEX(Settings!$AO$14:$AO$60,MATCH($X280,Settings!$AK$14:$AK$60,0))/2,INDEX(Settings!$AM$14:$AM$60,MATCH($X280,Settings!$AK$14:$AK$60,0))/2),"")</f>
        <v/>
      </c>
      <c r="V280" s="162" t="str">
        <f t="shared" si="1351"/>
        <v/>
      </c>
      <c r="W280" s="75"/>
      <c r="X280" s="937" t="str">
        <f t="shared" si="1346"/>
        <v/>
      </c>
      <c r="Y280" s="31"/>
    </row>
    <row r="281" spans="2:25" x14ac:dyDescent="0.25">
      <c r="B281" s="650"/>
      <c r="C281" s="651"/>
      <c r="D281" s="652"/>
      <c r="E281" s="653"/>
      <c r="F281" s="651"/>
      <c r="G281" s="654"/>
      <c r="H281" s="653"/>
      <c r="I281" s="942"/>
      <c r="J281" s="946"/>
      <c r="K281" s="931" t="str">
        <f>IF($J281="","",IF(IFERROR(INDEX(Settings!$AK$14:$AK$60,MATCH((((ROUND($H281,6)*2)*1000000)+ROUND($I281,6)),Settings!$AI$14:$AI$60,0)),"Undefined")="Undefined","Undefined",IFERROR(INDEX(_xlfn.ANCHORARRAY(Settings!$BC$14),MATCH(IFERROR(INDEX(Settings!$AK$14:$AK$60,MATCH((((ROUND($H281,6)*2)*1000000)+ROUND($I281,6)),Settings!$AI$14:$AI$60,0)),"Undefined"),_xlfn.ANCHORARRAY(Settings!$BC$14),0)),"Inactive")))</f>
        <v/>
      </c>
      <c r="L281" s="683"/>
      <c r="M281" s="934"/>
      <c r="N281" s="31" t="str">
        <f t="shared" si="1344"/>
        <v>Y</v>
      </c>
      <c r="O281" s="162" t="str">
        <f t="shared" si="1348"/>
        <v/>
      </c>
      <c r="P281" s="162" t="str">
        <f t="shared" si="1349"/>
        <v/>
      </c>
      <c r="Q281" s="162" t="str">
        <f t="shared" si="1350"/>
        <v/>
      </c>
      <c r="R281" s="162" t="str">
        <f t="shared" si="1345"/>
        <v/>
      </c>
      <c r="S281" s="162" t="str">
        <f t="shared" si="1341"/>
        <v/>
      </c>
      <c r="T281" s="162" t="str">
        <f t="shared" si="1342"/>
        <v/>
      </c>
      <c r="U281" s="162" t="str">
        <f>IFERROR(IF(ISNUMBER(MATCH($X281,Settings!$AK$52:$AK$60,0)),INDEX(Settings!$AO$14:$AO$60,MATCH($X281,Settings!$AK$14:$AK$60,0))/2,INDEX(Settings!$AM$14:$AM$60,MATCH($X281,Settings!$AK$14:$AK$60,0))/2),"")</f>
        <v/>
      </c>
      <c r="V281" s="162" t="str">
        <f t="shared" si="1351"/>
        <v/>
      </c>
      <c r="W281" s="75"/>
      <c r="X281" s="937" t="str">
        <f t="shared" si="1346"/>
        <v/>
      </c>
      <c r="Y281" s="31"/>
    </row>
    <row r="282" spans="2:25" x14ac:dyDescent="0.25">
      <c r="B282" s="650"/>
      <c r="C282" s="651"/>
      <c r="D282" s="652"/>
      <c r="E282" s="653"/>
      <c r="F282" s="651"/>
      <c r="G282" s="654"/>
      <c r="H282" s="653"/>
      <c r="I282" s="942"/>
      <c r="J282" s="946"/>
      <c r="K282" s="931" t="str">
        <f>IF($J282="","",IF(IFERROR(INDEX(Settings!$AK$14:$AK$60,MATCH((((ROUND($H282,6)*2)*1000000)+ROUND($I282,6)),Settings!$AI$14:$AI$60,0)),"Undefined")="Undefined","Undefined",IFERROR(INDEX(_xlfn.ANCHORARRAY(Settings!$BC$14),MATCH(IFERROR(INDEX(Settings!$AK$14:$AK$60,MATCH((((ROUND($H282,6)*2)*1000000)+ROUND($I282,6)),Settings!$AI$14:$AI$60,0)),"Undefined"),_xlfn.ANCHORARRAY(Settings!$BC$14),0)),"Inactive")))</f>
        <v/>
      </c>
      <c r="L282" s="683"/>
      <c r="M282" s="934"/>
      <c r="N282" s="31" t="str">
        <f t="shared" si="1344"/>
        <v>Y</v>
      </c>
      <c r="O282" s="162" t="str">
        <f t="shared" si="1348"/>
        <v/>
      </c>
      <c r="P282" s="162" t="str">
        <f t="shared" si="1349"/>
        <v/>
      </c>
      <c r="Q282" s="162" t="str">
        <f t="shared" si="1350"/>
        <v/>
      </c>
      <c r="R282" s="162" t="str">
        <f t="shared" si="1345"/>
        <v/>
      </c>
      <c r="S282" s="162" t="str">
        <f t="shared" si="1341"/>
        <v/>
      </c>
      <c r="T282" s="162" t="str">
        <f t="shared" si="1342"/>
        <v/>
      </c>
      <c r="U282" s="162" t="str">
        <f>IFERROR(IF(ISNUMBER(MATCH($X282,Settings!$AK$52:$AK$60,0)),INDEX(Settings!$AO$14:$AO$60,MATCH($X282,Settings!$AK$14:$AK$60,0))/2,INDEX(Settings!$AM$14:$AM$60,MATCH($X282,Settings!$AK$14:$AK$60,0))/2),"")</f>
        <v/>
      </c>
      <c r="V282" s="162" t="str">
        <f t="shared" si="1351"/>
        <v/>
      </c>
      <c r="W282" s="75"/>
      <c r="X282" s="937" t="str">
        <f t="shared" si="1346"/>
        <v/>
      </c>
      <c r="Y282" s="31"/>
    </row>
    <row r="283" spans="2:25" x14ac:dyDescent="0.25">
      <c r="B283" s="650"/>
      <c r="C283" s="651"/>
      <c r="D283" s="652"/>
      <c r="E283" s="653"/>
      <c r="F283" s="651"/>
      <c r="G283" s="654"/>
      <c r="H283" s="653"/>
      <c r="I283" s="942"/>
      <c r="J283" s="946"/>
      <c r="K283" s="931" t="str">
        <f>IF($J283="","",IF(IFERROR(INDEX(Settings!$AK$14:$AK$60,MATCH((((ROUND($H283,6)*2)*1000000)+ROUND($I283,6)),Settings!$AI$14:$AI$60,0)),"Undefined")="Undefined","Undefined",IFERROR(INDEX(_xlfn.ANCHORARRAY(Settings!$BC$14),MATCH(IFERROR(INDEX(Settings!$AK$14:$AK$60,MATCH((((ROUND($H283,6)*2)*1000000)+ROUND($I283,6)),Settings!$AI$14:$AI$60,0)),"Undefined"),_xlfn.ANCHORARRAY(Settings!$BC$14),0)),"Inactive")))</f>
        <v/>
      </c>
      <c r="L283" s="683"/>
      <c r="M283" s="934"/>
      <c r="N283" s="31" t="str">
        <f t="shared" si="1344"/>
        <v>Y</v>
      </c>
      <c r="O283" s="162" t="str">
        <f t="shared" si="1348"/>
        <v/>
      </c>
      <c r="P283" s="162" t="str">
        <f t="shared" si="1349"/>
        <v/>
      </c>
      <c r="Q283" s="162" t="str">
        <f t="shared" si="1350"/>
        <v/>
      </c>
      <c r="R283" s="162" t="str">
        <f t="shared" si="1345"/>
        <v/>
      </c>
      <c r="S283" s="162" t="str">
        <f t="shared" si="1341"/>
        <v/>
      </c>
      <c r="T283" s="162" t="str">
        <f t="shared" si="1342"/>
        <v/>
      </c>
      <c r="U283" s="162" t="str">
        <f>IFERROR(IF(ISNUMBER(MATCH($X283,Settings!$AK$52:$AK$60,0)),INDEX(Settings!$AO$14:$AO$60,MATCH($X283,Settings!$AK$14:$AK$60,0))/2,INDEX(Settings!$AM$14:$AM$60,MATCH($X283,Settings!$AK$14:$AK$60,0))/2),"")</f>
        <v/>
      </c>
      <c r="V283" s="162" t="str">
        <f t="shared" si="1351"/>
        <v/>
      </c>
      <c r="W283" s="75"/>
      <c r="X283" s="937" t="str">
        <f t="shared" si="1346"/>
        <v/>
      </c>
      <c r="Y283" s="31"/>
    </row>
    <row r="284" spans="2:25" x14ac:dyDescent="0.25">
      <c r="B284" s="650"/>
      <c r="C284" s="651"/>
      <c r="D284" s="652"/>
      <c r="E284" s="653"/>
      <c r="F284" s="651"/>
      <c r="G284" s="654"/>
      <c r="H284" s="653"/>
      <c r="I284" s="942"/>
      <c r="J284" s="946"/>
      <c r="K284" s="931" t="str">
        <f>IF($J284="","",IF(IFERROR(INDEX(Settings!$AK$14:$AK$60,MATCH((((ROUND($H284,6)*2)*1000000)+ROUND($I284,6)),Settings!$AI$14:$AI$60,0)),"Undefined")="Undefined","Undefined",IFERROR(INDEX(_xlfn.ANCHORARRAY(Settings!$BC$14),MATCH(IFERROR(INDEX(Settings!$AK$14:$AK$60,MATCH((((ROUND($H284,6)*2)*1000000)+ROUND($I284,6)),Settings!$AI$14:$AI$60,0)),"Undefined"),_xlfn.ANCHORARRAY(Settings!$BC$14),0)),"Inactive")))</f>
        <v/>
      </c>
      <c r="L284" s="683"/>
      <c r="M284" s="934"/>
      <c r="N284" s="31" t="str">
        <f t="shared" si="1344"/>
        <v>Y</v>
      </c>
      <c r="O284" s="162" t="str">
        <f t="shared" si="1348"/>
        <v/>
      </c>
      <c r="P284" s="162" t="str">
        <f t="shared" si="1349"/>
        <v/>
      </c>
      <c r="Q284" s="162" t="str">
        <f t="shared" si="1350"/>
        <v/>
      </c>
      <c r="R284" s="162" t="str">
        <f t="shared" si="1345"/>
        <v/>
      </c>
      <c r="S284" s="162" t="str">
        <f t="shared" si="1341"/>
        <v/>
      </c>
      <c r="T284" s="162" t="str">
        <f t="shared" si="1342"/>
        <v/>
      </c>
      <c r="U284" s="162" t="str">
        <f>IFERROR(IF(ISNUMBER(MATCH($X284,Settings!$AK$52:$AK$60,0)),INDEX(Settings!$AO$14:$AO$60,MATCH($X284,Settings!$AK$14:$AK$60,0))/2,INDEX(Settings!$AM$14:$AM$60,MATCH($X284,Settings!$AK$14:$AK$60,0))/2),"")</f>
        <v/>
      </c>
      <c r="V284" s="162" t="str">
        <f t="shared" si="1351"/>
        <v/>
      </c>
      <c r="W284" s="75"/>
      <c r="X284" s="937" t="str">
        <f t="shared" si="1346"/>
        <v/>
      </c>
      <c r="Y284" s="31"/>
    </row>
    <row r="285" spans="2:25" x14ac:dyDescent="0.25">
      <c r="B285" s="655"/>
      <c r="C285" s="656"/>
      <c r="D285" s="657"/>
      <c r="E285" s="658"/>
      <c r="F285" s="656"/>
      <c r="G285" s="659"/>
      <c r="H285" s="658"/>
      <c r="I285" s="943"/>
      <c r="J285" s="947"/>
      <c r="K285" s="932" t="str">
        <f>IF($J285="","",IF(IFERROR(INDEX(Settings!$AK$14:$AK$60,MATCH((((ROUND($H285,6)*2)*1000000)+ROUND($I285,6)),Settings!$AI$14:$AI$60,0)),"Undefined")="Undefined","Undefined",IFERROR(INDEX(_xlfn.ANCHORARRAY(Settings!$BC$14),MATCH(IFERROR(INDEX(Settings!$AK$14:$AK$60,MATCH((((ROUND($H285,6)*2)*1000000)+ROUND($I285,6)),Settings!$AI$14:$AI$60,0)),"Undefined"),_xlfn.ANCHORARRAY(Settings!$BC$14),0)),"Inactive")))</f>
        <v/>
      </c>
      <c r="L285" s="683"/>
      <c r="M285" s="934"/>
      <c r="N285" s="31" t="str">
        <f t="shared" si="1344"/>
        <v>Y</v>
      </c>
      <c r="O285" s="162" t="str">
        <f t="shared" si="1348"/>
        <v/>
      </c>
      <c r="P285" s="162" t="str">
        <f t="shared" si="1349"/>
        <v/>
      </c>
      <c r="Q285" s="162" t="str">
        <f t="shared" si="1350"/>
        <v/>
      </c>
      <c r="R285" s="162" t="str">
        <f t="shared" si="1345"/>
        <v/>
      </c>
      <c r="S285" s="162" t="str">
        <f t="shared" si="1341"/>
        <v/>
      </c>
      <c r="T285" s="162" t="str">
        <f t="shared" si="1342"/>
        <v/>
      </c>
      <c r="U285" s="162" t="str">
        <f>IFERROR(IF(ISNUMBER(MATCH($X285,Settings!$AK$52:$AK$60,0)),INDEX(Settings!$AO$14:$AO$60,MATCH($X285,Settings!$AK$14:$AK$60,0))/2,INDEX(Settings!$AM$14:$AM$60,MATCH($X285,Settings!$AK$14:$AK$60,0))/2),"")</f>
        <v/>
      </c>
      <c r="V285" s="162" t="str">
        <f t="shared" si="1351"/>
        <v/>
      </c>
      <c r="W285" s="75"/>
      <c r="X285" s="937" t="str">
        <f t="shared" si="1346"/>
        <v/>
      </c>
      <c r="Y285" s="31"/>
    </row>
    <row r="286" spans="2:25" x14ac:dyDescent="0.25">
      <c r="B286" s="655"/>
      <c r="C286" s="656"/>
      <c r="D286" s="657"/>
      <c r="E286" s="658"/>
      <c r="F286" s="656"/>
      <c r="G286" s="659"/>
      <c r="H286" s="658"/>
      <c r="I286" s="943"/>
      <c r="J286" s="947"/>
      <c r="K286" s="932" t="str">
        <f>IF($J286="","",IF(IFERROR(INDEX(Settings!$AK$14:$AK$60,MATCH((((ROUND($H286,6)*2)*1000000)+ROUND($I286,6)),Settings!$AI$14:$AI$60,0)),"Undefined")="Undefined","Undefined",IFERROR(INDEX(_xlfn.ANCHORARRAY(Settings!$BC$14),MATCH(IFERROR(INDEX(Settings!$AK$14:$AK$60,MATCH((((ROUND($H286,6)*2)*1000000)+ROUND($I286,6)),Settings!$AI$14:$AI$60,0)),"Undefined"),_xlfn.ANCHORARRAY(Settings!$BC$14),0)),"Inactive")))</f>
        <v/>
      </c>
      <c r="L286" s="683"/>
      <c r="M286" s="934"/>
      <c r="N286" s="31" t="str">
        <f t="shared" si="1344"/>
        <v>Y</v>
      </c>
      <c r="O286" s="162" t="str">
        <f t="shared" si="1348"/>
        <v/>
      </c>
      <c r="P286" s="162" t="str">
        <f t="shared" si="1349"/>
        <v/>
      </c>
      <c r="Q286" s="162" t="str">
        <f t="shared" si="1350"/>
        <v/>
      </c>
      <c r="R286" s="162" t="str">
        <f t="shared" si="1345"/>
        <v/>
      </c>
      <c r="S286" s="162" t="str">
        <f t="shared" si="1341"/>
        <v/>
      </c>
      <c r="T286" s="162" t="str">
        <f t="shared" si="1342"/>
        <v/>
      </c>
      <c r="U286" s="162" t="str">
        <f>IFERROR(IF(ISNUMBER(MATCH($X286,Settings!$AK$52:$AK$60,0)),INDEX(Settings!$AO$14:$AO$60,MATCH($X286,Settings!$AK$14:$AK$60,0))/2,INDEX(Settings!$AM$14:$AM$60,MATCH($X286,Settings!$AK$14:$AK$60,0))/2),"")</f>
        <v/>
      </c>
      <c r="V286" s="162" t="str">
        <f t="shared" si="1351"/>
        <v/>
      </c>
      <c r="W286" s="75"/>
      <c r="X286" s="937" t="str">
        <f t="shared" si="1346"/>
        <v/>
      </c>
      <c r="Y286" s="31"/>
    </row>
    <row r="287" spans="2:25" x14ac:dyDescent="0.25">
      <c r="B287" s="655"/>
      <c r="C287" s="656"/>
      <c r="D287" s="657"/>
      <c r="E287" s="658"/>
      <c r="F287" s="656"/>
      <c r="G287" s="659"/>
      <c r="H287" s="658"/>
      <c r="I287" s="943"/>
      <c r="J287" s="947"/>
      <c r="K287" s="932" t="str">
        <f>IF($J287="","",IF(IFERROR(INDEX(Settings!$AK$14:$AK$60,MATCH((((ROUND($H287,6)*2)*1000000)+ROUND($I287,6)),Settings!$AI$14:$AI$60,0)),"Undefined")="Undefined","Undefined",IFERROR(INDEX(_xlfn.ANCHORARRAY(Settings!$BC$14),MATCH(IFERROR(INDEX(Settings!$AK$14:$AK$60,MATCH((((ROUND($H287,6)*2)*1000000)+ROUND($I287,6)),Settings!$AI$14:$AI$60,0)),"Undefined"),_xlfn.ANCHORARRAY(Settings!$BC$14),0)),"Inactive")))</f>
        <v/>
      </c>
      <c r="L287" s="683"/>
      <c r="M287" s="934"/>
      <c r="N287" s="31" t="str">
        <f t="shared" si="1344"/>
        <v>Y</v>
      </c>
      <c r="O287" s="162" t="str">
        <f t="shared" si="1348"/>
        <v/>
      </c>
      <c r="P287" s="162" t="str">
        <f t="shared" si="1349"/>
        <v/>
      </c>
      <c r="Q287" s="162" t="str">
        <f t="shared" si="1350"/>
        <v/>
      </c>
      <c r="R287" s="162" t="str">
        <f t="shared" si="1345"/>
        <v/>
      </c>
      <c r="S287" s="162" t="str">
        <f t="shared" si="1341"/>
        <v/>
      </c>
      <c r="T287" s="162" t="str">
        <f t="shared" si="1342"/>
        <v/>
      </c>
      <c r="U287" s="162" t="str">
        <f>IFERROR(IF(ISNUMBER(MATCH($X287,Settings!$AK$52:$AK$60,0)),INDEX(Settings!$AO$14:$AO$60,MATCH($X287,Settings!$AK$14:$AK$60,0))/2,INDEX(Settings!$AM$14:$AM$60,MATCH($X287,Settings!$AK$14:$AK$60,0))/2),"")</f>
        <v/>
      </c>
      <c r="V287" s="162" t="str">
        <f t="shared" si="1351"/>
        <v/>
      </c>
      <c r="W287" s="75"/>
      <c r="X287" s="937" t="str">
        <f t="shared" si="1346"/>
        <v/>
      </c>
      <c r="Y287" s="31"/>
    </row>
    <row r="288" spans="2:25" x14ac:dyDescent="0.25">
      <c r="B288" s="655"/>
      <c r="C288" s="656"/>
      <c r="D288" s="657"/>
      <c r="E288" s="658"/>
      <c r="F288" s="656"/>
      <c r="G288" s="659"/>
      <c r="H288" s="658"/>
      <c r="I288" s="943"/>
      <c r="J288" s="947"/>
      <c r="K288" s="932" t="str">
        <f>IF($J288="","",IF(IFERROR(INDEX(Settings!$AK$14:$AK$60,MATCH((((ROUND($H288,6)*2)*1000000)+ROUND($I288,6)),Settings!$AI$14:$AI$60,0)),"Undefined")="Undefined","Undefined",IFERROR(INDEX(_xlfn.ANCHORARRAY(Settings!$BC$14),MATCH(IFERROR(INDEX(Settings!$AK$14:$AK$60,MATCH((((ROUND($H288,6)*2)*1000000)+ROUND($I288,6)),Settings!$AI$14:$AI$60,0)),"Undefined"),_xlfn.ANCHORARRAY(Settings!$BC$14),0)),"Inactive")))</f>
        <v/>
      </c>
      <c r="L288" s="683"/>
      <c r="M288" s="934"/>
      <c r="N288" s="31" t="str">
        <f t="shared" si="1344"/>
        <v>Y</v>
      </c>
      <c r="O288" s="162" t="str">
        <f t="shared" si="1348"/>
        <v/>
      </c>
      <c r="P288" s="162" t="str">
        <f t="shared" si="1349"/>
        <v/>
      </c>
      <c r="Q288" s="162" t="str">
        <f t="shared" si="1350"/>
        <v/>
      </c>
      <c r="R288" s="162" t="str">
        <f t="shared" si="1345"/>
        <v/>
      </c>
      <c r="S288" s="162" t="str">
        <f t="shared" si="1341"/>
        <v/>
      </c>
      <c r="T288" s="162" t="str">
        <f t="shared" si="1342"/>
        <v/>
      </c>
      <c r="U288" s="162" t="str">
        <f>IFERROR(IF(ISNUMBER(MATCH($X288,Settings!$AK$52:$AK$60,0)),INDEX(Settings!$AO$14:$AO$60,MATCH($X288,Settings!$AK$14:$AK$60,0))/2,INDEX(Settings!$AM$14:$AM$60,MATCH($X288,Settings!$AK$14:$AK$60,0))/2),"")</f>
        <v/>
      </c>
      <c r="V288" s="162" t="str">
        <f t="shared" si="1351"/>
        <v/>
      </c>
      <c r="W288" s="75"/>
      <c r="X288" s="937" t="str">
        <f t="shared" si="1346"/>
        <v/>
      </c>
    </row>
    <row r="289" spans="2:24" x14ac:dyDescent="0.25">
      <c r="B289" s="655"/>
      <c r="C289" s="656"/>
      <c r="D289" s="657"/>
      <c r="E289" s="658"/>
      <c r="F289" s="656"/>
      <c r="G289" s="659"/>
      <c r="H289" s="658"/>
      <c r="I289" s="943"/>
      <c r="J289" s="947"/>
      <c r="K289" s="932" t="str">
        <f>IF($J289="","",IF(IFERROR(INDEX(Settings!$AK$14:$AK$60,MATCH((((ROUND($H289,6)*2)*1000000)+ROUND($I289,6)),Settings!$AI$14:$AI$60,0)),"Undefined")="Undefined","Undefined",IFERROR(INDEX(_xlfn.ANCHORARRAY(Settings!$BC$14),MATCH(IFERROR(INDEX(Settings!$AK$14:$AK$60,MATCH((((ROUND($H289,6)*2)*1000000)+ROUND($I289,6)),Settings!$AI$14:$AI$60,0)),"Undefined"),_xlfn.ANCHORARRAY(Settings!$BC$14),0)),"Inactive")))</f>
        <v/>
      </c>
      <c r="L289" s="683"/>
      <c r="M289" s="934"/>
      <c r="N289" s="31" t="str">
        <f t="shared" si="1344"/>
        <v>Y</v>
      </c>
      <c r="O289" s="162" t="str">
        <f t="shared" si="1348"/>
        <v/>
      </c>
      <c r="P289" s="162" t="str">
        <f t="shared" si="1349"/>
        <v/>
      </c>
      <c r="Q289" s="162" t="str">
        <f t="shared" si="1350"/>
        <v/>
      </c>
      <c r="R289" s="162" t="str">
        <f t="shared" si="1345"/>
        <v/>
      </c>
      <c r="S289" s="162" t="str">
        <f t="shared" si="1341"/>
        <v/>
      </c>
      <c r="T289" s="162" t="str">
        <f t="shared" si="1342"/>
        <v/>
      </c>
      <c r="U289" s="162" t="str">
        <f>IFERROR(IF(ISNUMBER(MATCH($X289,Settings!$AK$52:$AK$60,0)),INDEX(Settings!$AO$14:$AO$60,MATCH($X289,Settings!$AK$14:$AK$60,0))/2,INDEX(Settings!$AM$14:$AM$60,MATCH($X289,Settings!$AK$14:$AK$60,0))/2),"")</f>
        <v/>
      </c>
      <c r="V289" s="162" t="str">
        <f t="shared" si="1351"/>
        <v/>
      </c>
      <c r="W289" s="75"/>
      <c r="X289" s="937" t="str">
        <f t="shared" si="1346"/>
        <v/>
      </c>
    </row>
    <row r="290" spans="2:24" x14ac:dyDescent="0.25">
      <c r="B290" s="655"/>
      <c r="C290" s="656"/>
      <c r="D290" s="657"/>
      <c r="E290" s="658"/>
      <c r="F290" s="656"/>
      <c r="G290" s="659"/>
      <c r="H290" s="658"/>
      <c r="I290" s="943"/>
      <c r="J290" s="947"/>
      <c r="K290" s="932" t="str">
        <f>IF($J290="","",IF(IFERROR(INDEX(Settings!$AK$14:$AK$60,MATCH((((ROUND($H290,6)*2)*1000000)+ROUND($I290,6)),Settings!$AI$14:$AI$60,0)),"Undefined")="Undefined","Undefined",IFERROR(INDEX(_xlfn.ANCHORARRAY(Settings!$BC$14),MATCH(IFERROR(INDEX(Settings!$AK$14:$AK$60,MATCH((((ROUND($H290,6)*2)*1000000)+ROUND($I290,6)),Settings!$AI$14:$AI$60,0)),"Undefined"),_xlfn.ANCHORARRAY(Settings!$BC$14),0)),"Inactive")))</f>
        <v/>
      </c>
      <c r="L290" s="683"/>
      <c r="M290" s="934"/>
      <c r="N290" s="31" t="str">
        <f t="shared" si="1344"/>
        <v>Y</v>
      </c>
      <c r="O290" s="162" t="str">
        <f t="shared" si="1348"/>
        <v/>
      </c>
      <c r="P290" s="162" t="str">
        <f t="shared" si="1349"/>
        <v/>
      </c>
      <c r="Q290" s="162" t="str">
        <f t="shared" si="1350"/>
        <v/>
      </c>
      <c r="R290" s="162" t="str">
        <f t="shared" si="1345"/>
        <v/>
      </c>
      <c r="S290" s="162" t="str">
        <f t="shared" si="1341"/>
        <v/>
      </c>
      <c r="T290" s="162" t="str">
        <f t="shared" si="1342"/>
        <v/>
      </c>
      <c r="U290" s="162" t="str">
        <f>IFERROR(IF(ISNUMBER(MATCH($X290,Settings!$AK$52:$AK$60,0)),INDEX(Settings!$AO$14:$AO$60,MATCH($X290,Settings!$AK$14:$AK$60,0))/2,INDEX(Settings!$AM$14:$AM$60,MATCH($X290,Settings!$AK$14:$AK$60,0))/2),"")</f>
        <v/>
      </c>
      <c r="V290" s="162" t="str">
        <f t="shared" si="1351"/>
        <v/>
      </c>
      <c r="W290" s="75"/>
      <c r="X290" s="937" t="str">
        <f t="shared" si="1346"/>
        <v/>
      </c>
    </row>
    <row r="291" spans="2:24" x14ac:dyDescent="0.25">
      <c r="B291" s="655"/>
      <c r="C291" s="656"/>
      <c r="D291" s="657"/>
      <c r="E291" s="658"/>
      <c r="F291" s="656"/>
      <c r="G291" s="659"/>
      <c r="H291" s="658"/>
      <c r="I291" s="943"/>
      <c r="J291" s="947"/>
      <c r="K291" s="932" t="str">
        <f>IF($J291="","",IF(IFERROR(INDEX(Settings!$AK$14:$AK$60,MATCH((((ROUND($H291,6)*2)*1000000)+ROUND($I291,6)),Settings!$AI$14:$AI$60,0)),"Undefined")="Undefined","Undefined",IFERROR(INDEX(_xlfn.ANCHORARRAY(Settings!$BC$14),MATCH(IFERROR(INDEX(Settings!$AK$14:$AK$60,MATCH((((ROUND($H291,6)*2)*1000000)+ROUND($I291,6)),Settings!$AI$14:$AI$60,0)),"Undefined"),_xlfn.ANCHORARRAY(Settings!$BC$14),0)),"Inactive")))</f>
        <v/>
      </c>
      <c r="L291" s="683"/>
      <c r="M291" s="934"/>
      <c r="O291" s="162" t="str">
        <f t="shared" si="1348"/>
        <v/>
      </c>
      <c r="P291" s="162" t="str">
        <f t="shared" si="1349"/>
        <v/>
      </c>
      <c r="Q291" s="162" t="str">
        <f t="shared" si="1350"/>
        <v/>
      </c>
      <c r="R291" s="162" t="str">
        <f t="shared" si="1345"/>
        <v/>
      </c>
      <c r="S291" s="162" t="str">
        <f t="shared" si="1341"/>
        <v/>
      </c>
      <c r="T291" s="162" t="str">
        <f t="shared" si="1342"/>
        <v/>
      </c>
      <c r="U291" s="162" t="str">
        <f>IFERROR(IF(ISNUMBER(MATCH($X291,Settings!$AK$52:$AK$60,0)),INDEX(Settings!$AO$14:$AO$60,MATCH($X291,Settings!$AK$14:$AK$60,0))/2,INDEX(Settings!$AM$14:$AM$60,MATCH($X291,Settings!$AK$14:$AK$60,0))/2),"")</f>
        <v/>
      </c>
      <c r="V291" s="162" t="str">
        <f t="shared" si="1351"/>
        <v/>
      </c>
      <c r="W291" s="75"/>
      <c r="X291" s="937" t="str">
        <f t="shared" si="1346"/>
        <v/>
      </c>
    </row>
    <row r="292" spans="2:24" x14ac:dyDescent="0.25">
      <c r="B292" s="655"/>
      <c r="C292" s="656"/>
      <c r="D292" s="657"/>
      <c r="E292" s="658"/>
      <c r="F292" s="656"/>
      <c r="G292" s="659"/>
      <c r="H292" s="658"/>
      <c r="I292" s="943"/>
      <c r="J292" s="947"/>
      <c r="K292" s="932" t="str">
        <f>IF($J292="","",IF(IFERROR(INDEX(Settings!$AK$14:$AK$60,MATCH((((ROUND($H292,6)*2)*1000000)+ROUND($I292,6)),Settings!$AI$14:$AI$60,0)),"Undefined")="Undefined","Undefined",IFERROR(INDEX(_xlfn.ANCHORARRAY(Settings!$BC$14),MATCH(IFERROR(INDEX(Settings!$AK$14:$AK$60,MATCH((((ROUND($H292,6)*2)*1000000)+ROUND($I292,6)),Settings!$AI$14:$AI$60,0)),"Undefined"),_xlfn.ANCHORARRAY(Settings!$BC$14),0)),"Inactive")))</f>
        <v/>
      </c>
      <c r="L292" s="683"/>
      <c r="M292" s="934"/>
      <c r="O292" s="162" t="str">
        <f t="shared" ref="O292:O305" si="1352">IFERROR(INDEX(B$164:B$305,MATCH($W292,$J$164:$J$305,0)),"")</f>
        <v/>
      </c>
      <c r="P292" s="162" t="str">
        <f t="shared" ref="P292:P305" si="1353">IFERROR(INDEX(C$164:C$305,MATCH($W292,$J$164:$J$305,0)),"")</f>
        <v/>
      </c>
      <c r="Q292" s="162" t="str">
        <f t="shared" ref="Q292:Q305" si="1354">IFERROR(INDEX(D$164:D$305,MATCH($W292,$J$164:$J$305,0)),"")</f>
        <v/>
      </c>
      <c r="R292" s="162" t="str">
        <f t="shared" si="1345"/>
        <v/>
      </c>
      <c r="S292" s="162" t="str">
        <f t="shared" ref="S292:S305" si="1355">IFERROR(IF($L292="Y",-1*INDEX(F$164:F$305,MATCH($W292,$J$164:$J$305,0)),INDEX(F$164:F$305,MATCH($W292,$J$164:$J$305,0))),"")</f>
        <v/>
      </c>
      <c r="T292" s="162" t="str">
        <f t="shared" ref="T292:T305" si="1356">IFERROR(IF($L292="Y",-1*INDEX(G$164:G$305,MATCH($W292,$J$164:$J$305,0)),INDEX(G$164:G$305,MATCH($W292,$J$164:$J$305,0))),"")</f>
        <v/>
      </c>
      <c r="U292" s="162" t="str">
        <f>IFERROR(IF(ISNUMBER(MATCH($X292,Settings!$AK$52:$AK$60,0)),INDEX(Settings!$AO$14:$AO$60,MATCH($X292,Settings!$AK$14:$AK$60,0))/2,INDEX(Settings!$AM$14:$AM$60,MATCH($X292,Settings!$AK$14:$AK$60,0))/2),"")</f>
        <v/>
      </c>
      <c r="V292" s="162" t="str">
        <f t="shared" ref="V292:V305" si="1357">IFERROR(INDEX(I$164:I$305,MATCH($W292,$J$164:$J$305,0)),"")</f>
        <v/>
      </c>
      <c r="W292" s="75"/>
      <c r="X292" s="937" t="str">
        <f t="shared" si="1346"/>
        <v/>
      </c>
    </row>
    <row r="293" spans="2:24" x14ac:dyDescent="0.25">
      <c r="B293" s="655"/>
      <c r="C293" s="656"/>
      <c r="D293" s="657"/>
      <c r="E293" s="658"/>
      <c r="F293" s="656"/>
      <c r="G293" s="659"/>
      <c r="H293" s="658"/>
      <c r="I293" s="943"/>
      <c r="J293" s="947"/>
      <c r="K293" s="932" t="str">
        <f>IF($J293="","",IF(IFERROR(INDEX(Settings!$AK$14:$AK$60,MATCH((((ROUND($H293,6)*2)*1000000)+ROUND($I293,6)),Settings!$AI$14:$AI$60,0)),"Undefined")="Undefined","Undefined",IFERROR(INDEX(_xlfn.ANCHORARRAY(Settings!$BC$14),MATCH(IFERROR(INDEX(Settings!$AK$14:$AK$60,MATCH((((ROUND($H293,6)*2)*1000000)+ROUND($I293,6)),Settings!$AI$14:$AI$60,0)),"Undefined"),_xlfn.ANCHORARRAY(Settings!$BC$14),0)),"Inactive")))</f>
        <v/>
      </c>
      <c r="L293" s="683"/>
      <c r="M293" s="934"/>
      <c r="O293" s="162" t="str">
        <f t="shared" si="1352"/>
        <v/>
      </c>
      <c r="P293" s="162" t="str">
        <f t="shared" si="1353"/>
        <v/>
      </c>
      <c r="Q293" s="162" t="str">
        <f t="shared" si="1354"/>
        <v/>
      </c>
      <c r="R293" s="162" t="str">
        <f t="shared" ref="R293:R305" si="1358">IFERROR(IF($L293="Y",-1*INDEX(E$164:E$305,MATCH($W293,$J$164:$J$305,0)),INDEX(E$164:E$305,MATCH($W293,$J$164:$J$305,0))),"")</f>
        <v/>
      </c>
      <c r="S293" s="162" t="str">
        <f t="shared" si="1355"/>
        <v/>
      </c>
      <c r="T293" s="162" t="str">
        <f t="shared" si="1356"/>
        <v/>
      </c>
      <c r="U293" s="162" t="str">
        <f>IFERROR(IF(ISNUMBER(MATCH($X293,Settings!$AK$52:$AK$60,0)),INDEX(Settings!$AO$14:$AO$60,MATCH($X293,Settings!$AK$14:$AK$60,0))/2,INDEX(Settings!$AM$14:$AM$60,MATCH($X293,Settings!$AK$14:$AK$60,0))/2),"")</f>
        <v/>
      </c>
      <c r="V293" s="162" t="str">
        <f t="shared" si="1357"/>
        <v/>
      </c>
      <c r="W293" s="75"/>
      <c r="X293" s="937" t="str">
        <f t="shared" ref="X293:X305" si="1359">IFERROR(INDEX(K$164:K$305,MATCH($W293,$J$164:$J$305,0)),"")</f>
        <v/>
      </c>
    </row>
    <row r="294" spans="2:24" x14ac:dyDescent="0.25">
      <c r="B294" s="655"/>
      <c r="C294" s="656"/>
      <c r="D294" s="657"/>
      <c r="E294" s="658"/>
      <c r="F294" s="656"/>
      <c r="G294" s="659"/>
      <c r="H294" s="658"/>
      <c r="I294" s="943"/>
      <c r="J294" s="947"/>
      <c r="K294" s="932" t="str">
        <f>IF($J294="","",IF(IFERROR(INDEX(Settings!$AK$14:$AK$60,MATCH((((ROUND($H294,6)*2)*1000000)+ROUND($I294,6)),Settings!$AI$14:$AI$60,0)),"Undefined")="Undefined","Undefined",IFERROR(INDEX(_xlfn.ANCHORARRAY(Settings!$BC$14),MATCH(IFERROR(INDEX(Settings!$AK$14:$AK$60,MATCH((((ROUND($H294,6)*2)*1000000)+ROUND($I294,6)),Settings!$AI$14:$AI$60,0)),"Undefined"),_xlfn.ANCHORARRAY(Settings!$BC$14),0)),"Inactive")))</f>
        <v/>
      </c>
      <c r="L294" s="683"/>
      <c r="M294" s="934"/>
      <c r="O294" s="162" t="str">
        <f t="shared" si="1352"/>
        <v/>
      </c>
      <c r="P294" s="162" t="str">
        <f t="shared" si="1353"/>
        <v/>
      </c>
      <c r="Q294" s="162" t="str">
        <f t="shared" si="1354"/>
        <v/>
      </c>
      <c r="R294" s="162" t="str">
        <f t="shared" si="1358"/>
        <v/>
      </c>
      <c r="S294" s="162" t="str">
        <f t="shared" si="1355"/>
        <v/>
      </c>
      <c r="T294" s="162" t="str">
        <f t="shared" si="1356"/>
        <v/>
      </c>
      <c r="U294" s="162" t="str">
        <f>IFERROR(IF(ISNUMBER(MATCH($X294,Settings!$AK$52:$AK$60,0)),INDEX(Settings!$AO$14:$AO$60,MATCH($X294,Settings!$AK$14:$AK$60,0))/2,INDEX(Settings!$AM$14:$AM$60,MATCH($X294,Settings!$AK$14:$AK$60,0))/2),"")</f>
        <v/>
      </c>
      <c r="V294" s="162" t="str">
        <f t="shared" si="1357"/>
        <v/>
      </c>
      <c r="W294" s="75"/>
      <c r="X294" s="937" t="str">
        <f t="shared" si="1359"/>
        <v/>
      </c>
    </row>
    <row r="295" spans="2:24" x14ac:dyDescent="0.25">
      <c r="B295" s="655"/>
      <c r="C295" s="656"/>
      <c r="D295" s="657"/>
      <c r="E295" s="658"/>
      <c r="F295" s="656"/>
      <c r="G295" s="659"/>
      <c r="H295" s="658"/>
      <c r="I295" s="943"/>
      <c r="J295" s="947"/>
      <c r="K295" s="932" t="str">
        <f>IF($J295="","",IF(IFERROR(INDEX(Settings!$AK$14:$AK$60,MATCH((((ROUND($H295,6)*2)*1000000)+ROUND($I295,6)),Settings!$AI$14:$AI$60,0)),"Undefined")="Undefined","Undefined",IFERROR(INDEX(_xlfn.ANCHORARRAY(Settings!$BC$14),MATCH(IFERROR(INDEX(Settings!$AK$14:$AK$60,MATCH((((ROUND($H295,6)*2)*1000000)+ROUND($I295,6)),Settings!$AI$14:$AI$60,0)),"Undefined"),_xlfn.ANCHORARRAY(Settings!$BC$14),0)),"Inactive")))</f>
        <v/>
      </c>
      <c r="L295" s="683"/>
      <c r="M295" s="934"/>
      <c r="O295" s="162" t="str">
        <f t="shared" si="1352"/>
        <v/>
      </c>
      <c r="P295" s="162" t="str">
        <f t="shared" si="1353"/>
        <v/>
      </c>
      <c r="Q295" s="162" t="str">
        <f t="shared" si="1354"/>
        <v/>
      </c>
      <c r="R295" s="162" t="str">
        <f t="shared" si="1358"/>
        <v/>
      </c>
      <c r="S295" s="162" t="str">
        <f t="shared" si="1355"/>
        <v/>
      </c>
      <c r="T295" s="162" t="str">
        <f t="shared" si="1356"/>
        <v/>
      </c>
      <c r="U295" s="162" t="str">
        <f>IFERROR(IF(ISNUMBER(MATCH($X295,Settings!$AK$52:$AK$60,0)),INDEX(Settings!$AO$14:$AO$60,MATCH($X295,Settings!$AK$14:$AK$60,0))/2,INDEX(Settings!$AM$14:$AM$60,MATCH($X295,Settings!$AK$14:$AK$60,0))/2),"")</f>
        <v/>
      </c>
      <c r="V295" s="162" t="str">
        <f t="shared" si="1357"/>
        <v/>
      </c>
      <c r="W295" s="75"/>
      <c r="X295" s="937" t="str">
        <f t="shared" si="1359"/>
        <v/>
      </c>
    </row>
    <row r="296" spans="2:24" x14ac:dyDescent="0.25">
      <c r="B296" s="655"/>
      <c r="C296" s="656"/>
      <c r="D296" s="657"/>
      <c r="E296" s="658"/>
      <c r="F296" s="656"/>
      <c r="G296" s="659"/>
      <c r="H296" s="658"/>
      <c r="I296" s="943"/>
      <c r="J296" s="947"/>
      <c r="K296" s="932" t="str">
        <f>IF($J296="","",IF(IFERROR(INDEX(Settings!$AK$14:$AK$60,MATCH((((ROUND($H296,6)*2)*1000000)+ROUND($I296,6)),Settings!$AI$14:$AI$60,0)),"Undefined")="Undefined","Undefined",IFERROR(INDEX(_xlfn.ANCHORARRAY(Settings!$BC$14),MATCH(IFERROR(INDEX(Settings!$AK$14:$AK$60,MATCH((((ROUND($H296,6)*2)*1000000)+ROUND($I296,6)),Settings!$AI$14:$AI$60,0)),"Undefined"),_xlfn.ANCHORARRAY(Settings!$BC$14),0)),"Inactive")))</f>
        <v/>
      </c>
      <c r="L296" s="683"/>
      <c r="M296" s="934"/>
      <c r="O296" s="162" t="str">
        <f t="shared" si="1352"/>
        <v/>
      </c>
      <c r="P296" s="162" t="str">
        <f t="shared" si="1353"/>
        <v/>
      </c>
      <c r="Q296" s="162" t="str">
        <f t="shared" si="1354"/>
        <v/>
      </c>
      <c r="R296" s="162" t="str">
        <f t="shared" si="1358"/>
        <v/>
      </c>
      <c r="S296" s="162" t="str">
        <f t="shared" si="1355"/>
        <v/>
      </c>
      <c r="T296" s="162" t="str">
        <f t="shared" si="1356"/>
        <v/>
      </c>
      <c r="U296" s="162" t="str">
        <f>IFERROR(IF(ISNUMBER(MATCH($X296,Settings!$AK$52:$AK$60,0)),INDEX(Settings!$AO$14:$AO$60,MATCH($X296,Settings!$AK$14:$AK$60,0))/2,INDEX(Settings!$AM$14:$AM$60,MATCH($X296,Settings!$AK$14:$AK$60,0))/2),"")</f>
        <v/>
      </c>
      <c r="V296" s="162" t="str">
        <f t="shared" si="1357"/>
        <v/>
      </c>
      <c r="W296" s="75"/>
      <c r="X296" s="937" t="str">
        <f t="shared" si="1359"/>
        <v/>
      </c>
    </row>
    <row r="297" spans="2:24" x14ac:dyDescent="0.25">
      <c r="B297" s="655"/>
      <c r="C297" s="656"/>
      <c r="D297" s="657"/>
      <c r="E297" s="658"/>
      <c r="F297" s="656"/>
      <c r="G297" s="659"/>
      <c r="H297" s="658"/>
      <c r="I297" s="943"/>
      <c r="J297" s="947"/>
      <c r="K297" s="932" t="str">
        <f>IF($J297="","",IF(IFERROR(INDEX(Settings!$AK$14:$AK$60,MATCH((((ROUND($H297,6)*2)*1000000)+ROUND($I297,6)),Settings!$AI$14:$AI$60,0)),"Undefined")="Undefined","Undefined",IFERROR(INDEX(_xlfn.ANCHORARRAY(Settings!$BC$14),MATCH(IFERROR(INDEX(Settings!$AK$14:$AK$60,MATCH((((ROUND($H297,6)*2)*1000000)+ROUND($I297,6)),Settings!$AI$14:$AI$60,0)),"Undefined"),_xlfn.ANCHORARRAY(Settings!$BC$14),0)),"Inactive")))</f>
        <v/>
      </c>
      <c r="L297" s="683"/>
      <c r="M297" s="934"/>
      <c r="O297" s="162" t="str">
        <f t="shared" si="1352"/>
        <v/>
      </c>
      <c r="P297" s="162" t="str">
        <f t="shared" si="1353"/>
        <v/>
      </c>
      <c r="Q297" s="162" t="str">
        <f t="shared" si="1354"/>
        <v/>
      </c>
      <c r="R297" s="162" t="str">
        <f t="shared" si="1358"/>
        <v/>
      </c>
      <c r="S297" s="162" t="str">
        <f t="shared" si="1355"/>
        <v/>
      </c>
      <c r="T297" s="162" t="str">
        <f t="shared" si="1356"/>
        <v/>
      </c>
      <c r="U297" s="162" t="str">
        <f>IFERROR(IF(ISNUMBER(MATCH($X297,Settings!$AK$52:$AK$60,0)),INDEX(Settings!$AO$14:$AO$60,MATCH($X297,Settings!$AK$14:$AK$60,0))/2,INDEX(Settings!$AM$14:$AM$60,MATCH($X297,Settings!$AK$14:$AK$60,0))/2),"")</f>
        <v/>
      </c>
      <c r="V297" s="162" t="str">
        <f t="shared" si="1357"/>
        <v/>
      </c>
      <c r="W297" s="75"/>
      <c r="X297" s="937" t="str">
        <f t="shared" si="1359"/>
        <v/>
      </c>
    </row>
    <row r="298" spans="2:24" x14ac:dyDescent="0.25">
      <c r="B298" s="655"/>
      <c r="C298" s="656"/>
      <c r="D298" s="657"/>
      <c r="E298" s="658"/>
      <c r="F298" s="656"/>
      <c r="G298" s="659"/>
      <c r="H298" s="658"/>
      <c r="I298" s="943"/>
      <c r="J298" s="947"/>
      <c r="K298" s="932" t="str">
        <f>IF($J298="","",IF(IFERROR(INDEX(Settings!$AK$14:$AK$60,MATCH((((ROUND($H298,6)*2)*1000000)+ROUND($I298,6)),Settings!$AI$14:$AI$60,0)),"Undefined")="Undefined","Undefined",IFERROR(INDEX(_xlfn.ANCHORARRAY(Settings!$BC$14),MATCH(IFERROR(INDEX(Settings!$AK$14:$AK$60,MATCH((((ROUND($H298,6)*2)*1000000)+ROUND($I298,6)),Settings!$AI$14:$AI$60,0)),"Undefined"),_xlfn.ANCHORARRAY(Settings!$BC$14),0)),"Inactive")))</f>
        <v/>
      </c>
      <c r="L298" s="683"/>
      <c r="M298" s="934"/>
      <c r="O298" s="162" t="str">
        <f t="shared" si="1352"/>
        <v/>
      </c>
      <c r="P298" s="162" t="str">
        <f t="shared" si="1353"/>
        <v/>
      </c>
      <c r="Q298" s="162" t="str">
        <f t="shared" si="1354"/>
        <v/>
      </c>
      <c r="R298" s="162" t="str">
        <f t="shared" si="1358"/>
        <v/>
      </c>
      <c r="S298" s="162" t="str">
        <f t="shared" si="1355"/>
        <v/>
      </c>
      <c r="T298" s="162" t="str">
        <f t="shared" si="1356"/>
        <v/>
      </c>
      <c r="U298" s="162" t="str">
        <f>IFERROR(IF(ISNUMBER(MATCH($X298,Settings!$AK$52:$AK$60,0)),INDEX(Settings!$AO$14:$AO$60,MATCH($X298,Settings!$AK$14:$AK$60,0))/2,INDEX(Settings!$AM$14:$AM$60,MATCH($X298,Settings!$AK$14:$AK$60,0))/2),"")</f>
        <v/>
      </c>
      <c r="V298" s="162" t="str">
        <f t="shared" si="1357"/>
        <v/>
      </c>
      <c r="W298" s="75"/>
      <c r="X298" s="937" t="str">
        <f t="shared" si="1359"/>
        <v/>
      </c>
    </row>
    <row r="299" spans="2:24" x14ac:dyDescent="0.25">
      <c r="B299" s="655"/>
      <c r="C299" s="656"/>
      <c r="D299" s="657"/>
      <c r="E299" s="658"/>
      <c r="F299" s="656"/>
      <c r="G299" s="659"/>
      <c r="H299" s="658"/>
      <c r="I299" s="943"/>
      <c r="J299" s="947"/>
      <c r="K299" s="932" t="str">
        <f>IF($J299="","",IF(IFERROR(INDEX(Settings!$AK$14:$AK$60,MATCH((((ROUND($H299,6)*2)*1000000)+ROUND($I299,6)),Settings!$AI$14:$AI$60,0)),"Undefined")="Undefined","Undefined",IFERROR(INDEX(_xlfn.ANCHORARRAY(Settings!$BC$14),MATCH(IFERROR(INDEX(Settings!$AK$14:$AK$60,MATCH((((ROUND($H299,6)*2)*1000000)+ROUND($I299,6)),Settings!$AI$14:$AI$60,0)),"Undefined"),_xlfn.ANCHORARRAY(Settings!$BC$14),0)),"Inactive")))</f>
        <v/>
      </c>
      <c r="L299" s="683"/>
      <c r="M299" s="934"/>
      <c r="O299" s="162" t="str">
        <f t="shared" si="1352"/>
        <v/>
      </c>
      <c r="P299" s="162" t="str">
        <f t="shared" si="1353"/>
        <v/>
      </c>
      <c r="Q299" s="162" t="str">
        <f t="shared" si="1354"/>
        <v/>
      </c>
      <c r="R299" s="162" t="str">
        <f t="shared" si="1358"/>
        <v/>
      </c>
      <c r="S299" s="162" t="str">
        <f t="shared" si="1355"/>
        <v/>
      </c>
      <c r="T299" s="162" t="str">
        <f t="shared" si="1356"/>
        <v/>
      </c>
      <c r="U299" s="162" t="str">
        <f>IFERROR(IF(ISNUMBER(MATCH($X299,Settings!$AK$52:$AK$60,0)),INDEX(Settings!$AO$14:$AO$60,MATCH($X299,Settings!$AK$14:$AK$60,0))/2,INDEX(Settings!$AM$14:$AM$60,MATCH($X299,Settings!$AK$14:$AK$60,0))/2),"")</f>
        <v/>
      </c>
      <c r="V299" s="162" t="str">
        <f t="shared" si="1357"/>
        <v/>
      </c>
      <c r="W299" s="75"/>
      <c r="X299" s="937" t="str">
        <f t="shared" si="1359"/>
        <v/>
      </c>
    </row>
    <row r="300" spans="2:24" x14ac:dyDescent="0.25">
      <c r="B300" s="655"/>
      <c r="C300" s="656"/>
      <c r="D300" s="657"/>
      <c r="E300" s="658"/>
      <c r="F300" s="656"/>
      <c r="G300" s="659"/>
      <c r="H300" s="658"/>
      <c r="I300" s="943"/>
      <c r="J300" s="947"/>
      <c r="K300" s="932" t="str">
        <f>IF($J300="","",IF(IFERROR(INDEX(Settings!$AK$14:$AK$60,MATCH((((ROUND($H300,6)*2)*1000000)+ROUND($I300,6)),Settings!$AI$14:$AI$60,0)),"Undefined")="Undefined","Undefined",IFERROR(INDEX(_xlfn.ANCHORARRAY(Settings!$BC$14),MATCH(IFERROR(INDEX(Settings!$AK$14:$AK$60,MATCH((((ROUND($H300,6)*2)*1000000)+ROUND($I300,6)),Settings!$AI$14:$AI$60,0)),"Undefined"),_xlfn.ANCHORARRAY(Settings!$BC$14),0)),"Inactive")))</f>
        <v/>
      </c>
      <c r="L300" s="683"/>
      <c r="M300" s="934"/>
      <c r="O300" s="162" t="str">
        <f t="shared" si="1352"/>
        <v/>
      </c>
      <c r="P300" s="162" t="str">
        <f t="shared" si="1353"/>
        <v/>
      </c>
      <c r="Q300" s="162" t="str">
        <f t="shared" si="1354"/>
        <v/>
      </c>
      <c r="R300" s="162" t="str">
        <f t="shared" si="1358"/>
        <v/>
      </c>
      <c r="S300" s="162" t="str">
        <f t="shared" si="1355"/>
        <v/>
      </c>
      <c r="T300" s="162" t="str">
        <f t="shared" si="1356"/>
        <v/>
      </c>
      <c r="U300" s="162" t="str">
        <f>IFERROR(IF(ISNUMBER(MATCH($X300,Settings!$AK$52:$AK$60,0)),INDEX(Settings!$AO$14:$AO$60,MATCH($X300,Settings!$AK$14:$AK$60,0))/2,INDEX(Settings!$AM$14:$AM$60,MATCH($X300,Settings!$AK$14:$AK$60,0))/2),"")</f>
        <v/>
      </c>
      <c r="V300" s="162" t="str">
        <f t="shared" si="1357"/>
        <v/>
      </c>
      <c r="W300" s="75"/>
      <c r="X300" s="937" t="str">
        <f t="shared" si="1359"/>
        <v/>
      </c>
    </row>
    <row r="301" spans="2:24" x14ac:dyDescent="0.25">
      <c r="B301" s="655"/>
      <c r="C301" s="656"/>
      <c r="D301" s="657"/>
      <c r="E301" s="658"/>
      <c r="F301" s="656"/>
      <c r="G301" s="659"/>
      <c r="H301" s="658"/>
      <c r="I301" s="943"/>
      <c r="J301" s="947"/>
      <c r="K301" s="932" t="str">
        <f>IF($J301="","",IF(IFERROR(INDEX(Settings!$AK$14:$AK$60,MATCH((((ROUND($H301,6)*2)*1000000)+ROUND($I301,6)),Settings!$AI$14:$AI$60,0)),"Undefined")="Undefined","Undefined",IFERROR(INDEX(_xlfn.ANCHORARRAY(Settings!$BC$14),MATCH(IFERROR(INDEX(Settings!$AK$14:$AK$60,MATCH((((ROUND($H301,6)*2)*1000000)+ROUND($I301,6)),Settings!$AI$14:$AI$60,0)),"Undefined"),_xlfn.ANCHORARRAY(Settings!$BC$14),0)),"Inactive")))</f>
        <v/>
      </c>
      <c r="L301" s="683"/>
      <c r="M301" s="934"/>
      <c r="O301" s="162" t="str">
        <f t="shared" si="1352"/>
        <v/>
      </c>
      <c r="P301" s="162" t="str">
        <f t="shared" si="1353"/>
        <v/>
      </c>
      <c r="Q301" s="162" t="str">
        <f t="shared" si="1354"/>
        <v/>
      </c>
      <c r="R301" s="162" t="str">
        <f t="shared" si="1358"/>
        <v/>
      </c>
      <c r="S301" s="162" t="str">
        <f t="shared" si="1355"/>
        <v/>
      </c>
      <c r="T301" s="162" t="str">
        <f t="shared" si="1356"/>
        <v/>
      </c>
      <c r="U301" s="162" t="str">
        <f>IFERROR(IF(ISNUMBER(MATCH($X301,Settings!$AK$52:$AK$60,0)),INDEX(Settings!$AO$14:$AO$60,MATCH($X301,Settings!$AK$14:$AK$60,0))/2,INDEX(Settings!$AM$14:$AM$60,MATCH($X301,Settings!$AK$14:$AK$60,0))/2),"")</f>
        <v/>
      </c>
      <c r="V301" s="162" t="str">
        <f t="shared" si="1357"/>
        <v/>
      </c>
      <c r="W301" s="75"/>
      <c r="X301" s="937" t="str">
        <f t="shared" si="1359"/>
        <v/>
      </c>
    </row>
    <row r="302" spans="2:24" x14ac:dyDescent="0.25">
      <c r="B302" s="655"/>
      <c r="C302" s="656"/>
      <c r="D302" s="657"/>
      <c r="E302" s="658"/>
      <c r="F302" s="656"/>
      <c r="G302" s="659"/>
      <c r="H302" s="658"/>
      <c r="I302" s="943"/>
      <c r="J302" s="947"/>
      <c r="K302" s="932" t="str">
        <f>IF($J302="","",IF(IFERROR(INDEX(Settings!$AK$14:$AK$60,MATCH((((ROUND($H302,6)*2)*1000000)+ROUND($I302,6)),Settings!$AI$14:$AI$60,0)),"Undefined")="Undefined","Undefined",IFERROR(INDEX(_xlfn.ANCHORARRAY(Settings!$BC$14),MATCH(IFERROR(INDEX(Settings!$AK$14:$AK$60,MATCH((((ROUND($H302,6)*2)*1000000)+ROUND($I302,6)),Settings!$AI$14:$AI$60,0)),"Undefined"),_xlfn.ANCHORARRAY(Settings!$BC$14),0)),"Inactive")))</f>
        <v/>
      </c>
      <c r="L302" s="683"/>
      <c r="M302" s="934"/>
      <c r="O302" s="162" t="str">
        <f t="shared" si="1352"/>
        <v/>
      </c>
      <c r="P302" s="162" t="str">
        <f t="shared" si="1353"/>
        <v/>
      </c>
      <c r="Q302" s="162" t="str">
        <f t="shared" si="1354"/>
        <v/>
      </c>
      <c r="R302" s="162" t="str">
        <f t="shared" si="1358"/>
        <v/>
      </c>
      <c r="S302" s="162" t="str">
        <f t="shared" si="1355"/>
        <v/>
      </c>
      <c r="T302" s="162" t="str">
        <f t="shared" si="1356"/>
        <v/>
      </c>
      <c r="U302" s="162" t="str">
        <f>IFERROR(IF(ISNUMBER(MATCH($X302,Settings!$AK$52:$AK$60,0)),INDEX(Settings!$AO$14:$AO$60,MATCH($X302,Settings!$AK$14:$AK$60,0))/2,INDEX(Settings!$AM$14:$AM$60,MATCH($X302,Settings!$AK$14:$AK$60,0))/2),"")</f>
        <v/>
      </c>
      <c r="V302" s="162" t="str">
        <f t="shared" si="1357"/>
        <v/>
      </c>
      <c r="W302" s="75"/>
      <c r="X302" s="937" t="str">
        <f t="shared" si="1359"/>
        <v/>
      </c>
    </row>
    <row r="303" spans="2:24" x14ac:dyDescent="0.25">
      <c r="B303" s="655"/>
      <c r="C303" s="656"/>
      <c r="D303" s="657"/>
      <c r="E303" s="658"/>
      <c r="F303" s="656"/>
      <c r="G303" s="659"/>
      <c r="H303" s="658"/>
      <c r="I303" s="943"/>
      <c r="J303" s="947"/>
      <c r="K303" s="932" t="str">
        <f>IF($J303="","",IF(IFERROR(INDEX(Settings!$AK$14:$AK$60,MATCH((((ROUND($H303,6)*2)*1000000)+ROUND($I303,6)),Settings!$AI$14:$AI$60,0)),"Undefined")="Undefined","Undefined",IFERROR(INDEX(_xlfn.ANCHORARRAY(Settings!$BC$14),MATCH(IFERROR(INDEX(Settings!$AK$14:$AK$60,MATCH((((ROUND($H303,6)*2)*1000000)+ROUND($I303,6)),Settings!$AI$14:$AI$60,0)),"Undefined"),_xlfn.ANCHORARRAY(Settings!$BC$14),0)),"Inactive")))</f>
        <v/>
      </c>
      <c r="L303" s="683"/>
      <c r="M303" s="934"/>
      <c r="O303" s="162" t="str">
        <f t="shared" si="1352"/>
        <v/>
      </c>
      <c r="P303" s="162" t="str">
        <f t="shared" si="1353"/>
        <v/>
      </c>
      <c r="Q303" s="162" t="str">
        <f t="shared" si="1354"/>
        <v/>
      </c>
      <c r="R303" s="162" t="str">
        <f t="shared" si="1358"/>
        <v/>
      </c>
      <c r="S303" s="162" t="str">
        <f t="shared" si="1355"/>
        <v/>
      </c>
      <c r="T303" s="162" t="str">
        <f t="shared" si="1356"/>
        <v/>
      </c>
      <c r="U303" s="162" t="str">
        <f>IFERROR(IF(ISNUMBER(MATCH($X303,Settings!$AK$52:$AK$60,0)),INDEX(Settings!$AO$14:$AO$60,MATCH($X303,Settings!$AK$14:$AK$60,0))/2,INDEX(Settings!$AM$14:$AM$60,MATCH($X303,Settings!$AK$14:$AK$60,0))/2),"")</f>
        <v/>
      </c>
      <c r="V303" s="162" t="str">
        <f t="shared" si="1357"/>
        <v/>
      </c>
      <c r="W303" s="75"/>
      <c r="X303" s="937" t="str">
        <f t="shared" si="1359"/>
        <v/>
      </c>
    </row>
    <row r="304" spans="2:24" x14ac:dyDescent="0.25">
      <c r="B304" s="655"/>
      <c r="C304" s="656"/>
      <c r="D304" s="657"/>
      <c r="E304" s="658"/>
      <c r="F304" s="656"/>
      <c r="G304" s="659"/>
      <c r="H304" s="658"/>
      <c r="I304" s="943"/>
      <c r="J304" s="947"/>
      <c r="K304" s="932" t="str">
        <f>IF($J304="","",IF(IFERROR(INDEX(Settings!$AK$14:$AK$60,MATCH((((ROUND($H304,6)*2)*1000000)+ROUND($I304,6)),Settings!$AI$14:$AI$60,0)),"Undefined")="Undefined","Undefined",IFERROR(INDEX(_xlfn.ANCHORARRAY(Settings!$BC$14),MATCH(IFERROR(INDEX(Settings!$AK$14:$AK$60,MATCH((((ROUND($H304,6)*2)*1000000)+ROUND($I304,6)),Settings!$AI$14:$AI$60,0)),"Undefined"),_xlfn.ANCHORARRAY(Settings!$BC$14),0)),"Inactive")))</f>
        <v/>
      </c>
      <c r="L304" s="683"/>
      <c r="M304" s="934"/>
      <c r="O304" s="162" t="str">
        <f t="shared" si="1352"/>
        <v/>
      </c>
      <c r="P304" s="162" t="str">
        <f t="shared" si="1353"/>
        <v/>
      </c>
      <c r="Q304" s="162" t="str">
        <f t="shared" si="1354"/>
        <v/>
      </c>
      <c r="R304" s="162" t="str">
        <f t="shared" si="1358"/>
        <v/>
      </c>
      <c r="S304" s="162" t="str">
        <f t="shared" si="1355"/>
        <v/>
      </c>
      <c r="T304" s="162" t="str">
        <f t="shared" si="1356"/>
        <v/>
      </c>
      <c r="U304" s="162" t="str">
        <f>IFERROR(IF(ISNUMBER(MATCH($X304,Settings!$AK$52:$AK$60,0)),INDEX(Settings!$AO$14:$AO$60,MATCH($X304,Settings!$AK$14:$AK$60,0))/2,INDEX(Settings!$AM$14:$AM$60,MATCH($X304,Settings!$AK$14:$AK$60,0))/2),"")</f>
        <v/>
      </c>
      <c r="V304" s="162" t="str">
        <f t="shared" si="1357"/>
        <v/>
      </c>
      <c r="W304" s="75"/>
      <c r="X304" s="937" t="str">
        <f t="shared" si="1359"/>
        <v/>
      </c>
    </row>
    <row r="305" spans="2:24" ht="15.75" thickBot="1" x14ac:dyDescent="0.3">
      <c r="B305" s="660"/>
      <c r="C305" s="661"/>
      <c r="D305" s="662"/>
      <c r="E305" s="663"/>
      <c r="F305" s="661"/>
      <c r="G305" s="664"/>
      <c r="H305" s="663"/>
      <c r="I305" s="944"/>
      <c r="J305" s="948"/>
      <c r="K305" s="933" t="str">
        <f>IF($J305="","",IF(IFERROR(INDEX(Settings!$AK$14:$AK$60,MATCH((((ROUND($H305,6)*2)*1000000)+ROUND($I305,6)),Settings!$AI$14:$AI$60,0)),"Undefined")="Undefined","Undefined",IFERROR(INDEX(_xlfn.ANCHORARRAY(Settings!$BC$14),MATCH(IFERROR(INDEX(Settings!$AK$14:$AK$60,MATCH((((ROUND($H305,6)*2)*1000000)+ROUND($I305,6)),Settings!$AI$14:$AI$60,0)),"Undefined"),_xlfn.ANCHORARRAY(Settings!$BC$14),0)),"Inactive")))</f>
        <v/>
      </c>
      <c r="L305" s="52"/>
      <c r="M305" s="939"/>
      <c r="O305" s="162" t="str">
        <f t="shared" si="1352"/>
        <v/>
      </c>
      <c r="P305" s="162" t="str">
        <f t="shared" si="1353"/>
        <v/>
      </c>
      <c r="Q305" s="162" t="str">
        <f t="shared" si="1354"/>
        <v/>
      </c>
      <c r="R305" s="162" t="str">
        <f t="shared" si="1358"/>
        <v/>
      </c>
      <c r="S305" s="162" t="str">
        <f t="shared" si="1355"/>
        <v/>
      </c>
      <c r="T305" s="162" t="str">
        <f t="shared" si="1356"/>
        <v/>
      </c>
      <c r="U305" s="162" t="str">
        <f>IFERROR(IF(ISNUMBER(MATCH($X305,Settings!$AK$52:$AK$60,0)),INDEX(Settings!$AO$14:$AO$60,MATCH($X305,Settings!$AK$14:$AK$60,0))/2,INDEX(Settings!$AM$14:$AM$60,MATCH($X305,Settings!$AK$14:$AK$60,0))/2),"")</f>
        <v/>
      </c>
      <c r="V305" s="162" t="str">
        <f t="shared" si="1357"/>
        <v/>
      </c>
      <c r="W305" s="75"/>
      <c r="X305" s="937" t="str">
        <f t="shared" si="1359"/>
        <v/>
      </c>
    </row>
    <row r="306" spans="2:24" x14ac:dyDescent="0.25">
      <c r="E306" s="166"/>
      <c r="F306" s="166"/>
      <c r="G306" s="166"/>
      <c r="H306" s="135"/>
      <c r="I306" s="82"/>
      <c r="J306" s="75"/>
    </row>
    <row r="1048576" spans="12:12" x14ac:dyDescent="0.25">
      <c r="L1048576" s="683"/>
    </row>
  </sheetData>
  <mergeCells count="173">
    <mergeCell ref="B162:D162"/>
    <mergeCell ref="E162:G162"/>
    <mergeCell ref="H162:J162"/>
    <mergeCell ref="B157:M159"/>
    <mergeCell ref="B160:M161"/>
    <mergeCell ref="L162:M162"/>
    <mergeCell ref="HW2:IE2"/>
    <mergeCell ref="HW4:IE4"/>
    <mergeCell ref="HY5:IB5"/>
    <mergeCell ref="HS6:HV6"/>
    <mergeCell ref="HU7:HV7"/>
    <mergeCell ref="EM6:EO6"/>
    <mergeCell ref="DL5:DN6"/>
    <mergeCell ref="EH5:EJ6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JH20:JK20"/>
    <mergeCell ref="JH21:JI21"/>
    <mergeCell ref="L6:L8"/>
    <mergeCell ref="IK7:IQ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W5:HX5"/>
    <mergeCell ref="EE5:EG6"/>
    <mergeCell ref="EK5:EL6"/>
    <mergeCell ref="FZ4:FZ5"/>
    <mergeCell ref="FY6:FY7"/>
    <mergeCell ref="DY5:EB6"/>
    <mergeCell ref="ES4:EY4"/>
    <mergeCell ref="EV5:EY5"/>
    <mergeCell ref="IJ7:IJ8"/>
    <mergeCell ref="II7:II8"/>
    <mergeCell ref="IG4:IH4"/>
    <mergeCell ref="IC5:IE5"/>
    <mergeCell ref="GU6:GW6"/>
    <mergeCell ref="HA5:HD5"/>
    <mergeCell ref="HA4:HH4"/>
    <mergeCell ref="GS6:GT6"/>
    <mergeCell ref="HI4:HI7"/>
    <mergeCell ref="HE6:HH6"/>
    <mergeCell ref="HE5:HH5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Q7:HR7"/>
    <mergeCell ref="GF6:GF7"/>
    <mergeCell ref="HO7:HP7"/>
    <mergeCell ref="HN6:HR6"/>
    <mergeCell ref="EZ5:EZ7"/>
    <mergeCell ref="FO6:FO7"/>
    <mergeCell ref="FZ6:FZ7"/>
    <mergeCell ref="CY6:DA6"/>
    <mergeCell ref="FN6:FN7"/>
    <mergeCell ref="EP6:ER6"/>
    <mergeCell ref="HA6:HD6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1:K1"/>
    <mergeCell ref="IR7:IV7"/>
    <mergeCell ref="IW7:JA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P6:P7"/>
    <mergeCell ref="Q5:S5"/>
    <mergeCell ref="JD7:JG7"/>
    <mergeCell ref="JD19:JK19"/>
    <mergeCell ref="JD20:JG21"/>
    <mergeCell ref="JJ21:JK21"/>
    <mergeCell ref="L2:L4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</mergeCells>
  <conditionalFormatting sqref="HI9:HI40 HL9:HL40 AV9:AV40 AV54:AV150 HL54:HL150 HI54:HI150 M9:M150">
    <cfRule type="cellIs" dxfId="50" priority="142" stopIfTrue="1" operator="between">
      <formula>9</formula>
      <formula>9.99</formula>
    </cfRule>
    <cfRule type="cellIs" dxfId="49" priority="143" stopIfTrue="1" operator="between">
      <formula>8</formula>
      <formula>8.99</formula>
    </cfRule>
    <cfRule type="cellIs" dxfId="48" priority="144" stopIfTrue="1" operator="between">
      <formula>7</formula>
      <formula>7.99</formula>
    </cfRule>
    <cfRule type="cellIs" dxfId="47" priority="145" stopIfTrue="1" operator="between">
      <formula>6</formula>
      <formula>6.99</formula>
    </cfRule>
    <cfRule type="cellIs" dxfId="46" priority="146" stopIfTrue="1" operator="between">
      <formula>5</formula>
      <formula>5.99</formula>
    </cfRule>
    <cfRule type="cellIs" dxfId="45" priority="147" stopIfTrue="1" operator="between">
      <formula>4</formula>
      <formula>4.99</formula>
    </cfRule>
    <cfRule type="cellIs" dxfId="44" priority="148" stopIfTrue="1" operator="between">
      <formula>3</formula>
      <formula>3.99</formula>
    </cfRule>
    <cfRule type="cellIs" dxfId="43" priority="149" stopIfTrue="1" operator="between">
      <formula>2</formula>
      <formula>2.99</formula>
    </cfRule>
    <cfRule type="cellIs" dxfId="42" priority="150" stopIfTrue="1" operator="between">
      <formula>1</formula>
      <formula>1.99</formula>
    </cfRule>
  </conditionalFormatting>
  <conditionalFormatting sqref="HM9:HM40 HM54:HM150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9:IB40 IB54:IB150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9:IC40 IC54:IC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9:ID40 ID54:ID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9:IE40 IE54:IE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L41:HL53 AV41:AV53">
    <cfRule type="cellIs" dxfId="41" priority="28" stopIfTrue="1" operator="between">
      <formula>9</formula>
      <formula>9.99</formula>
    </cfRule>
    <cfRule type="cellIs" dxfId="40" priority="29" stopIfTrue="1" operator="between">
      <formula>8</formula>
      <formula>8.99</formula>
    </cfRule>
    <cfRule type="cellIs" dxfId="39" priority="30" stopIfTrue="1" operator="between">
      <formula>7</formula>
      <formula>7.99</formula>
    </cfRule>
    <cfRule type="cellIs" dxfId="38" priority="31" stopIfTrue="1" operator="between">
      <formula>6</formula>
      <formula>6.99</formula>
    </cfRule>
    <cfRule type="cellIs" dxfId="37" priority="32" stopIfTrue="1" operator="between">
      <formula>5</formula>
      <formula>5.99</formula>
    </cfRule>
    <cfRule type="cellIs" dxfId="36" priority="33" stopIfTrue="1" operator="between">
      <formula>4</formula>
      <formula>4.99</formula>
    </cfRule>
    <cfRule type="cellIs" dxfId="35" priority="34" stopIfTrue="1" operator="between">
      <formula>3</formula>
      <formula>3.99</formula>
    </cfRule>
    <cfRule type="cellIs" dxfId="34" priority="35" stopIfTrue="1" operator="between">
      <formula>2</formula>
      <formula>2.99</formula>
    </cfRule>
    <cfRule type="cellIs" dxfId="33" priority="36" stopIfTrue="1" operator="between">
      <formula>1</formula>
      <formula>1.99</formula>
    </cfRule>
  </conditionalFormatting>
  <conditionalFormatting sqref="HM41:HM53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41:IB53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41:IC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41:ID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41:IE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15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">
    <cfRule type="cellIs" dxfId="32" priority="8" operator="equal">
      <formula>"Wrong CS"</formula>
    </cfRule>
  </conditionalFormatting>
  <conditionalFormatting sqref="HU9:HU15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150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N9:HN150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15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0" operator="containsText" id="{7BD0CBBC-4645-4EB9-B766-C6EE0E09FDE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9" operator="containsText" id="{81F16DEC-D9E5-41AC-BD36-A1CFF05942D1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B28E3-F9C2-4144-AA5A-E9728EB30137}">
  <dimension ref="C3:I86"/>
  <sheetViews>
    <sheetView workbookViewId="0">
      <selection activeCell="B2" sqref="B2"/>
    </sheetView>
  </sheetViews>
  <sheetFormatPr defaultRowHeight="15" x14ac:dyDescent="0.25"/>
  <sheetData>
    <row r="3" spans="3:9" x14ac:dyDescent="0.25">
      <c r="D3" s="1099" t="s">
        <v>11</v>
      </c>
      <c r="E3" s="1100"/>
      <c r="F3" s="1171" t="s">
        <v>10</v>
      </c>
      <c r="G3" s="34" t="s">
        <v>15</v>
      </c>
      <c r="H3" s="35" t="s">
        <v>16</v>
      </c>
    </row>
    <row r="4" spans="3:9" ht="15.75" thickBot="1" x14ac:dyDescent="0.3">
      <c r="D4" s="36" t="s">
        <v>18</v>
      </c>
      <c r="E4" s="2" t="s">
        <v>19</v>
      </c>
      <c r="F4" s="1172"/>
      <c r="G4" s="40" t="s">
        <v>26</v>
      </c>
      <c r="H4" s="3" t="s">
        <v>27</v>
      </c>
    </row>
    <row r="5" spans="3:9" ht="15.75" thickTop="1" x14ac:dyDescent="0.25">
      <c r="C5" s="163">
        <v>1.101</v>
      </c>
      <c r="D5" s="526">
        <v>0</v>
      </c>
      <c r="E5" s="567">
        <v>0.29580000000000001</v>
      </c>
      <c r="F5" s="569">
        <v>-1.1636</v>
      </c>
      <c r="G5" s="524">
        <v>0</v>
      </c>
      <c r="H5" s="525">
        <v>19.999999999999989</v>
      </c>
      <c r="I5" s="979"/>
    </row>
    <row r="6" spans="3:9" x14ac:dyDescent="0.25">
      <c r="C6" s="164">
        <v>1.1040000000000001</v>
      </c>
      <c r="D6" s="528">
        <v>0</v>
      </c>
      <c r="E6" s="572">
        <v>1.0429999999999999</v>
      </c>
      <c r="F6" s="577">
        <v>-1.0183</v>
      </c>
      <c r="G6" s="524">
        <v>0</v>
      </c>
      <c r="H6" s="525">
        <v>14.999999999999982</v>
      </c>
      <c r="I6" s="979"/>
    </row>
    <row r="7" spans="3:9" x14ac:dyDescent="0.25">
      <c r="C7" s="164">
        <v>1.107</v>
      </c>
      <c r="D7" s="528">
        <v>0</v>
      </c>
      <c r="E7" s="572">
        <v>1.7869999999999999</v>
      </c>
      <c r="F7" s="577">
        <v>-0.81889999999999996</v>
      </c>
      <c r="G7" s="524">
        <v>0</v>
      </c>
      <c r="H7" s="525">
        <v>15.000000000000021</v>
      </c>
      <c r="I7" s="979"/>
    </row>
    <row r="8" spans="3:9" x14ac:dyDescent="0.25">
      <c r="C8" s="164">
        <v>1.1100000000000001</v>
      </c>
      <c r="D8" s="528">
        <v>0</v>
      </c>
      <c r="E8" s="572">
        <v>2.5309999999999997</v>
      </c>
      <c r="F8" s="577">
        <v>-0.61960000000000004</v>
      </c>
      <c r="G8" s="524">
        <v>0</v>
      </c>
      <c r="H8" s="525">
        <v>14.999999999999982</v>
      </c>
      <c r="I8" s="979"/>
    </row>
    <row r="9" spans="3:9" x14ac:dyDescent="0.25">
      <c r="C9" s="164">
        <v>1.113</v>
      </c>
      <c r="D9" s="528">
        <v>0</v>
      </c>
      <c r="E9" s="572">
        <v>3.2749000000000001</v>
      </c>
      <c r="F9" s="577">
        <v>-0.42020000000000002</v>
      </c>
      <c r="G9" s="524">
        <v>0</v>
      </c>
      <c r="H9" s="525">
        <v>14.999999999999982</v>
      </c>
      <c r="I9" s="979"/>
    </row>
    <row r="10" spans="3:9" x14ac:dyDescent="0.25">
      <c r="C10" s="164">
        <v>1.1160000000000001</v>
      </c>
      <c r="D10" s="528">
        <v>-3.9999999999992042E-2</v>
      </c>
      <c r="E10" s="572">
        <v>4.0189000000000004</v>
      </c>
      <c r="F10" s="577">
        <v>-0.22090000000000001</v>
      </c>
      <c r="G10" s="524">
        <v>-3.3963426583962768</v>
      </c>
      <c r="H10" s="525">
        <v>15.025199704968959</v>
      </c>
      <c r="I10" s="979"/>
    </row>
    <row r="11" spans="3:9" x14ac:dyDescent="0.25">
      <c r="C11" s="164">
        <v>1.119</v>
      </c>
      <c r="D11" s="528">
        <v>-0.32999999999999829</v>
      </c>
      <c r="E11" s="572">
        <v>4.7837000000000005</v>
      </c>
      <c r="F11" s="577">
        <v>-7.1499999999999994E-2</v>
      </c>
      <c r="G11" s="524">
        <v>-11.111621318336448</v>
      </c>
      <c r="H11" s="525">
        <v>15.273300643780983</v>
      </c>
      <c r="I11" s="979"/>
    </row>
    <row r="12" spans="3:9" x14ac:dyDescent="0.25">
      <c r="C12" s="164">
        <v>1.1220000000000001</v>
      </c>
      <c r="D12" s="528">
        <v>-0.82999999999999829</v>
      </c>
      <c r="E12" s="572">
        <v>5.5451000000000006</v>
      </c>
      <c r="F12" s="577">
        <v>-9.4600000000000017E-2</v>
      </c>
      <c r="G12" s="524">
        <v>-24.23189995741523</v>
      </c>
      <c r="H12" s="525">
        <v>15.771708794781478</v>
      </c>
      <c r="I12" s="979"/>
    </row>
    <row r="13" spans="3:9" x14ac:dyDescent="0.25">
      <c r="C13" s="164">
        <v>1.125</v>
      </c>
      <c r="D13" s="528">
        <v>-1.4099999999999966</v>
      </c>
      <c r="E13" s="572">
        <v>6.2620000000000005</v>
      </c>
      <c r="F13" s="577">
        <v>-0.2797</v>
      </c>
      <c r="G13" s="524">
        <v>-39.633314546360687</v>
      </c>
      <c r="H13" s="525">
        <v>16.449232373888208</v>
      </c>
      <c r="I13" s="979"/>
    </row>
    <row r="14" spans="3:9" x14ac:dyDescent="0.25">
      <c r="C14" s="164">
        <v>1.1279999999999999</v>
      </c>
      <c r="D14" s="528">
        <v>-2.0100000000000051</v>
      </c>
      <c r="E14" s="572">
        <v>6.920700000000001</v>
      </c>
      <c r="F14" s="577">
        <v>-0.61580000000000001</v>
      </c>
      <c r="G14" s="524">
        <v>-53.969563867822259</v>
      </c>
      <c r="H14" s="525">
        <v>17.23635875960953</v>
      </c>
      <c r="I14" s="979"/>
    </row>
    <row r="15" spans="3:9" x14ac:dyDescent="0.25">
      <c r="C15" s="164">
        <v>1.131</v>
      </c>
      <c r="D15" s="528">
        <v>-2.5699999999999932</v>
      </c>
      <c r="E15" s="572">
        <v>7.4895999999999994</v>
      </c>
      <c r="F15" s="577">
        <v>-1.0858000000000001</v>
      </c>
      <c r="G15" s="524">
        <v>-67.163972171802783</v>
      </c>
      <c r="H15" s="525">
        <v>18.023911738311476</v>
      </c>
      <c r="I15" s="979"/>
    </row>
    <row r="16" spans="3:9" x14ac:dyDescent="0.25">
      <c r="C16" s="164">
        <v>1.1339999999999999</v>
      </c>
      <c r="D16" s="528">
        <v>-3.0299999999999869</v>
      </c>
      <c r="E16" s="572">
        <v>7.9417</v>
      </c>
      <c r="F16" s="577">
        <v>-1.6657999999999999</v>
      </c>
      <c r="G16" s="524">
        <v>-79.220042124069636</v>
      </c>
      <c r="H16" s="525">
        <v>18.713466010997617</v>
      </c>
      <c r="I16" s="979"/>
    </row>
    <row r="17" spans="3:9" x14ac:dyDescent="0.25">
      <c r="C17" s="164">
        <v>1.137</v>
      </c>
      <c r="D17" s="528">
        <v>-3.3799999999999955</v>
      </c>
      <c r="E17" s="572">
        <v>8.2634000000000007</v>
      </c>
      <c r="F17" s="577">
        <v>-2.3233000000000001</v>
      </c>
      <c r="G17" s="524">
        <v>-82.655230825650634</v>
      </c>
      <c r="H17" s="525">
        <v>23.286469433862361</v>
      </c>
      <c r="I17" s="979"/>
    </row>
    <row r="18" spans="3:9" x14ac:dyDescent="0.25">
      <c r="C18" s="164">
        <v>1.1399999999999999</v>
      </c>
      <c r="D18" s="528">
        <v>-3.7000000000000028</v>
      </c>
      <c r="E18" s="572">
        <v>8.4371999999999989</v>
      </c>
      <c r="F18" s="577">
        <v>-3.0308999999999995</v>
      </c>
      <c r="G18" s="524">
        <v>-87.252363943046788</v>
      </c>
      <c r="H18" s="525">
        <v>27.829255428010224</v>
      </c>
      <c r="I18" s="979"/>
    </row>
    <row r="19" spans="3:9" x14ac:dyDescent="0.25">
      <c r="C19" s="164">
        <v>1.143</v>
      </c>
      <c r="D19" s="528">
        <v>-3.9399999999999977</v>
      </c>
      <c r="E19" s="572">
        <v>8.5542999999999978</v>
      </c>
      <c r="F19" s="577">
        <v>-3.7026999999999997</v>
      </c>
      <c r="G19" s="524">
        <v>-89.331858392628689</v>
      </c>
      <c r="H19" s="525">
        <v>32.359702931290009</v>
      </c>
      <c r="I19" s="979"/>
    </row>
    <row r="20" spans="3:9" x14ac:dyDescent="0.25">
      <c r="C20" s="164">
        <v>1.1459999999999999</v>
      </c>
      <c r="D20" s="528">
        <v>-3.9799999999999898</v>
      </c>
      <c r="E20" s="572">
        <v>8.5542999999999978</v>
      </c>
      <c r="F20" s="577">
        <v>-4.3879999999999999</v>
      </c>
      <c r="G20" s="524">
        <v>-89.523639944200866</v>
      </c>
      <c r="H20" s="525">
        <v>32.399098459458088</v>
      </c>
      <c r="I20" s="979"/>
    </row>
    <row r="21" spans="3:9" x14ac:dyDescent="0.25">
      <c r="C21" s="164">
        <v>2.1120000000000001</v>
      </c>
      <c r="D21" s="528">
        <v>-64.999999999999986</v>
      </c>
      <c r="E21" s="572">
        <v>3.0268999999999999</v>
      </c>
      <c r="F21" s="577">
        <v>-0.48670000000000002</v>
      </c>
      <c r="G21" s="524">
        <v>2.4577439270001682E-14</v>
      </c>
      <c r="H21" s="525">
        <v>14.99999999999997</v>
      </c>
      <c r="I21" s="979"/>
    </row>
    <row r="22" spans="3:9" x14ac:dyDescent="0.25">
      <c r="C22" s="164">
        <v>2.1150000000000002</v>
      </c>
      <c r="D22" s="528">
        <v>-64.999999999999986</v>
      </c>
      <c r="E22" s="572">
        <v>3.7708999999999997</v>
      </c>
      <c r="F22" s="577">
        <v>-0.2873</v>
      </c>
      <c r="G22" s="524">
        <v>2.4577439270001688E-14</v>
      </c>
      <c r="H22" s="525">
        <v>14.99999999999997</v>
      </c>
      <c r="I22" s="979"/>
    </row>
    <row r="23" spans="3:9" x14ac:dyDescent="0.25">
      <c r="C23" s="164">
        <v>2.1179999999999999</v>
      </c>
      <c r="D23" s="528">
        <v>-65.199999999999989</v>
      </c>
      <c r="E23" s="572">
        <v>4.5195999999999996</v>
      </c>
      <c r="F23" s="577">
        <v>-0.1042</v>
      </c>
      <c r="G23" s="524">
        <v>-8.4805433875082308</v>
      </c>
      <c r="H23" s="525">
        <v>15.158231830486937</v>
      </c>
      <c r="I23" s="979"/>
    </row>
    <row r="24" spans="3:9" x14ac:dyDescent="0.25">
      <c r="C24" s="164">
        <v>2.121</v>
      </c>
      <c r="D24" s="528">
        <v>-65.649999999999977</v>
      </c>
      <c r="E24" s="572">
        <v>5.2919999999999998</v>
      </c>
      <c r="F24" s="577">
        <v>-6.88E-2</v>
      </c>
      <c r="G24" s="524">
        <v>-18.819976830571356</v>
      </c>
      <c r="H24" s="525">
        <v>15.577156069264351</v>
      </c>
      <c r="I24" s="979"/>
    </row>
    <row r="25" spans="3:9" x14ac:dyDescent="0.25">
      <c r="C25" s="164">
        <v>2.1240000000000001</v>
      </c>
      <c r="D25" s="528">
        <v>-66.20999999999998</v>
      </c>
      <c r="E25" s="572">
        <v>6.0277999999999992</v>
      </c>
      <c r="F25" s="577">
        <v>-0.19939999999999999</v>
      </c>
      <c r="G25" s="524">
        <v>-34.60260591739911</v>
      </c>
      <c r="H25" s="525">
        <v>16.20735385536134</v>
      </c>
      <c r="I25" s="979"/>
    </row>
    <row r="26" spans="3:9" x14ac:dyDescent="0.25">
      <c r="C26" s="164">
        <v>2.1269999999999998</v>
      </c>
      <c r="D26" s="528">
        <v>-66.809999999999988</v>
      </c>
      <c r="E26" s="572">
        <v>6.7089999999999996</v>
      </c>
      <c r="F26" s="577">
        <v>-0.48759999999999992</v>
      </c>
      <c r="G26" s="524">
        <v>-49.29353045671558</v>
      </c>
      <c r="H26" s="525">
        <v>16.970535267664609</v>
      </c>
      <c r="I26" s="979"/>
    </row>
    <row r="27" spans="3:9" x14ac:dyDescent="0.25">
      <c r="C27" s="164">
        <v>2.13</v>
      </c>
      <c r="D27" s="528">
        <v>-67.399999999999991</v>
      </c>
      <c r="E27" s="572">
        <v>7.3108999999999993</v>
      </c>
      <c r="F27" s="577">
        <v>-0.91489999999999994</v>
      </c>
      <c r="G27" s="524">
        <v>-62.903520585918912</v>
      </c>
      <c r="H27" s="525">
        <v>17.775860863663407</v>
      </c>
      <c r="I27" s="979"/>
    </row>
    <row r="28" spans="3:9" x14ac:dyDescent="0.25">
      <c r="C28" s="164">
        <v>2.133</v>
      </c>
      <c r="D28" s="528">
        <v>-67.909999999999982</v>
      </c>
      <c r="E28" s="572">
        <v>7.8044000000000002</v>
      </c>
      <c r="F28" s="577">
        <v>-1.4608000000000001</v>
      </c>
      <c r="G28" s="524">
        <v>-75.381924894357581</v>
      </c>
      <c r="H28" s="525">
        <v>18.5202950445805</v>
      </c>
      <c r="I28" s="979"/>
    </row>
    <row r="29" spans="3:9" x14ac:dyDescent="0.25">
      <c r="C29" s="164">
        <v>2.1360000000000001</v>
      </c>
      <c r="D29" s="528">
        <v>-68.299999999999983</v>
      </c>
      <c r="E29" s="572">
        <v>8.174199999999999</v>
      </c>
      <c r="F29" s="577">
        <v>-2.0953999999999993</v>
      </c>
      <c r="G29" s="524">
        <v>-79.359868746413454</v>
      </c>
      <c r="H29" s="525">
        <v>23.196691956963754</v>
      </c>
      <c r="I29" s="979"/>
    </row>
    <row r="30" spans="3:9" x14ac:dyDescent="0.25">
      <c r="C30" s="164">
        <v>2.1389999999999998</v>
      </c>
      <c r="D30" s="528">
        <v>-68.689999999999984</v>
      </c>
      <c r="E30" s="572">
        <v>8.3992000000000022</v>
      </c>
      <c r="F30" s="577">
        <v>-2.7900000000000005</v>
      </c>
      <c r="G30" s="524">
        <v>-84.194164399957259</v>
      </c>
      <c r="H30" s="525">
        <v>27.816523018248589</v>
      </c>
      <c r="I30" s="979"/>
    </row>
    <row r="31" spans="3:9" x14ac:dyDescent="0.25">
      <c r="C31" s="164">
        <v>2.1419999999999999</v>
      </c>
      <c r="D31" s="528">
        <v>-68.939999999999984</v>
      </c>
      <c r="E31" s="572">
        <v>8.5542999999999978</v>
      </c>
      <c r="F31" s="577">
        <v>-3.4742999999999999</v>
      </c>
      <c r="G31" s="524">
        <v>-89.331858392628689</v>
      </c>
      <c r="H31" s="525">
        <v>32.359702931290066</v>
      </c>
      <c r="I31" s="979"/>
    </row>
    <row r="32" spans="3:9" x14ac:dyDescent="0.25">
      <c r="C32" s="164">
        <v>2.145</v>
      </c>
      <c r="D32" s="528">
        <v>-68.97999999999999</v>
      </c>
      <c r="E32" s="572">
        <v>8.5542999999999996</v>
      </c>
      <c r="F32" s="577">
        <v>-4.1595000000000004</v>
      </c>
      <c r="G32" s="524">
        <v>-89.523639944200866</v>
      </c>
      <c r="H32" s="525">
        <v>32.39909845945801</v>
      </c>
      <c r="I32" s="979"/>
    </row>
    <row r="33" spans="3:9" x14ac:dyDescent="0.25">
      <c r="C33" s="164">
        <v>3.1019999999999999</v>
      </c>
      <c r="D33" s="528">
        <v>235</v>
      </c>
      <c r="E33" s="572">
        <v>0.54700000000000015</v>
      </c>
      <c r="F33" s="577">
        <v>-1.1512</v>
      </c>
      <c r="G33" s="524">
        <v>4.9154878540003363E-14</v>
      </c>
      <c r="H33" s="525">
        <v>14.999999999999982</v>
      </c>
      <c r="I33" s="979"/>
    </row>
    <row r="34" spans="3:9" x14ac:dyDescent="0.25">
      <c r="C34" s="164">
        <v>3.105</v>
      </c>
      <c r="D34" s="528">
        <v>235</v>
      </c>
      <c r="E34" s="572">
        <v>1.2910000000000001</v>
      </c>
      <c r="F34" s="577">
        <v>-0.95179999999999998</v>
      </c>
      <c r="G34" s="524">
        <v>7.3732317810005039E-14</v>
      </c>
      <c r="H34" s="525">
        <v>15.000000000000021</v>
      </c>
      <c r="I34" s="979"/>
    </row>
    <row r="35" spans="3:9" x14ac:dyDescent="0.25">
      <c r="C35" s="164">
        <v>3.1080000000000001</v>
      </c>
      <c r="D35" s="528">
        <v>235</v>
      </c>
      <c r="E35" s="572">
        <v>2.0350000000000001</v>
      </c>
      <c r="F35" s="577">
        <v>-0.75249999999999995</v>
      </c>
      <c r="G35" s="524">
        <v>1.2288719635000835E-14</v>
      </c>
      <c r="H35" s="525">
        <v>14.999999999999982</v>
      </c>
      <c r="I35" s="979"/>
    </row>
    <row r="36" spans="3:9" x14ac:dyDescent="0.25">
      <c r="C36" s="164">
        <v>3.1110000000000002</v>
      </c>
      <c r="D36" s="528">
        <v>235</v>
      </c>
      <c r="E36" s="572">
        <v>2.7789000000000001</v>
      </c>
      <c r="F36" s="577">
        <v>-0.55310000000000004</v>
      </c>
      <c r="G36" s="524">
        <v>1.2288719635000847E-13</v>
      </c>
      <c r="H36" s="525">
        <v>14.99999999999997</v>
      </c>
      <c r="I36" s="979"/>
    </row>
    <row r="37" spans="3:9" x14ac:dyDescent="0.25">
      <c r="C37" s="164">
        <v>3.1139999999999999</v>
      </c>
      <c r="D37" s="528">
        <v>235</v>
      </c>
      <c r="E37" s="572">
        <v>3.5228999999999999</v>
      </c>
      <c r="F37" s="577">
        <v>-0.3538</v>
      </c>
      <c r="G37" s="524">
        <v>1.2288719635000858E-14</v>
      </c>
      <c r="H37" s="525">
        <v>14.999999999999982</v>
      </c>
      <c r="I37" s="979"/>
    </row>
    <row r="38" spans="3:9" x14ac:dyDescent="0.25">
      <c r="C38" s="164">
        <v>3.117</v>
      </c>
      <c r="D38" s="528">
        <v>234.89999999999998</v>
      </c>
      <c r="E38" s="572">
        <v>4.2675999999999998</v>
      </c>
      <c r="F38" s="577">
        <v>-0.1552</v>
      </c>
      <c r="G38" s="524">
        <v>-5.9302685936238531</v>
      </c>
      <c r="H38" s="525">
        <v>15.077041020182206</v>
      </c>
      <c r="I38" s="979"/>
    </row>
    <row r="39" spans="3:9" x14ac:dyDescent="0.25">
      <c r="C39" s="164">
        <v>3.12</v>
      </c>
      <c r="D39" s="528">
        <v>234.51999999999998</v>
      </c>
      <c r="E39" s="572">
        <v>5.0378999999999996</v>
      </c>
      <c r="F39" s="577">
        <v>-0.06</v>
      </c>
      <c r="G39" s="524">
        <v>-13.589398662588737</v>
      </c>
      <c r="H39" s="525">
        <v>15.411754302045519</v>
      </c>
      <c r="I39" s="979"/>
    </row>
    <row r="40" spans="3:9" x14ac:dyDescent="0.25">
      <c r="C40" s="164">
        <v>3.1230000000000002</v>
      </c>
      <c r="D40" s="528">
        <v>233.99</v>
      </c>
      <c r="E40" s="572">
        <v>5.7885</v>
      </c>
      <c r="F40" s="577">
        <v>-0.13879999999999995</v>
      </c>
      <c r="G40" s="524">
        <v>-29.446260926427072</v>
      </c>
      <c r="H40" s="525">
        <v>15.978497882979875</v>
      </c>
      <c r="I40" s="979"/>
    </row>
    <row r="41" spans="3:9" x14ac:dyDescent="0.25">
      <c r="C41" s="164">
        <v>3.1259999999999999</v>
      </c>
      <c r="D41" s="528">
        <v>233.39</v>
      </c>
      <c r="E41" s="572">
        <v>6.4897000000000009</v>
      </c>
      <c r="F41" s="577">
        <v>-0.37560000000000004</v>
      </c>
      <c r="G41" s="524">
        <v>-44.473253930619144</v>
      </c>
      <c r="H41" s="525">
        <v>16.705740134064683</v>
      </c>
      <c r="I41" s="979"/>
    </row>
    <row r="42" spans="3:9" x14ac:dyDescent="0.25">
      <c r="C42" s="164">
        <v>3.129</v>
      </c>
      <c r="D42" s="528">
        <v>232.79999999999995</v>
      </c>
      <c r="E42" s="572">
        <v>7.1218000000000012</v>
      </c>
      <c r="F42" s="577">
        <v>-0.75860000000000005</v>
      </c>
      <c r="G42" s="524">
        <v>-58.509190798639906</v>
      </c>
      <c r="H42" s="525">
        <v>17.500350225117018</v>
      </c>
      <c r="I42" s="979"/>
    </row>
    <row r="43" spans="3:9" x14ac:dyDescent="0.25">
      <c r="C43" s="164">
        <v>3.1320000000000001</v>
      </c>
      <c r="D43" s="528">
        <v>232.26</v>
      </c>
      <c r="E43" s="572">
        <v>7.6543999999999999</v>
      </c>
      <c r="F43" s="577">
        <v>-1.2681999999999998</v>
      </c>
      <c r="G43" s="524">
        <v>-71.338155846655908</v>
      </c>
      <c r="H43" s="525">
        <v>18.268614192288016</v>
      </c>
      <c r="I43" s="979"/>
    </row>
    <row r="44" spans="3:9" x14ac:dyDescent="0.25">
      <c r="C44" s="164">
        <v>3.1349999999999998</v>
      </c>
      <c r="D44" s="528">
        <v>231.82999999999998</v>
      </c>
      <c r="E44" s="572">
        <v>8.0692000000000004</v>
      </c>
      <c r="F44" s="577">
        <v>-1.8747</v>
      </c>
      <c r="G44" s="524">
        <v>-75.605199730537109</v>
      </c>
      <c r="H44" s="525">
        <v>23.029836195751059</v>
      </c>
      <c r="I44" s="979"/>
    </row>
    <row r="45" spans="3:9" x14ac:dyDescent="0.25">
      <c r="C45" s="164">
        <v>3.1379999999999999</v>
      </c>
      <c r="D45" s="528">
        <v>231.39999999999998</v>
      </c>
      <c r="E45" s="572">
        <v>8.3444000000000003</v>
      </c>
      <c r="F45" s="577">
        <v>-2.5529999999999999</v>
      </c>
      <c r="G45" s="524">
        <v>-80.885397133950221</v>
      </c>
      <c r="H45" s="525">
        <v>27.72808178275648</v>
      </c>
      <c r="I45" s="979"/>
    </row>
    <row r="46" spans="3:9" x14ac:dyDescent="0.25">
      <c r="C46" s="164">
        <v>3.141</v>
      </c>
      <c r="D46" s="528">
        <v>231.06</v>
      </c>
      <c r="E46" s="572">
        <v>8.5542999999999996</v>
      </c>
      <c r="F46" s="577">
        <v>-3.2458999999999998</v>
      </c>
      <c r="G46" s="524">
        <v>-89.331858392628689</v>
      </c>
      <c r="H46" s="525">
        <v>32.359702931290066</v>
      </c>
      <c r="I46" s="979"/>
    </row>
    <row r="47" spans="3:9" x14ac:dyDescent="0.25">
      <c r="C47" s="164">
        <v>3.1440000000000001</v>
      </c>
      <c r="D47" s="528">
        <v>231.01999999999998</v>
      </c>
      <c r="E47" s="572">
        <v>8.5542999999999978</v>
      </c>
      <c r="F47" s="577">
        <v>-3.9310999999999989</v>
      </c>
      <c r="G47" s="524">
        <v>-89.523639944200866</v>
      </c>
      <c r="H47" s="525">
        <v>32.399098459458074</v>
      </c>
      <c r="I47" s="979"/>
    </row>
    <row r="48" spans="3:9" x14ac:dyDescent="0.25">
      <c r="C48" s="164">
        <v>4.1130000000000004</v>
      </c>
      <c r="D48" s="528">
        <v>170</v>
      </c>
      <c r="E48" s="572">
        <v>3.2748999999999993</v>
      </c>
      <c r="F48" s="577">
        <v>-0.42020000000000002</v>
      </c>
      <c r="G48" s="524">
        <v>-3.0721799087502116E-14</v>
      </c>
      <c r="H48" s="525">
        <v>14.999999999999982</v>
      </c>
      <c r="I48" s="979"/>
    </row>
    <row r="49" spans="3:9" x14ac:dyDescent="0.25">
      <c r="C49" s="164">
        <v>4.1159999999999997</v>
      </c>
      <c r="D49" s="528">
        <v>169.96000000000004</v>
      </c>
      <c r="E49" s="572">
        <v>4.0189000000000004</v>
      </c>
      <c r="F49" s="577">
        <v>-0.22090000000000001</v>
      </c>
      <c r="G49" s="524">
        <v>-3.3963426583962684</v>
      </c>
      <c r="H49" s="525">
        <v>15.025199704968932</v>
      </c>
      <c r="I49" s="979"/>
    </row>
    <row r="50" spans="3:9" x14ac:dyDescent="0.25">
      <c r="C50" s="164">
        <v>4.1189999999999998</v>
      </c>
      <c r="D50" s="528">
        <v>169.67000000000002</v>
      </c>
      <c r="E50" s="572">
        <v>4.7836999999999996</v>
      </c>
      <c r="F50" s="577">
        <v>-7.149999999999998E-2</v>
      </c>
      <c r="G50" s="524">
        <v>-11.11162131833601</v>
      </c>
      <c r="H50" s="525">
        <v>15.273300643780958</v>
      </c>
      <c r="I50" s="979"/>
    </row>
    <row r="51" spans="3:9" x14ac:dyDescent="0.25">
      <c r="C51" s="164">
        <v>4.1219999999999999</v>
      </c>
      <c r="D51" s="528">
        <v>169.17000000000002</v>
      </c>
      <c r="E51" s="572">
        <v>5.5450999999999997</v>
      </c>
      <c r="F51" s="577">
        <v>-9.4599999999999976E-2</v>
      </c>
      <c r="G51" s="524">
        <v>-24.231899957415511</v>
      </c>
      <c r="H51" s="525">
        <v>15.771708794781528</v>
      </c>
      <c r="I51" s="979"/>
    </row>
    <row r="52" spans="3:9" x14ac:dyDescent="0.25">
      <c r="C52" s="164">
        <v>4.125</v>
      </c>
      <c r="D52" s="528">
        <v>168.59000000000003</v>
      </c>
      <c r="E52" s="572">
        <v>6.2620000000000005</v>
      </c>
      <c r="F52" s="577">
        <v>-0.2797</v>
      </c>
      <c r="G52" s="524">
        <v>-39.633314546360623</v>
      </c>
      <c r="H52" s="525">
        <v>16.449232373888183</v>
      </c>
      <c r="I52" s="979"/>
    </row>
    <row r="53" spans="3:9" x14ac:dyDescent="0.25">
      <c r="C53" s="164">
        <v>4.1280000000000001</v>
      </c>
      <c r="D53" s="528">
        <v>167.99</v>
      </c>
      <c r="E53" s="572">
        <v>6.920700000000001</v>
      </c>
      <c r="F53" s="577">
        <v>-0.61580000000000013</v>
      </c>
      <c r="G53" s="524">
        <v>-53.969563867822252</v>
      </c>
      <c r="H53" s="525">
        <v>17.23635875960953</v>
      </c>
      <c r="I53" s="979"/>
    </row>
    <row r="54" spans="3:9" x14ac:dyDescent="0.25">
      <c r="C54" s="164">
        <v>4.1310000000000002</v>
      </c>
      <c r="D54" s="528">
        <v>167.43</v>
      </c>
      <c r="E54" s="572">
        <v>7.4895999999999994</v>
      </c>
      <c r="F54" s="577">
        <v>-1.0858000000000001</v>
      </c>
      <c r="G54" s="524">
        <v>-67.163972171802769</v>
      </c>
      <c r="H54" s="525">
        <v>18.023911738311501</v>
      </c>
      <c r="I54" s="979"/>
    </row>
    <row r="55" spans="3:9" x14ac:dyDescent="0.25">
      <c r="C55" s="164">
        <v>4.1340000000000003</v>
      </c>
      <c r="D55" s="528">
        <v>166.97000000000003</v>
      </c>
      <c r="E55" s="572">
        <v>7.9417</v>
      </c>
      <c r="F55" s="577">
        <v>-1.6657999999999999</v>
      </c>
      <c r="G55" s="524">
        <v>-79.220042124069636</v>
      </c>
      <c r="H55" s="525">
        <v>18.713466010997578</v>
      </c>
      <c r="I55" s="979"/>
    </row>
    <row r="56" spans="3:9" x14ac:dyDescent="0.25">
      <c r="C56" s="164">
        <v>4.1369999999999996</v>
      </c>
      <c r="D56" s="528">
        <v>166.62</v>
      </c>
      <c r="E56" s="572">
        <v>8.263399999999999</v>
      </c>
      <c r="F56" s="577">
        <v>-2.3232999999999997</v>
      </c>
      <c r="G56" s="524">
        <v>-82.655230825650705</v>
      </c>
      <c r="H56" s="525">
        <v>23.286469433862411</v>
      </c>
      <c r="I56" s="979"/>
    </row>
    <row r="57" spans="3:9" x14ac:dyDescent="0.25">
      <c r="C57" s="164">
        <v>4.1399999999999997</v>
      </c>
      <c r="D57" s="528">
        <v>166.3</v>
      </c>
      <c r="E57" s="572">
        <v>8.4371999999999989</v>
      </c>
      <c r="F57" s="577">
        <v>-3.0308999999999995</v>
      </c>
      <c r="G57" s="524">
        <v>-87.252363943046788</v>
      </c>
      <c r="H57" s="525">
        <v>27.829255428010249</v>
      </c>
      <c r="I57" s="979"/>
    </row>
    <row r="58" spans="3:9" x14ac:dyDescent="0.25">
      <c r="C58" s="164">
        <v>4.1429999999999998</v>
      </c>
      <c r="D58" s="528">
        <v>166.06</v>
      </c>
      <c r="E58" s="572">
        <v>8.5542999999999978</v>
      </c>
      <c r="F58" s="577">
        <v>-3.7026999999999997</v>
      </c>
      <c r="G58" s="524">
        <v>-89.331858392628689</v>
      </c>
      <c r="H58" s="525">
        <v>32.359702931290052</v>
      </c>
      <c r="I58" s="979"/>
    </row>
    <row r="59" spans="3:9" x14ac:dyDescent="0.25">
      <c r="C59" s="164">
        <v>4.1459999999999999</v>
      </c>
      <c r="D59" s="528">
        <v>166.01999999999998</v>
      </c>
      <c r="E59" s="572">
        <v>8.5542999999999996</v>
      </c>
      <c r="F59" s="577">
        <v>-4.3879999999999999</v>
      </c>
      <c r="G59" s="524">
        <v>-89.523639944200866</v>
      </c>
      <c r="H59" s="525">
        <v>32.399098459458031</v>
      </c>
      <c r="I59" s="979"/>
    </row>
    <row r="60" spans="3:9" x14ac:dyDescent="0.25">
      <c r="C60" s="164">
        <v>5.1029999999999998</v>
      </c>
      <c r="D60" s="528">
        <v>115</v>
      </c>
      <c r="E60" s="572">
        <v>0.79499999999999993</v>
      </c>
      <c r="F60" s="577">
        <v>-1.0847</v>
      </c>
      <c r="G60" s="524">
        <v>-180</v>
      </c>
      <c r="H60" s="525">
        <v>165.00000000000003</v>
      </c>
      <c r="I60" s="979"/>
    </row>
    <row r="61" spans="3:9" x14ac:dyDescent="0.25">
      <c r="C61" s="164">
        <v>5.1059999999999999</v>
      </c>
      <c r="D61" s="528">
        <v>115</v>
      </c>
      <c r="E61" s="572">
        <v>1.5389999999999999</v>
      </c>
      <c r="F61" s="577">
        <v>-0.88539999999999996</v>
      </c>
      <c r="G61" s="524">
        <v>-1.2288719635000839E-13</v>
      </c>
      <c r="H61" s="525">
        <v>15.000000000000021</v>
      </c>
      <c r="I61" s="979"/>
    </row>
    <row r="62" spans="3:9" x14ac:dyDescent="0.25">
      <c r="C62" s="164">
        <v>5.109</v>
      </c>
      <c r="D62" s="528">
        <v>115</v>
      </c>
      <c r="E62" s="572">
        <v>2.2829999999999995</v>
      </c>
      <c r="F62" s="577">
        <v>-0.68600000000000005</v>
      </c>
      <c r="G62" s="524">
        <v>-1.2288719635000839E-13</v>
      </c>
      <c r="H62" s="525">
        <v>15.000000000000021</v>
      </c>
      <c r="I62" s="979"/>
    </row>
    <row r="63" spans="3:9" x14ac:dyDescent="0.25">
      <c r="C63" s="164">
        <v>5.1120000000000001</v>
      </c>
      <c r="D63" s="528">
        <v>115</v>
      </c>
      <c r="E63" s="572">
        <v>3.0268999999999999</v>
      </c>
      <c r="F63" s="577">
        <v>-0.48670000000000002</v>
      </c>
      <c r="G63" s="524">
        <v>1.5975335525501112E-13</v>
      </c>
      <c r="H63" s="525">
        <v>14.99999999999997</v>
      </c>
      <c r="I63" s="979"/>
    </row>
    <row r="64" spans="3:9" x14ac:dyDescent="0.25">
      <c r="C64" s="164">
        <v>5.1150000000000002</v>
      </c>
      <c r="D64" s="528">
        <v>115</v>
      </c>
      <c r="E64" s="572">
        <v>3.7708999999999993</v>
      </c>
      <c r="F64" s="577">
        <v>-0.2873</v>
      </c>
      <c r="G64" s="524">
        <v>1.4746463562001025E-13</v>
      </c>
      <c r="H64" s="525">
        <v>14.99999999999997</v>
      </c>
      <c r="I64" s="979"/>
    </row>
    <row r="65" spans="3:9" x14ac:dyDescent="0.25">
      <c r="C65" s="164">
        <v>5.1180000000000003</v>
      </c>
      <c r="D65" s="528">
        <v>114.80000000000001</v>
      </c>
      <c r="E65" s="572">
        <v>4.5195999999999996</v>
      </c>
      <c r="F65" s="577">
        <v>-0.1042</v>
      </c>
      <c r="G65" s="524">
        <v>-8.4805433875084386</v>
      </c>
      <c r="H65" s="525">
        <v>15.158231830486962</v>
      </c>
      <c r="I65" s="979"/>
    </row>
    <row r="66" spans="3:9" x14ac:dyDescent="0.25">
      <c r="C66" s="164">
        <v>5.1210000000000004</v>
      </c>
      <c r="D66" s="528">
        <v>114.35</v>
      </c>
      <c r="E66" s="572">
        <v>5.2920000000000007</v>
      </c>
      <c r="F66" s="577">
        <v>-6.88E-2</v>
      </c>
      <c r="G66" s="524">
        <v>-18.8199768305711</v>
      </c>
      <c r="H66" s="525">
        <v>15.577156069264325</v>
      </c>
      <c r="I66" s="979"/>
    </row>
    <row r="67" spans="3:9" x14ac:dyDescent="0.25">
      <c r="C67" s="164">
        <v>5.1239999999999997</v>
      </c>
      <c r="D67" s="528">
        <v>113.78999999999999</v>
      </c>
      <c r="E67" s="572">
        <v>6.0278</v>
      </c>
      <c r="F67" s="577">
        <v>-0.19939999999999999</v>
      </c>
      <c r="G67" s="524">
        <v>-34.60260591739911</v>
      </c>
      <c r="H67" s="525">
        <v>16.207353855361369</v>
      </c>
      <c r="I67" s="979"/>
    </row>
    <row r="68" spans="3:9" x14ac:dyDescent="0.25">
      <c r="C68" s="164">
        <v>5.1269999999999998</v>
      </c>
      <c r="D68" s="528">
        <v>113.19</v>
      </c>
      <c r="E68" s="572">
        <v>6.7089999999999979</v>
      </c>
      <c r="F68" s="577">
        <v>-0.48760000000000003</v>
      </c>
      <c r="G68" s="524">
        <v>-49.293530456715651</v>
      </c>
      <c r="H68" s="525">
        <v>16.970535267664623</v>
      </c>
      <c r="I68" s="979"/>
    </row>
    <row r="69" spans="3:9" x14ac:dyDescent="0.25">
      <c r="C69" s="164">
        <v>5.13</v>
      </c>
      <c r="D69" s="528">
        <v>112.6</v>
      </c>
      <c r="E69" s="572">
        <v>7.3108999999999993</v>
      </c>
      <c r="F69" s="577">
        <v>-0.91489999999999994</v>
      </c>
      <c r="G69" s="524">
        <v>-62.903520585918962</v>
      </c>
      <c r="H69" s="525">
        <v>17.775860863663446</v>
      </c>
      <c r="I69" s="979"/>
    </row>
    <row r="70" spans="3:9" x14ac:dyDescent="0.25">
      <c r="C70" s="164">
        <v>5.133</v>
      </c>
      <c r="D70" s="528">
        <v>112.09</v>
      </c>
      <c r="E70" s="572">
        <v>7.8044000000000011</v>
      </c>
      <c r="F70" s="577">
        <v>-1.4608000000000005</v>
      </c>
      <c r="G70" s="524">
        <v>-75.381924894357539</v>
      </c>
      <c r="H70" s="525">
        <v>18.520295044580489</v>
      </c>
      <c r="I70" s="979"/>
    </row>
    <row r="71" spans="3:9" x14ac:dyDescent="0.25">
      <c r="C71" s="164">
        <v>5.1360000000000001</v>
      </c>
      <c r="D71" s="528">
        <v>111.69999999999999</v>
      </c>
      <c r="E71" s="572">
        <v>8.1742000000000008</v>
      </c>
      <c r="F71" s="577">
        <v>-2.0954000000000002</v>
      </c>
      <c r="G71" s="524">
        <v>-79.359868746413468</v>
      </c>
      <c r="H71" s="525">
        <v>23.196691956963768</v>
      </c>
      <c r="I71" s="979"/>
    </row>
    <row r="72" spans="3:9" x14ac:dyDescent="0.25">
      <c r="C72" s="164">
        <v>5.1390000000000002</v>
      </c>
      <c r="D72" s="528">
        <v>111.31</v>
      </c>
      <c r="E72" s="572">
        <v>8.3992000000000004</v>
      </c>
      <c r="F72" s="577">
        <v>-2.7900000000000005</v>
      </c>
      <c r="G72" s="524">
        <v>-84.194164399957259</v>
      </c>
      <c r="H72" s="525">
        <v>27.816523018248613</v>
      </c>
      <c r="I72" s="979"/>
    </row>
    <row r="73" spans="3:9" x14ac:dyDescent="0.25">
      <c r="C73" s="164">
        <v>5.1420000000000003</v>
      </c>
      <c r="D73" s="528">
        <v>111.06</v>
      </c>
      <c r="E73" s="572">
        <v>8.5542999999999996</v>
      </c>
      <c r="F73" s="577">
        <v>-3.4742999999999999</v>
      </c>
      <c r="G73" s="524">
        <v>-89.331858392628689</v>
      </c>
      <c r="H73" s="525">
        <v>32.359702931290037</v>
      </c>
      <c r="I73" s="979"/>
    </row>
    <row r="74" spans="3:9" x14ac:dyDescent="0.25">
      <c r="C74" s="164">
        <v>5.1449999999999996</v>
      </c>
      <c r="D74" s="528">
        <v>111.01999999999998</v>
      </c>
      <c r="E74" s="572">
        <v>8.5542999999999996</v>
      </c>
      <c r="F74" s="577">
        <v>-4.1595000000000004</v>
      </c>
      <c r="G74" s="524">
        <v>-89.523639944200866</v>
      </c>
      <c r="H74" s="525">
        <v>32.399098459458088</v>
      </c>
      <c r="I74" s="979"/>
    </row>
    <row r="75" spans="3:9" x14ac:dyDescent="0.25">
      <c r="C75" s="164">
        <v>6.1109999999999998</v>
      </c>
      <c r="D75" s="528">
        <v>55</v>
      </c>
      <c r="E75" s="572">
        <v>2.7789000000000006</v>
      </c>
      <c r="F75" s="577">
        <v>-0.55310000000000004</v>
      </c>
      <c r="G75" s="524">
        <v>-3.6866158905002538E-14</v>
      </c>
      <c r="H75" s="525">
        <v>14.99999999999997</v>
      </c>
      <c r="I75" s="979"/>
    </row>
    <row r="76" spans="3:9" x14ac:dyDescent="0.25">
      <c r="C76" s="164">
        <v>6.1139999999999999</v>
      </c>
      <c r="D76" s="528">
        <v>55</v>
      </c>
      <c r="E76" s="572">
        <v>3.5228999999999999</v>
      </c>
      <c r="F76" s="577">
        <v>-0.3538</v>
      </c>
      <c r="G76" s="524">
        <v>-3.6866158905002538E-14</v>
      </c>
      <c r="H76" s="525">
        <v>15.000000000000021</v>
      </c>
      <c r="I76" s="979"/>
    </row>
    <row r="77" spans="3:9" x14ac:dyDescent="0.25">
      <c r="C77" s="164">
        <v>6.117</v>
      </c>
      <c r="D77" s="528">
        <v>54.900000000000006</v>
      </c>
      <c r="E77" s="572">
        <v>4.2675999999999989</v>
      </c>
      <c r="F77" s="577">
        <v>-0.1552</v>
      </c>
      <c r="G77" s="524">
        <v>-5.930268593624108</v>
      </c>
      <c r="H77" s="525">
        <v>15.077041020182243</v>
      </c>
      <c r="I77" s="979"/>
    </row>
    <row r="78" spans="3:9" x14ac:dyDescent="0.25">
      <c r="C78" s="164">
        <v>6.12</v>
      </c>
      <c r="D78" s="528">
        <v>54.519999999999982</v>
      </c>
      <c r="E78" s="572">
        <v>5.0378999999999987</v>
      </c>
      <c r="F78" s="577">
        <v>-0.06</v>
      </c>
      <c r="G78" s="524">
        <v>-13.589398662588517</v>
      </c>
      <c r="H78" s="525">
        <v>15.411754302045495</v>
      </c>
      <c r="I78" s="979"/>
    </row>
    <row r="79" spans="3:9" x14ac:dyDescent="0.25">
      <c r="C79" s="164">
        <v>6.1230000000000002</v>
      </c>
      <c r="D79" s="528">
        <v>53.990000000000009</v>
      </c>
      <c r="E79" s="572">
        <v>5.7884999999999991</v>
      </c>
      <c r="F79" s="577">
        <v>-0.13879999999999995</v>
      </c>
      <c r="G79" s="524">
        <v>-29.446260926426977</v>
      </c>
      <c r="H79" s="525">
        <v>15.978497882979838</v>
      </c>
      <c r="I79" s="979"/>
    </row>
    <row r="80" spans="3:9" x14ac:dyDescent="0.25">
      <c r="C80" s="164">
        <v>6.1260000000000003</v>
      </c>
      <c r="D80" s="528">
        <v>53.389999999999986</v>
      </c>
      <c r="E80" s="572">
        <v>6.4897000000000009</v>
      </c>
      <c r="F80" s="577">
        <v>-0.37560000000000004</v>
      </c>
      <c r="G80" s="524">
        <v>-44.473253930619272</v>
      </c>
      <c r="H80" s="525">
        <v>16.705740134064708</v>
      </c>
      <c r="I80" s="979"/>
    </row>
    <row r="81" spans="3:9" x14ac:dyDescent="0.25">
      <c r="C81" s="164">
        <v>6.1289999999999996</v>
      </c>
      <c r="D81" s="528">
        <v>52.800000000000011</v>
      </c>
      <c r="E81" s="572">
        <v>7.1217999999999995</v>
      </c>
      <c r="F81" s="577">
        <v>-0.75859999999999994</v>
      </c>
      <c r="G81" s="524">
        <v>-58.509190798640006</v>
      </c>
      <c r="H81" s="525">
        <v>17.500350225117057</v>
      </c>
      <c r="I81" s="979"/>
    </row>
    <row r="82" spans="3:9" x14ac:dyDescent="0.25">
      <c r="C82" s="164">
        <v>6.1319999999999997</v>
      </c>
      <c r="D82" s="528">
        <v>52.260000000000019</v>
      </c>
      <c r="E82" s="572">
        <v>7.6544000000000008</v>
      </c>
      <c r="F82" s="577">
        <v>-1.2681999999999998</v>
      </c>
      <c r="G82" s="524">
        <v>-71.338155846655908</v>
      </c>
      <c r="H82" s="525">
        <v>18.268614192287977</v>
      </c>
      <c r="I82" s="979"/>
    </row>
    <row r="83" spans="3:9" x14ac:dyDescent="0.25">
      <c r="C83" s="164">
        <v>6.1349999999999998</v>
      </c>
      <c r="D83" s="528">
        <v>51.830000000000013</v>
      </c>
      <c r="E83" s="572">
        <v>8.0691999999999986</v>
      </c>
      <c r="F83" s="577">
        <v>-1.8746999999999996</v>
      </c>
      <c r="G83" s="524">
        <v>-75.605199730537166</v>
      </c>
      <c r="H83" s="525">
        <v>23.029836195751034</v>
      </c>
      <c r="I83" s="979"/>
    </row>
    <row r="84" spans="3:9" x14ac:dyDescent="0.25">
      <c r="C84" s="164">
        <v>6.1379999999999999</v>
      </c>
      <c r="D84" s="528">
        <v>51.400000000000006</v>
      </c>
      <c r="E84" s="572">
        <v>8.3444000000000003</v>
      </c>
      <c r="F84" s="577">
        <v>-2.5530000000000004</v>
      </c>
      <c r="G84" s="524">
        <v>-80.885397133950249</v>
      </c>
      <c r="H84" s="525">
        <v>27.728081782756504</v>
      </c>
      <c r="I84" s="979"/>
    </row>
    <row r="85" spans="3:9" x14ac:dyDescent="0.25">
      <c r="C85" s="164">
        <v>6.141</v>
      </c>
      <c r="D85" s="528">
        <v>51.06</v>
      </c>
      <c r="E85" s="572">
        <v>8.5542999999999996</v>
      </c>
      <c r="F85" s="577">
        <v>-3.2459000000000007</v>
      </c>
      <c r="G85" s="524">
        <v>-89.331858392628689</v>
      </c>
      <c r="H85" s="525">
        <v>32.359702931290037</v>
      </c>
      <c r="I85" s="979"/>
    </row>
    <row r="86" spans="3:9" x14ac:dyDescent="0.25">
      <c r="C86" s="164">
        <v>6.1440000000000001</v>
      </c>
      <c r="D86" s="528">
        <v>51.02000000000001</v>
      </c>
      <c r="E86" s="572">
        <v>8.5542999999999978</v>
      </c>
      <c r="F86" s="577">
        <v>-3.9310999999999989</v>
      </c>
      <c r="G86" s="524">
        <v>-89.523639944200866</v>
      </c>
      <c r="H86" s="525">
        <v>32.399098459458109</v>
      </c>
      <c r="I86" s="979"/>
    </row>
  </sheetData>
  <mergeCells count="2">
    <mergeCell ref="D3:E3"/>
    <mergeCell ref="F3:F4"/>
  </mergeCells>
  <conditionalFormatting sqref="C5:C86">
    <cfRule type="cellIs" dxfId="29" priority="1" stopIfTrue="1" operator="between">
      <formula>9</formula>
      <formula>9.99</formula>
    </cfRule>
    <cfRule type="cellIs" dxfId="28" priority="2" stopIfTrue="1" operator="between">
      <formula>8</formula>
      <formula>8.99</formula>
    </cfRule>
    <cfRule type="cellIs" dxfId="27" priority="3" stopIfTrue="1" operator="between">
      <formula>7</formula>
      <formula>7.99</formula>
    </cfRule>
    <cfRule type="cellIs" dxfId="26" priority="4" stopIfTrue="1" operator="between">
      <formula>6</formula>
      <formula>6.99</formula>
    </cfRule>
    <cfRule type="cellIs" dxfId="25" priority="5" stopIfTrue="1" operator="between">
      <formula>5</formula>
      <formula>5.99</formula>
    </cfRule>
    <cfRule type="cellIs" dxfId="24" priority="6" stopIfTrue="1" operator="between">
      <formula>4</formula>
      <formula>4.99</formula>
    </cfRule>
    <cfRule type="cellIs" dxfId="23" priority="7" stopIfTrue="1" operator="between">
      <formula>3</formula>
      <formula>3.99</formula>
    </cfRule>
    <cfRule type="cellIs" dxfId="22" priority="8" stopIfTrue="1" operator="between">
      <formula>2</formula>
      <formula>2.99</formula>
    </cfRule>
    <cfRule type="cellIs" dxfId="21" priority="9" stopIfTrue="1" operator="between">
      <formula>1</formula>
      <formula>1.99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7.7109375" customWidth="1"/>
    <col min="12" max="12" width="13.7109375" customWidth="1"/>
    <col min="13" max="13" width="9.7109375" style="373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373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135" t="str">
        <f>CONCATENATE(Settings!$C$19," ",Settings!$B$28)</f>
        <v>7.875 4720r01</v>
      </c>
      <c r="D1" s="1135"/>
      <c r="E1" s="1135"/>
      <c r="F1" s="1135"/>
      <c r="G1" s="1135"/>
      <c r="H1" s="1135"/>
      <c r="I1" s="1135"/>
      <c r="J1" s="1135"/>
      <c r="K1" s="1135"/>
      <c r="M1" s="103" t="s">
        <v>310</v>
      </c>
      <c r="N1" s="1428" t="s">
        <v>312</v>
      </c>
      <c r="O1" s="1428"/>
      <c r="P1" s="103">
        <v>5</v>
      </c>
      <c r="V1" s="103"/>
      <c r="W1" s="1"/>
      <c r="X1" s="141">
        <f>IF(M1="Y",Assy.Model!Y8,0)+(AS5*1)</f>
        <v>0</v>
      </c>
      <c r="Y1" s="141">
        <f>(AS5*2)</f>
        <v>0</v>
      </c>
      <c r="Z1" s="33" t="s">
        <v>311</v>
      </c>
      <c r="AK1" s="1"/>
      <c r="AL1" s="1"/>
      <c r="AW1" s="486"/>
      <c r="AX1" s="486"/>
      <c r="AY1" s="486"/>
      <c r="AZ1" s="486"/>
      <c r="BA1" s="486"/>
      <c r="BB1" s="486"/>
      <c r="BC1" s="486"/>
      <c r="IF1" s="31"/>
      <c r="IG1" s="31"/>
      <c r="IL1" s="31"/>
      <c r="IM1" s="323"/>
      <c r="JA1" s="82"/>
    </row>
    <row r="2" spans="1:265" ht="15" customHeight="1" thickBot="1" x14ac:dyDescent="0.3">
      <c r="B2" s="1424" t="str">
        <f>Settings!B28</f>
        <v>4720r01</v>
      </c>
      <c r="C2" s="1425"/>
      <c r="D2" s="1425"/>
      <c r="E2" s="1425"/>
      <c r="F2" s="1425"/>
      <c r="G2" s="1425"/>
      <c r="H2" s="1425"/>
      <c r="I2" s="1425"/>
      <c r="J2" s="1425"/>
      <c r="K2" s="1426"/>
      <c r="L2" s="1098" t="str" cm="1">
        <f t="array" ref="L2">IF(OR($K$9:$K$150="Undefined"),"Undefined Element","")</f>
        <v/>
      </c>
      <c r="M2" s="1421" t="s">
        <v>0</v>
      </c>
      <c r="N2" s="1115" t="s">
        <v>1</v>
      </c>
      <c r="O2" s="1116"/>
      <c r="P2" s="1116"/>
      <c r="Q2" s="1116"/>
      <c r="R2" s="1116"/>
      <c r="S2" s="1116"/>
      <c r="T2" s="1116"/>
      <c r="U2" s="1116"/>
      <c r="V2" s="1116"/>
      <c r="W2" s="1116"/>
      <c r="X2" s="1116"/>
      <c r="Y2" s="1117"/>
      <c r="Z2" s="1115" t="s">
        <v>2</v>
      </c>
      <c r="AA2" s="1116"/>
      <c r="AB2" s="1116"/>
      <c r="AC2" s="1116"/>
      <c r="AD2" s="1116"/>
      <c r="AE2" s="1116"/>
      <c r="AF2" s="1116"/>
      <c r="AG2" s="1116"/>
      <c r="AH2" s="1116"/>
      <c r="AI2" s="1116"/>
      <c r="AJ2" s="1116"/>
      <c r="AK2" s="1116"/>
      <c r="AL2" s="1116"/>
      <c r="AM2" s="1116"/>
      <c r="AN2" s="1116"/>
      <c r="AO2" s="1116"/>
      <c r="AP2" s="1116"/>
      <c r="AQ2" s="1185"/>
      <c r="AS2" s="1123" t="s">
        <v>44</v>
      </c>
      <c r="AT2" s="1124"/>
      <c r="AV2" s="1418" t="str">
        <f>M2</f>
        <v>CS-Name</v>
      </c>
      <c r="AW2" s="1340"/>
      <c r="AX2" s="1340"/>
      <c r="AY2" s="1340"/>
      <c r="AZ2" s="1340"/>
      <c r="BA2" s="1340"/>
      <c r="BB2" s="1340"/>
      <c r="BC2" s="1341"/>
      <c r="BF2" s="1394" t="s">
        <v>313</v>
      </c>
      <c r="BG2" s="1395"/>
      <c r="BH2" s="1395"/>
      <c r="BI2" s="1395"/>
      <c r="BJ2" s="1395"/>
      <c r="BK2" s="1396"/>
      <c r="BM2" s="1384" t="s">
        <v>270</v>
      </c>
      <c r="BN2" s="1090"/>
      <c r="BO2" s="1090"/>
      <c r="BP2" s="1091"/>
      <c r="BR2" s="1384" t="s">
        <v>270</v>
      </c>
      <c r="BS2" s="1090"/>
      <c r="BT2" s="1090"/>
      <c r="BU2" s="1091"/>
      <c r="BW2" s="445" t="s">
        <v>87</v>
      </c>
      <c r="BX2" s="439">
        <v>1.1000000000000001</v>
      </c>
      <c r="BY2" s="426">
        <v>1.2</v>
      </c>
      <c r="BZ2" s="426">
        <f t="shared" ref="BZ2:CO2" si="0">BX2+1</f>
        <v>2.1</v>
      </c>
      <c r="CA2" s="426">
        <f t="shared" si="0"/>
        <v>2.2000000000000002</v>
      </c>
      <c r="CB2" s="426">
        <f t="shared" si="0"/>
        <v>3.1</v>
      </c>
      <c r="CC2" s="426">
        <f t="shared" si="0"/>
        <v>3.2</v>
      </c>
      <c r="CD2" s="426">
        <f t="shared" si="0"/>
        <v>4.0999999999999996</v>
      </c>
      <c r="CE2" s="426">
        <f t="shared" si="0"/>
        <v>4.2</v>
      </c>
      <c r="CF2" s="426">
        <f t="shared" si="0"/>
        <v>5.0999999999999996</v>
      </c>
      <c r="CG2" s="426">
        <f t="shared" si="0"/>
        <v>5.2</v>
      </c>
      <c r="CH2" s="426">
        <f t="shared" si="0"/>
        <v>6.1</v>
      </c>
      <c r="CI2" s="426">
        <f t="shared" si="0"/>
        <v>6.2</v>
      </c>
      <c r="CJ2" s="426">
        <f t="shared" si="0"/>
        <v>7.1</v>
      </c>
      <c r="CK2" s="426">
        <f t="shared" si="0"/>
        <v>7.2</v>
      </c>
      <c r="CL2" s="426">
        <f t="shared" si="0"/>
        <v>8.1</v>
      </c>
      <c r="CM2" s="426">
        <f t="shared" si="0"/>
        <v>8.1999999999999993</v>
      </c>
      <c r="CN2" s="426">
        <f t="shared" si="0"/>
        <v>9.1</v>
      </c>
      <c r="CO2" s="427">
        <f t="shared" si="0"/>
        <v>9.1999999999999993</v>
      </c>
      <c r="CQ2" s="445" t="s">
        <v>87</v>
      </c>
      <c r="CR2" s="439">
        <v>1.1000000000000001</v>
      </c>
      <c r="CS2" s="426">
        <v>1.2</v>
      </c>
      <c r="CT2" s="426">
        <f t="shared" ref="CT2:DI2" si="1">CR2+1</f>
        <v>2.1</v>
      </c>
      <c r="CU2" s="426">
        <f t="shared" si="1"/>
        <v>2.2000000000000002</v>
      </c>
      <c r="CV2" s="426">
        <f t="shared" si="1"/>
        <v>3.1</v>
      </c>
      <c r="CW2" s="426">
        <f t="shared" si="1"/>
        <v>3.2</v>
      </c>
      <c r="CX2" s="426">
        <f t="shared" si="1"/>
        <v>4.0999999999999996</v>
      </c>
      <c r="CY2" s="426">
        <f t="shared" si="1"/>
        <v>4.2</v>
      </c>
      <c r="CZ2" s="426">
        <f t="shared" si="1"/>
        <v>5.0999999999999996</v>
      </c>
      <c r="DA2" s="426">
        <f t="shared" si="1"/>
        <v>5.2</v>
      </c>
      <c r="DB2" s="426">
        <f t="shared" si="1"/>
        <v>6.1</v>
      </c>
      <c r="DC2" s="426">
        <f t="shared" si="1"/>
        <v>6.2</v>
      </c>
      <c r="DD2" s="426">
        <f t="shared" si="1"/>
        <v>7.1</v>
      </c>
      <c r="DE2" s="426">
        <f t="shared" si="1"/>
        <v>7.2</v>
      </c>
      <c r="DF2" s="426">
        <f t="shared" si="1"/>
        <v>8.1</v>
      </c>
      <c r="DG2" s="426">
        <f t="shared" si="1"/>
        <v>8.1999999999999993</v>
      </c>
      <c r="DH2" s="426">
        <f t="shared" si="1"/>
        <v>9.1</v>
      </c>
      <c r="DI2" s="427">
        <f t="shared" si="1"/>
        <v>9.1999999999999993</v>
      </c>
      <c r="DK2" s="71" t="s">
        <v>87</v>
      </c>
      <c r="DL2">
        <v>1.1000000000000001</v>
      </c>
      <c r="DM2" s="489">
        <f>DL2+1</f>
        <v>2.1</v>
      </c>
      <c r="DN2" s="489">
        <f>DM2+1</f>
        <v>3.1</v>
      </c>
      <c r="DO2" s="489">
        <f t="shared" ref="DO2:DT2" si="2">DN2+1</f>
        <v>4.0999999999999996</v>
      </c>
      <c r="DP2" s="489">
        <f t="shared" si="2"/>
        <v>5.0999999999999996</v>
      </c>
      <c r="DQ2" s="489">
        <f t="shared" si="2"/>
        <v>6.1</v>
      </c>
      <c r="DR2" s="489">
        <f t="shared" si="2"/>
        <v>7.1</v>
      </c>
      <c r="DS2" s="489">
        <f t="shared" si="2"/>
        <v>8.1</v>
      </c>
      <c r="DT2" s="489">
        <f t="shared" si="2"/>
        <v>9.1</v>
      </c>
      <c r="DU2" s="489"/>
      <c r="DV2" s="489"/>
      <c r="IF2" s="31"/>
      <c r="IG2" s="31"/>
      <c r="IL2" s="31"/>
      <c r="IM2" s="323"/>
      <c r="JA2" s="82"/>
    </row>
    <row r="3" spans="1:265" ht="15" customHeight="1" thickBot="1" x14ac:dyDescent="0.3">
      <c r="B3" s="1141"/>
      <c r="C3" s="1142"/>
      <c r="D3" s="1142"/>
      <c r="E3" s="1142"/>
      <c r="F3" s="1142"/>
      <c r="G3" s="1142"/>
      <c r="H3" s="1142"/>
      <c r="I3" s="1142"/>
      <c r="J3" s="1142"/>
      <c r="K3" s="1143"/>
      <c r="L3" s="1098"/>
      <c r="M3" s="1422"/>
      <c r="N3" s="1118"/>
      <c r="O3" s="1119"/>
      <c r="P3" s="1119"/>
      <c r="Q3" s="1119"/>
      <c r="R3" s="1119"/>
      <c r="S3" s="1119"/>
      <c r="T3" s="1119"/>
      <c r="U3" s="1119"/>
      <c r="V3" s="1119"/>
      <c r="W3" s="1119"/>
      <c r="X3" s="1119"/>
      <c r="Y3" s="1120"/>
      <c r="Z3" s="1207"/>
      <c r="AA3" s="1193"/>
      <c r="AB3" s="1193"/>
      <c r="AC3" s="1193"/>
      <c r="AD3" s="1193"/>
      <c r="AE3" s="1193"/>
      <c r="AF3" s="1193"/>
      <c r="AG3" s="1193"/>
      <c r="AH3" s="1193"/>
      <c r="AI3" s="1193"/>
      <c r="AJ3" s="1193"/>
      <c r="AK3" s="1193"/>
      <c r="AL3" s="1193"/>
      <c r="AM3" s="1193"/>
      <c r="AN3" s="1193"/>
      <c r="AO3" s="1193"/>
      <c r="AP3" s="1193"/>
      <c r="AQ3" s="1208"/>
      <c r="AS3" s="415">
        <v>100</v>
      </c>
      <c r="AT3" s="412" t="s">
        <v>45</v>
      </c>
      <c r="AV3" s="1419"/>
      <c r="AW3" s="1346"/>
      <c r="AX3" s="1346"/>
      <c r="AY3" s="1346"/>
      <c r="AZ3" s="1346"/>
      <c r="BA3" s="1346"/>
      <c r="BB3" s="1346"/>
      <c r="BC3" s="1347"/>
      <c r="BF3" s="389" t="s">
        <v>8</v>
      </c>
      <c r="BG3" s="390" t="s">
        <v>9</v>
      </c>
      <c r="BH3" s="391" t="s">
        <v>10</v>
      </c>
      <c r="BI3" s="392" t="s">
        <v>267</v>
      </c>
      <c r="BJ3" s="393" t="s">
        <v>268</v>
      </c>
      <c r="BK3" s="394" t="s">
        <v>269</v>
      </c>
      <c r="BM3" s="401">
        <f>COS(RADIANS($BJ$4))*COS(RADIANS($BK$4))</f>
        <v>0.99999954655642542</v>
      </c>
      <c r="BN3" s="402">
        <f>-COS(RADIANS($BJ$4))*SIN(RADIANS($BK$4))</f>
        <v>8.5488794986011008E-4</v>
      </c>
      <c r="BO3" s="402">
        <f>SIN(RADIANS($BJ$4))</f>
        <v>4.1958734126354083E-4</v>
      </c>
      <c r="BP3" s="403">
        <f>$BF$4</f>
        <v>1.7693570498468309E-3</v>
      </c>
      <c r="BR3" s="179" t="s">
        <v>271</v>
      </c>
      <c r="BS3" s="388" t="s">
        <v>272</v>
      </c>
      <c r="BT3" s="388" t="s">
        <v>273</v>
      </c>
      <c r="BU3" s="35" t="s">
        <v>274</v>
      </c>
      <c r="BW3" s="446" t="s">
        <v>285</v>
      </c>
      <c r="BX3" s="440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28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28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28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28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28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28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28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28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28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28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28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28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28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28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28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28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29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455" t="s">
        <v>286</v>
      </c>
      <c r="CR3" s="453"/>
      <c r="CS3" s="435" t="str">
        <f t="shared" ref="CS3:DI3" si="3">IF(AND(ISNUMBER(BX$4),ISNUMBER(BY$4),BX$4&gt;BY$4),((BX$4-BY$4)/2),IF(AND(ISNUMBER(BW$4),ISNUMBER(BY$4),BW$4&gt;BY$4),((BW$4-BY$4)/2),""))</f>
        <v/>
      </c>
      <c r="CT3" s="435" t="str">
        <f t="shared" si="3"/>
        <v/>
      </c>
      <c r="CU3" s="435" t="str">
        <f t="shared" si="3"/>
        <v/>
      </c>
      <c r="CV3" s="435" t="str">
        <f t="shared" si="3"/>
        <v/>
      </c>
      <c r="CW3" s="435" t="str">
        <f t="shared" si="3"/>
        <v/>
      </c>
      <c r="CX3" s="435" t="str">
        <f t="shared" si="3"/>
        <v/>
      </c>
      <c r="CY3" s="435" t="str">
        <f t="shared" si="3"/>
        <v/>
      </c>
      <c r="CZ3" s="435" t="str">
        <f t="shared" si="3"/>
        <v/>
      </c>
      <c r="DA3" s="435" t="str">
        <f t="shared" si="3"/>
        <v/>
      </c>
      <c r="DB3" s="435" t="str">
        <f t="shared" si="3"/>
        <v/>
      </c>
      <c r="DC3" s="435" t="str">
        <f t="shared" si="3"/>
        <v/>
      </c>
      <c r="DD3" s="435" t="str">
        <f t="shared" si="3"/>
        <v/>
      </c>
      <c r="DE3" s="435" t="str">
        <f t="shared" si="3"/>
        <v/>
      </c>
      <c r="DF3" s="435" t="str">
        <f t="shared" si="3"/>
        <v/>
      </c>
      <c r="DG3" s="435" t="str">
        <f t="shared" si="3"/>
        <v/>
      </c>
      <c r="DH3" s="435" t="str">
        <f t="shared" si="3"/>
        <v/>
      </c>
      <c r="DI3" s="452" t="str">
        <f t="shared" si="3"/>
        <v/>
      </c>
      <c r="DK3" s="71" t="s">
        <v>308</v>
      </c>
      <c r="DL3" s="489" t="str" cm="1">
        <f t="array" ref="DL3">IF(LARGE(IF(IFERROR(VALUE(LEFT($AV$9:$AV$150,3)),0)=DL$2,$AV$9:$AV$150,0),1)=0,"",LARGE(IF(IFERROR(VALUE(LEFT($AV$9:$AV$150,3)),0)=DL$2,$AV$9:$AV$150,0),1))</f>
        <v/>
      </c>
      <c r="DM3" s="489" t="str" cm="1">
        <f t="array" ref="DM3">IF(LARGE(IF(IFERROR(VALUE(LEFT($AV$9:$AV$150,3)),0)=DM$2,$AV$9:$AV$150,0),1)=0,"",LARGE(IF(IFERROR(VALUE(LEFT($AV$9:$AV$150,3)),0)=DM$2,$AV$9:$AV$150,0),1))</f>
        <v/>
      </c>
      <c r="DN3" s="489" t="str" cm="1">
        <f t="array" ref="DN3">IF(LARGE(IF(IFERROR(VALUE(LEFT($AV$9:$AV$150,3)),0)=DN$2,$AV$9:$AV$150,0),1)=0,"",LARGE(IF(IFERROR(VALUE(LEFT($AV$9:$AV$150,3)),0)=DN$2,$AV$9:$AV$150,0),1))</f>
        <v/>
      </c>
      <c r="DO3" s="489" t="str" cm="1">
        <f t="array" ref="DO3">IF(LARGE(IF(IFERROR(VALUE(LEFT($AV$9:$AV$150,3)),0)=DO$2,$AV$9:$AV$150,0),1)=0,"",LARGE(IF(IFERROR(VALUE(LEFT($AV$9:$AV$150,3)),0)=DO$2,$AV$9:$AV$150,0),1))</f>
        <v/>
      </c>
      <c r="DP3" s="489" t="str" cm="1">
        <f t="array" ref="DP3">IF(LARGE(IF(IFERROR(VALUE(LEFT($AV$9:$AV$150,3)),0)=DP$2,$AV$9:$AV$150,0),1)=0,"",LARGE(IF(IFERROR(VALUE(LEFT($AV$9:$AV$150,3)),0)=DP$2,$AV$9:$AV$150,0),1))</f>
        <v/>
      </c>
      <c r="DQ3" s="489" t="str" cm="1">
        <f t="array" ref="DQ3">IF(LARGE(IF(IFERROR(VALUE(LEFT($AV$9:$AV$150,3)),0)=DQ$2,$AV$9:$AV$150,0),1)=0,"",LARGE(IF(IFERROR(VALUE(LEFT($AV$9:$AV$150,3)),0)=DQ$2,$AV$9:$AV$150,0),1))</f>
        <v/>
      </c>
      <c r="DR3" s="489" t="str" cm="1">
        <f t="array" ref="DR3">IF(LARGE(IF(IFERROR(VALUE(LEFT($AV$9:$AV$150,3)),0)=DR$2,$AV$9:$AV$150,0),1)=0,"",LARGE(IF(IFERROR(VALUE(LEFT($AV$9:$AV$150,3)),0)=DR$2,$AV$9:$AV$150,0),1))</f>
        <v/>
      </c>
      <c r="DS3" s="489" t="str" cm="1">
        <f t="array" ref="DS3">IF(LARGE(IF(IFERROR(VALUE(LEFT($AV$9:$AV$150,3)),0)=DS$2,$AV$9:$AV$150,0),1)=0,"",LARGE(IF(IFERROR(VALUE(LEFT($AV$9:$AV$150,3)),0)=DS$2,$AV$9:$AV$150,0),1))</f>
        <v/>
      </c>
      <c r="DT3" s="489" t="str" cm="1">
        <f t="array" ref="DT3">IF(LARGE(IF(IFERROR(VALUE(LEFT($AV$9:$AV$150,3)),0)=DT$2,$AV$9:$AV$150,0),1)=0,"",LARGE(IF(IFERROR(VALUE(LEFT($AV$9:$AV$150,3)),0)=DT$2,$AV$9:$AV$150,0),1))</f>
        <v/>
      </c>
      <c r="DU3" s="489"/>
      <c r="DV3" s="489"/>
      <c r="IF3" s="31"/>
      <c r="IG3" s="31"/>
      <c r="IL3" s="31"/>
      <c r="IM3" s="710"/>
      <c r="JA3" s="82"/>
      <c r="JB3" s="82"/>
      <c r="JC3" s="82"/>
    </row>
    <row r="4" spans="1:265" ht="15" customHeight="1" thickBot="1" x14ac:dyDescent="0.3">
      <c r="B4" s="1206" t="s">
        <v>307</v>
      </c>
      <c r="C4" s="980"/>
      <c r="D4" s="980"/>
      <c r="E4" s="980"/>
      <c r="F4" s="980"/>
      <c r="G4" s="980"/>
      <c r="H4" s="980"/>
      <c r="I4" s="980"/>
      <c r="J4" s="980"/>
      <c r="K4" s="1427"/>
      <c r="L4" s="1098"/>
      <c r="M4" s="1422"/>
      <c r="N4" s="1159" t="s">
        <v>3</v>
      </c>
      <c r="O4" s="1107"/>
      <c r="P4" s="1107"/>
      <c r="Q4" s="1108" t="s">
        <v>4</v>
      </c>
      <c r="R4" s="1107"/>
      <c r="S4" s="1109"/>
      <c r="T4" s="1168" t="str">
        <f>N4</f>
        <v>Cartesian Coordinates</v>
      </c>
      <c r="U4" s="1139"/>
      <c r="V4" s="1169"/>
      <c r="W4" s="1139" t="str">
        <f>Q4</f>
        <v>Polar XY; Cartesian Z</v>
      </c>
      <c r="X4" s="1139"/>
      <c r="Y4" s="1140"/>
      <c r="Z4" s="1429" t="s">
        <v>3</v>
      </c>
      <c r="AA4" s="1404"/>
      <c r="AB4" s="1404"/>
      <c r="AC4" s="1404"/>
      <c r="AD4" s="1404"/>
      <c r="AE4" s="1404"/>
      <c r="AF4" s="1404"/>
      <c r="AG4" s="1403" t="s">
        <v>31</v>
      </c>
      <c r="AH4" s="1404"/>
      <c r="AI4" s="1404"/>
      <c r="AJ4" s="1405"/>
      <c r="AK4" s="1387" t="s">
        <v>32</v>
      </c>
      <c r="AL4" s="1388"/>
      <c r="AM4" s="1388"/>
      <c r="AN4" s="1388"/>
      <c r="AO4" s="1388"/>
      <c r="AP4" s="1388"/>
      <c r="AQ4" s="1389"/>
      <c r="AS4" s="416">
        <v>0</v>
      </c>
      <c r="AT4" s="413" t="s">
        <v>46</v>
      </c>
      <c r="AV4" s="1419"/>
      <c r="AW4" s="1401"/>
      <c r="AX4" s="1401"/>
      <c r="AY4" s="1401"/>
      <c r="AZ4" s="1402"/>
      <c r="BA4" s="1401" t="str">
        <f>Z2</f>
        <v>PDC Orientation</v>
      </c>
      <c r="BB4" s="1401"/>
      <c r="BC4" s="1402"/>
      <c r="BD4" s="417"/>
      <c r="BF4" s="733">
        <v>1.7693570498468309E-3</v>
      </c>
      <c r="BG4" s="734">
        <v>1.856192388898044E-3</v>
      </c>
      <c r="BH4" s="735">
        <v>-8.6641535343794596E-2</v>
      </c>
      <c r="BI4" s="733">
        <v>-1.1268487054480062E-2</v>
      </c>
      <c r="BJ4" s="734">
        <v>2.4040584496921286E-2</v>
      </c>
      <c r="BK4" s="736">
        <v>-4.8981481761476542E-2</v>
      </c>
      <c r="BM4" s="404">
        <f>COS(RADIANS($BK$4))*SIN(RADIANS($BI$4))*SIN(RADIANS($BJ$4))+SIN(RADIANS($BK$4))*COS(RADIANS($BI$4))</f>
        <v>-8.5497052971478422E-4</v>
      </c>
      <c r="BN4" s="405">
        <f>-SIN(RADIANS($BI$4))*SIN(RADIANS($BJ$4))*SIN(RADIANS($BK$4))+COS(RADIANS($BI$4))*COS(RADIANS($BK$4))</f>
        <v>0.99999961517264913</v>
      </c>
      <c r="BO4" s="405">
        <f>-SIN(RADIANS($BI$4))*COS(RADIANS($BJ$4))</f>
        <v>1.9667218223873715E-4</v>
      </c>
      <c r="BP4" s="406">
        <f>$BG$4</f>
        <v>1.856192388898044E-3</v>
      </c>
      <c r="BR4" s="395" t="s">
        <v>275</v>
      </c>
      <c r="BS4" s="396" t="s">
        <v>276</v>
      </c>
      <c r="BT4" s="396" t="s">
        <v>277</v>
      </c>
      <c r="BU4" s="397" t="s">
        <v>278</v>
      </c>
      <c r="BW4" s="447" t="s">
        <v>18</v>
      </c>
      <c r="BX4" s="441" t="str">
        <f>INDEX($W$9:$W$150,MATCH(BX$3,$M$9:$M$150,0))</f>
        <v/>
      </c>
      <c r="BY4" s="430" t="str">
        <f t="shared" ref="BY4:CO4" si="4">INDEX($W$9:$W$150,MATCH(BY$3,$M$9:$M$150,0))</f>
        <v/>
      </c>
      <c r="BZ4" s="430" t="str">
        <f t="shared" si="4"/>
        <v/>
      </c>
      <c r="CA4" s="430" t="str">
        <f t="shared" si="4"/>
        <v/>
      </c>
      <c r="CB4" s="430" t="str">
        <f t="shared" si="4"/>
        <v/>
      </c>
      <c r="CC4" s="430" t="str">
        <f t="shared" si="4"/>
        <v/>
      </c>
      <c r="CD4" s="430" t="str">
        <f t="shared" si="4"/>
        <v/>
      </c>
      <c r="CE4" s="430" t="str">
        <f t="shared" si="4"/>
        <v/>
      </c>
      <c r="CF4" s="430" t="str">
        <f t="shared" si="4"/>
        <v/>
      </c>
      <c r="CG4" s="430" t="str">
        <f t="shared" si="4"/>
        <v/>
      </c>
      <c r="CH4" s="430" t="str">
        <f t="shared" si="4"/>
        <v/>
      </c>
      <c r="CI4" s="430" t="str">
        <f t="shared" si="4"/>
        <v/>
      </c>
      <c r="CJ4" s="430" t="str">
        <f t="shared" si="4"/>
        <v/>
      </c>
      <c r="CK4" s="430" t="str">
        <f t="shared" si="4"/>
        <v/>
      </c>
      <c r="CL4" s="430" t="str">
        <f t="shared" si="4"/>
        <v/>
      </c>
      <c r="CM4" s="430" t="str">
        <f t="shared" si="4"/>
        <v/>
      </c>
      <c r="CN4" s="430" t="str">
        <f t="shared" si="4"/>
        <v/>
      </c>
      <c r="CO4" s="431" t="str">
        <f t="shared" si="4"/>
        <v/>
      </c>
      <c r="CQ4" s="456" t="s">
        <v>287</v>
      </c>
      <c r="CR4" s="454" t="str">
        <f>IF(ISNUMBER(BX$3),MOD(((BX$4+360)+MIN($CR$3,$CT$3,$CV$3,$CX$3,$CZ$3,$DB$3,$DD$3,$DF$3,$DH$3)),360),"")</f>
        <v/>
      </c>
      <c r="CS4" s="421" t="str">
        <f>IF(ISNUMBER(BY$3),MOD(((BY$4+360)+MIN($CS$3,$CU$3,$CW$3,$CY$3,$DA$3,$DC$3,$DE$3,$DG$3,$DI$3)),360),"")</f>
        <v/>
      </c>
      <c r="CT4" s="421" t="str">
        <f>IF(ISNUMBER(BZ$3),MOD(((BZ$4+360)+MIN($CR$3,$CT$3,$CV$3,$CX$3,$CZ$3,$DB$3,$DD$3,$DF$3,$DH$3)),360),"")</f>
        <v/>
      </c>
      <c r="CU4" s="421" t="str">
        <f>IF(ISNUMBER(CA$3),MOD(((CA$4+360)+MIN($CS$3,$CU$3,$CW$3,$CY$3,$DA$3,$DC$3,$DE$3,$DG$3,$DI$3)),360),"")</f>
        <v/>
      </c>
      <c r="CV4" s="421" t="str">
        <f>IF(ISNUMBER(CB$3),MOD(((CB$4+360)+MIN($CR$3,$CT$3,$CV$3,$CX$3,$CZ$3,$DB$3,$DD$3,$DF$3,$DH$3)),360),"")</f>
        <v/>
      </c>
      <c r="CW4" s="421" t="str">
        <f>IF(ISNUMBER(CC$3),MOD(((CC$4+360)+MIN($CS$3,$CU$3,$CW$3,$CY$3,$DA$3,$DC$3,$DE$3,$DG$3,$DI$3)),360),"")</f>
        <v/>
      </c>
      <c r="CX4" s="421" t="str">
        <f>IF(ISNUMBER(CD$3),MOD(((CD$4+360)+MIN($CR$3,$CT$3,$CV$3,$CX$3,$CZ$3,$DB$3,$DD$3,$DF$3,$DH$3)),360),"")</f>
        <v/>
      </c>
      <c r="CY4" s="421" t="str">
        <f>IF(ISNUMBER(CE$3),MOD(((CE$4+360)+MIN($CS$3,$CU$3,$CW$3,$CY$3,$DA$3,$DC$3,$DE$3,$DG$3,$DI$3)),360),"")</f>
        <v/>
      </c>
      <c r="CZ4" s="421" t="str">
        <f>IF(ISNUMBER(CF$3),MOD(((CF$4+360)+MIN($CR$3,$CT$3,$CV$3,$CX$3,$CZ$3,$DB$3,$DD$3,$DF$3,$DH$3)),360),"")</f>
        <v/>
      </c>
      <c r="DA4" s="421" t="str">
        <f>IF(ISNUMBER(CG$3),MOD(((CG$4+360)+MIN($CS$3,$CU$3,$CW$3,$CY$3,$DA$3,$DC$3,$DE$3,$DG$3,$DI$3)),360),"")</f>
        <v/>
      </c>
      <c r="DB4" s="421" t="str">
        <f>IF(ISNUMBER(CH$3),MOD(((CH$4+360)+MIN($CR$3,$CT$3,$CV$3,$CX$3,$CZ$3,$DB$3,$DD$3,$DF$3,$DH$3)),360),"")</f>
        <v/>
      </c>
      <c r="DC4" s="421" t="str">
        <f>IF(ISNUMBER(CI$3),MOD(((CI$4+360)+MIN($CS$3,$CU$3,$CW$3,$CY$3,$DA$3,$DC$3,$DE$3,$DG$3,$DI$3)),360),"")</f>
        <v/>
      </c>
      <c r="DD4" s="421" t="str">
        <f>IF(ISNUMBER(CJ$3),MOD(((CJ$4+360)+MIN($CR$3,$CT$3,$CV$3,$CX$3,$CZ$3,$DB$3,$DD$3,$DF$3,$DH$3)),360),"")</f>
        <v/>
      </c>
      <c r="DE4" s="421" t="str">
        <f>IF(ISNUMBER(CK$3),MOD(((CK$4+360)+MIN($CS$3,$CU$3,$CW$3,$CY$3,$DA$3,$DC$3,$DE$3,$DG$3,$DI$3)),360),"")</f>
        <v/>
      </c>
      <c r="DF4" s="421" t="str">
        <f>IF(ISNUMBER(CL$3),MOD(((CL$4+360)+MIN($CR$3,$CT$3,$CV$3,$CX$3,$CZ$3,$DB$3,$DD$3,$DF$3,$DH$3)),360),"")</f>
        <v/>
      </c>
      <c r="DG4" s="421" t="str">
        <f>IF(ISNUMBER(CM$3),MOD(((CM$4+360)+MIN($CS$3,$CU$3,$CW$3,$CY$3,$DA$3,$DC$3,$DE$3,$DG$3,$DI$3)),360),"")</f>
        <v/>
      </c>
      <c r="DH4" s="421" t="str">
        <f>IF(ISNUMBER(CN$3),MOD(((CN$4+360)+MIN($CR$3,$CT$3,$CV$3,$CX$3,$CZ$3,$DB$3,$DD$3,$DF$3,$DH$3)),360),"")</f>
        <v/>
      </c>
      <c r="DI4" s="422" t="str">
        <f>IF(ISNUMBER(CO$3),MOD(((CO$4+360)+MIN($CS$3,$CU$3,$CW$3,$CY$3,$DA$3,$DC$3,$DE$3,$DG$3,$DI$3)),360),"")</f>
        <v/>
      </c>
      <c r="DK4" s="71" t="s">
        <v>103</v>
      </c>
      <c r="DL4" s="489" t="str">
        <f t="shared" ref="DL4:DT4" si="5">INDEX($AZ$9:$AZ$150,MATCH(DL$3,$AV$9:$AV$150,0))</f>
        <v/>
      </c>
      <c r="DM4" s="489" t="str">
        <f t="shared" si="5"/>
        <v/>
      </c>
      <c r="DN4" s="489" t="str">
        <f t="shared" si="5"/>
        <v/>
      </c>
      <c r="DO4" s="489" t="str">
        <f t="shared" si="5"/>
        <v/>
      </c>
      <c r="DP4" s="489" t="str">
        <f t="shared" si="5"/>
        <v/>
      </c>
      <c r="DQ4" s="489" t="str">
        <f t="shared" si="5"/>
        <v/>
      </c>
      <c r="DR4" s="489" t="str">
        <f t="shared" si="5"/>
        <v/>
      </c>
      <c r="DS4" s="489" t="str">
        <f t="shared" si="5"/>
        <v/>
      </c>
      <c r="DT4" s="489" t="str">
        <f t="shared" si="5"/>
        <v/>
      </c>
      <c r="DU4" s="489"/>
      <c r="DV4" s="489"/>
      <c r="IE4" s="1005" t="s">
        <v>372</v>
      </c>
      <c r="IF4" s="1005"/>
      <c r="IG4" s="710" cm="1">
        <f t="array" ref="IG4">MAX(MOD(IF($IG$9:$IG$150="",0,($IG$9:$IG$150*1000)),100))</f>
        <v>0</v>
      </c>
      <c r="IL4" s="31"/>
      <c r="IM4" s="710"/>
    </row>
    <row r="5" spans="1:265" ht="15" customHeight="1" thickTop="1" x14ac:dyDescent="0.25">
      <c r="B5" s="1141" t="str">
        <f>CONCATENATE(B7," ; ",E7," ; ",H8)</f>
        <v>Absolute-Point ; Incremental-Vector Point ; Radius</v>
      </c>
      <c r="C5" s="1142"/>
      <c r="D5" s="1142"/>
      <c r="E5" s="1142"/>
      <c r="F5" s="1142"/>
      <c r="G5" s="1142"/>
      <c r="H5" s="1142"/>
      <c r="I5" s="1142"/>
      <c r="J5" s="1142"/>
      <c r="K5" s="1143"/>
      <c r="L5" s="813" t="str" cm="1">
        <f t="array" ref="L5">IF(OR(IF(LEFT($K$9:$K$150,4)="&lt;&gt;CS",TRUE,FALSE)),"Wrong CS","")</f>
        <v/>
      </c>
      <c r="M5" s="1422"/>
      <c r="N5" s="1178" t="s">
        <v>5</v>
      </c>
      <c r="O5" s="1085"/>
      <c r="P5" s="1085"/>
      <c r="Q5" s="1084" t="s">
        <v>6</v>
      </c>
      <c r="R5" s="1085"/>
      <c r="S5" s="1086"/>
      <c r="T5" s="1103" t="str">
        <f>CONCATENATE("Relative to ",M8,"'s θ &amp; Z; Z Axis")</f>
        <v>Relative to 's θ &amp; Z; Z Axis</v>
      </c>
      <c r="U5" s="1104"/>
      <c r="V5" s="1179"/>
      <c r="W5" s="1104" t="str">
        <f>CONCATENATE("Relative to ",M8,"'s θ &amp; Z; Z Axis")</f>
        <v>Relative to 's θ &amp; Z; Z Axis</v>
      </c>
      <c r="X5" s="1104"/>
      <c r="Y5" s="1170"/>
      <c r="Z5" s="1160" t="str">
        <f>N5</f>
        <v>Relative to World_CS</v>
      </c>
      <c r="AA5" s="1104"/>
      <c r="AB5" s="1104"/>
      <c r="AC5" s="1104"/>
      <c r="AD5" s="1104"/>
      <c r="AE5" s="1104"/>
      <c r="AF5" s="1104"/>
      <c r="AG5" s="1103" t="str">
        <f>N5</f>
        <v>Relative to World_CS</v>
      </c>
      <c r="AH5" s="1104"/>
      <c r="AI5" s="1104"/>
      <c r="AJ5" s="1105"/>
      <c r="AK5" s="1190" t="s">
        <v>7</v>
      </c>
      <c r="AL5" s="1085"/>
      <c r="AM5" s="1085"/>
      <c r="AN5" s="1085"/>
      <c r="AO5" s="1085"/>
      <c r="AP5" s="1085"/>
      <c r="AQ5" s="1086"/>
      <c r="AS5" s="167">
        <f>(((AS4*12)/60)/AS3)</f>
        <v>0</v>
      </c>
      <c r="AT5" s="413" t="s">
        <v>47</v>
      </c>
      <c r="AV5" s="1419"/>
      <c r="AW5" s="1168" t="str">
        <f>W4</f>
        <v>Polar XY; Cartesian Z</v>
      </c>
      <c r="AX5" s="1139"/>
      <c r="AY5" s="1139"/>
      <c r="AZ5" s="1311" t="s">
        <v>104</v>
      </c>
      <c r="BA5" s="1139" t="str">
        <f>AK4</f>
        <v>Polar Z Projection → XZ Plane</v>
      </c>
      <c r="BB5" s="1139"/>
      <c r="BC5" s="1212"/>
      <c r="BD5" s="417"/>
      <c r="BF5" s="185"/>
      <c r="BG5" s="185"/>
      <c r="BH5" s="185"/>
      <c r="BI5" s="185"/>
      <c r="BJ5" s="185"/>
      <c r="BK5" s="185"/>
      <c r="BM5" s="407">
        <f>-COS(RADIANS($BI$4))*COS(RADIANS($BK$4))*SIN(RADIANS($BJ$4))+SIN(RADIANS($BI$4))*SIN(RADIANS($BK$4))</f>
        <v>-4.1941904711618723E-4</v>
      </c>
      <c r="BN5" s="408">
        <f>COS(RADIANS($BI$4))*SIN(RADIANS($BJ$4))*SIN(RADIANS($BK$4))+SIN(RADIANS($BI$4))*COS(RADIANS($BK$4))</f>
        <v>-1.9703082787042152E-4</v>
      </c>
      <c r="BO5" s="408">
        <f>COS(RADIANS($BI$4))*COS(RADIANS($BJ$4))</f>
        <v>0.99999989263325217</v>
      </c>
      <c r="BP5" s="409">
        <f>$BH$4</f>
        <v>-8.6641535343794596E-2</v>
      </c>
      <c r="BR5" s="398" t="s">
        <v>282</v>
      </c>
      <c r="BS5" s="399" t="s">
        <v>281</v>
      </c>
      <c r="BT5" s="399" t="s">
        <v>280</v>
      </c>
      <c r="BU5" s="400" t="s">
        <v>279</v>
      </c>
      <c r="BW5" s="448" t="s">
        <v>289</v>
      </c>
      <c r="BX5" s="442" t="str">
        <f>IF(ISNUMBER(BX$3),IF(CR$4&gt;CR$5,CR$4,(CR$4+360)),"")</f>
        <v/>
      </c>
      <c r="BY5" s="436" t="str">
        <f t="shared" ref="BY5:CI5" si="6">IF(ISNUMBER(BY$3),IF(CS$4&gt;CS$5,CS$4,(CS$4+360)),"")</f>
        <v/>
      </c>
      <c r="BZ5" s="436" t="str">
        <f t="shared" si="6"/>
        <v/>
      </c>
      <c r="CA5" s="436" t="str">
        <f t="shared" si="6"/>
        <v/>
      </c>
      <c r="CB5" s="436" t="str">
        <f t="shared" si="6"/>
        <v/>
      </c>
      <c r="CC5" s="436" t="str">
        <f t="shared" si="6"/>
        <v/>
      </c>
      <c r="CD5" s="436" t="str">
        <f t="shared" si="6"/>
        <v/>
      </c>
      <c r="CE5" s="436" t="str">
        <f t="shared" si="6"/>
        <v/>
      </c>
      <c r="CF5" s="436" t="str">
        <f t="shared" si="6"/>
        <v/>
      </c>
      <c r="CG5" s="436" t="str">
        <f t="shared" si="6"/>
        <v/>
      </c>
      <c r="CH5" s="436" t="str">
        <f t="shared" si="6"/>
        <v/>
      </c>
      <c r="CI5" s="436" t="str">
        <f t="shared" si="6"/>
        <v/>
      </c>
      <c r="CJ5" s="437"/>
      <c r="CK5" s="437"/>
      <c r="CL5" s="437"/>
      <c r="CM5" s="437"/>
      <c r="CN5" s="437"/>
      <c r="CO5" s="438"/>
      <c r="CQ5" s="449" t="s">
        <v>288</v>
      </c>
      <c r="CR5" s="443" t="str">
        <f>IF(ISNUMBER(BX$3),MOD(((BX$4+360)-MIN($CS$3,$CU$3,$CW$3,$CY$3,$DA$3,$DC$3,$DE$3,$DG$3,$DI$3)),360),"")</f>
        <v/>
      </c>
      <c r="CS5" s="423" t="str">
        <f>IF(ISNUMBER(BY$3),MOD(((BY$4+360)-MIN($CR$3,$CT$3,$CV$3,$CX$3,$CZ$3,$DB$3,$DD$3,$DF$3,$DH$3)),360),"")</f>
        <v/>
      </c>
      <c r="CT5" s="423" t="str">
        <f>IF(ISNUMBER(BZ$3),MOD(((BZ$4+360)-MIN($CS$3,$CU$3,$CW$3,$CY$3,$DA$3,$DC$3,$DE$3,$DG$3,$DI$3)),360),"")</f>
        <v/>
      </c>
      <c r="CU5" s="423" t="str">
        <f>IF(ISNUMBER(CA$3),MOD(((CA$4+360)-MIN($CR$3,$CT$3,$CV$3,$CX$3,$CZ$3,$DB$3,$DD$3,$DF$3,$DH$3)),360),"")</f>
        <v/>
      </c>
      <c r="CV5" s="423" t="str">
        <f>IF(ISNUMBER(CB$3),MOD(((CB$4+360)-MIN($CS$3,$CU$3,$CW$3,$CY$3,$DA$3,$DC$3,$DE$3,$DG$3,$DI$3)),360),"")</f>
        <v/>
      </c>
      <c r="CW5" s="423" t="str">
        <f>IF(ISNUMBER(CC$3),MOD(((CC$4+360)-MIN($CR$3,$CT$3,$CV$3,$CX$3,$CZ$3,$DB$3,$DD$3,$DF$3,$DH$3)),360),"")</f>
        <v/>
      </c>
      <c r="CX5" s="423" t="str">
        <f>IF(ISNUMBER(CD$3),MOD(((CD$4+360)-MIN($CS$3,$CU$3,$CW$3,$CY$3,$DA$3,$DC$3,$DE$3,$DG$3,$DI$3)),360),"")</f>
        <v/>
      </c>
      <c r="CY5" s="423" t="str">
        <f>IF(ISNUMBER(CE$3),MOD(((CE$4+360)-MIN($CR$3,$CT$3,$CV$3,$CX$3,$CZ$3,$DB$3,$DD$3,$DF$3,$DH$3)),360),"")</f>
        <v/>
      </c>
      <c r="CZ5" s="423" t="str">
        <f>IF(ISNUMBER(CF$3),MOD(((CF$4+360)-MIN($CS$3,$CU$3,$CW$3,$CY$3,$DA$3,$DC$3,$DE$3,$DG$3,$DI$3)),360),"")</f>
        <v/>
      </c>
      <c r="DA5" s="423" t="str">
        <f>IF(ISNUMBER(CG$3),MOD(((CG$4+360)-MIN($CR$3,$CT$3,$CV$3,$CX$3,$CZ$3,$DB$3,$DD$3,$DF$3,$DH$3)),360),"")</f>
        <v/>
      </c>
      <c r="DB5" s="423" t="str">
        <f>IF(ISNUMBER(CH$3),MOD(((CH$4+360)-MIN($CS$3,$CU$3,$CW$3,$CY$3,$DA$3,$DC$3,$DE$3,$DG$3,$DI$3)),360),"")</f>
        <v/>
      </c>
      <c r="DC5" s="423" t="str">
        <f>IF(ISNUMBER(CI$3),MOD(((CI$4+360)-MIN($CR$3,$CT$3,$CV$3,$CX$3,$CZ$3,$DB$3,$DD$3,$DF$3,$DH$3)),360),"")</f>
        <v/>
      </c>
      <c r="DD5" s="423" t="str">
        <f>IF(ISNUMBER(CJ$3),MOD(((CJ$4+360)-MIN($CS$3,$CU$3,$CW$3,$CY$3,$DA$3,$DC$3,$DE$3,$DG$3,$DI$3)),360),"")</f>
        <v/>
      </c>
      <c r="DE5" s="423" t="str">
        <f>IF(ISNUMBER(CK$3),MOD(((CK$4+360)-MIN($CR$3,$CT$3,$CV$3,$CX$3,$CZ$3,$DB$3,$DD$3,$DF$3,$DH$3)),360),"")</f>
        <v/>
      </c>
      <c r="DF5" s="423" t="str">
        <f>IF(ISNUMBER(CL$3),MOD(((CL$4+360)-MIN($CS$3,$CU$3,$CW$3,$CY$3,$DA$3,$DC$3,$DE$3,$DG$3,$DI$3)),360),"")</f>
        <v/>
      </c>
      <c r="DG5" s="423" t="str">
        <f>IF(ISNUMBER(CM$3),MOD(((CM$4+360)-MIN($CR$3,$CT$3,$CV$3,$CX$3,$CZ$3,$DB$3,$DD$3,$DF$3,$DH$3)),360),"")</f>
        <v/>
      </c>
      <c r="DH5" s="423" t="str">
        <f>IF(ISNUMBER(CN$3),MOD(((CN$4+360)-MIN($CS$3,$CU$3,$CW$3,$CY$3,$DA$3,$DC$3,$DE$3,$DG$3,$DI$3)),360),"")</f>
        <v/>
      </c>
      <c r="DI5" s="451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144"/>
      <c r="C6" s="1145"/>
      <c r="D6" s="1145"/>
      <c r="E6" s="1145"/>
      <c r="F6" s="1145"/>
      <c r="G6" s="1145"/>
      <c r="H6" s="1145"/>
      <c r="I6" s="1145"/>
      <c r="J6" s="1145"/>
      <c r="K6" s="1146"/>
      <c r="L6" s="1098" t="str" cm="1">
        <f t="array" ref="L6">IF(OR($K$9:$K$150="Inactive"),"Inactive Element","")</f>
        <v/>
      </c>
      <c r="M6" s="1422"/>
      <c r="N6" s="1174" t="s">
        <v>8</v>
      </c>
      <c r="O6" s="1176" t="s">
        <v>9</v>
      </c>
      <c r="P6" s="1082" t="s">
        <v>10</v>
      </c>
      <c r="Q6" s="1099" t="s">
        <v>11</v>
      </c>
      <c r="R6" s="1100"/>
      <c r="S6" s="1171" t="s">
        <v>10</v>
      </c>
      <c r="T6" s="1131" t="str">
        <f>N6</f>
        <v>X</v>
      </c>
      <c r="U6" s="1133" t="str">
        <f>O6</f>
        <v>Y</v>
      </c>
      <c r="V6" s="1166" t="str">
        <f>P6</f>
        <v>Z</v>
      </c>
      <c r="W6" s="1157" t="str">
        <f>Q6</f>
        <v>Projected XY</v>
      </c>
      <c r="X6" s="1158"/>
      <c r="Y6" s="1129" t="str">
        <f>S6</f>
        <v>Z</v>
      </c>
      <c r="Z6" s="1110" t="s">
        <v>12</v>
      </c>
      <c r="AA6" s="1111"/>
      <c r="AB6" s="1111"/>
      <c r="AC6" s="1112"/>
      <c r="AD6" s="1108" t="s">
        <v>13</v>
      </c>
      <c r="AE6" s="1107"/>
      <c r="AF6" s="1107"/>
      <c r="AG6" s="1106" t="s">
        <v>7</v>
      </c>
      <c r="AH6" s="1107"/>
      <c r="AI6" s="1108" t="s">
        <v>14</v>
      </c>
      <c r="AJ6" s="1109"/>
      <c r="AK6" s="1168" t="str">
        <f>AD6</f>
        <v>Unit Vector</v>
      </c>
      <c r="AL6" s="1139"/>
      <c r="AM6" s="1212"/>
      <c r="AN6" s="34" t="s">
        <v>15</v>
      </c>
      <c r="AO6" s="35" t="s">
        <v>16</v>
      </c>
      <c r="AP6" s="680" t="s">
        <v>17</v>
      </c>
      <c r="AQ6" s="1430" t="s">
        <v>108</v>
      </c>
      <c r="AS6" s="168">
        <f>(AS5/360)</f>
        <v>0</v>
      </c>
      <c r="AT6" s="414" t="s">
        <v>48</v>
      </c>
      <c r="AV6" s="1419"/>
      <c r="AW6" s="1103" t="str">
        <f>W5</f>
        <v>Relative to 's θ &amp; Z; Z Axis</v>
      </c>
      <c r="AX6" s="1104"/>
      <c r="AY6" s="1104"/>
      <c r="AZ6" s="1415"/>
      <c r="BA6" s="1104" t="str">
        <f>AK5</f>
        <v>Vector Along X Axis</v>
      </c>
      <c r="BB6" s="1104"/>
      <c r="BC6" s="1105"/>
      <c r="BD6" s="417"/>
      <c r="BF6" s="410">
        <f>SUM(AZ9:AZ150)</f>
        <v>0</v>
      </c>
      <c r="BG6" s="1408" t="s">
        <v>309</v>
      </c>
      <c r="BH6" s="1408"/>
      <c r="BI6" s="1408"/>
      <c r="BJ6" s="1408"/>
      <c r="BK6" s="1408"/>
      <c r="BW6" s="449" t="s">
        <v>292</v>
      </c>
      <c r="BX6" s="443" t="str">
        <f t="shared" ref="BX6:CI6" si="7">CR$5</f>
        <v/>
      </c>
      <c r="BY6" s="423" t="str">
        <f t="shared" si="7"/>
        <v/>
      </c>
      <c r="BZ6" s="423" t="str">
        <f t="shared" si="7"/>
        <v/>
      </c>
      <c r="CA6" s="423" t="str">
        <f t="shared" si="7"/>
        <v/>
      </c>
      <c r="CB6" s="423" t="str">
        <f t="shared" si="7"/>
        <v/>
      </c>
      <c r="CC6" s="423" t="str">
        <f t="shared" si="7"/>
        <v/>
      </c>
      <c r="CD6" s="423" t="str">
        <f t="shared" si="7"/>
        <v/>
      </c>
      <c r="CE6" s="423" t="str">
        <f t="shared" si="7"/>
        <v/>
      </c>
      <c r="CF6" s="423" t="str">
        <f t="shared" si="7"/>
        <v/>
      </c>
      <c r="CG6" s="423" t="str">
        <f t="shared" si="7"/>
        <v/>
      </c>
      <c r="CH6" s="423" t="str">
        <f t="shared" si="7"/>
        <v/>
      </c>
      <c r="CI6" s="423" t="str">
        <f t="shared" si="7"/>
        <v/>
      </c>
      <c r="CJ6" s="424"/>
      <c r="CK6" s="424"/>
      <c r="CL6" s="424"/>
      <c r="CM6" s="424"/>
      <c r="CN6" s="424"/>
      <c r="CO6" s="425"/>
      <c r="IE6" s="794"/>
      <c r="IF6" s="794"/>
      <c r="IG6" s="31"/>
    </row>
    <row r="7" spans="1:265" ht="15" customHeight="1" thickBot="1" x14ac:dyDescent="0.3">
      <c r="B7" s="1161" t="s">
        <v>40</v>
      </c>
      <c r="C7" s="1162"/>
      <c r="D7" s="1163"/>
      <c r="E7" s="1164" t="s">
        <v>41</v>
      </c>
      <c r="F7" s="1162"/>
      <c r="G7" s="1165"/>
      <c r="H7" s="1003" t="s">
        <v>305</v>
      </c>
      <c r="I7" s="1023"/>
      <c r="J7" s="1004"/>
      <c r="K7" s="488"/>
      <c r="L7" s="1098"/>
      <c r="M7" s="1423"/>
      <c r="N7" s="1175"/>
      <c r="O7" s="1177"/>
      <c r="P7" s="1083"/>
      <c r="Q7" s="36" t="s">
        <v>18</v>
      </c>
      <c r="R7" s="2" t="s">
        <v>19</v>
      </c>
      <c r="S7" s="1172"/>
      <c r="T7" s="1132"/>
      <c r="U7" s="1134"/>
      <c r="V7" s="1167"/>
      <c r="W7" s="37" t="str">
        <f>Q7</f>
        <v>&lt; θ°</v>
      </c>
      <c r="X7" s="27" t="str">
        <f>R7</f>
        <v>r</v>
      </c>
      <c r="Y7" s="1130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431"/>
      <c r="AS7" s="1406" t="s">
        <v>54</v>
      </c>
      <c r="AT7" s="1385" t="s">
        <v>53</v>
      </c>
      <c r="AV7" s="1419"/>
      <c r="AW7" s="1414" t="str">
        <f>$W$6</f>
        <v>Projected XY</v>
      </c>
      <c r="AX7" s="1158"/>
      <c r="AY7" s="1416" t="str">
        <f>$Y$6</f>
        <v>Z</v>
      </c>
      <c r="AZ7" s="1415"/>
      <c r="BA7" s="171" t="str">
        <f>$AN$6</f>
        <v>&lt;X°</v>
      </c>
      <c r="BB7" s="45" t="str">
        <f>$AO$6</f>
        <v>&lt;Y°</v>
      </c>
      <c r="BC7" s="374" t="str">
        <f>$AP$6</f>
        <v>Projection</v>
      </c>
      <c r="BD7" s="417"/>
      <c r="BF7" s="410"/>
      <c r="BG7" s="1408"/>
      <c r="BH7" s="1408"/>
      <c r="BI7" s="1408"/>
      <c r="BJ7" s="1408"/>
      <c r="BK7" s="1408"/>
      <c r="BW7" s="450" t="s">
        <v>291</v>
      </c>
      <c r="BX7" s="444" t="str">
        <f>IF(CR$4&gt;CR$5,"",CR$4)</f>
        <v/>
      </c>
      <c r="BY7" s="432" t="str">
        <f t="shared" ref="BY7:CI7" si="8">IF(CS$4&gt;CS$5,"",CS$4)</f>
        <v/>
      </c>
      <c r="BZ7" s="432" t="str">
        <f t="shared" si="8"/>
        <v/>
      </c>
      <c r="CA7" s="432" t="str">
        <f t="shared" si="8"/>
        <v/>
      </c>
      <c r="CB7" s="432" t="str">
        <f t="shared" si="8"/>
        <v/>
      </c>
      <c r="CC7" s="432" t="str">
        <f t="shared" si="8"/>
        <v/>
      </c>
      <c r="CD7" s="432" t="str">
        <f t="shared" si="8"/>
        <v/>
      </c>
      <c r="CE7" s="432" t="str">
        <f t="shared" si="8"/>
        <v/>
      </c>
      <c r="CF7" s="432" t="str">
        <f t="shared" si="8"/>
        <v/>
      </c>
      <c r="CG7" s="432" t="str">
        <f t="shared" si="8"/>
        <v/>
      </c>
      <c r="CH7" s="432" t="str">
        <f t="shared" si="8"/>
        <v/>
      </c>
      <c r="CI7" s="432" t="str">
        <f t="shared" si="8"/>
        <v/>
      </c>
      <c r="CJ7" s="433"/>
      <c r="CK7" s="433"/>
      <c r="CL7" s="433"/>
      <c r="CM7" s="433"/>
      <c r="CN7" s="433"/>
      <c r="CO7" s="434"/>
      <c r="IE7" s="785" t="s">
        <v>359</v>
      </c>
      <c r="IF7" s="319" t="s">
        <v>377</v>
      </c>
      <c r="IG7" s="1029" t="s">
        <v>33</v>
      </c>
      <c r="IH7" s="1268" t="s">
        <v>376</v>
      </c>
      <c r="II7" s="1025" t="s">
        <v>324</v>
      </c>
      <c r="IJ7" s="1026"/>
      <c r="IK7" s="1026"/>
      <c r="IL7" s="1023"/>
      <c r="IM7" s="1023"/>
      <c r="IN7" s="1023"/>
      <c r="IO7" s="1004"/>
      <c r="IP7" s="1003" t="s">
        <v>320</v>
      </c>
      <c r="IQ7" s="1023"/>
      <c r="IR7" s="1023"/>
      <c r="IS7" s="1023"/>
      <c r="IT7" s="1023"/>
      <c r="IU7" s="1003" t="s">
        <v>319</v>
      </c>
      <c r="IV7" s="1023"/>
      <c r="IW7" s="1023"/>
      <c r="IX7" s="1023"/>
      <c r="IY7" s="1004"/>
      <c r="JA7" s="725"/>
      <c r="JB7" s="1383" t="s">
        <v>355</v>
      </c>
      <c r="JC7" s="1087"/>
      <c r="JD7" s="1087"/>
      <c r="JE7" s="1088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487" t="s">
        <v>30</v>
      </c>
      <c r="L8" s="1098"/>
      <c r="M8" s="411" t="str" cm="1">
        <f t="array" ref="M8">IF(AND(ISNUMBER($P$1),COUNT($M$9:$M$150)&gt;=$P$1),INDEX($M$9:$M$150,$P$1),"")</f>
        <v/>
      </c>
      <c r="N8" s="551"/>
      <c r="O8" s="552"/>
      <c r="P8" s="553"/>
      <c r="Q8" s="554">
        <f>IFERROR(IF($M$1="Y",INDEX(Q$9:Q$150,MATCH($M$8,$M$9:$M$150,0)),0),"")</f>
        <v>0</v>
      </c>
      <c r="R8" s="552"/>
      <c r="S8" s="555">
        <f>IFERROR(IF($M$1="Y",INDEX(S$9:S$150,MATCH($M$8,$M$9:$M$150,0)),0),"")</f>
        <v>0</v>
      </c>
      <c r="T8" s="556"/>
      <c r="U8" s="552"/>
      <c r="V8" s="557"/>
      <c r="W8" s="558"/>
      <c r="X8" s="552"/>
      <c r="Y8" s="559"/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407"/>
      <c r="AT8" s="1386"/>
      <c r="AV8" s="1420"/>
      <c r="AW8" s="46" t="str">
        <f>$W$7</f>
        <v>&lt; θ°</v>
      </c>
      <c r="AX8" s="27" t="str">
        <f>$X$7</f>
        <v>r</v>
      </c>
      <c r="AY8" s="1417"/>
      <c r="AZ8" s="1312"/>
      <c r="BA8" s="172" t="str">
        <f>$AN$7</f>
        <v>Tilt</v>
      </c>
      <c r="BB8" s="47" t="str">
        <f>$AO$7</f>
        <v>Back Rake</v>
      </c>
      <c r="BC8" s="375" t="str">
        <f>$AP$7</f>
        <v>Side Rake</v>
      </c>
      <c r="BD8" s="417"/>
      <c r="BF8" s="417"/>
      <c r="BG8" s="417"/>
      <c r="BH8" s="417"/>
      <c r="BM8" s="417"/>
      <c r="BN8" s="417"/>
      <c r="BO8" s="417"/>
      <c r="BP8" s="417"/>
      <c r="BQ8" s="417"/>
      <c r="BR8" s="417"/>
      <c r="BS8" s="417"/>
      <c r="BT8" s="417"/>
      <c r="BU8" s="417"/>
      <c r="BW8" s="449" t="s">
        <v>290</v>
      </c>
      <c r="BX8" s="443" t="str">
        <f>IF(ISNUMBER(BX$3),IF(CR$4&gt;CR$5,"",(CR$4-((CR$4+360)-CR$5))),"")</f>
        <v/>
      </c>
      <c r="BY8" s="423" t="str">
        <f t="shared" ref="BY8:CI8" si="9">IF(ISNUMBER(BY$3),IF(CS$4&gt;CS$5,"",(CS$4-((CS$4+360)-CS$5))),"")</f>
        <v/>
      </c>
      <c r="BZ8" s="423" t="str">
        <f t="shared" si="9"/>
        <v/>
      </c>
      <c r="CA8" s="423" t="str">
        <f t="shared" si="9"/>
        <v/>
      </c>
      <c r="CB8" s="423" t="str">
        <f t="shared" si="9"/>
        <v/>
      </c>
      <c r="CC8" s="423" t="str">
        <f t="shared" si="9"/>
        <v/>
      </c>
      <c r="CD8" s="423" t="str">
        <f t="shared" si="9"/>
        <v/>
      </c>
      <c r="CE8" s="423" t="str">
        <f t="shared" si="9"/>
        <v/>
      </c>
      <c r="CF8" s="423" t="str">
        <f t="shared" si="9"/>
        <v/>
      </c>
      <c r="CG8" s="423" t="str">
        <f t="shared" si="9"/>
        <v/>
      </c>
      <c r="CH8" s="423" t="str">
        <f t="shared" si="9"/>
        <v/>
      </c>
      <c r="CI8" s="423" t="str">
        <f t="shared" si="9"/>
        <v/>
      </c>
      <c r="CJ8" s="424"/>
      <c r="CK8" s="424"/>
      <c r="CL8" s="424"/>
      <c r="CM8" s="424"/>
      <c r="CN8" s="424"/>
      <c r="CO8" s="425"/>
      <c r="ID8" s="31"/>
      <c r="IE8" s="793">
        <v>0.75</v>
      </c>
      <c r="IF8" s="799">
        <v>-0.06</v>
      </c>
      <c r="IG8" s="1270"/>
      <c r="IH8" s="1269"/>
      <c r="II8" s="212" t="s">
        <v>314</v>
      </c>
      <c r="IJ8" s="128" t="s">
        <v>347</v>
      </c>
      <c r="IK8" s="128" t="s">
        <v>348</v>
      </c>
      <c r="IL8" s="127" t="s">
        <v>315</v>
      </c>
      <c r="IM8" s="700" t="s">
        <v>321</v>
      </c>
      <c r="IN8" s="127" t="s">
        <v>47</v>
      </c>
      <c r="IO8" s="712" t="s">
        <v>46</v>
      </c>
      <c r="IP8" s="104" t="s">
        <v>351</v>
      </c>
      <c r="IQ8" s="127" t="s">
        <v>316</v>
      </c>
      <c r="IR8" s="127" t="s">
        <v>317</v>
      </c>
      <c r="IS8" s="127" t="s">
        <v>318</v>
      </c>
      <c r="IT8" s="127" t="s">
        <v>26</v>
      </c>
      <c r="IU8" s="104" t="s">
        <v>351</v>
      </c>
      <c r="IV8" s="127" t="s">
        <v>316</v>
      </c>
      <c r="IW8" s="127" t="s">
        <v>317</v>
      </c>
      <c r="IX8" s="127" t="s">
        <v>318</v>
      </c>
      <c r="IY8" s="105" t="s">
        <v>26</v>
      </c>
      <c r="JA8" s="726" t="s">
        <v>352</v>
      </c>
      <c r="JB8" s="724" t="s">
        <v>349</v>
      </c>
      <c r="JC8" s="707" t="s">
        <v>350</v>
      </c>
      <c r="JD8" s="707" t="s">
        <v>353</v>
      </c>
      <c r="JE8" s="53" t="s">
        <v>354</v>
      </c>
    </row>
    <row r="9" spans="1:265" ht="15" customHeight="1" thickTop="1" x14ac:dyDescent="0.25">
      <c r="A9" s="75"/>
      <c r="B9" s="640" t="str">
        <f>INDEX(O$164:O$305,MATCH($M9,$M$164:$M$305,0))</f>
        <v/>
      </c>
      <c r="C9" s="641" t="str">
        <f t="shared" ref="C9:C40" si="10">INDEX(P$164:P$305,MATCH($M9,$M$164:$M$305,0))</f>
        <v/>
      </c>
      <c r="D9" s="642" t="str">
        <f t="shared" ref="D9:D40" si="11">INDEX(Q$164:Q$305,MATCH($M9,$M$164:$M$305,0))</f>
        <v/>
      </c>
      <c r="E9" s="643" t="str">
        <f t="shared" ref="E9:E40" si="12">INDEX(R$164:R$305,MATCH($M9,$M$164:$M$305,0))</f>
        <v/>
      </c>
      <c r="F9" s="641" t="str">
        <f t="shared" ref="F9:F40" si="13">INDEX(S$164:S$305,MATCH($M9,$M$164:$M$305,0))</f>
        <v/>
      </c>
      <c r="G9" s="644" t="str">
        <f t="shared" ref="G9:G40" si="14">INDEX(T$164:T$305,MATCH($M9,$M$164:$M$305,0))</f>
        <v/>
      </c>
      <c r="H9" s="643" t="str">
        <f>IF(INDEX(H$164:H$305,MATCH($M9,$M$164:$M$305,0))=0,"",INDEX(H$164:H$305,MATCH($M9,$M$164:$M$305,0)))</f>
        <v/>
      </c>
      <c r="I9" s="481"/>
      <c r="J9" s="483" t="str" cm="1">
        <f t="array" ref="J9:J150">_xlfn._xlws.SORT(IF(ISNUMBER($J$164:$J$305),$M$164:$M$305,""))</f>
        <v/>
      </c>
      <c r="K9" s="805" t="str">
        <f>IF(INDEX(N$164:N$305,MATCH($M9,$M$164:$M$305,0))=0,"",INDEX(N$164:N$305,MATCH($M9,$M$164:$M$305,0)))</f>
        <v/>
      </c>
      <c r="L9" s="31"/>
      <c r="M9" s="163" t="str">
        <f>IF(J9="","",J9)</f>
        <v/>
      </c>
      <c r="N9" s="566" t="str">
        <f>IF(M9="","",B9)</f>
        <v/>
      </c>
      <c r="O9" s="567" t="str">
        <f>IF(M9="","",C9)</f>
        <v/>
      </c>
      <c r="P9" s="568" t="str">
        <f>IF(M9="","",D9)</f>
        <v/>
      </c>
      <c r="Q9" s="526" t="str">
        <f>IF(M9="","",IF(DEGREES(ATAN2(N9,O9))&lt;0,DEGREES(ATAN2(N9,O9))+360,IF(DEGREES(ATAN2(N9,O9))&gt;360,DEGREES(ATAN2(N9,O9))-360,DEGREES(ATAN2(N9,O9)))))</f>
        <v/>
      </c>
      <c r="R9" s="567" t="str">
        <f>IF(M9="","",SQRT(N9^2+O9^2))</f>
        <v/>
      </c>
      <c r="S9" s="569" t="str">
        <f>IF(M9="","",P9)</f>
        <v/>
      </c>
      <c r="T9" s="570" t="str">
        <f>IF(M9="","",X9*COS(RADIANS(W9)))</f>
        <v/>
      </c>
      <c r="U9" s="567" t="str">
        <f>IF(M9="","",X9*SIN(RADIANS(W9)))</f>
        <v/>
      </c>
      <c r="V9" s="571" t="str">
        <f>IF(M9="","",Y9)</f>
        <v/>
      </c>
      <c r="W9" s="526" t="str">
        <f>IF(M9="","",IF(Q9-$Q$8&lt;0,360+Q9-$Q$8,Q9-$Q$8))</f>
        <v/>
      </c>
      <c r="X9" s="572" t="str">
        <f>IF(M9="","",R9)</f>
        <v/>
      </c>
      <c r="Y9" s="573" t="str">
        <f t="shared" ref="Y9:Y40" si="15">IF(M9="","",(S9-$S$8)+$X$1)</f>
        <v/>
      </c>
      <c r="Z9" s="566" t="str">
        <f>IF(M9="","",-E9)</f>
        <v/>
      </c>
      <c r="AA9" s="567" t="str">
        <f>IF(M9="","",-F9)</f>
        <v/>
      </c>
      <c r="AB9" s="567" t="str">
        <f>IF(M9="","",-G9)</f>
        <v/>
      </c>
      <c r="AC9" s="571" t="str">
        <f>IF(M9="","",SQRT(Z9^2+AA9^2+AB9^2))</f>
        <v/>
      </c>
      <c r="AD9" s="574" t="str">
        <f>IF(M9="","",Z9*(1/SQRT(Z9^2+AA9^2+AB9^2)))</f>
        <v/>
      </c>
      <c r="AE9" s="567" t="str">
        <f>IF(M9="","",AA9*(1/SQRT(Z9^2+AA9^2+AB9^2)))</f>
        <v/>
      </c>
      <c r="AF9" s="568" t="str">
        <f>IF(M9="","",AB9*(1/SQRT(Z9^2+AA9^2+AB9^2)))</f>
        <v/>
      </c>
      <c r="AG9" s="542" t="str">
        <f>IF(M9="","",DEGREES(ATAN2(-AF9,AE9)))</f>
        <v/>
      </c>
      <c r="AH9" s="543" t="str">
        <f>IF(M9="","",DEGREES(ACOS(AD9)))</f>
        <v/>
      </c>
      <c r="AI9" s="526" t="str">
        <f>IF(M9="","",DEGREES(-ACOS(-AF9)))</f>
        <v/>
      </c>
      <c r="AJ9" s="544" t="str">
        <f>IF(M9="","",DEGREES(ATAN2(-AE9,AD9)))</f>
        <v/>
      </c>
      <c r="AK9" s="570" t="str">
        <f>IF(M9="","",(COS(RADIANS((90-$Q$8)-W9))*AD9)+(-SIN(RADIANS((90-$Q$8)-W9))*AE9))</f>
        <v/>
      </c>
      <c r="AL9" s="567" t="str">
        <f>IF(M9="","",(SIN(RADIANS((90-$Q$8)-W9))*AD9)+(COS(RADIANS((90-$Q$8)-W9))*AE9))</f>
        <v/>
      </c>
      <c r="AM9" s="569" t="str">
        <f>IF(M9="","",AF9)</f>
        <v/>
      </c>
      <c r="AN9" s="524" t="str">
        <f t="shared" ref="AN9:AN39" si="16">IF(M9="","",IF(K9="Knuckle",((DEGREES(ATAN2(AK9,AM9))+90)*-1),DEGREES(ATAN2(-AM9,AL9))))</f>
        <v/>
      </c>
      <c r="AO9" s="525" t="str">
        <f t="shared" ref="AO9:AO72" si="17">IF(M9="","",IF(K9="Knuckle",0,DEGREES(ACOS(AK9))))</f>
        <v/>
      </c>
      <c r="AP9" s="526" t="str">
        <f>IF(M9="","",DEGREES(ATAN2(AK9,AL9)))</f>
        <v/>
      </c>
      <c r="AQ9" s="527" t="str">
        <f>IF(M9="","",DEGREES(ATAN(($AS$5*SIN(RADIANS(90)))/(($X9*2*PI())-($AS$5*COS(RADIANS(90)))))))</f>
        <v/>
      </c>
      <c r="AS9" s="597" t="str">
        <f t="shared" ref="AS9:AS36" si="18">IF(M9="","",IF(W9&lt;=LARGE($W$9:$W$17,1),W9,W9-360))</f>
        <v/>
      </c>
      <c r="AT9" s="601" t="str">
        <f>IF($M9="","",$Y9+((($AS9-$AS$9)*$AS$6)*-1)-IF($AS9&lt;30,$AS$5,0))</f>
        <v/>
      </c>
      <c r="AU9" s="515" t="str">
        <f t="shared" ref="AU9:AU40" si="19">IFERROR(ROUNDDOWN(AV9,1),"")</f>
        <v/>
      </c>
      <c r="AV9" s="163" t="str">
        <f>M9</f>
        <v/>
      </c>
      <c r="AW9" s="542" t="str">
        <f>IF($M9="","",W9-INDEX(Assy.Model!$W$9:$W$150,MATCH('SN#.Run#'!$M9,Assy.Model!$M$9:$M$150,0)))</f>
        <v/>
      </c>
      <c r="AX9" s="625" t="str">
        <f>IF($M9="","",X9-INDEX(Assy.Model!$X$9:$X$150,MATCH('SN#.Run#'!$M9,Assy.Model!$M$9:$M$150,0)))</f>
        <v/>
      </c>
      <c r="AY9" s="626" t="str">
        <f>IF($M9="","",Y9-INDEX(Assy.Model!$Y$9:$Y$150,MATCH('SN#.Run#'!$M9,Assy.Model!$M$9:$M$150,0)))</f>
        <v/>
      </c>
      <c r="AZ9" s="62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08" t="str">
        <f>IF($M9="","",AN9-INDEX(Assy.Model!$AN$9:$AN$150,MATCH('SN#.Run#'!$M9,Assy.Model!$M$9:$M$150,0)))</f>
        <v/>
      </c>
      <c r="BB9" s="609" t="str">
        <f>IF($M9="","",AO9-INDEX(Assy.Model!$AO$9:$AO$150,MATCH('SN#.Run#'!$M9,Assy.Model!$M$9:$M$150,0)))</f>
        <v/>
      </c>
      <c r="BC9" s="618" t="str">
        <f>IF($M9="","",AP9-INDEX(Assy.Model!$AP$9:$AP$150,MATCH('SN#.Run#'!$M9,Assy.Model!$M$9:$M$150,0)))</f>
        <v/>
      </c>
      <c r="BD9" s="419"/>
      <c r="BE9" s="699"/>
      <c r="BM9" s="417"/>
      <c r="BN9" s="417"/>
      <c r="BO9" s="417"/>
      <c r="BP9" s="417"/>
      <c r="BQ9" s="417"/>
      <c r="BR9" s="417"/>
      <c r="BS9" s="417"/>
      <c r="BT9" s="417"/>
      <c r="BU9" s="417"/>
      <c r="BW9" s="71"/>
      <c r="BX9" s="420"/>
      <c r="BY9" s="420"/>
      <c r="BZ9" s="420"/>
      <c r="CA9" s="420"/>
      <c r="CB9" s="420"/>
      <c r="CC9" s="420"/>
      <c r="CD9" s="420"/>
      <c r="CE9" s="420"/>
      <c r="CF9" s="420"/>
      <c r="CG9" s="420"/>
      <c r="CH9" s="420"/>
      <c r="CI9" s="420"/>
      <c r="CJ9" s="420"/>
      <c r="CK9" s="420"/>
      <c r="CL9" s="420"/>
      <c r="CM9" s="420"/>
      <c r="CN9" s="420"/>
      <c r="CO9" s="420"/>
      <c r="IE9" s="792" t="str">
        <f>IFERROR(IF($IU9="","",IF($IU9&lt;(((Settings!$C$19/2)*-1)*$IE$8),"Taper","Nose")),"")</f>
        <v/>
      </c>
      <c r="IF9" s="481" t="str">
        <f>IFERROR(IF((((($IW9*COS(RADIANS(180-$IY9)))*COS(RADIANS($IY9)))-(($IX9*SIN(RADIANS(180-$IY9)))*SIN(RADIANS($IY9))))+$IU9)&lt;(((Settings!$C$19+$IF$8)/2)*-1),"Gage",""),"")</f>
        <v/>
      </c>
      <c r="IG9" s="787" t="str">
        <f>$M9</f>
        <v/>
      </c>
      <c r="IH9" s="673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676" t="str" cm="1">
        <f t="array" ref="II9">IFERROR(IF($IH9&lt;1,$IH9+LARGE((IF($M$9:$M$150="",0,$M$9:$M$150)-MOD(IF($M$9:$M$150="",0,$M$9:$M$150),1)),1),$IH9),"")</f>
        <v/>
      </c>
      <c r="IJ9" s="781" t="str">
        <f>IF(ISNUMBER($II9),INDEX($K$9:$K$150,MATCH($II9,$M$9:$M$150,0)),$K9)</f>
        <v/>
      </c>
      <c r="IK9" s="781" t="str">
        <f t="shared" ref="IK9:IK58" si="20">IF(ISNUMBER($II9),INDEX($K$9:$K$150,MATCH($IG9,$M$9:$M$150,0)),"")</f>
        <v/>
      </c>
      <c r="IL9" s="672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01"/>
      <c r="IN9" s="20" t="str">
        <f t="shared" ref="IN9:IN15" si="22">IF(ISNUMBER($II9),(($IO9*12)/60)/$AS$3,"")</f>
        <v/>
      </c>
      <c r="IO9" s="713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672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04" t="str">
        <f t="shared" ref="IY9:IY15" si="32">IF(ISNUMBER($II9),(-1*$AN9),"")</f>
        <v/>
      </c>
      <c r="JA9" s="730" t="str" cm="1">
        <f t="array" ref="JA9">IFERROR(_xlfn._xlws.SORT(_xlfn.UNIQUE(_xlfn._xlws.FILTER(IF($II$9:$II$150="",$K$9:$K$150,""),IF($II$9:$II$150="",$K$9:$K$150,"")&lt;&gt;"")),,-1),"")</f>
        <v/>
      </c>
      <c r="JB9" s="727" t="str" cm="1">
        <f t="array" ref="JB9">IF($JA9="","",COUNT(IF(IF($II$9:$II$150="",$IJ$9:$IJ$150,"")=$JA9,$IG$9:$IG$150,"")))</f>
        <v/>
      </c>
      <c r="JC9" s="191" t="str" cm="1">
        <f t="array" ref="JC9">IF($JA9="","",AVERAGE(IF(IF($II$9:$II$150="",$K$9:$K$150,"")=$JA9,$AZ$9:$AZ$150,"")))</f>
        <v/>
      </c>
      <c r="JD9" s="191" t="str" cm="1">
        <f t="array" ref="JD9">IF($JA9="","",_xlfn.STDEV.P(IF(IF($II$9:$II$150="",$K$9:$K$150,"")=$JA9,$AZ$9:$AZ$150,"")))</f>
        <v/>
      </c>
      <c r="JE9" s="698" t="str" cm="1">
        <f t="array" ref="JE9">IF($JA9="","",MAX(IF(IF($II$9:$II$150="",$K$9:$K$150,"")=$JA9,$AZ$9:$AZ$150,"")))</f>
        <v/>
      </c>
    </row>
    <row r="10" spans="1:265" ht="15" customHeight="1" x14ac:dyDescent="0.25">
      <c r="A10" s="75"/>
      <c r="B10" s="578" t="str">
        <f t="shared" ref="B10:B40" si="33">INDEX(O$164:O$305,MATCH($M10,$M$164:$M$305,0))</f>
        <v/>
      </c>
      <c r="C10" s="572" t="str">
        <f t="shared" si="10"/>
        <v/>
      </c>
      <c r="D10" s="576" t="str">
        <f t="shared" si="11"/>
        <v/>
      </c>
      <c r="E10" s="580" t="str">
        <f t="shared" si="12"/>
        <v/>
      </c>
      <c r="F10" s="572" t="str">
        <f t="shared" si="13"/>
        <v/>
      </c>
      <c r="G10" s="579" t="str">
        <f t="shared" si="14"/>
        <v/>
      </c>
      <c r="H10" s="580" t="str">
        <f t="shared" ref="H10:H73" si="34">IF(INDEX(H$164:H$305,MATCH($M10,$M$164:$M$305,0))=0,"",INDEX(H$164:H$305,MATCH($M10,$M$164:$M$305,0)))</f>
        <v/>
      </c>
      <c r="I10" s="482"/>
      <c r="J10" s="483" t="str">
        <v/>
      </c>
      <c r="K10" s="806" t="str">
        <f>IF(INDEX(N$164:N$305,MATCH($M10,$M$164:$M$305,0))=0,"",INDEX(N$164:N$305,MATCH($M10,$M$164:$M$305,0)))</f>
        <v/>
      </c>
      <c r="L10" s="31"/>
      <c r="M10" s="164" t="str">
        <f t="shared" ref="M10:M48" si="35">IF(J10="","",J10)</f>
        <v/>
      </c>
      <c r="N10" s="575" t="str">
        <f t="shared" ref="N10:N48" si="36">IF(M10="","",B10)</f>
        <v/>
      </c>
      <c r="O10" s="572" t="str">
        <f t="shared" ref="O10:O48" si="37">IF(M10="","",C10)</f>
        <v/>
      </c>
      <c r="P10" s="576" t="str">
        <f t="shared" ref="P10:P48" si="38">IF(M10="","",D10)</f>
        <v/>
      </c>
      <c r="Q10" s="528" t="str">
        <f>IF(M10="","",IF(DEGREES(ATAN2(N10,O10))&lt;0,DEGREES(ATAN2(N10,O10))+360,IF(DEGREES(ATAN2(N10,O10))&gt;360,DEGREES(ATAN2(N10,O10))-360,DEGREES(ATAN2(N10,O10)))))</f>
        <v/>
      </c>
      <c r="R10" s="572" t="str">
        <f t="shared" ref="R10:R48" si="39">IF(M10="","",SQRT(N10^2+O10^2))</f>
        <v/>
      </c>
      <c r="S10" s="577" t="str">
        <f t="shared" ref="S10:S48" si="40">IF(M10="","",P10)</f>
        <v/>
      </c>
      <c r="T10" s="578" t="str">
        <f t="shared" ref="T10:T48" si="41">IF(M10="","",X10*COS(RADIANS(W10)))</f>
        <v/>
      </c>
      <c r="U10" s="572" t="str">
        <f t="shared" ref="U10:U48" si="42">IF(M10="","",X10*SIN(RADIANS(W10)))</f>
        <v/>
      </c>
      <c r="V10" s="579" t="str">
        <f t="shared" ref="V10:V48" si="43">IF(M10="","",Y10)</f>
        <v/>
      </c>
      <c r="W10" s="528" t="str">
        <f>IF(M10="","",IF(Q10-$Q$8&lt;0,360+Q10-$Q$8,Q10-$Q$8))</f>
        <v/>
      </c>
      <c r="X10" s="572" t="str">
        <f t="shared" ref="X10:X48" si="44">IF(M10="","",R10)</f>
        <v/>
      </c>
      <c r="Y10" s="573" t="str">
        <f t="shared" si="15"/>
        <v/>
      </c>
      <c r="Z10" s="575" t="str">
        <f t="shared" ref="Z10:Z48" si="45">IF(M10="","",-E10)</f>
        <v/>
      </c>
      <c r="AA10" s="572" t="str">
        <f t="shared" ref="AA10:AA48" si="46">IF(M10="","",-F10)</f>
        <v/>
      </c>
      <c r="AB10" s="572" t="str">
        <f t="shared" ref="AB10:AB48" si="47">IF(M10="","",-G10)</f>
        <v/>
      </c>
      <c r="AC10" s="579" t="str">
        <f t="shared" ref="AC10:AC48" si="48">IF(M10="","",SQRT(Z10^2+AA10^2+AB10^2))</f>
        <v/>
      </c>
      <c r="AD10" s="580" t="str">
        <f t="shared" ref="AD10:AD48" si="49">IF(M10="","",Z10*(1/SQRT(Z10^2+AA10^2+AB10^2)))</f>
        <v/>
      </c>
      <c r="AE10" s="572" t="str">
        <f t="shared" ref="AE10:AE48" si="50">IF(M10="","",AA10*(1/SQRT(Z10^2+AA10^2+AB10^2)))</f>
        <v/>
      </c>
      <c r="AF10" s="576" t="str">
        <f t="shared" ref="AF10:AF48" si="51">IF(M10="","",AB10*(1/SQRT(Z10^2+AA10^2+AB10^2)))</f>
        <v/>
      </c>
      <c r="AG10" s="545" t="str">
        <f t="shared" ref="AG10:AG48" si="52">IF(M10="","",DEGREES(ATAN2(-AF10,AE10)))</f>
        <v/>
      </c>
      <c r="AH10" s="546" t="str">
        <f t="shared" ref="AH10:AH48" si="53">IF(M10="","",DEGREES(ACOS(AD10)))</f>
        <v/>
      </c>
      <c r="AI10" s="528" t="str">
        <f t="shared" ref="AI10:AI48" si="54">IF(M10="","",DEGREES(-ACOS(-AF10)))</f>
        <v/>
      </c>
      <c r="AJ10" s="529" t="str">
        <f t="shared" ref="AJ10:AJ48" si="55">IF(M10="","",DEGREES(ATAN2(-AE10,AD10)))</f>
        <v/>
      </c>
      <c r="AK10" s="578" t="str">
        <f t="shared" ref="AK10:AK48" si="56">IF(M10="","",(COS(RADIANS((90-$Q$8)-W10))*AD10)+(-SIN(RADIANS((90-$Q$8)-W10))*AE10))</f>
        <v/>
      </c>
      <c r="AL10" s="572" t="str">
        <f t="shared" ref="AL10:AL48" si="57">IF(M10="","",(SIN(RADIANS((90-$Q$8)-W10))*AD10)+(COS(RADIANS((90-$Q$8)-W10))*AE10))</f>
        <v/>
      </c>
      <c r="AM10" s="577" t="str">
        <f t="shared" ref="AM10:AM48" si="58">IF(M10="","",AF10)</f>
        <v/>
      </c>
      <c r="AN10" s="524" t="str">
        <f t="shared" si="16"/>
        <v/>
      </c>
      <c r="AO10" s="525" t="str">
        <f t="shared" si="17"/>
        <v/>
      </c>
      <c r="AP10" s="528" t="str">
        <f t="shared" ref="AP10:AP48" si="59">IF(M10="","",DEGREES(ATAN2(AK10,AL10)))</f>
        <v/>
      </c>
      <c r="AQ10" s="529" t="str">
        <f t="shared" ref="AQ10:AQ73" si="60">IF(M10="","",DEGREES(ATAN(($AS$5*SIN(RADIANS(90)))/(($X10*2*PI())-($AS$5*COS(RADIANS(90)))))))</f>
        <v/>
      </c>
      <c r="AS10" s="598" t="str">
        <f t="shared" si="18"/>
        <v/>
      </c>
      <c r="AT10" s="602" t="str">
        <f t="shared" ref="AT10:AT73" si="61">IF($M10="","",$Y10+((($AS10-$AS$9)*$AS$6)*-1)-IF($AS10&lt;30,$AS$5,0))</f>
        <v/>
      </c>
      <c r="AU10" s="515" t="str">
        <f t="shared" si="19"/>
        <v/>
      </c>
      <c r="AV10" s="164" t="str">
        <f>M10</f>
        <v/>
      </c>
      <c r="AW10" s="545" t="str">
        <f>IF($M10="","",W10-INDEX(Assy.Model!$W$9:$W$150,MATCH('SN#.Run#'!$M10,Assy.Model!$M$9:$M$150,0)))</f>
        <v/>
      </c>
      <c r="AX10" s="628" t="str">
        <f>IF($M10="","",X10-INDEX(Assy.Model!$X$9:$X$150,MATCH('SN#.Run#'!$M10,Assy.Model!$M$9:$M$150,0)))</f>
        <v/>
      </c>
      <c r="AY10" s="629" t="str">
        <f>IF($M10="","",Y10-INDEX(Assy.Model!$Y$9:$Y$150,MATCH('SN#.Run#'!$M10,Assy.Model!$M$9:$M$150,0)))</f>
        <v/>
      </c>
      <c r="AZ10" s="60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10" t="str">
        <f>IF($M10="","",AN10-INDEX(Assy.Model!$AN$9:$AN$150,MATCH('SN#.Run#'!$M10,Assy.Model!$M$9:$M$150,0)))</f>
        <v/>
      </c>
      <c r="BB10" s="525" t="str">
        <f>IF($M10="","",AO10-INDEX(Assy.Model!$AO$9:$AO$150,MATCH('SN#.Run#'!$M10,Assy.Model!$M$9:$M$150,0)))</f>
        <v/>
      </c>
      <c r="BC10" s="619" t="str">
        <f>IF($M10="","",AP10-INDEX(Assy.Model!$AP$9:$AP$150,MATCH('SN#.Run#'!$M10,Assy.Model!$M$9:$M$150,0)))</f>
        <v/>
      </c>
      <c r="BD10" s="419"/>
      <c r="BE10" s="699"/>
      <c r="BM10" s="417"/>
      <c r="BN10" s="417"/>
      <c r="BO10" s="417"/>
      <c r="BP10" s="417"/>
      <c r="BQ10" s="417"/>
      <c r="BR10" s="417"/>
      <c r="BS10" s="417"/>
      <c r="BT10" s="417"/>
      <c r="BU10" s="417"/>
      <c r="BW10" s="71"/>
      <c r="BX10" s="420"/>
      <c r="BY10" s="420"/>
      <c r="BZ10" s="420"/>
      <c r="CA10" s="420"/>
      <c r="CB10" s="420"/>
      <c r="CC10" s="420"/>
      <c r="CD10" s="420"/>
      <c r="CE10" s="420"/>
      <c r="CF10" s="420"/>
      <c r="CG10" s="420"/>
      <c r="CH10" s="420"/>
      <c r="CI10" s="420"/>
      <c r="CJ10" s="420"/>
      <c r="CK10" s="420"/>
      <c r="CL10" s="420"/>
      <c r="CM10" s="420"/>
      <c r="CN10" s="420"/>
      <c r="CO10" s="420"/>
      <c r="IE10" s="790" t="str">
        <f>IFERROR(IF($IU10="","",IF($IU10&lt;(((Settings!$C$19/2)*-1)*$IE$8),"Taper","Nose")),"")</f>
        <v/>
      </c>
      <c r="IF10" s="482" t="str">
        <f>IFERROR(IF((((($IW10*COS(RADIANS(180-$IY10)))*COS(RADIANS($IY10)))-(($IX10*SIN(RADIANS(180-$IY10)))*SIN(RADIANS($IY10))))+$IU10)&lt;(((Settings!$C$19+$IF$8)/2)*-1),"Gage",""),"")</f>
        <v/>
      </c>
      <c r="IG10" s="788" t="str">
        <f>$M10</f>
        <v/>
      </c>
      <c r="IH10" s="674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677" t="str" cm="1">
        <f t="array" ref="II10">IFERROR(IF($IH10&lt;1,$IH10+LARGE((IF($M$9:$M$150="",0,$M$9:$M$150)-MOD(IF($M$9:$M$150="",0,$M$9:$M$150),1)),1),$IH10),"")</f>
        <v/>
      </c>
      <c r="IJ10" s="482" t="str">
        <f t="shared" ref="IJ10:IJ73" si="62">IF(ISNUMBER($II10),INDEX($K$9:$K$150,MATCH($II10,$M$9:$M$150,0)),$K10)</f>
        <v/>
      </c>
      <c r="IK10" s="482" t="str">
        <f t="shared" si="20"/>
        <v/>
      </c>
      <c r="IL10" s="670" t="str">
        <f t="shared" si="21"/>
        <v/>
      </c>
      <c r="IM10" s="702"/>
      <c r="IN10" s="5" t="str">
        <f t="shared" si="22"/>
        <v/>
      </c>
      <c r="IO10" s="714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670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05" t="str">
        <f t="shared" si="32"/>
        <v/>
      </c>
      <c r="JA10" s="731"/>
      <c r="JB10" s="728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5"/>
      <c r="B11" s="578" t="str">
        <f t="shared" si="33"/>
        <v/>
      </c>
      <c r="C11" s="572" t="str">
        <f t="shared" si="10"/>
        <v/>
      </c>
      <c r="D11" s="576" t="str">
        <f t="shared" si="11"/>
        <v/>
      </c>
      <c r="E11" s="580" t="str">
        <f t="shared" si="12"/>
        <v/>
      </c>
      <c r="F11" s="572" t="str">
        <f t="shared" si="13"/>
        <v/>
      </c>
      <c r="G11" s="579" t="str">
        <f t="shared" si="14"/>
        <v/>
      </c>
      <c r="H11" s="580" t="str">
        <f t="shared" si="34"/>
        <v/>
      </c>
      <c r="I11" s="482"/>
      <c r="J11" s="483" t="str">
        <v/>
      </c>
      <c r="K11" s="806" t="str">
        <f>IF(INDEX(N$164:N$305,MATCH($M11,$M$164:$M$305,0))=0,"",INDEX(N$164:N$305,MATCH($M11,$M$164:$M$305,0)))</f>
        <v/>
      </c>
      <c r="L11" s="720" t="s">
        <v>323</v>
      </c>
      <c r="M11" s="164" t="str">
        <f t="shared" si="35"/>
        <v/>
      </c>
      <c r="N11" s="575" t="str">
        <f t="shared" si="36"/>
        <v/>
      </c>
      <c r="O11" s="572" t="str">
        <f t="shared" si="37"/>
        <v/>
      </c>
      <c r="P11" s="576" t="str">
        <f t="shared" si="38"/>
        <v/>
      </c>
      <c r="Q11" s="528" t="str">
        <f t="shared" ref="Q11:Q48" si="63">IF(M11="","",IF(DEGREES(ATAN2(N11,O11))&lt;0,DEGREES(ATAN2(N11,O11))+360,IF(DEGREES(ATAN2(N11,O11))&gt;360,DEGREES(ATAN2(N11,O11))-360,DEGREES(ATAN2(N11,O11)))))</f>
        <v/>
      </c>
      <c r="R11" s="572" t="str">
        <f t="shared" si="39"/>
        <v/>
      </c>
      <c r="S11" s="577" t="str">
        <f t="shared" si="40"/>
        <v/>
      </c>
      <c r="T11" s="578" t="str">
        <f t="shared" si="41"/>
        <v/>
      </c>
      <c r="U11" s="572" t="str">
        <f t="shared" si="42"/>
        <v/>
      </c>
      <c r="V11" s="579" t="str">
        <f t="shared" si="43"/>
        <v/>
      </c>
      <c r="W11" s="528" t="str">
        <f>IF(M11="","",IF(Q11-$Q$8&lt;0,360+Q11-$Q$8,Q11-$Q$8))</f>
        <v/>
      </c>
      <c r="X11" s="572" t="str">
        <f t="shared" si="44"/>
        <v/>
      </c>
      <c r="Y11" s="573" t="str">
        <f t="shared" si="15"/>
        <v/>
      </c>
      <c r="Z11" s="575" t="str">
        <f t="shared" si="45"/>
        <v/>
      </c>
      <c r="AA11" s="572" t="str">
        <f t="shared" si="46"/>
        <v/>
      </c>
      <c r="AB11" s="572" t="str">
        <f t="shared" si="47"/>
        <v/>
      </c>
      <c r="AC11" s="579" t="str">
        <f t="shared" si="48"/>
        <v/>
      </c>
      <c r="AD11" s="580" t="str">
        <f t="shared" si="49"/>
        <v/>
      </c>
      <c r="AE11" s="572" t="str">
        <f t="shared" si="50"/>
        <v/>
      </c>
      <c r="AF11" s="576" t="str">
        <f t="shared" si="51"/>
        <v/>
      </c>
      <c r="AG11" s="545" t="str">
        <f t="shared" si="52"/>
        <v/>
      </c>
      <c r="AH11" s="546" t="str">
        <f t="shared" si="53"/>
        <v/>
      </c>
      <c r="AI11" s="528" t="str">
        <f t="shared" si="54"/>
        <v/>
      </c>
      <c r="AJ11" s="529" t="str">
        <f t="shared" si="55"/>
        <v/>
      </c>
      <c r="AK11" s="578" t="str">
        <f>IF(M11="","",(COS(RADIANS((90-$Q$8)-W11))*AD11)+(-SIN(RADIANS((90-$Q$8)-W11))*AE11))</f>
        <v/>
      </c>
      <c r="AL11" s="572" t="str">
        <f t="shared" si="57"/>
        <v/>
      </c>
      <c r="AM11" s="577" t="str">
        <f t="shared" si="58"/>
        <v/>
      </c>
      <c r="AN11" s="524" t="str">
        <f t="shared" si="16"/>
        <v/>
      </c>
      <c r="AO11" s="525" t="str">
        <f t="shared" si="17"/>
        <v/>
      </c>
      <c r="AP11" s="528" t="str">
        <f t="shared" si="59"/>
        <v/>
      </c>
      <c r="AQ11" s="529" t="str">
        <f t="shared" si="60"/>
        <v/>
      </c>
      <c r="AS11" s="598" t="str">
        <f t="shared" si="18"/>
        <v/>
      </c>
      <c r="AT11" s="602" t="str">
        <f t="shared" si="61"/>
        <v/>
      </c>
      <c r="AU11" s="515" t="str">
        <f t="shared" si="19"/>
        <v/>
      </c>
      <c r="AV11" s="164" t="str">
        <f t="shared" ref="AV11:AV48" si="64">M11</f>
        <v/>
      </c>
      <c r="AW11" s="545" t="str">
        <f>IF($M11="","",W11-INDEX(Assy.Model!$W$9:$W$150,MATCH('SN#.Run#'!$M11,Assy.Model!$M$9:$M$150,0)))</f>
        <v/>
      </c>
      <c r="AX11" s="628" t="str">
        <f>IF($M11="","",X11-INDEX(Assy.Model!$X$9:$X$150,MATCH('SN#.Run#'!$M11,Assy.Model!$M$9:$M$150,0)))</f>
        <v/>
      </c>
      <c r="AY11" s="629" t="str">
        <f>IF($M11="","",Y11-INDEX(Assy.Model!$Y$9:$Y$150,MATCH('SN#.Run#'!$M11,Assy.Model!$M$9:$M$150,0)))</f>
        <v/>
      </c>
      <c r="AZ11" s="60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10" t="str">
        <f>IF($M11="","",AN11-INDEX(Assy.Model!$AN$9:$AN$150,MATCH('SN#.Run#'!$M11,Assy.Model!$M$9:$M$150,0)))</f>
        <v/>
      </c>
      <c r="BB11" s="525" t="str">
        <f>IF($M11="","",AO11-INDEX(Assy.Model!$AO$9:$AO$150,MATCH('SN#.Run#'!$M11,Assy.Model!$M$9:$M$150,0)))</f>
        <v/>
      </c>
      <c r="BC11" s="619" t="str">
        <f>IF($M11="","",AP11-INDEX(Assy.Model!$AP$9:$AP$150,MATCH('SN#.Run#'!$M11,Assy.Model!$M$9:$M$150,0)))</f>
        <v/>
      </c>
      <c r="BD11" s="419"/>
      <c r="BE11" s="699"/>
      <c r="BM11" s="417"/>
      <c r="BN11" s="417"/>
      <c r="BO11" s="417"/>
      <c r="BP11" s="417"/>
      <c r="BQ11" s="417"/>
      <c r="BR11" s="417"/>
      <c r="BS11" s="417"/>
      <c r="BT11" s="417"/>
      <c r="BU11" s="417"/>
      <c r="BW11" s="71"/>
      <c r="BX11" s="420"/>
      <c r="BY11" s="420"/>
      <c r="BZ11" s="420"/>
      <c r="CA11" s="420"/>
      <c r="CB11" s="420"/>
      <c r="CC11" s="420"/>
      <c r="CD11" s="420"/>
      <c r="CE11" s="420"/>
      <c r="CF11" s="420"/>
      <c r="CG11" s="420"/>
      <c r="CH11" s="420"/>
      <c r="CI11" s="420"/>
      <c r="CJ11" s="420"/>
      <c r="CK11" s="420"/>
      <c r="CL11" s="420"/>
      <c r="CM11" s="420"/>
      <c r="CN11" s="420"/>
      <c r="CO11" s="420"/>
      <c r="IE11" s="790" t="str">
        <f>IFERROR(IF($IU11="","",IF($IU11&lt;(((Settings!$C$19/2)*-1)*$IE$8),"Taper","Nose")),"")</f>
        <v/>
      </c>
      <c r="IF11" s="482" t="str">
        <f>IFERROR(IF((((($IW11*COS(RADIANS(180-$IY11)))*COS(RADIANS($IY11)))-(($IX11*SIN(RADIANS(180-$IY11)))*SIN(RADIANS($IY11))))+$IU11)&lt;(((Settings!$C$19+$IF$8)/2)*-1),"Gage",""),"")</f>
        <v/>
      </c>
      <c r="IG11" s="788" t="str">
        <f t="shared" ref="IG11:IG74" si="65">$M11</f>
        <v/>
      </c>
      <c r="IH11" s="674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677" t="str" cm="1">
        <f t="array" ref="II11">IFERROR(IF($IH11&lt;1,$IH11+LARGE((IF($M$9:$M$150="",0,$M$9:$M$150)-MOD(IF($M$9:$M$150="",0,$M$9:$M$150),1)),1),$IH11),"")</f>
        <v/>
      </c>
      <c r="IJ11" s="482" t="str">
        <f t="shared" si="62"/>
        <v/>
      </c>
      <c r="IK11" s="482" t="str">
        <f t="shared" si="20"/>
        <v/>
      </c>
      <c r="IL11" s="670" t="str">
        <f t="shared" si="21"/>
        <v/>
      </c>
      <c r="IM11" s="702"/>
      <c r="IN11" s="5" t="str">
        <f t="shared" si="22"/>
        <v/>
      </c>
      <c r="IO11" s="714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670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05" t="str">
        <f t="shared" si="32"/>
        <v/>
      </c>
      <c r="JA11" s="731"/>
      <c r="JB11" s="728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5"/>
      <c r="B12" s="578" t="str">
        <f t="shared" si="33"/>
        <v/>
      </c>
      <c r="C12" s="572" t="str">
        <f t="shared" si="10"/>
        <v/>
      </c>
      <c r="D12" s="576" t="str">
        <f t="shared" si="11"/>
        <v/>
      </c>
      <c r="E12" s="580" t="str">
        <f t="shared" si="12"/>
        <v/>
      </c>
      <c r="F12" s="572" t="str">
        <f t="shared" si="13"/>
        <v/>
      </c>
      <c r="G12" s="579" t="str">
        <f t="shared" si="14"/>
        <v/>
      </c>
      <c r="H12" s="580" t="str">
        <f t="shared" si="34"/>
        <v/>
      </c>
      <c r="I12" s="482"/>
      <c r="J12" s="483" t="str">
        <v/>
      </c>
      <c r="K12" s="806" t="str">
        <f t="shared" ref="K12:K75" si="66">IF(INDEX(N$164:N$305,MATCH($M12,$M$164:$M$305,0))=0,"",INDEX(N$164:N$305,MATCH($M12,$M$164:$M$305,0)))</f>
        <v/>
      </c>
      <c r="L12" s="716" t="s">
        <v>357</v>
      </c>
      <c r="M12" s="164" t="str">
        <f>IF(J12="","",J12)</f>
        <v/>
      </c>
      <c r="N12" s="575" t="str">
        <f t="shared" si="36"/>
        <v/>
      </c>
      <c r="O12" s="572" t="str">
        <f t="shared" si="37"/>
        <v/>
      </c>
      <c r="P12" s="576" t="str">
        <f t="shared" si="38"/>
        <v/>
      </c>
      <c r="Q12" s="528" t="str">
        <f>IF(M12="","",IF(DEGREES(ATAN2(N12,O12))&lt;0,DEGREES(ATAN2(N12,O12))+360,IF(DEGREES(ATAN2(N12,O12))&gt;360,DEGREES(ATAN2(N12,O12))-360,DEGREES(ATAN2(N12,O12)))))</f>
        <v/>
      </c>
      <c r="R12" s="572" t="str">
        <f t="shared" si="39"/>
        <v/>
      </c>
      <c r="S12" s="577" t="str">
        <f t="shared" si="40"/>
        <v/>
      </c>
      <c r="T12" s="578" t="str">
        <f t="shared" si="41"/>
        <v/>
      </c>
      <c r="U12" s="572" t="str">
        <f t="shared" si="42"/>
        <v/>
      </c>
      <c r="V12" s="579" t="str">
        <f t="shared" si="43"/>
        <v/>
      </c>
      <c r="W12" s="528" t="str">
        <f>IF(M12="","",IF(Q12-$Q$8&lt;0,360+Q12-$Q$8,Q12-$Q$8))</f>
        <v/>
      </c>
      <c r="X12" s="572" t="str">
        <f t="shared" si="44"/>
        <v/>
      </c>
      <c r="Y12" s="573" t="str">
        <f t="shared" si="15"/>
        <v/>
      </c>
      <c r="Z12" s="575" t="str">
        <f>IF(M12="","",-E12)</f>
        <v/>
      </c>
      <c r="AA12" s="572" t="str">
        <f t="shared" si="46"/>
        <v/>
      </c>
      <c r="AB12" s="572" t="str">
        <f t="shared" si="47"/>
        <v/>
      </c>
      <c r="AC12" s="579" t="str">
        <f t="shared" si="48"/>
        <v/>
      </c>
      <c r="AD12" s="580" t="str">
        <f t="shared" si="49"/>
        <v/>
      </c>
      <c r="AE12" s="572" t="str">
        <f t="shared" si="50"/>
        <v/>
      </c>
      <c r="AF12" s="576" t="str">
        <f t="shared" si="51"/>
        <v/>
      </c>
      <c r="AG12" s="545" t="str">
        <f>IF(M12="","",DEGREES(ATAN2(-AF12,AE12)))</f>
        <v/>
      </c>
      <c r="AH12" s="546" t="str">
        <f t="shared" si="53"/>
        <v/>
      </c>
      <c r="AI12" s="528" t="str">
        <f t="shared" si="54"/>
        <v/>
      </c>
      <c r="AJ12" s="529" t="str">
        <f t="shared" si="55"/>
        <v/>
      </c>
      <c r="AK12" s="578" t="str">
        <f>IF(M12="","",(COS(RADIANS((90-$Q$8)-W12))*AD12)+(-SIN(RADIANS((90-$Q$8)-W12))*AE12))</f>
        <v/>
      </c>
      <c r="AL12" s="572" t="str">
        <f t="shared" si="57"/>
        <v/>
      </c>
      <c r="AM12" s="577" t="str">
        <f t="shared" si="58"/>
        <v/>
      </c>
      <c r="AN12" s="524" t="str">
        <f t="shared" si="16"/>
        <v/>
      </c>
      <c r="AO12" s="525" t="str">
        <f t="shared" si="17"/>
        <v/>
      </c>
      <c r="AP12" s="528" t="str">
        <f t="shared" si="59"/>
        <v/>
      </c>
      <c r="AQ12" s="529" t="str">
        <f t="shared" si="60"/>
        <v/>
      </c>
      <c r="AS12" s="598" t="str">
        <f>IF(M12="","",IF(W12&lt;=LARGE($W$9:$W$17,1),W12,W12-360))</f>
        <v/>
      </c>
      <c r="AT12" s="602" t="str">
        <f t="shared" si="61"/>
        <v/>
      </c>
      <c r="AU12" s="515" t="str">
        <f t="shared" si="19"/>
        <v/>
      </c>
      <c r="AV12" s="164" t="str">
        <f t="shared" si="64"/>
        <v/>
      </c>
      <c r="AW12" s="545" t="str">
        <f>IF($M12="","",W12-INDEX(Assy.Model!$W$9:$W$150,MATCH('SN#.Run#'!$M12,Assy.Model!$M$9:$M$150,0)))</f>
        <v/>
      </c>
      <c r="AX12" s="628" t="str">
        <f>IF($M12="","",X12-INDEX(Assy.Model!$X$9:$X$150,MATCH('SN#.Run#'!$M12,Assy.Model!$M$9:$M$150,0)))</f>
        <v/>
      </c>
      <c r="AY12" s="629" t="str">
        <f>IF($M12="","",Y12-INDEX(Assy.Model!$Y$9:$Y$150,MATCH('SN#.Run#'!$M12,Assy.Model!$M$9:$M$150,0)))</f>
        <v/>
      </c>
      <c r="AZ12" s="60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10" t="str">
        <f>IF($M12="","",AN12-INDEX(Assy.Model!$AN$9:$AN$150,MATCH('SN#.Run#'!$M12,Assy.Model!$M$9:$M$150,0)))</f>
        <v/>
      </c>
      <c r="BB12" s="525" t="str">
        <f>IF($M12="","",AO12-INDEX(Assy.Model!$AO$9:$AO$150,MATCH('SN#.Run#'!$M12,Assy.Model!$M$9:$M$150,0)))</f>
        <v/>
      </c>
      <c r="BC12" s="619" t="str">
        <f>IF($M12="","",AP12-INDEX(Assy.Model!$AP$9:$AP$150,MATCH('SN#.Run#'!$M12,Assy.Model!$M$9:$M$150,0)))</f>
        <v/>
      </c>
      <c r="BD12" s="419"/>
      <c r="BE12" s="699"/>
      <c r="BM12" s="417"/>
      <c r="BN12" s="417"/>
      <c r="BO12" s="417"/>
      <c r="BP12" s="417"/>
      <c r="BQ12" s="417"/>
      <c r="BR12" s="417"/>
      <c r="BS12" s="417"/>
      <c r="BT12" s="417"/>
      <c r="BU12" s="417"/>
      <c r="CJ12" s="420"/>
      <c r="CK12" s="420"/>
      <c r="CL12" s="420"/>
      <c r="CM12" s="420"/>
      <c r="CN12" s="420"/>
      <c r="CO12" s="420"/>
      <c r="IE12" s="790" t="str">
        <f>IFERROR(IF($IU12="","",IF($IU12&lt;(((Settings!$C$19/2)*-1)*$IE$8),"Taper","Nose")),"")</f>
        <v/>
      </c>
      <c r="IF12" s="482" t="str">
        <f>IFERROR(IF((((($IW12*COS(RADIANS(180-$IY12)))*COS(RADIANS($IY12)))-(($IX12*SIN(RADIANS(180-$IY12)))*SIN(RADIANS($IY12))))+$IU12)&lt;(((Settings!$C$19+$IF$8)/2)*-1),"Gage",""),"")</f>
        <v/>
      </c>
      <c r="IG12" s="788" t="str">
        <f t="shared" si="65"/>
        <v/>
      </c>
      <c r="IH12" s="674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677" t="str" cm="1">
        <f t="array" ref="II12">IFERROR(IF($IH12&lt;1,$IH12+LARGE((IF($M$9:$M$150="",0,$M$9:$M$150)-MOD(IF($M$9:$M$150="",0,$M$9:$M$150),1)),1),$IH12),"")</f>
        <v/>
      </c>
      <c r="IJ12" s="482" t="str">
        <f t="shared" si="62"/>
        <v/>
      </c>
      <c r="IK12" s="482" t="str">
        <f t="shared" si="20"/>
        <v/>
      </c>
      <c r="IL12" s="670" t="str">
        <f t="shared" si="21"/>
        <v/>
      </c>
      <c r="IM12" s="702"/>
      <c r="IN12" s="5" t="str">
        <f t="shared" si="22"/>
        <v/>
      </c>
      <c r="IO12" s="714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670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05" t="str">
        <f t="shared" si="32"/>
        <v/>
      </c>
      <c r="JA12" s="731"/>
      <c r="JB12" s="728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5"/>
      <c r="B13" s="578" t="str">
        <f t="shared" si="33"/>
        <v/>
      </c>
      <c r="C13" s="572" t="str">
        <f t="shared" si="10"/>
        <v/>
      </c>
      <c r="D13" s="576" t="str">
        <f t="shared" si="11"/>
        <v/>
      </c>
      <c r="E13" s="580" t="str">
        <f t="shared" si="12"/>
        <v/>
      </c>
      <c r="F13" s="572" t="str">
        <f t="shared" si="13"/>
        <v/>
      </c>
      <c r="G13" s="579" t="str">
        <f t="shared" si="14"/>
        <v/>
      </c>
      <c r="H13" s="580" t="str">
        <f t="shared" si="34"/>
        <v/>
      </c>
      <c r="I13" s="482"/>
      <c r="J13" s="483" t="str">
        <v/>
      </c>
      <c r="K13" s="806" t="str">
        <f t="shared" si="66"/>
        <v/>
      </c>
      <c r="L13" s="717" t="str">
        <f>IF($L12=$JH$22,$JH$29,IF($L12=$JI$22,$JI$29,""))</f>
        <v/>
      </c>
      <c r="M13" s="164" t="str">
        <f t="shared" si="35"/>
        <v/>
      </c>
      <c r="N13" s="575" t="str">
        <f t="shared" si="36"/>
        <v/>
      </c>
      <c r="O13" s="572" t="str">
        <f t="shared" si="37"/>
        <v/>
      </c>
      <c r="P13" s="576" t="str">
        <f t="shared" si="38"/>
        <v/>
      </c>
      <c r="Q13" s="528" t="str">
        <f t="shared" si="63"/>
        <v/>
      </c>
      <c r="R13" s="572" t="str">
        <f t="shared" si="39"/>
        <v/>
      </c>
      <c r="S13" s="577" t="str">
        <f t="shared" si="40"/>
        <v/>
      </c>
      <c r="T13" s="578" t="str">
        <f t="shared" si="41"/>
        <v/>
      </c>
      <c r="U13" s="572" t="str">
        <f t="shared" si="42"/>
        <v/>
      </c>
      <c r="V13" s="579" t="str">
        <f t="shared" si="43"/>
        <v/>
      </c>
      <c r="W13" s="528" t="str">
        <f t="shared" ref="W13:W48" si="67">IF(M13="","",IF(Q13-$Q$8&lt;0,360+Q13-$Q$8,Q13-$Q$8))</f>
        <v/>
      </c>
      <c r="X13" s="572" t="str">
        <f t="shared" si="44"/>
        <v/>
      </c>
      <c r="Y13" s="573" t="str">
        <f t="shared" si="15"/>
        <v/>
      </c>
      <c r="Z13" s="575" t="str">
        <f t="shared" si="45"/>
        <v/>
      </c>
      <c r="AA13" s="572" t="str">
        <f t="shared" si="46"/>
        <v/>
      </c>
      <c r="AB13" s="572" t="str">
        <f t="shared" si="47"/>
        <v/>
      </c>
      <c r="AC13" s="579" t="str">
        <f t="shared" si="48"/>
        <v/>
      </c>
      <c r="AD13" s="580" t="str">
        <f t="shared" si="49"/>
        <v/>
      </c>
      <c r="AE13" s="572" t="str">
        <f t="shared" si="50"/>
        <v/>
      </c>
      <c r="AF13" s="576" t="str">
        <f t="shared" si="51"/>
        <v/>
      </c>
      <c r="AG13" s="545" t="str">
        <f t="shared" si="52"/>
        <v/>
      </c>
      <c r="AH13" s="546" t="str">
        <f t="shared" si="53"/>
        <v/>
      </c>
      <c r="AI13" s="528" t="str">
        <f t="shared" si="54"/>
        <v/>
      </c>
      <c r="AJ13" s="529" t="str">
        <f t="shared" si="55"/>
        <v/>
      </c>
      <c r="AK13" s="578" t="str">
        <f t="shared" si="56"/>
        <v/>
      </c>
      <c r="AL13" s="572" t="str">
        <f t="shared" si="57"/>
        <v/>
      </c>
      <c r="AM13" s="577" t="str">
        <f t="shared" si="58"/>
        <v/>
      </c>
      <c r="AN13" s="524" t="str">
        <f t="shared" si="16"/>
        <v/>
      </c>
      <c r="AO13" s="525" t="str">
        <f t="shared" si="17"/>
        <v/>
      </c>
      <c r="AP13" s="528" t="str">
        <f t="shared" si="59"/>
        <v/>
      </c>
      <c r="AQ13" s="529" t="str">
        <f t="shared" si="60"/>
        <v/>
      </c>
      <c r="AS13" s="598" t="str">
        <f t="shared" si="18"/>
        <v/>
      </c>
      <c r="AT13" s="602" t="str">
        <f t="shared" si="61"/>
        <v/>
      </c>
      <c r="AU13" s="515" t="str">
        <f t="shared" si="19"/>
        <v/>
      </c>
      <c r="AV13" s="164" t="str">
        <f t="shared" si="64"/>
        <v/>
      </c>
      <c r="AW13" s="545" t="str">
        <f>IF($M13="","",W13-INDEX(Assy.Model!$W$9:$W$150,MATCH('SN#.Run#'!$M13,Assy.Model!$M$9:$M$150,0)))</f>
        <v/>
      </c>
      <c r="AX13" s="628" t="str">
        <f>IF($M13="","",X13-INDEX(Assy.Model!$X$9:$X$150,MATCH('SN#.Run#'!$M13,Assy.Model!$M$9:$M$150,0)))</f>
        <v/>
      </c>
      <c r="AY13" s="629" t="str">
        <f>IF($M13="","",Y13-INDEX(Assy.Model!$Y$9:$Y$150,MATCH('SN#.Run#'!$M13,Assy.Model!$M$9:$M$150,0)))</f>
        <v/>
      </c>
      <c r="AZ13" s="60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10" t="str">
        <f>IF($M13="","",AN13-INDEX(Assy.Model!$AN$9:$AN$150,MATCH('SN#.Run#'!$M13,Assy.Model!$M$9:$M$150,0)))</f>
        <v/>
      </c>
      <c r="BB13" s="525" t="str">
        <f>IF($M13="","",AO13-INDEX(Assy.Model!$AO$9:$AO$150,MATCH('SN#.Run#'!$M13,Assy.Model!$M$9:$M$150,0)))</f>
        <v/>
      </c>
      <c r="BC13" s="619" t="str">
        <f>IF($M13="","",AP13-INDEX(Assy.Model!$AP$9:$AP$150,MATCH('SN#.Run#'!$M13,Assy.Model!$M$9:$M$150,0)))</f>
        <v/>
      </c>
      <c r="BD13" s="419"/>
      <c r="BE13" s="699"/>
      <c r="BM13" s="417"/>
      <c r="BN13" s="417"/>
      <c r="BO13" s="417"/>
      <c r="BP13" s="417"/>
      <c r="BQ13" s="417"/>
      <c r="BR13" s="417"/>
      <c r="BS13" s="417"/>
      <c r="BT13" s="417"/>
      <c r="BU13" s="417"/>
      <c r="CJ13" s="420"/>
      <c r="CK13" s="420"/>
      <c r="CL13" s="420"/>
      <c r="CM13" s="420"/>
      <c r="CN13" s="420"/>
      <c r="CO13" s="420"/>
      <c r="IE13" s="790" t="str">
        <f>IFERROR(IF($IU13="","",IF($IU13&lt;(((Settings!$C$19/2)*-1)*$IE$8),"Taper","Nose")),"")</f>
        <v/>
      </c>
      <c r="IF13" s="482" t="str">
        <f>IFERROR(IF((((($IW13*COS(RADIANS(180-$IY13)))*COS(RADIANS($IY13)))-(($IX13*SIN(RADIANS(180-$IY13)))*SIN(RADIANS($IY13))))+$IU13)&lt;(((Settings!$C$19+$IF$8)/2)*-1),"Gage",""),"")</f>
        <v/>
      </c>
      <c r="IG13" s="788" t="str">
        <f t="shared" si="65"/>
        <v/>
      </c>
      <c r="IH13" s="674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677" t="str" cm="1">
        <f t="array" ref="II13">IFERROR(IF($IH13&lt;1,$IH13+LARGE((IF($M$9:$M$150="",0,$M$9:$M$150)-MOD(IF($M$9:$M$150="",0,$M$9:$M$150),1)),1),$IH13),"")</f>
        <v/>
      </c>
      <c r="IJ13" s="482" t="str">
        <f t="shared" si="62"/>
        <v/>
      </c>
      <c r="IK13" s="482" t="str">
        <f t="shared" si="20"/>
        <v/>
      </c>
      <c r="IL13" s="670" t="str">
        <f t="shared" si="21"/>
        <v/>
      </c>
      <c r="IM13" s="702"/>
      <c r="IN13" s="5" t="str">
        <f t="shared" si="22"/>
        <v/>
      </c>
      <c r="IO13" s="714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670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05" t="str">
        <f t="shared" si="32"/>
        <v/>
      </c>
      <c r="JA13" s="731"/>
      <c r="JB13" s="728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5"/>
      <c r="B14" s="578" t="str">
        <f t="shared" si="33"/>
        <v/>
      </c>
      <c r="C14" s="572" t="str">
        <f t="shared" si="10"/>
        <v/>
      </c>
      <c r="D14" s="576" t="str">
        <f t="shared" si="11"/>
        <v/>
      </c>
      <c r="E14" s="580" t="str">
        <f t="shared" si="12"/>
        <v/>
      </c>
      <c r="F14" s="572" t="str">
        <f t="shared" si="13"/>
        <v/>
      </c>
      <c r="G14" s="579" t="str">
        <f t="shared" si="14"/>
        <v/>
      </c>
      <c r="H14" s="580" t="str">
        <f t="shared" si="34"/>
        <v/>
      </c>
      <c r="I14" s="482"/>
      <c r="J14" s="483" t="str">
        <v/>
      </c>
      <c r="K14" s="806" t="str">
        <f t="shared" si="66"/>
        <v/>
      </c>
      <c r="L14" s="719" t="s">
        <v>358</v>
      </c>
      <c r="M14" s="164" t="str">
        <f t="shared" si="35"/>
        <v/>
      </c>
      <c r="N14" s="575" t="str">
        <f t="shared" si="36"/>
        <v/>
      </c>
      <c r="O14" s="572" t="str">
        <f t="shared" si="37"/>
        <v/>
      </c>
      <c r="P14" s="576" t="str">
        <f>IF(M14="","",D14)</f>
        <v/>
      </c>
      <c r="Q14" s="528" t="str">
        <f t="shared" si="63"/>
        <v/>
      </c>
      <c r="R14" s="572" t="str">
        <f t="shared" si="39"/>
        <v/>
      </c>
      <c r="S14" s="577" t="str">
        <f>IF(M14="","",P14)</f>
        <v/>
      </c>
      <c r="T14" s="578" t="str">
        <f t="shared" si="41"/>
        <v/>
      </c>
      <c r="U14" s="572" t="str">
        <f t="shared" si="42"/>
        <v/>
      </c>
      <c r="V14" s="579" t="str">
        <f t="shared" si="43"/>
        <v/>
      </c>
      <c r="W14" s="528" t="str">
        <f t="shared" si="67"/>
        <v/>
      </c>
      <c r="X14" s="572" t="str">
        <f t="shared" si="44"/>
        <v/>
      </c>
      <c r="Y14" s="573" t="str">
        <f t="shared" si="15"/>
        <v/>
      </c>
      <c r="Z14" s="575" t="str">
        <f t="shared" si="45"/>
        <v/>
      </c>
      <c r="AA14" s="572" t="str">
        <f t="shared" si="46"/>
        <v/>
      </c>
      <c r="AB14" s="572" t="str">
        <f t="shared" si="47"/>
        <v/>
      </c>
      <c r="AC14" s="579" t="str">
        <f>IF(M14="","",SQRT(Z14^2+AA14^2+AB14^2))</f>
        <v/>
      </c>
      <c r="AD14" s="580" t="str">
        <f>IF(M14="","",Z14*(1/SQRT(Z14^2+AA14^2+AB14^2)))</f>
        <v/>
      </c>
      <c r="AE14" s="572" t="str">
        <f t="shared" si="50"/>
        <v/>
      </c>
      <c r="AF14" s="576" t="str">
        <f t="shared" si="51"/>
        <v/>
      </c>
      <c r="AG14" s="545" t="str">
        <f t="shared" si="52"/>
        <v/>
      </c>
      <c r="AH14" s="546" t="str">
        <f t="shared" si="53"/>
        <v/>
      </c>
      <c r="AI14" s="528" t="str">
        <f t="shared" si="54"/>
        <v/>
      </c>
      <c r="AJ14" s="529" t="str">
        <f t="shared" si="55"/>
        <v/>
      </c>
      <c r="AK14" s="578" t="str">
        <f>IF(M14="","",(COS(RADIANS((90-$Q$8)-W14))*AD14)+(-SIN(RADIANS((90-$Q$8)-W14))*AE14))</f>
        <v/>
      </c>
      <c r="AL14" s="572" t="str">
        <f t="shared" si="57"/>
        <v/>
      </c>
      <c r="AM14" s="577" t="str">
        <f t="shared" si="58"/>
        <v/>
      </c>
      <c r="AN14" s="524" t="str">
        <f t="shared" si="16"/>
        <v/>
      </c>
      <c r="AO14" s="525" t="str">
        <f t="shared" si="17"/>
        <v/>
      </c>
      <c r="AP14" s="528" t="str">
        <f t="shared" si="59"/>
        <v/>
      </c>
      <c r="AQ14" s="529" t="str">
        <f t="shared" si="60"/>
        <v/>
      </c>
      <c r="AS14" s="598" t="str">
        <f t="shared" si="18"/>
        <v/>
      </c>
      <c r="AT14" s="602" t="str">
        <f t="shared" si="61"/>
        <v/>
      </c>
      <c r="AU14" s="515" t="str">
        <f t="shared" si="19"/>
        <v/>
      </c>
      <c r="AV14" s="164" t="str">
        <f t="shared" si="64"/>
        <v/>
      </c>
      <c r="AW14" s="545" t="str">
        <f>IF($M14="","",W14-INDEX(Assy.Model!$W$9:$W$150,MATCH('SN#.Run#'!$M14,Assy.Model!$M$9:$M$150,0)))</f>
        <v/>
      </c>
      <c r="AX14" s="628" t="str">
        <f>IF($M14="","",X14-INDEX(Assy.Model!$X$9:$X$150,MATCH('SN#.Run#'!$M14,Assy.Model!$M$9:$M$150,0)))</f>
        <v/>
      </c>
      <c r="AY14" s="629" t="str">
        <f>IF($M14="","",Y14-INDEX(Assy.Model!$Y$9:$Y$150,MATCH('SN#.Run#'!$M14,Assy.Model!$M$9:$M$150,0)))</f>
        <v/>
      </c>
      <c r="AZ14" s="60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10" t="str">
        <f>IF($M14="","",AN14-INDEX(Assy.Model!$AN$9:$AN$150,MATCH('SN#.Run#'!$M14,Assy.Model!$M$9:$M$150,0)))</f>
        <v/>
      </c>
      <c r="BB14" s="525" t="str">
        <f>IF($M14="","",AO14-INDEX(Assy.Model!$AO$9:$AO$150,MATCH('SN#.Run#'!$M14,Assy.Model!$M$9:$M$150,0)))</f>
        <v/>
      </c>
      <c r="BC14" s="619" t="str">
        <f>IF($M14="","",AP14-INDEX(Assy.Model!$AP$9:$AP$150,MATCH('SN#.Run#'!$M14,Assy.Model!$M$9:$M$150,0)))</f>
        <v/>
      </c>
      <c r="BD14" s="419"/>
      <c r="BE14" s="699"/>
      <c r="BM14" s="417"/>
      <c r="BN14" s="417"/>
      <c r="BO14" s="417"/>
      <c r="BP14" s="417"/>
      <c r="BQ14" s="417"/>
      <c r="BR14" s="417"/>
      <c r="BS14" s="417"/>
      <c r="BT14" s="417"/>
      <c r="BU14" s="417"/>
      <c r="CJ14" s="420"/>
      <c r="CK14" s="420"/>
      <c r="CL14" s="420"/>
      <c r="CM14" s="420"/>
      <c r="CN14" s="420"/>
      <c r="CO14" s="420"/>
      <c r="IE14" s="790" t="str">
        <f>IFERROR(IF($IU14="","",IF($IU14&lt;(((Settings!$C$19/2)*-1)*$IE$8),"Taper","Nose")),"")</f>
        <v/>
      </c>
      <c r="IF14" s="482" t="str">
        <f>IFERROR(IF((((($IW14*COS(RADIANS(180-$IY14)))*COS(RADIANS($IY14)))-(($IX14*SIN(RADIANS(180-$IY14)))*SIN(RADIANS($IY14))))+$IU14)&lt;(((Settings!$C$19+$IF$8)/2)*-1),"Gage",""),"")</f>
        <v/>
      </c>
      <c r="IG14" s="788" t="str">
        <f t="shared" si="65"/>
        <v/>
      </c>
      <c r="IH14" s="674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677" t="str" cm="1">
        <f t="array" ref="II14">IFERROR(IF($IH14&lt;1,$IH14+LARGE((IF($M$9:$M$150="",0,$M$9:$M$150)-MOD(IF($M$9:$M$150="",0,$M$9:$M$150),1)),1),$IH14),"")</f>
        <v/>
      </c>
      <c r="IJ14" s="482" t="str">
        <f t="shared" si="62"/>
        <v/>
      </c>
      <c r="IK14" s="482" t="str">
        <f t="shared" si="20"/>
        <v/>
      </c>
      <c r="IL14" s="670" t="str">
        <f t="shared" si="21"/>
        <v/>
      </c>
      <c r="IM14" s="702"/>
      <c r="IN14" s="5" t="str">
        <f t="shared" si="22"/>
        <v/>
      </c>
      <c r="IO14" s="714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670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05" t="str">
        <f t="shared" si="32"/>
        <v/>
      </c>
      <c r="JA14" s="732"/>
      <c r="JB14" s="729" t="str" cm="1">
        <f t="array" ref="JB14">IF($JA14="","",COUNT(IF(IF($II$9:$II$150="",$IJ$9:$IJ$150,"")=$JA14,$IG$9:$IG$150,"")))</f>
        <v/>
      </c>
      <c r="JC14" s="175" t="str" cm="1">
        <f t="array" ref="JC14">IF($JA14="","",AVERAGE(IF(IF($II$9:$II$150="",$K$9:$K$150,"")=$JA14,$AZ$9:$AZ$150,"")))</f>
        <v/>
      </c>
      <c r="JD14" s="175" t="str" cm="1">
        <f t="array" ref="JD14">IF($JA14="","",_xlfn.STDEV.P(IF(IF($II$9:$II$150="",$K$9:$K$150,"")=$JA14,$AZ$9:$AZ$150,"")))</f>
        <v/>
      </c>
      <c r="JE14" s="665" t="str" cm="1">
        <f t="array" ref="JE14">IF($JA14="","",MAX(IF(IF($II$9:$II$150="",$K$9:$K$150,"")=$JA14,$AZ$9:$AZ$150,"")))</f>
        <v/>
      </c>
    </row>
    <row r="15" spans="1:265" ht="15" customHeight="1" x14ac:dyDescent="0.25">
      <c r="A15" s="75"/>
      <c r="B15" s="578" t="str">
        <f t="shared" si="33"/>
        <v/>
      </c>
      <c r="C15" s="572" t="str">
        <f t="shared" si="10"/>
        <v/>
      </c>
      <c r="D15" s="576" t="str">
        <f t="shared" si="11"/>
        <v/>
      </c>
      <c r="E15" s="580" t="str">
        <f t="shared" si="12"/>
        <v/>
      </c>
      <c r="F15" s="572" t="str">
        <f t="shared" si="13"/>
        <v/>
      </c>
      <c r="G15" s="579" t="str">
        <f t="shared" si="14"/>
        <v/>
      </c>
      <c r="H15" s="580" t="str">
        <f t="shared" si="34"/>
        <v/>
      </c>
      <c r="I15" s="482"/>
      <c r="J15" s="483" t="str">
        <v/>
      </c>
      <c r="K15" s="806" t="str">
        <f t="shared" si="66"/>
        <v/>
      </c>
      <c r="L15" s="814" t="str">
        <f>IF($L14=$JH$22,$JH$29,IF($L14=$JI$22,$JI$29,""))</f>
        <v/>
      </c>
      <c r="M15" s="164" t="str">
        <f t="shared" si="35"/>
        <v/>
      </c>
      <c r="N15" s="575" t="str">
        <f t="shared" si="36"/>
        <v/>
      </c>
      <c r="O15" s="572" t="str">
        <f t="shared" si="37"/>
        <v/>
      </c>
      <c r="P15" s="576" t="str">
        <f t="shared" si="38"/>
        <v/>
      </c>
      <c r="Q15" s="528" t="str">
        <f t="shared" si="63"/>
        <v/>
      </c>
      <c r="R15" s="572" t="str">
        <f t="shared" si="39"/>
        <v/>
      </c>
      <c r="S15" s="577" t="str">
        <f t="shared" si="40"/>
        <v/>
      </c>
      <c r="T15" s="578" t="str">
        <f t="shared" si="41"/>
        <v/>
      </c>
      <c r="U15" s="572" t="str">
        <f t="shared" si="42"/>
        <v/>
      </c>
      <c r="V15" s="579" t="str">
        <f t="shared" si="43"/>
        <v/>
      </c>
      <c r="W15" s="528" t="str">
        <f t="shared" si="67"/>
        <v/>
      </c>
      <c r="X15" s="572" t="str">
        <f t="shared" si="44"/>
        <v/>
      </c>
      <c r="Y15" s="573" t="str">
        <f t="shared" si="15"/>
        <v/>
      </c>
      <c r="Z15" s="575" t="str">
        <f t="shared" si="45"/>
        <v/>
      </c>
      <c r="AA15" s="572" t="str">
        <f t="shared" si="46"/>
        <v/>
      </c>
      <c r="AB15" s="572" t="str">
        <f t="shared" si="47"/>
        <v/>
      </c>
      <c r="AC15" s="579" t="str">
        <f t="shared" si="48"/>
        <v/>
      </c>
      <c r="AD15" s="580" t="str">
        <f t="shared" si="49"/>
        <v/>
      </c>
      <c r="AE15" s="572" t="str">
        <f t="shared" si="50"/>
        <v/>
      </c>
      <c r="AF15" s="576" t="str">
        <f t="shared" si="51"/>
        <v/>
      </c>
      <c r="AG15" s="545" t="str">
        <f t="shared" si="52"/>
        <v/>
      </c>
      <c r="AH15" s="546" t="str">
        <f t="shared" si="53"/>
        <v/>
      </c>
      <c r="AI15" s="528" t="str">
        <f t="shared" si="54"/>
        <v/>
      </c>
      <c r="AJ15" s="529" t="str">
        <f t="shared" si="55"/>
        <v/>
      </c>
      <c r="AK15" s="578" t="str">
        <f t="shared" si="56"/>
        <v/>
      </c>
      <c r="AL15" s="572" t="str">
        <f t="shared" si="57"/>
        <v/>
      </c>
      <c r="AM15" s="577" t="str">
        <f t="shared" si="58"/>
        <v/>
      </c>
      <c r="AN15" s="524" t="str">
        <f t="shared" si="16"/>
        <v/>
      </c>
      <c r="AO15" s="525" t="str">
        <f t="shared" si="17"/>
        <v/>
      </c>
      <c r="AP15" s="528" t="str">
        <f t="shared" si="59"/>
        <v/>
      </c>
      <c r="AQ15" s="529" t="str">
        <f t="shared" si="60"/>
        <v/>
      </c>
      <c r="AS15" s="598" t="str">
        <f t="shared" si="18"/>
        <v/>
      </c>
      <c r="AT15" s="602" t="str">
        <f t="shared" si="61"/>
        <v/>
      </c>
      <c r="AU15" s="515" t="str">
        <f t="shared" si="19"/>
        <v/>
      </c>
      <c r="AV15" s="164" t="str">
        <f t="shared" si="64"/>
        <v/>
      </c>
      <c r="AW15" s="545" t="str">
        <f>IF($M15="","",W15-INDEX(Assy.Model!$W$9:$W$150,MATCH('SN#.Run#'!$M15,Assy.Model!$M$9:$M$150,0)))</f>
        <v/>
      </c>
      <c r="AX15" s="628" t="str">
        <f>IF($M15="","",X15-INDEX(Assy.Model!$X$9:$X$150,MATCH('SN#.Run#'!$M15,Assy.Model!$M$9:$M$150,0)))</f>
        <v/>
      </c>
      <c r="AY15" s="629" t="str">
        <f>IF($M15="","",Y15-INDEX(Assy.Model!$Y$9:$Y$150,MATCH('SN#.Run#'!$M15,Assy.Model!$M$9:$M$150,0)))</f>
        <v/>
      </c>
      <c r="AZ15" s="60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10" t="str">
        <f>IF($M15="","",AN15-INDEX(Assy.Model!$AN$9:$AN$150,MATCH('SN#.Run#'!$M15,Assy.Model!$M$9:$M$150,0)))</f>
        <v/>
      </c>
      <c r="BB15" s="525" t="str">
        <f>IF($M15="","",AO15-INDEX(Assy.Model!$AO$9:$AO$150,MATCH('SN#.Run#'!$M15,Assy.Model!$M$9:$M$150,0)))</f>
        <v/>
      </c>
      <c r="BC15" s="619" t="str">
        <f>IF($M15="","",AP15-INDEX(Assy.Model!$AP$9:$AP$150,MATCH('SN#.Run#'!$M15,Assy.Model!$M$9:$M$150,0)))</f>
        <v/>
      </c>
      <c r="BD15" s="419"/>
      <c r="BE15" s="699"/>
      <c r="BM15" s="417"/>
      <c r="BN15" s="417"/>
      <c r="BO15" s="417"/>
      <c r="BP15" s="417"/>
      <c r="BQ15" s="417"/>
      <c r="BR15" s="417"/>
      <c r="BS15" s="417"/>
      <c r="BT15" s="417"/>
      <c r="BU15" s="417"/>
      <c r="CJ15" s="420"/>
      <c r="CK15" s="420"/>
      <c r="CL15" s="420"/>
      <c r="CM15" s="420"/>
      <c r="CN15" s="420"/>
      <c r="CO15" s="420"/>
      <c r="IE15" s="790" t="str">
        <f>IFERROR(IF($IU15="","",IF($IU15&lt;(((Settings!$C$19/2)*-1)*$IE$8),"Taper","Nose")),"")</f>
        <v/>
      </c>
      <c r="IF15" s="482" t="str">
        <f>IFERROR(IF((((($IW15*COS(RADIANS(180-$IY15)))*COS(RADIANS($IY15)))-(($IX15*SIN(RADIANS(180-$IY15)))*SIN(RADIANS($IY15))))+$IU15)&lt;(((Settings!$C$19+$IF$8)/2)*-1),"Gage",""),"")</f>
        <v/>
      </c>
      <c r="IG15" s="788" t="str">
        <f t="shared" si="65"/>
        <v/>
      </c>
      <c r="IH15" s="674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677" t="str" cm="1">
        <f t="array" ref="II15">IFERROR(IF($IH15&lt;1,$IH15+LARGE((IF($M$9:$M$150="",0,$M$9:$M$150)-MOD(IF($M$9:$M$150="",0,$M$9:$M$150),1)),1),$IH15),"")</f>
        <v/>
      </c>
      <c r="IJ15" s="482" t="str">
        <f t="shared" si="62"/>
        <v/>
      </c>
      <c r="IK15" s="482" t="str">
        <f t="shared" si="20"/>
        <v/>
      </c>
      <c r="IL15" s="670" t="str">
        <f t="shared" si="21"/>
        <v/>
      </c>
      <c r="IM15" s="702"/>
      <c r="IN15" s="5" t="str">
        <f t="shared" si="22"/>
        <v/>
      </c>
      <c r="IO15" s="714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670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05" t="str">
        <f t="shared" si="32"/>
        <v/>
      </c>
      <c r="JA15" s="419" t="s">
        <v>380</v>
      </c>
      <c r="JB15" s="745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19"/>
      <c r="JE15" s="219"/>
    </row>
    <row r="16" spans="1:265" ht="15" customHeight="1" x14ac:dyDescent="0.25">
      <c r="A16" s="75"/>
      <c r="B16" s="578" t="str">
        <f t="shared" si="33"/>
        <v/>
      </c>
      <c r="C16" s="572" t="str">
        <f t="shared" si="10"/>
        <v/>
      </c>
      <c r="D16" s="576" t="str">
        <f t="shared" si="11"/>
        <v/>
      </c>
      <c r="E16" s="580" t="str">
        <f t="shared" si="12"/>
        <v/>
      </c>
      <c r="F16" s="572" t="str">
        <f t="shared" si="13"/>
        <v/>
      </c>
      <c r="G16" s="579" t="str">
        <f t="shared" si="14"/>
        <v/>
      </c>
      <c r="H16" s="580" t="str">
        <f t="shared" si="34"/>
        <v/>
      </c>
      <c r="I16" s="482"/>
      <c r="J16" s="483" t="str">
        <v/>
      </c>
      <c r="K16" s="806" t="str">
        <f t="shared" si="66"/>
        <v/>
      </c>
      <c r="L16" s="309"/>
      <c r="M16" s="164" t="str">
        <f t="shared" si="35"/>
        <v/>
      </c>
      <c r="N16" s="575" t="str">
        <f t="shared" si="36"/>
        <v/>
      </c>
      <c r="O16" s="572" t="str">
        <f t="shared" si="37"/>
        <v/>
      </c>
      <c r="P16" s="576" t="str">
        <f t="shared" si="38"/>
        <v/>
      </c>
      <c r="Q16" s="528" t="str">
        <f t="shared" si="63"/>
        <v/>
      </c>
      <c r="R16" s="572" t="str">
        <f t="shared" si="39"/>
        <v/>
      </c>
      <c r="S16" s="577" t="str">
        <f t="shared" si="40"/>
        <v/>
      </c>
      <c r="T16" s="578" t="str">
        <f t="shared" si="41"/>
        <v/>
      </c>
      <c r="U16" s="572" t="str">
        <f t="shared" si="42"/>
        <v/>
      </c>
      <c r="V16" s="579" t="str">
        <f>IF(M16="","",Y16)</f>
        <v/>
      </c>
      <c r="W16" s="528" t="str">
        <f t="shared" si="67"/>
        <v/>
      </c>
      <c r="X16" s="572" t="str">
        <f t="shared" si="44"/>
        <v/>
      </c>
      <c r="Y16" s="573" t="str">
        <f t="shared" si="15"/>
        <v/>
      </c>
      <c r="Z16" s="575" t="str">
        <f t="shared" si="45"/>
        <v/>
      </c>
      <c r="AA16" s="572" t="str">
        <f t="shared" si="46"/>
        <v/>
      </c>
      <c r="AB16" s="572" t="str">
        <f t="shared" si="47"/>
        <v/>
      </c>
      <c r="AC16" s="579" t="str">
        <f t="shared" si="48"/>
        <v/>
      </c>
      <c r="AD16" s="580" t="str">
        <f t="shared" si="49"/>
        <v/>
      </c>
      <c r="AE16" s="572" t="str">
        <f t="shared" si="50"/>
        <v/>
      </c>
      <c r="AF16" s="576" t="str">
        <f t="shared" si="51"/>
        <v/>
      </c>
      <c r="AG16" s="545" t="str">
        <f t="shared" si="52"/>
        <v/>
      </c>
      <c r="AH16" s="546" t="str">
        <f t="shared" si="53"/>
        <v/>
      </c>
      <c r="AI16" s="528" t="str">
        <f t="shared" si="54"/>
        <v/>
      </c>
      <c r="AJ16" s="529" t="str">
        <f t="shared" si="55"/>
        <v/>
      </c>
      <c r="AK16" s="578" t="str">
        <f>IF(M16="","",(COS(RADIANS((90-$Q$8)-W16))*AD16)+(-SIN(RADIANS((90-$Q$8)-W16))*AE16))</f>
        <v/>
      </c>
      <c r="AL16" s="572" t="str">
        <f t="shared" si="57"/>
        <v/>
      </c>
      <c r="AM16" s="577" t="str">
        <f t="shared" si="58"/>
        <v/>
      </c>
      <c r="AN16" s="524" t="str">
        <f t="shared" si="16"/>
        <v/>
      </c>
      <c r="AO16" s="525" t="str">
        <f t="shared" si="17"/>
        <v/>
      </c>
      <c r="AP16" s="528" t="str">
        <f t="shared" si="59"/>
        <v/>
      </c>
      <c r="AQ16" s="529" t="str">
        <f t="shared" si="60"/>
        <v/>
      </c>
      <c r="AS16" s="598" t="str">
        <f t="shared" si="18"/>
        <v/>
      </c>
      <c r="AT16" s="602" t="str">
        <f t="shared" si="61"/>
        <v/>
      </c>
      <c r="AU16" s="515" t="str">
        <f t="shared" si="19"/>
        <v/>
      </c>
      <c r="AV16" s="164" t="str">
        <f t="shared" si="64"/>
        <v/>
      </c>
      <c r="AW16" s="545" t="str">
        <f>IF($M16="","",W16-INDEX(Assy.Model!$W$9:$W$150,MATCH('SN#.Run#'!$M16,Assy.Model!$M$9:$M$150,0)))</f>
        <v/>
      </c>
      <c r="AX16" s="628" t="str">
        <f>IF($M16="","",X16-INDEX(Assy.Model!$X$9:$X$150,MATCH('SN#.Run#'!$M16,Assy.Model!$M$9:$M$150,0)))</f>
        <v/>
      </c>
      <c r="AY16" s="629" t="str">
        <f>IF($M16="","",Y16-INDEX(Assy.Model!$Y$9:$Y$150,MATCH('SN#.Run#'!$M16,Assy.Model!$M$9:$M$150,0)))</f>
        <v/>
      </c>
      <c r="AZ16" s="60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10" t="str">
        <f>IF($M16="","",AN16-INDEX(Assy.Model!$AN$9:$AN$150,MATCH('SN#.Run#'!$M16,Assy.Model!$M$9:$M$150,0)))</f>
        <v/>
      </c>
      <c r="BB16" s="525" t="str">
        <f>IF($M16="","",AO16-INDEX(Assy.Model!$AO$9:$AO$150,MATCH('SN#.Run#'!$M16,Assy.Model!$M$9:$M$150,0)))</f>
        <v/>
      </c>
      <c r="BC16" s="619" t="str">
        <f>IF($M16="","",AP16-INDEX(Assy.Model!$AP$9:$AP$150,MATCH('SN#.Run#'!$M16,Assy.Model!$M$9:$M$150,0)))</f>
        <v/>
      </c>
      <c r="BD16" s="419"/>
      <c r="BE16" s="699"/>
      <c r="BM16" s="417"/>
      <c r="BN16" s="417"/>
      <c r="BO16" s="417"/>
      <c r="BP16" s="417"/>
      <c r="BQ16" s="417"/>
      <c r="BR16" s="417"/>
      <c r="BS16" s="417"/>
      <c r="BT16" s="417"/>
      <c r="BU16" s="417"/>
      <c r="ID16" s="82"/>
      <c r="IE16" s="790" t="str">
        <f>IFERROR(IF($IU16="","",IF($IU16&lt;(((Settings!$C$19/2)*-1)*$IE$8),"Taper","Nose")),"")</f>
        <v/>
      </c>
      <c r="IF16" s="482" t="str">
        <f>IFERROR(IF((((($IW16*COS(RADIANS(180-$IY16)))*COS(RADIANS($IY16)))-(($IX16*SIN(RADIANS(180-$IY16)))*SIN(RADIANS($IY16))))+$IU16)&lt;(((Settings!$C$19+$IF$8)/2)*-1),"Gage",""),"")</f>
        <v/>
      </c>
      <c r="IG16" s="788" t="str">
        <f t="shared" si="65"/>
        <v/>
      </c>
      <c r="IH16" s="674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677" t="str" cm="1">
        <f t="array" ref="II16">IFERROR(IF($IH16&lt;1,$IH16+LARGE((IF($M$9:$M$150="",0,$M$9:$M$150)-MOD(IF($M$9:$M$150="",0,$M$9:$M$150),1)),1),$IH16),"")</f>
        <v/>
      </c>
      <c r="IJ16" s="482" t="str">
        <f t="shared" si="62"/>
        <v/>
      </c>
      <c r="IK16" s="482" t="str">
        <f t="shared" si="20"/>
        <v/>
      </c>
      <c r="IL16" s="670" t="str">
        <f>IF(ISNUMBER($II16),IFERROR(IF(INDEX($W$9:$W$150,MATCH($II16,$M$9:$M$150,0))&lt;$W16,((INDEX($W$9:$W$150,MATCH($II16,$M$9:$M$150,0))+360)-$W16),INDEX($W$9:$W$150,MATCH($II16,$M$9:$M$150,0))-$W16),""),"")</f>
        <v/>
      </c>
      <c r="IM16" s="702"/>
      <c r="IN16" s="5" t="str">
        <f>IF(ISNUMBER($II16),(($IO16*12)/60)/$AS$3,"")</f>
        <v/>
      </c>
      <c r="IO16" s="714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670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05" t="str">
        <f>IF(ISNUMBER($II16),(-1*$AN16),"")</f>
        <v/>
      </c>
      <c r="JA16" s="31" t="s">
        <v>322</v>
      </c>
      <c r="JB16" s="745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5"/>
      <c r="B17" s="578" t="str">
        <f t="shared" si="33"/>
        <v/>
      </c>
      <c r="C17" s="572" t="str">
        <f t="shared" si="10"/>
        <v/>
      </c>
      <c r="D17" s="576" t="str">
        <f t="shared" si="11"/>
        <v/>
      </c>
      <c r="E17" s="580" t="str">
        <f t="shared" si="12"/>
        <v/>
      </c>
      <c r="F17" s="572" t="str">
        <f t="shared" si="13"/>
        <v/>
      </c>
      <c r="G17" s="579" t="str">
        <f t="shared" si="14"/>
        <v/>
      </c>
      <c r="H17" s="580" t="str">
        <f t="shared" si="34"/>
        <v/>
      </c>
      <c r="I17" s="482"/>
      <c r="J17" s="483" t="str">
        <v/>
      </c>
      <c r="K17" s="806" t="str">
        <f t="shared" si="66"/>
        <v/>
      </c>
      <c r="L17" s="31"/>
      <c r="M17" s="164" t="str">
        <f t="shared" si="35"/>
        <v/>
      </c>
      <c r="N17" s="575" t="str">
        <f t="shared" si="36"/>
        <v/>
      </c>
      <c r="O17" s="572" t="str">
        <f t="shared" si="37"/>
        <v/>
      </c>
      <c r="P17" s="576" t="str">
        <f t="shared" si="38"/>
        <v/>
      </c>
      <c r="Q17" s="528" t="str">
        <f t="shared" si="63"/>
        <v/>
      </c>
      <c r="R17" s="572" t="str">
        <f t="shared" si="39"/>
        <v/>
      </c>
      <c r="S17" s="577" t="str">
        <f t="shared" si="40"/>
        <v/>
      </c>
      <c r="T17" s="578" t="str">
        <f t="shared" si="41"/>
        <v/>
      </c>
      <c r="U17" s="572" t="str">
        <f t="shared" si="42"/>
        <v/>
      </c>
      <c r="V17" s="579" t="str">
        <f>IF(M17="","",Y17)</f>
        <v/>
      </c>
      <c r="W17" s="528" t="str">
        <f t="shared" si="67"/>
        <v/>
      </c>
      <c r="X17" s="572" t="str">
        <f t="shared" si="44"/>
        <v/>
      </c>
      <c r="Y17" s="573" t="str">
        <f t="shared" si="15"/>
        <v/>
      </c>
      <c r="Z17" s="575" t="str">
        <f>IF(M17="","",-E17)</f>
        <v/>
      </c>
      <c r="AA17" s="572" t="str">
        <f t="shared" si="46"/>
        <v/>
      </c>
      <c r="AB17" s="572" t="str">
        <f>IF(M17="","",-G17)</f>
        <v/>
      </c>
      <c r="AC17" s="579" t="str">
        <f t="shared" si="48"/>
        <v/>
      </c>
      <c r="AD17" s="580" t="str">
        <f t="shared" si="49"/>
        <v/>
      </c>
      <c r="AE17" s="572" t="str">
        <f t="shared" si="50"/>
        <v/>
      </c>
      <c r="AF17" s="576" t="str">
        <f t="shared" si="51"/>
        <v/>
      </c>
      <c r="AG17" s="545" t="str">
        <f t="shared" si="52"/>
        <v/>
      </c>
      <c r="AH17" s="546" t="str">
        <f t="shared" si="53"/>
        <v/>
      </c>
      <c r="AI17" s="528" t="str">
        <f t="shared" si="54"/>
        <v/>
      </c>
      <c r="AJ17" s="529" t="str">
        <f t="shared" si="55"/>
        <v/>
      </c>
      <c r="AK17" s="578" t="str">
        <f t="shared" si="56"/>
        <v/>
      </c>
      <c r="AL17" s="572" t="str">
        <f t="shared" si="57"/>
        <v/>
      </c>
      <c r="AM17" s="577" t="str">
        <f t="shared" si="58"/>
        <v/>
      </c>
      <c r="AN17" s="524" t="str">
        <f t="shared" si="16"/>
        <v/>
      </c>
      <c r="AO17" s="525" t="str">
        <f t="shared" si="17"/>
        <v/>
      </c>
      <c r="AP17" s="528" t="str">
        <f t="shared" si="59"/>
        <v/>
      </c>
      <c r="AQ17" s="529" t="str">
        <f t="shared" si="60"/>
        <v/>
      </c>
      <c r="AS17" s="598" t="str">
        <f t="shared" si="18"/>
        <v/>
      </c>
      <c r="AT17" s="602" t="str">
        <f t="shared" si="61"/>
        <v/>
      </c>
      <c r="AU17" s="515" t="str">
        <f t="shared" si="19"/>
        <v/>
      </c>
      <c r="AV17" s="164" t="str">
        <f t="shared" si="64"/>
        <v/>
      </c>
      <c r="AW17" s="545" t="str">
        <f>IF($M17="","",W17-INDEX(Assy.Model!$W$9:$W$150,MATCH('SN#.Run#'!$M17,Assy.Model!$M$9:$M$150,0)))</f>
        <v/>
      </c>
      <c r="AX17" s="628" t="str">
        <f>IF($M17="","",X17-INDEX(Assy.Model!$X$9:$X$150,MATCH('SN#.Run#'!$M17,Assy.Model!$M$9:$M$150,0)))</f>
        <v/>
      </c>
      <c r="AY17" s="629" t="str">
        <f>IF($M17="","",Y17-INDEX(Assy.Model!$Y$9:$Y$150,MATCH('SN#.Run#'!$M17,Assy.Model!$M$9:$M$150,0)))</f>
        <v/>
      </c>
      <c r="AZ17" s="60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10" t="str">
        <f>IF($M17="","",AN17-INDEX(Assy.Model!$AN$9:$AN$150,MATCH('SN#.Run#'!$M17,Assy.Model!$M$9:$M$150,0)))</f>
        <v/>
      </c>
      <c r="BB17" s="525" t="str">
        <f>IF($M17="","",AO17-INDEX(Assy.Model!$AO$9:$AO$150,MATCH('SN#.Run#'!$M17,Assy.Model!$M$9:$M$150,0)))</f>
        <v/>
      </c>
      <c r="BC17" s="619" t="str">
        <f>IF($M17="","",AP17-INDEX(Assy.Model!$AP$9:$AP$150,MATCH('SN#.Run#'!$M17,Assy.Model!$M$9:$M$150,0)))</f>
        <v/>
      </c>
      <c r="BD17" s="419"/>
      <c r="BE17" s="699"/>
      <c r="BM17" s="417"/>
      <c r="BN17" s="417"/>
      <c r="BO17" s="417"/>
      <c r="BP17" s="417"/>
      <c r="BQ17" s="417"/>
      <c r="BR17" s="417"/>
      <c r="BS17" s="417"/>
      <c r="BT17" s="417"/>
      <c r="BU17" s="417"/>
      <c r="IE17" s="790" t="str">
        <f>IFERROR(IF($IU17="","",IF($IU17&lt;(((Settings!$C$19/2)*-1)*$IE$8),"Taper","Nose")),"")</f>
        <v/>
      </c>
      <c r="IF17" s="482" t="str">
        <f>IFERROR(IF((((($IW17*COS(RADIANS(180-$IY17)))*COS(RADIANS($IY17)))-(($IX17*SIN(RADIANS(180-$IY17)))*SIN(RADIANS($IY17))))+$IU17)&lt;(((Settings!$C$19+$IF$8)/2)*-1),"Gage",""),"")</f>
        <v/>
      </c>
      <c r="IG17" s="788" t="str">
        <f t="shared" si="65"/>
        <v/>
      </c>
      <c r="IH17" s="674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677" t="str" cm="1">
        <f t="array" ref="II17">IFERROR(IF($IH17&lt;1,$IH17+LARGE((IF($M$9:$M$150="",0,$M$9:$M$150)-MOD(IF($M$9:$M$150="",0,$M$9:$M$150),1)),1),$IH17),"")</f>
        <v/>
      </c>
      <c r="IJ17" s="482" t="str">
        <f t="shared" si="62"/>
        <v/>
      </c>
      <c r="IK17" s="482" t="str">
        <f t="shared" si="20"/>
        <v/>
      </c>
      <c r="IL17" s="670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02"/>
      <c r="IN17" s="5" t="str">
        <f t="shared" ref="IN17:IN80" si="69">IF(ISNUMBER($II17),(($IO17*12)/60)/$AS$3,"")</f>
        <v/>
      </c>
      <c r="IO17" s="714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670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05" t="str">
        <f t="shared" ref="IY17:IY80" si="77">IF(ISNUMBER($II17),(-1*$AN17),"")</f>
        <v/>
      </c>
    </row>
    <row r="18" spans="1:269" ht="15" customHeight="1" x14ac:dyDescent="0.25">
      <c r="A18" s="75"/>
      <c r="B18" s="578" t="str">
        <f t="shared" si="33"/>
        <v/>
      </c>
      <c r="C18" s="572" t="str">
        <f t="shared" si="10"/>
        <v/>
      </c>
      <c r="D18" s="576" t="str">
        <f t="shared" si="11"/>
        <v/>
      </c>
      <c r="E18" s="580" t="str">
        <f t="shared" si="12"/>
        <v/>
      </c>
      <c r="F18" s="572" t="str">
        <f t="shared" si="13"/>
        <v/>
      </c>
      <c r="G18" s="579" t="str">
        <f t="shared" si="14"/>
        <v/>
      </c>
      <c r="H18" s="580" t="str">
        <f t="shared" si="34"/>
        <v/>
      </c>
      <c r="I18" s="482"/>
      <c r="J18" s="483" t="str">
        <v/>
      </c>
      <c r="K18" s="806" t="str">
        <f t="shared" si="66"/>
        <v/>
      </c>
      <c r="L18" s="720" t="s">
        <v>322</v>
      </c>
      <c r="M18" s="164" t="str">
        <f t="shared" si="35"/>
        <v/>
      </c>
      <c r="N18" s="575" t="str">
        <f t="shared" si="36"/>
        <v/>
      </c>
      <c r="O18" s="572" t="str">
        <f t="shared" si="37"/>
        <v/>
      </c>
      <c r="P18" s="576" t="str">
        <f t="shared" si="38"/>
        <v/>
      </c>
      <c r="Q18" s="528" t="str">
        <f t="shared" si="63"/>
        <v/>
      </c>
      <c r="R18" s="572" t="str">
        <f t="shared" si="39"/>
        <v/>
      </c>
      <c r="S18" s="577" t="str">
        <f>IF(M18="","",P18)</f>
        <v/>
      </c>
      <c r="T18" s="578" t="str">
        <f t="shared" si="41"/>
        <v/>
      </c>
      <c r="U18" s="572" t="str">
        <f t="shared" si="42"/>
        <v/>
      </c>
      <c r="V18" s="579" t="str">
        <f>IF(M18="","",Y18)</f>
        <v/>
      </c>
      <c r="W18" s="528" t="str">
        <f t="shared" si="67"/>
        <v/>
      </c>
      <c r="X18" s="572" t="str">
        <f t="shared" si="44"/>
        <v/>
      </c>
      <c r="Y18" s="573" t="str">
        <f t="shared" si="15"/>
        <v/>
      </c>
      <c r="Z18" s="575" t="str">
        <f t="shared" si="45"/>
        <v/>
      </c>
      <c r="AA18" s="572" t="str">
        <f t="shared" si="46"/>
        <v/>
      </c>
      <c r="AB18" s="572" t="str">
        <f t="shared" si="47"/>
        <v/>
      </c>
      <c r="AC18" s="579" t="str">
        <f t="shared" si="48"/>
        <v/>
      </c>
      <c r="AD18" s="580" t="str">
        <f t="shared" si="49"/>
        <v/>
      </c>
      <c r="AE18" s="572" t="str">
        <f t="shared" si="50"/>
        <v/>
      </c>
      <c r="AF18" s="576" t="str">
        <f t="shared" si="51"/>
        <v/>
      </c>
      <c r="AG18" s="545" t="str">
        <f t="shared" si="52"/>
        <v/>
      </c>
      <c r="AH18" s="546" t="str">
        <f t="shared" si="53"/>
        <v/>
      </c>
      <c r="AI18" s="528" t="str">
        <f t="shared" si="54"/>
        <v/>
      </c>
      <c r="AJ18" s="529" t="str">
        <f t="shared" si="55"/>
        <v/>
      </c>
      <c r="AK18" s="578" t="str">
        <f t="shared" si="56"/>
        <v/>
      </c>
      <c r="AL18" s="572" t="str">
        <f t="shared" si="57"/>
        <v/>
      </c>
      <c r="AM18" s="577" t="str">
        <f t="shared" si="58"/>
        <v/>
      </c>
      <c r="AN18" s="524" t="str">
        <f t="shared" si="16"/>
        <v/>
      </c>
      <c r="AO18" s="525" t="str">
        <f t="shared" si="17"/>
        <v/>
      </c>
      <c r="AP18" s="528" t="str">
        <f t="shared" si="59"/>
        <v/>
      </c>
      <c r="AQ18" s="529" t="str">
        <f t="shared" si="60"/>
        <v/>
      </c>
      <c r="AS18" s="598" t="str">
        <f t="shared" si="18"/>
        <v/>
      </c>
      <c r="AT18" s="602" t="str">
        <f t="shared" si="61"/>
        <v/>
      </c>
      <c r="AU18" s="515" t="str">
        <f t="shared" si="19"/>
        <v/>
      </c>
      <c r="AV18" s="164" t="str">
        <f t="shared" si="64"/>
        <v/>
      </c>
      <c r="AW18" s="545" t="str">
        <f>IF($M18="","",W18-INDEX(Assy.Model!$W$9:$W$150,MATCH('SN#.Run#'!$M18,Assy.Model!$M$9:$M$150,0)))</f>
        <v/>
      </c>
      <c r="AX18" s="628" t="str">
        <f>IF($M18="","",X18-INDEX(Assy.Model!$X$9:$X$150,MATCH('SN#.Run#'!$M18,Assy.Model!$M$9:$M$150,0)))</f>
        <v/>
      </c>
      <c r="AY18" s="629" t="str">
        <f>IF($M18="","",Y18-INDEX(Assy.Model!$Y$9:$Y$150,MATCH('SN#.Run#'!$M18,Assy.Model!$M$9:$M$150,0)))</f>
        <v/>
      </c>
      <c r="AZ18" s="60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10" t="str">
        <f>IF($M18="","",AN18-INDEX(Assy.Model!$AN$9:$AN$150,MATCH('SN#.Run#'!$M18,Assy.Model!$M$9:$M$150,0)))</f>
        <v/>
      </c>
      <c r="BB18" s="525" t="str">
        <f>IF($M18="","",AO18-INDEX(Assy.Model!$AO$9:$AO$150,MATCH('SN#.Run#'!$M18,Assy.Model!$M$9:$M$150,0)))</f>
        <v/>
      </c>
      <c r="BC18" s="619" t="str">
        <f>IF($M18="","",AP18-INDEX(Assy.Model!$AP$9:$AP$150,MATCH('SN#.Run#'!$M18,Assy.Model!$M$9:$M$150,0)))</f>
        <v/>
      </c>
      <c r="BD18" s="419"/>
      <c r="BE18" s="699"/>
      <c r="BM18" s="417"/>
      <c r="BN18" s="417"/>
      <c r="BO18" s="417"/>
      <c r="BP18" s="417"/>
      <c r="BQ18" s="417"/>
      <c r="BR18" s="417"/>
      <c r="BS18" s="417"/>
      <c r="BT18" s="417"/>
      <c r="BU18" s="417"/>
      <c r="IE18" s="790" t="str">
        <f>IFERROR(IF($IU18="","",IF($IU18&lt;(((Settings!$C$19/2)*-1)*$IE$8),"Taper","Nose")),"")</f>
        <v/>
      </c>
      <c r="IF18" s="482" t="str">
        <f>IFERROR(IF((((($IW18*COS(RADIANS(180-$IY18)))*COS(RADIANS($IY18)))-(($IX18*SIN(RADIANS(180-$IY18)))*SIN(RADIANS($IY18))))+$IU18)&lt;(((Settings!$C$19+$IF$8)/2)*-1),"Gage",""),"")</f>
        <v/>
      </c>
      <c r="IG18" s="788" t="str">
        <f t="shared" si="65"/>
        <v/>
      </c>
      <c r="IH18" s="674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677" t="str" cm="1">
        <f t="array" ref="II18">IFERROR(IF($IH18&lt;1,$IH18+LARGE((IF($M$9:$M$150="",0,$M$9:$M$150)-MOD(IF($M$9:$M$150="",0,$M$9:$M$150),1)),1),$IH18),"")</f>
        <v/>
      </c>
      <c r="IJ18" s="482" t="str">
        <f t="shared" si="62"/>
        <v/>
      </c>
      <c r="IK18" s="482" t="str">
        <f t="shared" si="20"/>
        <v/>
      </c>
      <c r="IL18" s="670" t="str">
        <f t="shared" si="68"/>
        <v/>
      </c>
      <c r="IM18" s="702"/>
      <c r="IN18" s="5" t="str">
        <f t="shared" si="69"/>
        <v/>
      </c>
      <c r="IO18" s="714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670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05" t="str">
        <f t="shared" si="77"/>
        <v/>
      </c>
    </row>
    <row r="19" spans="1:269" ht="15" customHeight="1" thickBot="1" x14ac:dyDescent="0.3">
      <c r="A19" s="75"/>
      <c r="B19" s="578" t="str">
        <f t="shared" si="33"/>
        <v/>
      </c>
      <c r="C19" s="572" t="str">
        <f t="shared" si="10"/>
        <v/>
      </c>
      <c r="D19" s="576" t="str">
        <f t="shared" si="11"/>
        <v/>
      </c>
      <c r="E19" s="580" t="str">
        <f t="shared" si="12"/>
        <v/>
      </c>
      <c r="F19" s="572" t="str">
        <f t="shared" si="13"/>
        <v/>
      </c>
      <c r="G19" s="579" t="str">
        <f t="shared" si="14"/>
        <v/>
      </c>
      <c r="H19" s="580" t="str">
        <f t="shared" si="34"/>
        <v/>
      </c>
      <c r="I19" s="482"/>
      <c r="J19" s="483" t="str">
        <v/>
      </c>
      <c r="K19" s="806" t="str">
        <f t="shared" si="66"/>
        <v/>
      </c>
      <c r="L19" s="718" t="s">
        <v>357</v>
      </c>
      <c r="M19" s="164" t="str">
        <f t="shared" si="35"/>
        <v/>
      </c>
      <c r="N19" s="575" t="str">
        <f t="shared" si="36"/>
        <v/>
      </c>
      <c r="O19" s="572" t="str">
        <f t="shared" si="37"/>
        <v/>
      </c>
      <c r="P19" s="576" t="str">
        <f t="shared" si="38"/>
        <v/>
      </c>
      <c r="Q19" s="528" t="str">
        <f t="shared" si="63"/>
        <v/>
      </c>
      <c r="R19" s="572" t="str">
        <f t="shared" si="39"/>
        <v/>
      </c>
      <c r="S19" s="577" t="str">
        <f t="shared" si="40"/>
        <v/>
      </c>
      <c r="T19" s="578" t="str">
        <f t="shared" si="41"/>
        <v/>
      </c>
      <c r="U19" s="572" t="str">
        <f t="shared" si="42"/>
        <v/>
      </c>
      <c r="V19" s="579" t="str">
        <f>IF(M19="","",Y19)</f>
        <v/>
      </c>
      <c r="W19" s="528" t="str">
        <f t="shared" si="67"/>
        <v/>
      </c>
      <c r="X19" s="572" t="str">
        <f t="shared" si="44"/>
        <v/>
      </c>
      <c r="Y19" s="573" t="str">
        <f t="shared" si="15"/>
        <v/>
      </c>
      <c r="Z19" s="575" t="str">
        <f t="shared" si="45"/>
        <v/>
      </c>
      <c r="AA19" s="572" t="str">
        <f t="shared" si="46"/>
        <v/>
      </c>
      <c r="AB19" s="572" t="str">
        <f t="shared" si="47"/>
        <v/>
      </c>
      <c r="AC19" s="579" t="str">
        <f t="shared" si="48"/>
        <v/>
      </c>
      <c r="AD19" s="580" t="str">
        <f t="shared" si="49"/>
        <v/>
      </c>
      <c r="AE19" s="572" t="str">
        <f t="shared" si="50"/>
        <v/>
      </c>
      <c r="AF19" s="576" t="str">
        <f t="shared" si="51"/>
        <v/>
      </c>
      <c r="AG19" s="545" t="str">
        <f t="shared" si="52"/>
        <v/>
      </c>
      <c r="AH19" s="546" t="str">
        <f t="shared" si="53"/>
        <v/>
      </c>
      <c r="AI19" s="528" t="str">
        <f t="shared" si="54"/>
        <v/>
      </c>
      <c r="AJ19" s="529" t="str">
        <f t="shared" si="55"/>
        <v/>
      </c>
      <c r="AK19" s="578" t="str">
        <f t="shared" si="56"/>
        <v/>
      </c>
      <c r="AL19" s="572" t="str">
        <f t="shared" si="57"/>
        <v/>
      </c>
      <c r="AM19" s="577" t="str">
        <f t="shared" si="58"/>
        <v/>
      </c>
      <c r="AN19" s="524" t="str">
        <f t="shared" si="16"/>
        <v/>
      </c>
      <c r="AO19" s="525" t="str">
        <f t="shared" si="17"/>
        <v/>
      </c>
      <c r="AP19" s="528" t="str">
        <f t="shared" si="59"/>
        <v/>
      </c>
      <c r="AQ19" s="529" t="str">
        <f t="shared" si="60"/>
        <v/>
      </c>
      <c r="AS19" s="598" t="str">
        <f t="shared" si="18"/>
        <v/>
      </c>
      <c r="AT19" s="602" t="str">
        <f t="shared" si="61"/>
        <v/>
      </c>
      <c r="AU19" s="515" t="str">
        <f t="shared" si="19"/>
        <v/>
      </c>
      <c r="AV19" s="164" t="str">
        <f t="shared" si="64"/>
        <v/>
      </c>
      <c r="AW19" s="545" t="str">
        <f>IF($M19="","",W19-INDEX(Assy.Model!$W$9:$W$150,MATCH('SN#.Run#'!$M19,Assy.Model!$M$9:$M$150,0)))</f>
        <v/>
      </c>
      <c r="AX19" s="628" t="str">
        <f>IF($M19="","",X19-INDEX(Assy.Model!$X$9:$X$150,MATCH('SN#.Run#'!$M19,Assy.Model!$M$9:$M$150,0)))</f>
        <v/>
      </c>
      <c r="AY19" s="629" t="str">
        <f>IF($M19="","",Y19-INDEX(Assy.Model!$Y$9:$Y$150,MATCH('SN#.Run#'!$M19,Assy.Model!$M$9:$M$150,0)))</f>
        <v/>
      </c>
      <c r="AZ19" s="60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10" t="str">
        <f>IF($M19="","",AN19-INDEX(Assy.Model!$AN$9:$AN$150,MATCH('SN#.Run#'!$M19,Assy.Model!$M$9:$M$150,0)))</f>
        <v/>
      </c>
      <c r="BB19" s="525" t="str">
        <f>IF($M19="","",AO19-INDEX(Assy.Model!$AO$9:$AO$150,MATCH('SN#.Run#'!$M19,Assy.Model!$M$9:$M$150,0)))</f>
        <v/>
      </c>
      <c r="BC19" s="619" t="str">
        <f>IF($M19="","",AP19-INDEX(Assy.Model!$AP$9:$AP$150,MATCH('SN#.Run#'!$M19,Assy.Model!$M$9:$M$150,0)))</f>
        <v/>
      </c>
      <c r="BD19" s="419"/>
      <c r="BE19" s="699"/>
      <c r="BM19" s="417"/>
      <c r="BN19" s="417"/>
      <c r="BO19" s="417"/>
      <c r="BP19" s="417"/>
      <c r="BQ19" s="417"/>
      <c r="BR19" s="417"/>
      <c r="BS19" s="417"/>
      <c r="BT19" s="417"/>
      <c r="BU19" s="417"/>
      <c r="IE19" s="790" t="str">
        <f>IFERROR(IF($IU19="","",IF($IU19&lt;(((Settings!$C$19/2)*-1)*$IE$8),"Taper","Nose")),"")</f>
        <v/>
      </c>
      <c r="IF19" s="482" t="str">
        <f>IFERROR(IF((((($IW19*COS(RADIANS(180-$IY19)))*COS(RADIANS($IY19)))-(($IX19*SIN(RADIANS(180-$IY19)))*SIN(RADIANS($IY19))))+$IU19)&lt;(((Settings!$C$19+$IF$8)/2)*-1),"Gage",""),"")</f>
        <v/>
      </c>
      <c r="IG19" s="788" t="str">
        <f t="shared" si="65"/>
        <v/>
      </c>
      <c r="IH19" s="674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677" t="str" cm="1">
        <f t="array" ref="II19">IFERROR(IF($IH19&lt;1,$IH19+LARGE((IF($M$9:$M$150="",0,$M$9:$M$150)-MOD(IF($M$9:$M$150="",0,$M$9:$M$150),1)),1),$IH19),"")</f>
        <v/>
      </c>
      <c r="IJ19" s="482" t="str">
        <f t="shared" si="62"/>
        <v/>
      </c>
      <c r="IK19" s="482" t="str">
        <f t="shared" si="20"/>
        <v/>
      </c>
      <c r="IL19" s="670" t="str">
        <f t="shared" si="68"/>
        <v/>
      </c>
      <c r="IM19" s="702"/>
      <c r="IN19" s="5" t="str">
        <f t="shared" si="69"/>
        <v/>
      </c>
      <c r="IO19" s="714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670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05" t="str">
        <f t="shared" si="77"/>
        <v/>
      </c>
      <c r="JB19" s="1089" t="s">
        <v>356</v>
      </c>
      <c r="JC19" s="1090"/>
      <c r="JD19" s="1090"/>
      <c r="JE19" s="1090"/>
      <c r="JF19" s="1090"/>
      <c r="JG19" s="1090"/>
      <c r="JH19" s="1090"/>
      <c r="JI19" s="1091"/>
    </row>
    <row r="20" spans="1:269" ht="15" customHeight="1" x14ac:dyDescent="0.25">
      <c r="A20" s="75"/>
      <c r="B20" s="578" t="str">
        <f t="shared" si="33"/>
        <v/>
      </c>
      <c r="C20" s="572" t="str">
        <f t="shared" si="10"/>
        <v/>
      </c>
      <c r="D20" s="576" t="str">
        <f t="shared" si="11"/>
        <v/>
      </c>
      <c r="E20" s="580" t="str">
        <f t="shared" si="12"/>
        <v/>
      </c>
      <c r="F20" s="572" t="str">
        <f t="shared" si="13"/>
        <v/>
      </c>
      <c r="G20" s="579" t="str">
        <f t="shared" si="14"/>
        <v/>
      </c>
      <c r="H20" s="580" t="str">
        <f t="shared" si="34"/>
        <v/>
      </c>
      <c r="I20" s="482"/>
      <c r="J20" s="483" t="str">
        <v/>
      </c>
      <c r="K20" s="806" t="str">
        <f t="shared" si="66"/>
        <v/>
      </c>
      <c r="L20" s="717" t="str">
        <f>IF($L19=$JH$22,$JH$30,IF($L19=$JI$22,$JI$30,""))</f>
        <v/>
      </c>
      <c r="M20" s="164" t="str">
        <f t="shared" si="35"/>
        <v/>
      </c>
      <c r="N20" s="575" t="str">
        <f t="shared" si="36"/>
        <v/>
      </c>
      <c r="O20" s="572" t="str">
        <f t="shared" si="37"/>
        <v/>
      </c>
      <c r="P20" s="576" t="str">
        <f t="shared" si="38"/>
        <v/>
      </c>
      <c r="Q20" s="528" t="str">
        <f t="shared" si="63"/>
        <v/>
      </c>
      <c r="R20" s="572" t="str">
        <f t="shared" si="39"/>
        <v/>
      </c>
      <c r="S20" s="577" t="str">
        <f t="shared" si="40"/>
        <v/>
      </c>
      <c r="T20" s="578" t="str">
        <f t="shared" si="41"/>
        <v/>
      </c>
      <c r="U20" s="572" t="str">
        <f t="shared" si="42"/>
        <v/>
      </c>
      <c r="V20" s="579" t="str">
        <f t="shared" si="43"/>
        <v/>
      </c>
      <c r="W20" s="528" t="str">
        <f t="shared" si="67"/>
        <v/>
      </c>
      <c r="X20" s="572" t="str">
        <f t="shared" si="44"/>
        <v/>
      </c>
      <c r="Y20" s="573" t="str">
        <f t="shared" si="15"/>
        <v/>
      </c>
      <c r="Z20" s="575" t="str">
        <f t="shared" si="45"/>
        <v/>
      </c>
      <c r="AA20" s="572" t="str">
        <f t="shared" si="46"/>
        <v/>
      </c>
      <c r="AB20" s="572" t="str">
        <f t="shared" si="47"/>
        <v/>
      </c>
      <c r="AC20" s="579" t="str">
        <f t="shared" si="48"/>
        <v/>
      </c>
      <c r="AD20" s="580" t="str">
        <f t="shared" si="49"/>
        <v/>
      </c>
      <c r="AE20" s="572" t="str">
        <f t="shared" si="50"/>
        <v/>
      </c>
      <c r="AF20" s="576" t="str">
        <f t="shared" si="51"/>
        <v/>
      </c>
      <c r="AG20" s="545" t="str">
        <f t="shared" si="52"/>
        <v/>
      </c>
      <c r="AH20" s="546" t="str">
        <f t="shared" si="53"/>
        <v/>
      </c>
      <c r="AI20" s="528" t="str">
        <f t="shared" si="54"/>
        <v/>
      </c>
      <c r="AJ20" s="529" t="str">
        <f t="shared" si="55"/>
        <v/>
      </c>
      <c r="AK20" s="578" t="str">
        <f t="shared" si="56"/>
        <v/>
      </c>
      <c r="AL20" s="572" t="str">
        <f t="shared" si="57"/>
        <v/>
      </c>
      <c r="AM20" s="577" t="str">
        <f t="shared" si="58"/>
        <v/>
      </c>
      <c r="AN20" s="524" t="str">
        <f t="shared" si="16"/>
        <v/>
      </c>
      <c r="AO20" s="525" t="str">
        <f t="shared" si="17"/>
        <v/>
      </c>
      <c r="AP20" s="528" t="str">
        <f t="shared" si="59"/>
        <v/>
      </c>
      <c r="AQ20" s="529" t="str">
        <f t="shared" si="60"/>
        <v/>
      </c>
      <c r="AS20" s="598" t="str">
        <f t="shared" si="18"/>
        <v/>
      </c>
      <c r="AT20" s="602" t="str">
        <f t="shared" si="61"/>
        <v/>
      </c>
      <c r="AU20" s="515" t="str">
        <f t="shared" si="19"/>
        <v/>
      </c>
      <c r="AV20" s="164" t="str">
        <f t="shared" si="64"/>
        <v/>
      </c>
      <c r="AW20" s="545" t="str">
        <f>IF($M20="","",W20-INDEX(Assy.Model!$W$9:$W$150,MATCH('SN#.Run#'!$M20,Assy.Model!$M$9:$M$150,0)))</f>
        <v/>
      </c>
      <c r="AX20" s="628" t="str">
        <f>IF($M20="","",X20-INDEX(Assy.Model!$X$9:$X$150,MATCH('SN#.Run#'!$M20,Assy.Model!$M$9:$M$150,0)))</f>
        <v/>
      </c>
      <c r="AY20" s="629" t="str">
        <f>IF($M20="","",Y20-INDEX(Assy.Model!$Y$9:$Y$150,MATCH('SN#.Run#'!$M20,Assy.Model!$M$9:$M$150,0)))</f>
        <v/>
      </c>
      <c r="AZ20" s="60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10" t="str">
        <f>IF($M20="","",AN20-INDEX(Assy.Model!$AN$9:$AN$150,MATCH('SN#.Run#'!$M20,Assy.Model!$M$9:$M$150,0)))</f>
        <v/>
      </c>
      <c r="BB20" s="525" t="str">
        <f>IF($M20="","",AO20-INDEX(Assy.Model!$AO$9:$AO$150,MATCH('SN#.Run#'!$M20,Assy.Model!$M$9:$M$150,0)))</f>
        <v/>
      </c>
      <c r="BC20" s="619" t="str">
        <f>IF($M20="","",AP20-INDEX(Assy.Model!$AP$9:$AP$150,MATCH('SN#.Run#'!$M20,Assy.Model!$M$9:$M$150,0)))</f>
        <v/>
      </c>
      <c r="BD20" s="419"/>
      <c r="BE20" s="699"/>
      <c r="BM20" s="417"/>
      <c r="BN20" s="417"/>
      <c r="BO20" s="417"/>
      <c r="BP20" s="417"/>
      <c r="BQ20" s="417"/>
      <c r="BR20" s="417"/>
      <c r="BS20" s="417"/>
      <c r="BT20" s="417"/>
      <c r="BU20" s="417"/>
      <c r="IE20" s="790" t="str">
        <f>IFERROR(IF($IU20="","",IF($IU20&lt;(((Settings!$C$19/2)*-1)*$IE$8),"Taper","Nose")),"")</f>
        <v/>
      </c>
      <c r="IF20" s="482" t="str">
        <f>IFERROR(IF((((($IW20*COS(RADIANS(180-$IY20)))*COS(RADIANS($IY20)))-(($IX20*SIN(RADIANS(180-$IY20)))*SIN(RADIANS($IY20))))+$IU20)&lt;(((Settings!$C$19+$IF$8)/2)*-1),"Gage",""),"")</f>
        <v/>
      </c>
      <c r="IG20" s="788" t="str">
        <f t="shared" si="65"/>
        <v/>
      </c>
      <c r="IH20" s="674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677" t="str" cm="1">
        <f t="array" ref="II20">IFERROR(IF($IH20&lt;1,$IH20+LARGE((IF($M$9:$M$150="",0,$M$9:$M$150)-MOD(IF($M$9:$M$150="",0,$M$9:$M$150),1)),1),$IH20),"")</f>
        <v/>
      </c>
      <c r="IJ20" s="482" t="str">
        <f t="shared" si="62"/>
        <v/>
      </c>
      <c r="IK20" s="482" t="str">
        <f t="shared" si="20"/>
        <v/>
      </c>
      <c r="IL20" s="670" t="str">
        <f t="shared" si="68"/>
        <v/>
      </c>
      <c r="IM20" s="702"/>
      <c r="IN20" s="5" t="str">
        <f t="shared" si="69"/>
        <v/>
      </c>
      <c r="IO20" s="714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670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05" t="str">
        <f t="shared" si="77"/>
        <v/>
      </c>
      <c r="JA20" s="31"/>
      <c r="JB20" s="1092" t="s">
        <v>360</v>
      </c>
      <c r="JC20" s="1093"/>
      <c r="JD20" s="1093"/>
      <c r="JE20" s="1093"/>
      <c r="JF20" s="1306" t="s">
        <v>361</v>
      </c>
      <c r="JG20" s="1307"/>
      <c r="JH20" s="1307"/>
      <c r="JI20" s="1308"/>
    </row>
    <row r="21" spans="1:269" ht="15" customHeight="1" x14ac:dyDescent="0.25">
      <c r="A21" s="75"/>
      <c r="B21" s="578" t="str">
        <f t="shared" si="33"/>
        <v/>
      </c>
      <c r="C21" s="572" t="str">
        <f t="shared" si="10"/>
        <v/>
      </c>
      <c r="D21" s="576" t="str">
        <f t="shared" si="11"/>
        <v/>
      </c>
      <c r="E21" s="580" t="str">
        <f t="shared" si="12"/>
        <v/>
      </c>
      <c r="F21" s="572" t="str">
        <f t="shared" si="13"/>
        <v/>
      </c>
      <c r="G21" s="579" t="str">
        <f t="shared" si="14"/>
        <v/>
      </c>
      <c r="H21" s="580" t="str">
        <f t="shared" si="34"/>
        <v/>
      </c>
      <c r="I21" s="482"/>
      <c r="J21" s="483" t="str">
        <v/>
      </c>
      <c r="K21" s="806" t="str">
        <f>IF(INDEX(N$164:N$305,MATCH($M21,$M$164:$M$305,0))=0,"",INDEX(N$164:N$305,MATCH($M21,$M$164:$M$305,0)))</f>
        <v/>
      </c>
      <c r="L21" s="719" t="s">
        <v>358</v>
      </c>
      <c r="M21" s="164" t="str">
        <f t="shared" si="35"/>
        <v/>
      </c>
      <c r="N21" s="575" t="str">
        <f t="shared" si="36"/>
        <v/>
      </c>
      <c r="O21" s="572" t="str">
        <f t="shared" si="37"/>
        <v/>
      </c>
      <c r="P21" s="576" t="str">
        <f t="shared" si="38"/>
        <v/>
      </c>
      <c r="Q21" s="528" t="str">
        <f t="shared" si="63"/>
        <v/>
      </c>
      <c r="R21" s="572" t="str">
        <f t="shared" si="39"/>
        <v/>
      </c>
      <c r="S21" s="577" t="str">
        <f t="shared" si="40"/>
        <v/>
      </c>
      <c r="T21" s="578" t="str">
        <f t="shared" si="41"/>
        <v/>
      </c>
      <c r="U21" s="572" t="str">
        <f t="shared" si="42"/>
        <v/>
      </c>
      <c r="V21" s="579" t="str">
        <f t="shared" si="43"/>
        <v/>
      </c>
      <c r="W21" s="528" t="str">
        <f t="shared" si="67"/>
        <v/>
      </c>
      <c r="X21" s="572" t="str">
        <f t="shared" si="44"/>
        <v/>
      </c>
      <c r="Y21" s="573" t="str">
        <f t="shared" si="15"/>
        <v/>
      </c>
      <c r="Z21" s="575" t="str">
        <f t="shared" si="45"/>
        <v/>
      </c>
      <c r="AA21" s="572" t="str">
        <f t="shared" si="46"/>
        <v/>
      </c>
      <c r="AB21" s="572" t="str">
        <f t="shared" si="47"/>
        <v/>
      </c>
      <c r="AC21" s="579" t="str">
        <f t="shared" si="48"/>
        <v/>
      </c>
      <c r="AD21" s="580" t="str">
        <f t="shared" si="49"/>
        <v/>
      </c>
      <c r="AE21" s="572" t="str">
        <f t="shared" si="50"/>
        <v/>
      </c>
      <c r="AF21" s="576" t="str">
        <f t="shared" si="51"/>
        <v/>
      </c>
      <c r="AG21" s="545" t="str">
        <f t="shared" si="52"/>
        <v/>
      </c>
      <c r="AH21" s="546" t="str">
        <f t="shared" si="53"/>
        <v/>
      </c>
      <c r="AI21" s="528" t="str">
        <f t="shared" si="54"/>
        <v/>
      </c>
      <c r="AJ21" s="529" t="str">
        <f t="shared" si="55"/>
        <v/>
      </c>
      <c r="AK21" s="578" t="str">
        <f t="shared" si="56"/>
        <v/>
      </c>
      <c r="AL21" s="572" t="str">
        <f t="shared" si="57"/>
        <v/>
      </c>
      <c r="AM21" s="577" t="str">
        <f t="shared" si="58"/>
        <v/>
      </c>
      <c r="AN21" s="524" t="str">
        <f t="shared" si="16"/>
        <v/>
      </c>
      <c r="AO21" s="525" t="str">
        <f t="shared" si="17"/>
        <v/>
      </c>
      <c r="AP21" s="528" t="str">
        <f t="shared" si="59"/>
        <v/>
      </c>
      <c r="AQ21" s="529" t="str">
        <f t="shared" si="60"/>
        <v/>
      </c>
      <c r="AS21" s="598" t="str">
        <f t="shared" si="18"/>
        <v/>
      </c>
      <c r="AT21" s="602" t="str">
        <f t="shared" si="61"/>
        <v/>
      </c>
      <c r="AU21" s="515" t="str">
        <f t="shared" si="19"/>
        <v/>
      </c>
      <c r="AV21" s="164" t="str">
        <f t="shared" si="64"/>
        <v/>
      </c>
      <c r="AW21" s="545" t="str">
        <f>IF($M21="","",W21-INDEX(Assy.Model!$W$9:$W$150,MATCH('SN#.Run#'!$M21,Assy.Model!$M$9:$M$150,0)))</f>
        <v/>
      </c>
      <c r="AX21" s="628" t="str">
        <f>IF($M21="","",X21-INDEX(Assy.Model!$X$9:$X$150,MATCH('SN#.Run#'!$M21,Assy.Model!$M$9:$M$150,0)))</f>
        <v/>
      </c>
      <c r="AY21" s="629" t="str">
        <f>IF($M21="","",Y21-INDEX(Assy.Model!$Y$9:$Y$150,MATCH('SN#.Run#'!$M21,Assy.Model!$M$9:$M$150,0)))</f>
        <v/>
      </c>
      <c r="AZ21" s="60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10" t="str">
        <f>IF($M21="","",AN21-INDEX(Assy.Model!$AN$9:$AN$150,MATCH('SN#.Run#'!$M21,Assy.Model!$M$9:$M$150,0)))</f>
        <v/>
      </c>
      <c r="BB21" s="525" t="str">
        <f>IF($M21="","",AO21-INDEX(Assy.Model!$AO$9:$AO$150,MATCH('SN#.Run#'!$M21,Assy.Model!$M$9:$M$150,0)))</f>
        <v/>
      </c>
      <c r="BC21" s="619" t="str">
        <f>IF($M21="","",AP21-INDEX(Assy.Model!$AP$9:$AP$150,MATCH('SN#.Run#'!$M21,Assy.Model!$M$9:$M$150,0)))</f>
        <v/>
      </c>
      <c r="BD21" s="419"/>
      <c r="BE21" s="699"/>
      <c r="BM21" s="417"/>
      <c r="BN21" s="417"/>
      <c r="BO21" s="417"/>
      <c r="BP21" s="417"/>
      <c r="BQ21" s="417"/>
      <c r="BR21" s="417"/>
      <c r="BS21" s="417"/>
      <c r="BT21" s="417"/>
      <c r="BU21" s="417"/>
      <c r="IE21" s="790" t="str">
        <f>IFERROR(IF($IU21="","",IF($IU21&lt;(((Settings!$C$19/2)*-1)*$IE$8),"Taper","Nose")),"")</f>
        <v/>
      </c>
      <c r="IF21" s="482" t="str">
        <f>IFERROR(IF((((($IW21*COS(RADIANS(180-$IY21)))*COS(RADIANS($IY21)))-(($IX21*SIN(RADIANS(180-$IY21)))*SIN(RADIANS($IY21))))+$IU21)&lt;(((Settings!$C$19+$IF$8)/2)*-1),"Gage",""),"")</f>
        <v/>
      </c>
      <c r="IG21" s="788" t="str">
        <f t="shared" si="65"/>
        <v/>
      </c>
      <c r="IH21" s="674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677" t="str" cm="1">
        <f t="array" ref="II21">IFERROR(IF($IH21&lt;1,$IH21+LARGE((IF($M$9:$M$150="",0,$M$9:$M$150)-MOD(IF($M$9:$M$150="",0,$M$9:$M$150),1)),1),$IH21),"")</f>
        <v/>
      </c>
      <c r="IJ21" s="482" t="str">
        <f t="shared" si="62"/>
        <v/>
      </c>
      <c r="IK21" s="482" t="str">
        <f t="shared" si="20"/>
        <v/>
      </c>
      <c r="IL21" s="670" t="str">
        <f t="shared" si="68"/>
        <v/>
      </c>
      <c r="IM21" s="702"/>
      <c r="IN21" s="5" t="str">
        <f t="shared" si="69"/>
        <v/>
      </c>
      <c r="IO21" s="714"/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670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05" t="str">
        <f t="shared" si="77"/>
        <v/>
      </c>
      <c r="JA21" s="708"/>
      <c r="JB21" s="1094"/>
      <c r="JC21" s="1095"/>
      <c r="JD21" s="1095"/>
      <c r="JE21" s="1095"/>
      <c r="JF21" s="1309" t="s">
        <v>349</v>
      </c>
      <c r="JG21" s="1310"/>
      <c r="JH21" s="1096" t="s">
        <v>362</v>
      </c>
      <c r="JI21" s="1097"/>
    </row>
    <row r="22" spans="1:269" ht="15" customHeight="1" thickBot="1" x14ac:dyDescent="0.3">
      <c r="A22" s="75"/>
      <c r="B22" s="578" t="str">
        <f t="shared" si="33"/>
        <v/>
      </c>
      <c r="C22" s="572" t="str">
        <f t="shared" si="10"/>
        <v/>
      </c>
      <c r="D22" s="576" t="str">
        <f t="shared" si="11"/>
        <v/>
      </c>
      <c r="E22" s="580" t="str">
        <f t="shared" si="12"/>
        <v/>
      </c>
      <c r="F22" s="572" t="str">
        <f t="shared" si="13"/>
        <v/>
      </c>
      <c r="G22" s="579" t="str">
        <f t="shared" si="14"/>
        <v/>
      </c>
      <c r="H22" s="580" t="str">
        <f t="shared" si="34"/>
        <v/>
      </c>
      <c r="I22" s="482"/>
      <c r="J22" s="483" t="str">
        <v/>
      </c>
      <c r="K22" s="806" t="str">
        <f t="shared" si="66"/>
        <v/>
      </c>
      <c r="L22" s="814" t="str">
        <f>IF($L21=$JH$22,$JH$30,IF($L21=$JI$22,$JI$30,""))</f>
        <v/>
      </c>
      <c r="M22" s="164" t="str">
        <f t="shared" si="35"/>
        <v/>
      </c>
      <c r="N22" s="575" t="str">
        <f t="shared" si="36"/>
        <v/>
      </c>
      <c r="O22" s="572" t="str">
        <f t="shared" si="37"/>
        <v/>
      </c>
      <c r="P22" s="576" t="str">
        <f t="shared" si="38"/>
        <v/>
      </c>
      <c r="Q22" s="528" t="str">
        <f t="shared" si="63"/>
        <v/>
      </c>
      <c r="R22" s="572" t="str">
        <f t="shared" si="39"/>
        <v/>
      </c>
      <c r="S22" s="577" t="str">
        <f t="shared" si="40"/>
        <v/>
      </c>
      <c r="T22" s="578" t="str">
        <f t="shared" si="41"/>
        <v/>
      </c>
      <c r="U22" s="572" t="str">
        <f t="shared" si="42"/>
        <v/>
      </c>
      <c r="V22" s="579" t="str">
        <f t="shared" si="43"/>
        <v/>
      </c>
      <c r="W22" s="528" t="str">
        <f t="shared" si="67"/>
        <v/>
      </c>
      <c r="X22" s="572" t="str">
        <f t="shared" si="44"/>
        <v/>
      </c>
      <c r="Y22" s="573" t="str">
        <f t="shared" si="15"/>
        <v/>
      </c>
      <c r="Z22" s="575" t="str">
        <f t="shared" si="45"/>
        <v/>
      </c>
      <c r="AA22" s="572" t="str">
        <f t="shared" si="46"/>
        <v/>
      </c>
      <c r="AB22" s="572" t="str">
        <f t="shared" si="47"/>
        <v/>
      </c>
      <c r="AC22" s="579" t="str">
        <f t="shared" si="48"/>
        <v/>
      </c>
      <c r="AD22" s="580" t="str">
        <f t="shared" si="49"/>
        <v/>
      </c>
      <c r="AE22" s="572" t="str">
        <f t="shared" si="50"/>
        <v/>
      </c>
      <c r="AF22" s="576" t="str">
        <f t="shared" si="51"/>
        <v/>
      </c>
      <c r="AG22" s="545" t="str">
        <f t="shared" si="52"/>
        <v/>
      </c>
      <c r="AH22" s="546" t="str">
        <f t="shared" si="53"/>
        <v/>
      </c>
      <c r="AI22" s="528" t="str">
        <f t="shared" si="54"/>
        <v/>
      </c>
      <c r="AJ22" s="529" t="str">
        <f t="shared" si="55"/>
        <v/>
      </c>
      <c r="AK22" s="578" t="str">
        <f t="shared" si="56"/>
        <v/>
      </c>
      <c r="AL22" s="572" t="str">
        <f t="shared" si="57"/>
        <v/>
      </c>
      <c r="AM22" s="577" t="str">
        <f t="shared" si="58"/>
        <v/>
      </c>
      <c r="AN22" s="524" t="str">
        <f t="shared" si="16"/>
        <v/>
      </c>
      <c r="AO22" s="525" t="str">
        <f t="shared" si="17"/>
        <v/>
      </c>
      <c r="AP22" s="528" t="str">
        <f t="shared" si="59"/>
        <v/>
      </c>
      <c r="AQ22" s="529" t="str">
        <f t="shared" si="60"/>
        <v/>
      </c>
      <c r="AS22" s="598" t="str">
        <f t="shared" si="18"/>
        <v/>
      </c>
      <c r="AT22" s="602" t="str">
        <f t="shared" si="61"/>
        <v/>
      </c>
      <c r="AU22" s="515" t="str">
        <f t="shared" si="19"/>
        <v/>
      </c>
      <c r="AV22" s="164" t="str">
        <f t="shared" si="64"/>
        <v/>
      </c>
      <c r="AW22" s="545" t="str">
        <f>IF($M22="","",W22-INDEX(Assy.Model!$W$9:$W$150,MATCH('SN#.Run#'!$M22,Assy.Model!$M$9:$M$150,0)))</f>
        <v/>
      </c>
      <c r="AX22" s="628" t="str">
        <f>IF($M22="","",X22-INDEX(Assy.Model!$X$9:$X$150,MATCH('SN#.Run#'!$M22,Assy.Model!$M$9:$M$150,0)))</f>
        <v/>
      </c>
      <c r="AY22" s="629" t="str">
        <f>IF($M22="","",Y22-INDEX(Assy.Model!$Y$9:$Y$150,MATCH('SN#.Run#'!$M22,Assy.Model!$M$9:$M$150,0)))</f>
        <v/>
      </c>
      <c r="AZ22" s="60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10" t="str">
        <f>IF($M22="","",AN22-INDEX(Assy.Model!$AN$9:$AN$150,MATCH('SN#.Run#'!$M22,Assy.Model!$M$9:$M$150,0)))</f>
        <v/>
      </c>
      <c r="BB22" s="525" t="str">
        <f>IF($M22="","",AO22-INDEX(Assy.Model!$AO$9:$AO$150,MATCH('SN#.Run#'!$M22,Assy.Model!$M$9:$M$150,0)))</f>
        <v/>
      </c>
      <c r="BC22" s="619" t="str">
        <f>IF($M22="","",AP22-INDEX(Assy.Model!$AP$9:$AP$150,MATCH('SN#.Run#'!$M22,Assy.Model!$M$9:$M$150,0)))</f>
        <v/>
      </c>
      <c r="BD22" s="419"/>
      <c r="BE22" s="699"/>
      <c r="BM22" s="417"/>
      <c r="BN22" s="417"/>
      <c r="BO22" s="417"/>
      <c r="BP22" s="417"/>
      <c r="BQ22" s="417"/>
      <c r="BR22" s="417"/>
      <c r="BS22" s="417"/>
      <c r="BT22" s="417"/>
      <c r="BU22" s="417"/>
      <c r="IE22" s="790" t="str">
        <f>IFERROR(IF($IU22="","",IF($IU22&lt;(((Settings!$C$19/2)*-1)*$IE$8),"Taper","Nose")),"")</f>
        <v/>
      </c>
      <c r="IF22" s="482" t="str">
        <f>IFERROR(IF((((($IW22*COS(RADIANS(180-$IY22)))*COS(RADIANS($IY22)))-(($IX22*SIN(RADIANS(180-$IY22)))*SIN(RADIANS($IY22))))+$IU22)&lt;(((Settings!$C$19+$IF$8)/2)*-1),"Gage",""),"")</f>
        <v/>
      </c>
      <c r="IG22" s="788" t="str">
        <f t="shared" si="65"/>
        <v/>
      </c>
      <c r="IH22" s="674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677" t="str" cm="1">
        <f t="array" ref="II22">IFERROR(IF($IH22&lt;1,$IH22+LARGE((IF($M$9:$M$150="",0,$M$9:$M$150)-MOD(IF($M$9:$M$150="",0,$M$9:$M$150),1)),1),$IH22),"")</f>
        <v/>
      </c>
      <c r="IJ22" s="482" t="str">
        <f t="shared" si="62"/>
        <v/>
      </c>
      <c r="IK22" s="482" t="str">
        <f t="shared" si="20"/>
        <v/>
      </c>
      <c r="IL22" s="670" t="str">
        <f t="shared" si="68"/>
        <v/>
      </c>
      <c r="IM22" s="702"/>
      <c r="IN22" s="5" t="str">
        <f t="shared" si="69"/>
        <v/>
      </c>
      <c r="IO22" s="714"/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670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05" t="str">
        <f t="shared" si="77"/>
        <v/>
      </c>
      <c r="JA22" s="31" t="s">
        <v>352</v>
      </c>
      <c r="JB22" s="801" t="s">
        <v>379</v>
      </c>
      <c r="JC22" s="361" t="s">
        <v>350</v>
      </c>
      <c r="JD22" s="361" t="s">
        <v>353</v>
      </c>
      <c r="JE22" s="333" t="s">
        <v>102</v>
      </c>
      <c r="JF22" s="802" t="str" cm="1">
        <f t="array" ref="JF22">IFERROR(TRANSPOSE(_xlfn._xlws.SORT(_xlfn.UNIQUE(_xlfn._xlws.FILTER($IE$9:$IE$150,$IE$9:$IE$150&lt;&gt;"")),,1)),"")</f>
        <v/>
      </c>
      <c r="JG22" s="803"/>
      <c r="JH22" s="804" t="str" cm="1">
        <f t="array" ref="JH22">IFERROR(TRANSPOSE(_xlfn._xlws.SORT(_xlfn.UNIQUE(_xlfn._xlws.FILTER($IE$9:$IE$150,$IE$9:$IE$150&lt;&gt;"")),,1)),"")</f>
        <v/>
      </c>
      <c r="JI22" s="803"/>
    </row>
    <row r="23" spans="1:269" ht="15" customHeight="1" thickTop="1" x14ac:dyDescent="0.25">
      <c r="A23" s="75"/>
      <c r="B23" s="578" t="str">
        <f t="shared" si="33"/>
        <v/>
      </c>
      <c r="C23" s="572" t="str">
        <f t="shared" si="10"/>
        <v/>
      </c>
      <c r="D23" s="576" t="str">
        <f t="shared" si="11"/>
        <v/>
      </c>
      <c r="E23" s="580" t="str">
        <f t="shared" si="12"/>
        <v/>
      </c>
      <c r="F23" s="572" t="str">
        <f t="shared" si="13"/>
        <v/>
      </c>
      <c r="G23" s="579" t="str">
        <f t="shared" si="14"/>
        <v/>
      </c>
      <c r="H23" s="580" t="str">
        <f t="shared" si="34"/>
        <v/>
      </c>
      <c r="I23" s="482"/>
      <c r="J23" s="483" t="str">
        <v/>
      </c>
      <c r="K23" s="806" t="str">
        <f t="shared" si="66"/>
        <v/>
      </c>
      <c r="L23" s="31"/>
      <c r="M23" s="164" t="str">
        <f t="shared" si="35"/>
        <v/>
      </c>
      <c r="N23" s="575" t="str">
        <f t="shared" si="36"/>
        <v/>
      </c>
      <c r="O23" s="572" t="str">
        <f t="shared" si="37"/>
        <v/>
      </c>
      <c r="P23" s="576" t="str">
        <f t="shared" si="38"/>
        <v/>
      </c>
      <c r="Q23" s="528" t="str">
        <f t="shared" si="63"/>
        <v/>
      </c>
      <c r="R23" s="572" t="str">
        <f t="shared" si="39"/>
        <v/>
      </c>
      <c r="S23" s="577" t="str">
        <f t="shared" si="40"/>
        <v/>
      </c>
      <c r="T23" s="578" t="str">
        <f t="shared" si="41"/>
        <v/>
      </c>
      <c r="U23" s="572" t="str">
        <f t="shared" si="42"/>
        <v/>
      </c>
      <c r="V23" s="579" t="str">
        <f t="shared" si="43"/>
        <v/>
      </c>
      <c r="W23" s="528" t="str">
        <f t="shared" si="67"/>
        <v/>
      </c>
      <c r="X23" s="572" t="str">
        <f t="shared" si="44"/>
        <v/>
      </c>
      <c r="Y23" s="573" t="str">
        <f t="shared" si="15"/>
        <v/>
      </c>
      <c r="Z23" s="575" t="str">
        <f t="shared" si="45"/>
        <v/>
      </c>
      <c r="AA23" s="572" t="str">
        <f t="shared" si="46"/>
        <v/>
      </c>
      <c r="AB23" s="572" t="str">
        <f t="shared" si="47"/>
        <v/>
      </c>
      <c r="AC23" s="579" t="str">
        <f t="shared" si="48"/>
        <v/>
      </c>
      <c r="AD23" s="580" t="str">
        <f t="shared" si="49"/>
        <v/>
      </c>
      <c r="AE23" s="572" t="str">
        <f t="shared" si="50"/>
        <v/>
      </c>
      <c r="AF23" s="576" t="str">
        <f t="shared" si="51"/>
        <v/>
      </c>
      <c r="AG23" s="545" t="str">
        <f t="shared" si="52"/>
        <v/>
      </c>
      <c r="AH23" s="546" t="str">
        <f t="shared" si="53"/>
        <v/>
      </c>
      <c r="AI23" s="528" t="str">
        <f t="shared" si="54"/>
        <v/>
      </c>
      <c r="AJ23" s="529" t="str">
        <f t="shared" si="55"/>
        <v/>
      </c>
      <c r="AK23" s="578" t="str">
        <f t="shared" si="56"/>
        <v/>
      </c>
      <c r="AL23" s="572" t="str">
        <f t="shared" si="57"/>
        <v/>
      </c>
      <c r="AM23" s="577" t="str">
        <f t="shared" si="58"/>
        <v/>
      </c>
      <c r="AN23" s="524" t="str">
        <f t="shared" si="16"/>
        <v/>
      </c>
      <c r="AO23" s="525" t="str">
        <f t="shared" si="17"/>
        <v/>
      </c>
      <c r="AP23" s="528" t="str">
        <f t="shared" si="59"/>
        <v/>
      </c>
      <c r="AQ23" s="529" t="str">
        <f t="shared" si="60"/>
        <v/>
      </c>
      <c r="AS23" s="598" t="str">
        <f t="shared" si="18"/>
        <v/>
      </c>
      <c r="AT23" s="602" t="str">
        <f t="shared" si="61"/>
        <v/>
      </c>
      <c r="AU23" s="515" t="str">
        <f t="shared" si="19"/>
        <v/>
      </c>
      <c r="AV23" s="164" t="str">
        <f t="shared" si="64"/>
        <v/>
      </c>
      <c r="AW23" s="545" t="str">
        <f>IF($M23="","",W23-INDEX(Assy.Model!$W$9:$W$150,MATCH('SN#.Run#'!$M23,Assy.Model!$M$9:$M$150,0)))</f>
        <v/>
      </c>
      <c r="AX23" s="628" t="str">
        <f>IF($M23="","",X23-INDEX(Assy.Model!$X$9:$X$150,MATCH('SN#.Run#'!$M23,Assy.Model!$M$9:$M$150,0)))</f>
        <v/>
      </c>
      <c r="AY23" s="629" t="str">
        <f>IF($M23="","",Y23-INDEX(Assy.Model!$Y$9:$Y$150,MATCH('SN#.Run#'!$M23,Assy.Model!$M$9:$M$150,0)))</f>
        <v/>
      </c>
      <c r="AZ23" s="60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10" t="str">
        <f>IF($M23="","",AN23-INDEX(Assy.Model!$AN$9:$AN$150,MATCH('SN#.Run#'!$M23,Assy.Model!$M$9:$M$150,0)))</f>
        <v/>
      </c>
      <c r="BB23" s="525" t="str">
        <f>IF($M23="","",AO23-INDEX(Assy.Model!$AO$9:$AO$150,MATCH('SN#.Run#'!$M23,Assy.Model!$M$9:$M$150,0)))</f>
        <v/>
      </c>
      <c r="BC23" s="619" t="str">
        <f>IF($M23="","",AP23-INDEX(Assy.Model!$AP$9:$AP$150,MATCH('SN#.Run#'!$M23,Assy.Model!$M$9:$M$150,0)))</f>
        <v/>
      </c>
      <c r="BD23" s="419"/>
      <c r="BE23" s="699"/>
      <c r="BM23" s="417"/>
      <c r="BN23" s="417"/>
      <c r="BO23" s="417"/>
      <c r="BP23" s="417"/>
      <c r="BQ23" s="417"/>
      <c r="BR23" s="417"/>
      <c r="BS23" s="417"/>
      <c r="BT23" s="417"/>
      <c r="BU23" s="417"/>
      <c r="IE23" s="790" t="str">
        <f>IFERROR(IF($IU23="","",IF($IU23&lt;(((Settings!$C$19/2)*-1)*$IE$8),"Taper","Nose")),"")</f>
        <v/>
      </c>
      <c r="IF23" s="482" t="str">
        <f>IFERROR(IF((((($IW23*COS(RADIANS(180-$IY23)))*COS(RADIANS($IY23)))-(($IX23*SIN(RADIANS(180-$IY23)))*SIN(RADIANS($IY23))))+$IU23)&lt;(((Settings!$C$19+$IF$8)/2)*-1),"Gage",""),"")</f>
        <v/>
      </c>
      <c r="IG23" s="788" t="str">
        <f t="shared" si="65"/>
        <v/>
      </c>
      <c r="IH23" s="674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677" t="str" cm="1">
        <f t="array" ref="II23">IFERROR(IF($IH23&lt;1,$IH23+LARGE((IF($M$9:$M$150="",0,$M$9:$M$150)-MOD(IF($M$9:$M$150="",0,$M$9:$M$150),1)),1),$IH23),"")</f>
        <v/>
      </c>
      <c r="IJ23" s="482" t="str">
        <f t="shared" si="62"/>
        <v/>
      </c>
      <c r="IK23" s="482" t="str">
        <f t="shared" si="20"/>
        <v/>
      </c>
      <c r="IL23" s="670" t="str">
        <f t="shared" si="68"/>
        <v/>
      </c>
      <c r="IM23" s="702"/>
      <c r="IN23" s="5" t="str">
        <f t="shared" si="69"/>
        <v/>
      </c>
      <c r="IO23" s="714"/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670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05" t="str">
        <f t="shared" si="77"/>
        <v/>
      </c>
      <c r="JA23" s="796" t="str" cm="1">
        <f t="array" ref="JA23">IFERROR(_xlfn._xlws.SORT(_xlfn.UNIQUE(_xlfn._xlws.FILTER($IK$9:$IK$150,$IK$9:$IK$150&lt;&gt;"")),,1),"")</f>
        <v/>
      </c>
      <c r="JB23" s="800" t="str" cm="1">
        <f t="array" ref="JB23">IFERROR(IF($JA23="","",COUNT(IF(IF($II$9:$II$150&lt;&gt;"",$IK$9:$IK$150,"")=$JA23,$IG$9:$IG$150,""))),"")</f>
        <v/>
      </c>
      <c r="JC23" s="191" t="str" cm="1">
        <f t="array" ref="JC23">IF($JA23="","",AVERAGE(IF(IF($II$9:$II$150&lt;&gt;"",$K$9:$K$150,"")=$JA23,$AZ$9:$AZ$150,"")))</f>
        <v/>
      </c>
      <c r="JD23" s="191" t="str" cm="1">
        <f t="array" ref="JD23">IF($JA23="","",_xlfn.STDEV.P(IF(IF($II$9:$II$150&lt;&gt;"",$K$9:$K$150,"")=$JA23,$AZ$9:$AZ$150,"")))</f>
        <v/>
      </c>
      <c r="JE23" s="698" t="str" cm="1">
        <f t="array" ref="JE23">IF($JA23="","",MAX(IF(IF($II$9:$II$150&lt;&gt;"",$K$9:$K$150,"")=$JA23,$AZ$9:$AZ$150,"")))</f>
        <v/>
      </c>
      <c r="JF23" s="737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742"/>
      <c r="JH23" s="741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742"/>
    </row>
    <row r="24" spans="1:269" ht="15" customHeight="1" x14ac:dyDescent="0.25">
      <c r="A24" s="75"/>
      <c r="B24" s="578" t="str">
        <f t="shared" si="33"/>
        <v/>
      </c>
      <c r="C24" s="572" t="str">
        <f t="shared" si="10"/>
        <v/>
      </c>
      <c r="D24" s="576" t="str">
        <f t="shared" si="11"/>
        <v/>
      </c>
      <c r="E24" s="580" t="str">
        <f t="shared" si="12"/>
        <v/>
      </c>
      <c r="F24" s="572" t="str">
        <f t="shared" si="13"/>
        <v/>
      </c>
      <c r="G24" s="579" t="str">
        <f t="shared" si="14"/>
        <v/>
      </c>
      <c r="H24" s="580" t="str">
        <f t="shared" si="34"/>
        <v/>
      </c>
      <c r="I24" s="482"/>
      <c r="J24" s="483" t="str">
        <v/>
      </c>
      <c r="K24" s="806" t="str">
        <f t="shared" si="66"/>
        <v/>
      </c>
      <c r="L24" s="82"/>
      <c r="M24" s="164" t="str">
        <f t="shared" si="35"/>
        <v/>
      </c>
      <c r="N24" s="575" t="str">
        <f t="shared" si="36"/>
        <v/>
      </c>
      <c r="O24" s="572" t="str">
        <f t="shared" si="37"/>
        <v/>
      </c>
      <c r="P24" s="576" t="str">
        <f t="shared" si="38"/>
        <v/>
      </c>
      <c r="Q24" s="528" t="str">
        <f t="shared" si="63"/>
        <v/>
      </c>
      <c r="R24" s="572" t="str">
        <f t="shared" si="39"/>
        <v/>
      </c>
      <c r="S24" s="577" t="str">
        <f t="shared" si="40"/>
        <v/>
      </c>
      <c r="T24" s="578" t="str">
        <f t="shared" si="41"/>
        <v/>
      </c>
      <c r="U24" s="572" t="str">
        <f t="shared" si="42"/>
        <v/>
      </c>
      <c r="V24" s="579" t="str">
        <f t="shared" si="43"/>
        <v/>
      </c>
      <c r="W24" s="528" t="str">
        <f t="shared" si="67"/>
        <v/>
      </c>
      <c r="X24" s="572" t="str">
        <f t="shared" si="44"/>
        <v/>
      </c>
      <c r="Y24" s="573" t="str">
        <f t="shared" si="15"/>
        <v/>
      </c>
      <c r="Z24" s="575" t="str">
        <f t="shared" si="45"/>
        <v/>
      </c>
      <c r="AA24" s="572" t="str">
        <f t="shared" si="46"/>
        <v/>
      </c>
      <c r="AB24" s="572" t="str">
        <f t="shared" si="47"/>
        <v/>
      </c>
      <c r="AC24" s="579" t="str">
        <f t="shared" si="48"/>
        <v/>
      </c>
      <c r="AD24" s="580" t="str">
        <f t="shared" si="49"/>
        <v/>
      </c>
      <c r="AE24" s="572" t="str">
        <f t="shared" si="50"/>
        <v/>
      </c>
      <c r="AF24" s="576" t="str">
        <f t="shared" si="51"/>
        <v/>
      </c>
      <c r="AG24" s="545" t="str">
        <f t="shared" si="52"/>
        <v/>
      </c>
      <c r="AH24" s="546" t="str">
        <f t="shared" si="53"/>
        <v/>
      </c>
      <c r="AI24" s="528" t="str">
        <f t="shared" si="54"/>
        <v/>
      </c>
      <c r="AJ24" s="529" t="str">
        <f t="shared" si="55"/>
        <v/>
      </c>
      <c r="AK24" s="578" t="str">
        <f t="shared" si="56"/>
        <v/>
      </c>
      <c r="AL24" s="572" t="str">
        <f t="shared" si="57"/>
        <v/>
      </c>
      <c r="AM24" s="577" t="str">
        <f t="shared" si="58"/>
        <v/>
      </c>
      <c r="AN24" s="524" t="str">
        <f t="shared" si="16"/>
        <v/>
      </c>
      <c r="AO24" s="525" t="str">
        <f t="shared" si="17"/>
        <v/>
      </c>
      <c r="AP24" s="528" t="str">
        <f t="shared" si="59"/>
        <v/>
      </c>
      <c r="AQ24" s="529" t="str">
        <f t="shared" si="60"/>
        <v/>
      </c>
      <c r="AS24" s="598" t="str">
        <f>IF(M24="","",IF(W24&lt;=LARGE($W$9:$W$17,1),W24,W24-360))</f>
        <v/>
      </c>
      <c r="AT24" s="602" t="str">
        <f t="shared" si="61"/>
        <v/>
      </c>
      <c r="AU24" s="515" t="str">
        <f t="shared" si="19"/>
        <v/>
      </c>
      <c r="AV24" s="164" t="str">
        <f t="shared" si="64"/>
        <v/>
      </c>
      <c r="AW24" s="545" t="str">
        <f>IF($M24="","",W24-INDEX(Assy.Model!$W$9:$W$150,MATCH('SN#.Run#'!$M24,Assy.Model!$M$9:$M$150,0)))</f>
        <v/>
      </c>
      <c r="AX24" s="628" t="str">
        <f>IF($M24="","",X24-INDEX(Assy.Model!$X$9:$X$150,MATCH('SN#.Run#'!$M24,Assy.Model!$M$9:$M$150,0)))</f>
        <v/>
      </c>
      <c r="AY24" s="629" t="str">
        <f>IF($M24="","",Y24-INDEX(Assy.Model!$Y$9:$Y$150,MATCH('SN#.Run#'!$M24,Assy.Model!$M$9:$M$150,0)))</f>
        <v/>
      </c>
      <c r="AZ24" s="60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10" t="str">
        <f>IF($M24="","",AN24-INDEX(Assy.Model!$AN$9:$AN$150,MATCH('SN#.Run#'!$M24,Assy.Model!$M$9:$M$150,0)))</f>
        <v/>
      </c>
      <c r="BB24" s="525" t="str">
        <f>IF($M24="","",AO24-INDEX(Assy.Model!$AO$9:$AO$150,MATCH('SN#.Run#'!$M24,Assy.Model!$M$9:$M$150,0)))</f>
        <v/>
      </c>
      <c r="BC24" s="619" t="str">
        <f>IF($M24="","",AP24-INDEX(Assy.Model!$AP$9:$AP$150,MATCH('SN#.Run#'!$M24,Assy.Model!$M$9:$M$150,0)))</f>
        <v/>
      </c>
      <c r="BD24" s="419"/>
      <c r="BE24" s="699"/>
      <c r="BM24" s="417"/>
      <c r="BN24" s="417"/>
      <c r="BO24" s="417"/>
      <c r="BP24" s="417"/>
      <c r="BQ24" s="417"/>
      <c r="BR24" s="417"/>
      <c r="BS24" s="417"/>
      <c r="BT24" s="417"/>
      <c r="BU24" s="417"/>
      <c r="IE24" s="790" t="str">
        <f>IFERROR(IF($IU24="","",IF($IU24&lt;(((Settings!$C$19/2)*-1)*$IE$8),"Taper","Nose")),"")</f>
        <v/>
      </c>
      <c r="IF24" s="482" t="str">
        <f>IFERROR(IF((((($IW24*COS(RADIANS(180-$IY24)))*COS(RADIANS($IY24)))-(($IX24*SIN(RADIANS(180-$IY24)))*SIN(RADIANS($IY24))))+$IU24)&lt;(((Settings!$C$19+$IF$8)/2)*-1),"Gage",""),"")</f>
        <v/>
      </c>
      <c r="IG24" s="788" t="str">
        <f t="shared" si="65"/>
        <v/>
      </c>
      <c r="IH24" s="674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677" t="str" cm="1">
        <f t="array" ref="II24">IFERROR(IF($IH24&lt;1,$IH24+LARGE((IF($M$9:$M$150="",0,$M$9:$M$150)-MOD(IF($M$9:$M$150="",0,$M$9:$M$150),1)),1),$IH24),"")</f>
        <v/>
      </c>
      <c r="IJ24" s="482" t="str">
        <f t="shared" si="62"/>
        <v/>
      </c>
      <c r="IK24" s="482" t="str">
        <f t="shared" si="20"/>
        <v/>
      </c>
      <c r="IL24" s="670" t="str">
        <f t="shared" si="68"/>
        <v/>
      </c>
      <c r="IM24" s="702"/>
      <c r="IN24" s="5" t="str">
        <f t="shared" si="69"/>
        <v/>
      </c>
      <c r="IO24" s="714"/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670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05" t="str">
        <f t="shared" si="77"/>
        <v/>
      </c>
      <c r="JA24" s="739"/>
      <c r="JB24" s="797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36"/>
      <c r="JG24" s="744"/>
      <c r="JH24" s="728"/>
      <c r="JI24" s="744"/>
    </row>
    <row r="25" spans="1:269" ht="15" customHeight="1" x14ac:dyDescent="0.25">
      <c r="A25" s="75"/>
      <c r="B25" s="578" t="str">
        <f t="shared" si="33"/>
        <v/>
      </c>
      <c r="C25" s="572" t="str">
        <f t="shared" si="10"/>
        <v/>
      </c>
      <c r="D25" s="576" t="str">
        <f t="shared" si="11"/>
        <v/>
      </c>
      <c r="E25" s="580" t="str">
        <f t="shared" si="12"/>
        <v/>
      </c>
      <c r="F25" s="572" t="str">
        <f t="shared" si="13"/>
        <v/>
      </c>
      <c r="G25" s="579" t="str">
        <f t="shared" si="14"/>
        <v/>
      </c>
      <c r="H25" s="580" t="str">
        <f t="shared" si="34"/>
        <v/>
      </c>
      <c r="I25" s="482"/>
      <c r="J25" s="483" t="str">
        <v/>
      </c>
      <c r="K25" s="806" t="str">
        <f t="shared" si="66"/>
        <v/>
      </c>
      <c r="L25" s="82"/>
      <c r="M25" s="164" t="str">
        <f t="shared" si="35"/>
        <v/>
      </c>
      <c r="N25" s="575" t="str">
        <f t="shared" si="36"/>
        <v/>
      </c>
      <c r="O25" s="572" t="str">
        <f t="shared" si="37"/>
        <v/>
      </c>
      <c r="P25" s="576" t="str">
        <f t="shared" si="38"/>
        <v/>
      </c>
      <c r="Q25" s="528" t="str">
        <f t="shared" si="63"/>
        <v/>
      </c>
      <c r="R25" s="572" t="str">
        <f t="shared" si="39"/>
        <v/>
      </c>
      <c r="S25" s="577" t="str">
        <f t="shared" si="40"/>
        <v/>
      </c>
      <c r="T25" s="578" t="str">
        <f t="shared" si="41"/>
        <v/>
      </c>
      <c r="U25" s="572" t="str">
        <f t="shared" si="42"/>
        <v/>
      </c>
      <c r="V25" s="579" t="str">
        <f t="shared" si="43"/>
        <v/>
      </c>
      <c r="W25" s="528" t="str">
        <f t="shared" si="67"/>
        <v/>
      </c>
      <c r="X25" s="572" t="str">
        <f t="shared" si="44"/>
        <v/>
      </c>
      <c r="Y25" s="573" t="str">
        <f t="shared" si="15"/>
        <v/>
      </c>
      <c r="Z25" s="575" t="str">
        <f t="shared" si="45"/>
        <v/>
      </c>
      <c r="AA25" s="572" t="str">
        <f t="shared" si="46"/>
        <v/>
      </c>
      <c r="AB25" s="572" t="str">
        <f t="shared" si="47"/>
        <v/>
      </c>
      <c r="AC25" s="579" t="str">
        <f t="shared" si="48"/>
        <v/>
      </c>
      <c r="AD25" s="580" t="str">
        <f t="shared" si="49"/>
        <v/>
      </c>
      <c r="AE25" s="572" t="str">
        <f t="shared" si="50"/>
        <v/>
      </c>
      <c r="AF25" s="576" t="str">
        <f t="shared" si="51"/>
        <v/>
      </c>
      <c r="AG25" s="545" t="str">
        <f t="shared" si="52"/>
        <v/>
      </c>
      <c r="AH25" s="546" t="str">
        <f t="shared" si="53"/>
        <v/>
      </c>
      <c r="AI25" s="528" t="str">
        <f t="shared" si="54"/>
        <v/>
      </c>
      <c r="AJ25" s="529" t="str">
        <f t="shared" si="55"/>
        <v/>
      </c>
      <c r="AK25" s="578" t="str">
        <f t="shared" si="56"/>
        <v/>
      </c>
      <c r="AL25" s="572" t="str">
        <f t="shared" si="57"/>
        <v/>
      </c>
      <c r="AM25" s="577" t="str">
        <f t="shared" si="58"/>
        <v/>
      </c>
      <c r="AN25" s="524" t="str">
        <f t="shared" si="16"/>
        <v/>
      </c>
      <c r="AO25" s="525" t="str">
        <f t="shared" si="17"/>
        <v/>
      </c>
      <c r="AP25" s="528" t="str">
        <f t="shared" si="59"/>
        <v/>
      </c>
      <c r="AQ25" s="529" t="str">
        <f t="shared" si="60"/>
        <v/>
      </c>
      <c r="AS25" s="598" t="str">
        <f t="shared" si="18"/>
        <v/>
      </c>
      <c r="AT25" s="602" t="str">
        <f t="shared" si="61"/>
        <v/>
      </c>
      <c r="AU25" s="515" t="str">
        <f t="shared" si="19"/>
        <v/>
      </c>
      <c r="AV25" s="164" t="str">
        <f t="shared" si="64"/>
        <v/>
      </c>
      <c r="AW25" s="545" t="str">
        <f>IF($M25="","",W25-INDEX(Assy.Model!$W$9:$W$150,MATCH('SN#.Run#'!$M25,Assy.Model!$M$9:$M$150,0)))</f>
        <v/>
      </c>
      <c r="AX25" s="628" t="str">
        <f>IF($M25="","",X25-INDEX(Assy.Model!$X$9:$X$150,MATCH('SN#.Run#'!$M25,Assy.Model!$M$9:$M$150,0)))</f>
        <v/>
      </c>
      <c r="AY25" s="629" t="str">
        <f>IF($M25="","",Y25-INDEX(Assy.Model!$Y$9:$Y$150,MATCH('SN#.Run#'!$M25,Assy.Model!$M$9:$M$150,0)))</f>
        <v/>
      </c>
      <c r="AZ25" s="60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10" t="str">
        <f>IF($M25="","",AN25-INDEX(Assy.Model!$AN$9:$AN$150,MATCH('SN#.Run#'!$M25,Assy.Model!$M$9:$M$150,0)))</f>
        <v/>
      </c>
      <c r="BB25" s="525" t="str">
        <f>IF($M25="","",AO25-INDEX(Assy.Model!$AO$9:$AO$150,MATCH('SN#.Run#'!$M25,Assy.Model!$M$9:$M$150,0)))</f>
        <v/>
      </c>
      <c r="BC25" s="619" t="str">
        <f>IF($M25="","",AP25-INDEX(Assy.Model!$AP$9:$AP$150,MATCH('SN#.Run#'!$M25,Assy.Model!$M$9:$M$150,0)))</f>
        <v/>
      </c>
      <c r="BD25" s="419"/>
      <c r="BE25" s="699"/>
      <c r="BM25" s="417"/>
      <c r="BN25" s="417"/>
      <c r="BO25" s="417"/>
      <c r="BP25" s="417"/>
      <c r="BQ25" s="417"/>
      <c r="BR25" s="417"/>
      <c r="BS25" s="417"/>
      <c r="BT25" s="417"/>
      <c r="BU25" s="417"/>
      <c r="IE25" s="790" t="str">
        <f>IFERROR(IF($IU25="","",IF($IU25&lt;(((Settings!$C$19/2)*-1)*$IE$8),"Taper","Nose")),"")</f>
        <v/>
      </c>
      <c r="IF25" s="482" t="str">
        <f>IFERROR(IF((((($IW25*COS(RADIANS(180-$IY25)))*COS(RADIANS($IY25)))-(($IX25*SIN(RADIANS(180-$IY25)))*SIN(RADIANS($IY25))))+$IU25)&lt;(((Settings!$C$19+$IF$8)/2)*-1),"Gage",""),"")</f>
        <v/>
      </c>
      <c r="IG25" s="788" t="str">
        <f t="shared" si="65"/>
        <v/>
      </c>
      <c r="IH25" s="674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677" t="str" cm="1">
        <f t="array" ref="II25">IFERROR(IF($IH25&lt;1,$IH25+LARGE((IF($M$9:$M$150="",0,$M$9:$M$150)-MOD(IF($M$9:$M$150="",0,$M$9:$M$150),1)),1),$IH25),"")</f>
        <v/>
      </c>
      <c r="IJ25" s="482" t="str">
        <f t="shared" si="62"/>
        <v/>
      </c>
      <c r="IK25" s="482" t="str">
        <f t="shared" si="20"/>
        <v/>
      </c>
      <c r="IL25" s="670" t="str">
        <f t="shared" si="68"/>
        <v/>
      </c>
      <c r="IM25" s="702"/>
      <c r="IN25" s="5" t="str">
        <f t="shared" si="69"/>
        <v/>
      </c>
      <c r="IO25" s="714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670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05" t="str">
        <f t="shared" si="77"/>
        <v/>
      </c>
      <c r="JA25" s="739"/>
      <c r="JB25" s="797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36"/>
      <c r="JG25" s="744"/>
      <c r="JH25" s="728"/>
      <c r="JI25" s="744"/>
    </row>
    <row r="26" spans="1:269" ht="15" customHeight="1" x14ac:dyDescent="0.25">
      <c r="A26" s="75"/>
      <c r="B26" s="578" t="str">
        <f t="shared" si="33"/>
        <v/>
      </c>
      <c r="C26" s="572" t="str">
        <f t="shared" si="10"/>
        <v/>
      </c>
      <c r="D26" s="576" t="str">
        <f t="shared" si="11"/>
        <v/>
      </c>
      <c r="E26" s="580" t="str">
        <f t="shared" si="12"/>
        <v/>
      </c>
      <c r="F26" s="572" t="str">
        <f t="shared" si="13"/>
        <v/>
      </c>
      <c r="G26" s="579" t="str">
        <f t="shared" si="14"/>
        <v/>
      </c>
      <c r="H26" s="580" t="str">
        <f t="shared" si="34"/>
        <v/>
      </c>
      <c r="I26" s="482"/>
      <c r="J26" s="483" t="str">
        <v/>
      </c>
      <c r="K26" s="806" t="str">
        <f t="shared" si="66"/>
        <v/>
      </c>
      <c r="L26" s="309"/>
      <c r="M26" s="164" t="str">
        <f t="shared" si="35"/>
        <v/>
      </c>
      <c r="N26" s="575" t="str">
        <f t="shared" si="36"/>
        <v/>
      </c>
      <c r="O26" s="572" t="str">
        <f t="shared" si="37"/>
        <v/>
      </c>
      <c r="P26" s="576" t="str">
        <f t="shared" si="38"/>
        <v/>
      </c>
      <c r="Q26" s="528" t="str">
        <f t="shared" si="63"/>
        <v/>
      </c>
      <c r="R26" s="572" t="str">
        <f t="shared" si="39"/>
        <v/>
      </c>
      <c r="S26" s="577" t="str">
        <f t="shared" si="40"/>
        <v/>
      </c>
      <c r="T26" s="578" t="str">
        <f t="shared" si="41"/>
        <v/>
      </c>
      <c r="U26" s="572" t="str">
        <f t="shared" si="42"/>
        <v/>
      </c>
      <c r="V26" s="579" t="str">
        <f t="shared" si="43"/>
        <v/>
      </c>
      <c r="W26" s="528" t="str">
        <f t="shared" si="67"/>
        <v/>
      </c>
      <c r="X26" s="572" t="str">
        <f t="shared" si="44"/>
        <v/>
      </c>
      <c r="Y26" s="573" t="str">
        <f t="shared" si="15"/>
        <v/>
      </c>
      <c r="Z26" s="575" t="str">
        <f t="shared" si="45"/>
        <v/>
      </c>
      <c r="AA26" s="572" t="str">
        <f t="shared" si="46"/>
        <v/>
      </c>
      <c r="AB26" s="572" t="str">
        <f t="shared" si="47"/>
        <v/>
      </c>
      <c r="AC26" s="579" t="str">
        <f t="shared" si="48"/>
        <v/>
      </c>
      <c r="AD26" s="580" t="str">
        <f t="shared" si="49"/>
        <v/>
      </c>
      <c r="AE26" s="572" t="str">
        <f t="shared" si="50"/>
        <v/>
      </c>
      <c r="AF26" s="576" t="str">
        <f t="shared" si="51"/>
        <v/>
      </c>
      <c r="AG26" s="545" t="str">
        <f t="shared" si="52"/>
        <v/>
      </c>
      <c r="AH26" s="546" t="str">
        <f t="shared" si="53"/>
        <v/>
      </c>
      <c r="AI26" s="528" t="str">
        <f t="shared" si="54"/>
        <v/>
      </c>
      <c r="AJ26" s="529" t="str">
        <f t="shared" si="55"/>
        <v/>
      </c>
      <c r="AK26" s="578" t="str">
        <f t="shared" si="56"/>
        <v/>
      </c>
      <c r="AL26" s="572" t="str">
        <f t="shared" si="57"/>
        <v/>
      </c>
      <c r="AM26" s="577" t="str">
        <f t="shared" si="58"/>
        <v/>
      </c>
      <c r="AN26" s="524" t="str">
        <f t="shared" si="16"/>
        <v/>
      </c>
      <c r="AO26" s="525" t="str">
        <f t="shared" si="17"/>
        <v/>
      </c>
      <c r="AP26" s="528" t="str">
        <f t="shared" si="59"/>
        <v/>
      </c>
      <c r="AQ26" s="529" t="str">
        <f t="shared" si="60"/>
        <v/>
      </c>
      <c r="AS26" s="598" t="str">
        <f t="shared" si="18"/>
        <v/>
      </c>
      <c r="AT26" s="602" t="str">
        <f t="shared" si="61"/>
        <v/>
      </c>
      <c r="AU26" s="515" t="str">
        <f t="shared" si="19"/>
        <v/>
      </c>
      <c r="AV26" s="164" t="str">
        <f t="shared" si="64"/>
        <v/>
      </c>
      <c r="AW26" s="545" t="str">
        <f>IF($M26="","",W26-INDEX(Assy.Model!$W$9:$W$150,MATCH('SN#.Run#'!$M26,Assy.Model!$M$9:$M$150,0)))</f>
        <v/>
      </c>
      <c r="AX26" s="628" t="str">
        <f>IF($M26="","",X26-INDEX(Assy.Model!$X$9:$X$150,MATCH('SN#.Run#'!$M26,Assy.Model!$M$9:$M$150,0)))</f>
        <v/>
      </c>
      <c r="AY26" s="629" t="str">
        <f>IF($M26="","",Y26-INDEX(Assy.Model!$Y$9:$Y$150,MATCH('SN#.Run#'!$M26,Assy.Model!$M$9:$M$150,0)))</f>
        <v/>
      </c>
      <c r="AZ26" s="60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10" t="str">
        <f>IF($M26="","",AN26-INDEX(Assy.Model!$AN$9:$AN$150,MATCH('SN#.Run#'!$M26,Assy.Model!$M$9:$M$150,0)))</f>
        <v/>
      </c>
      <c r="BB26" s="525" t="str">
        <f>IF($M26="","",AO26-INDEX(Assy.Model!$AO$9:$AO$150,MATCH('SN#.Run#'!$M26,Assy.Model!$M$9:$M$150,0)))</f>
        <v/>
      </c>
      <c r="BC26" s="619" t="str">
        <f>IF($M26="","",AP26-INDEX(Assy.Model!$AP$9:$AP$150,MATCH('SN#.Run#'!$M26,Assy.Model!$M$9:$M$150,0)))</f>
        <v/>
      </c>
      <c r="BD26" s="419"/>
      <c r="BE26" s="699"/>
      <c r="BM26" s="417"/>
      <c r="BN26" s="417"/>
      <c r="BO26" s="417"/>
      <c r="BP26" s="417"/>
      <c r="BQ26" s="417"/>
      <c r="BR26" s="417"/>
      <c r="BS26" s="417"/>
      <c r="BT26" s="417"/>
      <c r="BU26" s="417"/>
      <c r="IE26" s="790" t="str">
        <f>IFERROR(IF($IU26="","",IF($IU26&lt;(((Settings!$C$19/2)*-1)*$IE$8),"Taper","Nose")),"")</f>
        <v/>
      </c>
      <c r="IF26" s="482" t="str">
        <f>IFERROR(IF((((($IW26*COS(RADIANS(180-$IY26)))*COS(RADIANS($IY26)))-(($IX26*SIN(RADIANS(180-$IY26)))*SIN(RADIANS($IY26))))+$IU26)&lt;(((Settings!$C$19+$IF$8)/2)*-1),"Gage",""),"")</f>
        <v/>
      </c>
      <c r="IG26" s="788" t="str">
        <f t="shared" si="65"/>
        <v/>
      </c>
      <c r="IH26" s="674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677" t="str" cm="1">
        <f t="array" ref="II26">IFERROR(IF($IH26&lt;1,$IH26+LARGE((IF($M$9:$M$150="",0,$M$9:$M$150)-MOD(IF($M$9:$M$150="",0,$M$9:$M$150),1)),1),$IH26),"")</f>
        <v/>
      </c>
      <c r="IJ26" s="482" t="str">
        <f t="shared" si="62"/>
        <v/>
      </c>
      <c r="IK26" s="482" t="str">
        <f t="shared" si="20"/>
        <v/>
      </c>
      <c r="IL26" s="670" t="str">
        <f t="shared" si="68"/>
        <v/>
      </c>
      <c r="IM26" s="702"/>
      <c r="IN26" s="5" t="str">
        <f t="shared" si="69"/>
        <v/>
      </c>
      <c r="IO26" s="714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670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05" t="str">
        <f t="shared" si="77"/>
        <v/>
      </c>
      <c r="JA26" s="739"/>
      <c r="JB26" s="797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36"/>
      <c r="JG26" s="744"/>
      <c r="JH26" s="728"/>
      <c r="JI26" s="744"/>
    </row>
    <row r="27" spans="1:269" ht="15" customHeight="1" x14ac:dyDescent="0.25">
      <c r="A27" s="75"/>
      <c r="B27" s="578" t="str">
        <f t="shared" si="33"/>
        <v/>
      </c>
      <c r="C27" s="572" t="str">
        <f t="shared" si="10"/>
        <v/>
      </c>
      <c r="D27" s="576" t="str">
        <f t="shared" si="11"/>
        <v/>
      </c>
      <c r="E27" s="580" t="str">
        <f t="shared" si="12"/>
        <v/>
      </c>
      <c r="F27" s="572" t="str">
        <f t="shared" si="13"/>
        <v/>
      </c>
      <c r="G27" s="579" t="str">
        <f t="shared" si="14"/>
        <v/>
      </c>
      <c r="H27" s="580" t="str">
        <f t="shared" si="34"/>
        <v/>
      </c>
      <c r="I27" s="482"/>
      <c r="J27" s="483" t="str">
        <v/>
      </c>
      <c r="K27" s="806" t="str">
        <f t="shared" si="66"/>
        <v/>
      </c>
      <c r="L27" s="784"/>
      <c r="M27" s="164" t="str">
        <f t="shared" si="35"/>
        <v/>
      </c>
      <c r="N27" s="575" t="str">
        <f t="shared" si="36"/>
        <v/>
      </c>
      <c r="O27" s="572" t="str">
        <f t="shared" si="37"/>
        <v/>
      </c>
      <c r="P27" s="576" t="str">
        <f t="shared" si="38"/>
        <v/>
      </c>
      <c r="Q27" s="528" t="str">
        <f t="shared" si="63"/>
        <v/>
      </c>
      <c r="R27" s="572" t="str">
        <f t="shared" si="39"/>
        <v/>
      </c>
      <c r="S27" s="577" t="str">
        <f t="shared" si="40"/>
        <v/>
      </c>
      <c r="T27" s="578" t="str">
        <f t="shared" si="41"/>
        <v/>
      </c>
      <c r="U27" s="572" t="str">
        <f t="shared" si="42"/>
        <v/>
      </c>
      <c r="V27" s="579" t="str">
        <f t="shared" si="43"/>
        <v/>
      </c>
      <c r="W27" s="528" t="str">
        <f t="shared" si="67"/>
        <v/>
      </c>
      <c r="X27" s="572" t="str">
        <f t="shared" si="44"/>
        <v/>
      </c>
      <c r="Y27" s="573" t="str">
        <f t="shared" si="15"/>
        <v/>
      </c>
      <c r="Z27" s="575" t="str">
        <f>IF(M27="","",-E27)</f>
        <v/>
      </c>
      <c r="AA27" s="572" t="str">
        <f t="shared" si="46"/>
        <v/>
      </c>
      <c r="AB27" s="572" t="str">
        <f t="shared" si="47"/>
        <v/>
      </c>
      <c r="AC27" s="579" t="str">
        <f t="shared" si="48"/>
        <v/>
      </c>
      <c r="AD27" s="580" t="str">
        <f t="shared" si="49"/>
        <v/>
      </c>
      <c r="AE27" s="572" t="str">
        <f t="shared" si="50"/>
        <v/>
      </c>
      <c r="AF27" s="576" t="str">
        <f t="shared" si="51"/>
        <v/>
      </c>
      <c r="AG27" s="545" t="str">
        <f t="shared" si="52"/>
        <v/>
      </c>
      <c r="AH27" s="546" t="str">
        <f t="shared" si="53"/>
        <v/>
      </c>
      <c r="AI27" s="528" t="str">
        <f t="shared" si="54"/>
        <v/>
      </c>
      <c r="AJ27" s="529" t="str">
        <f t="shared" si="55"/>
        <v/>
      </c>
      <c r="AK27" s="578" t="str">
        <f t="shared" si="56"/>
        <v/>
      </c>
      <c r="AL27" s="572" t="str">
        <f t="shared" si="57"/>
        <v/>
      </c>
      <c r="AM27" s="577" t="str">
        <f t="shared" si="58"/>
        <v/>
      </c>
      <c r="AN27" s="524" t="str">
        <f t="shared" si="16"/>
        <v/>
      </c>
      <c r="AO27" s="525" t="str">
        <f t="shared" si="17"/>
        <v/>
      </c>
      <c r="AP27" s="528" t="str">
        <f t="shared" si="59"/>
        <v/>
      </c>
      <c r="AQ27" s="529" t="str">
        <f t="shared" si="60"/>
        <v/>
      </c>
      <c r="AS27" s="598" t="str">
        <f t="shared" si="18"/>
        <v/>
      </c>
      <c r="AT27" s="602" t="str">
        <f t="shared" si="61"/>
        <v/>
      </c>
      <c r="AU27" s="515" t="str">
        <f t="shared" si="19"/>
        <v/>
      </c>
      <c r="AV27" s="164" t="str">
        <f t="shared" si="64"/>
        <v/>
      </c>
      <c r="AW27" s="545" t="str">
        <f>IF($M27="","",W27-INDEX(Assy.Model!$W$9:$W$150,MATCH('SN#.Run#'!$M27,Assy.Model!$M$9:$M$150,0)))</f>
        <v/>
      </c>
      <c r="AX27" s="628" t="str">
        <f>IF($M27="","",X27-INDEX(Assy.Model!$X$9:$X$150,MATCH('SN#.Run#'!$M27,Assy.Model!$M$9:$M$150,0)))</f>
        <v/>
      </c>
      <c r="AY27" s="629" t="str">
        <f>IF($M27="","",Y27-INDEX(Assy.Model!$Y$9:$Y$150,MATCH('SN#.Run#'!$M27,Assy.Model!$M$9:$M$150,0)))</f>
        <v/>
      </c>
      <c r="AZ27" s="60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10" t="str">
        <f>IF($M27="","",AN27-INDEX(Assy.Model!$AN$9:$AN$150,MATCH('SN#.Run#'!$M27,Assy.Model!$M$9:$M$150,0)))</f>
        <v/>
      </c>
      <c r="BB27" s="525" t="str">
        <f>IF($M27="","",AO27-INDEX(Assy.Model!$AO$9:$AO$150,MATCH('SN#.Run#'!$M27,Assy.Model!$M$9:$M$150,0)))</f>
        <v/>
      </c>
      <c r="BC27" s="619" t="str">
        <f>IF($M27="","",AP27-INDEX(Assy.Model!$AP$9:$AP$150,MATCH('SN#.Run#'!$M27,Assy.Model!$M$9:$M$150,0)))</f>
        <v/>
      </c>
      <c r="BD27" s="419"/>
      <c r="BE27" s="699"/>
      <c r="BM27" s="417"/>
      <c r="BN27" s="417"/>
      <c r="BO27" s="417"/>
      <c r="BP27" s="417"/>
      <c r="BQ27" s="417"/>
      <c r="BR27" s="417"/>
      <c r="BS27" s="417"/>
      <c r="BT27" s="417"/>
      <c r="BU27" s="417"/>
      <c r="BW27" s="71"/>
      <c r="IE27" s="790" t="str">
        <f>IFERROR(IF($IU27="","",IF($IU27&lt;(((Settings!$C$19/2)*-1)*$IE$8),"Taper","Nose")),"")</f>
        <v/>
      </c>
      <c r="IF27" s="482" t="str">
        <f>IFERROR(IF((((($IW27*COS(RADIANS(180-$IY27)))*COS(RADIANS($IY27)))-(($IX27*SIN(RADIANS(180-$IY27)))*SIN(RADIANS($IY27))))+$IU27)&lt;(((Settings!$C$19+$IF$8)/2)*-1),"Gage",""),"")</f>
        <v/>
      </c>
      <c r="IG27" s="788" t="str">
        <f t="shared" si="65"/>
        <v/>
      </c>
      <c r="IH27" s="674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677" t="str" cm="1">
        <f t="array" ref="II27">IFERROR(IF($IH27&lt;1,$IH27+LARGE((IF($M$9:$M$150="",0,$M$9:$M$150)-MOD(IF($M$9:$M$150="",0,$M$9:$M$150),1)),1),$IH27),"")</f>
        <v/>
      </c>
      <c r="IJ27" s="482" t="str">
        <f t="shared" si="62"/>
        <v/>
      </c>
      <c r="IK27" s="482" t="str">
        <f t="shared" si="20"/>
        <v/>
      </c>
      <c r="IL27" s="670" t="str">
        <f t="shared" si="68"/>
        <v/>
      </c>
      <c r="IM27" s="702"/>
      <c r="IN27" s="5" t="str">
        <f t="shared" si="69"/>
        <v/>
      </c>
      <c r="IO27" s="714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670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05" t="str">
        <f t="shared" si="77"/>
        <v/>
      </c>
      <c r="JA27" s="739"/>
      <c r="JB27" s="797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36"/>
      <c r="JG27" s="744"/>
      <c r="JH27" s="728"/>
      <c r="JI27" s="744"/>
    </row>
    <row r="28" spans="1:269" ht="15" customHeight="1" x14ac:dyDescent="0.25">
      <c r="A28" s="75"/>
      <c r="B28" s="578" t="str">
        <f t="shared" si="33"/>
        <v/>
      </c>
      <c r="C28" s="572" t="str">
        <f t="shared" si="10"/>
        <v/>
      </c>
      <c r="D28" s="576" t="str">
        <f t="shared" si="11"/>
        <v/>
      </c>
      <c r="E28" s="580" t="str">
        <f t="shared" si="12"/>
        <v/>
      </c>
      <c r="F28" s="572" t="str">
        <f t="shared" si="13"/>
        <v/>
      </c>
      <c r="G28" s="579" t="str">
        <f t="shared" si="14"/>
        <v/>
      </c>
      <c r="H28" s="580" t="str">
        <f t="shared" si="34"/>
        <v/>
      </c>
      <c r="I28" s="482"/>
      <c r="J28" s="483" t="str">
        <v/>
      </c>
      <c r="K28" s="806" t="str">
        <f t="shared" si="66"/>
        <v/>
      </c>
      <c r="L28" s="784"/>
      <c r="M28" s="164" t="str">
        <f t="shared" si="35"/>
        <v/>
      </c>
      <c r="N28" s="575" t="str">
        <f t="shared" si="36"/>
        <v/>
      </c>
      <c r="O28" s="572" t="str">
        <f t="shared" si="37"/>
        <v/>
      </c>
      <c r="P28" s="576" t="str">
        <f t="shared" si="38"/>
        <v/>
      </c>
      <c r="Q28" s="528" t="str">
        <f t="shared" si="63"/>
        <v/>
      </c>
      <c r="R28" s="572" t="str">
        <f t="shared" si="39"/>
        <v/>
      </c>
      <c r="S28" s="577" t="str">
        <f t="shared" si="40"/>
        <v/>
      </c>
      <c r="T28" s="578" t="str">
        <f t="shared" si="41"/>
        <v/>
      </c>
      <c r="U28" s="572" t="str">
        <f t="shared" si="42"/>
        <v/>
      </c>
      <c r="V28" s="579" t="str">
        <f t="shared" si="43"/>
        <v/>
      </c>
      <c r="W28" s="528" t="str">
        <f t="shared" si="67"/>
        <v/>
      </c>
      <c r="X28" s="572" t="str">
        <f t="shared" si="44"/>
        <v/>
      </c>
      <c r="Y28" s="573" t="str">
        <f t="shared" si="15"/>
        <v/>
      </c>
      <c r="Z28" s="575" t="str">
        <f t="shared" si="45"/>
        <v/>
      </c>
      <c r="AA28" s="572" t="str">
        <f t="shared" si="46"/>
        <v/>
      </c>
      <c r="AB28" s="572" t="str">
        <f t="shared" si="47"/>
        <v/>
      </c>
      <c r="AC28" s="579" t="str">
        <f t="shared" si="48"/>
        <v/>
      </c>
      <c r="AD28" s="580" t="str">
        <f t="shared" si="49"/>
        <v/>
      </c>
      <c r="AE28" s="572" t="str">
        <f t="shared" si="50"/>
        <v/>
      </c>
      <c r="AF28" s="576" t="str">
        <f t="shared" si="51"/>
        <v/>
      </c>
      <c r="AG28" s="545" t="str">
        <f t="shared" si="52"/>
        <v/>
      </c>
      <c r="AH28" s="546" t="str">
        <f t="shared" si="53"/>
        <v/>
      </c>
      <c r="AI28" s="528" t="str">
        <f t="shared" si="54"/>
        <v/>
      </c>
      <c r="AJ28" s="529" t="str">
        <f t="shared" si="55"/>
        <v/>
      </c>
      <c r="AK28" s="578" t="str">
        <f t="shared" si="56"/>
        <v/>
      </c>
      <c r="AL28" s="572" t="str">
        <f t="shared" si="57"/>
        <v/>
      </c>
      <c r="AM28" s="577" t="str">
        <f t="shared" si="58"/>
        <v/>
      </c>
      <c r="AN28" s="524" t="str">
        <f t="shared" si="16"/>
        <v/>
      </c>
      <c r="AO28" s="525" t="str">
        <f t="shared" si="17"/>
        <v/>
      </c>
      <c r="AP28" s="528" t="str">
        <f t="shared" si="59"/>
        <v/>
      </c>
      <c r="AQ28" s="529" t="str">
        <f t="shared" si="60"/>
        <v/>
      </c>
      <c r="AS28" s="598" t="str">
        <f t="shared" si="18"/>
        <v/>
      </c>
      <c r="AT28" s="602" t="str">
        <f t="shared" si="61"/>
        <v/>
      </c>
      <c r="AU28" s="515" t="str">
        <f t="shared" si="19"/>
        <v/>
      </c>
      <c r="AV28" s="164" t="str">
        <f t="shared" si="64"/>
        <v/>
      </c>
      <c r="AW28" s="545" t="str">
        <f>IF($M28="","",W28-INDEX(Assy.Model!$W$9:$W$150,MATCH('SN#.Run#'!$M28,Assy.Model!$M$9:$M$150,0)))</f>
        <v/>
      </c>
      <c r="AX28" s="628" t="str">
        <f>IF($M28="","",X28-INDEX(Assy.Model!$X$9:$X$150,MATCH('SN#.Run#'!$M28,Assy.Model!$M$9:$M$150,0)))</f>
        <v/>
      </c>
      <c r="AY28" s="629" t="str">
        <f>IF($M28="","",Y28-INDEX(Assy.Model!$Y$9:$Y$150,MATCH('SN#.Run#'!$M28,Assy.Model!$M$9:$M$150,0)))</f>
        <v/>
      </c>
      <c r="AZ28" s="60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10" t="str">
        <f>IF($M28="","",AN28-INDEX(Assy.Model!$AN$9:$AN$150,MATCH('SN#.Run#'!$M28,Assy.Model!$M$9:$M$150,0)))</f>
        <v/>
      </c>
      <c r="BB28" s="525" t="str">
        <f>IF($M28="","",AO28-INDEX(Assy.Model!$AO$9:$AO$150,MATCH('SN#.Run#'!$M28,Assy.Model!$M$9:$M$150,0)))</f>
        <v/>
      </c>
      <c r="BC28" s="619" t="str">
        <f>IF($M28="","",AP28-INDEX(Assy.Model!$AP$9:$AP$150,MATCH('SN#.Run#'!$M28,Assy.Model!$M$9:$M$150,0)))</f>
        <v/>
      </c>
      <c r="BD28" s="419"/>
      <c r="BE28" s="699"/>
      <c r="BM28" s="417"/>
      <c r="BN28" s="417"/>
      <c r="BO28" s="417"/>
      <c r="BP28" s="417"/>
      <c r="BQ28" s="417"/>
      <c r="BR28" s="417"/>
      <c r="BS28" s="417"/>
      <c r="BT28" s="417"/>
      <c r="BU28" s="417"/>
      <c r="IE28" s="790" t="str">
        <f>IFERROR(IF($IU28="","",IF($IU28&lt;(((Settings!$C$19/2)*-1)*$IE$8),"Taper","Nose")),"")</f>
        <v/>
      </c>
      <c r="IF28" s="482" t="str">
        <f>IFERROR(IF((((($IW28*COS(RADIANS(180-$IY28)))*COS(RADIANS($IY28)))-(($IX28*SIN(RADIANS(180-$IY28)))*SIN(RADIANS($IY28))))+$IU28)&lt;(((Settings!$C$19+$IF$8)/2)*-1),"Gage",""),"")</f>
        <v/>
      </c>
      <c r="IG28" s="788" t="str">
        <f t="shared" si="65"/>
        <v/>
      </c>
      <c r="IH28" s="674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677" t="str" cm="1">
        <f t="array" ref="II28">IFERROR(IF($IH28&lt;1,$IH28+LARGE((IF($M$9:$M$150="",0,$M$9:$M$150)-MOD(IF($M$9:$M$150="",0,$M$9:$M$150),1)),1),$IH28),"")</f>
        <v/>
      </c>
      <c r="IJ28" s="482" t="str">
        <f t="shared" si="62"/>
        <v/>
      </c>
      <c r="IK28" s="482" t="str">
        <f t="shared" si="20"/>
        <v/>
      </c>
      <c r="IL28" s="670" t="str">
        <f t="shared" si="68"/>
        <v/>
      </c>
      <c r="IM28" s="702"/>
      <c r="IN28" s="5" t="str">
        <f t="shared" si="69"/>
        <v/>
      </c>
      <c r="IO28" s="714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670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05" t="str">
        <f t="shared" si="77"/>
        <v/>
      </c>
      <c r="JA28" s="740"/>
      <c r="JB28" s="798" t="str" cm="1">
        <f t="array" ref="JB28">IF($JA28="","",COUNT(IF(IF($II$9:$II$150&lt;&gt;"",$IK$9:$IK$150,"")=$JA28,$IG$9:$IG$150,"")))</f>
        <v/>
      </c>
      <c r="JC28" s="175" t="str" cm="1">
        <f t="array" ref="JC28">IF($JA28="","",AVERAGE(IF(IF($II$9:$II$150&lt;&gt;"",$K$9:$K$150,"")=$JA28,$AZ$9:$AZ$150,"")))</f>
        <v/>
      </c>
      <c r="JD28" s="175" t="str" cm="1">
        <f t="array" ref="JD28">IF($JA28="","",_xlfn.STDEV.P(IF(IF($II$9:$II$150&lt;&gt;"",$K$9:$K$150,"")=$JA28,$AZ$9:$AZ$150,"")))</f>
        <v/>
      </c>
      <c r="JE28" s="665" t="str" cm="1">
        <f t="array" ref="JE28">IF($JA28="","",MAX(IF(IF($II$9:$II$150&lt;&gt;"",$K$9:$K$150,"")=$JA28,$AZ$9:$AZ$150,"")))</f>
        <v/>
      </c>
      <c r="JF28" s="738"/>
      <c r="JG28" s="98"/>
      <c r="JH28" s="729"/>
      <c r="JI28" s="98"/>
    </row>
    <row r="29" spans="1:269" ht="15" customHeight="1" x14ac:dyDescent="0.25">
      <c r="A29" s="75"/>
      <c r="B29" s="578" t="str">
        <f t="shared" si="33"/>
        <v/>
      </c>
      <c r="C29" s="572" t="str">
        <f t="shared" si="10"/>
        <v/>
      </c>
      <c r="D29" s="576" t="str">
        <f t="shared" si="11"/>
        <v/>
      </c>
      <c r="E29" s="580" t="str">
        <f t="shared" si="12"/>
        <v/>
      </c>
      <c r="F29" s="572" t="str">
        <f t="shared" si="13"/>
        <v/>
      </c>
      <c r="G29" s="579" t="str">
        <f t="shared" si="14"/>
        <v/>
      </c>
      <c r="H29" s="580" t="str">
        <f t="shared" si="34"/>
        <v/>
      </c>
      <c r="I29" s="482"/>
      <c r="J29" s="483" t="str">
        <v/>
      </c>
      <c r="K29" s="806" t="str">
        <f t="shared" si="66"/>
        <v/>
      </c>
      <c r="L29" s="784"/>
      <c r="M29" s="164" t="str">
        <f t="shared" si="35"/>
        <v/>
      </c>
      <c r="N29" s="575" t="str">
        <f t="shared" si="36"/>
        <v/>
      </c>
      <c r="O29" s="572" t="str">
        <f t="shared" si="37"/>
        <v/>
      </c>
      <c r="P29" s="576" t="str">
        <f t="shared" si="38"/>
        <v/>
      </c>
      <c r="Q29" s="528" t="str">
        <f t="shared" si="63"/>
        <v/>
      </c>
      <c r="R29" s="572" t="str">
        <f t="shared" si="39"/>
        <v/>
      </c>
      <c r="S29" s="577" t="str">
        <f t="shared" si="40"/>
        <v/>
      </c>
      <c r="T29" s="578" t="str">
        <f t="shared" si="41"/>
        <v/>
      </c>
      <c r="U29" s="572" t="str">
        <f t="shared" si="42"/>
        <v/>
      </c>
      <c r="V29" s="579" t="str">
        <f t="shared" si="43"/>
        <v/>
      </c>
      <c r="W29" s="528" t="str">
        <f t="shared" si="67"/>
        <v/>
      </c>
      <c r="X29" s="572" t="str">
        <f t="shared" si="44"/>
        <v/>
      </c>
      <c r="Y29" s="573" t="str">
        <f t="shared" si="15"/>
        <v/>
      </c>
      <c r="Z29" s="575" t="str">
        <f t="shared" si="45"/>
        <v/>
      </c>
      <c r="AA29" s="572" t="str">
        <f t="shared" si="46"/>
        <v/>
      </c>
      <c r="AB29" s="572" t="str">
        <f t="shared" si="47"/>
        <v/>
      </c>
      <c r="AC29" s="579" t="str">
        <f t="shared" si="48"/>
        <v/>
      </c>
      <c r="AD29" s="580" t="str">
        <f t="shared" si="49"/>
        <v/>
      </c>
      <c r="AE29" s="572" t="str">
        <f t="shared" si="50"/>
        <v/>
      </c>
      <c r="AF29" s="576" t="str">
        <f t="shared" si="51"/>
        <v/>
      </c>
      <c r="AG29" s="545" t="str">
        <f t="shared" si="52"/>
        <v/>
      </c>
      <c r="AH29" s="546" t="str">
        <f t="shared" si="53"/>
        <v/>
      </c>
      <c r="AI29" s="528" t="str">
        <f t="shared" si="54"/>
        <v/>
      </c>
      <c r="AJ29" s="529" t="str">
        <f t="shared" si="55"/>
        <v/>
      </c>
      <c r="AK29" s="578" t="str">
        <f t="shared" si="56"/>
        <v/>
      </c>
      <c r="AL29" s="572" t="str">
        <f t="shared" si="57"/>
        <v/>
      </c>
      <c r="AM29" s="577" t="str">
        <f t="shared" si="58"/>
        <v/>
      </c>
      <c r="AN29" s="524" t="str">
        <f t="shared" si="16"/>
        <v/>
      </c>
      <c r="AO29" s="525" t="str">
        <f t="shared" si="17"/>
        <v/>
      </c>
      <c r="AP29" s="528" t="str">
        <f t="shared" si="59"/>
        <v/>
      </c>
      <c r="AQ29" s="529" t="str">
        <f t="shared" si="60"/>
        <v/>
      </c>
      <c r="AS29" s="598" t="str">
        <f t="shared" si="18"/>
        <v/>
      </c>
      <c r="AT29" s="602" t="str">
        <f t="shared" si="61"/>
        <v/>
      </c>
      <c r="AU29" s="515" t="str">
        <f t="shared" si="19"/>
        <v/>
      </c>
      <c r="AV29" s="164" t="str">
        <f t="shared" si="64"/>
        <v/>
      </c>
      <c r="AW29" s="545" t="str">
        <f>IF($M29="","",W29-INDEX(Assy.Model!$W$9:$W$150,MATCH('SN#.Run#'!$M29,Assy.Model!$M$9:$M$150,0)))</f>
        <v/>
      </c>
      <c r="AX29" s="628" t="str">
        <f>IF($M29="","",X29-INDEX(Assy.Model!$X$9:$X$150,MATCH('SN#.Run#'!$M29,Assy.Model!$M$9:$M$150,0)))</f>
        <v/>
      </c>
      <c r="AY29" s="629" t="str">
        <f>IF($M29="","",Y29-INDEX(Assy.Model!$Y$9:$Y$150,MATCH('SN#.Run#'!$M29,Assy.Model!$M$9:$M$150,0)))</f>
        <v/>
      </c>
      <c r="AZ29" s="60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10" t="str">
        <f>IF($M29="","",AN29-INDEX(Assy.Model!$AN$9:$AN$150,MATCH('SN#.Run#'!$M29,Assy.Model!$M$9:$M$150,0)))</f>
        <v/>
      </c>
      <c r="BB29" s="525" t="str">
        <f>IF($M29="","",AO29-INDEX(Assy.Model!$AO$9:$AO$150,MATCH('SN#.Run#'!$M29,Assy.Model!$M$9:$M$150,0)))</f>
        <v/>
      </c>
      <c r="BC29" s="619" t="str">
        <f>IF($M29="","",AP29-INDEX(Assy.Model!$AP$9:$AP$150,MATCH('SN#.Run#'!$M29,Assy.Model!$M$9:$M$150,0)))</f>
        <v/>
      </c>
      <c r="BD29" s="419"/>
      <c r="BE29" s="699"/>
      <c r="BM29" s="417"/>
      <c r="BN29" s="417"/>
      <c r="BO29" s="417"/>
      <c r="BP29" s="417"/>
      <c r="BQ29" s="417"/>
      <c r="BR29" s="417"/>
      <c r="BS29" s="417"/>
      <c r="BT29" s="417"/>
      <c r="BU29" s="417"/>
      <c r="BW29" s="71"/>
      <c r="IE29" s="790" t="str">
        <f>IFERROR(IF($IU29="","",IF($IU29&lt;(((Settings!$C$19/2)*-1)*$IE$8),"Taper","Nose")),"")</f>
        <v/>
      </c>
      <c r="IF29" s="482" t="str">
        <f>IFERROR(IF((((($IW29*COS(RADIANS(180-$IY29)))*COS(RADIANS($IY29)))-(($IX29*SIN(RADIANS(180-$IY29)))*SIN(RADIANS($IY29))))+$IU29)&lt;(((Settings!$C$19+$IF$8)/2)*-1),"Gage",""),"")</f>
        <v/>
      </c>
      <c r="IG29" s="788" t="str">
        <f t="shared" si="65"/>
        <v/>
      </c>
      <c r="IH29" s="674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677" t="str" cm="1">
        <f t="array" ref="II29">IFERROR(IF($IH29&lt;1,$IH29+LARGE((IF($M$9:$M$150="",0,$M$9:$M$150)-MOD(IF($M$9:$M$150="",0,$M$9:$M$150),1)),1),$IH29),"")</f>
        <v/>
      </c>
      <c r="IJ29" s="482" t="str">
        <f t="shared" si="62"/>
        <v/>
      </c>
      <c r="IK29" s="482" t="str">
        <f t="shared" si="20"/>
        <v/>
      </c>
      <c r="IL29" s="670" t="str">
        <f t="shared" si="68"/>
        <v/>
      </c>
      <c r="IM29" s="702"/>
      <c r="IN29" s="5" t="str">
        <f t="shared" si="69"/>
        <v/>
      </c>
      <c r="IO29" s="714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670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05" t="str">
        <f t="shared" si="77"/>
        <v/>
      </c>
      <c r="JA29" s="419" t="s">
        <v>378</v>
      </c>
      <c r="JB29" s="745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17"/>
      <c r="JD29" s="417"/>
      <c r="JE29" s="417"/>
      <c r="JF29" s="417"/>
      <c r="JG29" s="417"/>
      <c r="JH29" s="745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745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5"/>
      <c r="B30" s="578" t="str">
        <f t="shared" si="33"/>
        <v/>
      </c>
      <c r="C30" s="572" t="str">
        <f t="shared" si="10"/>
        <v/>
      </c>
      <c r="D30" s="576" t="str">
        <f t="shared" si="11"/>
        <v/>
      </c>
      <c r="E30" s="580" t="str">
        <f t="shared" si="12"/>
        <v/>
      </c>
      <c r="F30" s="572" t="str">
        <f t="shared" si="13"/>
        <v/>
      </c>
      <c r="G30" s="579" t="str">
        <f t="shared" si="14"/>
        <v/>
      </c>
      <c r="H30" s="580" t="str">
        <f t="shared" si="34"/>
        <v/>
      </c>
      <c r="I30" s="482"/>
      <c r="J30" s="483" t="str">
        <v/>
      </c>
      <c r="K30" s="806" t="str">
        <f t="shared" si="66"/>
        <v/>
      </c>
      <c r="L30" s="784"/>
      <c r="M30" s="164" t="str">
        <f t="shared" si="35"/>
        <v/>
      </c>
      <c r="N30" s="575" t="str">
        <f t="shared" si="36"/>
        <v/>
      </c>
      <c r="O30" s="572" t="str">
        <f t="shared" si="37"/>
        <v/>
      </c>
      <c r="P30" s="576" t="str">
        <f t="shared" si="38"/>
        <v/>
      </c>
      <c r="Q30" s="528" t="str">
        <f t="shared" si="63"/>
        <v/>
      </c>
      <c r="R30" s="572" t="str">
        <f t="shared" si="39"/>
        <v/>
      </c>
      <c r="S30" s="577" t="str">
        <f t="shared" si="40"/>
        <v/>
      </c>
      <c r="T30" s="578" t="str">
        <f t="shared" si="41"/>
        <v/>
      </c>
      <c r="U30" s="572" t="str">
        <f t="shared" si="42"/>
        <v/>
      </c>
      <c r="V30" s="579" t="str">
        <f t="shared" si="43"/>
        <v/>
      </c>
      <c r="W30" s="528" t="str">
        <f t="shared" si="67"/>
        <v/>
      </c>
      <c r="X30" s="572" t="str">
        <f t="shared" si="44"/>
        <v/>
      </c>
      <c r="Y30" s="573" t="str">
        <f t="shared" si="15"/>
        <v/>
      </c>
      <c r="Z30" s="575" t="str">
        <f t="shared" si="45"/>
        <v/>
      </c>
      <c r="AA30" s="572" t="str">
        <f t="shared" si="46"/>
        <v/>
      </c>
      <c r="AB30" s="572" t="str">
        <f t="shared" si="47"/>
        <v/>
      </c>
      <c r="AC30" s="579" t="str">
        <f t="shared" si="48"/>
        <v/>
      </c>
      <c r="AD30" s="580" t="str">
        <f t="shared" si="49"/>
        <v/>
      </c>
      <c r="AE30" s="572" t="str">
        <f t="shared" si="50"/>
        <v/>
      </c>
      <c r="AF30" s="576" t="str">
        <f t="shared" si="51"/>
        <v/>
      </c>
      <c r="AG30" s="545" t="str">
        <f t="shared" si="52"/>
        <v/>
      </c>
      <c r="AH30" s="546" t="str">
        <f t="shared" si="53"/>
        <v/>
      </c>
      <c r="AI30" s="528" t="str">
        <f t="shared" si="54"/>
        <v/>
      </c>
      <c r="AJ30" s="529" t="str">
        <f t="shared" si="55"/>
        <v/>
      </c>
      <c r="AK30" s="578" t="str">
        <f t="shared" si="56"/>
        <v/>
      </c>
      <c r="AL30" s="572" t="str">
        <f t="shared" si="57"/>
        <v/>
      </c>
      <c r="AM30" s="577" t="str">
        <f t="shared" si="58"/>
        <v/>
      </c>
      <c r="AN30" s="524" t="str">
        <f>IF(M30="","",IF(K30="Knuckle",((DEGREES(ATAN2(AK30,AM30))+90)*-1),DEGREES(ATAN2(-AM30,AL30))))</f>
        <v/>
      </c>
      <c r="AO30" s="525" t="str">
        <f t="shared" si="17"/>
        <v/>
      </c>
      <c r="AP30" s="528" t="str">
        <f t="shared" si="59"/>
        <v/>
      </c>
      <c r="AQ30" s="529" t="str">
        <f t="shared" si="60"/>
        <v/>
      </c>
      <c r="AS30" s="598" t="str">
        <f t="shared" si="18"/>
        <v/>
      </c>
      <c r="AT30" s="602" t="str">
        <f t="shared" si="61"/>
        <v/>
      </c>
      <c r="AU30" s="515" t="str">
        <f t="shared" si="19"/>
        <v/>
      </c>
      <c r="AV30" s="164" t="str">
        <f t="shared" si="64"/>
        <v/>
      </c>
      <c r="AW30" s="545" t="str">
        <f>IF($M30="","",W30-INDEX(Assy.Model!$W$9:$W$150,MATCH('SN#.Run#'!$M30,Assy.Model!$M$9:$M$150,0)))</f>
        <v/>
      </c>
      <c r="AX30" s="628" t="str">
        <f>IF($M30="","",X30-INDEX(Assy.Model!$X$9:$X$150,MATCH('SN#.Run#'!$M30,Assy.Model!$M$9:$M$150,0)))</f>
        <v/>
      </c>
      <c r="AY30" s="629" t="str">
        <f>IF($M30="","",Y30-INDEX(Assy.Model!$Y$9:$Y$150,MATCH('SN#.Run#'!$M30,Assy.Model!$M$9:$M$150,0)))</f>
        <v/>
      </c>
      <c r="AZ30" s="60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10" t="str">
        <f>IF($M30="","",AN30-INDEX(Assy.Model!$AN$9:$AN$150,MATCH('SN#.Run#'!$M30,Assy.Model!$M$9:$M$150,0)))</f>
        <v/>
      </c>
      <c r="BB30" s="525" t="str">
        <f>IF($M30="","",AO30-INDEX(Assy.Model!$AO$9:$AO$150,MATCH('SN#.Run#'!$M30,Assy.Model!$M$9:$M$150,0)))</f>
        <v/>
      </c>
      <c r="BC30" s="619" t="str">
        <f>IF($M30="","",AP30-INDEX(Assy.Model!$AP$9:$AP$150,MATCH('SN#.Run#'!$M30,Assy.Model!$M$9:$M$150,0)))</f>
        <v/>
      </c>
      <c r="BD30" s="419"/>
      <c r="BE30" s="699"/>
      <c r="BF30" s="417"/>
      <c r="BG30" s="417"/>
      <c r="BH30" s="417"/>
      <c r="BI30" s="417"/>
      <c r="BJ30" s="417"/>
      <c r="BK30" s="417"/>
      <c r="BL30" s="417"/>
      <c r="BM30" s="417"/>
      <c r="BN30" s="417"/>
      <c r="BO30" s="417"/>
      <c r="BP30" s="417"/>
      <c r="BQ30" s="417"/>
      <c r="BR30" s="417"/>
      <c r="BS30" s="417"/>
      <c r="BT30" s="417"/>
      <c r="BU30" s="417"/>
      <c r="BW30" s="71"/>
      <c r="IE30" s="790" t="str">
        <f>IFERROR(IF($IU30="","",IF($IU30&lt;(((Settings!$C$19/2)*-1)*$IE$8),"Taper","Nose")),"")</f>
        <v/>
      </c>
      <c r="IF30" s="482" t="str">
        <f>IFERROR(IF((((($IW30*COS(RADIANS(180-$IY30)))*COS(RADIANS($IY30)))-(($IX30*SIN(RADIANS(180-$IY30)))*SIN(RADIANS($IY30))))+$IU30)&lt;(((Settings!$C$19+$IF$8)/2)*-1),"Gage",""),"")</f>
        <v/>
      </c>
      <c r="IG30" s="788" t="str">
        <f t="shared" si="65"/>
        <v/>
      </c>
      <c r="IH30" s="674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677" t="str" cm="1">
        <f t="array" ref="II30">IFERROR(IF($IH30&lt;1,$IH30+LARGE((IF($M$9:$M$150="",0,$M$9:$M$150)-MOD(IF($M$9:$M$150="",0,$M$9:$M$150),1)),1),$IH30),"")</f>
        <v/>
      </c>
      <c r="IJ30" s="482" t="str">
        <f t="shared" si="62"/>
        <v/>
      </c>
      <c r="IK30" s="482" t="str">
        <f t="shared" si="20"/>
        <v/>
      </c>
      <c r="IL30" s="670" t="str">
        <f t="shared" si="68"/>
        <v/>
      </c>
      <c r="IM30" s="702"/>
      <c r="IN30" s="5" t="str">
        <f t="shared" si="69"/>
        <v/>
      </c>
      <c r="IO30" s="714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670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05" t="str">
        <f t="shared" si="77"/>
        <v/>
      </c>
      <c r="JA30" s="31" t="s">
        <v>322</v>
      </c>
      <c r="JB30" s="745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745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745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5"/>
      <c r="B31" s="578" t="str">
        <f t="shared" si="33"/>
        <v/>
      </c>
      <c r="C31" s="572" t="str">
        <f t="shared" si="10"/>
        <v/>
      </c>
      <c r="D31" s="576" t="str">
        <f t="shared" si="11"/>
        <v/>
      </c>
      <c r="E31" s="580" t="str">
        <f t="shared" si="12"/>
        <v/>
      </c>
      <c r="F31" s="572" t="str">
        <f t="shared" si="13"/>
        <v/>
      </c>
      <c r="G31" s="579" t="str">
        <f t="shared" si="14"/>
        <v/>
      </c>
      <c r="H31" s="580" t="str">
        <f t="shared" si="34"/>
        <v/>
      </c>
      <c r="I31" s="482"/>
      <c r="J31" s="483" t="str">
        <v/>
      </c>
      <c r="K31" s="806" t="str">
        <f t="shared" si="66"/>
        <v/>
      </c>
      <c r="M31" s="164" t="str">
        <f t="shared" si="35"/>
        <v/>
      </c>
      <c r="N31" s="575" t="str">
        <f t="shared" si="36"/>
        <v/>
      </c>
      <c r="O31" s="572" t="str">
        <f t="shared" si="37"/>
        <v/>
      </c>
      <c r="P31" s="576" t="str">
        <f t="shared" si="38"/>
        <v/>
      </c>
      <c r="Q31" s="528" t="str">
        <f t="shared" si="63"/>
        <v/>
      </c>
      <c r="R31" s="572" t="str">
        <f t="shared" si="39"/>
        <v/>
      </c>
      <c r="S31" s="577" t="str">
        <f t="shared" si="40"/>
        <v/>
      </c>
      <c r="T31" s="578" t="str">
        <f t="shared" si="41"/>
        <v/>
      </c>
      <c r="U31" s="572" t="str">
        <f t="shared" si="42"/>
        <v/>
      </c>
      <c r="V31" s="579" t="str">
        <f t="shared" si="43"/>
        <v/>
      </c>
      <c r="W31" s="528" t="str">
        <f t="shared" si="67"/>
        <v/>
      </c>
      <c r="X31" s="572" t="str">
        <f t="shared" si="44"/>
        <v/>
      </c>
      <c r="Y31" s="573" t="str">
        <f t="shared" si="15"/>
        <v/>
      </c>
      <c r="Z31" s="575" t="str">
        <f t="shared" si="45"/>
        <v/>
      </c>
      <c r="AA31" s="572" t="str">
        <f t="shared" si="46"/>
        <v/>
      </c>
      <c r="AB31" s="572" t="str">
        <f t="shared" si="47"/>
        <v/>
      </c>
      <c r="AC31" s="579" t="str">
        <f t="shared" si="48"/>
        <v/>
      </c>
      <c r="AD31" s="580" t="str">
        <f t="shared" si="49"/>
        <v/>
      </c>
      <c r="AE31" s="572" t="str">
        <f t="shared" si="50"/>
        <v/>
      </c>
      <c r="AF31" s="576" t="str">
        <f t="shared" si="51"/>
        <v/>
      </c>
      <c r="AG31" s="545" t="str">
        <f t="shared" si="52"/>
        <v/>
      </c>
      <c r="AH31" s="546" t="str">
        <f t="shared" si="53"/>
        <v/>
      </c>
      <c r="AI31" s="528" t="str">
        <f t="shared" si="54"/>
        <v/>
      </c>
      <c r="AJ31" s="529" t="str">
        <f t="shared" si="55"/>
        <v/>
      </c>
      <c r="AK31" s="578" t="str">
        <f t="shared" si="56"/>
        <v/>
      </c>
      <c r="AL31" s="572" t="str">
        <f t="shared" si="57"/>
        <v/>
      </c>
      <c r="AM31" s="577" t="str">
        <f t="shared" si="58"/>
        <v/>
      </c>
      <c r="AN31" s="524" t="str">
        <f>IF(M31="","",IF(K31="Knuckle",((DEGREES(ATAN2(AK31,AM31))+90)*-1),DEGREES(ATAN2(-AM31,AL31))))</f>
        <v/>
      </c>
      <c r="AO31" s="525" t="str">
        <f t="shared" si="17"/>
        <v/>
      </c>
      <c r="AP31" s="528" t="str">
        <f t="shared" si="59"/>
        <v/>
      </c>
      <c r="AQ31" s="529" t="str">
        <f t="shared" si="60"/>
        <v/>
      </c>
      <c r="AS31" s="598" t="str">
        <f t="shared" si="18"/>
        <v/>
      </c>
      <c r="AT31" s="602" t="str">
        <f t="shared" si="61"/>
        <v/>
      </c>
      <c r="AU31" s="515" t="str">
        <f t="shared" si="19"/>
        <v/>
      </c>
      <c r="AV31" s="164" t="str">
        <f t="shared" si="64"/>
        <v/>
      </c>
      <c r="AW31" s="545" t="str">
        <f>IF($M31="","",W31-INDEX(Assy.Model!$W$9:$W$150,MATCH('SN#.Run#'!$M31,Assy.Model!$M$9:$M$150,0)))</f>
        <v/>
      </c>
      <c r="AX31" s="628" t="str">
        <f>IF($M31="","",X31-INDEX(Assy.Model!$X$9:$X$150,MATCH('SN#.Run#'!$M31,Assy.Model!$M$9:$M$150,0)))</f>
        <v/>
      </c>
      <c r="AY31" s="629" t="str">
        <f>IF($M31="","",Y31-INDEX(Assy.Model!$Y$9:$Y$150,MATCH('SN#.Run#'!$M31,Assy.Model!$M$9:$M$150,0)))</f>
        <v/>
      </c>
      <c r="AZ31" s="60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10" t="str">
        <f>IF($M31="","",AN31-INDEX(Assy.Model!$AN$9:$AN$150,MATCH('SN#.Run#'!$M31,Assy.Model!$M$9:$M$150,0)))</f>
        <v/>
      </c>
      <c r="BB31" s="525" t="str">
        <f>IF($M31="","",AO31-INDEX(Assy.Model!$AO$9:$AO$150,MATCH('SN#.Run#'!$M31,Assy.Model!$M$9:$M$150,0)))</f>
        <v/>
      </c>
      <c r="BC31" s="619" t="str">
        <f>IF($M31="","",AP31-INDEX(Assy.Model!$AP$9:$AP$150,MATCH('SN#.Run#'!$M31,Assy.Model!$M$9:$M$150,0)))</f>
        <v/>
      </c>
      <c r="BD31" s="419"/>
      <c r="BE31" s="699"/>
      <c r="BF31" s="417"/>
      <c r="BG31" s="417"/>
      <c r="BH31" s="417"/>
      <c r="BI31" s="417"/>
      <c r="BJ31" s="417"/>
      <c r="BK31" s="417"/>
      <c r="BL31" s="417"/>
      <c r="BM31" s="417"/>
      <c r="BN31" s="417"/>
      <c r="BO31" s="417"/>
      <c r="BP31" s="417"/>
      <c r="BQ31" s="417"/>
      <c r="BR31" s="417"/>
      <c r="BS31" s="417"/>
      <c r="BT31" s="417"/>
      <c r="BU31" s="417"/>
      <c r="BW31" s="71"/>
      <c r="IE31" s="790" t="str">
        <f>IFERROR(IF($IU31="","",IF($IU31&lt;(((Settings!$C$19/2)*-1)*$IE$8),"Taper","Nose")),"")</f>
        <v/>
      </c>
      <c r="IF31" s="482" t="str">
        <f>IFERROR(IF((((($IW31*COS(RADIANS(180-$IY31)))*COS(RADIANS($IY31)))-(($IX31*SIN(RADIANS(180-$IY31)))*SIN(RADIANS($IY31))))+$IU31)&lt;(((Settings!$C$19+$IF$8)/2)*-1),"Gage",""),"")</f>
        <v/>
      </c>
      <c r="IG31" s="788" t="str">
        <f t="shared" si="65"/>
        <v/>
      </c>
      <c r="IH31" s="674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677" t="str" cm="1">
        <f t="array" ref="II31">IFERROR(IF($IH31&lt;1,$IH31+LARGE((IF($M$9:$M$150="",0,$M$9:$M$150)-MOD(IF($M$9:$M$150="",0,$M$9:$M$150),1)),1),$IH31),"")</f>
        <v/>
      </c>
      <c r="IJ31" s="482" t="str">
        <f t="shared" si="62"/>
        <v/>
      </c>
      <c r="IK31" s="482" t="str">
        <f t="shared" si="20"/>
        <v/>
      </c>
      <c r="IL31" s="670" t="str">
        <f t="shared" si="68"/>
        <v/>
      </c>
      <c r="IM31" s="702"/>
      <c r="IN31" s="5" t="str">
        <f t="shared" si="69"/>
        <v/>
      </c>
      <c r="IO31" s="714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670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05" t="str">
        <f t="shared" si="77"/>
        <v/>
      </c>
    </row>
    <row r="32" spans="1:269" ht="15" customHeight="1" x14ac:dyDescent="0.25">
      <c r="A32" s="75"/>
      <c r="B32" s="578" t="str">
        <f t="shared" si="33"/>
        <v/>
      </c>
      <c r="C32" s="572" t="str">
        <f t="shared" si="10"/>
        <v/>
      </c>
      <c r="D32" s="576" t="str">
        <f t="shared" si="11"/>
        <v/>
      </c>
      <c r="E32" s="580" t="str">
        <f t="shared" si="12"/>
        <v/>
      </c>
      <c r="F32" s="572" t="str">
        <f t="shared" si="13"/>
        <v/>
      </c>
      <c r="G32" s="579" t="str">
        <f t="shared" si="14"/>
        <v/>
      </c>
      <c r="H32" s="580" t="str">
        <f t="shared" si="34"/>
        <v/>
      </c>
      <c r="I32" s="482"/>
      <c r="J32" s="483" t="str">
        <v/>
      </c>
      <c r="K32" s="806" t="str">
        <f t="shared" si="66"/>
        <v/>
      </c>
      <c r="M32" s="164" t="str">
        <f t="shared" si="35"/>
        <v/>
      </c>
      <c r="N32" s="575" t="str">
        <f t="shared" si="36"/>
        <v/>
      </c>
      <c r="O32" s="572" t="str">
        <f t="shared" si="37"/>
        <v/>
      </c>
      <c r="P32" s="576" t="str">
        <f t="shared" si="38"/>
        <v/>
      </c>
      <c r="Q32" s="528" t="str">
        <f t="shared" si="63"/>
        <v/>
      </c>
      <c r="R32" s="572" t="str">
        <f t="shared" si="39"/>
        <v/>
      </c>
      <c r="S32" s="577" t="str">
        <f t="shared" si="40"/>
        <v/>
      </c>
      <c r="T32" s="578" t="str">
        <f t="shared" si="41"/>
        <v/>
      </c>
      <c r="U32" s="572" t="str">
        <f t="shared" si="42"/>
        <v/>
      </c>
      <c r="V32" s="579" t="str">
        <f t="shared" si="43"/>
        <v/>
      </c>
      <c r="W32" s="528" t="str">
        <f t="shared" si="67"/>
        <v/>
      </c>
      <c r="X32" s="572" t="str">
        <f t="shared" si="44"/>
        <v/>
      </c>
      <c r="Y32" s="573" t="str">
        <f t="shared" si="15"/>
        <v/>
      </c>
      <c r="Z32" s="575" t="str">
        <f t="shared" si="45"/>
        <v/>
      </c>
      <c r="AA32" s="572" t="str">
        <f t="shared" si="46"/>
        <v/>
      </c>
      <c r="AB32" s="572" t="str">
        <f t="shared" si="47"/>
        <v/>
      </c>
      <c r="AC32" s="579" t="str">
        <f t="shared" si="48"/>
        <v/>
      </c>
      <c r="AD32" s="580" t="str">
        <f t="shared" si="49"/>
        <v/>
      </c>
      <c r="AE32" s="572" t="str">
        <f t="shared" si="50"/>
        <v/>
      </c>
      <c r="AF32" s="576" t="str">
        <f t="shared" si="51"/>
        <v/>
      </c>
      <c r="AG32" s="545" t="str">
        <f t="shared" si="52"/>
        <v/>
      </c>
      <c r="AH32" s="546" t="str">
        <f t="shared" si="53"/>
        <v/>
      </c>
      <c r="AI32" s="528" t="str">
        <f t="shared" si="54"/>
        <v/>
      </c>
      <c r="AJ32" s="529" t="str">
        <f t="shared" si="55"/>
        <v/>
      </c>
      <c r="AK32" s="578" t="str">
        <f t="shared" si="56"/>
        <v/>
      </c>
      <c r="AL32" s="572" t="str">
        <f t="shared" si="57"/>
        <v/>
      </c>
      <c r="AM32" s="577" t="str">
        <f t="shared" si="58"/>
        <v/>
      </c>
      <c r="AN32" s="524" t="str">
        <f t="shared" si="16"/>
        <v/>
      </c>
      <c r="AO32" s="525" t="str">
        <f t="shared" si="17"/>
        <v/>
      </c>
      <c r="AP32" s="528" t="str">
        <f t="shared" si="59"/>
        <v/>
      </c>
      <c r="AQ32" s="529" t="str">
        <f t="shared" si="60"/>
        <v/>
      </c>
      <c r="AS32" s="598" t="str">
        <f t="shared" si="18"/>
        <v/>
      </c>
      <c r="AT32" s="602" t="str">
        <f t="shared" si="61"/>
        <v/>
      </c>
      <c r="AU32" s="515" t="str">
        <f t="shared" si="19"/>
        <v/>
      </c>
      <c r="AV32" s="164" t="str">
        <f t="shared" si="64"/>
        <v/>
      </c>
      <c r="AW32" s="545" t="str">
        <f>IF($M32="","",W32-INDEX(Assy.Model!$W$9:$W$150,MATCH('SN#.Run#'!$M32,Assy.Model!$M$9:$M$150,0)))</f>
        <v/>
      </c>
      <c r="AX32" s="628" t="str">
        <f>IF($M32="","",X32-INDEX(Assy.Model!$X$9:$X$150,MATCH('SN#.Run#'!$M32,Assy.Model!$M$9:$M$150,0)))</f>
        <v/>
      </c>
      <c r="AY32" s="629" t="str">
        <f>IF($M32="","",Y32-INDEX(Assy.Model!$Y$9:$Y$150,MATCH('SN#.Run#'!$M32,Assy.Model!$M$9:$M$150,0)))</f>
        <v/>
      </c>
      <c r="AZ32" s="60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10" t="str">
        <f>IF($M32="","",AN32-INDEX(Assy.Model!$AN$9:$AN$150,MATCH('SN#.Run#'!$M32,Assy.Model!$M$9:$M$150,0)))</f>
        <v/>
      </c>
      <c r="BB32" s="525" t="str">
        <f>IF($M32="","",AO32-INDEX(Assy.Model!$AO$9:$AO$150,MATCH('SN#.Run#'!$M32,Assy.Model!$M$9:$M$150,0)))</f>
        <v/>
      </c>
      <c r="BC32" s="619" t="str">
        <f>IF($M32="","",AP32-INDEX(Assy.Model!$AP$9:$AP$150,MATCH('SN#.Run#'!$M32,Assy.Model!$M$9:$M$150,0)))</f>
        <v/>
      </c>
      <c r="BD32" s="419"/>
      <c r="BE32" s="699"/>
      <c r="BF32" s="417"/>
      <c r="BG32" s="417"/>
      <c r="BH32" s="417"/>
      <c r="BI32" s="417"/>
      <c r="BJ32" s="417"/>
      <c r="BK32" s="417"/>
      <c r="BL32" s="417"/>
      <c r="BM32" s="417"/>
      <c r="BN32" s="417"/>
      <c r="BO32" s="417"/>
      <c r="BP32" s="417"/>
      <c r="BQ32" s="417"/>
      <c r="BR32" s="417"/>
      <c r="BS32" s="417"/>
      <c r="BT32" s="417"/>
      <c r="BU32" s="417"/>
      <c r="IE32" s="790" t="str">
        <f>IFERROR(IF($IU32="","",IF($IU32&lt;(((Settings!$C$19/2)*-1)*$IE$8),"Taper","Nose")),"")</f>
        <v/>
      </c>
      <c r="IF32" s="482" t="str">
        <f>IFERROR(IF((((($IW32*COS(RADIANS(180-$IY32)))*COS(RADIANS($IY32)))-(($IX32*SIN(RADIANS(180-$IY32)))*SIN(RADIANS($IY32))))+$IU32)&lt;(((Settings!$C$19+$IF$8)/2)*-1),"Gage",""),"")</f>
        <v/>
      </c>
      <c r="IG32" s="788" t="str">
        <f t="shared" si="65"/>
        <v/>
      </c>
      <c r="IH32" s="674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677" t="str" cm="1">
        <f t="array" ref="II32">IFERROR(IF($IH32&lt;1,$IH32+LARGE((IF($M$9:$M$150="",0,$M$9:$M$150)-MOD(IF($M$9:$M$150="",0,$M$9:$M$150),1)),1),$IH32),"")</f>
        <v/>
      </c>
      <c r="IJ32" s="482" t="str">
        <f t="shared" si="62"/>
        <v/>
      </c>
      <c r="IK32" s="482" t="str">
        <f t="shared" si="20"/>
        <v/>
      </c>
      <c r="IL32" s="670" t="str">
        <f t="shared" si="68"/>
        <v/>
      </c>
      <c r="IM32" s="702"/>
      <c r="IN32" s="5" t="str">
        <f t="shared" si="69"/>
        <v/>
      </c>
      <c r="IO32" s="714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670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05" t="str">
        <f t="shared" si="77"/>
        <v/>
      </c>
    </row>
    <row r="33" spans="1:271" ht="15" customHeight="1" x14ac:dyDescent="0.25">
      <c r="A33" s="75"/>
      <c r="B33" s="578" t="str">
        <f t="shared" si="33"/>
        <v/>
      </c>
      <c r="C33" s="572" t="str">
        <f t="shared" si="10"/>
        <v/>
      </c>
      <c r="D33" s="576" t="str">
        <f t="shared" si="11"/>
        <v/>
      </c>
      <c r="E33" s="580" t="str">
        <f t="shared" si="12"/>
        <v/>
      </c>
      <c r="F33" s="572" t="str">
        <f t="shared" si="13"/>
        <v/>
      </c>
      <c r="G33" s="579" t="str">
        <f t="shared" si="14"/>
        <v/>
      </c>
      <c r="H33" s="580" t="str">
        <f t="shared" si="34"/>
        <v/>
      </c>
      <c r="I33" s="482"/>
      <c r="J33" s="483" t="str">
        <v/>
      </c>
      <c r="K33" s="806" t="str">
        <f t="shared" si="66"/>
        <v/>
      </c>
      <c r="M33" s="164" t="str">
        <f t="shared" si="35"/>
        <v/>
      </c>
      <c r="N33" s="575" t="str">
        <f t="shared" si="36"/>
        <v/>
      </c>
      <c r="O33" s="572" t="str">
        <f t="shared" si="37"/>
        <v/>
      </c>
      <c r="P33" s="576" t="str">
        <f t="shared" si="38"/>
        <v/>
      </c>
      <c r="Q33" s="528" t="str">
        <f t="shared" si="63"/>
        <v/>
      </c>
      <c r="R33" s="572" t="str">
        <f t="shared" si="39"/>
        <v/>
      </c>
      <c r="S33" s="577" t="str">
        <f t="shared" si="40"/>
        <v/>
      </c>
      <c r="T33" s="578" t="str">
        <f t="shared" si="41"/>
        <v/>
      </c>
      <c r="U33" s="572" t="str">
        <f t="shared" si="42"/>
        <v/>
      </c>
      <c r="V33" s="579" t="str">
        <f t="shared" si="43"/>
        <v/>
      </c>
      <c r="W33" s="528" t="str">
        <f t="shared" si="67"/>
        <v/>
      </c>
      <c r="X33" s="572" t="str">
        <f t="shared" si="44"/>
        <v/>
      </c>
      <c r="Y33" s="573" t="str">
        <f t="shared" si="15"/>
        <v/>
      </c>
      <c r="Z33" s="575" t="str">
        <f t="shared" si="45"/>
        <v/>
      </c>
      <c r="AA33" s="572" t="str">
        <f t="shared" si="46"/>
        <v/>
      </c>
      <c r="AB33" s="572" t="str">
        <f t="shared" si="47"/>
        <v/>
      </c>
      <c r="AC33" s="579" t="str">
        <f t="shared" si="48"/>
        <v/>
      </c>
      <c r="AD33" s="580" t="str">
        <f t="shared" si="49"/>
        <v/>
      </c>
      <c r="AE33" s="572" t="str">
        <f t="shared" si="50"/>
        <v/>
      </c>
      <c r="AF33" s="576" t="str">
        <f t="shared" si="51"/>
        <v/>
      </c>
      <c r="AG33" s="545" t="str">
        <f t="shared" si="52"/>
        <v/>
      </c>
      <c r="AH33" s="546" t="str">
        <f t="shared" si="53"/>
        <v/>
      </c>
      <c r="AI33" s="528" t="str">
        <f t="shared" si="54"/>
        <v/>
      </c>
      <c r="AJ33" s="529" t="str">
        <f t="shared" si="55"/>
        <v/>
      </c>
      <c r="AK33" s="578" t="str">
        <f t="shared" si="56"/>
        <v/>
      </c>
      <c r="AL33" s="572" t="str">
        <f t="shared" si="57"/>
        <v/>
      </c>
      <c r="AM33" s="577" t="str">
        <f t="shared" si="58"/>
        <v/>
      </c>
      <c r="AN33" s="524" t="str">
        <f t="shared" si="16"/>
        <v/>
      </c>
      <c r="AO33" s="525" t="str">
        <f t="shared" si="17"/>
        <v/>
      </c>
      <c r="AP33" s="528" t="str">
        <f t="shared" si="59"/>
        <v/>
      </c>
      <c r="AQ33" s="529" t="str">
        <f t="shared" si="60"/>
        <v/>
      </c>
      <c r="AS33" s="598" t="str">
        <f t="shared" si="18"/>
        <v/>
      </c>
      <c r="AT33" s="602" t="str">
        <f t="shared" si="61"/>
        <v/>
      </c>
      <c r="AU33" s="515" t="str">
        <f t="shared" si="19"/>
        <v/>
      </c>
      <c r="AV33" s="164" t="str">
        <f t="shared" si="64"/>
        <v/>
      </c>
      <c r="AW33" s="545" t="str">
        <f>IF($M33="","",W33-INDEX(Assy.Model!$W$9:$W$150,MATCH('SN#.Run#'!$M33,Assy.Model!$M$9:$M$150,0)))</f>
        <v/>
      </c>
      <c r="AX33" s="628" t="str">
        <f>IF($M33="","",X33-INDEX(Assy.Model!$X$9:$X$150,MATCH('SN#.Run#'!$M33,Assy.Model!$M$9:$M$150,0)))</f>
        <v/>
      </c>
      <c r="AY33" s="629" t="str">
        <f>IF($M33="","",Y33-INDEX(Assy.Model!$Y$9:$Y$150,MATCH('SN#.Run#'!$M33,Assy.Model!$M$9:$M$150,0)))</f>
        <v/>
      </c>
      <c r="AZ33" s="60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10" t="str">
        <f>IF($M33="","",AN33-INDEX(Assy.Model!$AN$9:$AN$150,MATCH('SN#.Run#'!$M33,Assy.Model!$M$9:$M$150,0)))</f>
        <v/>
      </c>
      <c r="BB33" s="525" t="str">
        <f>IF($M33="","",AO33-INDEX(Assy.Model!$AO$9:$AO$150,MATCH('SN#.Run#'!$M33,Assy.Model!$M$9:$M$150,0)))</f>
        <v/>
      </c>
      <c r="BC33" s="619" t="str">
        <f>IF($M33="","",AP33-INDEX(Assy.Model!$AP$9:$AP$150,MATCH('SN#.Run#'!$M33,Assy.Model!$M$9:$M$150,0)))</f>
        <v/>
      </c>
      <c r="BD33" s="419"/>
      <c r="BE33" s="699"/>
      <c r="BF33" s="417"/>
      <c r="BG33" s="417"/>
      <c r="BH33" s="417"/>
      <c r="BI33" s="417"/>
      <c r="BJ33" s="417"/>
      <c r="BK33" s="417"/>
      <c r="BL33" s="417"/>
      <c r="BM33" s="417"/>
      <c r="BN33" s="417"/>
      <c r="BO33" s="417"/>
      <c r="BP33" s="417"/>
      <c r="BQ33" s="417"/>
      <c r="BR33" s="417"/>
      <c r="BS33" s="417"/>
      <c r="BT33" s="417"/>
      <c r="BU33" s="417"/>
      <c r="IE33" s="790" t="str">
        <f>IFERROR(IF($IU33="","",IF($IU33&lt;(((Settings!$C$19/2)*-1)*$IE$8),"Taper","Nose")),"")</f>
        <v/>
      </c>
      <c r="IF33" s="482" t="str">
        <f>IFERROR(IF((((($IW33*COS(RADIANS(180-$IY33)))*COS(RADIANS($IY33)))-(($IX33*SIN(RADIANS(180-$IY33)))*SIN(RADIANS($IY33))))+$IU33)&lt;(((Settings!$C$19+$IF$8)/2)*-1),"Gage",""),"")</f>
        <v/>
      </c>
      <c r="IG33" s="788" t="str">
        <f t="shared" si="65"/>
        <v/>
      </c>
      <c r="IH33" s="674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677" t="str" cm="1">
        <f t="array" ref="II33">IFERROR(IF($IH33&lt;1,$IH33+LARGE((IF($M$9:$M$150="",0,$M$9:$M$150)-MOD(IF($M$9:$M$150="",0,$M$9:$M$150),1)),1),$IH33),"")</f>
        <v/>
      </c>
      <c r="IJ33" s="482" t="str">
        <f t="shared" si="62"/>
        <v/>
      </c>
      <c r="IK33" s="482" t="str">
        <f t="shared" si="20"/>
        <v/>
      </c>
      <c r="IL33" s="670" t="str">
        <f t="shared" si="68"/>
        <v/>
      </c>
      <c r="IM33" s="702"/>
      <c r="IN33" s="5" t="str">
        <f t="shared" si="69"/>
        <v/>
      </c>
      <c r="IO33" s="714"/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670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05" t="str">
        <f t="shared" si="77"/>
        <v/>
      </c>
      <c r="JI33" s="417"/>
      <c r="JJ33" s="417"/>
      <c r="JK33" s="417"/>
    </row>
    <row r="34" spans="1:271" ht="15" customHeight="1" x14ac:dyDescent="0.25">
      <c r="A34" s="75"/>
      <c r="B34" s="578" t="str">
        <f t="shared" si="33"/>
        <v/>
      </c>
      <c r="C34" s="572" t="str">
        <f t="shared" si="10"/>
        <v/>
      </c>
      <c r="D34" s="576" t="str">
        <f t="shared" si="11"/>
        <v/>
      </c>
      <c r="E34" s="580" t="str">
        <f t="shared" si="12"/>
        <v/>
      </c>
      <c r="F34" s="572" t="str">
        <f t="shared" si="13"/>
        <v/>
      </c>
      <c r="G34" s="579" t="str">
        <f t="shared" si="14"/>
        <v/>
      </c>
      <c r="H34" s="580" t="str">
        <f t="shared" si="34"/>
        <v/>
      </c>
      <c r="I34" s="482"/>
      <c r="J34" s="483" t="str">
        <v/>
      </c>
      <c r="K34" s="806" t="str">
        <f t="shared" si="66"/>
        <v/>
      </c>
      <c r="M34" s="164" t="str">
        <f t="shared" si="35"/>
        <v/>
      </c>
      <c r="N34" s="575" t="str">
        <f t="shared" si="36"/>
        <v/>
      </c>
      <c r="O34" s="572" t="str">
        <f t="shared" si="37"/>
        <v/>
      </c>
      <c r="P34" s="576" t="str">
        <f t="shared" si="38"/>
        <v/>
      </c>
      <c r="Q34" s="528" t="str">
        <f t="shared" si="63"/>
        <v/>
      </c>
      <c r="R34" s="572" t="str">
        <f t="shared" si="39"/>
        <v/>
      </c>
      <c r="S34" s="577" t="str">
        <f t="shared" si="40"/>
        <v/>
      </c>
      <c r="T34" s="578" t="str">
        <f t="shared" si="41"/>
        <v/>
      </c>
      <c r="U34" s="572" t="str">
        <f t="shared" si="42"/>
        <v/>
      </c>
      <c r="V34" s="579" t="str">
        <f t="shared" si="43"/>
        <v/>
      </c>
      <c r="W34" s="528" t="str">
        <f t="shared" si="67"/>
        <v/>
      </c>
      <c r="X34" s="572" t="str">
        <f t="shared" si="44"/>
        <v/>
      </c>
      <c r="Y34" s="573" t="str">
        <f t="shared" si="15"/>
        <v/>
      </c>
      <c r="Z34" s="575" t="str">
        <f t="shared" si="45"/>
        <v/>
      </c>
      <c r="AA34" s="572" t="str">
        <f t="shared" si="46"/>
        <v/>
      </c>
      <c r="AB34" s="572" t="str">
        <f t="shared" si="47"/>
        <v/>
      </c>
      <c r="AC34" s="579" t="str">
        <f t="shared" si="48"/>
        <v/>
      </c>
      <c r="AD34" s="580" t="str">
        <f t="shared" si="49"/>
        <v/>
      </c>
      <c r="AE34" s="572" t="str">
        <f t="shared" si="50"/>
        <v/>
      </c>
      <c r="AF34" s="576" t="str">
        <f t="shared" si="51"/>
        <v/>
      </c>
      <c r="AG34" s="545" t="str">
        <f t="shared" si="52"/>
        <v/>
      </c>
      <c r="AH34" s="546" t="str">
        <f t="shared" si="53"/>
        <v/>
      </c>
      <c r="AI34" s="528" t="str">
        <f t="shared" si="54"/>
        <v/>
      </c>
      <c r="AJ34" s="529" t="str">
        <f t="shared" si="55"/>
        <v/>
      </c>
      <c r="AK34" s="578" t="str">
        <f t="shared" si="56"/>
        <v/>
      </c>
      <c r="AL34" s="572" t="str">
        <f t="shared" si="57"/>
        <v/>
      </c>
      <c r="AM34" s="577" t="str">
        <f t="shared" si="58"/>
        <v/>
      </c>
      <c r="AN34" s="524" t="str">
        <f t="shared" si="16"/>
        <v/>
      </c>
      <c r="AO34" s="525" t="str">
        <f t="shared" si="17"/>
        <v/>
      </c>
      <c r="AP34" s="528" t="str">
        <f t="shared" si="59"/>
        <v/>
      </c>
      <c r="AQ34" s="529" t="str">
        <f t="shared" si="60"/>
        <v/>
      </c>
      <c r="AS34" s="598" t="str">
        <f t="shared" si="18"/>
        <v/>
      </c>
      <c r="AT34" s="602" t="str">
        <f t="shared" si="61"/>
        <v/>
      </c>
      <c r="AU34" s="515" t="str">
        <f t="shared" si="19"/>
        <v/>
      </c>
      <c r="AV34" s="164" t="str">
        <f t="shared" si="64"/>
        <v/>
      </c>
      <c r="AW34" s="545" t="str">
        <f>IF($M34="","",W34-INDEX(Assy.Model!$W$9:$W$150,MATCH('SN#.Run#'!$M34,Assy.Model!$M$9:$M$150,0)))</f>
        <v/>
      </c>
      <c r="AX34" s="628" t="str">
        <f>IF($M34="","",X34-INDEX(Assy.Model!$X$9:$X$150,MATCH('SN#.Run#'!$M34,Assy.Model!$M$9:$M$150,0)))</f>
        <v/>
      </c>
      <c r="AY34" s="629" t="str">
        <f>IF($M34="","",Y34-INDEX(Assy.Model!$Y$9:$Y$150,MATCH('SN#.Run#'!$M34,Assy.Model!$M$9:$M$150,0)))</f>
        <v/>
      </c>
      <c r="AZ34" s="60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10" t="str">
        <f>IF($M34="","",AN34-INDEX(Assy.Model!$AN$9:$AN$150,MATCH('SN#.Run#'!$M34,Assy.Model!$M$9:$M$150,0)))</f>
        <v/>
      </c>
      <c r="BB34" s="525" t="str">
        <f>IF($M34="","",AO34-INDEX(Assy.Model!$AO$9:$AO$150,MATCH('SN#.Run#'!$M34,Assy.Model!$M$9:$M$150,0)))</f>
        <v/>
      </c>
      <c r="BC34" s="619" t="str">
        <f>IF($M34="","",AP34-INDEX(Assy.Model!$AP$9:$AP$150,MATCH('SN#.Run#'!$M34,Assy.Model!$M$9:$M$150,0)))</f>
        <v/>
      </c>
      <c r="BD34" s="419"/>
      <c r="BE34" s="699"/>
      <c r="BF34" s="417"/>
      <c r="BG34" s="417"/>
      <c r="BH34" s="417"/>
      <c r="BI34" s="417"/>
      <c r="BJ34" s="417"/>
      <c r="BK34" s="417"/>
      <c r="BL34" s="417"/>
      <c r="BM34" s="417"/>
      <c r="BN34" s="417"/>
      <c r="BO34" s="417"/>
      <c r="BP34" s="417"/>
      <c r="BQ34" s="417"/>
      <c r="BR34" s="417"/>
      <c r="BS34" s="417"/>
      <c r="BT34" s="417"/>
      <c r="BU34" s="417"/>
      <c r="IE34" s="790" t="str">
        <f>IFERROR(IF($IU34="","",IF($IU34&lt;(((Settings!$C$19/2)*-1)*$IE$8),"Taper","Nose")),"")</f>
        <v/>
      </c>
      <c r="IF34" s="482" t="str">
        <f>IFERROR(IF((((($IW34*COS(RADIANS(180-$IY34)))*COS(RADIANS($IY34)))-(($IX34*SIN(RADIANS(180-$IY34)))*SIN(RADIANS($IY34))))+$IU34)&lt;(((Settings!$C$19+$IF$8)/2)*-1),"Gage",""),"")</f>
        <v/>
      </c>
      <c r="IG34" s="788" t="str">
        <f t="shared" si="65"/>
        <v/>
      </c>
      <c r="IH34" s="674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677" t="str" cm="1">
        <f t="array" ref="II34">IFERROR(IF($IH34&lt;1,$IH34+LARGE((IF($M$9:$M$150="",0,$M$9:$M$150)-MOD(IF($M$9:$M$150="",0,$M$9:$M$150),1)),1),$IH34),"")</f>
        <v/>
      </c>
      <c r="IJ34" s="482" t="str">
        <f t="shared" si="62"/>
        <v/>
      </c>
      <c r="IK34" s="482" t="str">
        <f t="shared" si="20"/>
        <v/>
      </c>
      <c r="IL34" s="670" t="str">
        <f t="shared" si="68"/>
        <v/>
      </c>
      <c r="IM34" s="702"/>
      <c r="IN34" s="5" t="str">
        <f t="shared" si="69"/>
        <v/>
      </c>
      <c r="IO34" s="714"/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670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05" t="str">
        <f t="shared" si="77"/>
        <v/>
      </c>
      <c r="JI34" s="417"/>
      <c r="JJ34" s="419"/>
      <c r="JK34" s="417"/>
    </row>
    <row r="35" spans="1:271" ht="15" customHeight="1" x14ac:dyDescent="0.25">
      <c r="A35" s="75"/>
      <c r="B35" s="578" t="str">
        <f t="shared" si="33"/>
        <v/>
      </c>
      <c r="C35" s="572" t="str">
        <f t="shared" si="10"/>
        <v/>
      </c>
      <c r="D35" s="576" t="str">
        <f t="shared" si="11"/>
        <v/>
      </c>
      <c r="E35" s="580" t="str">
        <f t="shared" si="12"/>
        <v/>
      </c>
      <c r="F35" s="572" t="str">
        <f t="shared" si="13"/>
        <v/>
      </c>
      <c r="G35" s="579" t="str">
        <f t="shared" si="14"/>
        <v/>
      </c>
      <c r="H35" s="580" t="str">
        <f t="shared" si="34"/>
        <v/>
      </c>
      <c r="I35" s="482"/>
      <c r="J35" s="483" t="str">
        <v/>
      </c>
      <c r="K35" s="806" t="str">
        <f t="shared" si="66"/>
        <v/>
      </c>
      <c r="M35" s="164" t="str">
        <f t="shared" si="35"/>
        <v/>
      </c>
      <c r="N35" s="575" t="str">
        <f t="shared" si="36"/>
        <v/>
      </c>
      <c r="O35" s="572" t="str">
        <f t="shared" si="37"/>
        <v/>
      </c>
      <c r="P35" s="576" t="str">
        <f t="shared" si="38"/>
        <v/>
      </c>
      <c r="Q35" s="528" t="str">
        <f t="shared" si="63"/>
        <v/>
      </c>
      <c r="R35" s="572" t="str">
        <f t="shared" si="39"/>
        <v/>
      </c>
      <c r="S35" s="577" t="str">
        <f t="shared" si="40"/>
        <v/>
      </c>
      <c r="T35" s="578" t="str">
        <f t="shared" si="41"/>
        <v/>
      </c>
      <c r="U35" s="572" t="str">
        <f t="shared" si="42"/>
        <v/>
      </c>
      <c r="V35" s="579" t="str">
        <f t="shared" si="43"/>
        <v/>
      </c>
      <c r="W35" s="528" t="str">
        <f t="shared" si="67"/>
        <v/>
      </c>
      <c r="X35" s="572" t="str">
        <f t="shared" si="44"/>
        <v/>
      </c>
      <c r="Y35" s="573" t="str">
        <f t="shared" si="15"/>
        <v/>
      </c>
      <c r="Z35" s="575" t="str">
        <f t="shared" si="45"/>
        <v/>
      </c>
      <c r="AA35" s="572" t="str">
        <f t="shared" si="46"/>
        <v/>
      </c>
      <c r="AB35" s="572" t="str">
        <f t="shared" si="47"/>
        <v/>
      </c>
      <c r="AC35" s="579" t="str">
        <f t="shared" si="48"/>
        <v/>
      </c>
      <c r="AD35" s="580" t="str">
        <f t="shared" si="49"/>
        <v/>
      </c>
      <c r="AE35" s="572" t="str">
        <f t="shared" si="50"/>
        <v/>
      </c>
      <c r="AF35" s="576" t="str">
        <f t="shared" si="51"/>
        <v/>
      </c>
      <c r="AG35" s="545" t="str">
        <f t="shared" si="52"/>
        <v/>
      </c>
      <c r="AH35" s="546" t="str">
        <f t="shared" si="53"/>
        <v/>
      </c>
      <c r="AI35" s="528" t="str">
        <f t="shared" si="54"/>
        <v/>
      </c>
      <c r="AJ35" s="529" t="str">
        <f t="shared" si="55"/>
        <v/>
      </c>
      <c r="AK35" s="578" t="str">
        <f t="shared" si="56"/>
        <v/>
      </c>
      <c r="AL35" s="572" t="str">
        <f t="shared" si="57"/>
        <v/>
      </c>
      <c r="AM35" s="577" t="str">
        <f t="shared" si="58"/>
        <v/>
      </c>
      <c r="AN35" s="524" t="str">
        <f t="shared" si="16"/>
        <v/>
      </c>
      <c r="AO35" s="525" t="str">
        <f t="shared" si="17"/>
        <v/>
      </c>
      <c r="AP35" s="528" t="str">
        <f t="shared" si="59"/>
        <v/>
      </c>
      <c r="AQ35" s="529" t="str">
        <f t="shared" si="60"/>
        <v/>
      </c>
      <c r="AS35" s="598" t="str">
        <f t="shared" si="18"/>
        <v/>
      </c>
      <c r="AT35" s="602" t="str">
        <f t="shared" si="61"/>
        <v/>
      </c>
      <c r="AU35" s="515" t="str">
        <f t="shared" si="19"/>
        <v/>
      </c>
      <c r="AV35" s="164" t="str">
        <f t="shared" si="64"/>
        <v/>
      </c>
      <c r="AW35" s="545" t="str">
        <f>IF($M35="","",W35-INDEX(Assy.Model!$W$9:$W$150,MATCH('SN#.Run#'!$M35,Assy.Model!$M$9:$M$150,0)))</f>
        <v/>
      </c>
      <c r="AX35" s="628" t="str">
        <f>IF($M35="","",X35-INDEX(Assy.Model!$X$9:$X$150,MATCH('SN#.Run#'!$M35,Assy.Model!$M$9:$M$150,0)))</f>
        <v/>
      </c>
      <c r="AY35" s="629" t="str">
        <f>IF($M35="","",Y35-INDEX(Assy.Model!$Y$9:$Y$150,MATCH('SN#.Run#'!$M35,Assy.Model!$M$9:$M$150,0)))</f>
        <v/>
      </c>
      <c r="AZ35" s="60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10" t="str">
        <f>IF($M35="","",AN35-INDEX(Assy.Model!$AN$9:$AN$150,MATCH('SN#.Run#'!$M35,Assy.Model!$M$9:$M$150,0)))</f>
        <v/>
      </c>
      <c r="BB35" s="525" t="str">
        <f>IF($M35="","",AO35-INDEX(Assy.Model!$AO$9:$AO$150,MATCH('SN#.Run#'!$M35,Assy.Model!$M$9:$M$150,0)))</f>
        <v/>
      </c>
      <c r="BC35" s="619" t="str">
        <f>IF($M35="","",AP35-INDEX(Assy.Model!$AP$9:$AP$150,MATCH('SN#.Run#'!$M35,Assy.Model!$M$9:$M$150,0)))</f>
        <v/>
      </c>
      <c r="BD35" s="419"/>
      <c r="BE35" s="699"/>
      <c r="BF35" s="417"/>
      <c r="BG35" s="417"/>
      <c r="BH35" s="417"/>
      <c r="BI35" s="417"/>
      <c r="BJ35" s="417"/>
      <c r="BK35" s="417"/>
      <c r="BL35" s="417"/>
      <c r="BM35" s="417"/>
      <c r="BN35" s="417"/>
      <c r="BO35" s="417"/>
      <c r="BP35" s="417"/>
      <c r="BQ35" s="417"/>
      <c r="BR35" s="417"/>
      <c r="BS35" s="417"/>
      <c r="BT35" s="417"/>
      <c r="BU35" s="417"/>
      <c r="IE35" s="790" t="str">
        <f>IFERROR(IF($IU35="","",IF($IU35&lt;(((Settings!$C$19/2)*-1)*$IE$8),"Taper","Nose")),"")</f>
        <v/>
      </c>
      <c r="IF35" s="482" t="str">
        <f>IFERROR(IF((((($IW35*COS(RADIANS(180-$IY35)))*COS(RADIANS($IY35)))-(($IX35*SIN(RADIANS(180-$IY35)))*SIN(RADIANS($IY35))))+$IU35)&lt;(((Settings!$C$19+$IF$8)/2)*-1),"Gage",""),"")</f>
        <v/>
      </c>
      <c r="IG35" s="788" t="str">
        <f t="shared" si="65"/>
        <v/>
      </c>
      <c r="IH35" s="674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677" t="str" cm="1">
        <f t="array" ref="II35">IFERROR(IF($IH35&lt;1,$IH35+LARGE((IF($M$9:$M$150="",0,$M$9:$M$150)-MOD(IF($M$9:$M$150="",0,$M$9:$M$150),1)),1),$IH35),"")</f>
        <v/>
      </c>
      <c r="IJ35" s="482" t="str">
        <f t="shared" si="62"/>
        <v/>
      </c>
      <c r="IK35" s="482" t="str">
        <f t="shared" si="20"/>
        <v/>
      </c>
      <c r="IL35" s="670" t="str">
        <f t="shared" si="68"/>
        <v/>
      </c>
      <c r="IM35" s="702"/>
      <c r="IN35" s="5" t="str">
        <f t="shared" si="69"/>
        <v/>
      </c>
      <c r="IO35" s="714"/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670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05" t="str">
        <f t="shared" si="77"/>
        <v/>
      </c>
      <c r="JI35" s="417"/>
      <c r="JJ35" s="419"/>
      <c r="JK35" s="417"/>
    </row>
    <row r="36" spans="1:271" ht="15" customHeight="1" x14ac:dyDescent="0.25">
      <c r="A36" s="75"/>
      <c r="B36" s="578" t="str">
        <f t="shared" si="33"/>
        <v/>
      </c>
      <c r="C36" s="572" t="str">
        <f t="shared" si="10"/>
        <v/>
      </c>
      <c r="D36" s="576" t="str">
        <f t="shared" si="11"/>
        <v/>
      </c>
      <c r="E36" s="580" t="str">
        <f t="shared" si="12"/>
        <v/>
      </c>
      <c r="F36" s="572" t="str">
        <f t="shared" si="13"/>
        <v/>
      </c>
      <c r="G36" s="579" t="str">
        <f t="shared" si="14"/>
        <v/>
      </c>
      <c r="H36" s="580" t="str">
        <f t="shared" si="34"/>
        <v/>
      </c>
      <c r="I36" s="482"/>
      <c r="J36" s="483" t="str">
        <v/>
      </c>
      <c r="K36" s="806" t="str">
        <f t="shared" si="66"/>
        <v/>
      </c>
      <c r="M36" s="164" t="str">
        <f t="shared" si="35"/>
        <v/>
      </c>
      <c r="N36" s="575" t="str">
        <f t="shared" si="36"/>
        <v/>
      </c>
      <c r="O36" s="572" t="str">
        <f t="shared" si="37"/>
        <v/>
      </c>
      <c r="P36" s="576" t="str">
        <f t="shared" si="38"/>
        <v/>
      </c>
      <c r="Q36" s="528" t="str">
        <f t="shared" si="63"/>
        <v/>
      </c>
      <c r="R36" s="572" t="str">
        <f t="shared" si="39"/>
        <v/>
      </c>
      <c r="S36" s="577" t="str">
        <f t="shared" si="40"/>
        <v/>
      </c>
      <c r="T36" s="578" t="str">
        <f t="shared" si="41"/>
        <v/>
      </c>
      <c r="U36" s="572" t="str">
        <f t="shared" si="42"/>
        <v/>
      </c>
      <c r="V36" s="579" t="str">
        <f t="shared" si="43"/>
        <v/>
      </c>
      <c r="W36" s="528" t="str">
        <f t="shared" si="67"/>
        <v/>
      </c>
      <c r="X36" s="572" t="str">
        <f t="shared" si="44"/>
        <v/>
      </c>
      <c r="Y36" s="573" t="str">
        <f t="shared" si="15"/>
        <v/>
      </c>
      <c r="Z36" s="575" t="str">
        <f t="shared" si="45"/>
        <v/>
      </c>
      <c r="AA36" s="572" t="str">
        <f t="shared" si="46"/>
        <v/>
      </c>
      <c r="AB36" s="572" t="str">
        <f t="shared" si="47"/>
        <v/>
      </c>
      <c r="AC36" s="579" t="str">
        <f t="shared" si="48"/>
        <v/>
      </c>
      <c r="AD36" s="580" t="str">
        <f t="shared" si="49"/>
        <v/>
      </c>
      <c r="AE36" s="572" t="str">
        <f t="shared" si="50"/>
        <v/>
      </c>
      <c r="AF36" s="576" t="str">
        <f t="shared" si="51"/>
        <v/>
      </c>
      <c r="AG36" s="545" t="str">
        <f t="shared" si="52"/>
        <v/>
      </c>
      <c r="AH36" s="546" t="str">
        <f t="shared" si="53"/>
        <v/>
      </c>
      <c r="AI36" s="528" t="str">
        <f t="shared" si="54"/>
        <v/>
      </c>
      <c r="AJ36" s="529" t="str">
        <f t="shared" si="55"/>
        <v/>
      </c>
      <c r="AK36" s="578" t="str">
        <f t="shared" si="56"/>
        <v/>
      </c>
      <c r="AL36" s="572" t="str">
        <f t="shared" si="57"/>
        <v/>
      </c>
      <c r="AM36" s="577" t="str">
        <f t="shared" si="58"/>
        <v/>
      </c>
      <c r="AN36" s="524" t="str">
        <f t="shared" si="16"/>
        <v/>
      </c>
      <c r="AO36" s="525" t="str">
        <f t="shared" si="17"/>
        <v/>
      </c>
      <c r="AP36" s="528" t="str">
        <f t="shared" si="59"/>
        <v/>
      </c>
      <c r="AQ36" s="529" t="str">
        <f t="shared" si="60"/>
        <v/>
      </c>
      <c r="AS36" s="598" t="str">
        <f t="shared" si="18"/>
        <v/>
      </c>
      <c r="AT36" s="602" t="str">
        <f t="shared" si="61"/>
        <v/>
      </c>
      <c r="AU36" s="515" t="str">
        <f t="shared" si="19"/>
        <v/>
      </c>
      <c r="AV36" s="164" t="str">
        <f t="shared" si="64"/>
        <v/>
      </c>
      <c r="AW36" s="545" t="str">
        <f>IF($M36="","",W36-INDEX(Assy.Model!$W$9:$W$150,MATCH('SN#.Run#'!$M36,Assy.Model!$M$9:$M$150,0)))</f>
        <v/>
      </c>
      <c r="AX36" s="628" t="str">
        <f>IF($M36="","",X36-INDEX(Assy.Model!$X$9:$X$150,MATCH('SN#.Run#'!$M36,Assy.Model!$M$9:$M$150,0)))</f>
        <v/>
      </c>
      <c r="AY36" s="629" t="str">
        <f>IF($M36="","",Y36-INDEX(Assy.Model!$Y$9:$Y$150,MATCH('SN#.Run#'!$M36,Assy.Model!$M$9:$M$150,0)))</f>
        <v/>
      </c>
      <c r="AZ36" s="60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10" t="str">
        <f>IF($M36="","",AN36-INDEX(Assy.Model!$AN$9:$AN$150,MATCH('SN#.Run#'!$M36,Assy.Model!$M$9:$M$150,0)))</f>
        <v/>
      </c>
      <c r="BB36" s="525" t="str">
        <f>IF($M36="","",AO36-INDEX(Assy.Model!$AO$9:$AO$150,MATCH('SN#.Run#'!$M36,Assy.Model!$M$9:$M$150,0)))</f>
        <v/>
      </c>
      <c r="BC36" s="619" t="str">
        <f>IF($M36="","",AP36-INDEX(Assy.Model!$AP$9:$AP$150,MATCH('SN#.Run#'!$M36,Assy.Model!$M$9:$M$150,0)))</f>
        <v/>
      </c>
      <c r="BD36" s="419"/>
      <c r="BE36" s="699"/>
      <c r="BF36" s="417"/>
      <c r="BG36" s="417"/>
      <c r="BH36" s="417"/>
      <c r="BI36" s="417"/>
      <c r="BJ36" s="417"/>
      <c r="BK36" s="417"/>
      <c r="BL36" s="417"/>
      <c r="BM36" s="417"/>
      <c r="BN36" s="417"/>
      <c r="BO36" s="417"/>
      <c r="BP36" s="417"/>
      <c r="BQ36" s="417"/>
      <c r="BR36" s="417"/>
      <c r="BS36" s="417"/>
      <c r="BT36" s="417"/>
      <c r="BU36" s="417"/>
      <c r="IE36" s="790" t="str">
        <f>IFERROR(IF($IU36="","",IF($IU36&lt;(((Settings!$C$19/2)*-1)*$IE$8),"Taper","Nose")),"")</f>
        <v/>
      </c>
      <c r="IF36" s="482" t="str">
        <f>IFERROR(IF((((($IW36*COS(RADIANS(180-$IY36)))*COS(RADIANS($IY36)))-(($IX36*SIN(RADIANS(180-$IY36)))*SIN(RADIANS($IY36))))+$IU36)&lt;(((Settings!$C$19+$IF$8)/2)*-1),"Gage",""),"")</f>
        <v/>
      </c>
      <c r="IG36" s="788" t="str">
        <f t="shared" si="65"/>
        <v/>
      </c>
      <c r="IH36" s="674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677" t="str" cm="1">
        <f t="array" ref="II36">IFERROR(IF($IH36&lt;1,$IH36+LARGE((IF($M$9:$M$150="",0,$M$9:$M$150)-MOD(IF($M$9:$M$150="",0,$M$9:$M$150),1)),1),$IH36),"")</f>
        <v/>
      </c>
      <c r="IJ36" s="482" t="str">
        <f t="shared" si="62"/>
        <v/>
      </c>
      <c r="IK36" s="482" t="str">
        <f t="shared" si="20"/>
        <v/>
      </c>
      <c r="IL36" s="670" t="str">
        <f t="shared" si="68"/>
        <v/>
      </c>
      <c r="IM36" s="702"/>
      <c r="IN36" s="5" t="str">
        <f t="shared" si="69"/>
        <v/>
      </c>
      <c r="IO36" s="714"/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670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05" t="str">
        <f t="shared" si="77"/>
        <v/>
      </c>
      <c r="JI36" s="417"/>
      <c r="JJ36" s="419"/>
      <c r="JK36" s="417"/>
    </row>
    <row r="37" spans="1:271" ht="15" customHeight="1" x14ac:dyDescent="0.25">
      <c r="A37" s="75"/>
      <c r="B37" s="578" t="str">
        <f t="shared" si="33"/>
        <v/>
      </c>
      <c r="C37" s="572" t="str">
        <f t="shared" si="10"/>
        <v/>
      </c>
      <c r="D37" s="576" t="str">
        <f t="shared" si="11"/>
        <v/>
      </c>
      <c r="E37" s="580" t="str">
        <f t="shared" si="12"/>
        <v/>
      </c>
      <c r="F37" s="572" t="str">
        <f t="shared" si="13"/>
        <v/>
      </c>
      <c r="G37" s="579" t="str">
        <f t="shared" si="14"/>
        <v/>
      </c>
      <c r="H37" s="580" t="str">
        <f t="shared" si="34"/>
        <v/>
      </c>
      <c r="I37" s="482"/>
      <c r="J37" s="483" t="str">
        <v/>
      </c>
      <c r="K37" s="806" t="str">
        <f t="shared" si="66"/>
        <v/>
      </c>
      <c r="M37" s="164" t="str">
        <f t="shared" si="35"/>
        <v/>
      </c>
      <c r="N37" s="575" t="str">
        <f t="shared" si="36"/>
        <v/>
      </c>
      <c r="O37" s="572" t="str">
        <f t="shared" si="37"/>
        <v/>
      </c>
      <c r="P37" s="576" t="str">
        <f t="shared" si="38"/>
        <v/>
      </c>
      <c r="Q37" s="528" t="str">
        <f t="shared" si="63"/>
        <v/>
      </c>
      <c r="R37" s="572" t="str">
        <f t="shared" si="39"/>
        <v/>
      </c>
      <c r="S37" s="577" t="str">
        <f t="shared" si="40"/>
        <v/>
      </c>
      <c r="T37" s="578" t="str">
        <f t="shared" si="41"/>
        <v/>
      </c>
      <c r="U37" s="572" t="str">
        <f t="shared" si="42"/>
        <v/>
      </c>
      <c r="V37" s="579" t="str">
        <f t="shared" si="43"/>
        <v/>
      </c>
      <c r="W37" s="528" t="str">
        <f t="shared" si="67"/>
        <v/>
      </c>
      <c r="X37" s="572" t="str">
        <f t="shared" si="44"/>
        <v/>
      </c>
      <c r="Y37" s="573" t="str">
        <f t="shared" si="15"/>
        <v/>
      </c>
      <c r="Z37" s="575" t="str">
        <f t="shared" si="45"/>
        <v/>
      </c>
      <c r="AA37" s="572" t="str">
        <f t="shared" si="46"/>
        <v/>
      </c>
      <c r="AB37" s="572" t="str">
        <f t="shared" si="47"/>
        <v/>
      </c>
      <c r="AC37" s="579" t="str">
        <f t="shared" si="48"/>
        <v/>
      </c>
      <c r="AD37" s="580" t="str">
        <f t="shared" si="49"/>
        <v/>
      </c>
      <c r="AE37" s="572" t="str">
        <f t="shared" si="50"/>
        <v/>
      </c>
      <c r="AF37" s="576" t="str">
        <f t="shared" si="51"/>
        <v/>
      </c>
      <c r="AG37" s="545" t="str">
        <f t="shared" si="52"/>
        <v/>
      </c>
      <c r="AH37" s="546" t="str">
        <f t="shared" si="53"/>
        <v/>
      </c>
      <c r="AI37" s="528" t="str">
        <f t="shared" si="54"/>
        <v/>
      </c>
      <c r="AJ37" s="529" t="str">
        <f t="shared" si="55"/>
        <v/>
      </c>
      <c r="AK37" s="578" t="str">
        <f t="shared" si="56"/>
        <v/>
      </c>
      <c r="AL37" s="572" t="str">
        <f t="shared" si="57"/>
        <v/>
      </c>
      <c r="AM37" s="577" t="str">
        <f t="shared" si="58"/>
        <v/>
      </c>
      <c r="AN37" s="524" t="str">
        <f t="shared" si="16"/>
        <v/>
      </c>
      <c r="AO37" s="525" t="str">
        <f t="shared" si="17"/>
        <v/>
      </c>
      <c r="AP37" s="528" t="str">
        <f t="shared" si="59"/>
        <v/>
      </c>
      <c r="AQ37" s="529" t="str">
        <f t="shared" si="60"/>
        <v/>
      </c>
      <c r="AS37" s="598" t="str">
        <f t="shared" ref="AS37:AS48" si="78">IF(M37="","",IF(W37&lt;=LARGE($W$9:$W$17,1),W37,W37-360))</f>
        <v/>
      </c>
      <c r="AT37" s="602" t="str">
        <f t="shared" si="61"/>
        <v/>
      </c>
      <c r="AU37" s="515" t="str">
        <f t="shared" si="19"/>
        <v/>
      </c>
      <c r="AV37" s="164" t="str">
        <f t="shared" si="64"/>
        <v/>
      </c>
      <c r="AW37" s="545" t="str">
        <f>IF($M37="","",W37-INDEX(Assy.Model!$W$9:$W$150,MATCH('SN#.Run#'!$M37,Assy.Model!$M$9:$M$150,0)))</f>
        <v/>
      </c>
      <c r="AX37" s="628" t="str">
        <f>IF($M37="","",X37-INDEX(Assy.Model!$X$9:$X$150,MATCH('SN#.Run#'!$M37,Assy.Model!$M$9:$M$150,0)))</f>
        <v/>
      </c>
      <c r="AY37" s="629" t="str">
        <f>IF($M37="","",Y37-INDEX(Assy.Model!$Y$9:$Y$150,MATCH('SN#.Run#'!$M37,Assy.Model!$M$9:$M$150,0)))</f>
        <v/>
      </c>
      <c r="AZ37" s="60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10" t="str">
        <f>IF($M37="","",AN37-INDEX(Assy.Model!$AN$9:$AN$150,MATCH('SN#.Run#'!$M37,Assy.Model!$M$9:$M$150,0)))</f>
        <v/>
      </c>
      <c r="BB37" s="525" t="str">
        <f>IF($M37="","",AO37-INDEX(Assy.Model!$AO$9:$AO$150,MATCH('SN#.Run#'!$M37,Assy.Model!$M$9:$M$150,0)))</f>
        <v/>
      </c>
      <c r="BC37" s="619" t="str">
        <f>IF($M37="","",AP37-INDEX(Assy.Model!$AP$9:$AP$150,MATCH('SN#.Run#'!$M37,Assy.Model!$M$9:$M$150,0)))</f>
        <v/>
      </c>
      <c r="BD37" s="419"/>
      <c r="BE37" s="699"/>
      <c r="BF37" s="417"/>
      <c r="BG37" s="417"/>
      <c r="BH37" s="417"/>
      <c r="BI37" s="417"/>
      <c r="BJ37" s="417"/>
      <c r="BK37" s="417"/>
      <c r="BL37" s="417"/>
      <c r="BM37" s="417"/>
      <c r="BN37" s="417"/>
      <c r="BO37" s="417"/>
      <c r="BP37" s="417"/>
      <c r="BQ37" s="417"/>
      <c r="BR37" s="417"/>
      <c r="BS37" s="417"/>
      <c r="BT37" s="417"/>
      <c r="BU37" s="417"/>
      <c r="IE37" s="790" t="str">
        <f>IFERROR(IF($IU37="","",IF($IU37&lt;(((Settings!$C$19/2)*-1)*$IE$8),"Taper","Nose")),"")</f>
        <v/>
      </c>
      <c r="IF37" s="482" t="str">
        <f>IFERROR(IF((((($IW37*COS(RADIANS(180-$IY37)))*COS(RADIANS($IY37)))-(($IX37*SIN(RADIANS(180-$IY37)))*SIN(RADIANS($IY37))))+$IU37)&lt;(((Settings!$C$19+$IF$8)/2)*-1),"Gage",""),"")</f>
        <v/>
      </c>
      <c r="IG37" s="788" t="str">
        <f t="shared" si="65"/>
        <v/>
      </c>
      <c r="IH37" s="674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677" t="str" cm="1">
        <f t="array" ref="II37">IFERROR(IF($IH37&lt;1,$IH37+LARGE((IF($M$9:$M$150="",0,$M$9:$M$150)-MOD(IF($M$9:$M$150="",0,$M$9:$M$150),1)),1),$IH37),"")</f>
        <v/>
      </c>
      <c r="IJ37" s="482" t="str">
        <f t="shared" si="62"/>
        <v/>
      </c>
      <c r="IK37" s="482" t="str">
        <f t="shared" si="20"/>
        <v/>
      </c>
      <c r="IL37" s="670" t="str">
        <f t="shared" si="68"/>
        <v/>
      </c>
      <c r="IM37" s="702"/>
      <c r="IN37" s="5" t="str">
        <f t="shared" si="69"/>
        <v/>
      </c>
      <c r="IO37" s="714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670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05" t="str">
        <f t="shared" si="77"/>
        <v/>
      </c>
      <c r="JI37" s="417"/>
      <c r="JJ37" s="419"/>
      <c r="JK37" s="417"/>
    </row>
    <row r="38" spans="1:271" ht="15" customHeight="1" x14ac:dyDescent="0.25">
      <c r="A38" s="75"/>
      <c r="B38" s="578" t="str">
        <f t="shared" si="33"/>
        <v/>
      </c>
      <c r="C38" s="572" t="str">
        <f t="shared" si="10"/>
        <v/>
      </c>
      <c r="D38" s="576" t="str">
        <f t="shared" si="11"/>
        <v/>
      </c>
      <c r="E38" s="580" t="str">
        <f t="shared" si="12"/>
        <v/>
      </c>
      <c r="F38" s="572" t="str">
        <f t="shared" si="13"/>
        <v/>
      </c>
      <c r="G38" s="579" t="str">
        <f t="shared" si="14"/>
        <v/>
      </c>
      <c r="H38" s="580" t="str">
        <f t="shared" si="34"/>
        <v/>
      </c>
      <c r="I38" s="482"/>
      <c r="J38" s="483" t="str">
        <v/>
      </c>
      <c r="K38" s="806" t="str">
        <f t="shared" si="66"/>
        <v/>
      </c>
      <c r="M38" s="164" t="str">
        <f t="shared" si="35"/>
        <v/>
      </c>
      <c r="N38" s="575" t="str">
        <f t="shared" si="36"/>
        <v/>
      </c>
      <c r="O38" s="572" t="str">
        <f t="shared" si="37"/>
        <v/>
      </c>
      <c r="P38" s="576" t="str">
        <f t="shared" si="38"/>
        <v/>
      </c>
      <c r="Q38" s="528" t="str">
        <f t="shared" si="63"/>
        <v/>
      </c>
      <c r="R38" s="572" t="str">
        <f t="shared" si="39"/>
        <v/>
      </c>
      <c r="S38" s="577" t="str">
        <f t="shared" si="40"/>
        <v/>
      </c>
      <c r="T38" s="578" t="str">
        <f t="shared" si="41"/>
        <v/>
      </c>
      <c r="U38" s="572" t="str">
        <f t="shared" si="42"/>
        <v/>
      </c>
      <c r="V38" s="579" t="str">
        <f t="shared" si="43"/>
        <v/>
      </c>
      <c r="W38" s="528" t="str">
        <f t="shared" si="67"/>
        <v/>
      </c>
      <c r="X38" s="572" t="str">
        <f t="shared" si="44"/>
        <v/>
      </c>
      <c r="Y38" s="573" t="str">
        <f t="shared" si="15"/>
        <v/>
      </c>
      <c r="Z38" s="575" t="str">
        <f t="shared" si="45"/>
        <v/>
      </c>
      <c r="AA38" s="572" t="str">
        <f t="shared" si="46"/>
        <v/>
      </c>
      <c r="AB38" s="572" t="str">
        <f t="shared" si="47"/>
        <v/>
      </c>
      <c r="AC38" s="579" t="str">
        <f t="shared" si="48"/>
        <v/>
      </c>
      <c r="AD38" s="580" t="str">
        <f t="shared" si="49"/>
        <v/>
      </c>
      <c r="AE38" s="572" t="str">
        <f t="shared" si="50"/>
        <v/>
      </c>
      <c r="AF38" s="576" t="str">
        <f t="shared" si="51"/>
        <v/>
      </c>
      <c r="AG38" s="545" t="str">
        <f t="shared" si="52"/>
        <v/>
      </c>
      <c r="AH38" s="546" t="str">
        <f t="shared" si="53"/>
        <v/>
      </c>
      <c r="AI38" s="528" t="str">
        <f t="shared" si="54"/>
        <v/>
      </c>
      <c r="AJ38" s="529" t="str">
        <f t="shared" si="55"/>
        <v/>
      </c>
      <c r="AK38" s="578" t="str">
        <f t="shared" si="56"/>
        <v/>
      </c>
      <c r="AL38" s="572" t="str">
        <f t="shared" si="57"/>
        <v/>
      </c>
      <c r="AM38" s="577" t="str">
        <f t="shared" si="58"/>
        <v/>
      </c>
      <c r="AN38" s="524" t="str">
        <f t="shared" si="16"/>
        <v/>
      </c>
      <c r="AO38" s="525" t="str">
        <f t="shared" si="17"/>
        <v/>
      </c>
      <c r="AP38" s="528" t="str">
        <f t="shared" si="59"/>
        <v/>
      </c>
      <c r="AQ38" s="529" t="str">
        <f t="shared" si="60"/>
        <v/>
      </c>
      <c r="AS38" s="598" t="str">
        <f t="shared" si="78"/>
        <v/>
      </c>
      <c r="AT38" s="602" t="str">
        <f t="shared" si="61"/>
        <v/>
      </c>
      <c r="AU38" s="515" t="str">
        <f t="shared" si="19"/>
        <v/>
      </c>
      <c r="AV38" s="164" t="str">
        <f t="shared" si="64"/>
        <v/>
      </c>
      <c r="AW38" s="545" t="str">
        <f>IF($M38="","",W38-INDEX(Assy.Model!$W$9:$W$150,MATCH('SN#.Run#'!$M38,Assy.Model!$M$9:$M$150,0)))</f>
        <v/>
      </c>
      <c r="AX38" s="628" t="str">
        <f>IF($M38="","",X38-INDEX(Assy.Model!$X$9:$X$150,MATCH('SN#.Run#'!$M38,Assy.Model!$M$9:$M$150,0)))</f>
        <v/>
      </c>
      <c r="AY38" s="629" t="str">
        <f>IF($M38="","",Y38-INDEX(Assy.Model!$Y$9:$Y$150,MATCH('SN#.Run#'!$M38,Assy.Model!$M$9:$M$150,0)))</f>
        <v/>
      </c>
      <c r="AZ38" s="60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10" t="str">
        <f>IF($M38="","",AN38-INDEX(Assy.Model!$AN$9:$AN$150,MATCH('SN#.Run#'!$M38,Assy.Model!$M$9:$M$150,0)))</f>
        <v/>
      </c>
      <c r="BB38" s="525" t="str">
        <f>IF($M38="","",AO38-INDEX(Assy.Model!$AO$9:$AO$150,MATCH('SN#.Run#'!$M38,Assy.Model!$M$9:$M$150,0)))</f>
        <v/>
      </c>
      <c r="BC38" s="619" t="str">
        <f>IF($M38="","",AP38-INDEX(Assy.Model!$AP$9:$AP$150,MATCH('SN#.Run#'!$M38,Assy.Model!$M$9:$M$150,0)))</f>
        <v/>
      </c>
      <c r="BD38" s="419"/>
      <c r="BE38" s="699"/>
      <c r="BF38" s="417"/>
      <c r="BG38" s="417"/>
      <c r="BH38" s="417"/>
      <c r="BI38" s="417"/>
      <c r="BJ38" s="417"/>
      <c r="BK38" s="417"/>
      <c r="BL38" s="417"/>
      <c r="BM38" s="417"/>
      <c r="BN38" s="417"/>
      <c r="BO38" s="417"/>
      <c r="BP38" s="417"/>
      <c r="BQ38" s="417"/>
      <c r="BR38" s="417"/>
      <c r="BS38" s="417"/>
      <c r="BT38" s="417"/>
      <c r="BU38" s="417"/>
      <c r="IE38" s="790" t="str">
        <f>IFERROR(IF($IU38="","",IF($IU38&lt;(((Settings!$C$19/2)*-1)*$IE$8),"Taper","Nose")),"")</f>
        <v/>
      </c>
      <c r="IF38" s="482" t="str">
        <f>IFERROR(IF((((($IW38*COS(RADIANS(180-$IY38)))*COS(RADIANS($IY38)))-(($IX38*SIN(RADIANS(180-$IY38)))*SIN(RADIANS($IY38))))+$IU38)&lt;(((Settings!$C$19+$IF$8)/2)*-1),"Gage",""),"")</f>
        <v/>
      </c>
      <c r="IG38" s="788" t="str">
        <f t="shared" si="65"/>
        <v/>
      </c>
      <c r="IH38" s="674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677" t="str" cm="1">
        <f t="array" ref="II38">IFERROR(IF($IH38&lt;1,$IH38+LARGE((IF($M$9:$M$150="",0,$M$9:$M$150)-MOD(IF($M$9:$M$150="",0,$M$9:$M$150),1)),1),$IH38),"")</f>
        <v/>
      </c>
      <c r="IJ38" s="482" t="str">
        <f t="shared" si="62"/>
        <v/>
      </c>
      <c r="IK38" s="482" t="str">
        <f t="shared" si="20"/>
        <v/>
      </c>
      <c r="IL38" s="670" t="str">
        <f t="shared" si="68"/>
        <v/>
      </c>
      <c r="IM38" s="702"/>
      <c r="IN38" s="5" t="str">
        <f t="shared" si="69"/>
        <v/>
      </c>
      <c r="IO38" s="714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670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05" t="str">
        <f t="shared" si="77"/>
        <v/>
      </c>
      <c r="JI38" s="417"/>
      <c r="JJ38" s="419"/>
      <c r="JK38" s="417"/>
    </row>
    <row r="39" spans="1:271" ht="15" customHeight="1" x14ac:dyDescent="0.25">
      <c r="A39" s="75"/>
      <c r="B39" s="578" t="str">
        <f t="shared" si="33"/>
        <v/>
      </c>
      <c r="C39" s="572" t="str">
        <f t="shared" si="10"/>
        <v/>
      </c>
      <c r="D39" s="576" t="str">
        <f t="shared" si="11"/>
        <v/>
      </c>
      <c r="E39" s="580" t="str">
        <f t="shared" si="12"/>
        <v/>
      </c>
      <c r="F39" s="572" t="str">
        <f t="shared" si="13"/>
        <v/>
      </c>
      <c r="G39" s="579" t="str">
        <f t="shared" si="14"/>
        <v/>
      </c>
      <c r="H39" s="580" t="str">
        <f t="shared" si="34"/>
        <v/>
      </c>
      <c r="I39" s="482"/>
      <c r="J39" s="483" t="str">
        <v/>
      </c>
      <c r="K39" s="806" t="str">
        <f t="shared" si="66"/>
        <v/>
      </c>
      <c r="M39" s="164" t="str">
        <f t="shared" si="35"/>
        <v/>
      </c>
      <c r="N39" s="575" t="str">
        <f t="shared" si="36"/>
        <v/>
      </c>
      <c r="O39" s="572" t="str">
        <f t="shared" si="37"/>
        <v/>
      </c>
      <c r="P39" s="576" t="str">
        <f t="shared" si="38"/>
        <v/>
      </c>
      <c r="Q39" s="528" t="str">
        <f t="shared" si="63"/>
        <v/>
      </c>
      <c r="R39" s="572" t="str">
        <f t="shared" si="39"/>
        <v/>
      </c>
      <c r="S39" s="577" t="str">
        <f t="shared" si="40"/>
        <v/>
      </c>
      <c r="T39" s="578" t="str">
        <f t="shared" si="41"/>
        <v/>
      </c>
      <c r="U39" s="572" t="str">
        <f t="shared" si="42"/>
        <v/>
      </c>
      <c r="V39" s="579" t="str">
        <f t="shared" si="43"/>
        <v/>
      </c>
      <c r="W39" s="528" t="str">
        <f t="shared" si="67"/>
        <v/>
      </c>
      <c r="X39" s="572" t="str">
        <f t="shared" si="44"/>
        <v/>
      </c>
      <c r="Y39" s="573" t="str">
        <f t="shared" si="15"/>
        <v/>
      </c>
      <c r="Z39" s="575" t="str">
        <f t="shared" si="45"/>
        <v/>
      </c>
      <c r="AA39" s="572" t="str">
        <f t="shared" si="46"/>
        <v/>
      </c>
      <c r="AB39" s="572" t="str">
        <f t="shared" si="47"/>
        <v/>
      </c>
      <c r="AC39" s="579" t="str">
        <f t="shared" si="48"/>
        <v/>
      </c>
      <c r="AD39" s="580" t="str">
        <f t="shared" si="49"/>
        <v/>
      </c>
      <c r="AE39" s="572" t="str">
        <f t="shared" si="50"/>
        <v/>
      </c>
      <c r="AF39" s="576" t="str">
        <f t="shared" si="51"/>
        <v/>
      </c>
      <c r="AG39" s="545" t="str">
        <f t="shared" si="52"/>
        <v/>
      </c>
      <c r="AH39" s="546" t="str">
        <f t="shared" si="53"/>
        <v/>
      </c>
      <c r="AI39" s="528" t="str">
        <f t="shared" si="54"/>
        <v/>
      </c>
      <c r="AJ39" s="529" t="str">
        <f t="shared" si="55"/>
        <v/>
      </c>
      <c r="AK39" s="578" t="str">
        <f t="shared" si="56"/>
        <v/>
      </c>
      <c r="AL39" s="572" t="str">
        <f t="shared" si="57"/>
        <v/>
      </c>
      <c r="AM39" s="577" t="str">
        <f t="shared" si="58"/>
        <v/>
      </c>
      <c r="AN39" s="524" t="str">
        <f t="shared" si="16"/>
        <v/>
      </c>
      <c r="AO39" s="525" t="str">
        <f t="shared" si="17"/>
        <v/>
      </c>
      <c r="AP39" s="528" t="str">
        <f t="shared" si="59"/>
        <v/>
      </c>
      <c r="AQ39" s="529" t="str">
        <f t="shared" si="60"/>
        <v/>
      </c>
      <c r="AS39" s="598" t="str">
        <f t="shared" si="78"/>
        <v/>
      </c>
      <c r="AT39" s="602" t="str">
        <f t="shared" si="61"/>
        <v/>
      </c>
      <c r="AU39" s="515" t="str">
        <f t="shared" si="19"/>
        <v/>
      </c>
      <c r="AV39" s="164" t="str">
        <f t="shared" si="64"/>
        <v/>
      </c>
      <c r="AW39" s="545" t="str">
        <f>IF($M39="","",W39-INDEX(Assy.Model!$W$9:$W$150,MATCH('SN#.Run#'!$M39,Assy.Model!$M$9:$M$150,0)))</f>
        <v/>
      </c>
      <c r="AX39" s="628" t="str">
        <f>IF($M39="","",X39-INDEX(Assy.Model!$X$9:$X$150,MATCH('SN#.Run#'!$M39,Assy.Model!$M$9:$M$150,0)))</f>
        <v/>
      </c>
      <c r="AY39" s="629" t="str">
        <f>IF($M39="","",Y39-INDEX(Assy.Model!$Y$9:$Y$150,MATCH('SN#.Run#'!$M39,Assy.Model!$M$9:$M$150,0)))</f>
        <v/>
      </c>
      <c r="AZ39" s="60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10" t="str">
        <f>IF($M39="","",AN39-INDEX(Assy.Model!$AN$9:$AN$150,MATCH('SN#.Run#'!$M39,Assy.Model!$M$9:$M$150,0)))</f>
        <v/>
      </c>
      <c r="BB39" s="525" t="str">
        <f>IF($M39="","",AO39-INDEX(Assy.Model!$AO$9:$AO$150,MATCH('SN#.Run#'!$M39,Assy.Model!$M$9:$M$150,0)))</f>
        <v/>
      </c>
      <c r="BC39" s="619" t="str">
        <f>IF($M39="","",AP39-INDEX(Assy.Model!$AP$9:$AP$150,MATCH('SN#.Run#'!$M39,Assy.Model!$M$9:$M$150,0)))</f>
        <v/>
      </c>
      <c r="BD39" s="419"/>
      <c r="BE39" s="699"/>
      <c r="BF39" s="417"/>
      <c r="BG39" s="417"/>
      <c r="BH39" s="417"/>
      <c r="BI39" s="417"/>
      <c r="BJ39" s="417"/>
      <c r="BK39" s="417"/>
      <c r="BL39" s="417"/>
      <c r="BM39" s="417"/>
      <c r="BN39" s="417"/>
      <c r="BO39" s="417"/>
      <c r="BP39" s="417"/>
      <c r="BQ39" s="417"/>
      <c r="BR39" s="417"/>
      <c r="BS39" s="417"/>
      <c r="BT39" s="417"/>
      <c r="BU39" s="417"/>
      <c r="IE39" s="790" t="str">
        <f>IFERROR(IF($IU39="","",IF($IU39&lt;(((Settings!$C$19/2)*-1)*$IE$8),"Taper","Nose")),"")</f>
        <v/>
      </c>
      <c r="IF39" s="482" t="str">
        <f>IFERROR(IF((((($IW39*COS(RADIANS(180-$IY39)))*COS(RADIANS($IY39)))-(($IX39*SIN(RADIANS(180-$IY39)))*SIN(RADIANS($IY39))))+$IU39)&lt;(((Settings!$C$19+$IF$8)/2)*-1),"Gage",""),"")</f>
        <v/>
      </c>
      <c r="IG39" s="788" t="str">
        <f t="shared" si="65"/>
        <v/>
      </c>
      <c r="IH39" s="674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677" t="str" cm="1">
        <f t="array" ref="II39">IFERROR(IF($IH39&lt;1,$IH39+LARGE((IF($M$9:$M$150="",0,$M$9:$M$150)-MOD(IF($M$9:$M$150="",0,$M$9:$M$150),1)),1),$IH39),"")</f>
        <v/>
      </c>
      <c r="IJ39" s="482" t="str">
        <f t="shared" si="62"/>
        <v/>
      </c>
      <c r="IK39" s="482" t="str">
        <f t="shared" si="20"/>
        <v/>
      </c>
      <c r="IL39" s="670" t="str">
        <f t="shared" si="68"/>
        <v/>
      </c>
      <c r="IM39" s="702"/>
      <c r="IN39" s="5" t="str">
        <f t="shared" si="69"/>
        <v/>
      </c>
      <c r="IO39" s="714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670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05" t="str">
        <f t="shared" si="77"/>
        <v/>
      </c>
      <c r="JI39" s="417"/>
      <c r="JJ39" s="419"/>
      <c r="JK39" s="417"/>
    </row>
    <row r="40" spans="1:271" ht="15" customHeight="1" x14ac:dyDescent="0.25">
      <c r="A40" s="75"/>
      <c r="B40" s="578" t="str">
        <f t="shared" si="33"/>
        <v/>
      </c>
      <c r="C40" s="572" t="str">
        <f t="shared" si="10"/>
        <v/>
      </c>
      <c r="D40" s="576" t="str">
        <f t="shared" si="11"/>
        <v/>
      </c>
      <c r="E40" s="580" t="str">
        <f t="shared" si="12"/>
        <v/>
      </c>
      <c r="F40" s="572" t="str">
        <f t="shared" si="13"/>
        <v/>
      </c>
      <c r="G40" s="579" t="str">
        <f t="shared" si="14"/>
        <v/>
      </c>
      <c r="H40" s="580" t="str">
        <f t="shared" si="34"/>
        <v/>
      </c>
      <c r="I40" s="482"/>
      <c r="J40" s="483" t="str">
        <v/>
      </c>
      <c r="K40" s="806" t="str">
        <f t="shared" si="66"/>
        <v/>
      </c>
      <c r="M40" s="164" t="str">
        <f t="shared" si="35"/>
        <v/>
      </c>
      <c r="N40" s="575" t="str">
        <f t="shared" si="36"/>
        <v/>
      </c>
      <c r="O40" s="572" t="str">
        <f t="shared" si="37"/>
        <v/>
      </c>
      <c r="P40" s="576" t="str">
        <f t="shared" si="38"/>
        <v/>
      </c>
      <c r="Q40" s="528" t="str">
        <f t="shared" si="63"/>
        <v/>
      </c>
      <c r="R40" s="572" t="str">
        <f t="shared" si="39"/>
        <v/>
      </c>
      <c r="S40" s="577" t="str">
        <f t="shared" si="40"/>
        <v/>
      </c>
      <c r="T40" s="578" t="str">
        <f t="shared" si="41"/>
        <v/>
      </c>
      <c r="U40" s="572" t="str">
        <f t="shared" si="42"/>
        <v/>
      </c>
      <c r="V40" s="579" t="str">
        <f t="shared" si="43"/>
        <v/>
      </c>
      <c r="W40" s="528" t="str">
        <f t="shared" si="67"/>
        <v/>
      </c>
      <c r="X40" s="572" t="str">
        <f t="shared" si="44"/>
        <v/>
      </c>
      <c r="Y40" s="573" t="str">
        <f t="shared" si="15"/>
        <v/>
      </c>
      <c r="Z40" s="575" t="str">
        <f t="shared" si="45"/>
        <v/>
      </c>
      <c r="AA40" s="572" t="str">
        <f t="shared" si="46"/>
        <v/>
      </c>
      <c r="AB40" s="572" t="str">
        <f t="shared" si="47"/>
        <v/>
      </c>
      <c r="AC40" s="579" t="str">
        <f t="shared" si="48"/>
        <v/>
      </c>
      <c r="AD40" s="580" t="str">
        <f t="shared" si="49"/>
        <v/>
      </c>
      <c r="AE40" s="572" t="str">
        <f t="shared" si="50"/>
        <v/>
      </c>
      <c r="AF40" s="576" t="str">
        <f t="shared" si="51"/>
        <v/>
      </c>
      <c r="AG40" s="545" t="str">
        <f t="shared" si="52"/>
        <v/>
      </c>
      <c r="AH40" s="546" t="str">
        <f t="shared" si="53"/>
        <v/>
      </c>
      <c r="AI40" s="528" t="str">
        <f t="shared" si="54"/>
        <v/>
      </c>
      <c r="AJ40" s="529" t="str">
        <f t="shared" si="55"/>
        <v/>
      </c>
      <c r="AK40" s="578" t="str">
        <f t="shared" si="56"/>
        <v/>
      </c>
      <c r="AL40" s="572" t="str">
        <f t="shared" si="57"/>
        <v/>
      </c>
      <c r="AM40" s="577" t="str">
        <f t="shared" si="58"/>
        <v/>
      </c>
      <c r="AN40" s="524" t="str">
        <f>IF(M40="","",IF(K40="Knuckle",((DEGREES(ATAN2(AK40,AM40))+90)*-1),DEGREES(ATAN2(-AM40,AL40))))</f>
        <v/>
      </c>
      <c r="AO40" s="525" t="str">
        <f t="shared" si="17"/>
        <v/>
      </c>
      <c r="AP40" s="528" t="str">
        <f t="shared" si="59"/>
        <v/>
      </c>
      <c r="AQ40" s="529" t="str">
        <f t="shared" si="60"/>
        <v/>
      </c>
      <c r="AS40" s="598" t="str">
        <f t="shared" si="78"/>
        <v/>
      </c>
      <c r="AT40" s="602" t="str">
        <f t="shared" si="61"/>
        <v/>
      </c>
      <c r="AU40" s="515" t="str">
        <f t="shared" si="19"/>
        <v/>
      </c>
      <c r="AV40" s="164" t="str">
        <f t="shared" si="64"/>
        <v/>
      </c>
      <c r="AW40" s="545" t="str">
        <f>IF($M40="","",W40-INDEX(Assy.Model!$W$9:$W$150,MATCH('SN#.Run#'!$M40,Assy.Model!$M$9:$M$150,0)))</f>
        <v/>
      </c>
      <c r="AX40" s="628" t="str">
        <f>IF($M40="","",X40-INDEX(Assy.Model!$X$9:$X$150,MATCH('SN#.Run#'!$M40,Assy.Model!$M$9:$M$150,0)))</f>
        <v/>
      </c>
      <c r="AY40" s="629" t="str">
        <f>IF($M40="","",Y40-INDEX(Assy.Model!$Y$9:$Y$150,MATCH('SN#.Run#'!$M40,Assy.Model!$M$9:$M$150,0)))</f>
        <v/>
      </c>
      <c r="AZ40" s="60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10" t="str">
        <f>IF($M40="","",AN40-INDEX(Assy.Model!$AN$9:$AN$150,MATCH('SN#.Run#'!$M40,Assy.Model!$M$9:$M$150,0)))</f>
        <v/>
      </c>
      <c r="BB40" s="525" t="str">
        <f>IF($M40="","",AO40-INDEX(Assy.Model!$AO$9:$AO$150,MATCH('SN#.Run#'!$M40,Assy.Model!$M$9:$M$150,0)))</f>
        <v/>
      </c>
      <c r="BC40" s="619" t="str">
        <f>IF($M40="","",AP40-INDEX(Assy.Model!$AP$9:$AP$150,MATCH('SN#.Run#'!$M40,Assy.Model!$M$9:$M$150,0)))</f>
        <v/>
      </c>
      <c r="BD40" s="419"/>
      <c r="BE40" s="699"/>
      <c r="BF40" s="417"/>
      <c r="BG40" s="417"/>
      <c r="BH40" s="417"/>
      <c r="BI40" s="417"/>
      <c r="BJ40" s="417"/>
      <c r="BK40" s="417"/>
      <c r="BL40" s="417"/>
      <c r="BM40" s="417"/>
      <c r="BN40" s="417"/>
      <c r="BO40" s="417"/>
      <c r="BP40" s="417"/>
      <c r="BQ40" s="417"/>
      <c r="BR40" s="417"/>
      <c r="BS40" s="417"/>
      <c r="BT40" s="417"/>
      <c r="BU40" s="417"/>
      <c r="IE40" s="790" t="str">
        <f>IFERROR(IF($IU40="","",IF($IU40&lt;(((Settings!$C$19/2)*-1)*$IE$8),"Taper","Nose")),"")</f>
        <v/>
      </c>
      <c r="IF40" s="482" t="str">
        <f>IFERROR(IF((((($IW40*COS(RADIANS(180-$IY40)))*COS(RADIANS($IY40)))-(($IX40*SIN(RADIANS(180-$IY40)))*SIN(RADIANS($IY40))))+$IU40)&lt;(((Settings!$C$19+$IF$8)/2)*-1),"Gage",""),"")</f>
        <v/>
      </c>
      <c r="IG40" s="788" t="str">
        <f t="shared" si="65"/>
        <v/>
      </c>
      <c r="IH40" s="674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677" t="str" cm="1">
        <f t="array" ref="II40">IFERROR(IF($IH40&lt;1,$IH40+LARGE((IF($M$9:$M$150="",0,$M$9:$M$150)-MOD(IF($M$9:$M$150="",0,$M$9:$M$150),1)),1),$IH40),"")</f>
        <v/>
      </c>
      <c r="IJ40" s="482" t="str">
        <f t="shared" si="62"/>
        <v/>
      </c>
      <c r="IK40" s="482" t="str">
        <f t="shared" si="20"/>
        <v/>
      </c>
      <c r="IL40" s="670" t="str">
        <f t="shared" si="68"/>
        <v/>
      </c>
      <c r="IM40" s="702"/>
      <c r="IN40" s="5" t="str">
        <f t="shared" si="69"/>
        <v/>
      </c>
      <c r="IO40" s="714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670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05" t="str">
        <f t="shared" si="77"/>
        <v/>
      </c>
      <c r="JI40" s="417"/>
      <c r="JJ40" s="417"/>
      <c r="JK40" s="417"/>
    </row>
    <row r="41" spans="1:271" ht="15" customHeight="1" x14ac:dyDescent="0.25">
      <c r="A41" s="75"/>
      <c r="B41" s="578" t="str">
        <f t="shared" ref="B41:B72" si="79">INDEX(O$164:O$305,MATCH($M41,$M$164:$M$305,0))</f>
        <v/>
      </c>
      <c r="C41" s="572" t="str">
        <f t="shared" ref="C41:C72" si="80">INDEX(P$164:P$305,MATCH($M41,$M$164:$M$305,0))</f>
        <v/>
      </c>
      <c r="D41" s="576" t="str">
        <f t="shared" ref="D41:D72" si="81">INDEX(Q$164:Q$305,MATCH($M41,$M$164:$M$305,0))</f>
        <v/>
      </c>
      <c r="E41" s="580" t="str">
        <f t="shared" ref="E41:E72" si="82">INDEX(R$164:R$305,MATCH($M41,$M$164:$M$305,0))</f>
        <v/>
      </c>
      <c r="F41" s="572" t="str">
        <f t="shared" ref="F41:F72" si="83">INDEX(S$164:S$305,MATCH($M41,$M$164:$M$305,0))</f>
        <v/>
      </c>
      <c r="G41" s="579" t="str">
        <f t="shared" ref="G41:G72" si="84">INDEX(T$164:T$305,MATCH($M41,$M$164:$M$305,0))</f>
        <v/>
      </c>
      <c r="H41" s="580" t="str">
        <f t="shared" si="34"/>
        <v/>
      </c>
      <c r="I41" s="482"/>
      <c r="J41" s="483" t="str">
        <v/>
      </c>
      <c r="K41" s="806" t="str">
        <f t="shared" si="66"/>
        <v/>
      </c>
      <c r="M41" s="164" t="str">
        <f t="shared" si="35"/>
        <v/>
      </c>
      <c r="N41" s="575" t="str">
        <f t="shared" si="36"/>
        <v/>
      </c>
      <c r="O41" s="572" t="str">
        <f t="shared" si="37"/>
        <v/>
      </c>
      <c r="P41" s="576" t="str">
        <f t="shared" si="38"/>
        <v/>
      </c>
      <c r="Q41" s="528" t="str">
        <f t="shared" si="63"/>
        <v/>
      </c>
      <c r="R41" s="572" t="str">
        <f t="shared" si="39"/>
        <v/>
      </c>
      <c r="S41" s="577" t="str">
        <f t="shared" si="40"/>
        <v/>
      </c>
      <c r="T41" s="578" t="str">
        <f t="shared" si="41"/>
        <v/>
      </c>
      <c r="U41" s="572" t="str">
        <f t="shared" si="42"/>
        <v/>
      </c>
      <c r="V41" s="579" t="str">
        <f t="shared" si="43"/>
        <v/>
      </c>
      <c r="W41" s="528" t="str">
        <f t="shared" si="67"/>
        <v/>
      </c>
      <c r="X41" s="572" t="str">
        <f t="shared" si="44"/>
        <v/>
      </c>
      <c r="Y41" s="573" t="str">
        <f t="shared" ref="Y41:Y72" si="85">IF(M41="","",(S41-$S$8)+$X$1)</f>
        <v/>
      </c>
      <c r="Z41" s="575" t="str">
        <f t="shared" si="45"/>
        <v/>
      </c>
      <c r="AA41" s="572" t="str">
        <f t="shared" si="46"/>
        <v/>
      </c>
      <c r="AB41" s="572" t="str">
        <f t="shared" si="47"/>
        <v/>
      </c>
      <c r="AC41" s="579" t="str">
        <f t="shared" si="48"/>
        <v/>
      </c>
      <c r="AD41" s="580" t="str">
        <f t="shared" si="49"/>
        <v/>
      </c>
      <c r="AE41" s="572" t="str">
        <f t="shared" si="50"/>
        <v/>
      </c>
      <c r="AF41" s="576" t="str">
        <f t="shared" si="51"/>
        <v/>
      </c>
      <c r="AG41" s="545" t="str">
        <f t="shared" si="52"/>
        <v/>
      </c>
      <c r="AH41" s="546" t="str">
        <f t="shared" si="53"/>
        <v/>
      </c>
      <c r="AI41" s="528" t="str">
        <f t="shared" si="54"/>
        <v/>
      </c>
      <c r="AJ41" s="529" t="str">
        <f t="shared" si="55"/>
        <v/>
      </c>
      <c r="AK41" s="578" t="str">
        <f t="shared" si="56"/>
        <v/>
      </c>
      <c r="AL41" s="572" t="str">
        <f t="shared" si="57"/>
        <v/>
      </c>
      <c r="AM41" s="577" t="str">
        <f t="shared" si="58"/>
        <v/>
      </c>
      <c r="AN41" s="524" t="str">
        <f t="shared" ref="AN41:AN104" si="86">IF(M41="","",IF(K41="Knuckle",((DEGREES(ATAN2(AK41,AM41))+90)*-1),DEGREES(ATAN2(-AM41,AL41))))</f>
        <v/>
      </c>
      <c r="AO41" s="525" t="str">
        <f t="shared" si="17"/>
        <v/>
      </c>
      <c r="AP41" s="528" t="str">
        <f t="shared" si="59"/>
        <v/>
      </c>
      <c r="AQ41" s="529" t="str">
        <f t="shared" si="60"/>
        <v/>
      </c>
      <c r="AS41" s="598" t="str">
        <f t="shared" si="78"/>
        <v/>
      </c>
      <c r="AT41" s="602" t="str">
        <f t="shared" si="61"/>
        <v/>
      </c>
      <c r="AU41" s="515" t="str">
        <f t="shared" ref="AU41:AU117" si="87">IFERROR(ROUNDDOWN(AV41,1),"")</f>
        <v/>
      </c>
      <c r="AV41" s="164" t="str">
        <f t="shared" si="64"/>
        <v/>
      </c>
      <c r="AW41" s="545" t="str">
        <f>IF($M41="","",W41-INDEX(Assy.Model!$W$9:$W$150,MATCH('SN#.Run#'!$M41,Assy.Model!$M$9:$M$150,0)))</f>
        <v/>
      </c>
      <c r="AX41" s="628" t="str">
        <f>IF($M41="","",X41-INDEX(Assy.Model!$X$9:$X$150,MATCH('SN#.Run#'!$M41,Assy.Model!$M$9:$M$150,0)))</f>
        <v/>
      </c>
      <c r="AY41" s="629" t="str">
        <f>IF($M41="","",Y41-INDEX(Assy.Model!$Y$9:$Y$150,MATCH('SN#.Run#'!$M41,Assy.Model!$M$9:$M$150,0)))</f>
        <v/>
      </c>
      <c r="AZ41" s="60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10" t="str">
        <f>IF($M41="","",AN41-INDEX(Assy.Model!$AN$9:$AN$150,MATCH('SN#.Run#'!$M41,Assy.Model!$M$9:$M$150,0)))</f>
        <v/>
      </c>
      <c r="BB41" s="525" t="str">
        <f>IF($M41="","",AO41-INDEX(Assy.Model!$AO$9:$AO$150,MATCH('SN#.Run#'!$M41,Assy.Model!$M$9:$M$150,0)))</f>
        <v/>
      </c>
      <c r="BC41" s="619" t="str">
        <f>IF($M41="","",AP41-INDEX(Assy.Model!$AP$9:$AP$150,MATCH('SN#.Run#'!$M41,Assy.Model!$M$9:$M$150,0)))</f>
        <v/>
      </c>
      <c r="BD41" s="419"/>
      <c r="BE41" s="699"/>
      <c r="BF41" s="417"/>
      <c r="BG41" s="417"/>
      <c r="BH41" s="417"/>
      <c r="BI41" s="417"/>
      <c r="BJ41" s="417"/>
      <c r="BK41" s="417"/>
      <c r="BL41" s="417"/>
      <c r="BM41" s="417"/>
      <c r="BN41" s="417"/>
      <c r="BO41" s="417"/>
      <c r="BP41" s="417"/>
      <c r="BQ41" s="417"/>
      <c r="BR41" s="417"/>
      <c r="BS41" s="417"/>
      <c r="BT41" s="417"/>
      <c r="BU41" s="417"/>
      <c r="IE41" s="790" t="str">
        <f>IFERROR(IF($IU41="","",IF($IU41&lt;(((Settings!$C$19/2)*-1)*$IE$8),"Taper","Nose")),"")</f>
        <v/>
      </c>
      <c r="IF41" s="482" t="str">
        <f>IFERROR(IF((((($IW41*COS(RADIANS(180-$IY41)))*COS(RADIANS($IY41)))-(($IX41*SIN(RADIANS(180-$IY41)))*SIN(RADIANS($IY41))))+$IU41)&lt;(((Settings!$C$19+$IF$8)/2)*-1),"Gage",""),"")</f>
        <v/>
      </c>
      <c r="IG41" s="788" t="str">
        <f t="shared" si="65"/>
        <v/>
      </c>
      <c r="IH41" s="674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677" t="str" cm="1">
        <f t="array" ref="II41">IFERROR(IF($IH41&lt;1,$IH41+LARGE((IF($M$9:$M$150="",0,$M$9:$M$150)-MOD(IF($M$9:$M$150="",0,$M$9:$M$150),1)),1),$IH41),"")</f>
        <v/>
      </c>
      <c r="IJ41" s="482" t="str">
        <f t="shared" si="62"/>
        <v/>
      </c>
      <c r="IK41" s="482" t="str">
        <f t="shared" si="20"/>
        <v/>
      </c>
      <c r="IL41" s="670" t="str">
        <f t="shared" si="68"/>
        <v/>
      </c>
      <c r="IM41" s="702"/>
      <c r="IN41" s="5" t="str">
        <f t="shared" si="69"/>
        <v/>
      </c>
      <c r="IO41" s="714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670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05" t="str">
        <f t="shared" si="77"/>
        <v/>
      </c>
      <c r="JI41" s="417"/>
      <c r="JJ41" s="417"/>
      <c r="JK41" s="417"/>
    </row>
    <row r="42" spans="1:271" ht="15" customHeight="1" x14ac:dyDescent="0.25">
      <c r="A42" s="75"/>
      <c r="B42" s="578" t="str">
        <f t="shared" si="79"/>
        <v/>
      </c>
      <c r="C42" s="572" t="str">
        <f t="shared" si="80"/>
        <v/>
      </c>
      <c r="D42" s="576" t="str">
        <f t="shared" si="81"/>
        <v/>
      </c>
      <c r="E42" s="580" t="str">
        <f t="shared" si="82"/>
        <v/>
      </c>
      <c r="F42" s="572" t="str">
        <f t="shared" si="83"/>
        <v/>
      </c>
      <c r="G42" s="579" t="str">
        <f t="shared" si="84"/>
        <v/>
      </c>
      <c r="H42" s="580" t="str">
        <f t="shared" si="34"/>
        <v/>
      </c>
      <c r="I42" s="482"/>
      <c r="J42" s="483" t="str">
        <v/>
      </c>
      <c r="K42" s="806" t="str">
        <f t="shared" si="66"/>
        <v/>
      </c>
      <c r="M42" s="164" t="str">
        <f t="shared" si="35"/>
        <v/>
      </c>
      <c r="N42" s="575" t="str">
        <f t="shared" si="36"/>
        <v/>
      </c>
      <c r="O42" s="572" t="str">
        <f t="shared" si="37"/>
        <v/>
      </c>
      <c r="P42" s="576" t="str">
        <f t="shared" si="38"/>
        <v/>
      </c>
      <c r="Q42" s="528" t="str">
        <f t="shared" si="63"/>
        <v/>
      </c>
      <c r="R42" s="572" t="str">
        <f t="shared" si="39"/>
        <v/>
      </c>
      <c r="S42" s="577" t="str">
        <f t="shared" si="40"/>
        <v/>
      </c>
      <c r="T42" s="578" t="str">
        <f t="shared" si="41"/>
        <v/>
      </c>
      <c r="U42" s="572" t="str">
        <f t="shared" si="42"/>
        <v/>
      </c>
      <c r="V42" s="579" t="str">
        <f t="shared" si="43"/>
        <v/>
      </c>
      <c r="W42" s="528" t="str">
        <f t="shared" si="67"/>
        <v/>
      </c>
      <c r="X42" s="572" t="str">
        <f t="shared" si="44"/>
        <v/>
      </c>
      <c r="Y42" s="573" t="str">
        <f t="shared" si="85"/>
        <v/>
      </c>
      <c r="Z42" s="575" t="str">
        <f t="shared" si="45"/>
        <v/>
      </c>
      <c r="AA42" s="572" t="str">
        <f t="shared" si="46"/>
        <v/>
      </c>
      <c r="AB42" s="572" t="str">
        <f t="shared" si="47"/>
        <v/>
      </c>
      <c r="AC42" s="579" t="str">
        <f t="shared" si="48"/>
        <v/>
      </c>
      <c r="AD42" s="580" t="str">
        <f t="shared" si="49"/>
        <v/>
      </c>
      <c r="AE42" s="572" t="str">
        <f t="shared" si="50"/>
        <v/>
      </c>
      <c r="AF42" s="576" t="str">
        <f t="shared" si="51"/>
        <v/>
      </c>
      <c r="AG42" s="545" t="str">
        <f t="shared" si="52"/>
        <v/>
      </c>
      <c r="AH42" s="546" t="str">
        <f t="shared" si="53"/>
        <v/>
      </c>
      <c r="AI42" s="528" t="str">
        <f t="shared" si="54"/>
        <v/>
      </c>
      <c r="AJ42" s="529" t="str">
        <f t="shared" si="55"/>
        <v/>
      </c>
      <c r="AK42" s="578" t="str">
        <f t="shared" si="56"/>
        <v/>
      </c>
      <c r="AL42" s="572" t="str">
        <f t="shared" si="57"/>
        <v/>
      </c>
      <c r="AM42" s="577" t="str">
        <f t="shared" si="58"/>
        <v/>
      </c>
      <c r="AN42" s="524" t="str">
        <f t="shared" si="86"/>
        <v/>
      </c>
      <c r="AO42" s="525" t="str">
        <f t="shared" si="17"/>
        <v/>
      </c>
      <c r="AP42" s="528" t="str">
        <f t="shared" si="59"/>
        <v/>
      </c>
      <c r="AQ42" s="529" t="str">
        <f t="shared" si="60"/>
        <v/>
      </c>
      <c r="AS42" s="598" t="str">
        <f t="shared" si="78"/>
        <v/>
      </c>
      <c r="AT42" s="602" t="str">
        <f t="shared" si="61"/>
        <v/>
      </c>
      <c r="AU42" s="515" t="str">
        <f t="shared" si="87"/>
        <v/>
      </c>
      <c r="AV42" s="164" t="str">
        <f t="shared" si="64"/>
        <v/>
      </c>
      <c r="AW42" s="545" t="str">
        <f>IF($M42="","",W42-INDEX(Assy.Model!$W$9:$W$150,MATCH('SN#.Run#'!$M42,Assy.Model!$M$9:$M$150,0)))</f>
        <v/>
      </c>
      <c r="AX42" s="628" t="str">
        <f>IF($M42="","",X42-INDEX(Assy.Model!$X$9:$X$150,MATCH('SN#.Run#'!$M42,Assy.Model!$M$9:$M$150,0)))</f>
        <v/>
      </c>
      <c r="AY42" s="629" t="str">
        <f>IF($M42="","",Y42-INDEX(Assy.Model!$Y$9:$Y$150,MATCH('SN#.Run#'!$M42,Assy.Model!$M$9:$M$150,0)))</f>
        <v/>
      </c>
      <c r="AZ42" s="60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10" t="str">
        <f>IF($M42="","",AN42-INDEX(Assy.Model!$AN$9:$AN$150,MATCH('SN#.Run#'!$M42,Assy.Model!$M$9:$M$150,0)))</f>
        <v/>
      </c>
      <c r="BB42" s="525" t="str">
        <f>IF($M42="","",AO42-INDEX(Assy.Model!$AO$9:$AO$150,MATCH('SN#.Run#'!$M42,Assy.Model!$M$9:$M$150,0)))</f>
        <v/>
      </c>
      <c r="BC42" s="619" t="str">
        <f>IF($M42="","",AP42-INDEX(Assy.Model!$AP$9:$AP$150,MATCH('SN#.Run#'!$M42,Assy.Model!$M$9:$M$150,0)))</f>
        <v/>
      </c>
      <c r="BD42" s="419"/>
      <c r="BE42" s="699"/>
      <c r="BF42" s="417"/>
      <c r="BG42" s="417"/>
      <c r="BH42" s="417"/>
      <c r="BI42" s="417"/>
      <c r="BJ42" s="417"/>
      <c r="BK42" s="417"/>
      <c r="BL42" s="417"/>
      <c r="BM42" s="417"/>
      <c r="BN42" s="417"/>
      <c r="BO42" s="417"/>
      <c r="BP42" s="417"/>
      <c r="BQ42" s="417"/>
      <c r="BR42" s="417"/>
      <c r="BS42" s="417"/>
      <c r="BT42" s="417"/>
      <c r="BU42" s="417"/>
      <c r="IE42" s="790" t="str">
        <f>IFERROR(IF($IU42="","",IF($IU42&lt;(((Settings!$C$19/2)*-1)*$IE$8),"Taper","Nose")),"")</f>
        <v/>
      </c>
      <c r="IF42" s="482" t="str">
        <f>IFERROR(IF((((($IW42*COS(RADIANS(180-$IY42)))*COS(RADIANS($IY42)))-(($IX42*SIN(RADIANS(180-$IY42)))*SIN(RADIANS($IY42))))+$IU42)&lt;(((Settings!$C$19+$IF$8)/2)*-1),"Gage",""),"")</f>
        <v/>
      </c>
      <c r="IG42" s="788" t="str">
        <f t="shared" si="65"/>
        <v/>
      </c>
      <c r="IH42" s="674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677" t="str" cm="1">
        <f t="array" ref="II42">IFERROR(IF($IH42&lt;1,$IH42+LARGE((IF($M$9:$M$150="",0,$M$9:$M$150)-MOD(IF($M$9:$M$150="",0,$M$9:$M$150),1)),1),$IH42),"")</f>
        <v/>
      </c>
      <c r="IJ42" s="482" t="str">
        <f t="shared" si="62"/>
        <v/>
      </c>
      <c r="IK42" s="482" t="str">
        <f t="shared" si="20"/>
        <v/>
      </c>
      <c r="IL42" s="670" t="str">
        <f t="shared" si="68"/>
        <v/>
      </c>
      <c r="IM42" s="702"/>
      <c r="IN42" s="5" t="str">
        <f t="shared" si="69"/>
        <v/>
      </c>
      <c r="IO42" s="714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670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05" t="str">
        <f t="shared" si="77"/>
        <v/>
      </c>
    </row>
    <row r="43" spans="1:271" ht="15" customHeight="1" x14ac:dyDescent="0.25">
      <c r="A43" s="75"/>
      <c r="B43" s="578" t="str">
        <f t="shared" si="79"/>
        <v/>
      </c>
      <c r="C43" s="572" t="str">
        <f t="shared" si="80"/>
        <v/>
      </c>
      <c r="D43" s="576" t="str">
        <f t="shared" si="81"/>
        <v/>
      </c>
      <c r="E43" s="580" t="str">
        <f t="shared" si="82"/>
        <v/>
      </c>
      <c r="F43" s="572" t="str">
        <f t="shared" si="83"/>
        <v/>
      </c>
      <c r="G43" s="579" t="str">
        <f t="shared" si="84"/>
        <v/>
      </c>
      <c r="H43" s="580" t="str">
        <f t="shared" si="34"/>
        <v/>
      </c>
      <c r="I43" s="482"/>
      <c r="J43" s="483" t="str">
        <v/>
      </c>
      <c r="K43" s="806" t="str">
        <f t="shared" si="66"/>
        <v/>
      </c>
      <c r="M43" s="164" t="str">
        <f t="shared" si="35"/>
        <v/>
      </c>
      <c r="N43" s="575" t="str">
        <f t="shared" si="36"/>
        <v/>
      </c>
      <c r="O43" s="572" t="str">
        <f t="shared" si="37"/>
        <v/>
      </c>
      <c r="P43" s="576" t="str">
        <f t="shared" si="38"/>
        <v/>
      </c>
      <c r="Q43" s="528" t="str">
        <f t="shared" si="63"/>
        <v/>
      </c>
      <c r="R43" s="572" t="str">
        <f t="shared" si="39"/>
        <v/>
      </c>
      <c r="S43" s="577" t="str">
        <f t="shared" si="40"/>
        <v/>
      </c>
      <c r="T43" s="578" t="str">
        <f t="shared" si="41"/>
        <v/>
      </c>
      <c r="U43" s="572" t="str">
        <f t="shared" si="42"/>
        <v/>
      </c>
      <c r="V43" s="579" t="str">
        <f t="shared" si="43"/>
        <v/>
      </c>
      <c r="W43" s="528" t="str">
        <f t="shared" si="67"/>
        <v/>
      </c>
      <c r="X43" s="572" t="str">
        <f t="shared" si="44"/>
        <v/>
      </c>
      <c r="Y43" s="573" t="str">
        <f t="shared" si="85"/>
        <v/>
      </c>
      <c r="Z43" s="575" t="str">
        <f t="shared" si="45"/>
        <v/>
      </c>
      <c r="AA43" s="572" t="str">
        <f t="shared" si="46"/>
        <v/>
      </c>
      <c r="AB43" s="572" t="str">
        <f t="shared" si="47"/>
        <v/>
      </c>
      <c r="AC43" s="579" t="str">
        <f t="shared" si="48"/>
        <v/>
      </c>
      <c r="AD43" s="580" t="str">
        <f t="shared" si="49"/>
        <v/>
      </c>
      <c r="AE43" s="572" t="str">
        <f t="shared" si="50"/>
        <v/>
      </c>
      <c r="AF43" s="576" t="str">
        <f t="shared" si="51"/>
        <v/>
      </c>
      <c r="AG43" s="545" t="str">
        <f t="shared" si="52"/>
        <v/>
      </c>
      <c r="AH43" s="546" t="str">
        <f t="shared" si="53"/>
        <v/>
      </c>
      <c r="AI43" s="528" t="str">
        <f t="shared" si="54"/>
        <v/>
      </c>
      <c r="AJ43" s="529" t="str">
        <f t="shared" si="55"/>
        <v/>
      </c>
      <c r="AK43" s="578" t="str">
        <f t="shared" si="56"/>
        <v/>
      </c>
      <c r="AL43" s="572" t="str">
        <f t="shared" si="57"/>
        <v/>
      </c>
      <c r="AM43" s="577" t="str">
        <f t="shared" si="58"/>
        <v/>
      </c>
      <c r="AN43" s="524" t="str">
        <f t="shared" si="86"/>
        <v/>
      </c>
      <c r="AO43" s="525" t="str">
        <f t="shared" si="17"/>
        <v/>
      </c>
      <c r="AP43" s="528" t="str">
        <f t="shared" si="59"/>
        <v/>
      </c>
      <c r="AQ43" s="529" t="str">
        <f t="shared" si="60"/>
        <v/>
      </c>
      <c r="AS43" s="598" t="str">
        <f t="shared" si="78"/>
        <v/>
      </c>
      <c r="AT43" s="602" t="str">
        <f t="shared" si="61"/>
        <v/>
      </c>
      <c r="AU43" s="515" t="str">
        <f t="shared" si="87"/>
        <v/>
      </c>
      <c r="AV43" s="164" t="str">
        <f t="shared" si="64"/>
        <v/>
      </c>
      <c r="AW43" s="545" t="str">
        <f>IF($M43="","",W43-INDEX(Assy.Model!$W$9:$W$150,MATCH('SN#.Run#'!$M43,Assy.Model!$M$9:$M$150,0)))</f>
        <v/>
      </c>
      <c r="AX43" s="628" t="str">
        <f>IF($M43="","",X43-INDEX(Assy.Model!$X$9:$X$150,MATCH('SN#.Run#'!$M43,Assy.Model!$M$9:$M$150,0)))</f>
        <v/>
      </c>
      <c r="AY43" s="629" t="str">
        <f>IF($M43="","",Y43-INDEX(Assy.Model!$Y$9:$Y$150,MATCH('SN#.Run#'!$M43,Assy.Model!$M$9:$M$150,0)))</f>
        <v/>
      </c>
      <c r="AZ43" s="60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10" t="str">
        <f>IF($M43="","",AN43-INDEX(Assy.Model!$AN$9:$AN$150,MATCH('SN#.Run#'!$M43,Assy.Model!$M$9:$M$150,0)))</f>
        <v/>
      </c>
      <c r="BB43" s="525" t="str">
        <f>IF($M43="","",AO43-INDEX(Assy.Model!$AO$9:$AO$150,MATCH('SN#.Run#'!$M43,Assy.Model!$M$9:$M$150,0)))</f>
        <v/>
      </c>
      <c r="BC43" s="619" t="str">
        <f>IF($M43="","",AP43-INDEX(Assy.Model!$AP$9:$AP$150,MATCH('SN#.Run#'!$M43,Assy.Model!$M$9:$M$150,0)))</f>
        <v/>
      </c>
      <c r="BD43" s="419"/>
      <c r="BE43" s="699"/>
      <c r="BF43" s="417"/>
      <c r="BG43" s="417"/>
      <c r="BH43" s="417"/>
      <c r="BI43" s="417"/>
      <c r="BJ43" s="417"/>
      <c r="BK43" s="417"/>
      <c r="BL43" s="417"/>
      <c r="BM43" s="417"/>
      <c r="BN43" s="417"/>
      <c r="BO43" s="417"/>
      <c r="BP43" s="417"/>
      <c r="BQ43" s="417"/>
      <c r="BR43" s="417"/>
      <c r="BS43" s="417"/>
      <c r="BT43" s="417"/>
      <c r="BU43" s="417"/>
      <c r="IE43" s="790" t="str">
        <f>IFERROR(IF($IU43="","",IF($IU43&lt;(((Settings!$C$19/2)*-1)*$IE$8),"Taper","Nose")),"")</f>
        <v/>
      </c>
      <c r="IF43" s="482" t="str">
        <f>IFERROR(IF((((($IW43*COS(RADIANS(180-$IY43)))*COS(RADIANS($IY43)))-(($IX43*SIN(RADIANS(180-$IY43)))*SIN(RADIANS($IY43))))+$IU43)&lt;(((Settings!$C$19+$IF$8)/2)*-1),"Gage",""),"")</f>
        <v/>
      </c>
      <c r="IG43" s="788" t="str">
        <f t="shared" si="65"/>
        <v/>
      </c>
      <c r="IH43" s="674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677" t="str" cm="1">
        <f t="array" ref="II43">IFERROR(IF($IH43&lt;1,$IH43+LARGE((IF($M$9:$M$150="",0,$M$9:$M$150)-MOD(IF($M$9:$M$150="",0,$M$9:$M$150),1)),1),$IH43),"")</f>
        <v/>
      </c>
      <c r="IJ43" s="482" t="str">
        <f t="shared" si="62"/>
        <v/>
      </c>
      <c r="IK43" s="482" t="str">
        <f t="shared" si="20"/>
        <v/>
      </c>
      <c r="IL43" s="670" t="str">
        <f t="shared" si="68"/>
        <v/>
      </c>
      <c r="IM43" s="702"/>
      <c r="IN43" s="5" t="str">
        <f t="shared" si="69"/>
        <v/>
      </c>
      <c r="IO43" s="714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670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05" t="str">
        <f t="shared" si="77"/>
        <v/>
      </c>
    </row>
    <row r="44" spans="1:271" ht="15" customHeight="1" x14ac:dyDescent="0.25">
      <c r="A44" s="75"/>
      <c r="B44" s="578" t="str">
        <f t="shared" si="79"/>
        <v/>
      </c>
      <c r="C44" s="572" t="str">
        <f t="shared" si="80"/>
        <v/>
      </c>
      <c r="D44" s="576" t="str">
        <f t="shared" si="81"/>
        <v/>
      </c>
      <c r="E44" s="580" t="str">
        <f t="shared" si="82"/>
        <v/>
      </c>
      <c r="F44" s="572" t="str">
        <f t="shared" si="83"/>
        <v/>
      </c>
      <c r="G44" s="579" t="str">
        <f t="shared" si="84"/>
        <v/>
      </c>
      <c r="H44" s="580" t="str">
        <f t="shared" si="34"/>
        <v/>
      </c>
      <c r="I44" s="482"/>
      <c r="J44" s="483" t="str">
        <v/>
      </c>
      <c r="K44" s="806" t="str">
        <f t="shared" si="66"/>
        <v/>
      </c>
      <c r="M44" s="164" t="str">
        <f t="shared" si="35"/>
        <v/>
      </c>
      <c r="N44" s="575" t="str">
        <f t="shared" si="36"/>
        <v/>
      </c>
      <c r="O44" s="572" t="str">
        <f t="shared" si="37"/>
        <v/>
      </c>
      <c r="P44" s="576" t="str">
        <f t="shared" si="38"/>
        <v/>
      </c>
      <c r="Q44" s="528" t="str">
        <f t="shared" si="63"/>
        <v/>
      </c>
      <c r="R44" s="572" t="str">
        <f t="shared" si="39"/>
        <v/>
      </c>
      <c r="S44" s="577" t="str">
        <f t="shared" si="40"/>
        <v/>
      </c>
      <c r="T44" s="578" t="str">
        <f t="shared" si="41"/>
        <v/>
      </c>
      <c r="U44" s="572" t="str">
        <f t="shared" si="42"/>
        <v/>
      </c>
      <c r="V44" s="579" t="str">
        <f t="shared" si="43"/>
        <v/>
      </c>
      <c r="W44" s="528" t="str">
        <f t="shared" si="67"/>
        <v/>
      </c>
      <c r="X44" s="572" t="str">
        <f t="shared" si="44"/>
        <v/>
      </c>
      <c r="Y44" s="573" t="str">
        <f t="shared" si="85"/>
        <v/>
      </c>
      <c r="Z44" s="575" t="str">
        <f t="shared" si="45"/>
        <v/>
      </c>
      <c r="AA44" s="572" t="str">
        <f t="shared" si="46"/>
        <v/>
      </c>
      <c r="AB44" s="572" t="str">
        <f t="shared" si="47"/>
        <v/>
      </c>
      <c r="AC44" s="579" t="str">
        <f t="shared" si="48"/>
        <v/>
      </c>
      <c r="AD44" s="580" t="str">
        <f t="shared" si="49"/>
        <v/>
      </c>
      <c r="AE44" s="572" t="str">
        <f t="shared" si="50"/>
        <v/>
      </c>
      <c r="AF44" s="576" t="str">
        <f t="shared" si="51"/>
        <v/>
      </c>
      <c r="AG44" s="545" t="str">
        <f t="shared" si="52"/>
        <v/>
      </c>
      <c r="AH44" s="546" t="str">
        <f t="shared" si="53"/>
        <v/>
      </c>
      <c r="AI44" s="528" t="str">
        <f t="shared" si="54"/>
        <v/>
      </c>
      <c r="AJ44" s="529" t="str">
        <f t="shared" si="55"/>
        <v/>
      </c>
      <c r="AK44" s="578" t="str">
        <f t="shared" si="56"/>
        <v/>
      </c>
      <c r="AL44" s="572" t="str">
        <f t="shared" si="57"/>
        <v/>
      </c>
      <c r="AM44" s="577" t="str">
        <f t="shared" si="58"/>
        <v/>
      </c>
      <c r="AN44" s="524" t="str">
        <f t="shared" si="86"/>
        <v/>
      </c>
      <c r="AO44" s="525" t="str">
        <f t="shared" si="17"/>
        <v/>
      </c>
      <c r="AP44" s="528" t="str">
        <f t="shared" si="59"/>
        <v/>
      </c>
      <c r="AQ44" s="529" t="str">
        <f t="shared" si="60"/>
        <v/>
      </c>
      <c r="AS44" s="598" t="str">
        <f t="shared" si="78"/>
        <v/>
      </c>
      <c r="AT44" s="602" t="str">
        <f t="shared" si="61"/>
        <v/>
      </c>
      <c r="AU44" s="515" t="str">
        <f t="shared" si="87"/>
        <v/>
      </c>
      <c r="AV44" s="164" t="str">
        <f t="shared" si="64"/>
        <v/>
      </c>
      <c r="AW44" s="545" t="str">
        <f>IF($M44="","",W44-INDEX(Assy.Model!$W$9:$W$150,MATCH('SN#.Run#'!$M44,Assy.Model!$M$9:$M$150,0)))</f>
        <v/>
      </c>
      <c r="AX44" s="628" t="str">
        <f>IF($M44="","",X44-INDEX(Assy.Model!$X$9:$X$150,MATCH('SN#.Run#'!$M44,Assy.Model!$M$9:$M$150,0)))</f>
        <v/>
      </c>
      <c r="AY44" s="629" t="str">
        <f>IF($M44="","",Y44-INDEX(Assy.Model!$Y$9:$Y$150,MATCH('SN#.Run#'!$M44,Assy.Model!$M$9:$M$150,0)))</f>
        <v/>
      </c>
      <c r="AZ44" s="60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10" t="str">
        <f>IF($M44="","",AN44-INDEX(Assy.Model!$AN$9:$AN$150,MATCH('SN#.Run#'!$M44,Assy.Model!$M$9:$M$150,0)))</f>
        <v/>
      </c>
      <c r="BB44" s="525" t="str">
        <f>IF($M44="","",AO44-INDEX(Assy.Model!$AO$9:$AO$150,MATCH('SN#.Run#'!$M44,Assy.Model!$M$9:$M$150,0)))</f>
        <v/>
      </c>
      <c r="BC44" s="619" t="str">
        <f>IF($M44="","",AP44-INDEX(Assy.Model!$AP$9:$AP$150,MATCH('SN#.Run#'!$M44,Assy.Model!$M$9:$M$150,0)))</f>
        <v/>
      </c>
      <c r="BD44" s="419"/>
      <c r="BE44" s="699"/>
      <c r="BF44" s="417"/>
      <c r="BG44" s="417"/>
      <c r="BH44" s="417"/>
      <c r="BI44" s="417"/>
      <c r="BJ44" s="417"/>
      <c r="BK44" s="417"/>
      <c r="BL44" s="417"/>
      <c r="BM44" s="417"/>
      <c r="BN44" s="417"/>
      <c r="BO44" s="417"/>
      <c r="BP44" s="417"/>
      <c r="BQ44" s="417"/>
      <c r="BR44" s="417"/>
      <c r="BS44" s="417"/>
      <c r="BT44" s="417"/>
      <c r="BU44" s="417"/>
      <c r="IE44" s="790" t="str">
        <f>IFERROR(IF($IU44="","",IF($IU44&lt;(((Settings!$C$19/2)*-1)*$IE$8),"Taper","Nose")),"")</f>
        <v/>
      </c>
      <c r="IF44" s="482" t="str">
        <f>IFERROR(IF((((($IW44*COS(RADIANS(180-$IY44)))*COS(RADIANS($IY44)))-(($IX44*SIN(RADIANS(180-$IY44)))*SIN(RADIANS($IY44))))+$IU44)&lt;(((Settings!$C$19+$IF$8)/2)*-1),"Gage",""),"")</f>
        <v/>
      </c>
      <c r="IG44" s="788" t="str">
        <f t="shared" si="65"/>
        <v/>
      </c>
      <c r="IH44" s="674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677" t="str" cm="1">
        <f t="array" ref="II44">IFERROR(IF($IH44&lt;1,$IH44+LARGE((IF($M$9:$M$150="",0,$M$9:$M$150)-MOD(IF($M$9:$M$150="",0,$M$9:$M$150),1)),1),$IH44),"")</f>
        <v/>
      </c>
      <c r="IJ44" s="482" t="str">
        <f t="shared" si="62"/>
        <v/>
      </c>
      <c r="IK44" s="482" t="str">
        <f t="shared" si="20"/>
        <v/>
      </c>
      <c r="IL44" s="670" t="str">
        <f t="shared" si="68"/>
        <v/>
      </c>
      <c r="IM44" s="702"/>
      <c r="IN44" s="5" t="str">
        <f t="shared" si="69"/>
        <v/>
      </c>
      <c r="IO44" s="714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670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05" t="str">
        <f t="shared" si="77"/>
        <v/>
      </c>
    </row>
    <row r="45" spans="1:271" ht="15" customHeight="1" x14ac:dyDescent="0.25">
      <c r="A45" s="75"/>
      <c r="B45" s="578" t="str">
        <f t="shared" si="79"/>
        <v/>
      </c>
      <c r="C45" s="572" t="str">
        <f t="shared" si="80"/>
        <v/>
      </c>
      <c r="D45" s="576" t="str">
        <f t="shared" si="81"/>
        <v/>
      </c>
      <c r="E45" s="580" t="str">
        <f t="shared" si="82"/>
        <v/>
      </c>
      <c r="F45" s="572" t="str">
        <f t="shared" si="83"/>
        <v/>
      </c>
      <c r="G45" s="579" t="str">
        <f t="shared" si="84"/>
        <v/>
      </c>
      <c r="H45" s="580" t="str">
        <f t="shared" si="34"/>
        <v/>
      </c>
      <c r="I45" s="482"/>
      <c r="J45" s="483" t="str">
        <v/>
      </c>
      <c r="K45" s="806" t="str">
        <f t="shared" si="66"/>
        <v/>
      </c>
      <c r="M45" s="164" t="str">
        <f t="shared" si="35"/>
        <v/>
      </c>
      <c r="N45" s="575" t="str">
        <f t="shared" si="36"/>
        <v/>
      </c>
      <c r="O45" s="572" t="str">
        <f t="shared" si="37"/>
        <v/>
      </c>
      <c r="P45" s="576" t="str">
        <f t="shared" si="38"/>
        <v/>
      </c>
      <c r="Q45" s="528" t="str">
        <f t="shared" si="63"/>
        <v/>
      </c>
      <c r="R45" s="572" t="str">
        <f t="shared" si="39"/>
        <v/>
      </c>
      <c r="S45" s="577" t="str">
        <f t="shared" si="40"/>
        <v/>
      </c>
      <c r="T45" s="578" t="str">
        <f t="shared" si="41"/>
        <v/>
      </c>
      <c r="U45" s="572" t="str">
        <f t="shared" si="42"/>
        <v/>
      </c>
      <c r="V45" s="579" t="str">
        <f t="shared" si="43"/>
        <v/>
      </c>
      <c r="W45" s="528" t="str">
        <f t="shared" si="67"/>
        <v/>
      </c>
      <c r="X45" s="572" t="str">
        <f t="shared" si="44"/>
        <v/>
      </c>
      <c r="Y45" s="573" t="str">
        <f t="shared" si="85"/>
        <v/>
      </c>
      <c r="Z45" s="575" t="str">
        <f t="shared" si="45"/>
        <v/>
      </c>
      <c r="AA45" s="572" t="str">
        <f t="shared" si="46"/>
        <v/>
      </c>
      <c r="AB45" s="572" t="str">
        <f t="shared" si="47"/>
        <v/>
      </c>
      <c r="AC45" s="579" t="str">
        <f t="shared" si="48"/>
        <v/>
      </c>
      <c r="AD45" s="580" t="str">
        <f t="shared" si="49"/>
        <v/>
      </c>
      <c r="AE45" s="572" t="str">
        <f t="shared" si="50"/>
        <v/>
      </c>
      <c r="AF45" s="576" t="str">
        <f t="shared" si="51"/>
        <v/>
      </c>
      <c r="AG45" s="545" t="str">
        <f t="shared" si="52"/>
        <v/>
      </c>
      <c r="AH45" s="546" t="str">
        <f t="shared" si="53"/>
        <v/>
      </c>
      <c r="AI45" s="528" t="str">
        <f t="shared" si="54"/>
        <v/>
      </c>
      <c r="AJ45" s="529" t="str">
        <f t="shared" si="55"/>
        <v/>
      </c>
      <c r="AK45" s="578" t="str">
        <f t="shared" si="56"/>
        <v/>
      </c>
      <c r="AL45" s="572" t="str">
        <f t="shared" si="57"/>
        <v/>
      </c>
      <c r="AM45" s="577" t="str">
        <f t="shared" si="58"/>
        <v/>
      </c>
      <c r="AN45" s="524" t="str">
        <f t="shared" si="86"/>
        <v/>
      </c>
      <c r="AO45" s="525" t="str">
        <f t="shared" si="17"/>
        <v/>
      </c>
      <c r="AP45" s="528" t="str">
        <f t="shared" si="59"/>
        <v/>
      </c>
      <c r="AQ45" s="529" t="str">
        <f t="shared" si="60"/>
        <v/>
      </c>
      <c r="AS45" s="598" t="str">
        <f t="shared" si="78"/>
        <v/>
      </c>
      <c r="AT45" s="602" t="str">
        <f t="shared" si="61"/>
        <v/>
      </c>
      <c r="AU45" s="515" t="str">
        <f t="shared" si="87"/>
        <v/>
      </c>
      <c r="AV45" s="164" t="str">
        <f t="shared" si="64"/>
        <v/>
      </c>
      <c r="AW45" s="545" t="str">
        <f>IF($M45="","",W45-INDEX(Assy.Model!$W$9:$W$150,MATCH('SN#.Run#'!$M45,Assy.Model!$M$9:$M$150,0)))</f>
        <v/>
      </c>
      <c r="AX45" s="628" t="str">
        <f>IF($M45="","",X45-INDEX(Assy.Model!$X$9:$X$150,MATCH('SN#.Run#'!$M45,Assy.Model!$M$9:$M$150,0)))</f>
        <v/>
      </c>
      <c r="AY45" s="629" t="str">
        <f>IF($M45="","",Y45-INDEX(Assy.Model!$Y$9:$Y$150,MATCH('SN#.Run#'!$M45,Assy.Model!$M$9:$M$150,0)))</f>
        <v/>
      </c>
      <c r="AZ45" s="60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10" t="str">
        <f>IF($M45="","",AN45-INDEX(Assy.Model!$AN$9:$AN$150,MATCH('SN#.Run#'!$M45,Assy.Model!$M$9:$M$150,0)))</f>
        <v/>
      </c>
      <c r="BB45" s="525" t="str">
        <f>IF($M45="","",AO45-INDEX(Assy.Model!$AO$9:$AO$150,MATCH('SN#.Run#'!$M45,Assy.Model!$M$9:$M$150,0)))</f>
        <v/>
      </c>
      <c r="BC45" s="619" t="str">
        <f>IF($M45="","",AP45-INDEX(Assy.Model!$AP$9:$AP$150,MATCH('SN#.Run#'!$M45,Assy.Model!$M$9:$M$150,0)))</f>
        <v/>
      </c>
      <c r="BD45" s="419"/>
      <c r="BE45" s="699"/>
      <c r="BF45" s="417"/>
      <c r="BG45" s="417"/>
      <c r="BH45" s="417"/>
      <c r="BI45" s="417"/>
      <c r="BJ45" s="417"/>
      <c r="BK45" s="417"/>
      <c r="BL45" s="417"/>
      <c r="BM45" s="417"/>
      <c r="BN45" s="417"/>
      <c r="BO45" s="417"/>
      <c r="BP45" s="417"/>
      <c r="BQ45" s="417"/>
      <c r="BR45" s="417"/>
      <c r="BS45" s="417"/>
      <c r="BT45" s="417"/>
      <c r="BU45" s="417"/>
      <c r="IE45" s="790" t="str">
        <f>IFERROR(IF($IU45="","",IF($IU45&lt;(((Settings!$C$19/2)*-1)*$IE$8),"Taper","Nose")),"")</f>
        <v/>
      </c>
      <c r="IF45" s="482" t="str">
        <f>IFERROR(IF((((($IW45*COS(RADIANS(180-$IY45)))*COS(RADIANS($IY45)))-(($IX45*SIN(RADIANS(180-$IY45)))*SIN(RADIANS($IY45))))+$IU45)&lt;(((Settings!$C$19+$IF$8)/2)*-1),"Gage",""),"")</f>
        <v/>
      </c>
      <c r="IG45" s="788" t="str">
        <f t="shared" si="65"/>
        <v/>
      </c>
      <c r="IH45" s="674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677" t="str" cm="1">
        <f t="array" ref="II45">IFERROR(IF($IH45&lt;1,$IH45+LARGE((IF($M$9:$M$150="",0,$M$9:$M$150)-MOD(IF($M$9:$M$150="",0,$M$9:$M$150),1)),1),$IH45),"")</f>
        <v/>
      </c>
      <c r="IJ45" s="482" t="str">
        <f t="shared" si="62"/>
        <v/>
      </c>
      <c r="IK45" s="482" t="str">
        <f t="shared" si="20"/>
        <v/>
      </c>
      <c r="IL45" s="670" t="str">
        <f t="shared" si="68"/>
        <v/>
      </c>
      <c r="IM45" s="702"/>
      <c r="IN45" s="5" t="str">
        <f t="shared" si="69"/>
        <v/>
      </c>
      <c r="IO45" s="714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670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05" t="str">
        <f t="shared" si="77"/>
        <v/>
      </c>
    </row>
    <row r="46" spans="1:271" ht="15" customHeight="1" x14ac:dyDescent="0.25">
      <c r="A46" s="75"/>
      <c r="B46" s="578" t="str">
        <f t="shared" si="79"/>
        <v/>
      </c>
      <c r="C46" s="572" t="str">
        <f t="shared" si="80"/>
        <v/>
      </c>
      <c r="D46" s="576" t="str">
        <f t="shared" si="81"/>
        <v/>
      </c>
      <c r="E46" s="580" t="str">
        <f t="shared" si="82"/>
        <v/>
      </c>
      <c r="F46" s="572" t="str">
        <f t="shared" si="83"/>
        <v/>
      </c>
      <c r="G46" s="579" t="str">
        <f t="shared" si="84"/>
        <v/>
      </c>
      <c r="H46" s="580" t="str">
        <f t="shared" si="34"/>
        <v/>
      </c>
      <c r="I46" s="482"/>
      <c r="J46" s="483" t="str">
        <v/>
      </c>
      <c r="K46" s="806" t="str">
        <f t="shared" si="66"/>
        <v/>
      </c>
      <c r="M46" s="164" t="str">
        <f t="shared" si="35"/>
        <v/>
      </c>
      <c r="N46" s="575" t="str">
        <f t="shared" si="36"/>
        <v/>
      </c>
      <c r="O46" s="572" t="str">
        <f t="shared" si="37"/>
        <v/>
      </c>
      <c r="P46" s="576" t="str">
        <f t="shared" si="38"/>
        <v/>
      </c>
      <c r="Q46" s="528" t="str">
        <f t="shared" si="63"/>
        <v/>
      </c>
      <c r="R46" s="572" t="str">
        <f t="shared" si="39"/>
        <v/>
      </c>
      <c r="S46" s="577" t="str">
        <f t="shared" si="40"/>
        <v/>
      </c>
      <c r="T46" s="578" t="str">
        <f t="shared" si="41"/>
        <v/>
      </c>
      <c r="U46" s="572" t="str">
        <f t="shared" si="42"/>
        <v/>
      </c>
      <c r="V46" s="579" t="str">
        <f t="shared" si="43"/>
        <v/>
      </c>
      <c r="W46" s="528" t="str">
        <f t="shared" si="67"/>
        <v/>
      </c>
      <c r="X46" s="572" t="str">
        <f t="shared" si="44"/>
        <v/>
      </c>
      <c r="Y46" s="573" t="str">
        <f t="shared" si="85"/>
        <v/>
      </c>
      <c r="Z46" s="575" t="str">
        <f t="shared" si="45"/>
        <v/>
      </c>
      <c r="AA46" s="572" t="str">
        <f t="shared" si="46"/>
        <v/>
      </c>
      <c r="AB46" s="572" t="str">
        <f t="shared" si="47"/>
        <v/>
      </c>
      <c r="AC46" s="579" t="str">
        <f t="shared" si="48"/>
        <v/>
      </c>
      <c r="AD46" s="580" t="str">
        <f t="shared" si="49"/>
        <v/>
      </c>
      <c r="AE46" s="572" t="str">
        <f t="shared" si="50"/>
        <v/>
      </c>
      <c r="AF46" s="576" t="str">
        <f t="shared" si="51"/>
        <v/>
      </c>
      <c r="AG46" s="545" t="str">
        <f t="shared" si="52"/>
        <v/>
      </c>
      <c r="AH46" s="546" t="str">
        <f t="shared" si="53"/>
        <v/>
      </c>
      <c r="AI46" s="528" t="str">
        <f t="shared" si="54"/>
        <v/>
      </c>
      <c r="AJ46" s="529" t="str">
        <f t="shared" si="55"/>
        <v/>
      </c>
      <c r="AK46" s="578" t="str">
        <f t="shared" si="56"/>
        <v/>
      </c>
      <c r="AL46" s="572" t="str">
        <f t="shared" si="57"/>
        <v/>
      </c>
      <c r="AM46" s="577" t="str">
        <f t="shared" si="58"/>
        <v/>
      </c>
      <c r="AN46" s="524" t="str">
        <f t="shared" si="86"/>
        <v/>
      </c>
      <c r="AO46" s="525" t="str">
        <f t="shared" si="17"/>
        <v/>
      </c>
      <c r="AP46" s="528" t="str">
        <f t="shared" si="59"/>
        <v/>
      </c>
      <c r="AQ46" s="529" t="str">
        <f t="shared" si="60"/>
        <v/>
      </c>
      <c r="AS46" s="598" t="str">
        <f t="shared" si="78"/>
        <v/>
      </c>
      <c r="AT46" s="602" t="str">
        <f t="shared" si="61"/>
        <v/>
      </c>
      <c r="AU46" s="515" t="str">
        <f t="shared" si="87"/>
        <v/>
      </c>
      <c r="AV46" s="164" t="str">
        <f t="shared" si="64"/>
        <v/>
      </c>
      <c r="AW46" s="545" t="str">
        <f>IF($M46="","",W46-INDEX(Assy.Model!$W$9:$W$150,MATCH('SN#.Run#'!$M46,Assy.Model!$M$9:$M$150,0)))</f>
        <v/>
      </c>
      <c r="AX46" s="628" t="str">
        <f>IF($M46="","",X46-INDEX(Assy.Model!$X$9:$X$150,MATCH('SN#.Run#'!$M46,Assy.Model!$M$9:$M$150,0)))</f>
        <v/>
      </c>
      <c r="AY46" s="629" t="str">
        <f>IF($M46="","",Y46-INDEX(Assy.Model!$Y$9:$Y$150,MATCH('SN#.Run#'!$M46,Assy.Model!$M$9:$M$150,0)))</f>
        <v/>
      </c>
      <c r="AZ46" s="60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10" t="str">
        <f>IF($M46="","",AN46-INDEX(Assy.Model!$AN$9:$AN$150,MATCH('SN#.Run#'!$M46,Assy.Model!$M$9:$M$150,0)))</f>
        <v/>
      </c>
      <c r="BB46" s="525" t="str">
        <f>IF($M46="","",AO46-INDEX(Assy.Model!$AO$9:$AO$150,MATCH('SN#.Run#'!$M46,Assy.Model!$M$9:$M$150,0)))</f>
        <v/>
      </c>
      <c r="BC46" s="619" t="str">
        <f>IF($M46="","",AP46-INDEX(Assy.Model!$AP$9:$AP$150,MATCH('SN#.Run#'!$M46,Assy.Model!$M$9:$M$150,0)))</f>
        <v/>
      </c>
      <c r="BD46" s="419"/>
      <c r="BE46" s="699"/>
      <c r="BF46" s="417"/>
      <c r="BG46" s="417"/>
      <c r="BH46" s="417"/>
      <c r="BI46" s="417"/>
      <c r="BJ46" s="417"/>
      <c r="BK46" s="417"/>
      <c r="BL46" s="417"/>
      <c r="BM46" s="417"/>
      <c r="BN46" s="417"/>
      <c r="BO46" s="417"/>
      <c r="BP46" s="417"/>
      <c r="BQ46" s="417"/>
      <c r="BR46" s="417"/>
      <c r="BS46" s="417"/>
      <c r="BT46" s="417"/>
      <c r="BU46" s="417"/>
      <c r="IE46" s="790" t="str">
        <f>IFERROR(IF($IU46="","",IF($IU46&lt;(((Settings!$C$19/2)*-1)*$IE$8),"Taper","Nose")),"")</f>
        <v/>
      </c>
      <c r="IF46" s="482" t="str">
        <f>IFERROR(IF((((($IW46*COS(RADIANS(180-$IY46)))*COS(RADIANS($IY46)))-(($IX46*SIN(RADIANS(180-$IY46)))*SIN(RADIANS($IY46))))+$IU46)&lt;(((Settings!$C$19+$IF$8)/2)*-1),"Gage",""),"")</f>
        <v/>
      </c>
      <c r="IG46" s="788" t="str">
        <f t="shared" si="65"/>
        <v/>
      </c>
      <c r="IH46" s="674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677" t="str" cm="1">
        <f t="array" ref="II46">IFERROR(IF($IH46&lt;1,$IH46+LARGE((IF($M$9:$M$150="",0,$M$9:$M$150)-MOD(IF($M$9:$M$150="",0,$M$9:$M$150),1)),1),$IH46),"")</f>
        <v/>
      </c>
      <c r="IJ46" s="482" t="str">
        <f t="shared" si="62"/>
        <v/>
      </c>
      <c r="IK46" s="482" t="str">
        <f t="shared" si="20"/>
        <v/>
      </c>
      <c r="IL46" s="670" t="str">
        <f t="shared" si="68"/>
        <v/>
      </c>
      <c r="IM46" s="702"/>
      <c r="IN46" s="5" t="str">
        <f t="shared" si="69"/>
        <v/>
      </c>
      <c r="IO46" s="714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670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05" t="str">
        <f t="shared" si="77"/>
        <v/>
      </c>
    </row>
    <row r="47" spans="1:271" ht="15" customHeight="1" x14ac:dyDescent="0.25">
      <c r="A47" s="82"/>
      <c r="B47" s="578" t="str">
        <f t="shared" si="79"/>
        <v/>
      </c>
      <c r="C47" s="572" t="str">
        <f t="shared" si="80"/>
        <v/>
      </c>
      <c r="D47" s="576" t="str">
        <f t="shared" si="81"/>
        <v/>
      </c>
      <c r="E47" s="580" t="str">
        <f t="shared" si="82"/>
        <v/>
      </c>
      <c r="F47" s="572" t="str">
        <f t="shared" si="83"/>
        <v/>
      </c>
      <c r="G47" s="579" t="str">
        <f t="shared" si="84"/>
        <v/>
      </c>
      <c r="H47" s="580" t="str">
        <f t="shared" si="34"/>
        <v/>
      </c>
      <c r="I47" s="482"/>
      <c r="J47" s="483" t="str">
        <v/>
      </c>
      <c r="K47" s="806" t="str">
        <f t="shared" si="66"/>
        <v/>
      </c>
      <c r="M47" s="164" t="str">
        <f t="shared" si="35"/>
        <v/>
      </c>
      <c r="N47" s="575" t="str">
        <f t="shared" si="36"/>
        <v/>
      </c>
      <c r="O47" s="572" t="str">
        <f t="shared" si="37"/>
        <v/>
      </c>
      <c r="P47" s="576" t="str">
        <f t="shared" si="38"/>
        <v/>
      </c>
      <c r="Q47" s="528" t="str">
        <f t="shared" si="63"/>
        <v/>
      </c>
      <c r="R47" s="572" t="str">
        <f t="shared" si="39"/>
        <v/>
      </c>
      <c r="S47" s="577" t="str">
        <f t="shared" si="40"/>
        <v/>
      </c>
      <c r="T47" s="578" t="str">
        <f t="shared" si="41"/>
        <v/>
      </c>
      <c r="U47" s="572" t="str">
        <f t="shared" si="42"/>
        <v/>
      </c>
      <c r="V47" s="579" t="str">
        <f t="shared" si="43"/>
        <v/>
      </c>
      <c r="W47" s="528" t="str">
        <f t="shared" si="67"/>
        <v/>
      </c>
      <c r="X47" s="572" t="str">
        <f t="shared" si="44"/>
        <v/>
      </c>
      <c r="Y47" s="573" t="str">
        <f t="shared" si="85"/>
        <v/>
      </c>
      <c r="Z47" s="575" t="str">
        <f t="shared" si="45"/>
        <v/>
      </c>
      <c r="AA47" s="572" t="str">
        <f t="shared" si="46"/>
        <v/>
      </c>
      <c r="AB47" s="572" t="str">
        <f t="shared" si="47"/>
        <v/>
      </c>
      <c r="AC47" s="579" t="str">
        <f t="shared" si="48"/>
        <v/>
      </c>
      <c r="AD47" s="580" t="str">
        <f t="shared" si="49"/>
        <v/>
      </c>
      <c r="AE47" s="572" t="str">
        <f t="shared" si="50"/>
        <v/>
      </c>
      <c r="AF47" s="576" t="str">
        <f t="shared" si="51"/>
        <v/>
      </c>
      <c r="AG47" s="545" t="str">
        <f t="shared" si="52"/>
        <v/>
      </c>
      <c r="AH47" s="546" t="str">
        <f t="shared" si="53"/>
        <v/>
      </c>
      <c r="AI47" s="528" t="str">
        <f t="shared" si="54"/>
        <v/>
      </c>
      <c r="AJ47" s="529" t="str">
        <f t="shared" si="55"/>
        <v/>
      </c>
      <c r="AK47" s="578" t="str">
        <f t="shared" si="56"/>
        <v/>
      </c>
      <c r="AL47" s="572" t="str">
        <f t="shared" si="57"/>
        <v/>
      </c>
      <c r="AM47" s="577" t="str">
        <f t="shared" si="58"/>
        <v/>
      </c>
      <c r="AN47" s="524" t="str">
        <f t="shared" si="86"/>
        <v/>
      </c>
      <c r="AO47" s="525" t="str">
        <f t="shared" si="17"/>
        <v/>
      </c>
      <c r="AP47" s="528" t="str">
        <f t="shared" si="59"/>
        <v/>
      </c>
      <c r="AQ47" s="529" t="str">
        <f t="shared" si="60"/>
        <v/>
      </c>
      <c r="AS47" s="598" t="str">
        <f t="shared" si="78"/>
        <v/>
      </c>
      <c r="AT47" s="602" t="str">
        <f t="shared" si="61"/>
        <v/>
      </c>
      <c r="AU47" s="515" t="str">
        <f t="shared" si="87"/>
        <v/>
      </c>
      <c r="AV47" s="164" t="str">
        <f t="shared" si="64"/>
        <v/>
      </c>
      <c r="AW47" s="545" t="str">
        <f>IF($M47="","",W47-INDEX(Assy.Model!$W$9:$W$150,MATCH('SN#.Run#'!$M47,Assy.Model!$M$9:$M$150,0)))</f>
        <v/>
      </c>
      <c r="AX47" s="628" t="str">
        <f>IF($M47="","",X47-INDEX(Assy.Model!$X$9:$X$150,MATCH('SN#.Run#'!$M47,Assy.Model!$M$9:$M$150,0)))</f>
        <v/>
      </c>
      <c r="AY47" s="629" t="str">
        <f>IF($M47="","",Y47-INDEX(Assy.Model!$Y$9:$Y$150,MATCH('SN#.Run#'!$M47,Assy.Model!$M$9:$M$150,0)))</f>
        <v/>
      </c>
      <c r="AZ47" s="60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10" t="str">
        <f>IF($M47="","",AN47-INDEX(Assy.Model!$AN$9:$AN$150,MATCH('SN#.Run#'!$M47,Assy.Model!$M$9:$M$150,0)))</f>
        <v/>
      </c>
      <c r="BB47" s="525" t="str">
        <f>IF($M47="","",AO47-INDEX(Assy.Model!$AO$9:$AO$150,MATCH('SN#.Run#'!$M47,Assy.Model!$M$9:$M$150,0)))</f>
        <v/>
      </c>
      <c r="BC47" s="619" t="str">
        <f>IF($M47="","",AP47-INDEX(Assy.Model!$AP$9:$AP$150,MATCH('SN#.Run#'!$M47,Assy.Model!$M$9:$M$150,0)))</f>
        <v/>
      </c>
      <c r="BD47" s="419"/>
      <c r="BE47" s="699"/>
      <c r="IE47" s="790" t="str">
        <f>IFERROR(IF($IU47="","",IF($IU47&lt;(((Settings!$C$19/2)*-1)*$IE$8),"Taper","Nose")),"")</f>
        <v/>
      </c>
      <c r="IF47" s="482" t="str">
        <f>IFERROR(IF((((($IW47*COS(RADIANS(180-$IY47)))*COS(RADIANS($IY47)))-(($IX47*SIN(RADIANS(180-$IY47)))*SIN(RADIANS($IY47))))+$IU47)&lt;(((Settings!$C$19+$IF$8)/2)*-1),"Gage",""),"")</f>
        <v/>
      </c>
      <c r="IG47" s="788" t="str">
        <f t="shared" si="65"/>
        <v/>
      </c>
      <c r="IH47" s="674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677" t="str" cm="1">
        <f t="array" ref="II47">IFERROR(IF($IH47&lt;1,$IH47+LARGE((IF($M$9:$M$150="",0,$M$9:$M$150)-MOD(IF($M$9:$M$150="",0,$M$9:$M$150),1)),1),$IH47),"")</f>
        <v/>
      </c>
      <c r="IJ47" s="482" t="str">
        <f t="shared" si="62"/>
        <v/>
      </c>
      <c r="IK47" s="482" t="str">
        <f t="shared" si="20"/>
        <v/>
      </c>
      <c r="IL47" s="670" t="str">
        <f t="shared" si="68"/>
        <v/>
      </c>
      <c r="IM47" s="702"/>
      <c r="IN47" s="5" t="str">
        <f t="shared" si="69"/>
        <v/>
      </c>
      <c r="IO47" s="714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670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05" t="str">
        <f t="shared" si="77"/>
        <v/>
      </c>
    </row>
    <row r="48" spans="1:271" ht="15" customHeight="1" x14ac:dyDescent="0.25">
      <c r="A48" s="82"/>
      <c r="B48" s="578" t="str">
        <f t="shared" si="79"/>
        <v/>
      </c>
      <c r="C48" s="572" t="str">
        <f t="shared" si="80"/>
        <v/>
      </c>
      <c r="D48" s="576" t="str">
        <f t="shared" si="81"/>
        <v/>
      </c>
      <c r="E48" s="580" t="str">
        <f t="shared" si="82"/>
        <v/>
      </c>
      <c r="F48" s="572" t="str">
        <f t="shared" si="83"/>
        <v/>
      </c>
      <c r="G48" s="579" t="str">
        <f t="shared" si="84"/>
        <v/>
      </c>
      <c r="H48" s="580" t="str">
        <f t="shared" si="34"/>
        <v/>
      </c>
      <c r="I48" s="482"/>
      <c r="J48" s="483" t="str">
        <v/>
      </c>
      <c r="K48" s="806" t="str">
        <f t="shared" si="66"/>
        <v/>
      </c>
      <c r="M48" s="164" t="str">
        <f t="shared" si="35"/>
        <v/>
      </c>
      <c r="N48" s="575" t="str">
        <f t="shared" si="36"/>
        <v/>
      </c>
      <c r="O48" s="572" t="str">
        <f t="shared" si="37"/>
        <v/>
      </c>
      <c r="P48" s="576" t="str">
        <f t="shared" si="38"/>
        <v/>
      </c>
      <c r="Q48" s="528" t="str">
        <f t="shared" si="63"/>
        <v/>
      </c>
      <c r="R48" s="572" t="str">
        <f t="shared" si="39"/>
        <v/>
      </c>
      <c r="S48" s="577" t="str">
        <f t="shared" si="40"/>
        <v/>
      </c>
      <c r="T48" s="578" t="str">
        <f t="shared" si="41"/>
        <v/>
      </c>
      <c r="U48" s="572" t="str">
        <f t="shared" si="42"/>
        <v/>
      </c>
      <c r="V48" s="579" t="str">
        <f t="shared" si="43"/>
        <v/>
      </c>
      <c r="W48" s="528" t="str">
        <f t="shared" si="67"/>
        <v/>
      </c>
      <c r="X48" s="572" t="str">
        <f t="shared" si="44"/>
        <v/>
      </c>
      <c r="Y48" s="573" t="str">
        <f t="shared" si="85"/>
        <v/>
      </c>
      <c r="Z48" s="575" t="str">
        <f t="shared" si="45"/>
        <v/>
      </c>
      <c r="AA48" s="572" t="str">
        <f t="shared" si="46"/>
        <v/>
      </c>
      <c r="AB48" s="572" t="str">
        <f t="shared" si="47"/>
        <v/>
      </c>
      <c r="AC48" s="579" t="str">
        <f t="shared" si="48"/>
        <v/>
      </c>
      <c r="AD48" s="580" t="str">
        <f t="shared" si="49"/>
        <v/>
      </c>
      <c r="AE48" s="572" t="str">
        <f t="shared" si="50"/>
        <v/>
      </c>
      <c r="AF48" s="576" t="str">
        <f t="shared" si="51"/>
        <v/>
      </c>
      <c r="AG48" s="545" t="str">
        <f t="shared" si="52"/>
        <v/>
      </c>
      <c r="AH48" s="546" t="str">
        <f t="shared" si="53"/>
        <v/>
      </c>
      <c r="AI48" s="528" t="str">
        <f t="shared" si="54"/>
        <v/>
      </c>
      <c r="AJ48" s="529" t="str">
        <f t="shared" si="55"/>
        <v/>
      </c>
      <c r="AK48" s="578" t="str">
        <f t="shared" si="56"/>
        <v/>
      </c>
      <c r="AL48" s="572" t="str">
        <f t="shared" si="57"/>
        <v/>
      </c>
      <c r="AM48" s="577" t="str">
        <f t="shared" si="58"/>
        <v/>
      </c>
      <c r="AN48" s="524" t="str">
        <f t="shared" si="86"/>
        <v/>
      </c>
      <c r="AO48" s="525" t="str">
        <f t="shared" si="17"/>
        <v/>
      </c>
      <c r="AP48" s="528" t="str">
        <f t="shared" si="59"/>
        <v/>
      </c>
      <c r="AQ48" s="529" t="str">
        <f t="shared" si="60"/>
        <v/>
      </c>
      <c r="AS48" s="598" t="str">
        <f t="shared" si="78"/>
        <v/>
      </c>
      <c r="AT48" s="602" t="str">
        <f t="shared" si="61"/>
        <v/>
      </c>
      <c r="AU48" s="515" t="str">
        <f t="shared" si="87"/>
        <v/>
      </c>
      <c r="AV48" s="164" t="str">
        <f t="shared" si="64"/>
        <v/>
      </c>
      <c r="AW48" s="545" t="str">
        <f>IF($M48="","",W48-INDEX(Assy.Model!$W$9:$W$150,MATCH('SN#.Run#'!$M48,Assy.Model!$M$9:$M$150,0)))</f>
        <v/>
      </c>
      <c r="AX48" s="628" t="str">
        <f>IF($M48="","",X48-INDEX(Assy.Model!$X$9:$X$150,MATCH('SN#.Run#'!$M48,Assy.Model!$M$9:$M$150,0)))</f>
        <v/>
      </c>
      <c r="AY48" s="629" t="str">
        <f>IF($M48="","",Y48-INDEX(Assy.Model!$Y$9:$Y$150,MATCH('SN#.Run#'!$M48,Assy.Model!$M$9:$M$150,0)))</f>
        <v/>
      </c>
      <c r="AZ48" s="60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10" t="str">
        <f>IF($M48="","",AN48-INDEX(Assy.Model!$AN$9:$AN$150,MATCH('SN#.Run#'!$M48,Assy.Model!$M$9:$M$150,0)))</f>
        <v/>
      </c>
      <c r="BB48" s="525" t="str">
        <f>IF($M48="","",AO48-INDEX(Assy.Model!$AO$9:$AO$150,MATCH('SN#.Run#'!$M48,Assy.Model!$M$9:$M$150,0)))</f>
        <v/>
      </c>
      <c r="BC48" s="619" t="str">
        <f>IF($M48="","",AP48-INDEX(Assy.Model!$AP$9:$AP$150,MATCH('SN#.Run#'!$M48,Assy.Model!$M$9:$M$150,0)))</f>
        <v/>
      </c>
      <c r="BD48" s="419"/>
      <c r="BE48" s="699"/>
      <c r="BF48" s="417"/>
      <c r="BG48" s="417"/>
      <c r="BH48" s="417"/>
      <c r="IE48" s="790" t="str">
        <f>IFERROR(IF($IU48="","",IF($IU48&lt;(((Settings!$C$19/2)*-1)*$IE$8),"Taper","Nose")),"")</f>
        <v/>
      </c>
      <c r="IF48" s="482" t="str">
        <f>IFERROR(IF((((($IW48*COS(RADIANS(180-$IY48)))*COS(RADIANS($IY48)))-(($IX48*SIN(RADIANS(180-$IY48)))*SIN(RADIANS($IY48))))+$IU48)&lt;(((Settings!$C$19+$IF$8)/2)*-1),"Gage",""),"")</f>
        <v/>
      </c>
      <c r="IG48" s="788" t="str">
        <f t="shared" si="65"/>
        <v/>
      </c>
      <c r="IH48" s="674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677" t="str" cm="1">
        <f t="array" ref="II48">IFERROR(IF($IH48&lt;1,$IH48+LARGE((IF($M$9:$M$150="",0,$M$9:$M$150)-MOD(IF($M$9:$M$150="",0,$M$9:$M$150),1)),1),$IH48),"")</f>
        <v/>
      </c>
      <c r="IJ48" s="482" t="str">
        <f t="shared" si="62"/>
        <v/>
      </c>
      <c r="IK48" s="482" t="str">
        <f t="shared" si="20"/>
        <v/>
      </c>
      <c r="IL48" s="670" t="str">
        <f t="shared" si="68"/>
        <v/>
      </c>
      <c r="IM48" s="702"/>
      <c r="IN48" s="5" t="str">
        <f t="shared" si="69"/>
        <v/>
      </c>
      <c r="IO48" s="714"/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670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05" t="str">
        <f t="shared" si="77"/>
        <v/>
      </c>
    </row>
    <row r="49" spans="1:259" ht="15" customHeight="1" x14ac:dyDescent="0.25">
      <c r="A49" s="82"/>
      <c r="B49" s="578" t="str">
        <f t="shared" si="79"/>
        <v/>
      </c>
      <c r="C49" s="572" t="str">
        <f t="shared" si="80"/>
        <v/>
      </c>
      <c r="D49" s="576" t="str">
        <f t="shared" si="81"/>
        <v/>
      </c>
      <c r="E49" s="580" t="str">
        <f t="shared" si="82"/>
        <v/>
      </c>
      <c r="F49" s="572" t="str">
        <f t="shared" si="83"/>
        <v/>
      </c>
      <c r="G49" s="579" t="str">
        <f t="shared" si="84"/>
        <v/>
      </c>
      <c r="H49" s="580" t="str">
        <f t="shared" si="34"/>
        <v/>
      </c>
      <c r="I49" s="482"/>
      <c r="J49" s="483" t="str">
        <v/>
      </c>
      <c r="K49" s="806" t="str">
        <f t="shared" si="66"/>
        <v/>
      </c>
      <c r="M49" s="164" t="str">
        <f t="shared" ref="M49:M112" si="88">IF(J49="","",J49)</f>
        <v/>
      </c>
      <c r="N49" s="575" t="str">
        <f t="shared" ref="N49:N112" si="89">IF(M49="","",B49)</f>
        <v/>
      </c>
      <c r="O49" s="572" t="str">
        <f t="shared" ref="O49:O112" si="90">IF(M49="","",C49)</f>
        <v/>
      </c>
      <c r="P49" s="576" t="str">
        <f t="shared" ref="P49:P112" si="91">IF(M49="","",D49)</f>
        <v/>
      </c>
      <c r="Q49" s="528" t="str">
        <f t="shared" ref="Q49:Q112" si="92">IF(M49="","",IF(DEGREES(ATAN2(N49,O49))&lt;0,DEGREES(ATAN2(N49,O49))+360,IF(DEGREES(ATAN2(N49,O49))&gt;360,DEGREES(ATAN2(N49,O49))-360,DEGREES(ATAN2(N49,O49)))))</f>
        <v/>
      </c>
      <c r="R49" s="572" t="str">
        <f t="shared" ref="R49:R112" si="93">IF(M49="","",SQRT(N49^2+O49^2))</f>
        <v/>
      </c>
      <c r="S49" s="577" t="str">
        <f t="shared" ref="S49:S112" si="94">IF(M49="","",P49)</f>
        <v/>
      </c>
      <c r="T49" s="578" t="str">
        <f t="shared" ref="T49:T112" si="95">IF(M49="","",X49*COS(RADIANS(W49)))</f>
        <v/>
      </c>
      <c r="U49" s="572" t="str">
        <f t="shared" ref="U49:U112" si="96">IF(M49="","",X49*SIN(RADIANS(W49)))</f>
        <v/>
      </c>
      <c r="V49" s="579" t="str">
        <f t="shared" ref="V49:V112" si="97">IF(M49="","",Y49)</f>
        <v/>
      </c>
      <c r="W49" s="528" t="str">
        <f t="shared" ref="W49:W112" si="98">IF(M49="","",IF(Q49-$Q$8&lt;0,360+Q49-$Q$8,Q49-$Q$8))</f>
        <v/>
      </c>
      <c r="X49" s="572" t="str">
        <f t="shared" ref="X49:X112" si="99">IF(M49="","",R49)</f>
        <v/>
      </c>
      <c r="Y49" s="573" t="str">
        <f t="shared" si="85"/>
        <v/>
      </c>
      <c r="Z49" s="575" t="str">
        <f t="shared" ref="Z49:Z112" si="100">IF(M49="","",-E49)</f>
        <v/>
      </c>
      <c r="AA49" s="572" t="str">
        <f t="shared" ref="AA49:AA112" si="101">IF(M49="","",-F49)</f>
        <v/>
      </c>
      <c r="AB49" s="572" t="str">
        <f t="shared" ref="AB49:AB112" si="102">IF(M49="","",-G49)</f>
        <v/>
      </c>
      <c r="AC49" s="579" t="str">
        <f t="shared" ref="AC49:AC112" si="103">IF(M49="","",SQRT(Z49^2+AA49^2+AB49^2))</f>
        <v/>
      </c>
      <c r="AD49" s="580" t="str">
        <f t="shared" ref="AD49:AD112" si="104">IF(M49="","",Z49*(1/SQRT(Z49^2+AA49^2+AB49^2)))</f>
        <v/>
      </c>
      <c r="AE49" s="572" t="str">
        <f t="shared" ref="AE49:AE112" si="105">IF(M49="","",AA49*(1/SQRT(Z49^2+AA49^2+AB49^2)))</f>
        <v/>
      </c>
      <c r="AF49" s="576" t="str">
        <f t="shared" ref="AF49:AF112" si="106">IF(M49="","",AB49*(1/SQRT(Z49^2+AA49^2+AB49^2)))</f>
        <v/>
      </c>
      <c r="AG49" s="545" t="str">
        <f t="shared" ref="AG49:AG112" si="107">IF(M49="","",DEGREES(ATAN2(-AF49,AE49)))</f>
        <v/>
      </c>
      <c r="AH49" s="546" t="str">
        <f t="shared" ref="AH49:AH112" si="108">IF(M49="","",DEGREES(ACOS(AD49)))</f>
        <v/>
      </c>
      <c r="AI49" s="528" t="str">
        <f t="shared" ref="AI49:AI112" si="109">IF(M49="","",DEGREES(-ACOS(-AF49)))</f>
        <v/>
      </c>
      <c r="AJ49" s="529" t="str">
        <f t="shared" ref="AJ49:AJ112" si="110">IF(M49="","",DEGREES(ATAN2(-AE49,AD49)))</f>
        <v/>
      </c>
      <c r="AK49" s="578" t="str">
        <f t="shared" ref="AK49:AK112" si="111">IF(M49="","",(COS(RADIANS((90-$Q$8)-W49))*AD49)+(-SIN(RADIANS((90-$Q$8)-W49))*AE49))</f>
        <v/>
      </c>
      <c r="AL49" s="572" t="str">
        <f t="shared" ref="AL49:AL112" si="112">IF(M49="","",(SIN(RADIANS((90-$Q$8)-W49))*AD49)+(COS(RADIANS((90-$Q$8)-W49))*AE49))</f>
        <v/>
      </c>
      <c r="AM49" s="577" t="str">
        <f t="shared" ref="AM49:AM112" si="113">IF(M49="","",AF49)</f>
        <v/>
      </c>
      <c r="AN49" s="524" t="str">
        <f t="shared" si="86"/>
        <v/>
      </c>
      <c r="AO49" s="525" t="str">
        <f t="shared" si="17"/>
        <v/>
      </c>
      <c r="AP49" s="528" t="str">
        <f t="shared" ref="AP49:AP112" si="114">IF(M49="","",DEGREES(ATAN2(AK49,AL49)))</f>
        <v/>
      </c>
      <c r="AQ49" s="529" t="str">
        <f t="shared" si="60"/>
        <v/>
      </c>
      <c r="AS49" s="598" t="str">
        <f t="shared" ref="AS49:AS112" si="115">IF(M49="","",IF(W49&lt;=LARGE($W$9:$W$17,1),W49,W49-360))</f>
        <v/>
      </c>
      <c r="AT49" s="602" t="str">
        <f t="shared" si="61"/>
        <v/>
      </c>
      <c r="AU49" s="515" t="str">
        <f t="shared" si="87"/>
        <v/>
      </c>
      <c r="AV49" s="164" t="str">
        <f t="shared" ref="AV49:AV112" si="116">M49</f>
        <v/>
      </c>
      <c r="AW49" s="545" t="str">
        <f>IF($M49="","",W49-INDEX(Assy.Model!$W$9:$W$150,MATCH('SN#.Run#'!$M49,Assy.Model!$M$9:$M$150,0)))</f>
        <v/>
      </c>
      <c r="AX49" s="628" t="str">
        <f>IF($M49="","",X49-INDEX(Assy.Model!$X$9:$X$150,MATCH('SN#.Run#'!$M49,Assy.Model!$M$9:$M$150,0)))</f>
        <v/>
      </c>
      <c r="AY49" s="629" t="str">
        <f>IF($M49="","",Y49-INDEX(Assy.Model!$Y$9:$Y$150,MATCH('SN#.Run#'!$M49,Assy.Model!$M$9:$M$150,0)))</f>
        <v/>
      </c>
      <c r="AZ49" s="60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10" t="str">
        <f>IF($M49="","",AN49-INDEX(Assy.Model!$AN$9:$AN$150,MATCH('SN#.Run#'!$M49,Assy.Model!$M$9:$M$150,0)))</f>
        <v/>
      </c>
      <c r="BB49" s="525" t="str">
        <f>IF($M49="","",AO49-INDEX(Assy.Model!$AO$9:$AO$150,MATCH('SN#.Run#'!$M49,Assy.Model!$M$9:$M$150,0)))</f>
        <v/>
      </c>
      <c r="BC49" s="619" t="str">
        <f>IF($M49="","",AP49-INDEX(Assy.Model!$AP$9:$AP$150,MATCH('SN#.Run#'!$M49,Assy.Model!$M$9:$M$150,0)))</f>
        <v/>
      </c>
      <c r="BD49" s="419"/>
      <c r="BE49" s="699"/>
      <c r="BF49" s="417"/>
      <c r="BG49" s="417"/>
      <c r="BH49" s="417"/>
      <c r="IE49" s="790" t="str">
        <f>IFERROR(IF($IU49="","",IF($IU49&lt;(((Settings!$C$19/2)*-1)*$IE$8),"Taper","Nose")),"")</f>
        <v/>
      </c>
      <c r="IF49" s="482" t="str">
        <f>IFERROR(IF((((($IW49*COS(RADIANS(180-$IY49)))*COS(RADIANS($IY49)))-(($IX49*SIN(RADIANS(180-$IY49)))*SIN(RADIANS($IY49))))+$IU49)&lt;(((Settings!$C$19+$IF$8)/2)*-1),"Gage",""),"")</f>
        <v/>
      </c>
      <c r="IG49" s="788" t="str">
        <f t="shared" si="65"/>
        <v/>
      </c>
      <c r="IH49" s="674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677" t="str" cm="1">
        <f t="array" ref="II49">IFERROR(IF($IH49&lt;1,$IH49+LARGE((IF($M$9:$M$150="",0,$M$9:$M$150)-MOD(IF($M$9:$M$150="",0,$M$9:$M$150),1)),1),$IH49),"")</f>
        <v/>
      </c>
      <c r="IJ49" s="482" t="str">
        <f t="shared" si="62"/>
        <v/>
      </c>
      <c r="IK49" s="482" t="str">
        <f t="shared" si="20"/>
        <v/>
      </c>
      <c r="IL49" s="670" t="str">
        <f t="shared" si="68"/>
        <v/>
      </c>
      <c r="IM49" s="702"/>
      <c r="IN49" s="5" t="str">
        <f t="shared" si="69"/>
        <v/>
      </c>
      <c r="IO49" s="714"/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670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05" t="str">
        <f t="shared" si="77"/>
        <v/>
      </c>
    </row>
    <row r="50" spans="1:259" ht="15" customHeight="1" x14ac:dyDescent="0.25">
      <c r="A50" s="82"/>
      <c r="B50" s="578" t="str">
        <f t="shared" si="79"/>
        <v/>
      </c>
      <c r="C50" s="572" t="str">
        <f t="shared" si="80"/>
        <v/>
      </c>
      <c r="D50" s="576" t="str">
        <f t="shared" si="81"/>
        <v/>
      </c>
      <c r="E50" s="580" t="str">
        <f t="shared" si="82"/>
        <v/>
      </c>
      <c r="F50" s="572" t="str">
        <f t="shared" si="83"/>
        <v/>
      </c>
      <c r="G50" s="579" t="str">
        <f t="shared" si="84"/>
        <v/>
      </c>
      <c r="H50" s="580" t="str">
        <f t="shared" si="34"/>
        <v/>
      </c>
      <c r="I50" s="482"/>
      <c r="J50" s="483" t="str">
        <v/>
      </c>
      <c r="K50" s="806" t="str">
        <f t="shared" si="66"/>
        <v/>
      </c>
      <c r="M50" s="164" t="str">
        <f t="shared" si="88"/>
        <v/>
      </c>
      <c r="N50" s="575" t="str">
        <f t="shared" si="89"/>
        <v/>
      </c>
      <c r="O50" s="572" t="str">
        <f t="shared" si="90"/>
        <v/>
      </c>
      <c r="P50" s="576" t="str">
        <f t="shared" si="91"/>
        <v/>
      </c>
      <c r="Q50" s="528" t="str">
        <f t="shared" si="92"/>
        <v/>
      </c>
      <c r="R50" s="572" t="str">
        <f t="shared" si="93"/>
        <v/>
      </c>
      <c r="S50" s="577" t="str">
        <f t="shared" si="94"/>
        <v/>
      </c>
      <c r="T50" s="578" t="str">
        <f t="shared" si="95"/>
        <v/>
      </c>
      <c r="U50" s="572" t="str">
        <f t="shared" si="96"/>
        <v/>
      </c>
      <c r="V50" s="579" t="str">
        <f t="shared" si="97"/>
        <v/>
      </c>
      <c r="W50" s="528" t="str">
        <f t="shared" si="98"/>
        <v/>
      </c>
      <c r="X50" s="572" t="str">
        <f t="shared" si="99"/>
        <v/>
      </c>
      <c r="Y50" s="573" t="str">
        <f t="shared" si="85"/>
        <v/>
      </c>
      <c r="Z50" s="575" t="str">
        <f t="shared" si="100"/>
        <v/>
      </c>
      <c r="AA50" s="572" t="str">
        <f t="shared" si="101"/>
        <v/>
      </c>
      <c r="AB50" s="572" t="str">
        <f t="shared" si="102"/>
        <v/>
      </c>
      <c r="AC50" s="579" t="str">
        <f t="shared" si="103"/>
        <v/>
      </c>
      <c r="AD50" s="580" t="str">
        <f t="shared" si="104"/>
        <v/>
      </c>
      <c r="AE50" s="572" t="str">
        <f t="shared" si="105"/>
        <v/>
      </c>
      <c r="AF50" s="576" t="str">
        <f t="shared" si="106"/>
        <v/>
      </c>
      <c r="AG50" s="545" t="str">
        <f t="shared" si="107"/>
        <v/>
      </c>
      <c r="AH50" s="546" t="str">
        <f t="shared" si="108"/>
        <v/>
      </c>
      <c r="AI50" s="528" t="str">
        <f t="shared" si="109"/>
        <v/>
      </c>
      <c r="AJ50" s="529" t="str">
        <f t="shared" si="110"/>
        <v/>
      </c>
      <c r="AK50" s="578" t="str">
        <f t="shared" si="111"/>
        <v/>
      </c>
      <c r="AL50" s="572" t="str">
        <f t="shared" si="112"/>
        <v/>
      </c>
      <c r="AM50" s="577" t="str">
        <f t="shared" si="113"/>
        <v/>
      </c>
      <c r="AN50" s="524" t="str">
        <f t="shared" si="86"/>
        <v/>
      </c>
      <c r="AO50" s="525" t="str">
        <f t="shared" si="17"/>
        <v/>
      </c>
      <c r="AP50" s="528" t="str">
        <f t="shared" si="114"/>
        <v/>
      </c>
      <c r="AQ50" s="529" t="str">
        <f t="shared" si="60"/>
        <v/>
      </c>
      <c r="AS50" s="598" t="str">
        <f t="shared" si="115"/>
        <v/>
      </c>
      <c r="AT50" s="602" t="str">
        <f t="shared" si="61"/>
        <v/>
      </c>
      <c r="AU50" s="515" t="str">
        <f t="shared" si="87"/>
        <v/>
      </c>
      <c r="AV50" s="164" t="str">
        <f t="shared" si="116"/>
        <v/>
      </c>
      <c r="AW50" s="545" t="str">
        <f>IF($M50="","",W50-INDEX(Assy.Model!$W$9:$W$150,MATCH('SN#.Run#'!$M50,Assy.Model!$M$9:$M$150,0)))</f>
        <v/>
      </c>
      <c r="AX50" s="628" t="str">
        <f>IF($M50="","",X50-INDEX(Assy.Model!$X$9:$X$150,MATCH('SN#.Run#'!$M50,Assy.Model!$M$9:$M$150,0)))</f>
        <v/>
      </c>
      <c r="AY50" s="629" t="str">
        <f>IF($M50="","",Y50-INDEX(Assy.Model!$Y$9:$Y$150,MATCH('SN#.Run#'!$M50,Assy.Model!$M$9:$M$150,0)))</f>
        <v/>
      </c>
      <c r="AZ50" s="60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10" t="str">
        <f>IF($M50="","",AN50-INDEX(Assy.Model!$AN$9:$AN$150,MATCH('SN#.Run#'!$M50,Assy.Model!$M$9:$M$150,0)))</f>
        <v/>
      </c>
      <c r="BB50" s="525" t="str">
        <f>IF($M50="","",AO50-INDEX(Assy.Model!$AO$9:$AO$150,MATCH('SN#.Run#'!$M50,Assy.Model!$M$9:$M$150,0)))</f>
        <v/>
      </c>
      <c r="BC50" s="619" t="str">
        <f>IF($M50="","",AP50-INDEX(Assy.Model!$AP$9:$AP$150,MATCH('SN#.Run#'!$M50,Assy.Model!$M$9:$M$150,0)))</f>
        <v/>
      </c>
      <c r="BD50" s="419"/>
      <c r="BE50" s="699"/>
      <c r="BF50" s="417"/>
      <c r="BG50" s="417"/>
      <c r="BH50" s="417"/>
      <c r="IE50" s="790" t="str">
        <f>IFERROR(IF($IU50="","",IF($IU50&lt;(((Settings!$C$19/2)*-1)*$IE$8),"Taper","Nose")),"")</f>
        <v/>
      </c>
      <c r="IF50" s="482" t="str">
        <f>IFERROR(IF((((($IW50*COS(RADIANS(180-$IY50)))*COS(RADIANS($IY50)))-(($IX50*SIN(RADIANS(180-$IY50)))*SIN(RADIANS($IY50))))+$IU50)&lt;(((Settings!$C$19+$IF$8)/2)*-1),"Gage",""),"")</f>
        <v/>
      </c>
      <c r="IG50" s="788" t="str">
        <f t="shared" si="65"/>
        <v/>
      </c>
      <c r="IH50" s="674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677" t="str" cm="1">
        <f t="array" ref="II50">IFERROR(IF($IH50&lt;1,$IH50+LARGE((IF($M$9:$M$150="",0,$M$9:$M$150)-MOD(IF($M$9:$M$150="",0,$M$9:$M$150),1)),1),$IH50),"")</f>
        <v/>
      </c>
      <c r="IJ50" s="482" t="str">
        <f t="shared" si="62"/>
        <v/>
      </c>
      <c r="IK50" s="482" t="str">
        <f t="shared" si="20"/>
        <v/>
      </c>
      <c r="IL50" s="670" t="str">
        <f t="shared" si="68"/>
        <v/>
      </c>
      <c r="IM50" s="702"/>
      <c r="IN50" s="5" t="str">
        <f t="shared" si="69"/>
        <v/>
      </c>
      <c r="IO50" s="714"/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670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05" t="str">
        <f t="shared" si="77"/>
        <v/>
      </c>
    </row>
    <row r="51" spans="1:259" ht="15" customHeight="1" x14ac:dyDescent="0.25">
      <c r="A51" s="82"/>
      <c r="B51" s="578" t="str">
        <f t="shared" si="79"/>
        <v/>
      </c>
      <c r="C51" s="572" t="str">
        <f t="shared" si="80"/>
        <v/>
      </c>
      <c r="D51" s="576" t="str">
        <f t="shared" si="81"/>
        <v/>
      </c>
      <c r="E51" s="580" t="str">
        <f t="shared" si="82"/>
        <v/>
      </c>
      <c r="F51" s="572" t="str">
        <f t="shared" si="83"/>
        <v/>
      </c>
      <c r="G51" s="579" t="str">
        <f t="shared" si="84"/>
        <v/>
      </c>
      <c r="H51" s="580" t="str">
        <f t="shared" si="34"/>
        <v/>
      </c>
      <c r="I51" s="482"/>
      <c r="J51" s="483" t="str">
        <v/>
      </c>
      <c r="K51" s="806" t="str">
        <f t="shared" si="66"/>
        <v/>
      </c>
      <c r="M51" s="164" t="str">
        <f t="shared" si="88"/>
        <v/>
      </c>
      <c r="N51" s="575" t="str">
        <f t="shared" si="89"/>
        <v/>
      </c>
      <c r="O51" s="572" t="str">
        <f t="shared" si="90"/>
        <v/>
      </c>
      <c r="P51" s="576" t="str">
        <f t="shared" si="91"/>
        <v/>
      </c>
      <c r="Q51" s="528" t="str">
        <f t="shared" si="92"/>
        <v/>
      </c>
      <c r="R51" s="572" t="str">
        <f t="shared" si="93"/>
        <v/>
      </c>
      <c r="S51" s="577" t="str">
        <f t="shared" si="94"/>
        <v/>
      </c>
      <c r="T51" s="578" t="str">
        <f t="shared" si="95"/>
        <v/>
      </c>
      <c r="U51" s="572" t="str">
        <f t="shared" si="96"/>
        <v/>
      </c>
      <c r="V51" s="579" t="str">
        <f t="shared" si="97"/>
        <v/>
      </c>
      <c r="W51" s="528" t="str">
        <f t="shared" si="98"/>
        <v/>
      </c>
      <c r="X51" s="572" t="str">
        <f t="shared" si="99"/>
        <v/>
      </c>
      <c r="Y51" s="573" t="str">
        <f t="shared" si="85"/>
        <v/>
      </c>
      <c r="Z51" s="575" t="str">
        <f t="shared" si="100"/>
        <v/>
      </c>
      <c r="AA51" s="572" t="str">
        <f t="shared" si="101"/>
        <v/>
      </c>
      <c r="AB51" s="572" t="str">
        <f t="shared" si="102"/>
        <v/>
      </c>
      <c r="AC51" s="579" t="str">
        <f t="shared" si="103"/>
        <v/>
      </c>
      <c r="AD51" s="580" t="str">
        <f t="shared" si="104"/>
        <v/>
      </c>
      <c r="AE51" s="572" t="str">
        <f t="shared" si="105"/>
        <v/>
      </c>
      <c r="AF51" s="576" t="str">
        <f t="shared" si="106"/>
        <v/>
      </c>
      <c r="AG51" s="545" t="str">
        <f t="shared" si="107"/>
        <v/>
      </c>
      <c r="AH51" s="546" t="str">
        <f t="shared" si="108"/>
        <v/>
      </c>
      <c r="AI51" s="528" t="str">
        <f t="shared" si="109"/>
        <v/>
      </c>
      <c r="AJ51" s="529" t="str">
        <f t="shared" si="110"/>
        <v/>
      </c>
      <c r="AK51" s="578" t="str">
        <f t="shared" si="111"/>
        <v/>
      </c>
      <c r="AL51" s="572" t="str">
        <f t="shared" si="112"/>
        <v/>
      </c>
      <c r="AM51" s="577" t="str">
        <f t="shared" si="113"/>
        <v/>
      </c>
      <c r="AN51" s="524" t="str">
        <f t="shared" si="86"/>
        <v/>
      </c>
      <c r="AO51" s="525" t="str">
        <f t="shared" si="17"/>
        <v/>
      </c>
      <c r="AP51" s="528" t="str">
        <f t="shared" si="114"/>
        <v/>
      </c>
      <c r="AQ51" s="529" t="str">
        <f t="shared" si="60"/>
        <v/>
      </c>
      <c r="AS51" s="598" t="str">
        <f t="shared" si="115"/>
        <v/>
      </c>
      <c r="AT51" s="602" t="str">
        <f t="shared" si="61"/>
        <v/>
      </c>
      <c r="AU51" s="515" t="str">
        <f t="shared" si="87"/>
        <v/>
      </c>
      <c r="AV51" s="164" t="str">
        <f t="shared" si="116"/>
        <v/>
      </c>
      <c r="AW51" s="545" t="str">
        <f>IF($M51="","",W51-INDEX(Assy.Model!$W$9:$W$150,MATCH('SN#.Run#'!$M51,Assy.Model!$M$9:$M$150,0)))</f>
        <v/>
      </c>
      <c r="AX51" s="628" t="str">
        <f>IF($M51="","",X51-INDEX(Assy.Model!$X$9:$X$150,MATCH('SN#.Run#'!$M51,Assy.Model!$M$9:$M$150,0)))</f>
        <v/>
      </c>
      <c r="AY51" s="629" t="str">
        <f>IF($M51="","",Y51-INDEX(Assy.Model!$Y$9:$Y$150,MATCH('SN#.Run#'!$M51,Assy.Model!$M$9:$M$150,0)))</f>
        <v/>
      </c>
      <c r="AZ51" s="60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10" t="str">
        <f>IF($M51="","",AN51-INDEX(Assy.Model!$AN$9:$AN$150,MATCH('SN#.Run#'!$M51,Assy.Model!$M$9:$M$150,0)))</f>
        <v/>
      </c>
      <c r="BB51" s="525" t="str">
        <f>IF($M51="","",AO51-INDEX(Assy.Model!$AO$9:$AO$150,MATCH('SN#.Run#'!$M51,Assy.Model!$M$9:$M$150,0)))</f>
        <v/>
      </c>
      <c r="BC51" s="619" t="str">
        <f>IF($M51="","",AP51-INDEX(Assy.Model!$AP$9:$AP$150,MATCH('SN#.Run#'!$M51,Assy.Model!$M$9:$M$150,0)))</f>
        <v/>
      </c>
      <c r="BD51" s="419"/>
      <c r="BE51" s="699"/>
      <c r="BF51" s="417"/>
      <c r="BG51" s="417"/>
      <c r="BH51" s="417"/>
      <c r="IE51" s="790" t="str">
        <f>IFERROR(IF($IU51="","",IF($IU51&lt;(((Settings!$C$19/2)*-1)*$IE$8),"Taper","Nose")),"")</f>
        <v/>
      </c>
      <c r="IF51" s="482" t="str">
        <f>IFERROR(IF((((($IW51*COS(RADIANS(180-$IY51)))*COS(RADIANS($IY51)))-(($IX51*SIN(RADIANS(180-$IY51)))*SIN(RADIANS($IY51))))+$IU51)&lt;(((Settings!$C$19+$IF$8)/2)*-1),"Gage",""),"")</f>
        <v/>
      </c>
      <c r="IG51" s="788" t="str">
        <f t="shared" si="65"/>
        <v/>
      </c>
      <c r="IH51" s="674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677" t="str" cm="1">
        <f t="array" ref="II51">IFERROR(IF($IH51&lt;1,$IH51+LARGE((IF($M$9:$M$150="",0,$M$9:$M$150)-MOD(IF($M$9:$M$150="",0,$M$9:$M$150),1)),1),$IH51),"")</f>
        <v/>
      </c>
      <c r="IJ51" s="482" t="str">
        <f t="shared" si="62"/>
        <v/>
      </c>
      <c r="IK51" s="482" t="str">
        <f t="shared" si="20"/>
        <v/>
      </c>
      <c r="IL51" s="670" t="str">
        <f t="shared" si="68"/>
        <v/>
      </c>
      <c r="IM51" s="702"/>
      <c r="IN51" s="5" t="str">
        <f t="shared" si="69"/>
        <v/>
      </c>
      <c r="IO51" s="714"/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670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05" t="str">
        <f t="shared" si="77"/>
        <v/>
      </c>
    </row>
    <row r="52" spans="1:259" ht="15" customHeight="1" x14ac:dyDescent="0.25">
      <c r="A52" s="82"/>
      <c r="B52" s="578" t="str">
        <f t="shared" si="79"/>
        <v/>
      </c>
      <c r="C52" s="572" t="str">
        <f t="shared" si="80"/>
        <v/>
      </c>
      <c r="D52" s="576" t="str">
        <f t="shared" si="81"/>
        <v/>
      </c>
      <c r="E52" s="580" t="str">
        <f t="shared" si="82"/>
        <v/>
      </c>
      <c r="F52" s="572" t="str">
        <f t="shared" si="83"/>
        <v/>
      </c>
      <c r="G52" s="579" t="str">
        <f t="shared" si="84"/>
        <v/>
      </c>
      <c r="H52" s="580" t="str">
        <f t="shared" si="34"/>
        <v/>
      </c>
      <c r="I52" s="482"/>
      <c r="J52" s="483" t="str">
        <v/>
      </c>
      <c r="K52" s="806" t="str">
        <f t="shared" si="66"/>
        <v/>
      </c>
      <c r="M52" s="164" t="str">
        <f t="shared" si="88"/>
        <v/>
      </c>
      <c r="N52" s="575" t="str">
        <f t="shared" si="89"/>
        <v/>
      </c>
      <c r="O52" s="572" t="str">
        <f t="shared" si="90"/>
        <v/>
      </c>
      <c r="P52" s="576" t="str">
        <f t="shared" si="91"/>
        <v/>
      </c>
      <c r="Q52" s="528" t="str">
        <f t="shared" si="92"/>
        <v/>
      </c>
      <c r="R52" s="572" t="str">
        <f t="shared" si="93"/>
        <v/>
      </c>
      <c r="S52" s="577" t="str">
        <f t="shared" si="94"/>
        <v/>
      </c>
      <c r="T52" s="578" t="str">
        <f t="shared" si="95"/>
        <v/>
      </c>
      <c r="U52" s="572" t="str">
        <f t="shared" si="96"/>
        <v/>
      </c>
      <c r="V52" s="579" t="str">
        <f t="shared" si="97"/>
        <v/>
      </c>
      <c r="W52" s="528" t="str">
        <f t="shared" si="98"/>
        <v/>
      </c>
      <c r="X52" s="572" t="str">
        <f t="shared" si="99"/>
        <v/>
      </c>
      <c r="Y52" s="573" t="str">
        <f t="shared" si="85"/>
        <v/>
      </c>
      <c r="Z52" s="575" t="str">
        <f t="shared" si="100"/>
        <v/>
      </c>
      <c r="AA52" s="572" t="str">
        <f t="shared" si="101"/>
        <v/>
      </c>
      <c r="AB52" s="572" t="str">
        <f t="shared" si="102"/>
        <v/>
      </c>
      <c r="AC52" s="579" t="str">
        <f t="shared" si="103"/>
        <v/>
      </c>
      <c r="AD52" s="580" t="str">
        <f t="shared" si="104"/>
        <v/>
      </c>
      <c r="AE52" s="572" t="str">
        <f t="shared" si="105"/>
        <v/>
      </c>
      <c r="AF52" s="576" t="str">
        <f t="shared" si="106"/>
        <v/>
      </c>
      <c r="AG52" s="545" t="str">
        <f t="shared" si="107"/>
        <v/>
      </c>
      <c r="AH52" s="546" t="str">
        <f t="shared" si="108"/>
        <v/>
      </c>
      <c r="AI52" s="528" t="str">
        <f t="shared" si="109"/>
        <v/>
      </c>
      <c r="AJ52" s="529" t="str">
        <f t="shared" si="110"/>
        <v/>
      </c>
      <c r="AK52" s="578" t="str">
        <f t="shared" si="111"/>
        <v/>
      </c>
      <c r="AL52" s="572" t="str">
        <f t="shared" si="112"/>
        <v/>
      </c>
      <c r="AM52" s="577" t="str">
        <f t="shared" si="113"/>
        <v/>
      </c>
      <c r="AN52" s="524" t="str">
        <f t="shared" si="86"/>
        <v/>
      </c>
      <c r="AO52" s="525" t="str">
        <f t="shared" si="17"/>
        <v/>
      </c>
      <c r="AP52" s="528" t="str">
        <f t="shared" si="114"/>
        <v/>
      </c>
      <c r="AQ52" s="529" t="str">
        <f t="shared" si="60"/>
        <v/>
      </c>
      <c r="AS52" s="598" t="str">
        <f t="shared" si="115"/>
        <v/>
      </c>
      <c r="AT52" s="602" t="str">
        <f t="shared" si="61"/>
        <v/>
      </c>
      <c r="AU52" s="515" t="str">
        <f t="shared" si="87"/>
        <v/>
      </c>
      <c r="AV52" s="164" t="str">
        <f t="shared" si="116"/>
        <v/>
      </c>
      <c r="AW52" s="545" t="str">
        <f>IF($M52="","",W52-INDEX(Assy.Model!$W$9:$W$150,MATCH('SN#.Run#'!$M52,Assy.Model!$M$9:$M$150,0)))</f>
        <v/>
      </c>
      <c r="AX52" s="628" t="str">
        <f>IF($M52="","",X52-INDEX(Assy.Model!$X$9:$X$150,MATCH('SN#.Run#'!$M52,Assy.Model!$M$9:$M$150,0)))</f>
        <v/>
      </c>
      <c r="AY52" s="629" t="str">
        <f>IF($M52="","",Y52-INDEX(Assy.Model!$Y$9:$Y$150,MATCH('SN#.Run#'!$M52,Assy.Model!$M$9:$M$150,0)))</f>
        <v/>
      </c>
      <c r="AZ52" s="60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10" t="str">
        <f>IF($M52="","",AN52-INDEX(Assy.Model!$AN$9:$AN$150,MATCH('SN#.Run#'!$M52,Assy.Model!$M$9:$M$150,0)))</f>
        <v/>
      </c>
      <c r="BB52" s="525" t="str">
        <f>IF($M52="","",AO52-INDEX(Assy.Model!$AO$9:$AO$150,MATCH('SN#.Run#'!$M52,Assy.Model!$M$9:$M$150,0)))</f>
        <v/>
      </c>
      <c r="BC52" s="619" t="str">
        <f>IF($M52="","",AP52-INDEX(Assy.Model!$AP$9:$AP$150,MATCH('SN#.Run#'!$M52,Assy.Model!$M$9:$M$150,0)))</f>
        <v/>
      </c>
      <c r="BD52" s="419"/>
      <c r="BE52" s="699"/>
      <c r="BF52" s="417"/>
      <c r="BG52" s="417"/>
      <c r="BH52" s="417"/>
      <c r="IE52" s="790" t="str">
        <f>IFERROR(IF($IU52="","",IF($IU52&lt;(((Settings!$C$19/2)*-1)*$IE$8),"Taper","Nose")),"")</f>
        <v/>
      </c>
      <c r="IF52" s="482" t="str">
        <f>IFERROR(IF((((($IW52*COS(RADIANS(180-$IY52)))*COS(RADIANS($IY52)))-(($IX52*SIN(RADIANS(180-$IY52)))*SIN(RADIANS($IY52))))+$IU52)&lt;(((Settings!$C$19+$IF$8)/2)*-1),"Gage",""),"")</f>
        <v/>
      </c>
      <c r="IG52" s="788" t="str">
        <f t="shared" si="65"/>
        <v/>
      </c>
      <c r="IH52" s="674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677" t="str" cm="1">
        <f t="array" ref="II52">IFERROR(IF($IH52&lt;1,$IH52+LARGE((IF($M$9:$M$150="",0,$M$9:$M$150)-MOD(IF($M$9:$M$150="",0,$M$9:$M$150),1)),1),$IH52),"")</f>
        <v/>
      </c>
      <c r="IJ52" s="482" t="str">
        <f t="shared" si="62"/>
        <v/>
      </c>
      <c r="IK52" s="482" t="str">
        <f t="shared" si="20"/>
        <v/>
      </c>
      <c r="IL52" s="670" t="str">
        <f t="shared" si="68"/>
        <v/>
      </c>
      <c r="IM52" s="702"/>
      <c r="IN52" s="5" t="str">
        <f t="shared" si="69"/>
        <v/>
      </c>
      <c r="IO52" s="714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670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05" t="str">
        <f t="shared" si="77"/>
        <v/>
      </c>
    </row>
    <row r="53" spans="1:259" ht="15" customHeight="1" x14ac:dyDescent="0.25">
      <c r="A53" s="82"/>
      <c r="B53" s="578" t="str">
        <f t="shared" si="79"/>
        <v/>
      </c>
      <c r="C53" s="572" t="str">
        <f t="shared" si="80"/>
        <v/>
      </c>
      <c r="D53" s="576" t="str">
        <f t="shared" si="81"/>
        <v/>
      </c>
      <c r="E53" s="580" t="str">
        <f t="shared" si="82"/>
        <v/>
      </c>
      <c r="F53" s="572" t="str">
        <f t="shared" si="83"/>
        <v/>
      </c>
      <c r="G53" s="579" t="str">
        <f t="shared" si="84"/>
        <v/>
      </c>
      <c r="H53" s="580" t="str">
        <f t="shared" si="34"/>
        <v/>
      </c>
      <c r="I53" s="482"/>
      <c r="J53" s="483" t="str">
        <v/>
      </c>
      <c r="K53" s="806" t="str">
        <f t="shared" si="66"/>
        <v/>
      </c>
      <c r="M53" s="164" t="str">
        <f t="shared" si="88"/>
        <v/>
      </c>
      <c r="N53" s="575" t="str">
        <f t="shared" si="89"/>
        <v/>
      </c>
      <c r="O53" s="572" t="str">
        <f t="shared" si="90"/>
        <v/>
      </c>
      <c r="P53" s="576" t="str">
        <f t="shared" si="91"/>
        <v/>
      </c>
      <c r="Q53" s="528" t="str">
        <f t="shared" si="92"/>
        <v/>
      </c>
      <c r="R53" s="572" t="str">
        <f t="shared" si="93"/>
        <v/>
      </c>
      <c r="S53" s="577" t="str">
        <f t="shared" si="94"/>
        <v/>
      </c>
      <c r="T53" s="578" t="str">
        <f t="shared" si="95"/>
        <v/>
      </c>
      <c r="U53" s="572" t="str">
        <f t="shared" si="96"/>
        <v/>
      </c>
      <c r="V53" s="579" t="str">
        <f t="shared" si="97"/>
        <v/>
      </c>
      <c r="W53" s="528" t="str">
        <f t="shared" si="98"/>
        <v/>
      </c>
      <c r="X53" s="572" t="str">
        <f t="shared" si="99"/>
        <v/>
      </c>
      <c r="Y53" s="573" t="str">
        <f t="shared" si="85"/>
        <v/>
      </c>
      <c r="Z53" s="575" t="str">
        <f t="shared" si="100"/>
        <v/>
      </c>
      <c r="AA53" s="572" t="str">
        <f t="shared" si="101"/>
        <v/>
      </c>
      <c r="AB53" s="572" t="str">
        <f t="shared" si="102"/>
        <v/>
      </c>
      <c r="AC53" s="579" t="str">
        <f t="shared" si="103"/>
        <v/>
      </c>
      <c r="AD53" s="580" t="str">
        <f t="shared" si="104"/>
        <v/>
      </c>
      <c r="AE53" s="572" t="str">
        <f t="shared" si="105"/>
        <v/>
      </c>
      <c r="AF53" s="576" t="str">
        <f t="shared" si="106"/>
        <v/>
      </c>
      <c r="AG53" s="545" t="str">
        <f t="shared" si="107"/>
        <v/>
      </c>
      <c r="AH53" s="546" t="str">
        <f t="shared" si="108"/>
        <v/>
      </c>
      <c r="AI53" s="528" t="str">
        <f t="shared" si="109"/>
        <v/>
      </c>
      <c r="AJ53" s="529" t="str">
        <f t="shared" si="110"/>
        <v/>
      </c>
      <c r="AK53" s="578" t="str">
        <f t="shared" si="111"/>
        <v/>
      </c>
      <c r="AL53" s="572" t="str">
        <f t="shared" si="112"/>
        <v/>
      </c>
      <c r="AM53" s="577" t="str">
        <f t="shared" si="113"/>
        <v/>
      </c>
      <c r="AN53" s="524" t="str">
        <f t="shared" si="86"/>
        <v/>
      </c>
      <c r="AO53" s="525" t="str">
        <f t="shared" si="17"/>
        <v/>
      </c>
      <c r="AP53" s="528" t="str">
        <f t="shared" si="114"/>
        <v/>
      </c>
      <c r="AQ53" s="529" t="str">
        <f t="shared" si="60"/>
        <v/>
      </c>
      <c r="AS53" s="598" t="str">
        <f t="shared" si="115"/>
        <v/>
      </c>
      <c r="AT53" s="602" t="str">
        <f t="shared" si="61"/>
        <v/>
      </c>
      <c r="AU53" s="515" t="str">
        <f t="shared" si="87"/>
        <v/>
      </c>
      <c r="AV53" s="164" t="str">
        <f t="shared" si="116"/>
        <v/>
      </c>
      <c r="AW53" s="545" t="str">
        <f>IF($M53="","",W53-INDEX(Assy.Model!$W$9:$W$150,MATCH('SN#.Run#'!$M53,Assy.Model!$M$9:$M$150,0)))</f>
        <v/>
      </c>
      <c r="AX53" s="628" t="str">
        <f>IF($M53="","",X53-INDEX(Assy.Model!$X$9:$X$150,MATCH('SN#.Run#'!$M53,Assy.Model!$M$9:$M$150,0)))</f>
        <v/>
      </c>
      <c r="AY53" s="629" t="str">
        <f>IF($M53="","",Y53-INDEX(Assy.Model!$Y$9:$Y$150,MATCH('SN#.Run#'!$M53,Assy.Model!$M$9:$M$150,0)))</f>
        <v/>
      </c>
      <c r="AZ53" s="60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10" t="str">
        <f>IF($M53="","",AN53-INDEX(Assy.Model!$AN$9:$AN$150,MATCH('SN#.Run#'!$M53,Assy.Model!$M$9:$M$150,0)))</f>
        <v/>
      </c>
      <c r="BB53" s="525" t="str">
        <f>IF($M53="","",AO53-INDEX(Assy.Model!$AO$9:$AO$150,MATCH('SN#.Run#'!$M53,Assy.Model!$M$9:$M$150,0)))</f>
        <v/>
      </c>
      <c r="BC53" s="619" t="str">
        <f>IF($M53="","",AP53-INDEX(Assy.Model!$AP$9:$AP$150,MATCH('SN#.Run#'!$M53,Assy.Model!$M$9:$M$150,0)))</f>
        <v/>
      </c>
      <c r="BD53" s="419"/>
      <c r="BE53" s="699"/>
      <c r="BF53" s="417"/>
      <c r="BG53" s="417"/>
      <c r="BH53" s="417"/>
      <c r="BI53" s="1"/>
      <c r="IE53" s="790" t="str">
        <f>IFERROR(IF($IU53="","",IF($IU53&lt;(((Settings!$C$19/2)*-1)*$IE$8),"Taper","Nose")),"")</f>
        <v/>
      </c>
      <c r="IF53" s="482" t="str">
        <f>IFERROR(IF((((($IW53*COS(RADIANS(180-$IY53)))*COS(RADIANS($IY53)))-(($IX53*SIN(RADIANS(180-$IY53)))*SIN(RADIANS($IY53))))+$IU53)&lt;(((Settings!$C$19+$IF$8)/2)*-1),"Gage",""),"")</f>
        <v/>
      </c>
      <c r="IG53" s="788" t="str">
        <f t="shared" si="65"/>
        <v/>
      </c>
      <c r="IH53" s="674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677" t="str" cm="1">
        <f t="array" ref="II53">IFERROR(IF($IH53&lt;1,$IH53+LARGE((IF($M$9:$M$150="",0,$M$9:$M$150)-MOD(IF($M$9:$M$150="",0,$M$9:$M$150),1)),1),$IH53),"")</f>
        <v/>
      </c>
      <c r="IJ53" s="482" t="str">
        <f t="shared" si="62"/>
        <v/>
      </c>
      <c r="IK53" s="482" t="str">
        <f t="shared" si="20"/>
        <v/>
      </c>
      <c r="IL53" s="670" t="str">
        <f t="shared" si="68"/>
        <v/>
      </c>
      <c r="IM53" s="702"/>
      <c r="IN53" s="5" t="str">
        <f t="shared" si="69"/>
        <v/>
      </c>
      <c r="IO53" s="714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670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05" t="str">
        <f t="shared" si="77"/>
        <v/>
      </c>
    </row>
    <row r="54" spans="1:259" ht="15" customHeight="1" x14ac:dyDescent="0.25">
      <c r="A54" s="82"/>
      <c r="B54" s="578" t="str">
        <f t="shared" si="79"/>
        <v/>
      </c>
      <c r="C54" s="572" t="str">
        <f t="shared" si="80"/>
        <v/>
      </c>
      <c r="D54" s="576" t="str">
        <f t="shared" si="81"/>
        <v/>
      </c>
      <c r="E54" s="580" t="str">
        <f t="shared" si="82"/>
        <v/>
      </c>
      <c r="F54" s="572" t="str">
        <f t="shared" si="83"/>
        <v/>
      </c>
      <c r="G54" s="579" t="str">
        <f t="shared" si="84"/>
        <v/>
      </c>
      <c r="H54" s="580" t="str">
        <f t="shared" si="34"/>
        <v/>
      </c>
      <c r="I54" s="482"/>
      <c r="J54" s="483" t="str">
        <v/>
      </c>
      <c r="K54" s="806" t="str">
        <f t="shared" si="66"/>
        <v/>
      </c>
      <c r="M54" s="164" t="str">
        <f t="shared" si="88"/>
        <v/>
      </c>
      <c r="N54" s="575" t="str">
        <f t="shared" si="89"/>
        <v/>
      </c>
      <c r="O54" s="572" t="str">
        <f t="shared" si="90"/>
        <v/>
      </c>
      <c r="P54" s="576" t="str">
        <f t="shared" si="91"/>
        <v/>
      </c>
      <c r="Q54" s="528" t="str">
        <f t="shared" si="92"/>
        <v/>
      </c>
      <c r="R54" s="572" t="str">
        <f t="shared" si="93"/>
        <v/>
      </c>
      <c r="S54" s="577" t="str">
        <f t="shared" si="94"/>
        <v/>
      </c>
      <c r="T54" s="578" t="str">
        <f t="shared" si="95"/>
        <v/>
      </c>
      <c r="U54" s="572" t="str">
        <f t="shared" si="96"/>
        <v/>
      </c>
      <c r="V54" s="579" t="str">
        <f t="shared" si="97"/>
        <v/>
      </c>
      <c r="W54" s="528" t="str">
        <f t="shared" si="98"/>
        <v/>
      </c>
      <c r="X54" s="572" t="str">
        <f t="shared" si="99"/>
        <v/>
      </c>
      <c r="Y54" s="573" t="str">
        <f t="shared" si="85"/>
        <v/>
      </c>
      <c r="Z54" s="575" t="str">
        <f t="shared" si="100"/>
        <v/>
      </c>
      <c r="AA54" s="572" t="str">
        <f t="shared" si="101"/>
        <v/>
      </c>
      <c r="AB54" s="572" t="str">
        <f t="shared" si="102"/>
        <v/>
      </c>
      <c r="AC54" s="579" t="str">
        <f t="shared" si="103"/>
        <v/>
      </c>
      <c r="AD54" s="580" t="str">
        <f t="shared" si="104"/>
        <v/>
      </c>
      <c r="AE54" s="572" t="str">
        <f t="shared" si="105"/>
        <v/>
      </c>
      <c r="AF54" s="576" t="str">
        <f t="shared" si="106"/>
        <v/>
      </c>
      <c r="AG54" s="545" t="str">
        <f t="shared" si="107"/>
        <v/>
      </c>
      <c r="AH54" s="546" t="str">
        <f t="shared" si="108"/>
        <v/>
      </c>
      <c r="AI54" s="528" t="str">
        <f t="shared" si="109"/>
        <v/>
      </c>
      <c r="AJ54" s="529" t="str">
        <f t="shared" si="110"/>
        <v/>
      </c>
      <c r="AK54" s="578" t="str">
        <f t="shared" si="111"/>
        <v/>
      </c>
      <c r="AL54" s="572" t="str">
        <f t="shared" si="112"/>
        <v/>
      </c>
      <c r="AM54" s="577" t="str">
        <f t="shared" si="113"/>
        <v/>
      </c>
      <c r="AN54" s="524" t="str">
        <f t="shared" si="86"/>
        <v/>
      </c>
      <c r="AO54" s="525" t="str">
        <f t="shared" si="17"/>
        <v/>
      </c>
      <c r="AP54" s="528" t="str">
        <f t="shared" si="114"/>
        <v/>
      </c>
      <c r="AQ54" s="529" t="str">
        <f t="shared" si="60"/>
        <v/>
      </c>
      <c r="AS54" s="598" t="str">
        <f t="shared" si="115"/>
        <v/>
      </c>
      <c r="AT54" s="602" t="str">
        <f t="shared" si="61"/>
        <v/>
      </c>
      <c r="AU54" s="515" t="str">
        <f t="shared" si="87"/>
        <v/>
      </c>
      <c r="AV54" s="164" t="str">
        <f t="shared" si="116"/>
        <v/>
      </c>
      <c r="AW54" s="545" t="str">
        <f>IF($M54="","",W54-INDEX(Assy.Model!$W$9:$W$150,MATCH('SN#.Run#'!$M54,Assy.Model!$M$9:$M$150,0)))</f>
        <v/>
      </c>
      <c r="AX54" s="628" t="str">
        <f>IF($M54="","",X54-INDEX(Assy.Model!$X$9:$X$150,MATCH('SN#.Run#'!$M54,Assy.Model!$M$9:$M$150,0)))</f>
        <v/>
      </c>
      <c r="AY54" s="629" t="str">
        <f>IF($M54="","",Y54-INDEX(Assy.Model!$Y$9:$Y$150,MATCH('SN#.Run#'!$M54,Assy.Model!$M$9:$M$150,0)))</f>
        <v/>
      </c>
      <c r="AZ54" s="60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10" t="str">
        <f>IF($M54="","",AN54-INDEX(Assy.Model!$AN$9:$AN$150,MATCH('SN#.Run#'!$M54,Assy.Model!$M$9:$M$150,0)))</f>
        <v/>
      </c>
      <c r="BB54" s="525" t="str">
        <f>IF($M54="","",AO54-INDEX(Assy.Model!$AO$9:$AO$150,MATCH('SN#.Run#'!$M54,Assy.Model!$M$9:$M$150,0)))</f>
        <v/>
      </c>
      <c r="BC54" s="619" t="str">
        <f>IF($M54="","",AP54-INDEX(Assy.Model!$AP$9:$AP$150,MATCH('SN#.Run#'!$M54,Assy.Model!$M$9:$M$150,0)))</f>
        <v/>
      </c>
      <c r="BD54" s="419"/>
      <c r="BE54" s="699"/>
      <c r="BF54" s="417"/>
      <c r="BG54" s="417"/>
      <c r="BH54" s="417"/>
      <c r="IE54" s="790" t="str">
        <f>IFERROR(IF($IU54="","",IF($IU54&lt;(((Settings!$C$19/2)*-1)*$IE$8),"Taper","Nose")),"")</f>
        <v/>
      </c>
      <c r="IF54" s="482" t="str">
        <f>IFERROR(IF((((($IW54*COS(RADIANS(180-$IY54)))*COS(RADIANS($IY54)))-(($IX54*SIN(RADIANS(180-$IY54)))*SIN(RADIANS($IY54))))+$IU54)&lt;(((Settings!$C$19+$IF$8)/2)*-1),"Gage",""),"")</f>
        <v/>
      </c>
      <c r="IG54" s="788" t="str">
        <f t="shared" si="65"/>
        <v/>
      </c>
      <c r="IH54" s="674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677" t="str" cm="1">
        <f t="array" ref="II54">IFERROR(IF($IH54&lt;1,$IH54+LARGE((IF($M$9:$M$150="",0,$M$9:$M$150)-MOD(IF($M$9:$M$150="",0,$M$9:$M$150),1)),1),$IH54),"")</f>
        <v/>
      </c>
      <c r="IJ54" s="482" t="str">
        <f t="shared" si="62"/>
        <v/>
      </c>
      <c r="IK54" s="482" t="str">
        <f t="shared" si="20"/>
        <v/>
      </c>
      <c r="IL54" s="670" t="str">
        <f t="shared" si="68"/>
        <v/>
      </c>
      <c r="IM54" s="702"/>
      <c r="IN54" s="5" t="str">
        <f t="shared" si="69"/>
        <v/>
      </c>
      <c r="IO54" s="714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670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05" t="str">
        <f t="shared" si="77"/>
        <v/>
      </c>
    </row>
    <row r="55" spans="1:259" ht="15" customHeight="1" x14ac:dyDescent="0.25">
      <c r="A55" s="82"/>
      <c r="B55" s="578" t="str">
        <f t="shared" si="79"/>
        <v/>
      </c>
      <c r="C55" s="572" t="str">
        <f t="shared" si="80"/>
        <v/>
      </c>
      <c r="D55" s="576" t="str">
        <f t="shared" si="81"/>
        <v/>
      </c>
      <c r="E55" s="580" t="str">
        <f t="shared" si="82"/>
        <v/>
      </c>
      <c r="F55" s="572" t="str">
        <f t="shared" si="83"/>
        <v/>
      </c>
      <c r="G55" s="579" t="str">
        <f t="shared" si="84"/>
        <v/>
      </c>
      <c r="H55" s="580" t="str">
        <f t="shared" si="34"/>
        <v/>
      </c>
      <c r="I55" s="482"/>
      <c r="J55" s="483" t="str">
        <v/>
      </c>
      <c r="K55" s="806" t="str">
        <f t="shared" si="66"/>
        <v/>
      </c>
      <c r="M55" s="164" t="str">
        <f t="shared" si="88"/>
        <v/>
      </c>
      <c r="N55" s="575" t="str">
        <f t="shared" si="89"/>
        <v/>
      </c>
      <c r="O55" s="572" t="str">
        <f t="shared" si="90"/>
        <v/>
      </c>
      <c r="P55" s="576" t="str">
        <f t="shared" si="91"/>
        <v/>
      </c>
      <c r="Q55" s="528" t="str">
        <f t="shared" si="92"/>
        <v/>
      </c>
      <c r="R55" s="572" t="str">
        <f t="shared" si="93"/>
        <v/>
      </c>
      <c r="S55" s="577" t="str">
        <f t="shared" si="94"/>
        <v/>
      </c>
      <c r="T55" s="578" t="str">
        <f t="shared" si="95"/>
        <v/>
      </c>
      <c r="U55" s="572" t="str">
        <f t="shared" si="96"/>
        <v/>
      </c>
      <c r="V55" s="579" t="str">
        <f t="shared" si="97"/>
        <v/>
      </c>
      <c r="W55" s="528" t="str">
        <f t="shared" si="98"/>
        <v/>
      </c>
      <c r="X55" s="572" t="str">
        <f t="shared" si="99"/>
        <v/>
      </c>
      <c r="Y55" s="573" t="str">
        <f t="shared" si="85"/>
        <v/>
      </c>
      <c r="Z55" s="575" t="str">
        <f t="shared" si="100"/>
        <v/>
      </c>
      <c r="AA55" s="572" t="str">
        <f t="shared" si="101"/>
        <v/>
      </c>
      <c r="AB55" s="572" t="str">
        <f t="shared" si="102"/>
        <v/>
      </c>
      <c r="AC55" s="579" t="str">
        <f t="shared" si="103"/>
        <v/>
      </c>
      <c r="AD55" s="580" t="str">
        <f t="shared" si="104"/>
        <v/>
      </c>
      <c r="AE55" s="572" t="str">
        <f t="shared" si="105"/>
        <v/>
      </c>
      <c r="AF55" s="576" t="str">
        <f t="shared" si="106"/>
        <v/>
      </c>
      <c r="AG55" s="545" t="str">
        <f t="shared" si="107"/>
        <v/>
      </c>
      <c r="AH55" s="546" t="str">
        <f t="shared" si="108"/>
        <v/>
      </c>
      <c r="AI55" s="528" t="str">
        <f t="shared" si="109"/>
        <v/>
      </c>
      <c r="AJ55" s="529" t="str">
        <f t="shared" si="110"/>
        <v/>
      </c>
      <c r="AK55" s="578" t="str">
        <f t="shared" si="111"/>
        <v/>
      </c>
      <c r="AL55" s="572" t="str">
        <f t="shared" si="112"/>
        <v/>
      </c>
      <c r="AM55" s="577" t="str">
        <f t="shared" si="113"/>
        <v/>
      </c>
      <c r="AN55" s="524" t="str">
        <f t="shared" si="86"/>
        <v/>
      </c>
      <c r="AO55" s="525" t="str">
        <f t="shared" si="17"/>
        <v/>
      </c>
      <c r="AP55" s="528" t="str">
        <f t="shared" si="114"/>
        <v/>
      </c>
      <c r="AQ55" s="529" t="str">
        <f t="shared" si="60"/>
        <v/>
      </c>
      <c r="AS55" s="598" t="str">
        <f t="shared" si="115"/>
        <v/>
      </c>
      <c r="AT55" s="602" t="str">
        <f t="shared" si="61"/>
        <v/>
      </c>
      <c r="AU55" s="515" t="str">
        <f t="shared" si="87"/>
        <v/>
      </c>
      <c r="AV55" s="164" t="str">
        <f t="shared" si="116"/>
        <v/>
      </c>
      <c r="AW55" s="545" t="str">
        <f>IF($M55="","",W55-INDEX(Assy.Model!$W$9:$W$150,MATCH('SN#.Run#'!$M55,Assy.Model!$M$9:$M$150,0)))</f>
        <v/>
      </c>
      <c r="AX55" s="628" t="str">
        <f>IF($M55="","",X55-INDEX(Assy.Model!$X$9:$X$150,MATCH('SN#.Run#'!$M55,Assy.Model!$M$9:$M$150,0)))</f>
        <v/>
      </c>
      <c r="AY55" s="629" t="str">
        <f>IF($M55="","",Y55-INDEX(Assy.Model!$Y$9:$Y$150,MATCH('SN#.Run#'!$M55,Assy.Model!$M$9:$M$150,0)))</f>
        <v/>
      </c>
      <c r="AZ55" s="60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10" t="str">
        <f>IF($M55="","",AN55-INDEX(Assy.Model!$AN$9:$AN$150,MATCH('SN#.Run#'!$M55,Assy.Model!$M$9:$M$150,0)))</f>
        <v/>
      </c>
      <c r="BB55" s="525" t="str">
        <f>IF($M55="","",AO55-INDEX(Assy.Model!$AO$9:$AO$150,MATCH('SN#.Run#'!$M55,Assy.Model!$M$9:$M$150,0)))</f>
        <v/>
      </c>
      <c r="BC55" s="619" t="str">
        <f>IF($M55="","",AP55-INDEX(Assy.Model!$AP$9:$AP$150,MATCH('SN#.Run#'!$M55,Assy.Model!$M$9:$M$150,0)))</f>
        <v/>
      </c>
      <c r="BD55" s="419"/>
      <c r="BE55" s="699"/>
      <c r="BF55" s="417"/>
      <c r="BG55" s="417"/>
      <c r="BH55" s="417"/>
      <c r="IE55" s="790" t="str">
        <f>IFERROR(IF($IU55="","",IF($IU55&lt;(((Settings!$C$19/2)*-1)*$IE$8),"Taper","Nose")),"")</f>
        <v/>
      </c>
      <c r="IF55" s="482" t="str">
        <f>IFERROR(IF((((($IW55*COS(RADIANS(180-$IY55)))*COS(RADIANS($IY55)))-(($IX55*SIN(RADIANS(180-$IY55)))*SIN(RADIANS($IY55))))+$IU55)&lt;(((Settings!$C$19+$IF$8)/2)*-1),"Gage",""),"")</f>
        <v/>
      </c>
      <c r="IG55" s="788" t="str">
        <f t="shared" si="65"/>
        <v/>
      </c>
      <c r="IH55" s="674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677" t="str" cm="1">
        <f t="array" ref="II55">IFERROR(IF($IH55&lt;1,$IH55+LARGE((IF($M$9:$M$150="",0,$M$9:$M$150)-MOD(IF($M$9:$M$150="",0,$M$9:$M$150),1)),1),$IH55),"")</f>
        <v/>
      </c>
      <c r="IJ55" s="482" t="str">
        <f t="shared" si="62"/>
        <v/>
      </c>
      <c r="IK55" s="482" t="str">
        <f t="shared" si="20"/>
        <v/>
      </c>
      <c r="IL55" s="670" t="str">
        <f t="shared" si="68"/>
        <v/>
      </c>
      <c r="IM55" s="702"/>
      <c r="IN55" s="5" t="str">
        <f t="shared" si="69"/>
        <v/>
      </c>
      <c r="IO55" s="714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670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05" t="str">
        <f t="shared" si="77"/>
        <v/>
      </c>
    </row>
    <row r="56" spans="1:259" ht="15" customHeight="1" x14ac:dyDescent="0.25">
      <c r="A56" s="82"/>
      <c r="B56" s="578" t="str">
        <f t="shared" si="79"/>
        <v/>
      </c>
      <c r="C56" s="572" t="str">
        <f t="shared" si="80"/>
        <v/>
      </c>
      <c r="D56" s="576" t="str">
        <f t="shared" si="81"/>
        <v/>
      </c>
      <c r="E56" s="580" t="str">
        <f t="shared" si="82"/>
        <v/>
      </c>
      <c r="F56" s="572" t="str">
        <f t="shared" si="83"/>
        <v/>
      </c>
      <c r="G56" s="579" t="str">
        <f t="shared" si="84"/>
        <v/>
      </c>
      <c r="H56" s="580" t="str">
        <f t="shared" si="34"/>
        <v/>
      </c>
      <c r="I56" s="482"/>
      <c r="J56" s="483" t="str">
        <v/>
      </c>
      <c r="K56" s="806" t="str">
        <f t="shared" si="66"/>
        <v/>
      </c>
      <c r="M56" s="164" t="str">
        <f t="shared" si="88"/>
        <v/>
      </c>
      <c r="N56" s="575" t="str">
        <f t="shared" si="89"/>
        <v/>
      </c>
      <c r="O56" s="572" t="str">
        <f t="shared" si="90"/>
        <v/>
      </c>
      <c r="P56" s="576" t="str">
        <f t="shared" si="91"/>
        <v/>
      </c>
      <c r="Q56" s="528" t="str">
        <f t="shared" si="92"/>
        <v/>
      </c>
      <c r="R56" s="572" t="str">
        <f t="shared" si="93"/>
        <v/>
      </c>
      <c r="S56" s="577" t="str">
        <f t="shared" si="94"/>
        <v/>
      </c>
      <c r="T56" s="578" t="str">
        <f t="shared" si="95"/>
        <v/>
      </c>
      <c r="U56" s="572" t="str">
        <f t="shared" si="96"/>
        <v/>
      </c>
      <c r="V56" s="579" t="str">
        <f t="shared" si="97"/>
        <v/>
      </c>
      <c r="W56" s="528" t="str">
        <f t="shared" si="98"/>
        <v/>
      </c>
      <c r="X56" s="572" t="str">
        <f t="shared" si="99"/>
        <v/>
      </c>
      <c r="Y56" s="573" t="str">
        <f t="shared" si="85"/>
        <v/>
      </c>
      <c r="Z56" s="575" t="str">
        <f t="shared" si="100"/>
        <v/>
      </c>
      <c r="AA56" s="572" t="str">
        <f t="shared" si="101"/>
        <v/>
      </c>
      <c r="AB56" s="572" t="str">
        <f t="shared" si="102"/>
        <v/>
      </c>
      <c r="AC56" s="579" t="str">
        <f t="shared" si="103"/>
        <v/>
      </c>
      <c r="AD56" s="580" t="str">
        <f t="shared" si="104"/>
        <v/>
      </c>
      <c r="AE56" s="572" t="str">
        <f t="shared" si="105"/>
        <v/>
      </c>
      <c r="AF56" s="576" t="str">
        <f t="shared" si="106"/>
        <v/>
      </c>
      <c r="AG56" s="545" t="str">
        <f t="shared" si="107"/>
        <v/>
      </c>
      <c r="AH56" s="546" t="str">
        <f t="shared" si="108"/>
        <v/>
      </c>
      <c r="AI56" s="528" t="str">
        <f t="shared" si="109"/>
        <v/>
      </c>
      <c r="AJ56" s="529" t="str">
        <f t="shared" si="110"/>
        <v/>
      </c>
      <c r="AK56" s="578" t="str">
        <f t="shared" si="111"/>
        <v/>
      </c>
      <c r="AL56" s="572" t="str">
        <f t="shared" si="112"/>
        <v/>
      </c>
      <c r="AM56" s="577" t="str">
        <f t="shared" si="113"/>
        <v/>
      </c>
      <c r="AN56" s="524" t="str">
        <f t="shared" si="86"/>
        <v/>
      </c>
      <c r="AO56" s="525" t="str">
        <f t="shared" si="17"/>
        <v/>
      </c>
      <c r="AP56" s="528" t="str">
        <f t="shared" si="114"/>
        <v/>
      </c>
      <c r="AQ56" s="529" t="str">
        <f t="shared" si="60"/>
        <v/>
      </c>
      <c r="AS56" s="598" t="str">
        <f t="shared" si="115"/>
        <v/>
      </c>
      <c r="AT56" s="602" t="str">
        <f t="shared" si="61"/>
        <v/>
      </c>
      <c r="AU56" s="515" t="str">
        <f t="shared" si="87"/>
        <v/>
      </c>
      <c r="AV56" s="164" t="str">
        <f t="shared" si="116"/>
        <v/>
      </c>
      <c r="AW56" s="545" t="str">
        <f>IF($M56="","",W56-INDEX(Assy.Model!$W$9:$W$150,MATCH('SN#.Run#'!$M56,Assy.Model!$M$9:$M$150,0)))</f>
        <v/>
      </c>
      <c r="AX56" s="628" t="str">
        <f>IF($M56="","",X56-INDEX(Assy.Model!$X$9:$X$150,MATCH('SN#.Run#'!$M56,Assy.Model!$M$9:$M$150,0)))</f>
        <v/>
      </c>
      <c r="AY56" s="629" t="str">
        <f>IF($M56="","",Y56-INDEX(Assy.Model!$Y$9:$Y$150,MATCH('SN#.Run#'!$M56,Assy.Model!$M$9:$M$150,0)))</f>
        <v/>
      </c>
      <c r="AZ56" s="60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10" t="str">
        <f>IF($M56="","",AN56-INDEX(Assy.Model!$AN$9:$AN$150,MATCH('SN#.Run#'!$M56,Assy.Model!$M$9:$M$150,0)))</f>
        <v/>
      </c>
      <c r="BB56" s="525" t="str">
        <f>IF($M56="","",AO56-INDEX(Assy.Model!$AO$9:$AO$150,MATCH('SN#.Run#'!$M56,Assy.Model!$M$9:$M$150,0)))</f>
        <v/>
      </c>
      <c r="BC56" s="619" t="str">
        <f>IF($M56="","",AP56-INDEX(Assy.Model!$AP$9:$AP$150,MATCH('SN#.Run#'!$M56,Assy.Model!$M$9:$M$150,0)))</f>
        <v/>
      </c>
      <c r="BD56" s="419"/>
      <c r="BE56" s="699"/>
      <c r="BF56" s="417"/>
      <c r="BG56" s="417"/>
      <c r="BH56" s="417"/>
      <c r="IE56" s="790" t="str">
        <f>IFERROR(IF($IU56="","",IF($IU56&lt;(((Settings!$C$19/2)*-1)*$IE$8),"Taper","Nose")),"")</f>
        <v/>
      </c>
      <c r="IF56" s="482" t="str">
        <f>IFERROR(IF((((($IW56*COS(RADIANS(180-$IY56)))*COS(RADIANS($IY56)))-(($IX56*SIN(RADIANS(180-$IY56)))*SIN(RADIANS($IY56))))+$IU56)&lt;(((Settings!$C$19+$IF$8)/2)*-1),"Gage",""),"")</f>
        <v/>
      </c>
      <c r="IG56" s="788" t="str">
        <f t="shared" si="65"/>
        <v/>
      </c>
      <c r="IH56" s="674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677" t="str" cm="1">
        <f t="array" ref="II56">IFERROR(IF($IH56&lt;1,$IH56+LARGE((IF($M$9:$M$150="",0,$M$9:$M$150)-MOD(IF($M$9:$M$150="",0,$M$9:$M$150),1)),1),$IH56),"")</f>
        <v/>
      </c>
      <c r="IJ56" s="482" t="str">
        <f t="shared" si="62"/>
        <v/>
      </c>
      <c r="IK56" s="482" t="str">
        <f t="shared" si="20"/>
        <v/>
      </c>
      <c r="IL56" s="670" t="str">
        <f t="shared" si="68"/>
        <v/>
      </c>
      <c r="IM56" s="702"/>
      <c r="IN56" s="5" t="str">
        <f t="shared" si="69"/>
        <v/>
      </c>
      <c r="IO56" s="714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670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05" t="str">
        <f t="shared" si="77"/>
        <v/>
      </c>
    </row>
    <row r="57" spans="1:259" ht="15" customHeight="1" x14ac:dyDescent="0.25">
      <c r="A57" s="82"/>
      <c r="B57" s="578" t="str">
        <f t="shared" si="79"/>
        <v/>
      </c>
      <c r="C57" s="572" t="str">
        <f t="shared" si="80"/>
        <v/>
      </c>
      <c r="D57" s="576" t="str">
        <f t="shared" si="81"/>
        <v/>
      </c>
      <c r="E57" s="580" t="str">
        <f t="shared" si="82"/>
        <v/>
      </c>
      <c r="F57" s="572" t="str">
        <f t="shared" si="83"/>
        <v/>
      </c>
      <c r="G57" s="579" t="str">
        <f t="shared" si="84"/>
        <v/>
      </c>
      <c r="H57" s="580" t="str">
        <f t="shared" si="34"/>
        <v/>
      </c>
      <c r="I57" s="482"/>
      <c r="J57" s="483" t="str">
        <v/>
      </c>
      <c r="K57" s="806" t="str">
        <f t="shared" si="66"/>
        <v/>
      </c>
      <c r="M57" s="164" t="str">
        <f t="shared" si="88"/>
        <v/>
      </c>
      <c r="N57" s="575" t="str">
        <f t="shared" si="89"/>
        <v/>
      </c>
      <c r="O57" s="572" t="str">
        <f t="shared" si="90"/>
        <v/>
      </c>
      <c r="P57" s="576" t="str">
        <f t="shared" si="91"/>
        <v/>
      </c>
      <c r="Q57" s="528" t="str">
        <f t="shared" si="92"/>
        <v/>
      </c>
      <c r="R57" s="572" t="str">
        <f t="shared" si="93"/>
        <v/>
      </c>
      <c r="S57" s="577" t="str">
        <f t="shared" si="94"/>
        <v/>
      </c>
      <c r="T57" s="578" t="str">
        <f t="shared" si="95"/>
        <v/>
      </c>
      <c r="U57" s="572" t="str">
        <f t="shared" si="96"/>
        <v/>
      </c>
      <c r="V57" s="579" t="str">
        <f t="shared" si="97"/>
        <v/>
      </c>
      <c r="W57" s="528" t="str">
        <f t="shared" si="98"/>
        <v/>
      </c>
      <c r="X57" s="572" t="str">
        <f t="shared" si="99"/>
        <v/>
      </c>
      <c r="Y57" s="573" t="str">
        <f t="shared" si="85"/>
        <v/>
      </c>
      <c r="Z57" s="575" t="str">
        <f t="shared" si="100"/>
        <v/>
      </c>
      <c r="AA57" s="572" t="str">
        <f t="shared" si="101"/>
        <v/>
      </c>
      <c r="AB57" s="572" t="str">
        <f t="shared" si="102"/>
        <v/>
      </c>
      <c r="AC57" s="579" t="str">
        <f t="shared" si="103"/>
        <v/>
      </c>
      <c r="AD57" s="580" t="str">
        <f t="shared" si="104"/>
        <v/>
      </c>
      <c r="AE57" s="572" t="str">
        <f t="shared" si="105"/>
        <v/>
      </c>
      <c r="AF57" s="576" t="str">
        <f t="shared" si="106"/>
        <v/>
      </c>
      <c r="AG57" s="545" t="str">
        <f t="shared" si="107"/>
        <v/>
      </c>
      <c r="AH57" s="546" t="str">
        <f t="shared" si="108"/>
        <v/>
      </c>
      <c r="AI57" s="528" t="str">
        <f t="shared" si="109"/>
        <v/>
      </c>
      <c r="AJ57" s="529" t="str">
        <f t="shared" si="110"/>
        <v/>
      </c>
      <c r="AK57" s="578" t="str">
        <f t="shared" si="111"/>
        <v/>
      </c>
      <c r="AL57" s="572" t="str">
        <f t="shared" si="112"/>
        <v/>
      </c>
      <c r="AM57" s="577" t="str">
        <f t="shared" si="113"/>
        <v/>
      </c>
      <c r="AN57" s="524" t="str">
        <f t="shared" si="86"/>
        <v/>
      </c>
      <c r="AO57" s="525" t="str">
        <f t="shared" si="17"/>
        <v/>
      </c>
      <c r="AP57" s="528" t="str">
        <f t="shared" si="114"/>
        <v/>
      </c>
      <c r="AQ57" s="529" t="str">
        <f t="shared" si="60"/>
        <v/>
      </c>
      <c r="AS57" s="598" t="str">
        <f t="shared" si="115"/>
        <v/>
      </c>
      <c r="AT57" s="602" t="str">
        <f t="shared" si="61"/>
        <v/>
      </c>
      <c r="AU57" s="515" t="str">
        <f t="shared" si="87"/>
        <v/>
      </c>
      <c r="AV57" s="164" t="str">
        <f t="shared" si="116"/>
        <v/>
      </c>
      <c r="AW57" s="545" t="str">
        <f>IF($M57="","",W57-INDEX(Assy.Model!$W$9:$W$150,MATCH('SN#.Run#'!$M57,Assy.Model!$M$9:$M$150,0)))</f>
        <v/>
      </c>
      <c r="AX57" s="628" t="str">
        <f>IF($M57="","",X57-INDEX(Assy.Model!$X$9:$X$150,MATCH('SN#.Run#'!$M57,Assy.Model!$M$9:$M$150,0)))</f>
        <v/>
      </c>
      <c r="AY57" s="629" t="str">
        <f>IF($M57="","",Y57-INDEX(Assy.Model!$Y$9:$Y$150,MATCH('SN#.Run#'!$M57,Assy.Model!$M$9:$M$150,0)))</f>
        <v/>
      </c>
      <c r="AZ57" s="60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10" t="str">
        <f>IF($M57="","",AN57-INDEX(Assy.Model!$AN$9:$AN$150,MATCH('SN#.Run#'!$M57,Assy.Model!$M$9:$M$150,0)))</f>
        <v/>
      </c>
      <c r="BB57" s="525" t="str">
        <f>IF($M57="","",AO57-INDEX(Assy.Model!$AO$9:$AO$150,MATCH('SN#.Run#'!$M57,Assy.Model!$M$9:$M$150,0)))</f>
        <v/>
      </c>
      <c r="BC57" s="619" t="str">
        <f>IF($M57="","",AP57-INDEX(Assy.Model!$AP$9:$AP$150,MATCH('SN#.Run#'!$M57,Assy.Model!$M$9:$M$150,0)))</f>
        <v/>
      </c>
      <c r="BD57" s="419"/>
      <c r="BE57" s="699"/>
      <c r="BF57" s="417"/>
      <c r="BG57" s="417"/>
      <c r="BH57" s="417"/>
      <c r="IE57" s="790" t="str">
        <f>IFERROR(IF($IU57="","",IF($IU57&lt;(((Settings!$C$19/2)*-1)*$IE$8),"Taper","Nose")),"")</f>
        <v/>
      </c>
      <c r="IF57" s="482" t="str">
        <f>IFERROR(IF((((($IW57*COS(RADIANS(180-$IY57)))*COS(RADIANS($IY57)))-(($IX57*SIN(RADIANS(180-$IY57)))*SIN(RADIANS($IY57))))+$IU57)&lt;(((Settings!$C$19+$IF$8)/2)*-1),"Gage",""),"")</f>
        <v/>
      </c>
      <c r="IG57" s="788" t="str">
        <f t="shared" si="65"/>
        <v/>
      </c>
      <c r="IH57" s="674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677" t="str" cm="1">
        <f t="array" ref="II57">IFERROR(IF($IH57&lt;1,$IH57+LARGE((IF($M$9:$M$150="",0,$M$9:$M$150)-MOD(IF($M$9:$M$150="",0,$M$9:$M$150),1)),1),$IH57),"")</f>
        <v/>
      </c>
      <c r="IJ57" s="482" t="str">
        <f t="shared" si="62"/>
        <v/>
      </c>
      <c r="IK57" s="482" t="str">
        <f t="shared" si="20"/>
        <v/>
      </c>
      <c r="IL57" s="670" t="str">
        <f t="shared" si="68"/>
        <v/>
      </c>
      <c r="IM57" s="702"/>
      <c r="IN57" s="5" t="str">
        <f t="shared" si="69"/>
        <v/>
      </c>
      <c r="IO57" s="714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670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05" t="str">
        <f t="shared" si="77"/>
        <v/>
      </c>
    </row>
    <row r="58" spans="1:259" ht="15" customHeight="1" x14ac:dyDescent="0.25">
      <c r="A58" s="82"/>
      <c r="B58" s="578" t="str">
        <f t="shared" si="79"/>
        <v/>
      </c>
      <c r="C58" s="572" t="str">
        <f t="shared" si="80"/>
        <v/>
      </c>
      <c r="D58" s="576" t="str">
        <f t="shared" si="81"/>
        <v/>
      </c>
      <c r="E58" s="580" t="str">
        <f t="shared" si="82"/>
        <v/>
      </c>
      <c r="F58" s="572" t="str">
        <f t="shared" si="83"/>
        <v/>
      </c>
      <c r="G58" s="579" t="str">
        <f t="shared" si="84"/>
        <v/>
      </c>
      <c r="H58" s="580" t="str">
        <f t="shared" si="34"/>
        <v/>
      </c>
      <c r="I58" s="482"/>
      <c r="J58" s="483" t="str">
        <v/>
      </c>
      <c r="K58" s="806" t="str">
        <f t="shared" si="66"/>
        <v/>
      </c>
      <c r="M58" s="164" t="str">
        <f t="shared" si="88"/>
        <v/>
      </c>
      <c r="N58" s="575" t="str">
        <f t="shared" si="89"/>
        <v/>
      </c>
      <c r="O58" s="572" t="str">
        <f t="shared" si="90"/>
        <v/>
      </c>
      <c r="P58" s="576" t="str">
        <f t="shared" si="91"/>
        <v/>
      </c>
      <c r="Q58" s="528" t="str">
        <f t="shared" si="92"/>
        <v/>
      </c>
      <c r="R58" s="572" t="str">
        <f t="shared" si="93"/>
        <v/>
      </c>
      <c r="S58" s="577" t="str">
        <f t="shared" si="94"/>
        <v/>
      </c>
      <c r="T58" s="578" t="str">
        <f t="shared" si="95"/>
        <v/>
      </c>
      <c r="U58" s="572" t="str">
        <f t="shared" si="96"/>
        <v/>
      </c>
      <c r="V58" s="579" t="str">
        <f t="shared" si="97"/>
        <v/>
      </c>
      <c r="W58" s="528" t="str">
        <f t="shared" si="98"/>
        <v/>
      </c>
      <c r="X58" s="572" t="str">
        <f t="shared" si="99"/>
        <v/>
      </c>
      <c r="Y58" s="573" t="str">
        <f t="shared" si="85"/>
        <v/>
      </c>
      <c r="Z58" s="575" t="str">
        <f t="shared" si="100"/>
        <v/>
      </c>
      <c r="AA58" s="572" t="str">
        <f t="shared" si="101"/>
        <v/>
      </c>
      <c r="AB58" s="572" t="str">
        <f t="shared" si="102"/>
        <v/>
      </c>
      <c r="AC58" s="579" t="str">
        <f t="shared" si="103"/>
        <v/>
      </c>
      <c r="AD58" s="580" t="str">
        <f t="shared" si="104"/>
        <v/>
      </c>
      <c r="AE58" s="572" t="str">
        <f t="shared" si="105"/>
        <v/>
      </c>
      <c r="AF58" s="576" t="str">
        <f t="shared" si="106"/>
        <v/>
      </c>
      <c r="AG58" s="545" t="str">
        <f t="shared" si="107"/>
        <v/>
      </c>
      <c r="AH58" s="546" t="str">
        <f t="shared" si="108"/>
        <v/>
      </c>
      <c r="AI58" s="528" t="str">
        <f t="shared" si="109"/>
        <v/>
      </c>
      <c r="AJ58" s="529" t="str">
        <f t="shared" si="110"/>
        <v/>
      </c>
      <c r="AK58" s="578" t="str">
        <f t="shared" si="111"/>
        <v/>
      </c>
      <c r="AL58" s="572" t="str">
        <f t="shared" si="112"/>
        <v/>
      </c>
      <c r="AM58" s="577" t="str">
        <f t="shared" si="113"/>
        <v/>
      </c>
      <c r="AN58" s="524" t="str">
        <f t="shared" si="86"/>
        <v/>
      </c>
      <c r="AO58" s="525" t="str">
        <f t="shared" si="17"/>
        <v/>
      </c>
      <c r="AP58" s="528" t="str">
        <f t="shared" si="114"/>
        <v/>
      </c>
      <c r="AQ58" s="529" t="str">
        <f t="shared" si="60"/>
        <v/>
      </c>
      <c r="AS58" s="598" t="str">
        <f t="shared" si="115"/>
        <v/>
      </c>
      <c r="AT58" s="602" t="str">
        <f t="shared" si="61"/>
        <v/>
      </c>
      <c r="AU58" s="515" t="str">
        <f t="shared" si="87"/>
        <v/>
      </c>
      <c r="AV58" s="164" t="str">
        <f t="shared" si="116"/>
        <v/>
      </c>
      <c r="AW58" s="545" t="str">
        <f>IF($M58="","",W58-INDEX(Assy.Model!$W$9:$W$150,MATCH('SN#.Run#'!$M58,Assy.Model!$M$9:$M$150,0)))</f>
        <v/>
      </c>
      <c r="AX58" s="628" t="str">
        <f>IF($M58="","",X58-INDEX(Assy.Model!$X$9:$X$150,MATCH('SN#.Run#'!$M58,Assy.Model!$M$9:$M$150,0)))</f>
        <v/>
      </c>
      <c r="AY58" s="629" t="str">
        <f>IF($M58="","",Y58-INDEX(Assy.Model!$Y$9:$Y$150,MATCH('SN#.Run#'!$M58,Assy.Model!$M$9:$M$150,0)))</f>
        <v/>
      </c>
      <c r="AZ58" s="60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10" t="str">
        <f>IF($M58="","",AN58-INDEX(Assy.Model!$AN$9:$AN$150,MATCH('SN#.Run#'!$M58,Assy.Model!$M$9:$M$150,0)))</f>
        <v/>
      </c>
      <c r="BB58" s="525" t="str">
        <f>IF($M58="","",AO58-INDEX(Assy.Model!$AO$9:$AO$150,MATCH('SN#.Run#'!$M58,Assy.Model!$M$9:$M$150,0)))</f>
        <v/>
      </c>
      <c r="BC58" s="619" t="str">
        <f>IF($M58="","",AP58-INDEX(Assy.Model!$AP$9:$AP$150,MATCH('SN#.Run#'!$M58,Assy.Model!$M$9:$M$150,0)))</f>
        <v/>
      </c>
      <c r="BD58" s="419"/>
      <c r="BE58" s="699"/>
      <c r="BF58" s="417"/>
      <c r="BG58" s="417"/>
      <c r="BH58" s="417"/>
      <c r="IE58" s="790" t="str">
        <f>IFERROR(IF($IU58="","",IF($IU58&lt;(((Settings!$C$19/2)*-1)*$IE$8),"Taper","Nose")),"")</f>
        <v/>
      </c>
      <c r="IF58" s="482" t="str">
        <f>IFERROR(IF((((($IW58*COS(RADIANS(180-$IY58)))*COS(RADIANS($IY58)))-(($IX58*SIN(RADIANS(180-$IY58)))*SIN(RADIANS($IY58))))+$IU58)&lt;(((Settings!$C$19+$IF$8)/2)*-1),"Gage",""),"")</f>
        <v/>
      </c>
      <c r="IG58" s="788" t="str">
        <f t="shared" si="65"/>
        <v/>
      </c>
      <c r="IH58" s="674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677" t="str" cm="1">
        <f t="array" ref="II58">IFERROR(IF($IH58&lt;1,$IH58+LARGE((IF($M$9:$M$150="",0,$M$9:$M$150)-MOD(IF($M$9:$M$150="",0,$M$9:$M$150),1)),1),$IH58),"")</f>
        <v/>
      </c>
      <c r="IJ58" s="482" t="str">
        <f t="shared" si="62"/>
        <v/>
      </c>
      <c r="IK58" s="482" t="str">
        <f t="shared" si="20"/>
        <v/>
      </c>
      <c r="IL58" s="670" t="str">
        <f t="shared" si="68"/>
        <v/>
      </c>
      <c r="IM58" s="702"/>
      <c r="IN58" s="5" t="str">
        <f t="shared" si="69"/>
        <v/>
      </c>
      <c r="IO58" s="714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670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05" t="str">
        <f t="shared" si="77"/>
        <v/>
      </c>
    </row>
    <row r="59" spans="1:259" ht="15" customHeight="1" x14ac:dyDescent="0.25">
      <c r="A59" s="82"/>
      <c r="B59" s="578" t="str">
        <f t="shared" si="79"/>
        <v/>
      </c>
      <c r="C59" s="572" t="str">
        <f t="shared" si="80"/>
        <v/>
      </c>
      <c r="D59" s="576" t="str">
        <f t="shared" si="81"/>
        <v/>
      </c>
      <c r="E59" s="580" t="str">
        <f t="shared" si="82"/>
        <v/>
      </c>
      <c r="F59" s="572" t="str">
        <f t="shared" si="83"/>
        <v/>
      </c>
      <c r="G59" s="579" t="str">
        <f t="shared" si="84"/>
        <v/>
      </c>
      <c r="H59" s="580" t="str">
        <f t="shared" si="34"/>
        <v/>
      </c>
      <c r="I59" s="482"/>
      <c r="J59" s="483" t="str">
        <v/>
      </c>
      <c r="K59" s="806" t="str">
        <f t="shared" si="66"/>
        <v/>
      </c>
      <c r="M59" s="164" t="str">
        <f t="shared" si="88"/>
        <v/>
      </c>
      <c r="N59" s="575" t="str">
        <f t="shared" si="89"/>
        <v/>
      </c>
      <c r="O59" s="572" t="str">
        <f t="shared" si="90"/>
        <v/>
      </c>
      <c r="P59" s="576" t="str">
        <f t="shared" si="91"/>
        <v/>
      </c>
      <c r="Q59" s="528" t="str">
        <f t="shared" si="92"/>
        <v/>
      </c>
      <c r="R59" s="572" t="str">
        <f t="shared" si="93"/>
        <v/>
      </c>
      <c r="S59" s="577" t="str">
        <f t="shared" si="94"/>
        <v/>
      </c>
      <c r="T59" s="578" t="str">
        <f t="shared" si="95"/>
        <v/>
      </c>
      <c r="U59" s="572" t="str">
        <f t="shared" si="96"/>
        <v/>
      </c>
      <c r="V59" s="579" t="str">
        <f t="shared" si="97"/>
        <v/>
      </c>
      <c r="W59" s="528" t="str">
        <f t="shared" si="98"/>
        <v/>
      </c>
      <c r="X59" s="572" t="str">
        <f t="shared" si="99"/>
        <v/>
      </c>
      <c r="Y59" s="573" t="str">
        <f t="shared" si="85"/>
        <v/>
      </c>
      <c r="Z59" s="575" t="str">
        <f t="shared" si="100"/>
        <v/>
      </c>
      <c r="AA59" s="572" t="str">
        <f t="shared" si="101"/>
        <v/>
      </c>
      <c r="AB59" s="572" t="str">
        <f t="shared" si="102"/>
        <v/>
      </c>
      <c r="AC59" s="579" t="str">
        <f t="shared" si="103"/>
        <v/>
      </c>
      <c r="AD59" s="580" t="str">
        <f t="shared" si="104"/>
        <v/>
      </c>
      <c r="AE59" s="572" t="str">
        <f t="shared" si="105"/>
        <v/>
      </c>
      <c r="AF59" s="576" t="str">
        <f t="shared" si="106"/>
        <v/>
      </c>
      <c r="AG59" s="545" t="str">
        <f t="shared" si="107"/>
        <v/>
      </c>
      <c r="AH59" s="546" t="str">
        <f t="shared" si="108"/>
        <v/>
      </c>
      <c r="AI59" s="528" t="str">
        <f t="shared" si="109"/>
        <v/>
      </c>
      <c r="AJ59" s="529" t="str">
        <f t="shared" si="110"/>
        <v/>
      </c>
      <c r="AK59" s="578" t="str">
        <f>IF(M59="","",(COS(RADIANS((90-$Q$8)-W59))*AD59)+(-SIN(RADIANS((90-$Q$8)-W59))*AE59))</f>
        <v/>
      </c>
      <c r="AL59" s="572" t="str">
        <f t="shared" si="112"/>
        <v/>
      </c>
      <c r="AM59" s="577" t="str">
        <f t="shared" si="113"/>
        <v/>
      </c>
      <c r="AN59" s="524" t="str">
        <f t="shared" si="86"/>
        <v/>
      </c>
      <c r="AO59" s="525" t="str">
        <f t="shared" si="17"/>
        <v/>
      </c>
      <c r="AP59" s="528" t="str">
        <f t="shared" si="114"/>
        <v/>
      </c>
      <c r="AQ59" s="529" t="str">
        <f t="shared" si="60"/>
        <v/>
      </c>
      <c r="AS59" s="598" t="str">
        <f t="shared" si="115"/>
        <v/>
      </c>
      <c r="AT59" s="602" t="str">
        <f t="shared" si="61"/>
        <v/>
      </c>
      <c r="AU59" s="515" t="str">
        <f t="shared" si="87"/>
        <v/>
      </c>
      <c r="AV59" s="164" t="str">
        <f t="shared" si="116"/>
        <v/>
      </c>
      <c r="AW59" s="545" t="str">
        <f>IF($M59="","",W59-INDEX(Assy.Model!$W$9:$W$150,MATCH('SN#.Run#'!$M59,Assy.Model!$M$9:$M$150,0)))</f>
        <v/>
      </c>
      <c r="AX59" s="628" t="str">
        <f>IF($M59="","",X59-INDEX(Assy.Model!$X$9:$X$150,MATCH('SN#.Run#'!$M59,Assy.Model!$M$9:$M$150,0)))</f>
        <v/>
      </c>
      <c r="AY59" s="629" t="str">
        <f>IF($M59="","",Y59-INDEX(Assy.Model!$Y$9:$Y$150,MATCH('SN#.Run#'!$M59,Assy.Model!$M$9:$M$150,0)))</f>
        <v/>
      </c>
      <c r="AZ59" s="60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10" t="str">
        <f>IF($M59="","",AN59-INDEX(Assy.Model!$AN$9:$AN$150,MATCH('SN#.Run#'!$M59,Assy.Model!$M$9:$M$150,0)))</f>
        <v/>
      </c>
      <c r="BB59" s="525" t="str">
        <f>IF($M59="","",AO59-INDEX(Assy.Model!$AO$9:$AO$150,MATCH('SN#.Run#'!$M59,Assy.Model!$M$9:$M$150,0)))</f>
        <v/>
      </c>
      <c r="BC59" s="619" t="str">
        <f>IF($M59="","",AP59-INDEX(Assy.Model!$AP$9:$AP$150,MATCH('SN#.Run#'!$M59,Assy.Model!$M$9:$M$150,0)))</f>
        <v/>
      </c>
      <c r="BD59" s="419"/>
      <c r="BE59" s="699"/>
      <c r="BF59" s="417"/>
      <c r="BG59" s="417"/>
      <c r="BH59" s="417"/>
      <c r="IE59" s="790" t="str">
        <f>IFERROR(IF($IU59="","",IF($IU59&lt;(((Settings!$C$19/2)*-1)*$IE$8),"Taper","Nose")),"")</f>
        <v/>
      </c>
      <c r="IF59" s="482" t="str">
        <f>IFERROR(IF((((($IW59*COS(RADIANS(180-$IY59)))*COS(RADIANS($IY59)))-(($IX59*SIN(RADIANS(180-$IY59)))*SIN(RADIANS($IY59))))+$IU59)&lt;(((Settings!$C$19+$IF$8)/2)*-1),"Gage",""),"")</f>
        <v/>
      </c>
      <c r="IG59" s="788" t="str">
        <f t="shared" si="65"/>
        <v/>
      </c>
      <c r="IH59" s="674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677" t="str" cm="1">
        <f t="array" ref="II59">IFERROR(IF($IH59&lt;1,$IH59+LARGE((IF($M$9:$M$150="",0,$M$9:$M$150)-MOD(IF($M$9:$M$150="",0,$M$9:$M$150),1)),1),$IH59),"")</f>
        <v/>
      </c>
      <c r="IJ59" s="482" t="str">
        <f t="shared" si="62"/>
        <v/>
      </c>
      <c r="IK59" s="482" t="str">
        <f>IF(ISNUMBER($II59),INDEX($K$9:$K$150,MATCH($IG59,$M$9:$M$150,0)),"")</f>
        <v/>
      </c>
      <c r="IL59" s="670" t="str">
        <f t="shared" si="68"/>
        <v/>
      </c>
      <c r="IM59" s="702"/>
      <c r="IN59" s="5" t="str">
        <f t="shared" si="69"/>
        <v/>
      </c>
      <c r="IO59" s="714"/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670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05" t="str">
        <f t="shared" si="77"/>
        <v/>
      </c>
    </row>
    <row r="60" spans="1:259" ht="15" customHeight="1" x14ac:dyDescent="0.25">
      <c r="A60" s="82"/>
      <c r="B60" s="578" t="str">
        <f t="shared" si="79"/>
        <v/>
      </c>
      <c r="C60" s="572" t="str">
        <f t="shared" si="80"/>
        <v/>
      </c>
      <c r="D60" s="576" t="str">
        <f t="shared" si="81"/>
        <v/>
      </c>
      <c r="E60" s="580" t="str">
        <f t="shared" si="82"/>
        <v/>
      </c>
      <c r="F60" s="572" t="str">
        <f t="shared" si="83"/>
        <v/>
      </c>
      <c r="G60" s="579" t="str">
        <f t="shared" si="84"/>
        <v/>
      </c>
      <c r="H60" s="580" t="str">
        <f t="shared" si="34"/>
        <v/>
      </c>
      <c r="I60" s="482"/>
      <c r="J60" s="483" t="str">
        <v/>
      </c>
      <c r="K60" s="806" t="str">
        <f t="shared" si="66"/>
        <v/>
      </c>
      <c r="M60" s="164" t="str">
        <f t="shared" si="88"/>
        <v/>
      </c>
      <c r="N60" s="575" t="str">
        <f t="shared" si="89"/>
        <v/>
      </c>
      <c r="O60" s="572" t="str">
        <f t="shared" si="90"/>
        <v/>
      </c>
      <c r="P60" s="576" t="str">
        <f t="shared" si="91"/>
        <v/>
      </c>
      <c r="Q60" s="528" t="str">
        <f t="shared" si="92"/>
        <v/>
      </c>
      <c r="R60" s="572" t="str">
        <f t="shared" si="93"/>
        <v/>
      </c>
      <c r="S60" s="577" t="str">
        <f t="shared" si="94"/>
        <v/>
      </c>
      <c r="T60" s="578" t="str">
        <f t="shared" si="95"/>
        <v/>
      </c>
      <c r="U60" s="572" t="str">
        <f t="shared" si="96"/>
        <v/>
      </c>
      <c r="V60" s="579" t="str">
        <f t="shared" si="97"/>
        <v/>
      </c>
      <c r="W60" s="528" t="str">
        <f t="shared" si="98"/>
        <v/>
      </c>
      <c r="X60" s="572" t="str">
        <f t="shared" si="99"/>
        <v/>
      </c>
      <c r="Y60" s="573" t="str">
        <f t="shared" si="85"/>
        <v/>
      </c>
      <c r="Z60" s="575" t="str">
        <f t="shared" si="100"/>
        <v/>
      </c>
      <c r="AA60" s="572" t="str">
        <f t="shared" si="101"/>
        <v/>
      </c>
      <c r="AB60" s="572" t="str">
        <f t="shared" si="102"/>
        <v/>
      </c>
      <c r="AC60" s="579" t="str">
        <f t="shared" si="103"/>
        <v/>
      </c>
      <c r="AD60" s="580" t="str">
        <f t="shared" si="104"/>
        <v/>
      </c>
      <c r="AE60" s="572" t="str">
        <f t="shared" si="105"/>
        <v/>
      </c>
      <c r="AF60" s="576" t="str">
        <f t="shared" si="106"/>
        <v/>
      </c>
      <c r="AG60" s="545" t="str">
        <f t="shared" si="107"/>
        <v/>
      </c>
      <c r="AH60" s="546" t="str">
        <f t="shared" si="108"/>
        <v/>
      </c>
      <c r="AI60" s="528" t="str">
        <f t="shared" si="109"/>
        <v/>
      </c>
      <c r="AJ60" s="529" t="str">
        <f t="shared" si="110"/>
        <v/>
      </c>
      <c r="AK60" s="578" t="str">
        <f t="shared" si="111"/>
        <v/>
      </c>
      <c r="AL60" s="572" t="str">
        <f t="shared" si="112"/>
        <v/>
      </c>
      <c r="AM60" s="577" t="str">
        <f t="shared" si="113"/>
        <v/>
      </c>
      <c r="AN60" s="524" t="str">
        <f t="shared" si="86"/>
        <v/>
      </c>
      <c r="AO60" s="525" t="str">
        <f t="shared" si="17"/>
        <v/>
      </c>
      <c r="AP60" s="528" t="str">
        <f t="shared" si="114"/>
        <v/>
      </c>
      <c r="AQ60" s="529" t="str">
        <f t="shared" si="60"/>
        <v/>
      </c>
      <c r="AS60" s="598" t="str">
        <f t="shared" si="115"/>
        <v/>
      </c>
      <c r="AT60" s="602" t="str">
        <f t="shared" si="61"/>
        <v/>
      </c>
      <c r="AU60" s="515" t="str">
        <f t="shared" si="87"/>
        <v/>
      </c>
      <c r="AV60" s="164" t="str">
        <f t="shared" si="116"/>
        <v/>
      </c>
      <c r="AW60" s="545" t="str">
        <f>IF($M60="","",W60-INDEX(Assy.Model!$W$9:$W$150,MATCH('SN#.Run#'!$M60,Assy.Model!$M$9:$M$150,0)))</f>
        <v/>
      </c>
      <c r="AX60" s="628" t="str">
        <f>IF($M60="","",X60-INDEX(Assy.Model!$X$9:$X$150,MATCH('SN#.Run#'!$M60,Assy.Model!$M$9:$M$150,0)))</f>
        <v/>
      </c>
      <c r="AY60" s="629" t="str">
        <f>IF($M60="","",Y60-INDEX(Assy.Model!$Y$9:$Y$150,MATCH('SN#.Run#'!$M60,Assy.Model!$M$9:$M$150,0)))</f>
        <v/>
      </c>
      <c r="AZ60" s="60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10" t="str">
        <f>IF($M60="","",AN60-INDEX(Assy.Model!$AN$9:$AN$150,MATCH('SN#.Run#'!$M60,Assy.Model!$M$9:$M$150,0)))</f>
        <v/>
      </c>
      <c r="BB60" s="525" t="str">
        <f>IF($M60="","",AO60-INDEX(Assy.Model!$AO$9:$AO$150,MATCH('SN#.Run#'!$M60,Assy.Model!$M$9:$M$150,0)))</f>
        <v/>
      </c>
      <c r="BC60" s="619" t="str">
        <f>IF($M60="","",AP60-INDEX(Assy.Model!$AP$9:$AP$150,MATCH('SN#.Run#'!$M60,Assy.Model!$M$9:$M$150,0)))</f>
        <v/>
      </c>
      <c r="BD60" s="419"/>
      <c r="BE60" s="699"/>
      <c r="BF60" s="417"/>
      <c r="BG60" s="417"/>
      <c r="BH60" s="417"/>
      <c r="IE60" s="790" t="str">
        <f>IFERROR(IF($IU60="","",IF($IU60&lt;(((Settings!$C$19/2)*-1)*$IE$8),"Taper","Nose")),"")</f>
        <v/>
      </c>
      <c r="IF60" s="482" t="str">
        <f>IFERROR(IF((((($IW60*COS(RADIANS(180-$IY60)))*COS(RADIANS($IY60)))-(($IX60*SIN(RADIANS(180-$IY60)))*SIN(RADIANS($IY60))))+$IU60)&lt;(((Settings!$C$19+$IF$8)/2)*-1),"Gage",""),"")</f>
        <v/>
      </c>
      <c r="IG60" s="788" t="str">
        <f t="shared" si="65"/>
        <v/>
      </c>
      <c r="IH60" s="674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677" t="str" cm="1">
        <f t="array" ref="II60">IFERROR(IF($IH60&lt;1,$IH60+LARGE((IF($M$9:$M$150="",0,$M$9:$M$150)-MOD(IF($M$9:$M$150="",0,$M$9:$M$150),1)),1),$IH60),"")</f>
        <v/>
      </c>
      <c r="IJ60" s="482" t="str">
        <f t="shared" si="62"/>
        <v/>
      </c>
      <c r="IK60" s="482" t="str">
        <f t="shared" ref="IK60:IK123" si="117">IF(ISNUMBER($II60),INDEX($K$9:$K$150,MATCH($IG60,$M$9:$M$150,0)),"")</f>
        <v/>
      </c>
      <c r="IL60" s="670" t="str">
        <f t="shared" si="68"/>
        <v/>
      </c>
      <c r="IM60" s="702"/>
      <c r="IN60" s="5" t="str">
        <f t="shared" si="69"/>
        <v/>
      </c>
      <c r="IO60" s="714"/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670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05" t="str">
        <f t="shared" si="77"/>
        <v/>
      </c>
    </row>
    <row r="61" spans="1:259" ht="15" customHeight="1" x14ac:dyDescent="0.25">
      <c r="A61" s="82"/>
      <c r="B61" s="578" t="str">
        <f t="shared" si="79"/>
        <v/>
      </c>
      <c r="C61" s="572" t="str">
        <f t="shared" si="80"/>
        <v/>
      </c>
      <c r="D61" s="576" t="str">
        <f t="shared" si="81"/>
        <v/>
      </c>
      <c r="E61" s="580" t="str">
        <f t="shared" si="82"/>
        <v/>
      </c>
      <c r="F61" s="572" t="str">
        <f t="shared" si="83"/>
        <v/>
      </c>
      <c r="G61" s="579" t="str">
        <f t="shared" si="84"/>
        <v/>
      </c>
      <c r="H61" s="580" t="str">
        <f t="shared" si="34"/>
        <v/>
      </c>
      <c r="I61" s="482"/>
      <c r="J61" s="483" t="str">
        <v/>
      </c>
      <c r="K61" s="806" t="str">
        <f t="shared" si="66"/>
        <v/>
      </c>
      <c r="M61" s="164" t="str">
        <f t="shared" si="88"/>
        <v/>
      </c>
      <c r="N61" s="575" t="str">
        <f t="shared" si="89"/>
        <v/>
      </c>
      <c r="O61" s="572" t="str">
        <f t="shared" si="90"/>
        <v/>
      </c>
      <c r="P61" s="576" t="str">
        <f t="shared" si="91"/>
        <v/>
      </c>
      <c r="Q61" s="528" t="str">
        <f t="shared" si="92"/>
        <v/>
      </c>
      <c r="R61" s="572" t="str">
        <f t="shared" si="93"/>
        <v/>
      </c>
      <c r="S61" s="577" t="str">
        <f t="shared" si="94"/>
        <v/>
      </c>
      <c r="T61" s="578" t="str">
        <f t="shared" si="95"/>
        <v/>
      </c>
      <c r="U61" s="572" t="str">
        <f t="shared" si="96"/>
        <v/>
      </c>
      <c r="V61" s="579" t="str">
        <f t="shared" si="97"/>
        <v/>
      </c>
      <c r="W61" s="528" t="str">
        <f t="shared" si="98"/>
        <v/>
      </c>
      <c r="X61" s="572" t="str">
        <f t="shared" si="99"/>
        <v/>
      </c>
      <c r="Y61" s="573" t="str">
        <f t="shared" si="85"/>
        <v/>
      </c>
      <c r="Z61" s="575" t="str">
        <f t="shared" si="100"/>
        <v/>
      </c>
      <c r="AA61" s="572" t="str">
        <f t="shared" si="101"/>
        <v/>
      </c>
      <c r="AB61" s="572" t="str">
        <f t="shared" si="102"/>
        <v/>
      </c>
      <c r="AC61" s="579" t="str">
        <f t="shared" si="103"/>
        <v/>
      </c>
      <c r="AD61" s="580" t="str">
        <f t="shared" si="104"/>
        <v/>
      </c>
      <c r="AE61" s="572" t="str">
        <f t="shared" si="105"/>
        <v/>
      </c>
      <c r="AF61" s="576" t="str">
        <f t="shared" si="106"/>
        <v/>
      </c>
      <c r="AG61" s="545" t="str">
        <f t="shared" si="107"/>
        <v/>
      </c>
      <c r="AH61" s="546" t="str">
        <f t="shared" si="108"/>
        <v/>
      </c>
      <c r="AI61" s="528" t="str">
        <f t="shared" si="109"/>
        <v/>
      </c>
      <c r="AJ61" s="529" t="str">
        <f t="shared" si="110"/>
        <v/>
      </c>
      <c r="AK61" s="578" t="str">
        <f t="shared" si="111"/>
        <v/>
      </c>
      <c r="AL61" s="572" t="str">
        <f t="shared" si="112"/>
        <v/>
      </c>
      <c r="AM61" s="577" t="str">
        <f t="shared" si="113"/>
        <v/>
      </c>
      <c r="AN61" s="524" t="str">
        <f t="shared" si="86"/>
        <v/>
      </c>
      <c r="AO61" s="525" t="str">
        <f t="shared" si="17"/>
        <v/>
      </c>
      <c r="AP61" s="528" t="str">
        <f t="shared" si="114"/>
        <v/>
      </c>
      <c r="AQ61" s="529" t="str">
        <f t="shared" si="60"/>
        <v/>
      </c>
      <c r="AS61" s="598" t="str">
        <f t="shared" si="115"/>
        <v/>
      </c>
      <c r="AT61" s="602" t="str">
        <f t="shared" si="61"/>
        <v/>
      </c>
      <c r="AU61" s="515" t="str">
        <f t="shared" si="87"/>
        <v/>
      </c>
      <c r="AV61" s="164" t="str">
        <f t="shared" si="116"/>
        <v/>
      </c>
      <c r="AW61" s="545" t="str">
        <f>IF($M61="","",W61-INDEX(Assy.Model!$W$9:$W$150,MATCH('SN#.Run#'!$M61,Assy.Model!$M$9:$M$150,0)))</f>
        <v/>
      </c>
      <c r="AX61" s="628" t="str">
        <f>IF($M61="","",X61-INDEX(Assy.Model!$X$9:$X$150,MATCH('SN#.Run#'!$M61,Assy.Model!$M$9:$M$150,0)))</f>
        <v/>
      </c>
      <c r="AY61" s="629" t="str">
        <f>IF($M61="","",Y61-INDEX(Assy.Model!$Y$9:$Y$150,MATCH('SN#.Run#'!$M61,Assy.Model!$M$9:$M$150,0)))</f>
        <v/>
      </c>
      <c r="AZ61" s="60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10" t="str">
        <f>IF($M61="","",AN61-INDEX(Assy.Model!$AN$9:$AN$150,MATCH('SN#.Run#'!$M61,Assy.Model!$M$9:$M$150,0)))</f>
        <v/>
      </c>
      <c r="BB61" s="525" t="str">
        <f>IF($M61="","",AO61-INDEX(Assy.Model!$AO$9:$AO$150,MATCH('SN#.Run#'!$M61,Assy.Model!$M$9:$M$150,0)))</f>
        <v/>
      </c>
      <c r="BC61" s="619" t="str">
        <f>IF($M61="","",AP61-INDEX(Assy.Model!$AP$9:$AP$150,MATCH('SN#.Run#'!$M61,Assy.Model!$M$9:$M$150,0)))</f>
        <v/>
      </c>
      <c r="BD61" s="419"/>
      <c r="BE61" s="699"/>
      <c r="BF61" s="417"/>
      <c r="BG61" s="417"/>
      <c r="BH61" s="417"/>
      <c r="IE61" s="790" t="str">
        <f>IFERROR(IF($IU61="","",IF($IU61&lt;(((Settings!$C$19/2)*-1)*$IE$8),"Taper","Nose")),"")</f>
        <v/>
      </c>
      <c r="IF61" s="482" t="str">
        <f>IFERROR(IF((((($IW61*COS(RADIANS(180-$IY61)))*COS(RADIANS($IY61)))-(($IX61*SIN(RADIANS(180-$IY61)))*SIN(RADIANS($IY61))))+$IU61)&lt;(((Settings!$C$19+$IF$8)/2)*-1),"Gage",""),"")</f>
        <v/>
      </c>
      <c r="IG61" s="788" t="str">
        <f t="shared" si="65"/>
        <v/>
      </c>
      <c r="IH61" s="674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677" t="str" cm="1">
        <f t="array" ref="II61">IFERROR(IF($IH61&lt;1,$IH61+LARGE((IF($M$9:$M$150="",0,$M$9:$M$150)-MOD(IF($M$9:$M$150="",0,$M$9:$M$150),1)),1),$IH61),"")</f>
        <v/>
      </c>
      <c r="IJ61" s="482" t="str">
        <f t="shared" si="62"/>
        <v/>
      </c>
      <c r="IK61" s="482" t="str">
        <f t="shared" si="117"/>
        <v/>
      </c>
      <c r="IL61" s="670" t="str">
        <f t="shared" si="68"/>
        <v/>
      </c>
      <c r="IM61" s="702"/>
      <c r="IN61" s="5" t="str">
        <f t="shared" si="69"/>
        <v/>
      </c>
      <c r="IO61" s="714"/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670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05" t="str">
        <f t="shared" si="77"/>
        <v/>
      </c>
    </row>
    <row r="62" spans="1:259" ht="15" customHeight="1" x14ac:dyDescent="0.25">
      <c r="A62" s="82"/>
      <c r="B62" s="578" t="str">
        <f t="shared" si="79"/>
        <v/>
      </c>
      <c r="C62" s="572" t="str">
        <f t="shared" si="80"/>
        <v/>
      </c>
      <c r="D62" s="576" t="str">
        <f t="shared" si="81"/>
        <v/>
      </c>
      <c r="E62" s="580" t="str">
        <f t="shared" si="82"/>
        <v/>
      </c>
      <c r="F62" s="572" t="str">
        <f t="shared" si="83"/>
        <v/>
      </c>
      <c r="G62" s="579" t="str">
        <f t="shared" si="84"/>
        <v/>
      </c>
      <c r="H62" s="580" t="str">
        <f t="shared" si="34"/>
        <v/>
      </c>
      <c r="I62" s="482"/>
      <c r="J62" s="483" t="str">
        <v/>
      </c>
      <c r="K62" s="806" t="str">
        <f t="shared" si="66"/>
        <v/>
      </c>
      <c r="M62" s="164" t="str">
        <f t="shared" si="88"/>
        <v/>
      </c>
      <c r="N62" s="575" t="str">
        <f t="shared" si="89"/>
        <v/>
      </c>
      <c r="O62" s="572" t="str">
        <f t="shared" si="90"/>
        <v/>
      </c>
      <c r="P62" s="576" t="str">
        <f t="shared" si="91"/>
        <v/>
      </c>
      <c r="Q62" s="528" t="str">
        <f t="shared" si="92"/>
        <v/>
      </c>
      <c r="R62" s="572" t="str">
        <f t="shared" si="93"/>
        <v/>
      </c>
      <c r="S62" s="577" t="str">
        <f t="shared" si="94"/>
        <v/>
      </c>
      <c r="T62" s="578" t="str">
        <f t="shared" si="95"/>
        <v/>
      </c>
      <c r="U62" s="572" t="str">
        <f t="shared" si="96"/>
        <v/>
      </c>
      <c r="V62" s="579" t="str">
        <f t="shared" si="97"/>
        <v/>
      </c>
      <c r="W62" s="528" t="str">
        <f t="shared" si="98"/>
        <v/>
      </c>
      <c r="X62" s="572" t="str">
        <f t="shared" si="99"/>
        <v/>
      </c>
      <c r="Y62" s="573" t="str">
        <f t="shared" si="85"/>
        <v/>
      </c>
      <c r="Z62" s="575" t="str">
        <f t="shared" si="100"/>
        <v/>
      </c>
      <c r="AA62" s="572" t="str">
        <f t="shared" si="101"/>
        <v/>
      </c>
      <c r="AB62" s="572" t="str">
        <f t="shared" si="102"/>
        <v/>
      </c>
      <c r="AC62" s="579" t="str">
        <f t="shared" si="103"/>
        <v/>
      </c>
      <c r="AD62" s="580" t="str">
        <f t="shared" si="104"/>
        <v/>
      </c>
      <c r="AE62" s="572" t="str">
        <f t="shared" si="105"/>
        <v/>
      </c>
      <c r="AF62" s="576" t="str">
        <f t="shared" si="106"/>
        <v/>
      </c>
      <c r="AG62" s="545" t="str">
        <f t="shared" si="107"/>
        <v/>
      </c>
      <c r="AH62" s="546" t="str">
        <f t="shared" si="108"/>
        <v/>
      </c>
      <c r="AI62" s="528" t="str">
        <f t="shared" si="109"/>
        <v/>
      </c>
      <c r="AJ62" s="529" t="str">
        <f t="shared" si="110"/>
        <v/>
      </c>
      <c r="AK62" s="578" t="str">
        <f t="shared" si="111"/>
        <v/>
      </c>
      <c r="AL62" s="572" t="str">
        <f t="shared" si="112"/>
        <v/>
      </c>
      <c r="AM62" s="577" t="str">
        <f t="shared" si="113"/>
        <v/>
      </c>
      <c r="AN62" s="524" t="str">
        <f t="shared" si="86"/>
        <v/>
      </c>
      <c r="AO62" s="525" t="str">
        <f t="shared" si="17"/>
        <v/>
      </c>
      <c r="AP62" s="528" t="str">
        <f t="shared" si="114"/>
        <v/>
      </c>
      <c r="AQ62" s="529" t="str">
        <f t="shared" si="60"/>
        <v/>
      </c>
      <c r="AS62" s="598" t="str">
        <f t="shared" si="115"/>
        <v/>
      </c>
      <c r="AT62" s="602" t="str">
        <f t="shared" si="61"/>
        <v/>
      </c>
      <c r="AU62" s="515" t="str">
        <f t="shared" si="87"/>
        <v/>
      </c>
      <c r="AV62" s="164" t="str">
        <f t="shared" si="116"/>
        <v/>
      </c>
      <c r="AW62" s="545" t="str">
        <f>IF($M62="","",W62-INDEX(Assy.Model!$W$9:$W$150,MATCH('SN#.Run#'!$M62,Assy.Model!$M$9:$M$150,0)))</f>
        <v/>
      </c>
      <c r="AX62" s="628" t="str">
        <f>IF($M62="","",X62-INDEX(Assy.Model!$X$9:$X$150,MATCH('SN#.Run#'!$M62,Assy.Model!$M$9:$M$150,0)))</f>
        <v/>
      </c>
      <c r="AY62" s="629" t="str">
        <f>IF($M62="","",Y62-INDEX(Assy.Model!$Y$9:$Y$150,MATCH('SN#.Run#'!$M62,Assy.Model!$M$9:$M$150,0)))</f>
        <v/>
      </c>
      <c r="AZ62" s="60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10" t="str">
        <f>IF($M62="","",AN62-INDEX(Assy.Model!$AN$9:$AN$150,MATCH('SN#.Run#'!$M62,Assy.Model!$M$9:$M$150,0)))</f>
        <v/>
      </c>
      <c r="BB62" s="525" t="str">
        <f>IF($M62="","",AO62-INDEX(Assy.Model!$AO$9:$AO$150,MATCH('SN#.Run#'!$M62,Assy.Model!$M$9:$M$150,0)))</f>
        <v/>
      </c>
      <c r="BC62" s="619" t="str">
        <f>IF($M62="","",AP62-INDEX(Assy.Model!$AP$9:$AP$150,MATCH('SN#.Run#'!$M62,Assy.Model!$M$9:$M$150,0)))</f>
        <v/>
      </c>
      <c r="BD62" s="419"/>
      <c r="BE62" s="699"/>
      <c r="BF62" s="417"/>
      <c r="BG62" s="417"/>
      <c r="BH62" s="417"/>
      <c r="IE62" s="790" t="str">
        <f>IFERROR(IF($IU62="","",IF($IU62&lt;(((Settings!$C$19/2)*-1)*$IE$8),"Taper","Nose")),"")</f>
        <v/>
      </c>
      <c r="IF62" s="482" t="str">
        <f>IFERROR(IF((((($IW62*COS(RADIANS(180-$IY62)))*COS(RADIANS($IY62)))-(($IX62*SIN(RADIANS(180-$IY62)))*SIN(RADIANS($IY62))))+$IU62)&lt;(((Settings!$C$19+$IF$8)/2)*-1),"Gage",""),"")</f>
        <v/>
      </c>
      <c r="IG62" s="788" t="str">
        <f t="shared" si="65"/>
        <v/>
      </c>
      <c r="IH62" s="674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677" t="str" cm="1">
        <f t="array" ref="II62">IFERROR(IF($IH62&lt;1,$IH62+LARGE((IF($M$9:$M$150="",0,$M$9:$M$150)-MOD(IF($M$9:$M$150="",0,$M$9:$M$150),1)),1),$IH62),"")</f>
        <v/>
      </c>
      <c r="IJ62" s="482" t="str">
        <f t="shared" si="62"/>
        <v/>
      </c>
      <c r="IK62" s="482" t="str">
        <f t="shared" si="117"/>
        <v/>
      </c>
      <c r="IL62" s="670" t="str">
        <f t="shared" si="68"/>
        <v/>
      </c>
      <c r="IM62" s="702"/>
      <c r="IN62" s="5" t="str">
        <f t="shared" si="69"/>
        <v/>
      </c>
      <c r="IO62" s="714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670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05" t="str">
        <f t="shared" si="77"/>
        <v/>
      </c>
    </row>
    <row r="63" spans="1:259" ht="15" customHeight="1" x14ac:dyDescent="0.25">
      <c r="A63" s="82"/>
      <c r="B63" s="578" t="str">
        <f t="shared" si="79"/>
        <v/>
      </c>
      <c r="C63" s="572" t="str">
        <f t="shared" si="80"/>
        <v/>
      </c>
      <c r="D63" s="576" t="str">
        <f t="shared" si="81"/>
        <v/>
      </c>
      <c r="E63" s="580" t="str">
        <f t="shared" si="82"/>
        <v/>
      </c>
      <c r="F63" s="572" t="str">
        <f t="shared" si="83"/>
        <v/>
      </c>
      <c r="G63" s="579" t="str">
        <f t="shared" si="84"/>
        <v/>
      </c>
      <c r="H63" s="580" t="str">
        <f t="shared" si="34"/>
        <v/>
      </c>
      <c r="I63" s="482"/>
      <c r="J63" s="483" t="str">
        <v/>
      </c>
      <c r="K63" s="806" t="str">
        <f t="shared" si="66"/>
        <v/>
      </c>
      <c r="M63" s="164" t="str">
        <f t="shared" si="88"/>
        <v/>
      </c>
      <c r="N63" s="575" t="str">
        <f t="shared" si="89"/>
        <v/>
      </c>
      <c r="O63" s="572" t="str">
        <f t="shared" si="90"/>
        <v/>
      </c>
      <c r="P63" s="576" t="str">
        <f t="shared" si="91"/>
        <v/>
      </c>
      <c r="Q63" s="528" t="str">
        <f t="shared" si="92"/>
        <v/>
      </c>
      <c r="R63" s="572" t="str">
        <f t="shared" si="93"/>
        <v/>
      </c>
      <c r="S63" s="577" t="str">
        <f t="shared" si="94"/>
        <v/>
      </c>
      <c r="T63" s="578" t="str">
        <f t="shared" si="95"/>
        <v/>
      </c>
      <c r="U63" s="572" t="str">
        <f t="shared" si="96"/>
        <v/>
      </c>
      <c r="V63" s="579" t="str">
        <f t="shared" si="97"/>
        <v/>
      </c>
      <c r="W63" s="528" t="str">
        <f t="shared" si="98"/>
        <v/>
      </c>
      <c r="X63" s="572" t="str">
        <f t="shared" si="99"/>
        <v/>
      </c>
      <c r="Y63" s="573" t="str">
        <f t="shared" si="85"/>
        <v/>
      </c>
      <c r="Z63" s="575" t="str">
        <f t="shared" si="100"/>
        <v/>
      </c>
      <c r="AA63" s="572" t="str">
        <f t="shared" si="101"/>
        <v/>
      </c>
      <c r="AB63" s="572" t="str">
        <f t="shared" si="102"/>
        <v/>
      </c>
      <c r="AC63" s="579" t="str">
        <f t="shared" si="103"/>
        <v/>
      </c>
      <c r="AD63" s="580" t="str">
        <f t="shared" si="104"/>
        <v/>
      </c>
      <c r="AE63" s="572" t="str">
        <f t="shared" si="105"/>
        <v/>
      </c>
      <c r="AF63" s="576" t="str">
        <f t="shared" si="106"/>
        <v/>
      </c>
      <c r="AG63" s="545" t="str">
        <f t="shared" si="107"/>
        <v/>
      </c>
      <c r="AH63" s="546" t="str">
        <f t="shared" si="108"/>
        <v/>
      </c>
      <c r="AI63" s="528" t="str">
        <f t="shared" si="109"/>
        <v/>
      </c>
      <c r="AJ63" s="529" t="str">
        <f t="shared" si="110"/>
        <v/>
      </c>
      <c r="AK63" s="578" t="str">
        <f t="shared" si="111"/>
        <v/>
      </c>
      <c r="AL63" s="572" t="str">
        <f t="shared" si="112"/>
        <v/>
      </c>
      <c r="AM63" s="577" t="str">
        <f t="shared" si="113"/>
        <v/>
      </c>
      <c r="AN63" s="524" t="str">
        <f t="shared" si="86"/>
        <v/>
      </c>
      <c r="AO63" s="525" t="str">
        <f t="shared" si="17"/>
        <v/>
      </c>
      <c r="AP63" s="528" t="str">
        <f t="shared" si="114"/>
        <v/>
      </c>
      <c r="AQ63" s="529" t="str">
        <f t="shared" si="60"/>
        <v/>
      </c>
      <c r="AS63" s="598" t="str">
        <f t="shared" si="115"/>
        <v/>
      </c>
      <c r="AT63" s="602" t="str">
        <f t="shared" si="61"/>
        <v/>
      </c>
      <c r="AU63" s="515" t="str">
        <f t="shared" si="87"/>
        <v/>
      </c>
      <c r="AV63" s="164" t="str">
        <f t="shared" si="116"/>
        <v/>
      </c>
      <c r="AW63" s="545" t="str">
        <f>IF($M63="","",W63-INDEX(Assy.Model!$W$9:$W$150,MATCH('SN#.Run#'!$M63,Assy.Model!$M$9:$M$150,0)))</f>
        <v/>
      </c>
      <c r="AX63" s="628" t="str">
        <f>IF($M63="","",X63-INDEX(Assy.Model!$X$9:$X$150,MATCH('SN#.Run#'!$M63,Assy.Model!$M$9:$M$150,0)))</f>
        <v/>
      </c>
      <c r="AY63" s="629" t="str">
        <f>IF($M63="","",Y63-INDEX(Assy.Model!$Y$9:$Y$150,MATCH('SN#.Run#'!$M63,Assy.Model!$M$9:$M$150,0)))</f>
        <v/>
      </c>
      <c r="AZ63" s="60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10" t="str">
        <f>IF($M63="","",AN63-INDEX(Assy.Model!$AN$9:$AN$150,MATCH('SN#.Run#'!$M63,Assy.Model!$M$9:$M$150,0)))</f>
        <v/>
      </c>
      <c r="BB63" s="525" t="str">
        <f>IF($M63="","",AO63-INDEX(Assy.Model!$AO$9:$AO$150,MATCH('SN#.Run#'!$M63,Assy.Model!$M$9:$M$150,0)))</f>
        <v/>
      </c>
      <c r="BC63" s="619" t="str">
        <f>IF($M63="","",AP63-INDEX(Assy.Model!$AP$9:$AP$150,MATCH('SN#.Run#'!$M63,Assy.Model!$M$9:$M$150,0)))</f>
        <v/>
      </c>
      <c r="BD63" s="419"/>
      <c r="BE63" s="699"/>
      <c r="BF63" s="417"/>
      <c r="BG63" s="417"/>
      <c r="BH63" s="417"/>
      <c r="IE63" s="790" t="str">
        <f>IFERROR(IF($IU63="","",IF($IU63&lt;(((Settings!$C$19/2)*-1)*$IE$8),"Taper","Nose")),"")</f>
        <v/>
      </c>
      <c r="IF63" s="482" t="str">
        <f>IFERROR(IF((((($IW63*COS(RADIANS(180-$IY63)))*COS(RADIANS($IY63)))-(($IX63*SIN(RADIANS(180-$IY63)))*SIN(RADIANS($IY63))))+$IU63)&lt;(((Settings!$C$19+$IF$8)/2)*-1),"Gage",""),"")</f>
        <v/>
      </c>
      <c r="IG63" s="788" t="str">
        <f t="shared" si="65"/>
        <v/>
      </c>
      <c r="IH63" s="674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677" t="str" cm="1">
        <f t="array" ref="II63">IFERROR(IF($IH63&lt;1,$IH63+LARGE((IF($M$9:$M$150="",0,$M$9:$M$150)-MOD(IF($M$9:$M$150="",0,$M$9:$M$150),1)),1),$IH63),"")</f>
        <v/>
      </c>
      <c r="IJ63" s="482" t="str">
        <f t="shared" si="62"/>
        <v/>
      </c>
      <c r="IK63" s="482" t="str">
        <f t="shared" si="117"/>
        <v/>
      </c>
      <c r="IL63" s="670" t="str">
        <f t="shared" si="68"/>
        <v/>
      </c>
      <c r="IM63" s="702"/>
      <c r="IN63" s="5" t="str">
        <f t="shared" si="69"/>
        <v/>
      </c>
      <c r="IO63" s="714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670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05" t="str">
        <f t="shared" si="77"/>
        <v/>
      </c>
    </row>
    <row r="64" spans="1:259" ht="15" customHeight="1" x14ac:dyDescent="0.25">
      <c r="A64" s="82"/>
      <c r="B64" s="578" t="str">
        <f t="shared" si="79"/>
        <v/>
      </c>
      <c r="C64" s="572" t="str">
        <f t="shared" si="80"/>
        <v/>
      </c>
      <c r="D64" s="576" t="str">
        <f t="shared" si="81"/>
        <v/>
      </c>
      <c r="E64" s="580" t="str">
        <f t="shared" si="82"/>
        <v/>
      </c>
      <c r="F64" s="572" t="str">
        <f t="shared" si="83"/>
        <v/>
      </c>
      <c r="G64" s="579" t="str">
        <f t="shared" si="84"/>
        <v/>
      </c>
      <c r="H64" s="580" t="str">
        <f t="shared" si="34"/>
        <v/>
      </c>
      <c r="I64" s="482"/>
      <c r="J64" s="483" t="str">
        <v/>
      </c>
      <c r="K64" s="806" t="str">
        <f t="shared" si="66"/>
        <v/>
      </c>
      <c r="M64" s="164" t="str">
        <f t="shared" si="88"/>
        <v/>
      </c>
      <c r="N64" s="575" t="str">
        <f t="shared" si="89"/>
        <v/>
      </c>
      <c r="O64" s="572" t="str">
        <f t="shared" si="90"/>
        <v/>
      </c>
      <c r="P64" s="576" t="str">
        <f t="shared" si="91"/>
        <v/>
      </c>
      <c r="Q64" s="528" t="str">
        <f t="shared" si="92"/>
        <v/>
      </c>
      <c r="R64" s="572" t="str">
        <f t="shared" si="93"/>
        <v/>
      </c>
      <c r="S64" s="577" t="str">
        <f t="shared" si="94"/>
        <v/>
      </c>
      <c r="T64" s="578" t="str">
        <f t="shared" si="95"/>
        <v/>
      </c>
      <c r="U64" s="572" t="str">
        <f t="shared" si="96"/>
        <v/>
      </c>
      <c r="V64" s="579" t="str">
        <f t="shared" si="97"/>
        <v/>
      </c>
      <c r="W64" s="528" t="str">
        <f>IF(M64="","",IF(Q64-$Q$8&lt;0,360+Q64-$Q$8,Q64-$Q$8))</f>
        <v/>
      </c>
      <c r="X64" s="572" t="str">
        <f t="shared" si="99"/>
        <v/>
      </c>
      <c r="Y64" s="573" t="str">
        <f t="shared" si="85"/>
        <v/>
      </c>
      <c r="Z64" s="575" t="str">
        <f t="shared" si="100"/>
        <v/>
      </c>
      <c r="AA64" s="572" t="str">
        <f t="shared" si="101"/>
        <v/>
      </c>
      <c r="AB64" s="572" t="str">
        <f t="shared" si="102"/>
        <v/>
      </c>
      <c r="AC64" s="579" t="str">
        <f t="shared" si="103"/>
        <v/>
      </c>
      <c r="AD64" s="580" t="str">
        <f t="shared" si="104"/>
        <v/>
      </c>
      <c r="AE64" s="572" t="str">
        <f t="shared" si="105"/>
        <v/>
      </c>
      <c r="AF64" s="576" t="str">
        <f t="shared" si="106"/>
        <v/>
      </c>
      <c r="AG64" s="545" t="str">
        <f t="shared" si="107"/>
        <v/>
      </c>
      <c r="AH64" s="546" t="str">
        <f t="shared" si="108"/>
        <v/>
      </c>
      <c r="AI64" s="528" t="str">
        <f t="shared" si="109"/>
        <v/>
      </c>
      <c r="AJ64" s="529" t="str">
        <f t="shared" si="110"/>
        <v/>
      </c>
      <c r="AK64" s="578" t="str">
        <f t="shared" si="111"/>
        <v/>
      </c>
      <c r="AL64" s="572" t="str">
        <f t="shared" si="112"/>
        <v/>
      </c>
      <c r="AM64" s="577" t="str">
        <f t="shared" si="113"/>
        <v/>
      </c>
      <c r="AN64" s="524" t="str">
        <f t="shared" si="86"/>
        <v/>
      </c>
      <c r="AO64" s="525" t="str">
        <f t="shared" si="17"/>
        <v/>
      </c>
      <c r="AP64" s="528" t="str">
        <f t="shared" si="114"/>
        <v/>
      </c>
      <c r="AQ64" s="529" t="str">
        <f t="shared" si="60"/>
        <v/>
      </c>
      <c r="AS64" s="598" t="str">
        <f t="shared" si="115"/>
        <v/>
      </c>
      <c r="AT64" s="602" t="str">
        <f t="shared" si="61"/>
        <v/>
      </c>
      <c r="AU64" s="515" t="str">
        <f t="shared" si="87"/>
        <v/>
      </c>
      <c r="AV64" s="164" t="str">
        <f t="shared" si="116"/>
        <v/>
      </c>
      <c r="AW64" s="545" t="str">
        <f>IF($M64="","",W64-INDEX(Assy.Model!$W$9:$W$150,MATCH('SN#.Run#'!$M64,Assy.Model!$M$9:$M$150,0)))</f>
        <v/>
      </c>
      <c r="AX64" s="628" t="str">
        <f>IF($M64="","",X64-INDEX(Assy.Model!$X$9:$X$150,MATCH('SN#.Run#'!$M64,Assy.Model!$M$9:$M$150,0)))</f>
        <v/>
      </c>
      <c r="AY64" s="629" t="str">
        <f>IF($M64="","",Y64-INDEX(Assy.Model!$Y$9:$Y$150,MATCH('SN#.Run#'!$M64,Assy.Model!$M$9:$M$150,0)))</f>
        <v/>
      </c>
      <c r="AZ64" s="60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10" t="str">
        <f>IF($M64="","",AN64-INDEX(Assy.Model!$AN$9:$AN$150,MATCH('SN#.Run#'!$M64,Assy.Model!$M$9:$M$150,0)))</f>
        <v/>
      </c>
      <c r="BB64" s="525" t="str">
        <f>IF($M64="","",AO64-INDEX(Assy.Model!$AO$9:$AO$150,MATCH('SN#.Run#'!$M64,Assy.Model!$M$9:$M$150,0)))</f>
        <v/>
      </c>
      <c r="BC64" s="619" t="str">
        <f>IF($M64="","",AP64-INDEX(Assy.Model!$AP$9:$AP$150,MATCH('SN#.Run#'!$M64,Assy.Model!$M$9:$M$150,0)))</f>
        <v/>
      </c>
      <c r="BD64" s="419"/>
      <c r="BE64" s="699"/>
      <c r="BF64" s="417"/>
      <c r="BG64" s="417"/>
      <c r="BH64" s="417"/>
      <c r="IE64" s="790" t="str">
        <f>IFERROR(IF($IU64="","",IF($IU64&lt;(((Settings!$C$19/2)*-1)*$IE$8),"Taper","Nose")),"")</f>
        <v/>
      </c>
      <c r="IF64" s="482" t="str">
        <f>IFERROR(IF((((($IW64*COS(RADIANS(180-$IY64)))*COS(RADIANS($IY64)))-(($IX64*SIN(RADIANS(180-$IY64)))*SIN(RADIANS($IY64))))+$IU64)&lt;(((Settings!$C$19+$IF$8)/2)*-1),"Gage",""),"")</f>
        <v/>
      </c>
      <c r="IG64" s="788" t="str">
        <f t="shared" si="65"/>
        <v/>
      </c>
      <c r="IH64" s="674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677" t="str" cm="1">
        <f t="array" ref="II64">IFERROR(IF($IH64&lt;1,$IH64+LARGE((IF($M$9:$M$150="",0,$M$9:$M$150)-MOD(IF($M$9:$M$150="",0,$M$9:$M$150),1)),1),$IH64),"")</f>
        <v/>
      </c>
      <c r="IJ64" s="482" t="str">
        <f t="shared" si="62"/>
        <v/>
      </c>
      <c r="IK64" s="482" t="str">
        <f t="shared" si="117"/>
        <v/>
      </c>
      <c r="IL64" s="670" t="str">
        <f t="shared" si="68"/>
        <v/>
      </c>
      <c r="IM64" s="702"/>
      <c r="IN64" s="5" t="str">
        <f t="shared" si="69"/>
        <v/>
      </c>
      <c r="IO64" s="714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670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05" t="str">
        <f t="shared" si="77"/>
        <v/>
      </c>
    </row>
    <row r="65" spans="1:259" ht="15" customHeight="1" x14ac:dyDescent="0.25">
      <c r="A65" s="82"/>
      <c r="B65" s="578" t="str">
        <f t="shared" si="79"/>
        <v/>
      </c>
      <c r="C65" s="572" t="str">
        <f t="shared" si="80"/>
        <v/>
      </c>
      <c r="D65" s="576" t="str">
        <f t="shared" si="81"/>
        <v/>
      </c>
      <c r="E65" s="580" t="str">
        <f t="shared" si="82"/>
        <v/>
      </c>
      <c r="F65" s="572" t="str">
        <f t="shared" si="83"/>
        <v/>
      </c>
      <c r="G65" s="579" t="str">
        <f t="shared" si="84"/>
        <v/>
      </c>
      <c r="H65" s="580" t="str">
        <f t="shared" si="34"/>
        <v/>
      </c>
      <c r="I65" s="482"/>
      <c r="J65" s="483" t="str">
        <v/>
      </c>
      <c r="K65" s="806" t="str">
        <f t="shared" si="66"/>
        <v/>
      </c>
      <c r="M65" s="164" t="str">
        <f t="shared" si="88"/>
        <v/>
      </c>
      <c r="N65" s="575" t="str">
        <f t="shared" si="89"/>
        <v/>
      </c>
      <c r="O65" s="572" t="str">
        <f t="shared" si="90"/>
        <v/>
      </c>
      <c r="P65" s="576" t="str">
        <f t="shared" si="91"/>
        <v/>
      </c>
      <c r="Q65" s="528" t="str">
        <f t="shared" si="92"/>
        <v/>
      </c>
      <c r="R65" s="572" t="str">
        <f t="shared" si="93"/>
        <v/>
      </c>
      <c r="S65" s="577" t="str">
        <f t="shared" si="94"/>
        <v/>
      </c>
      <c r="T65" s="578" t="str">
        <f t="shared" si="95"/>
        <v/>
      </c>
      <c r="U65" s="572" t="str">
        <f t="shared" si="96"/>
        <v/>
      </c>
      <c r="V65" s="579" t="str">
        <f t="shared" si="97"/>
        <v/>
      </c>
      <c r="W65" s="528" t="str">
        <f t="shared" si="98"/>
        <v/>
      </c>
      <c r="X65" s="572" t="str">
        <f t="shared" si="99"/>
        <v/>
      </c>
      <c r="Y65" s="573" t="str">
        <f t="shared" si="85"/>
        <v/>
      </c>
      <c r="Z65" s="575" t="str">
        <f t="shared" si="100"/>
        <v/>
      </c>
      <c r="AA65" s="572" t="str">
        <f t="shared" si="101"/>
        <v/>
      </c>
      <c r="AB65" s="572" t="str">
        <f t="shared" si="102"/>
        <v/>
      </c>
      <c r="AC65" s="579" t="str">
        <f t="shared" si="103"/>
        <v/>
      </c>
      <c r="AD65" s="580" t="str">
        <f t="shared" si="104"/>
        <v/>
      </c>
      <c r="AE65" s="572" t="str">
        <f t="shared" si="105"/>
        <v/>
      </c>
      <c r="AF65" s="576" t="str">
        <f t="shared" si="106"/>
        <v/>
      </c>
      <c r="AG65" s="545" t="str">
        <f t="shared" si="107"/>
        <v/>
      </c>
      <c r="AH65" s="546" t="str">
        <f t="shared" si="108"/>
        <v/>
      </c>
      <c r="AI65" s="528" t="str">
        <f t="shared" si="109"/>
        <v/>
      </c>
      <c r="AJ65" s="529" t="str">
        <f t="shared" si="110"/>
        <v/>
      </c>
      <c r="AK65" s="578" t="str">
        <f t="shared" si="111"/>
        <v/>
      </c>
      <c r="AL65" s="572" t="str">
        <f t="shared" si="112"/>
        <v/>
      </c>
      <c r="AM65" s="577" t="str">
        <f t="shared" si="113"/>
        <v/>
      </c>
      <c r="AN65" s="524" t="str">
        <f t="shared" si="86"/>
        <v/>
      </c>
      <c r="AO65" s="525" t="str">
        <f t="shared" si="17"/>
        <v/>
      </c>
      <c r="AP65" s="528" t="str">
        <f t="shared" si="114"/>
        <v/>
      </c>
      <c r="AQ65" s="529" t="str">
        <f t="shared" si="60"/>
        <v/>
      </c>
      <c r="AS65" s="598" t="str">
        <f t="shared" si="115"/>
        <v/>
      </c>
      <c r="AT65" s="602" t="str">
        <f t="shared" si="61"/>
        <v/>
      </c>
      <c r="AU65" s="515" t="str">
        <f t="shared" si="87"/>
        <v/>
      </c>
      <c r="AV65" s="164" t="str">
        <f t="shared" si="116"/>
        <v/>
      </c>
      <c r="AW65" s="545" t="str">
        <f>IF($M65="","",W65-INDEX(Assy.Model!$W$9:$W$150,MATCH('SN#.Run#'!$M65,Assy.Model!$M$9:$M$150,0)))</f>
        <v/>
      </c>
      <c r="AX65" s="628" t="str">
        <f>IF($M65="","",X65-INDEX(Assy.Model!$X$9:$X$150,MATCH('SN#.Run#'!$M65,Assy.Model!$M$9:$M$150,0)))</f>
        <v/>
      </c>
      <c r="AY65" s="629" t="str">
        <f>IF($M65="","",Y65-INDEX(Assy.Model!$Y$9:$Y$150,MATCH('SN#.Run#'!$M65,Assy.Model!$M$9:$M$150,0)))</f>
        <v/>
      </c>
      <c r="AZ65" s="60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10" t="str">
        <f>IF($M65="","",AN65-INDEX(Assy.Model!$AN$9:$AN$150,MATCH('SN#.Run#'!$M65,Assy.Model!$M$9:$M$150,0)))</f>
        <v/>
      </c>
      <c r="BB65" s="525" t="str">
        <f>IF($M65="","",AO65-INDEX(Assy.Model!$AO$9:$AO$150,MATCH('SN#.Run#'!$M65,Assy.Model!$M$9:$M$150,0)))</f>
        <v/>
      </c>
      <c r="BC65" s="619" t="str">
        <f>IF($M65="","",AP65-INDEX(Assy.Model!$AP$9:$AP$150,MATCH('SN#.Run#'!$M65,Assy.Model!$M$9:$M$150,0)))</f>
        <v/>
      </c>
      <c r="BD65" s="419"/>
      <c r="BE65" s="699"/>
      <c r="BF65" s="417"/>
      <c r="BG65" s="417"/>
      <c r="BH65" s="417"/>
      <c r="IE65" s="790" t="str">
        <f>IFERROR(IF($IU65="","",IF($IU65&lt;(((Settings!$C$19/2)*-1)*$IE$8),"Taper","Nose")),"")</f>
        <v/>
      </c>
      <c r="IF65" s="482" t="str">
        <f>IFERROR(IF((((($IW65*COS(RADIANS(180-$IY65)))*COS(RADIANS($IY65)))-(($IX65*SIN(RADIANS(180-$IY65)))*SIN(RADIANS($IY65))))+$IU65)&lt;(((Settings!$C$19+$IF$8)/2)*-1),"Gage",""),"")</f>
        <v/>
      </c>
      <c r="IG65" s="788" t="str">
        <f t="shared" si="65"/>
        <v/>
      </c>
      <c r="IH65" s="674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677" t="str" cm="1">
        <f t="array" ref="II65">IFERROR(IF($IH65&lt;1,$IH65+LARGE((IF($M$9:$M$150="",0,$M$9:$M$150)-MOD(IF($M$9:$M$150="",0,$M$9:$M$150),1)),1),$IH65),"")</f>
        <v/>
      </c>
      <c r="IJ65" s="482" t="str">
        <f t="shared" si="62"/>
        <v/>
      </c>
      <c r="IK65" s="482" t="str">
        <f t="shared" si="117"/>
        <v/>
      </c>
      <c r="IL65" s="670" t="str">
        <f t="shared" si="68"/>
        <v/>
      </c>
      <c r="IM65" s="702"/>
      <c r="IN65" s="5" t="str">
        <f t="shared" si="69"/>
        <v/>
      </c>
      <c r="IO65" s="714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670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05" t="str">
        <f t="shared" si="77"/>
        <v/>
      </c>
    </row>
    <row r="66" spans="1:259" ht="15" customHeight="1" x14ac:dyDescent="0.25">
      <c r="A66" s="82"/>
      <c r="B66" s="578" t="str">
        <f t="shared" si="79"/>
        <v/>
      </c>
      <c r="C66" s="572" t="str">
        <f t="shared" si="80"/>
        <v/>
      </c>
      <c r="D66" s="576" t="str">
        <f t="shared" si="81"/>
        <v/>
      </c>
      <c r="E66" s="580" t="str">
        <f t="shared" si="82"/>
        <v/>
      </c>
      <c r="F66" s="572" t="str">
        <f t="shared" si="83"/>
        <v/>
      </c>
      <c r="G66" s="579" t="str">
        <f t="shared" si="84"/>
        <v/>
      </c>
      <c r="H66" s="580" t="str">
        <f t="shared" si="34"/>
        <v/>
      </c>
      <c r="I66" s="482"/>
      <c r="J66" s="483" t="str">
        <v/>
      </c>
      <c r="K66" s="806" t="str">
        <f t="shared" si="66"/>
        <v/>
      </c>
      <c r="M66" s="164" t="str">
        <f t="shared" si="88"/>
        <v/>
      </c>
      <c r="N66" s="575" t="str">
        <f t="shared" si="89"/>
        <v/>
      </c>
      <c r="O66" s="572" t="str">
        <f t="shared" si="90"/>
        <v/>
      </c>
      <c r="P66" s="576" t="str">
        <f t="shared" si="91"/>
        <v/>
      </c>
      <c r="Q66" s="528" t="str">
        <f t="shared" si="92"/>
        <v/>
      </c>
      <c r="R66" s="572" t="str">
        <f t="shared" si="93"/>
        <v/>
      </c>
      <c r="S66" s="577" t="str">
        <f t="shared" si="94"/>
        <v/>
      </c>
      <c r="T66" s="578" t="str">
        <f t="shared" si="95"/>
        <v/>
      </c>
      <c r="U66" s="572" t="str">
        <f t="shared" si="96"/>
        <v/>
      </c>
      <c r="V66" s="579" t="str">
        <f t="shared" si="97"/>
        <v/>
      </c>
      <c r="W66" s="528" t="str">
        <f t="shared" si="98"/>
        <v/>
      </c>
      <c r="X66" s="572" t="str">
        <f t="shared" si="99"/>
        <v/>
      </c>
      <c r="Y66" s="573" t="str">
        <f t="shared" si="85"/>
        <v/>
      </c>
      <c r="Z66" s="575" t="str">
        <f t="shared" si="100"/>
        <v/>
      </c>
      <c r="AA66" s="572" t="str">
        <f t="shared" si="101"/>
        <v/>
      </c>
      <c r="AB66" s="572" t="str">
        <f t="shared" si="102"/>
        <v/>
      </c>
      <c r="AC66" s="579" t="str">
        <f t="shared" si="103"/>
        <v/>
      </c>
      <c r="AD66" s="580" t="str">
        <f t="shared" si="104"/>
        <v/>
      </c>
      <c r="AE66" s="572" t="str">
        <f t="shared" si="105"/>
        <v/>
      </c>
      <c r="AF66" s="576" t="str">
        <f t="shared" si="106"/>
        <v/>
      </c>
      <c r="AG66" s="545" t="str">
        <f t="shared" si="107"/>
        <v/>
      </c>
      <c r="AH66" s="546" t="str">
        <f t="shared" si="108"/>
        <v/>
      </c>
      <c r="AI66" s="528" t="str">
        <f t="shared" si="109"/>
        <v/>
      </c>
      <c r="AJ66" s="529" t="str">
        <f t="shared" si="110"/>
        <v/>
      </c>
      <c r="AK66" s="578" t="str">
        <f t="shared" si="111"/>
        <v/>
      </c>
      <c r="AL66" s="572" t="str">
        <f t="shared" si="112"/>
        <v/>
      </c>
      <c r="AM66" s="577" t="str">
        <f t="shared" si="113"/>
        <v/>
      </c>
      <c r="AN66" s="524" t="str">
        <f t="shared" si="86"/>
        <v/>
      </c>
      <c r="AO66" s="525" t="str">
        <f t="shared" si="17"/>
        <v/>
      </c>
      <c r="AP66" s="528" t="str">
        <f t="shared" si="114"/>
        <v/>
      </c>
      <c r="AQ66" s="529" t="str">
        <f t="shared" si="60"/>
        <v/>
      </c>
      <c r="AS66" s="598" t="str">
        <f t="shared" si="115"/>
        <v/>
      </c>
      <c r="AT66" s="602" t="str">
        <f t="shared" si="61"/>
        <v/>
      </c>
      <c r="AU66" s="515" t="str">
        <f t="shared" si="87"/>
        <v/>
      </c>
      <c r="AV66" s="164" t="str">
        <f t="shared" si="116"/>
        <v/>
      </c>
      <c r="AW66" s="545" t="str">
        <f>IF($M66="","",W66-INDEX(Assy.Model!$W$9:$W$150,MATCH('SN#.Run#'!$M66,Assy.Model!$M$9:$M$150,0)))</f>
        <v/>
      </c>
      <c r="AX66" s="628" t="str">
        <f>IF($M66="","",X66-INDEX(Assy.Model!$X$9:$X$150,MATCH('SN#.Run#'!$M66,Assy.Model!$M$9:$M$150,0)))</f>
        <v/>
      </c>
      <c r="AY66" s="629" t="str">
        <f>IF($M66="","",Y66-INDEX(Assy.Model!$Y$9:$Y$150,MATCH('SN#.Run#'!$M66,Assy.Model!$M$9:$M$150,0)))</f>
        <v/>
      </c>
      <c r="AZ66" s="60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10" t="str">
        <f>IF($M66="","",AN66-INDEX(Assy.Model!$AN$9:$AN$150,MATCH('SN#.Run#'!$M66,Assy.Model!$M$9:$M$150,0)))</f>
        <v/>
      </c>
      <c r="BB66" s="525" t="str">
        <f>IF($M66="","",AO66-INDEX(Assy.Model!$AO$9:$AO$150,MATCH('SN#.Run#'!$M66,Assy.Model!$M$9:$M$150,0)))</f>
        <v/>
      </c>
      <c r="BC66" s="619" t="str">
        <f>IF($M66="","",AP66-INDEX(Assy.Model!$AP$9:$AP$150,MATCH('SN#.Run#'!$M66,Assy.Model!$M$9:$M$150,0)))</f>
        <v/>
      </c>
      <c r="BD66" s="419"/>
      <c r="BE66" s="699"/>
      <c r="BF66" s="417"/>
      <c r="BG66" s="417"/>
      <c r="BH66" s="417"/>
      <c r="IE66" s="790" t="str">
        <f>IFERROR(IF($IU66="","",IF($IU66&lt;(((Settings!$C$19/2)*-1)*$IE$8),"Taper","Nose")),"")</f>
        <v/>
      </c>
      <c r="IF66" s="482" t="str">
        <f>IFERROR(IF((((($IW66*COS(RADIANS(180-$IY66)))*COS(RADIANS($IY66)))-(($IX66*SIN(RADIANS(180-$IY66)))*SIN(RADIANS($IY66))))+$IU66)&lt;(((Settings!$C$19+$IF$8)/2)*-1),"Gage",""),"")</f>
        <v/>
      </c>
      <c r="IG66" s="788" t="str">
        <f t="shared" si="65"/>
        <v/>
      </c>
      <c r="IH66" s="674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677" t="str" cm="1">
        <f t="array" ref="II66">IFERROR(IF($IH66&lt;1,$IH66+LARGE((IF($M$9:$M$150="",0,$M$9:$M$150)-MOD(IF($M$9:$M$150="",0,$M$9:$M$150),1)),1),$IH66),"")</f>
        <v/>
      </c>
      <c r="IJ66" s="482" t="str">
        <f t="shared" si="62"/>
        <v/>
      </c>
      <c r="IK66" s="482" t="str">
        <f t="shared" si="117"/>
        <v/>
      </c>
      <c r="IL66" s="670" t="str">
        <f t="shared" si="68"/>
        <v/>
      </c>
      <c r="IM66" s="702"/>
      <c r="IN66" s="5" t="str">
        <f t="shared" si="69"/>
        <v/>
      </c>
      <c r="IO66" s="714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670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05" t="str">
        <f t="shared" si="77"/>
        <v/>
      </c>
    </row>
    <row r="67" spans="1:259" ht="15" customHeight="1" x14ac:dyDescent="0.25">
      <c r="A67" s="82"/>
      <c r="B67" s="578" t="str">
        <f t="shared" si="79"/>
        <v/>
      </c>
      <c r="C67" s="572" t="str">
        <f t="shared" si="80"/>
        <v/>
      </c>
      <c r="D67" s="576" t="str">
        <f t="shared" si="81"/>
        <v/>
      </c>
      <c r="E67" s="580" t="str">
        <f t="shared" si="82"/>
        <v/>
      </c>
      <c r="F67" s="572" t="str">
        <f t="shared" si="83"/>
        <v/>
      </c>
      <c r="G67" s="579" t="str">
        <f t="shared" si="84"/>
        <v/>
      </c>
      <c r="H67" s="580" t="str">
        <f t="shared" si="34"/>
        <v/>
      </c>
      <c r="I67" s="482"/>
      <c r="J67" s="483" t="str">
        <v/>
      </c>
      <c r="K67" s="806" t="str">
        <f t="shared" si="66"/>
        <v/>
      </c>
      <c r="M67" s="164" t="str">
        <f t="shared" si="88"/>
        <v/>
      </c>
      <c r="N67" s="575" t="str">
        <f t="shared" si="89"/>
        <v/>
      </c>
      <c r="O67" s="572" t="str">
        <f t="shared" si="90"/>
        <v/>
      </c>
      <c r="P67" s="576" t="str">
        <f t="shared" si="91"/>
        <v/>
      </c>
      <c r="Q67" s="528" t="str">
        <f t="shared" si="92"/>
        <v/>
      </c>
      <c r="R67" s="572" t="str">
        <f t="shared" si="93"/>
        <v/>
      </c>
      <c r="S67" s="577" t="str">
        <f t="shared" si="94"/>
        <v/>
      </c>
      <c r="T67" s="578" t="str">
        <f t="shared" si="95"/>
        <v/>
      </c>
      <c r="U67" s="572" t="str">
        <f t="shared" si="96"/>
        <v/>
      </c>
      <c r="V67" s="579" t="str">
        <f t="shared" si="97"/>
        <v/>
      </c>
      <c r="W67" s="528" t="str">
        <f t="shared" si="98"/>
        <v/>
      </c>
      <c r="X67" s="572" t="str">
        <f t="shared" si="99"/>
        <v/>
      </c>
      <c r="Y67" s="573" t="str">
        <f t="shared" si="85"/>
        <v/>
      </c>
      <c r="Z67" s="575" t="str">
        <f t="shared" si="100"/>
        <v/>
      </c>
      <c r="AA67" s="572" t="str">
        <f t="shared" si="101"/>
        <v/>
      </c>
      <c r="AB67" s="572" t="str">
        <f t="shared" si="102"/>
        <v/>
      </c>
      <c r="AC67" s="579" t="str">
        <f t="shared" si="103"/>
        <v/>
      </c>
      <c r="AD67" s="580" t="str">
        <f t="shared" si="104"/>
        <v/>
      </c>
      <c r="AE67" s="572" t="str">
        <f t="shared" si="105"/>
        <v/>
      </c>
      <c r="AF67" s="576" t="str">
        <f t="shared" si="106"/>
        <v/>
      </c>
      <c r="AG67" s="545" t="str">
        <f t="shared" si="107"/>
        <v/>
      </c>
      <c r="AH67" s="546" t="str">
        <f t="shared" si="108"/>
        <v/>
      </c>
      <c r="AI67" s="528" t="str">
        <f t="shared" si="109"/>
        <v/>
      </c>
      <c r="AJ67" s="529" t="str">
        <f t="shared" si="110"/>
        <v/>
      </c>
      <c r="AK67" s="578" t="str">
        <f t="shared" si="111"/>
        <v/>
      </c>
      <c r="AL67" s="572" t="str">
        <f t="shared" si="112"/>
        <v/>
      </c>
      <c r="AM67" s="577" t="str">
        <f t="shared" si="113"/>
        <v/>
      </c>
      <c r="AN67" s="524" t="str">
        <f t="shared" si="86"/>
        <v/>
      </c>
      <c r="AO67" s="525" t="str">
        <f t="shared" si="17"/>
        <v/>
      </c>
      <c r="AP67" s="528" t="str">
        <f t="shared" si="114"/>
        <v/>
      </c>
      <c r="AQ67" s="529" t="str">
        <f t="shared" si="60"/>
        <v/>
      </c>
      <c r="AS67" s="598" t="str">
        <f t="shared" si="115"/>
        <v/>
      </c>
      <c r="AT67" s="602" t="str">
        <f t="shared" si="61"/>
        <v/>
      </c>
      <c r="AU67" s="515" t="str">
        <f t="shared" si="87"/>
        <v/>
      </c>
      <c r="AV67" s="164" t="str">
        <f t="shared" si="116"/>
        <v/>
      </c>
      <c r="AW67" s="545" t="str">
        <f>IF($M67="","",W67-INDEX(Assy.Model!$W$9:$W$150,MATCH('SN#.Run#'!$M67,Assy.Model!$M$9:$M$150,0)))</f>
        <v/>
      </c>
      <c r="AX67" s="628" t="str">
        <f>IF($M67="","",X67-INDEX(Assy.Model!$X$9:$X$150,MATCH('SN#.Run#'!$M67,Assy.Model!$M$9:$M$150,0)))</f>
        <v/>
      </c>
      <c r="AY67" s="629" t="str">
        <f>IF($M67="","",Y67-INDEX(Assy.Model!$Y$9:$Y$150,MATCH('SN#.Run#'!$M67,Assy.Model!$M$9:$M$150,0)))</f>
        <v/>
      </c>
      <c r="AZ67" s="60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10" t="str">
        <f>IF($M67="","",AN67-INDEX(Assy.Model!$AN$9:$AN$150,MATCH('SN#.Run#'!$M67,Assy.Model!$M$9:$M$150,0)))</f>
        <v/>
      </c>
      <c r="BB67" s="525" t="str">
        <f>IF($M67="","",AO67-INDEX(Assy.Model!$AO$9:$AO$150,MATCH('SN#.Run#'!$M67,Assy.Model!$M$9:$M$150,0)))</f>
        <v/>
      </c>
      <c r="BC67" s="619" t="str">
        <f>IF($M67="","",AP67-INDEX(Assy.Model!$AP$9:$AP$150,MATCH('SN#.Run#'!$M67,Assy.Model!$M$9:$M$150,0)))</f>
        <v/>
      </c>
      <c r="BD67" s="419"/>
      <c r="BE67" s="699"/>
      <c r="BF67" s="417"/>
      <c r="BG67" s="417"/>
      <c r="BH67" s="417"/>
      <c r="IE67" s="790" t="str">
        <f>IFERROR(IF($IU67="","",IF($IU67&lt;(((Settings!$C$19/2)*-1)*$IE$8),"Taper","Nose")),"")</f>
        <v/>
      </c>
      <c r="IF67" s="482" t="str">
        <f>IFERROR(IF((((($IW67*COS(RADIANS(180-$IY67)))*COS(RADIANS($IY67)))-(($IX67*SIN(RADIANS(180-$IY67)))*SIN(RADIANS($IY67))))+$IU67)&lt;(((Settings!$C$19+$IF$8)/2)*-1),"Gage",""),"")</f>
        <v/>
      </c>
      <c r="IG67" s="788" t="str">
        <f t="shared" si="65"/>
        <v/>
      </c>
      <c r="IH67" s="674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677" t="str" cm="1">
        <f t="array" ref="II67">IFERROR(IF($IH67&lt;1,$IH67+LARGE((IF($M$9:$M$150="",0,$M$9:$M$150)-MOD(IF($M$9:$M$150="",0,$M$9:$M$150),1)),1),$IH67),"")</f>
        <v/>
      </c>
      <c r="IJ67" s="482" t="str">
        <f t="shared" si="62"/>
        <v/>
      </c>
      <c r="IK67" s="482" t="str">
        <f t="shared" si="117"/>
        <v/>
      </c>
      <c r="IL67" s="670" t="str">
        <f t="shared" si="68"/>
        <v/>
      </c>
      <c r="IM67" s="702"/>
      <c r="IN67" s="5" t="str">
        <f t="shared" si="69"/>
        <v/>
      </c>
      <c r="IO67" s="714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670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05" t="str">
        <f t="shared" si="77"/>
        <v/>
      </c>
    </row>
    <row r="68" spans="1:259" ht="15" customHeight="1" x14ac:dyDescent="0.25">
      <c r="A68" s="82"/>
      <c r="B68" s="578" t="str">
        <f t="shared" si="79"/>
        <v/>
      </c>
      <c r="C68" s="572" t="str">
        <f t="shared" si="80"/>
        <v/>
      </c>
      <c r="D68" s="576" t="str">
        <f t="shared" si="81"/>
        <v/>
      </c>
      <c r="E68" s="580" t="str">
        <f t="shared" si="82"/>
        <v/>
      </c>
      <c r="F68" s="572" t="str">
        <f t="shared" si="83"/>
        <v/>
      </c>
      <c r="G68" s="579" t="str">
        <f t="shared" si="84"/>
        <v/>
      </c>
      <c r="H68" s="580" t="str">
        <f t="shared" si="34"/>
        <v/>
      </c>
      <c r="I68" s="482"/>
      <c r="J68" s="483" t="str">
        <v/>
      </c>
      <c r="K68" s="806" t="str">
        <f t="shared" si="66"/>
        <v/>
      </c>
      <c r="M68" s="164" t="str">
        <f t="shared" si="88"/>
        <v/>
      </c>
      <c r="N68" s="575" t="str">
        <f t="shared" si="89"/>
        <v/>
      </c>
      <c r="O68" s="572" t="str">
        <f t="shared" si="90"/>
        <v/>
      </c>
      <c r="P68" s="576" t="str">
        <f t="shared" si="91"/>
        <v/>
      </c>
      <c r="Q68" s="528" t="str">
        <f t="shared" si="92"/>
        <v/>
      </c>
      <c r="R68" s="572" t="str">
        <f t="shared" si="93"/>
        <v/>
      </c>
      <c r="S68" s="577" t="str">
        <f t="shared" si="94"/>
        <v/>
      </c>
      <c r="T68" s="578" t="str">
        <f t="shared" si="95"/>
        <v/>
      </c>
      <c r="U68" s="572" t="str">
        <f t="shared" si="96"/>
        <v/>
      </c>
      <c r="V68" s="579" t="str">
        <f t="shared" si="97"/>
        <v/>
      </c>
      <c r="W68" s="528" t="str">
        <f t="shared" si="98"/>
        <v/>
      </c>
      <c r="X68" s="572" t="str">
        <f t="shared" si="99"/>
        <v/>
      </c>
      <c r="Y68" s="573" t="str">
        <f t="shared" si="85"/>
        <v/>
      </c>
      <c r="Z68" s="575" t="str">
        <f t="shared" si="100"/>
        <v/>
      </c>
      <c r="AA68" s="572" t="str">
        <f t="shared" si="101"/>
        <v/>
      </c>
      <c r="AB68" s="572" t="str">
        <f t="shared" si="102"/>
        <v/>
      </c>
      <c r="AC68" s="579" t="str">
        <f t="shared" si="103"/>
        <v/>
      </c>
      <c r="AD68" s="580" t="str">
        <f t="shared" si="104"/>
        <v/>
      </c>
      <c r="AE68" s="572" t="str">
        <f t="shared" si="105"/>
        <v/>
      </c>
      <c r="AF68" s="576" t="str">
        <f t="shared" si="106"/>
        <v/>
      </c>
      <c r="AG68" s="545" t="str">
        <f t="shared" si="107"/>
        <v/>
      </c>
      <c r="AH68" s="546" t="str">
        <f t="shared" si="108"/>
        <v/>
      </c>
      <c r="AI68" s="528" t="str">
        <f t="shared" si="109"/>
        <v/>
      </c>
      <c r="AJ68" s="529" t="str">
        <f t="shared" si="110"/>
        <v/>
      </c>
      <c r="AK68" s="578" t="str">
        <f t="shared" si="111"/>
        <v/>
      </c>
      <c r="AL68" s="572" t="str">
        <f t="shared" si="112"/>
        <v/>
      </c>
      <c r="AM68" s="577" t="str">
        <f t="shared" si="113"/>
        <v/>
      </c>
      <c r="AN68" s="524" t="str">
        <f t="shared" si="86"/>
        <v/>
      </c>
      <c r="AO68" s="525" t="str">
        <f t="shared" si="17"/>
        <v/>
      </c>
      <c r="AP68" s="528" t="str">
        <f t="shared" si="114"/>
        <v/>
      </c>
      <c r="AQ68" s="529" t="str">
        <f t="shared" si="60"/>
        <v/>
      </c>
      <c r="AS68" s="598" t="str">
        <f t="shared" si="115"/>
        <v/>
      </c>
      <c r="AT68" s="602" t="str">
        <f t="shared" si="61"/>
        <v/>
      </c>
      <c r="AU68" s="515" t="str">
        <f t="shared" si="87"/>
        <v/>
      </c>
      <c r="AV68" s="164" t="str">
        <f t="shared" si="116"/>
        <v/>
      </c>
      <c r="AW68" s="545" t="str">
        <f>IF($M68="","",W68-INDEX(Assy.Model!$W$9:$W$150,MATCH('SN#.Run#'!$M68,Assy.Model!$M$9:$M$150,0)))</f>
        <v/>
      </c>
      <c r="AX68" s="628" t="str">
        <f>IF($M68="","",X68-INDEX(Assy.Model!$X$9:$X$150,MATCH('SN#.Run#'!$M68,Assy.Model!$M$9:$M$150,0)))</f>
        <v/>
      </c>
      <c r="AY68" s="629" t="str">
        <f>IF($M68="","",Y68-INDEX(Assy.Model!$Y$9:$Y$150,MATCH('SN#.Run#'!$M68,Assy.Model!$M$9:$M$150,0)))</f>
        <v/>
      </c>
      <c r="AZ68" s="60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10" t="str">
        <f>IF($M68="","",AN68-INDEX(Assy.Model!$AN$9:$AN$150,MATCH('SN#.Run#'!$M68,Assy.Model!$M$9:$M$150,0)))</f>
        <v/>
      </c>
      <c r="BB68" s="525" t="str">
        <f>IF($M68="","",AO68-INDEX(Assy.Model!$AO$9:$AO$150,MATCH('SN#.Run#'!$M68,Assy.Model!$M$9:$M$150,0)))</f>
        <v/>
      </c>
      <c r="BC68" s="619" t="str">
        <f>IF($M68="","",AP68-INDEX(Assy.Model!$AP$9:$AP$150,MATCH('SN#.Run#'!$M68,Assy.Model!$M$9:$M$150,0)))</f>
        <v/>
      </c>
      <c r="BD68" s="419"/>
      <c r="BE68" s="699"/>
      <c r="BF68" s="417"/>
      <c r="BG68" s="417"/>
      <c r="BH68" s="417"/>
      <c r="BI68" s="1"/>
      <c r="IE68" s="790" t="str">
        <f>IFERROR(IF($IU68="","",IF($IU68&lt;(((Settings!$C$19/2)*-1)*$IE$8),"Taper","Nose")),"")</f>
        <v/>
      </c>
      <c r="IF68" s="482" t="str">
        <f>IFERROR(IF((((($IW68*COS(RADIANS(180-$IY68)))*COS(RADIANS($IY68)))-(($IX68*SIN(RADIANS(180-$IY68)))*SIN(RADIANS($IY68))))+$IU68)&lt;(((Settings!$C$19+$IF$8)/2)*-1),"Gage",""),"")</f>
        <v/>
      </c>
      <c r="IG68" s="788" t="str">
        <f t="shared" si="65"/>
        <v/>
      </c>
      <c r="IH68" s="674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677" t="str" cm="1">
        <f t="array" ref="II68">IFERROR(IF($IH68&lt;1,$IH68+LARGE((IF($M$9:$M$150="",0,$M$9:$M$150)-MOD(IF($M$9:$M$150="",0,$M$9:$M$150),1)),1),$IH68),"")</f>
        <v/>
      </c>
      <c r="IJ68" s="482" t="str">
        <f t="shared" si="62"/>
        <v/>
      </c>
      <c r="IK68" s="482" t="str">
        <f t="shared" si="117"/>
        <v/>
      </c>
      <c r="IL68" s="670" t="str">
        <f t="shared" si="68"/>
        <v/>
      </c>
      <c r="IM68" s="702"/>
      <c r="IN68" s="5" t="str">
        <f t="shared" si="69"/>
        <v/>
      </c>
      <c r="IO68" s="714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670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05" t="str">
        <f t="shared" si="77"/>
        <v/>
      </c>
    </row>
    <row r="69" spans="1:259" ht="15" customHeight="1" x14ac:dyDescent="0.25">
      <c r="A69" s="82"/>
      <c r="B69" s="578" t="str">
        <f t="shared" si="79"/>
        <v/>
      </c>
      <c r="C69" s="572" t="str">
        <f t="shared" si="80"/>
        <v/>
      </c>
      <c r="D69" s="576" t="str">
        <f t="shared" si="81"/>
        <v/>
      </c>
      <c r="E69" s="580" t="str">
        <f t="shared" si="82"/>
        <v/>
      </c>
      <c r="F69" s="572" t="str">
        <f t="shared" si="83"/>
        <v/>
      </c>
      <c r="G69" s="579" t="str">
        <f t="shared" si="84"/>
        <v/>
      </c>
      <c r="H69" s="580" t="str">
        <f t="shared" si="34"/>
        <v/>
      </c>
      <c r="I69" s="482"/>
      <c r="J69" s="483" t="str">
        <v/>
      </c>
      <c r="K69" s="806" t="str">
        <f t="shared" si="66"/>
        <v/>
      </c>
      <c r="M69" s="164" t="str">
        <f t="shared" si="88"/>
        <v/>
      </c>
      <c r="N69" s="575" t="str">
        <f t="shared" si="89"/>
        <v/>
      </c>
      <c r="O69" s="572" t="str">
        <f t="shared" si="90"/>
        <v/>
      </c>
      <c r="P69" s="576" t="str">
        <f t="shared" si="91"/>
        <v/>
      </c>
      <c r="Q69" s="528" t="str">
        <f t="shared" si="92"/>
        <v/>
      </c>
      <c r="R69" s="572" t="str">
        <f t="shared" si="93"/>
        <v/>
      </c>
      <c r="S69" s="577" t="str">
        <f t="shared" si="94"/>
        <v/>
      </c>
      <c r="T69" s="578" t="str">
        <f t="shared" si="95"/>
        <v/>
      </c>
      <c r="U69" s="572" t="str">
        <f t="shared" si="96"/>
        <v/>
      </c>
      <c r="V69" s="579" t="str">
        <f t="shared" si="97"/>
        <v/>
      </c>
      <c r="W69" s="528" t="str">
        <f t="shared" si="98"/>
        <v/>
      </c>
      <c r="X69" s="572" t="str">
        <f t="shared" si="99"/>
        <v/>
      </c>
      <c r="Y69" s="573" t="str">
        <f t="shared" si="85"/>
        <v/>
      </c>
      <c r="Z69" s="575" t="str">
        <f t="shared" si="100"/>
        <v/>
      </c>
      <c r="AA69" s="572" t="str">
        <f t="shared" si="101"/>
        <v/>
      </c>
      <c r="AB69" s="572" t="str">
        <f t="shared" si="102"/>
        <v/>
      </c>
      <c r="AC69" s="579" t="str">
        <f t="shared" si="103"/>
        <v/>
      </c>
      <c r="AD69" s="580" t="str">
        <f t="shared" si="104"/>
        <v/>
      </c>
      <c r="AE69" s="572" t="str">
        <f t="shared" si="105"/>
        <v/>
      </c>
      <c r="AF69" s="576" t="str">
        <f t="shared" si="106"/>
        <v/>
      </c>
      <c r="AG69" s="545" t="str">
        <f t="shared" si="107"/>
        <v/>
      </c>
      <c r="AH69" s="546" t="str">
        <f t="shared" si="108"/>
        <v/>
      </c>
      <c r="AI69" s="528" t="str">
        <f t="shared" si="109"/>
        <v/>
      </c>
      <c r="AJ69" s="529" t="str">
        <f t="shared" si="110"/>
        <v/>
      </c>
      <c r="AK69" s="578" t="str">
        <f t="shared" si="111"/>
        <v/>
      </c>
      <c r="AL69" s="572" t="str">
        <f t="shared" si="112"/>
        <v/>
      </c>
      <c r="AM69" s="577" t="str">
        <f t="shared" si="113"/>
        <v/>
      </c>
      <c r="AN69" s="524" t="str">
        <f t="shared" si="86"/>
        <v/>
      </c>
      <c r="AO69" s="525" t="str">
        <f t="shared" si="17"/>
        <v/>
      </c>
      <c r="AP69" s="528" t="str">
        <f t="shared" si="114"/>
        <v/>
      </c>
      <c r="AQ69" s="529" t="str">
        <f t="shared" si="60"/>
        <v/>
      </c>
      <c r="AS69" s="598" t="str">
        <f t="shared" si="115"/>
        <v/>
      </c>
      <c r="AT69" s="602" t="str">
        <f t="shared" si="61"/>
        <v/>
      </c>
      <c r="AU69" s="515" t="str">
        <f t="shared" si="87"/>
        <v/>
      </c>
      <c r="AV69" s="164" t="str">
        <f t="shared" si="116"/>
        <v/>
      </c>
      <c r="AW69" s="545" t="str">
        <f>IF($M69="","",W69-INDEX(Assy.Model!$W$9:$W$150,MATCH('SN#.Run#'!$M69,Assy.Model!$M$9:$M$150,0)))</f>
        <v/>
      </c>
      <c r="AX69" s="628" t="str">
        <f>IF($M69="","",X69-INDEX(Assy.Model!$X$9:$X$150,MATCH('SN#.Run#'!$M69,Assy.Model!$M$9:$M$150,0)))</f>
        <v/>
      </c>
      <c r="AY69" s="629" t="str">
        <f>IF($M69="","",Y69-INDEX(Assy.Model!$Y$9:$Y$150,MATCH('SN#.Run#'!$M69,Assy.Model!$M$9:$M$150,0)))</f>
        <v/>
      </c>
      <c r="AZ69" s="60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10" t="str">
        <f>IF($M69="","",AN69-INDEX(Assy.Model!$AN$9:$AN$150,MATCH('SN#.Run#'!$M69,Assy.Model!$M$9:$M$150,0)))</f>
        <v/>
      </c>
      <c r="BB69" s="525" t="str">
        <f>IF($M69="","",AO69-INDEX(Assy.Model!$AO$9:$AO$150,MATCH('SN#.Run#'!$M69,Assy.Model!$M$9:$M$150,0)))</f>
        <v/>
      </c>
      <c r="BC69" s="619" t="str">
        <f>IF($M69="","",AP69-INDEX(Assy.Model!$AP$9:$AP$150,MATCH('SN#.Run#'!$M69,Assy.Model!$M$9:$M$150,0)))</f>
        <v/>
      </c>
      <c r="BD69" s="419"/>
      <c r="BE69" s="699"/>
      <c r="BF69" s="417"/>
      <c r="BG69" s="417"/>
      <c r="BH69" s="417"/>
      <c r="IE69" s="790" t="str">
        <f>IFERROR(IF($IU69="","",IF($IU69&lt;(((Settings!$C$19/2)*-1)*$IE$8),"Taper","Nose")),"")</f>
        <v/>
      </c>
      <c r="IF69" s="482" t="str">
        <f>IFERROR(IF((((($IW69*COS(RADIANS(180-$IY69)))*COS(RADIANS($IY69)))-(($IX69*SIN(RADIANS(180-$IY69)))*SIN(RADIANS($IY69))))+$IU69)&lt;(((Settings!$C$19+$IF$8)/2)*-1),"Gage",""),"")</f>
        <v/>
      </c>
      <c r="IG69" s="788" t="str">
        <f t="shared" si="65"/>
        <v/>
      </c>
      <c r="IH69" s="674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677" t="str" cm="1">
        <f t="array" ref="II69">IFERROR(IF($IH69&lt;1,$IH69+LARGE((IF($M$9:$M$150="",0,$M$9:$M$150)-MOD(IF($M$9:$M$150="",0,$M$9:$M$150),1)),1),$IH69),"")</f>
        <v/>
      </c>
      <c r="IJ69" s="482" t="str">
        <f t="shared" si="62"/>
        <v/>
      </c>
      <c r="IK69" s="482" t="str">
        <f t="shared" si="117"/>
        <v/>
      </c>
      <c r="IL69" s="670" t="str">
        <f t="shared" si="68"/>
        <v/>
      </c>
      <c r="IM69" s="702"/>
      <c r="IN69" s="5" t="str">
        <f t="shared" si="69"/>
        <v/>
      </c>
      <c r="IO69" s="714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670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05" t="str">
        <f t="shared" si="77"/>
        <v/>
      </c>
    </row>
    <row r="70" spans="1:259" ht="15" customHeight="1" x14ac:dyDescent="0.25">
      <c r="A70" s="82"/>
      <c r="B70" s="578" t="str">
        <f t="shared" si="79"/>
        <v/>
      </c>
      <c r="C70" s="572" t="str">
        <f t="shared" si="80"/>
        <v/>
      </c>
      <c r="D70" s="576" t="str">
        <f t="shared" si="81"/>
        <v/>
      </c>
      <c r="E70" s="580" t="str">
        <f t="shared" si="82"/>
        <v/>
      </c>
      <c r="F70" s="572" t="str">
        <f t="shared" si="83"/>
        <v/>
      </c>
      <c r="G70" s="579" t="str">
        <f t="shared" si="84"/>
        <v/>
      </c>
      <c r="H70" s="580" t="str">
        <f t="shared" si="34"/>
        <v/>
      </c>
      <c r="I70" s="482"/>
      <c r="J70" s="483" t="str">
        <v/>
      </c>
      <c r="K70" s="806" t="str">
        <f t="shared" si="66"/>
        <v/>
      </c>
      <c r="M70" s="164" t="str">
        <f t="shared" si="88"/>
        <v/>
      </c>
      <c r="N70" s="575" t="str">
        <f t="shared" si="89"/>
        <v/>
      </c>
      <c r="O70" s="572" t="str">
        <f t="shared" si="90"/>
        <v/>
      </c>
      <c r="P70" s="576" t="str">
        <f t="shared" si="91"/>
        <v/>
      </c>
      <c r="Q70" s="528" t="str">
        <f t="shared" si="92"/>
        <v/>
      </c>
      <c r="R70" s="572" t="str">
        <f t="shared" si="93"/>
        <v/>
      </c>
      <c r="S70" s="577" t="str">
        <f t="shared" si="94"/>
        <v/>
      </c>
      <c r="T70" s="578" t="str">
        <f t="shared" si="95"/>
        <v/>
      </c>
      <c r="U70" s="572" t="str">
        <f t="shared" si="96"/>
        <v/>
      </c>
      <c r="V70" s="579" t="str">
        <f t="shared" si="97"/>
        <v/>
      </c>
      <c r="W70" s="528" t="str">
        <f t="shared" si="98"/>
        <v/>
      </c>
      <c r="X70" s="572" t="str">
        <f t="shared" si="99"/>
        <v/>
      </c>
      <c r="Y70" s="573" t="str">
        <f t="shared" si="85"/>
        <v/>
      </c>
      <c r="Z70" s="575" t="str">
        <f t="shared" si="100"/>
        <v/>
      </c>
      <c r="AA70" s="572" t="str">
        <f t="shared" si="101"/>
        <v/>
      </c>
      <c r="AB70" s="572" t="str">
        <f t="shared" si="102"/>
        <v/>
      </c>
      <c r="AC70" s="579" t="str">
        <f t="shared" si="103"/>
        <v/>
      </c>
      <c r="AD70" s="580" t="str">
        <f t="shared" si="104"/>
        <v/>
      </c>
      <c r="AE70" s="572" t="str">
        <f t="shared" si="105"/>
        <v/>
      </c>
      <c r="AF70" s="576" t="str">
        <f t="shared" si="106"/>
        <v/>
      </c>
      <c r="AG70" s="545" t="str">
        <f t="shared" si="107"/>
        <v/>
      </c>
      <c r="AH70" s="546" t="str">
        <f t="shared" si="108"/>
        <v/>
      </c>
      <c r="AI70" s="528" t="str">
        <f t="shared" si="109"/>
        <v/>
      </c>
      <c r="AJ70" s="529" t="str">
        <f t="shared" si="110"/>
        <v/>
      </c>
      <c r="AK70" s="578" t="str">
        <f t="shared" si="111"/>
        <v/>
      </c>
      <c r="AL70" s="572" t="str">
        <f t="shared" si="112"/>
        <v/>
      </c>
      <c r="AM70" s="577" t="str">
        <f t="shared" si="113"/>
        <v/>
      </c>
      <c r="AN70" s="524" t="str">
        <f t="shared" si="86"/>
        <v/>
      </c>
      <c r="AO70" s="525" t="str">
        <f t="shared" si="17"/>
        <v/>
      </c>
      <c r="AP70" s="528" t="str">
        <f t="shared" si="114"/>
        <v/>
      </c>
      <c r="AQ70" s="529" t="str">
        <f t="shared" si="60"/>
        <v/>
      </c>
      <c r="AS70" s="598" t="str">
        <f t="shared" si="115"/>
        <v/>
      </c>
      <c r="AT70" s="602" t="str">
        <f t="shared" si="61"/>
        <v/>
      </c>
      <c r="AU70" s="515" t="str">
        <f t="shared" si="87"/>
        <v/>
      </c>
      <c r="AV70" s="164" t="str">
        <f t="shared" si="116"/>
        <v/>
      </c>
      <c r="AW70" s="545" t="str">
        <f>IF($M70="","",W70-INDEX(Assy.Model!$W$9:$W$150,MATCH('SN#.Run#'!$M70,Assy.Model!$M$9:$M$150,0)))</f>
        <v/>
      </c>
      <c r="AX70" s="628" t="str">
        <f>IF($M70="","",X70-INDEX(Assy.Model!$X$9:$X$150,MATCH('SN#.Run#'!$M70,Assy.Model!$M$9:$M$150,0)))</f>
        <v/>
      </c>
      <c r="AY70" s="629" t="str">
        <f>IF($M70="","",Y70-INDEX(Assy.Model!$Y$9:$Y$150,MATCH('SN#.Run#'!$M70,Assy.Model!$M$9:$M$150,0)))</f>
        <v/>
      </c>
      <c r="AZ70" s="60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10" t="str">
        <f>IF($M70="","",AN70-INDEX(Assy.Model!$AN$9:$AN$150,MATCH('SN#.Run#'!$M70,Assy.Model!$M$9:$M$150,0)))</f>
        <v/>
      </c>
      <c r="BB70" s="525" t="str">
        <f>IF($M70="","",AO70-INDEX(Assy.Model!$AO$9:$AO$150,MATCH('SN#.Run#'!$M70,Assy.Model!$M$9:$M$150,0)))</f>
        <v/>
      </c>
      <c r="BC70" s="619" t="str">
        <f>IF($M70="","",AP70-INDEX(Assy.Model!$AP$9:$AP$150,MATCH('SN#.Run#'!$M70,Assy.Model!$M$9:$M$150,0)))</f>
        <v/>
      </c>
      <c r="BD70" s="419"/>
      <c r="BE70" s="699"/>
      <c r="BF70" s="417"/>
      <c r="BG70" s="417"/>
      <c r="BH70" s="417"/>
      <c r="IE70" s="790" t="str">
        <f>IFERROR(IF($IU70="","",IF($IU70&lt;(((Settings!$C$19/2)*-1)*$IE$8),"Taper","Nose")),"")</f>
        <v/>
      </c>
      <c r="IF70" s="482" t="str">
        <f>IFERROR(IF((((($IW70*COS(RADIANS(180-$IY70)))*COS(RADIANS($IY70)))-(($IX70*SIN(RADIANS(180-$IY70)))*SIN(RADIANS($IY70))))+$IU70)&lt;(((Settings!$C$19+$IF$8)/2)*-1),"Gage",""),"")</f>
        <v/>
      </c>
      <c r="IG70" s="788" t="str">
        <f t="shared" si="65"/>
        <v/>
      </c>
      <c r="IH70" s="674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677" t="str" cm="1">
        <f t="array" ref="II70">IFERROR(IF($IH70&lt;1,$IH70+LARGE((IF($M$9:$M$150="",0,$M$9:$M$150)-MOD(IF($M$9:$M$150="",0,$M$9:$M$150),1)),1),$IH70),"")</f>
        <v/>
      </c>
      <c r="IJ70" s="482" t="str">
        <f t="shared" si="62"/>
        <v/>
      </c>
      <c r="IK70" s="482" t="str">
        <f t="shared" si="117"/>
        <v/>
      </c>
      <c r="IL70" s="670" t="str">
        <f t="shared" si="68"/>
        <v/>
      </c>
      <c r="IM70" s="702"/>
      <c r="IN70" s="5" t="str">
        <f t="shared" si="69"/>
        <v/>
      </c>
      <c r="IO70" s="714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670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05" t="str">
        <f t="shared" si="77"/>
        <v/>
      </c>
    </row>
    <row r="71" spans="1:259" ht="15" customHeight="1" x14ac:dyDescent="0.25">
      <c r="A71" s="82"/>
      <c r="B71" s="578" t="str">
        <f t="shared" si="79"/>
        <v/>
      </c>
      <c r="C71" s="572" t="str">
        <f t="shared" si="80"/>
        <v/>
      </c>
      <c r="D71" s="576" t="str">
        <f t="shared" si="81"/>
        <v/>
      </c>
      <c r="E71" s="580" t="str">
        <f t="shared" si="82"/>
        <v/>
      </c>
      <c r="F71" s="572" t="str">
        <f t="shared" si="83"/>
        <v/>
      </c>
      <c r="G71" s="579" t="str">
        <f t="shared" si="84"/>
        <v/>
      </c>
      <c r="H71" s="580" t="str">
        <f t="shared" si="34"/>
        <v/>
      </c>
      <c r="I71" s="482"/>
      <c r="J71" s="483" t="str">
        <v/>
      </c>
      <c r="K71" s="806" t="str">
        <f t="shared" si="66"/>
        <v/>
      </c>
      <c r="M71" s="164" t="str">
        <f t="shared" si="88"/>
        <v/>
      </c>
      <c r="N71" s="575" t="str">
        <f t="shared" si="89"/>
        <v/>
      </c>
      <c r="O71" s="572" t="str">
        <f t="shared" si="90"/>
        <v/>
      </c>
      <c r="P71" s="576" t="str">
        <f t="shared" si="91"/>
        <v/>
      </c>
      <c r="Q71" s="528" t="str">
        <f t="shared" si="92"/>
        <v/>
      </c>
      <c r="R71" s="572" t="str">
        <f t="shared" si="93"/>
        <v/>
      </c>
      <c r="S71" s="577" t="str">
        <f t="shared" si="94"/>
        <v/>
      </c>
      <c r="T71" s="578" t="str">
        <f t="shared" si="95"/>
        <v/>
      </c>
      <c r="U71" s="572" t="str">
        <f t="shared" si="96"/>
        <v/>
      </c>
      <c r="V71" s="579" t="str">
        <f t="shared" si="97"/>
        <v/>
      </c>
      <c r="W71" s="528" t="str">
        <f t="shared" si="98"/>
        <v/>
      </c>
      <c r="X71" s="572" t="str">
        <f t="shared" si="99"/>
        <v/>
      </c>
      <c r="Y71" s="573" t="str">
        <f t="shared" si="85"/>
        <v/>
      </c>
      <c r="Z71" s="575" t="str">
        <f t="shared" si="100"/>
        <v/>
      </c>
      <c r="AA71" s="572" t="str">
        <f t="shared" si="101"/>
        <v/>
      </c>
      <c r="AB71" s="572" t="str">
        <f t="shared" si="102"/>
        <v/>
      </c>
      <c r="AC71" s="579" t="str">
        <f t="shared" si="103"/>
        <v/>
      </c>
      <c r="AD71" s="580" t="str">
        <f t="shared" si="104"/>
        <v/>
      </c>
      <c r="AE71" s="572" t="str">
        <f t="shared" si="105"/>
        <v/>
      </c>
      <c r="AF71" s="576" t="str">
        <f t="shared" si="106"/>
        <v/>
      </c>
      <c r="AG71" s="545" t="str">
        <f t="shared" si="107"/>
        <v/>
      </c>
      <c r="AH71" s="546" t="str">
        <f t="shared" si="108"/>
        <v/>
      </c>
      <c r="AI71" s="528" t="str">
        <f t="shared" si="109"/>
        <v/>
      </c>
      <c r="AJ71" s="529" t="str">
        <f t="shared" si="110"/>
        <v/>
      </c>
      <c r="AK71" s="578" t="str">
        <f t="shared" si="111"/>
        <v/>
      </c>
      <c r="AL71" s="572" t="str">
        <f t="shared" si="112"/>
        <v/>
      </c>
      <c r="AM71" s="577" t="str">
        <f t="shared" si="113"/>
        <v/>
      </c>
      <c r="AN71" s="524" t="str">
        <f t="shared" si="86"/>
        <v/>
      </c>
      <c r="AO71" s="525" t="str">
        <f t="shared" si="17"/>
        <v/>
      </c>
      <c r="AP71" s="528" t="str">
        <f t="shared" si="114"/>
        <v/>
      </c>
      <c r="AQ71" s="529" t="str">
        <f t="shared" si="60"/>
        <v/>
      </c>
      <c r="AS71" s="598" t="str">
        <f t="shared" si="115"/>
        <v/>
      </c>
      <c r="AT71" s="602" t="str">
        <f t="shared" si="61"/>
        <v/>
      </c>
      <c r="AU71" s="515" t="str">
        <f t="shared" si="87"/>
        <v/>
      </c>
      <c r="AV71" s="164" t="str">
        <f t="shared" si="116"/>
        <v/>
      </c>
      <c r="AW71" s="545" t="str">
        <f>IF($M71="","",W71-INDEX(Assy.Model!$W$9:$W$150,MATCH('SN#.Run#'!$M71,Assy.Model!$M$9:$M$150,0)))</f>
        <v/>
      </c>
      <c r="AX71" s="628" t="str">
        <f>IF($M71="","",X71-INDEX(Assy.Model!$X$9:$X$150,MATCH('SN#.Run#'!$M71,Assy.Model!$M$9:$M$150,0)))</f>
        <v/>
      </c>
      <c r="AY71" s="629" t="str">
        <f>IF($M71="","",Y71-INDEX(Assy.Model!$Y$9:$Y$150,MATCH('SN#.Run#'!$M71,Assy.Model!$M$9:$M$150,0)))</f>
        <v/>
      </c>
      <c r="AZ71" s="60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10" t="str">
        <f>IF($M71="","",AN71-INDEX(Assy.Model!$AN$9:$AN$150,MATCH('SN#.Run#'!$M71,Assy.Model!$M$9:$M$150,0)))</f>
        <v/>
      </c>
      <c r="BB71" s="525" t="str">
        <f>IF($M71="","",AO71-INDEX(Assy.Model!$AO$9:$AO$150,MATCH('SN#.Run#'!$M71,Assy.Model!$M$9:$M$150,0)))</f>
        <v/>
      </c>
      <c r="BC71" s="619" t="str">
        <f>IF($M71="","",AP71-INDEX(Assy.Model!$AP$9:$AP$150,MATCH('SN#.Run#'!$M71,Assy.Model!$M$9:$M$150,0)))</f>
        <v/>
      </c>
      <c r="BD71" s="419"/>
      <c r="BE71" s="699"/>
      <c r="BF71" s="417"/>
      <c r="BG71" s="417"/>
      <c r="BH71" s="417"/>
      <c r="IE71" s="790" t="str">
        <f>IFERROR(IF($IU71="","",IF($IU71&lt;(((Settings!$C$19/2)*-1)*$IE$8),"Taper","Nose")),"")</f>
        <v/>
      </c>
      <c r="IF71" s="482" t="str">
        <f>IFERROR(IF((((($IW71*COS(RADIANS(180-$IY71)))*COS(RADIANS($IY71)))-(($IX71*SIN(RADIANS(180-$IY71)))*SIN(RADIANS($IY71))))+$IU71)&lt;(((Settings!$C$19+$IF$8)/2)*-1),"Gage",""),"")</f>
        <v/>
      </c>
      <c r="IG71" s="788" t="str">
        <f t="shared" si="65"/>
        <v/>
      </c>
      <c r="IH71" s="674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677" t="str" cm="1">
        <f t="array" ref="II71">IFERROR(IF($IH71&lt;1,$IH71+LARGE((IF($M$9:$M$150="",0,$M$9:$M$150)-MOD(IF($M$9:$M$150="",0,$M$9:$M$150),1)),1),$IH71),"")</f>
        <v/>
      </c>
      <c r="IJ71" s="482" t="str">
        <f t="shared" si="62"/>
        <v/>
      </c>
      <c r="IK71" s="482" t="str">
        <f t="shared" si="117"/>
        <v/>
      </c>
      <c r="IL71" s="670" t="str">
        <f t="shared" si="68"/>
        <v/>
      </c>
      <c r="IM71" s="702"/>
      <c r="IN71" s="5" t="str">
        <f t="shared" si="69"/>
        <v/>
      </c>
      <c r="IO71" s="714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670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05" t="str">
        <f t="shared" si="77"/>
        <v/>
      </c>
    </row>
    <row r="72" spans="1:259" ht="15" customHeight="1" x14ac:dyDescent="0.25">
      <c r="A72" s="82"/>
      <c r="B72" s="578" t="str">
        <f t="shared" si="79"/>
        <v/>
      </c>
      <c r="C72" s="572" t="str">
        <f t="shared" si="80"/>
        <v/>
      </c>
      <c r="D72" s="576" t="str">
        <f t="shared" si="81"/>
        <v/>
      </c>
      <c r="E72" s="580" t="str">
        <f t="shared" si="82"/>
        <v/>
      </c>
      <c r="F72" s="572" t="str">
        <f t="shared" si="83"/>
        <v/>
      </c>
      <c r="G72" s="579" t="str">
        <f t="shared" si="84"/>
        <v/>
      </c>
      <c r="H72" s="580" t="str">
        <f t="shared" si="34"/>
        <v/>
      </c>
      <c r="I72" s="482"/>
      <c r="J72" s="483" t="str">
        <v/>
      </c>
      <c r="K72" s="806" t="str">
        <f t="shared" si="66"/>
        <v/>
      </c>
      <c r="M72" s="164" t="str">
        <f t="shared" si="88"/>
        <v/>
      </c>
      <c r="N72" s="575" t="str">
        <f t="shared" si="89"/>
        <v/>
      </c>
      <c r="O72" s="572" t="str">
        <f t="shared" si="90"/>
        <v/>
      </c>
      <c r="P72" s="576" t="str">
        <f t="shared" si="91"/>
        <v/>
      </c>
      <c r="Q72" s="528" t="str">
        <f t="shared" si="92"/>
        <v/>
      </c>
      <c r="R72" s="572" t="str">
        <f t="shared" si="93"/>
        <v/>
      </c>
      <c r="S72" s="577" t="str">
        <f t="shared" si="94"/>
        <v/>
      </c>
      <c r="T72" s="578" t="str">
        <f t="shared" si="95"/>
        <v/>
      </c>
      <c r="U72" s="572" t="str">
        <f t="shared" si="96"/>
        <v/>
      </c>
      <c r="V72" s="579" t="str">
        <f t="shared" si="97"/>
        <v/>
      </c>
      <c r="W72" s="528" t="str">
        <f t="shared" si="98"/>
        <v/>
      </c>
      <c r="X72" s="572" t="str">
        <f t="shared" si="99"/>
        <v/>
      </c>
      <c r="Y72" s="573" t="str">
        <f t="shared" si="85"/>
        <v/>
      </c>
      <c r="Z72" s="575" t="str">
        <f t="shared" si="100"/>
        <v/>
      </c>
      <c r="AA72" s="572" t="str">
        <f t="shared" si="101"/>
        <v/>
      </c>
      <c r="AB72" s="572" t="str">
        <f t="shared" si="102"/>
        <v/>
      </c>
      <c r="AC72" s="579" t="str">
        <f t="shared" si="103"/>
        <v/>
      </c>
      <c r="AD72" s="580" t="str">
        <f t="shared" si="104"/>
        <v/>
      </c>
      <c r="AE72" s="572" t="str">
        <f t="shared" si="105"/>
        <v/>
      </c>
      <c r="AF72" s="576" t="str">
        <f t="shared" si="106"/>
        <v/>
      </c>
      <c r="AG72" s="545" t="str">
        <f t="shared" si="107"/>
        <v/>
      </c>
      <c r="AH72" s="546" t="str">
        <f t="shared" si="108"/>
        <v/>
      </c>
      <c r="AI72" s="528" t="str">
        <f t="shared" si="109"/>
        <v/>
      </c>
      <c r="AJ72" s="529" t="str">
        <f t="shared" si="110"/>
        <v/>
      </c>
      <c r="AK72" s="578" t="str">
        <f t="shared" si="111"/>
        <v/>
      </c>
      <c r="AL72" s="572" t="str">
        <f t="shared" si="112"/>
        <v/>
      </c>
      <c r="AM72" s="577" t="str">
        <f t="shared" si="113"/>
        <v/>
      </c>
      <c r="AN72" s="524" t="str">
        <f t="shared" si="86"/>
        <v/>
      </c>
      <c r="AO72" s="525" t="str">
        <f t="shared" si="17"/>
        <v/>
      </c>
      <c r="AP72" s="528" t="str">
        <f t="shared" si="114"/>
        <v/>
      </c>
      <c r="AQ72" s="529" t="str">
        <f t="shared" si="60"/>
        <v/>
      </c>
      <c r="AS72" s="598" t="str">
        <f t="shared" si="115"/>
        <v/>
      </c>
      <c r="AT72" s="602" t="str">
        <f t="shared" si="61"/>
        <v/>
      </c>
      <c r="AU72" s="515" t="str">
        <f t="shared" si="87"/>
        <v/>
      </c>
      <c r="AV72" s="164" t="str">
        <f t="shared" si="116"/>
        <v/>
      </c>
      <c r="AW72" s="545" t="str">
        <f>IF($M72="","",W72-INDEX(Assy.Model!$W$9:$W$150,MATCH('SN#.Run#'!$M72,Assy.Model!$M$9:$M$150,0)))</f>
        <v/>
      </c>
      <c r="AX72" s="628" t="str">
        <f>IF($M72="","",X72-INDEX(Assy.Model!$X$9:$X$150,MATCH('SN#.Run#'!$M72,Assy.Model!$M$9:$M$150,0)))</f>
        <v/>
      </c>
      <c r="AY72" s="629" t="str">
        <f>IF($M72="","",Y72-INDEX(Assy.Model!$Y$9:$Y$150,MATCH('SN#.Run#'!$M72,Assy.Model!$M$9:$M$150,0)))</f>
        <v/>
      </c>
      <c r="AZ72" s="60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10" t="str">
        <f>IF($M72="","",AN72-INDEX(Assy.Model!$AN$9:$AN$150,MATCH('SN#.Run#'!$M72,Assy.Model!$M$9:$M$150,0)))</f>
        <v/>
      </c>
      <c r="BB72" s="525" t="str">
        <f>IF($M72="","",AO72-INDEX(Assy.Model!$AO$9:$AO$150,MATCH('SN#.Run#'!$M72,Assy.Model!$M$9:$M$150,0)))</f>
        <v/>
      </c>
      <c r="BC72" s="619" t="str">
        <f>IF($M72="","",AP72-INDEX(Assy.Model!$AP$9:$AP$150,MATCH('SN#.Run#'!$M72,Assy.Model!$M$9:$M$150,0)))</f>
        <v/>
      </c>
      <c r="BD72" s="419"/>
      <c r="BE72" s="699"/>
      <c r="BF72" s="417"/>
      <c r="BG72" s="417"/>
      <c r="BH72" s="417"/>
      <c r="IE72" s="790" t="str">
        <f>IFERROR(IF($IU72="","",IF($IU72&lt;(((Settings!$C$19/2)*-1)*$IE$8),"Taper","Nose")),"")</f>
        <v/>
      </c>
      <c r="IF72" s="482" t="str">
        <f>IFERROR(IF((((($IW72*COS(RADIANS(180-$IY72)))*COS(RADIANS($IY72)))-(($IX72*SIN(RADIANS(180-$IY72)))*SIN(RADIANS($IY72))))+$IU72)&lt;(((Settings!$C$19+$IF$8)/2)*-1),"Gage",""),"")</f>
        <v/>
      </c>
      <c r="IG72" s="788" t="str">
        <f t="shared" si="65"/>
        <v/>
      </c>
      <c r="IH72" s="674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677" t="str" cm="1">
        <f t="array" ref="II72">IFERROR(IF($IH72&lt;1,$IH72+LARGE((IF($M$9:$M$150="",0,$M$9:$M$150)-MOD(IF($M$9:$M$150="",0,$M$9:$M$150),1)),1),$IH72),"")</f>
        <v/>
      </c>
      <c r="IJ72" s="482" t="str">
        <f t="shared" si="62"/>
        <v/>
      </c>
      <c r="IK72" s="482" t="str">
        <f t="shared" si="117"/>
        <v/>
      </c>
      <c r="IL72" s="670" t="str">
        <f t="shared" si="68"/>
        <v/>
      </c>
      <c r="IM72" s="702"/>
      <c r="IN72" s="5" t="str">
        <f t="shared" si="69"/>
        <v/>
      </c>
      <c r="IO72" s="714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670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05" t="str">
        <f t="shared" si="77"/>
        <v/>
      </c>
    </row>
    <row r="73" spans="1:259" ht="15" customHeight="1" x14ac:dyDescent="0.25">
      <c r="A73" s="82"/>
      <c r="B73" s="578" t="str">
        <f t="shared" ref="B73:B104" si="118">INDEX(O$164:O$305,MATCH($M73,$M$164:$M$305,0))</f>
        <v/>
      </c>
      <c r="C73" s="572" t="str">
        <f t="shared" ref="C73:C104" si="119">INDEX(P$164:P$305,MATCH($M73,$M$164:$M$305,0))</f>
        <v/>
      </c>
      <c r="D73" s="576" t="str">
        <f t="shared" ref="D73:D104" si="120">INDEX(Q$164:Q$305,MATCH($M73,$M$164:$M$305,0))</f>
        <v/>
      </c>
      <c r="E73" s="580" t="str">
        <f t="shared" ref="E73:E104" si="121">INDEX(R$164:R$305,MATCH($M73,$M$164:$M$305,0))</f>
        <v/>
      </c>
      <c r="F73" s="572" t="str">
        <f t="shared" ref="F73:F104" si="122">INDEX(S$164:S$305,MATCH($M73,$M$164:$M$305,0))</f>
        <v/>
      </c>
      <c r="G73" s="579" t="str">
        <f t="shared" ref="G73:G104" si="123">INDEX(T$164:T$305,MATCH($M73,$M$164:$M$305,0))</f>
        <v/>
      </c>
      <c r="H73" s="580" t="str">
        <f t="shared" si="34"/>
        <v/>
      </c>
      <c r="I73" s="482"/>
      <c r="J73" s="483" t="str">
        <v/>
      </c>
      <c r="K73" s="806" t="str">
        <f t="shared" si="66"/>
        <v/>
      </c>
      <c r="M73" s="164" t="str">
        <f t="shared" si="88"/>
        <v/>
      </c>
      <c r="N73" s="575" t="str">
        <f t="shared" si="89"/>
        <v/>
      </c>
      <c r="O73" s="572" t="str">
        <f t="shared" si="90"/>
        <v/>
      </c>
      <c r="P73" s="576" t="str">
        <f t="shared" si="91"/>
        <v/>
      </c>
      <c r="Q73" s="528" t="str">
        <f t="shared" si="92"/>
        <v/>
      </c>
      <c r="R73" s="572" t="str">
        <f t="shared" si="93"/>
        <v/>
      </c>
      <c r="S73" s="577" t="str">
        <f t="shared" si="94"/>
        <v/>
      </c>
      <c r="T73" s="578" t="str">
        <f t="shared" si="95"/>
        <v/>
      </c>
      <c r="U73" s="572" t="str">
        <f t="shared" si="96"/>
        <v/>
      </c>
      <c r="V73" s="579" t="str">
        <f t="shared" si="97"/>
        <v/>
      </c>
      <c r="W73" s="528" t="str">
        <f t="shared" si="98"/>
        <v/>
      </c>
      <c r="X73" s="572" t="str">
        <f t="shared" si="99"/>
        <v/>
      </c>
      <c r="Y73" s="573" t="str">
        <f t="shared" ref="Y73:Y104" si="124">IF(M73="","",(S73-$S$8)+$X$1)</f>
        <v/>
      </c>
      <c r="Z73" s="575" t="str">
        <f t="shared" si="100"/>
        <v/>
      </c>
      <c r="AA73" s="572" t="str">
        <f t="shared" si="101"/>
        <v/>
      </c>
      <c r="AB73" s="572" t="str">
        <f t="shared" si="102"/>
        <v/>
      </c>
      <c r="AC73" s="579" t="str">
        <f t="shared" si="103"/>
        <v/>
      </c>
      <c r="AD73" s="580" t="str">
        <f t="shared" si="104"/>
        <v/>
      </c>
      <c r="AE73" s="572" t="str">
        <f t="shared" si="105"/>
        <v/>
      </c>
      <c r="AF73" s="576" t="str">
        <f t="shared" si="106"/>
        <v/>
      </c>
      <c r="AG73" s="545" t="str">
        <f t="shared" si="107"/>
        <v/>
      </c>
      <c r="AH73" s="546" t="str">
        <f t="shared" si="108"/>
        <v/>
      </c>
      <c r="AI73" s="528" t="str">
        <f t="shared" si="109"/>
        <v/>
      </c>
      <c r="AJ73" s="529" t="str">
        <f t="shared" si="110"/>
        <v/>
      </c>
      <c r="AK73" s="578" t="str">
        <f t="shared" si="111"/>
        <v/>
      </c>
      <c r="AL73" s="572" t="str">
        <f t="shared" si="112"/>
        <v/>
      </c>
      <c r="AM73" s="577" t="str">
        <f t="shared" si="113"/>
        <v/>
      </c>
      <c r="AN73" s="524" t="str">
        <f t="shared" si="86"/>
        <v/>
      </c>
      <c r="AO73" s="525" t="str">
        <f t="shared" ref="AO73:AO113" si="125">IF(M73="","",IF(K73="Knuckle",0,DEGREES(ACOS(AK73))))</f>
        <v/>
      </c>
      <c r="AP73" s="528" t="str">
        <f t="shared" si="114"/>
        <v/>
      </c>
      <c r="AQ73" s="529" t="str">
        <f t="shared" si="60"/>
        <v/>
      </c>
      <c r="AS73" s="598" t="str">
        <f t="shared" si="115"/>
        <v/>
      </c>
      <c r="AT73" s="602" t="str">
        <f t="shared" si="61"/>
        <v/>
      </c>
      <c r="AU73" s="515" t="str">
        <f t="shared" si="87"/>
        <v/>
      </c>
      <c r="AV73" s="164" t="str">
        <f t="shared" si="116"/>
        <v/>
      </c>
      <c r="AW73" s="545" t="str">
        <f>IF($M73="","",W73-INDEX(Assy.Model!$W$9:$W$150,MATCH('SN#.Run#'!$M73,Assy.Model!$M$9:$M$150,0)))</f>
        <v/>
      </c>
      <c r="AX73" s="628" t="str">
        <f>IF($M73="","",X73-INDEX(Assy.Model!$X$9:$X$150,MATCH('SN#.Run#'!$M73,Assy.Model!$M$9:$M$150,0)))</f>
        <v/>
      </c>
      <c r="AY73" s="629" t="str">
        <f>IF($M73="","",Y73-INDEX(Assy.Model!$Y$9:$Y$150,MATCH('SN#.Run#'!$M73,Assy.Model!$M$9:$M$150,0)))</f>
        <v/>
      </c>
      <c r="AZ73" s="60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10" t="str">
        <f>IF($M73="","",AN73-INDEX(Assy.Model!$AN$9:$AN$150,MATCH('SN#.Run#'!$M73,Assy.Model!$M$9:$M$150,0)))</f>
        <v/>
      </c>
      <c r="BB73" s="525" t="str">
        <f>IF($M73="","",AO73-INDEX(Assy.Model!$AO$9:$AO$150,MATCH('SN#.Run#'!$M73,Assy.Model!$M$9:$M$150,0)))</f>
        <v/>
      </c>
      <c r="BC73" s="619" t="str">
        <f>IF($M73="","",AP73-INDEX(Assy.Model!$AP$9:$AP$150,MATCH('SN#.Run#'!$M73,Assy.Model!$M$9:$M$150,0)))</f>
        <v/>
      </c>
      <c r="BD73" s="419"/>
      <c r="BE73" s="699"/>
      <c r="BF73" s="417"/>
      <c r="BG73" s="417"/>
      <c r="BH73" s="417"/>
      <c r="IE73" s="790" t="str">
        <f>IFERROR(IF($IU73="","",IF($IU73&lt;(((Settings!$C$19/2)*-1)*$IE$8),"Taper","Nose")),"")</f>
        <v/>
      </c>
      <c r="IF73" s="482" t="str">
        <f>IFERROR(IF((((($IW73*COS(RADIANS(180-$IY73)))*COS(RADIANS($IY73)))-(($IX73*SIN(RADIANS(180-$IY73)))*SIN(RADIANS($IY73))))+$IU73)&lt;(((Settings!$C$19+$IF$8)/2)*-1),"Gage",""),"")</f>
        <v/>
      </c>
      <c r="IG73" s="788" t="str">
        <f t="shared" si="65"/>
        <v/>
      </c>
      <c r="IH73" s="674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677" t="str" cm="1">
        <f t="array" ref="II73">IFERROR(IF($IH73&lt;1,$IH73+LARGE((IF($M$9:$M$150="",0,$M$9:$M$150)-MOD(IF($M$9:$M$150="",0,$M$9:$M$150),1)),1),$IH73),"")</f>
        <v/>
      </c>
      <c r="IJ73" s="482" t="str">
        <f t="shared" si="62"/>
        <v/>
      </c>
      <c r="IK73" s="482" t="str">
        <f t="shared" si="117"/>
        <v/>
      </c>
      <c r="IL73" s="670" t="str">
        <f t="shared" si="68"/>
        <v/>
      </c>
      <c r="IM73" s="702"/>
      <c r="IN73" s="5" t="str">
        <f t="shared" si="69"/>
        <v/>
      </c>
      <c r="IO73" s="714"/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670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05" t="str">
        <f t="shared" si="77"/>
        <v/>
      </c>
    </row>
    <row r="74" spans="1:259" ht="15" customHeight="1" x14ac:dyDescent="0.25">
      <c r="A74" s="82"/>
      <c r="B74" s="578" t="str">
        <f t="shared" si="118"/>
        <v/>
      </c>
      <c r="C74" s="572" t="str">
        <f t="shared" si="119"/>
        <v/>
      </c>
      <c r="D74" s="576" t="str">
        <f t="shared" si="120"/>
        <v/>
      </c>
      <c r="E74" s="580" t="str">
        <f t="shared" si="121"/>
        <v/>
      </c>
      <c r="F74" s="572" t="str">
        <f t="shared" si="122"/>
        <v/>
      </c>
      <c r="G74" s="579" t="str">
        <f t="shared" si="123"/>
        <v/>
      </c>
      <c r="H74" s="580" t="str">
        <f t="shared" ref="H74:H137" si="128">IF(INDEX(H$164:H$305,MATCH($M74,$M$164:$M$305,0))=0,"",INDEX(H$164:H$305,MATCH($M74,$M$164:$M$305,0)))</f>
        <v/>
      </c>
      <c r="I74" s="482"/>
      <c r="J74" s="483" t="str">
        <v/>
      </c>
      <c r="K74" s="806" t="str">
        <f t="shared" si="66"/>
        <v/>
      </c>
      <c r="M74" s="164" t="str">
        <f t="shared" si="88"/>
        <v/>
      </c>
      <c r="N74" s="575" t="str">
        <f t="shared" si="89"/>
        <v/>
      </c>
      <c r="O74" s="572" t="str">
        <f t="shared" si="90"/>
        <v/>
      </c>
      <c r="P74" s="576" t="str">
        <f t="shared" si="91"/>
        <v/>
      </c>
      <c r="Q74" s="528" t="str">
        <f t="shared" si="92"/>
        <v/>
      </c>
      <c r="R74" s="572" t="str">
        <f t="shared" si="93"/>
        <v/>
      </c>
      <c r="S74" s="577" t="str">
        <f t="shared" si="94"/>
        <v/>
      </c>
      <c r="T74" s="578" t="str">
        <f t="shared" si="95"/>
        <v/>
      </c>
      <c r="U74" s="572" t="str">
        <f t="shared" si="96"/>
        <v/>
      </c>
      <c r="V74" s="579" t="str">
        <f t="shared" si="97"/>
        <v/>
      </c>
      <c r="W74" s="528" t="str">
        <f t="shared" si="98"/>
        <v/>
      </c>
      <c r="X74" s="572" t="str">
        <f t="shared" si="99"/>
        <v/>
      </c>
      <c r="Y74" s="573" t="str">
        <f t="shared" si="124"/>
        <v/>
      </c>
      <c r="Z74" s="575" t="str">
        <f t="shared" si="100"/>
        <v/>
      </c>
      <c r="AA74" s="572" t="str">
        <f t="shared" si="101"/>
        <v/>
      </c>
      <c r="AB74" s="572" t="str">
        <f t="shared" si="102"/>
        <v/>
      </c>
      <c r="AC74" s="579" t="str">
        <f t="shared" si="103"/>
        <v/>
      </c>
      <c r="AD74" s="580" t="str">
        <f t="shared" si="104"/>
        <v/>
      </c>
      <c r="AE74" s="572" t="str">
        <f t="shared" si="105"/>
        <v/>
      </c>
      <c r="AF74" s="576" t="str">
        <f t="shared" si="106"/>
        <v/>
      </c>
      <c r="AG74" s="545" t="str">
        <f t="shared" si="107"/>
        <v/>
      </c>
      <c r="AH74" s="546" t="str">
        <f t="shared" si="108"/>
        <v/>
      </c>
      <c r="AI74" s="528" t="str">
        <f t="shared" si="109"/>
        <v/>
      </c>
      <c r="AJ74" s="529" t="str">
        <f t="shared" si="110"/>
        <v/>
      </c>
      <c r="AK74" s="578" t="str">
        <f t="shared" si="111"/>
        <v/>
      </c>
      <c r="AL74" s="572" t="str">
        <f t="shared" si="112"/>
        <v/>
      </c>
      <c r="AM74" s="577" t="str">
        <f t="shared" si="113"/>
        <v/>
      </c>
      <c r="AN74" s="524" t="str">
        <f t="shared" si="86"/>
        <v/>
      </c>
      <c r="AO74" s="525" t="str">
        <f t="shared" si="125"/>
        <v/>
      </c>
      <c r="AP74" s="528" t="str">
        <f t="shared" si="114"/>
        <v/>
      </c>
      <c r="AQ74" s="529" t="str">
        <f t="shared" ref="AQ74:AQ137" si="129">IF(M74="","",DEGREES(ATAN(($AS$5*SIN(RADIANS(90)))/(($X74*2*PI())-($AS$5*COS(RADIANS(90)))))))</f>
        <v/>
      </c>
      <c r="AS74" s="598" t="str">
        <f t="shared" si="115"/>
        <v/>
      </c>
      <c r="AT74" s="602" t="str">
        <f t="shared" ref="AT74:AT137" si="130">IF($M74="","",$Y74+((($AS74-$AS$9)*$AS$6)*-1)-IF($AS74&lt;30,$AS$5,0))</f>
        <v/>
      </c>
      <c r="AU74" s="515" t="str">
        <f t="shared" si="87"/>
        <v/>
      </c>
      <c r="AV74" s="164" t="str">
        <f t="shared" si="116"/>
        <v/>
      </c>
      <c r="AW74" s="545" t="str">
        <f>IF($M74="","",W74-INDEX(Assy.Model!$W$9:$W$150,MATCH('SN#.Run#'!$M74,Assy.Model!$M$9:$M$150,0)))</f>
        <v/>
      </c>
      <c r="AX74" s="628" t="str">
        <f>IF($M74="","",X74-INDEX(Assy.Model!$X$9:$X$150,MATCH('SN#.Run#'!$M74,Assy.Model!$M$9:$M$150,0)))</f>
        <v/>
      </c>
      <c r="AY74" s="629" t="str">
        <f>IF($M74="","",Y74-INDEX(Assy.Model!$Y$9:$Y$150,MATCH('SN#.Run#'!$M74,Assy.Model!$M$9:$M$150,0)))</f>
        <v/>
      </c>
      <c r="AZ74" s="60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10" t="str">
        <f>IF($M74="","",AN74-INDEX(Assy.Model!$AN$9:$AN$150,MATCH('SN#.Run#'!$M74,Assy.Model!$M$9:$M$150,0)))</f>
        <v/>
      </c>
      <c r="BB74" s="525" t="str">
        <f>IF($M74="","",AO74-INDEX(Assy.Model!$AO$9:$AO$150,MATCH('SN#.Run#'!$M74,Assy.Model!$M$9:$M$150,0)))</f>
        <v/>
      </c>
      <c r="BC74" s="619" t="str">
        <f>IF($M74="","",AP74-INDEX(Assy.Model!$AP$9:$AP$150,MATCH('SN#.Run#'!$M74,Assy.Model!$M$9:$M$150,0)))</f>
        <v/>
      </c>
      <c r="BD74" s="419"/>
      <c r="BE74" s="699"/>
      <c r="BF74" s="417"/>
      <c r="BG74" s="417"/>
      <c r="BH74" s="417"/>
      <c r="IE74" s="790" t="str">
        <f>IFERROR(IF($IU74="","",IF($IU74&lt;(((Settings!$C$19/2)*-1)*$IE$8),"Taper","Nose")),"")</f>
        <v/>
      </c>
      <c r="IF74" s="482" t="str">
        <f>IFERROR(IF((((($IW74*COS(RADIANS(180-$IY74)))*COS(RADIANS($IY74)))-(($IX74*SIN(RADIANS(180-$IY74)))*SIN(RADIANS($IY74))))+$IU74)&lt;(((Settings!$C$19+$IF$8)/2)*-1),"Gage",""),"")</f>
        <v/>
      </c>
      <c r="IG74" s="788" t="str">
        <f t="shared" si="65"/>
        <v/>
      </c>
      <c r="IH74" s="674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677" t="str" cm="1">
        <f t="array" ref="II74">IFERROR(IF($IH74&lt;1,$IH74+LARGE((IF($M$9:$M$150="",0,$M$9:$M$150)-MOD(IF($M$9:$M$150="",0,$M$9:$M$150),1)),1),$IH74),"")</f>
        <v/>
      </c>
      <c r="IJ74" s="482" t="str">
        <f t="shared" ref="IJ74:IJ137" si="131">IF(ISNUMBER($II74),INDEX($K$9:$K$150,MATCH($II74,$M$9:$M$150,0)),$K74)</f>
        <v/>
      </c>
      <c r="IK74" s="482" t="str">
        <f t="shared" si="117"/>
        <v/>
      </c>
      <c r="IL74" s="670" t="str">
        <f t="shared" si="68"/>
        <v/>
      </c>
      <c r="IM74" s="702"/>
      <c r="IN74" s="5" t="str">
        <f t="shared" si="69"/>
        <v/>
      </c>
      <c r="IO74" s="714"/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670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05" t="str">
        <f t="shared" si="77"/>
        <v/>
      </c>
    </row>
    <row r="75" spans="1:259" ht="15" customHeight="1" x14ac:dyDescent="0.25">
      <c r="A75" s="82"/>
      <c r="B75" s="578" t="str">
        <f t="shared" si="118"/>
        <v/>
      </c>
      <c r="C75" s="572" t="str">
        <f t="shared" si="119"/>
        <v/>
      </c>
      <c r="D75" s="576" t="str">
        <f t="shared" si="120"/>
        <v/>
      </c>
      <c r="E75" s="580" t="str">
        <f t="shared" si="121"/>
        <v/>
      </c>
      <c r="F75" s="572" t="str">
        <f t="shared" si="122"/>
        <v/>
      </c>
      <c r="G75" s="579" t="str">
        <f t="shared" si="123"/>
        <v/>
      </c>
      <c r="H75" s="580" t="str">
        <f t="shared" si="128"/>
        <v/>
      </c>
      <c r="I75" s="482"/>
      <c r="J75" s="483" t="str">
        <v/>
      </c>
      <c r="K75" s="806" t="str">
        <f t="shared" si="66"/>
        <v/>
      </c>
      <c r="M75" s="164" t="str">
        <f t="shared" si="88"/>
        <v/>
      </c>
      <c r="N75" s="575" t="str">
        <f t="shared" si="89"/>
        <v/>
      </c>
      <c r="O75" s="572" t="str">
        <f t="shared" si="90"/>
        <v/>
      </c>
      <c r="P75" s="576" t="str">
        <f t="shared" si="91"/>
        <v/>
      </c>
      <c r="Q75" s="528" t="str">
        <f t="shared" si="92"/>
        <v/>
      </c>
      <c r="R75" s="572" t="str">
        <f t="shared" si="93"/>
        <v/>
      </c>
      <c r="S75" s="577" t="str">
        <f t="shared" si="94"/>
        <v/>
      </c>
      <c r="T75" s="578" t="str">
        <f t="shared" si="95"/>
        <v/>
      </c>
      <c r="U75" s="572" t="str">
        <f t="shared" si="96"/>
        <v/>
      </c>
      <c r="V75" s="579" t="str">
        <f t="shared" si="97"/>
        <v/>
      </c>
      <c r="W75" s="528" t="str">
        <f t="shared" si="98"/>
        <v/>
      </c>
      <c r="X75" s="572" t="str">
        <f t="shared" si="99"/>
        <v/>
      </c>
      <c r="Y75" s="573" t="str">
        <f t="shared" si="124"/>
        <v/>
      </c>
      <c r="Z75" s="575" t="str">
        <f t="shared" si="100"/>
        <v/>
      </c>
      <c r="AA75" s="572" t="str">
        <f t="shared" si="101"/>
        <v/>
      </c>
      <c r="AB75" s="572" t="str">
        <f t="shared" si="102"/>
        <v/>
      </c>
      <c r="AC75" s="579" t="str">
        <f t="shared" si="103"/>
        <v/>
      </c>
      <c r="AD75" s="580" t="str">
        <f t="shared" si="104"/>
        <v/>
      </c>
      <c r="AE75" s="572" t="str">
        <f t="shared" si="105"/>
        <v/>
      </c>
      <c r="AF75" s="576" t="str">
        <f t="shared" si="106"/>
        <v/>
      </c>
      <c r="AG75" s="545" t="str">
        <f t="shared" si="107"/>
        <v/>
      </c>
      <c r="AH75" s="546" t="str">
        <f t="shared" si="108"/>
        <v/>
      </c>
      <c r="AI75" s="528" t="str">
        <f t="shared" si="109"/>
        <v/>
      </c>
      <c r="AJ75" s="529" t="str">
        <f t="shared" si="110"/>
        <v/>
      </c>
      <c r="AK75" s="578" t="str">
        <f t="shared" si="111"/>
        <v/>
      </c>
      <c r="AL75" s="572" t="str">
        <f t="shared" si="112"/>
        <v/>
      </c>
      <c r="AM75" s="577" t="str">
        <f t="shared" si="113"/>
        <v/>
      </c>
      <c r="AN75" s="524" t="str">
        <f t="shared" si="86"/>
        <v/>
      </c>
      <c r="AO75" s="525" t="str">
        <f t="shared" si="125"/>
        <v/>
      </c>
      <c r="AP75" s="528" t="str">
        <f t="shared" si="114"/>
        <v/>
      </c>
      <c r="AQ75" s="529" t="str">
        <f t="shared" si="129"/>
        <v/>
      </c>
      <c r="AS75" s="598" t="str">
        <f t="shared" si="115"/>
        <v/>
      </c>
      <c r="AT75" s="602" t="str">
        <f t="shared" si="130"/>
        <v/>
      </c>
      <c r="AU75" s="515" t="str">
        <f t="shared" si="87"/>
        <v/>
      </c>
      <c r="AV75" s="164" t="str">
        <f t="shared" si="116"/>
        <v/>
      </c>
      <c r="AW75" s="545" t="str">
        <f>IF($M75="","",W75-INDEX(Assy.Model!$W$9:$W$150,MATCH('SN#.Run#'!$M75,Assy.Model!$M$9:$M$150,0)))</f>
        <v/>
      </c>
      <c r="AX75" s="628" t="str">
        <f>IF($M75="","",X75-INDEX(Assy.Model!$X$9:$X$150,MATCH('SN#.Run#'!$M75,Assy.Model!$M$9:$M$150,0)))</f>
        <v/>
      </c>
      <c r="AY75" s="629" t="str">
        <f>IF($M75="","",Y75-INDEX(Assy.Model!$Y$9:$Y$150,MATCH('SN#.Run#'!$M75,Assy.Model!$M$9:$M$150,0)))</f>
        <v/>
      </c>
      <c r="AZ75" s="60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10" t="str">
        <f>IF($M75="","",AN75-INDEX(Assy.Model!$AN$9:$AN$150,MATCH('SN#.Run#'!$M75,Assy.Model!$M$9:$M$150,0)))</f>
        <v/>
      </c>
      <c r="BB75" s="525" t="str">
        <f>IF($M75="","",AO75-INDEX(Assy.Model!$AO$9:$AO$150,MATCH('SN#.Run#'!$M75,Assy.Model!$M$9:$M$150,0)))</f>
        <v/>
      </c>
      <c r="BC75" s="619" t="str">
        <f>IF($M75="","",AP75-INDEX(Assy.Model!$AP$9:$AP$150,MATCH('SN#.Run#'!$M75,Assy.Model!$M$9:$M$150,0)))</f>
        <v/>
      </c>
      <c r="BD75" s="419"/>
      <c r="BE75" s="699"/>
      <c r="BF75" s="417"/>
      <c r="BG75" s="417"/>
      <c r="BH75" s="417"/>
      <c r="IE75" s="790" t="str">
        <f>IFERROR(IF($IU75="","",IF($IU75&lt;(((Settings!$C$19/2)*-1)*$IE$8),"Taper","Nose")),"")</f>
        <v/>
      </c>
      <c r="IF75" s="482" t="str">
        <f>IFERROR(IF((((($IW75*COS(RADIANS(180-$IY75)))*COS(RADIANS($IY75)))-(($IX75*SIN(RADIANS(180-$IY75)))*SIN(RADIANS($IY75))))+$IU75)&lt;(((Settings!$C$19+$IF$8)/2)*-1),"Gage",""),"")</f>
        <v/>
      </c>
      <c r="IG75" s="788" t="str">
        <f t="shared" ref="IG75:IG138" si="132">$M75</f>
        <v/>
      </c>
      <c r="IH75" s="674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677" t="str" cm="1">
        <f t="array" ref="II75">IFERROR(IF($IH75&lt;1,$IH75+LARGE((IF($M$9:$M$150="",0,$M$9:$M$150)-MOD(IF($M$9:$M$150="",0,$M$9:$M$150),1)),1),$IH75),"")</f>
        <v/>
      </c>
      <c r="IJ75" s="482" t="str">
        <f t="shared" si="131"/>
        <v/>
      </c>
      <c r="IK75" s="482" t="str">
        <f t="shared" si="117"/>
        <v/>
      </c>
      <c r="IL75" s="670" t="str">
        <f t="shared" si="68"/>
        <v/>
      </c>
      <c r="IM75" s="702"/>
      <c r="IN75" s="5" t="str">
        <f t="shared" si="69"/>
        <v/>
      </c>
      <c r="IO75" s="714"/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670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05" t="str">
        <f t="shared" si="77"/>
        <v/>
      </c>
    </row>
    <row r="76" spans="1:259" ht="15" customHeight="1" x14ac:dyDescent="0.25">
      <c r="A76" s="82"/>
      <c r="B76" s="578" t="str">
        <f t="shared" si="118"/>
        <v/>
      </c>
      <c r="C76" s="572" t="str">
        <f t="shared" si="119"/>
        <v/>
      </c>
      <c r="D76" s="576" t="str">
        <f t="shared" si="120"/>
        <v/>
      </c>
      <c r="E76" s="580" t="str">
        <f t="shared" si="121"/>
        <v/>
      </c>
      <c r="F76" s="572" t="str">
        <f t="shared" si="122"/>
        <v/>
      </c>
      <c r="G76" s="579" t="str">
        <f t="shared" si="123"/>
        <v/>
      </c>
      <c r="H76" s="580" t="str">
        <f t="shared" si="128"/>
        <v/>
      </c>
      <c r="I76" s="482"/>
      <c r="J76" s="483" t="str">
        <v/>
      </c>
      <c r="K76" s="806" t="str">
        <f t="shared" ref="K76:K139" si="133">IF(INDEX(N$164:N$305,MATCH($M76,$M$164:$M$305,0))=0,"",INDEX(N$164:N$305,MATCH($M76,$M$164:$M$305,0)))</f>
        <v/>
      </c>
      <c r="M76" s="164" t="str">
        <f t="shared" si="88"/>
        <v/>
      </c>
      <c r="N76" s="575" t="str">
        <f t="shared" si="89"/>
        <v/>
      </c>
      <c r="O76" s="572" t="str">
        <f t="shared" si="90"/>
        <v/>
      </c>
      <c r="P76" s="576" t="str">
        <f t="shared" si="91"/>
        <v/>
      </c>
      <c r="Q76" s="528" t="str">
        <f t="shared" si="92"/>
        <v/>
      </c>
      <c r="R76" s="572" t="str">
        <f t="shared" si="93"/>
        <v/>
      </c>
      <c r="S76" s="577" t="str">
        <f t="shared" si="94"/>
        <v/>
      </c>
      <c r="T76" s="578" t="str">
        <f t="shared" si="95"/>
        <v/>
      </c>
      <c r="U76" s="572" t="str">
        <f t="shared" si="96"/>
        <v/>
      </c>
      <c r="V76" s="579" t="str">
        <f t="shared" si="97"/>
        <v/>
      </c>
      <c r="W76" s="528" t="str">
        <f t="shared" si="98"/>
        <v/>
      </c>
      <c r="X76" s="572" t="str">
        <f t="shared" si="99"/>
        <v/>
      </c>
      <c r="Y76" s="573" t="str">
        <f t="shared" si="124"/>
        <v/>
      </c>
      <c r="Z76" s="575" t="str">
        <f t="shared" si="100"/>
        <v/>
      </c>
      <c r="AA76" s="572" t="str">
        <f t="shared" si="101"/>
        <v/>
      </c>
      <c r="AB76" s="572" t="str">
        <f t="shared" si="102"/>
        <v/>
      </c>
      <c r="AC76" s="579" t="str">
        <f t="shared" si="103"/>
        <v/>
      </c>
      <c r="AD76" s="580" t="str">
        <f t="shared" si="104"/>
        <v/>
      </c>
      <c r="AE76" s="572" t="str">
        <f t="shared" si="105"/>
        <v/>
      </c>
      <c r="AF76" s="576" t="str">
        <f t="shared" si="106"/>
        <v/>
      </c>
      <c r="AG76" s="545" t="str">
        <f t="shared" si="107"/>
        <v/>
      </c>
      <c r="AH76" s="546" t="str">
        <f t="shared" si="108"/>
        <v/>
      </c>
      <c r="AI76" s="528" t="str">
        <f t="shared" si="109"/>
        <v/>
      </c>
      <c r="AJ76" s="529" t="str">
        <f t="shared" si="110"/>
        <v/>
      </c>
      <c r="AK76" s="578" t="str">
        <f t="shared" si="111"/>
        <v/>
      </c>
      <c r="AL76" s="572" t="str">
        <f t="shared" si="112"/>
        <v/>
      </c>
      <c r="AM76" s="577" t="str">
        <f t="shared" si="113"/>
        <v/>
      </c>
      <c r="AN76" s="524" t="str">
        <f t="shared" si="86"/>
        <v/>
      </c>
      <c r="AO76" s="525" t="str">
        <f t="shared" si="125"/>
        <v/>
      </c>
      <c r="AP76" s="528" t="str">
        <f t="shared" si="114"/>
        <v/>
      </c>
      <c r="AQ76" s="529" t="str">
        <f t="shared" si="129"/>
        <v/>
      </c>
      <c r="AS76" s="598" t="str">
        <f t="shared" si="115"/>
        <v/>
      </c>
      <c r="AT76" s="602" t="str">
        <f t="shared" si="130"/>
        <v/>
      </c>
      <c r="AU76" s="515" t="str">
        <f t="shared" si="87"/>
        <v/>
      </c>
      <c r="AV76" s="164" t="str">
        <f t="shared" si="116"/>
        <v/>
      </c>
      <c r="AW76" s="545" t="str">
        <f>IF($M76="","",W76-INDEX(Assy.Model!$W$9:$W$150,MATCH('SN#.Run#'!$M76,Assy.Model!$M$9:$M$150,0)))</f>
        <v/>
      </c>
      <c r="AX76" s="628" t="str">
        <f>IF($M76="","",X76-INDEX(Assy.Model!$X$9:$X$150,MATCH('SN#.Run#'!$M76,Assy.Model!$M$9:$M$150,0)))</f>
        <v/>
      </c>
      <c r="AY76" s="629" t="str">
        <f>IF($M76="","",Y76-INDEX(Assy.Model!$Y$9:$Y$150,MATCH('SN#.Run#'!$M76,Assy.Model!$M$9:$M$150,0)))</f>
        <v/>
      </c>
      <c r="AZ76" s="60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10" t="str">
        <f>IF($M76="","",AN76-INDEX(Assy.Model!$AN$9:$AN$150,MATCH('SN#.Run#'!$M76,Assy.Model!$M$9:$M$150,0)))</f>
        <v/>
      </c>
      <c r="BB76" s="525" t="str">
        <f>IF($M76="","",AO76-INDEX(Assy.Model!$AO$9:$AO$150,MATCH('SN#.Run#'!$M76,Assy.Model!$M$9:$M$150,0)))</f>
        <v/>
      </c>
      <c r="BC76" s="619" t="str">
        <f>IF($M76="","",AP76-INDEX(Assy.Model!$AP$9:$AP$150,MATCH('SN#.Run#'!$M76,Assy.Model!$M$9:$M$150,0)))</f>
        <v/>
      </c>
      <c r="BD76" s="419"/>
      <c r="BE76" s="699"/>
      <c r="BF76" s="417"/>
      <c r="BG76" s="417"/>
      <c r="BH76" s="417"/>
      <c r="IE76" s="790" t="str">
        <f>IFERROR(IF($IU76="","",IF($IU76&lt;(((Settings!$C$19/2)*-1)*$IE$8),"Taper","Nose")),"")</f>
        <v/>
      </c>
      <c r="IF76" s="482" t="str">
        <f>IFERROR(IF((((($IW76*COS(RADIANS(180-$IY76)))*COS(RADIANS($IY76)))-(($IX76*SIN(RADIANS(180-$IY76)))*SIN(RADIANS($IY76))))+$IU76)&lt;(((Settings!$C$19+$IF$8)/2)*-1),"Gage",""),"")</f>
        <v/>
      </c>
      <c r="IG76" s="788" t="str">
        <f t="shared" si="132"/>
        <v/>
      </c>
      <c r="IH76" s="674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677" t="str" cm="1">
        <f t="array" ref="II76">IFERROR(IF($IH76&lt;1,$IH76+LARGE((IF($M$9:$M$150="",0,$M$9:$M$150)-MOD(IF($M$9:$M$150="",0,$M$9:$M$150),1)),1),$IH76),"")</f>
        <v/>
      </c>
      <c r="IJ76" s="482" t="str">
        <f t="shared" si="131"/>
        <v/>
      </c>
      <c r="IK76" s="482" t="str">
        <f t="shared" si="117"/>
        <v/>
      </c>
      <c r="IL76" s="670" t="str">
        <f t="shared" si="68"/>
        <v/>
      </c>
      <c r="IM76" s="702"/>
      <c r="IN76" s="5" t="str">
        <f t="shared" si="69"/>
        <v/>
      </c>
      <c r="IO76" s="714"/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670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05" t="str">
        <f t="shared" si="77"/>
        <v/>
      </c>
    </row>
    <row r="77" spans="1:259" ht="15" customHeight="1" x14ac:dyDescent="0.25">
      <c r="A77" s="82"/>
      <c r="B77" s="578" t="str">
        <f t="shared" si="118"/>
        <v/>
      </c>
      <c r="C77" s="572" t="str">
        <f t="shared" si="119"/>
        <v/>
      </c>
      <c r="D77" s="576" t="str">
        <f t="shared" si="120"/>
        <v/>
      </c>
      <c r="E77" s="580" t="str">
        <f t="shared" si="121"/>
        <v/>
      </c>
      <c r="F77" s="572" t="str">
        <f t="shared" si="122"/>
        <v/>
      </c>
      <c r="G77" s="579" t="str">
        <f t="shared" si="123"/>
        <v/>
      </c>
      <c r="H77" s="580" t="str">
        <f t="shared" si="128"/>
        <v/>
      </c>
      <c r="I77" s="482"/>
      <c r="J77" s="483" t="str">
        <v/>
      </c>
      <c r="K77" s="806" t="str">
        <f t="shared" si="133"/>
        <v/>
      </c>
      <c r="M77" s="164" t="str">
        <f t="shared" si="88"/>
        <v/>
      </c>
      <c r="N77" s="575" t="str">
        <f t="shared" si="89"/>
        <v/>
      </c>
      <c r="O77" s="572" t="str">
        <f t="shared" si="90"/>
        <v/>
      </c>
      <c r="P77" s="576" t="str">
        <f t="shared" si="91"/>
        <v/>
      </c>
      <c r="Q77" s="528" t="str">
        <f t="shared" si="92"/>
        <v/>
      </c>
      <c r="R77" s="572" t="str">
        <f t="shared" si="93"/>
        <v/>
      </c>
      <c r="S77" s="577" t="str">
        <f t="shared" si="94"/>
        <v/>
      </c>
      <c r="T77" s="578" t="str">
        <f t="shared" si="95"/>
        <v/>
      </c>
      <c r="U77" s="572" t="str">
        <f t="shared" si="96"/>
        <v/>
      </c>
      <c r="V77" s="579" t="str">
        <f t="shared" si="97"/>
        <v/>
      </c>
      <c r="W77" s="528" t="str">
        <f t="shared" si="98"/>
        <v/>
      </c>
      <c r="X77" s="572" t="str">
        <f t="shared" si="99"/>
        <v/>
      </c>
      <c r="Y77" s="573" t="str">
        <f t="shared" si="124"/>
        <v/>
      </c>
      <c r="Z77" s="575" t="str">
        <f t="shared" si="100"/>
        <v/>
      </c>
      <c r="AA77" s="572" t="str">
        <f t="shared" si="101"/>
        <v/>
      </c>
      <c r="AB77" s="572" t="str">
        <f t="shared" si="102"/>
        <v/>
      </c>
      <c r="AC77" s="579" t="str">
        <f t="shared" si="103"/>
        <v/>
      </c>
      <c r="AD77" s="580" t="str">
        <f t="shared" si="104"/>
        <v/>
      </c>
      <c r="AE77" s="572" t="str">
        <f t="shared" si="105"/>
        <v/>
      </c>
      <c r="AF77" s="576" t="str">
        <f t="shared" si="106"/>
        <v/>
      </c>
      <c r="AG77" s="545" t="str">
        <f t="shared" si="107"/>
        <v/>
      </c>
      <c r="AH77" s="546" t="str">
        <f t="shared" si="108"/>
        <v/>
      </c>
      <c r="AI77" s="528" t="str">
        <f t="shared" si="109"/>
        <v/>
      </c>
      <c r="AJ77" s="529" t="str">
        <f t="shared" si="110"/>
        <v/>
      </c>
      <c r="AK77" s="578" t="str">
        <f t="shared" si="111"/>
        <v/>
      </c>
      <c r="AL77" s="572" t="str">
        <f t="shared" si="112"/>
        <v/>
      </c>
      <c r="AM77" s="577" t="str">
        <f t="shared" si="113"/>
        <v/>
      </c>
      <c r="AN77" s="524" t="str">
        <f t="shared" si="86"/>
        <v/>
      </c>
      <c r="AO77" s="525" t="str">
        <f t="shared" si="125"/>
        <v/>
      </c>
      <c r="AP77" s="528" t="str">
        <f t="shared" si="114"/>
        <v/>
      </c>
      <c r="AQ77" s="529" t="str">
        <f t="shared" si="129"/>
        <v/>
      </c>
      <c r="AS77" s="598" t="str">
        <f t="shared" si="115"/>
        <v/>
      </c>
      <c r="AT77" s="602" t="str">
        <f t="shared" si="130"/>
        <v/>
      </c>
      <c r="AU77" s="515" t="str">
        <f t="shared" si="87"/>
        <v/>
      </c>
      <c r="AV77" s="164" t="str">
        <f t="shared" si="116"/>
        <v/>
      </c>
      <c r="AW77" s="545" t="str">
        <f>IF($M77="","",W77-INDEX(Assy.Model!$W$9:$W$150,MATCH('SN#.Run#'!$M77,Assy.Model!$M$9:$M$150,0)))</f>
        <v/>
      </c>
      <c r="AX77" s="628" t="str">
        <f>IF($M77="","",X77-INDEX(Assy.Model!$X$9:$X$150,MATCH('SN#.Run#'!$M77,Assy.Model!$M$9:$M$150,0)))</f>
        <v/>
      </c>
      <c r="AY77" s="629" t="str">
        <f>IF($M77="","",Y77-INDEX(Assy.Model!$Y$9:$Y$150,MATCH('SN#.Run#'!$M77,Assy.Model!$M$9:$M$150,0)))</f>
        <v/>
      </c>
      <c r="AZ77" s="60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10" t="str">
        <f>IF($M77="","",AN77-INDEX(Assy.Model!$AN$9:$AN$150,MATCH('SN#.Run#'!$M77,Assy.Model!$M$9:$M$150,0)))</f>
        <v/>
      </c>
      <c r="BB77" s="525" t="str">
        <f>IF($M77="","",AO77-INDEX(Assy.Model!$AO$9:$AO$150,MATCH('SN#.Run#'!$M77,Assy.Model!$M$9:$M$150,0)))</f>
        <v/>
      </c>
      <c r="BC77" s="619" t="str">
        <f>IF($M77="","",AP77-INDEX(Assy.Model!$AP$9:$AP$150,MATCH('SN#.Run#'!$M77,Assy.Model!$M$9:$M$150,0)))</f>
        <v/>
      </c>
      <c r="BD77" s="419"/>
      <c r="BE77" s="699"/>
      <c r="BF77" s="417"/>
      <c r="BG77" s="417"/>
      <c r="BH77" s="417"/>
      <c r="IE77" s="790" t="str">
        <f>IFERROR(IF($IU77="","",IF($IU77&lt;(((Settings!$C$19/2)*-1)*$IE$8),"Taper","Nose")),"")</f>
        <v/>
      </c>
      <c r="IF77" s="482" t="str">
        <f>IFERROR(IF((((($IW77*COS(RADIANS(180-$IY77)))*COS(RADIANS($IY77)))-(($IX77*SIN(RADIANS(180-$IY77)))*SIN(RADIANS($IY77))))+$IU77)&lt;(((Settings!$C$19+$IF$8)/2)*-1),"Gage",""),"")</f>
        <v/>
      </c>
      <c r="IG77" s="788" t="str">
        <f t="shared" si="132"/>
        <v/>
      </c>
      <c r="IH77" s="674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677" t="str" cm="1">
        <f t="array" ref="II77">IFERROR(IF($IH77&lt;1,$IH77+LARGE((IF($M$9:$M$150="",0,$M$9:$M$150)-MOD(IF($M$9:$M$150="",0,$M$9:$M$150),1)),1),$IH77),"")</f>
        <v/>
      </c>
      <c r="IJ77" s="482" t="str">
        <f t="shared" si="131"/>
        <v/>
      </c>
      <c r="IK77" s="482" t="str">
        <f t="shared" si="117"/>
        <v/>
      </c>
      <c r="IL77" s="670" t="str">
        <f t="shared" si="68"/>
        <v/>
      </c>
      <c r="IM77" s="702"/>
      <c r="IN77" s="5" t="str">
        <f t="shared" si="69"/>
        <v/>
      </c>
      <c r="IO77" s="714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670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05" t="str">
        <f t="shared" si="77"/>
        <v/>
      </c>
    </row>
    <row r="78" spans="1:259" ht="15" customHeight="1" x14ac:dyDescent="0.25">
      <c r="A78" s="82"/>
      <c r="B78" s="578" t="str">
        <f t="shared" si="118"/>
        <v/>
      </c>
      <c r="C78" s="572" t="str">
        <f t="shared" si="119"/>
        <v/>
      </c>
      <c r="D78" s="576" t="str">
        <f t="shared" si="120"/>
        <v/>
      </c>
      <c r="E78" s="580" t="str">
        <f t="shared" si="121"/>
        <v/>
      </c>
      <c r="F78" s="572" t="str">
        <f t="shared" si="122"/>
        <v/>
      </c>
      <c r="G78" s="579" t="str">
        <f t="shared" si="123"/>
        <v/>
      </c>
      <c r="H78" s="580" t="str">
        <f t="shared" si="128"/>
        <v/>
      </c>
      <c r="I78" s="482"/>
      <c r="J78" s="483" t="str">
        <v/>
      </c>
      <c r="K78" s="806" t="str">
        <f t="shared" si="133"/>
        <v/>
      </c>
      <c r="M78" s="164" t="str">
        <f t="shared" si="88"/>
        <v/>
      </c>
      <c r="N78" s="575" t="str">
        <f t="shared" si="89"/>
        <v/>
      </c>
      <c r="O78" s="572" t="str">
        <f t="shared" si="90"/>
        <v/>
      </c>
      <c r="P78" s="576" t="str">
        <f t="shared" si="91"/>
        <v/>
      </c>
      <c r="Q78" s="528" t="str">
        <f t="shared" si="92"/>
        <v/>
      </c>
      <c r="R78" s="572" t="str">
        <f t="shared" si="93"/>
        <v/>
      </c>
      <c r="S78" s="577" t="str">
        <f t="shared" si="94"/>
        <v/>
      </c>
      <c r="T78" s="578" t="str">
        <f t="shared" si="95"/>
        <v/>
      </c>
      <c r="U78" s="572" t="str">
        <f t="shared" si="96"/>
        <v/>
      </c>
      <c r="V78" s="579" t="str">
        <f t="shared" si="97"/>
        <v/>
      </c>
      <c r="W78" s="528" t="str">
        <f t="shared" si="98"/>
        <v/>
      </c>
      <c r="X78" s="572" t="str">
        <f t="shared" si="99"/>
        <v/>
      </c>
      <c r="Y78" s="573" t="str">
        <f t="shared" si="124"/>
        <v/>
      </c>
      <c r="Z78" s="575" t="str">
        <f t="shared" si="100"/>
        <v/>
      </c>
      <c r="AA78" s="572" t="str">
        <f t="shared" si="101"/>
        <v/>
      </c>
      <c r="AB78" s="572" t="str">
        <f t="shared" si="102"/>
        <v/>
      </c>
      <c r="AC78" s="579" t="str">
        <f t="shared" si="103"/>
        <v/>
      </c>
      <c r="AD78" s="580" t="str">
        <f t="shared" si="104"/>
        <v/>
      </c>
      <c r="AE78" s="572" t="str">
        <f t="shared" si="105"/>
        <v/>
      </c>
      <c r="AF78" s="576" t="str">
        <f t="shared" si="106"/>
        <v/>
      </c>
      <c r="AG78" s="545" t="str">
        <f t="shared" si="107"/>
        <v/>
      </c>
      <c r="AH78" s="546" t="str">
        <f t="shared" si="108"/>
        <v/>
      </c>
      <c r="AI78" s="528" t="str">
        <f t="shared" si="109"/>
        <v/>
      </c>
      <c r="AJ78" s="529" t="str">
        <f t="shared" si="110"/>
        <v/>
      </c>
      <c r="AK78" s="578" t="str">
        <f t="shared" si="111"/>
        <v/>
      </c>
      <c r="AL78" s="572" t="str">
        <f t="shared" si="112"/>
        <v/>
      </c>
      <c r="AM78" s="577" t="str">
        <f t="shared" si="113"/>
        <v/>
      </c>
      <c r="AN78" s="524" t="str">
        <f t="shared" si="86"/>
        <v/>
      </c>
      <c r="AO78" s="525" t="str">
        <f t="shared" si="125"/>
        <v/>
      </c>
      <c r="AP78" s="528" t="str">
        <f t="shared" si="114"/>
        <v/>
      </c>
      <c r="AQ78" s="529" t="str">
        <f t="shared" si="129"/>
        <v/>
      </c>
      <c r="AS78" s="598" t="str">
        <f t="shared" si="115"/>
        <v/>
      </c>
      <c r="AT78" s="602" t="str">
        <f t="shared" si="130"/>
        <v/>
      </c>
      <c r="AU78" s="515" t="str">
        <f t="shared" si="87"/>
        <v/>
      </c>
      <c r="AV78" s="164" t="str">
        <f t="shared" si="116"/>
        <v/>
      </c>
      <c r="AW78" s="545" t="str">
        <f>IF($M78="","",W78-INDEX(Assy.Model!$W$9:$W$150,MATCH('SN#.Run#'!$M78,Assy.Model!$M$9:$M$150,0)))</f>
        <v/>
      </c>
      <c r="AX78" s="628" t="str">
        <f>IF($M78="","",X78-INDEX(Assy.Model!$X$9:$X$150,MATCH('SN#.Run#'!$M78,Assy.Model!$M$9:$M$150,0)))</f>
        <v/>
      </c>
      <c r="AY78" s="629" t="str">
        <f>IF($M78="","",Y78-INDEX(Assy.Model!$Y$9:$Y$150,MATCH('SN#.Run#'!$M78,Assy.Model!$M$9:$M$150,0)))</f>
        <v/>
      </c>
      <c r="AZ78" s="60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10" t="str">
        <f>IF($M78="","",AN78-INDEX(Assy.Model!$AN$9:$AN$150,MATCH('SN#.Run#'!$M78,Assy.Model!$M$9:$M$150,0)))</f>
        <v/>
      </c>
      <c r="BB78" s="525" t="str">
        <f>IF($M78="","",AO78-INDEX(Assy.Model!$AO$9:$AO$150,MATCH('SN#.Run#'!$M78,Assy.Model!$M$9:$M$150,0)))</f>
        <v/>
      </c>
      <c r="BC78" s="619" t="str">
        <f>IF($M78="","",AP78-INDEX(Assy.Model!$AP$9:$AP$150,MATCH('SN#.Run#'!$M78,Assy.Model!$M$9:$M$150,0)))</f>
        <v/>
      </c>
      <c r="BD78" s="419"/>
      <c r="BE78" s="699"/>
      <c r="BF78" s="417"/>
      <c r="BG78" s="417"/>
      <c r="BH78" s="417"/>
      <c r="IE78" s="790" t="str">
        <f>IFERROR(IF($IU78="","",IF($IU78&lt;(((Settings!$C$19/2)*-1)*$IE$8),"Taper","Nose")),"")</f>
        <v/>
      </c>
      <c r="IF78" s="482" t="str">
        <f>IFERROR(IF((((($IW78*COS(RADIANS(180-$IY78)))*COS(RADIANS($IY78)))-(($IX78*SIN(RADIANS(180-$IY78)))*SIN(RADIANS($IY78))))+$IU78)&lt;(((Settings!$C$19+$IF$8)/2)*-1),"Gage",""),"")</f>
        <v/>
      </c>
      <c r="IG78" s="788" t="str">
        <f t="shared" si="132"/>
        <v/>
      </c>
      <c r="IH78" s="674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677" t="str" cm="1">
        <f t="array" ref="II78">IFERROR(IF($IH78&lt;1,$IH78+LARGE((IF($M$9:$M$150="",0,$M$9:$M$150)-MOD(IF($M$9:$M$150="",0,$M$9:$M$150),1)),1),$IH78),"")</f>
        <v/>
      </c>
      <c r="IJ78" s="482" t="str">
        <f t="shared" si="131"/>
        <v/>
      </c>
      <c r="IK78" s="482" t="str">
        <f t="shared" si="117"/>
        <v/>
      </c>
      <c r="IL78" s="670" t="str">
        <f t="shared" si="68"/>
        <v/>
      </c>
      <c r="IM78" s="702"/>
      <c r="IN78" s="5" t="str">
        <f t="shared" si="69"/>
        <v/>
      </c>
      <c r="IO78" s="714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670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05" t="str">
        <f t="shared" si="77"/>
        <v/>
      </c>
    </row>
    <row r="79" spans="1:259" ht="15" customHeight="1" x14ac:dyDescent="0.25">
      <c r="A79" s="82"/>
      <c r="B79" s="578" t="str">
        <f t="shared" si="118"/>
        <v/>
      </c>
      <c r="C79" s="572" t="str">
        <f t="shared" si="119"/>
        <v/>
      </c>
      <c r="D79" s="576" t="str">
        <f t="shared" si="120"/>
        <v/>
      </c>
      <c r="E79" s="580" t="str">
        <f t="shared" si="121"/>
        <v/>
      </c>
      <c r="F79" s="572" t="str">
        <f t="shared" si="122"/>
        <v/>
      </c>
      <c r="G79" s="579" t="str">
        <f t="shared" si="123"/>
        <v/>
      </c>
      <c r="H79" s="580" t="str">
        <f t="shared" si="128"/>
        <v/>
      </c>
      <c r="I79" s="482"/>
      <c r="J79" s="483" t="str">
        <v/>
      </c>
      <c r="K79" s="806" t="str">
        <f t="shared" si="133"/>
        <v/>
      </c>
      <c r="M79" s="164" t="str">
        <f t="shared" si="88"/>
        <v/>
      </c>
      <c r="N79" s="575" t="str">
        <f t="shared" si="89"/>
        <v/>
      </c>
      <c r="O79" s="572" t="str">
        <f t="shared" si="90"/>
        <v/>
      </c>
      <c r="P79" s="576" t="str">
        <f t="shared" si="91"/>
        <v/>
      </c>
      <c r="Q79" s="528" t="str">
        <f t="shared" si="92"/>
        <v/>
      </c>
      <c r="R79" s="572" t="str">
        <f t="shared" si="93"/>
        <v/>
      </c>
      <c r="S79" s="577" t="str">
        <f t="shared" si="94"/>
        <v/>
      </c>
      <c r="T79" s="578" t="str">
        <f t="shared" si="95"/>
        <v/>
      </c>
      <c r="U79" s="572" t="str">
        <f t="shared" si="96"/>
        <v/>
      </c>
      <c r="V79" s="579" t="str">
        <f t="shared" si="97"/>
        <v/>
      </c>
      <c r="W79" s="528" t="str">
        <f t="shared" si="98"/>
        <v/>
      </c>
      <c r="X79" s="572" t="str">
        <f t="shared" si="99"/>
        <v/>
      </c>
      <c r="Y79" s="573" t="str">
        <f t="shared" si="124"/>
        <v/>
      </c>
      <c r="Z79" s="575" t="str">
        <f t="shared" si="100"/>
        <v/>
      </c>
      <c r="AA79" s="572" t="str">
        <f t="shared" si="101"/>
        <v/>
      </c>
      <c r="AB79" s="572" t="str">
        <f t="shared" si="102"/>
        <v/>
      </c>
      <c r="AC79" s="579" t="str">
        <f t="shared" si="103"/>
        <v/>
      </c>
      <c r="AD79" s="580" t="str">
        <f t="shared" si="104"/>
        <v/>
      </c>
      <c r="AE79" s="572" t="str">
        <f t="shared" si="105"/>
        <v/>
      </c>
      <c r="AF79" s="576" t="str">
        <f t="shared" si="106"/>
        <v/>
      </c>
      <c r="AG79" s="545" t="str">
        <f t="shared" si="107"/>
        <v/>
      </c>
      <c r="AH79" s="546" t="str">
        <f t="shared" si="108"/>
        <v/>
      </c>
      <c r="AI79" s="528" t="str">
        <f t="shared" si="109"/>
        <v/>
      </c>
      <c r="AJ79" s="529" t="str">
        <f t="shared" si="110"/>
        <v/>
      </c>
      <c r="AK79" s="578" t="str">
        <f t="shared" si="111"/>
        <v/>
      </c>
      <c r="AL79" s="572" t="str">
        <f t="shared" si="112"/>
        <v/>
      </c>
      <c r="AM79" s="577" t="str">
        <f t="shared" si="113"/>
        <v/>
      </c>
      <c r="AN79" s="524" t="str">
        <f t="shared" si="86"/>
        <v/>
      </c>
      <c r="AO79" s="525" t="str">
        <f t="shared" si="125"/>
        <v/>
      </c>
      <c r="AP79" s="528" t="str">
        <f t="shared" si="114"/>
        <v/>
      </c>
      <c r="AQ79" s="529" t="str">
        <f t="shared" si="129"/>
        <v/>
      </c>
      <c r="AS79" s="598" t="str">
        <f t="shared" si="115"/>
        <v/>
      </c>
      <c r="AT79" s="602" t="str">
        <f t="shared" si="130"/>
        <v/>
      </c>
      <c r="AU79" s="515" t="str">
        <f t="shared" si="87"/>
        <v/>
      </c>
      <c r="AV79" s="164" t="str">
        <f t="shared" si="116"/>
        <v/>
      </c>
      <c r="AW79" s="545" t="str">
        <f>IF($M79="","",W79-INDEX(Assy.Model!$W$9:$W$150,MATCH('SN#.Run#'!$M79,Assy.Model!$M$9:$M$150,0)))</f>
        <v/>
      </c>
      <c r="AX79" s="628" t="str">
        <f>IF($M79="","",X79-INDEX(Assy.Model!$X$9:$X$150,MATCH('SN#.Run#'!$M79,Assy.Model!$M$9:$M$150,0)))</f>
        <v/>
      </c>
      <c r="AY79" s="629" t="str">
        <f>IF($M79="","",Y79-INDEX(Assy.Model!$Y$9:$Y$150,MATCH('SN#.Run#'!$M79,Assy.Model!$M$9:$M$150,0)))</f>
        <v/>
      </c>
      <c r="AZ79" s="60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10" t="str">
        <f>IF($M79="","",AN79-INDEX(Assy.Model!$AN$9:$AN$150,MATCH('SN#.Run#'!$M79,Assy.Model!$M$9:$M$150,0)))</f>
        <v/>
      </c>
      <c r="BB79" s="525" t="str">
        <f>IF($M79="","",AO79-INDEX(Assy.Model!$AO$9:$AO$150,MATCH('SN#.Run#'!$M79,Assy.Model!$M$9:$M$150,0)))</f>
        <v/>
      </c>
      <c r="BC79" s="619" t="str">
        <f>IF($M79="","",AP79-INDEX(Assy.Model!$AP$9:$AP$150,MATCH('SN#.Run#'!$M79,Assy.Model!$M$9:$M$150,0)))</f>
        <v/>
      </c>
      <c r="BD79" s="419"/>
      <c r="BE79" s="699"/>
      <c r="BF79" s="417"/>
      <c r="BG79" s="417"/>
      <c r="BH79" s="417"/>
      <c r="IE79" s="790" t="str">
        <f>IFERROR(IF($IU79="","",IF($IU79&lt;(((Settings!$C$19/2)*-1)*$IE$8),"Taper","Nose")),"")</f>
        <v/>
      </c>
      <c r="IF79" s="482" t="str">
        <f>IFERROR(IF((((($IW79*COS(RADIANS(180-$IY79)))*COS(RADIANS($IY79)))-(($IX79*SIN(RADIANS(180-$IY79)))*SIN(RADIANS($IY79))))+$IU79)&lt;(((Settings!$C$19+$IF$8)/2)*-1),"Gage",""),"")</f>
        <v/>
      </c>
      <c r="IG79" s="788" t="str">
        <f t="shared" si="132"/>
        <v/>
      </c>
      <c r="IH79" s="674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677" t="str" cm="1">
        <f t="array" ref="II79">IFERROR(IF($IH79&lt;1,$IH79+LARGE((IF($M$9:$M$150="",0,$M$9:$M$150)-MOD(IF($M$9:$M$150="",0,$M$9:$M$150),1)),1),$IH79),"")</f>
        <v/>
      </c>
      <c r="IJ79" s="482" t="str">
        <f t="shared" si="131"/>
        <v/>
      </c>
      <c r="IK79" s="482" t="str">
        <f t="shared" si="117"/>
        <v/>
      </c>
      <c r="IL79" s="670" t="str">
        <f t="shared" si="68"/>
        <v/>
      </c>
      <c r="IM79" s="702"/>
      <c r="IN79" s="5" t="str">
        <f t="shared" si="69"/>
        <v/>
      </c>
      <c r="IO79" s="714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670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05" t="str">
        <f t="shared" si="77"/>
        <v/>
      </c>
    </row>
    <row r="80" spans="1:259" ht="15" customHeight="1" x14ac:dyDescent="0.25">
      <c r="A80" s="82"/>
      <c r="B80" s="578" t="str">
        <f t="shared" si="118"/>
        <v/>
      </c>
      <c r="C80" s="572" t="str">
        <f t="shared" si="119"/>
        <v/>
      </c>
      <c r="D80" s="576" t="str">
        <f t="shared" si="120"/>
        <v/>
      </c>
      <c r="E80" s="580" t="str">
        <f t="shared" si="121"/>
        <v/>
      </c>
      <c r="F80" s="572" t="str">
        <f t="shared" si="122"/>
        <v/>
      </c>
      <c r="G80" s="579" t="str">
        <f t="shared" si="123"/>
        <v/>
      </c>
      <c r="H80" s="580" t="str">
        <f t="shared" si="128"/>
        <v/>
      </c>
      <c r="I80" s="482"/>
      <c r="J80" s="483" t="str">
        <v/>
      </c>
      <c r="K80" s="806" t="str">
        <f t="shared" si="133"/>
        <v/>
      </c>
      <c r="M80" s="164" t="str">
        <f t="shared" si="88"/>
        <v/>
      </c>
      <c r="N80" s="575" t="str">
        <f t="shared" si="89"/>
        <v/>
      </c>
      <c r="O80" s="572" t="str">
        <f t="shared" si="90"/>
        <v/>
      </c>
      <c r="P80" s="576" t="str">
        <f t="shared" si="91"/>
        <v/>
      </c>
      <c r="Q80" s="528" t="str">
        <f t="shared" si="92"/>
        <v/>
      </c>
      <c r="R80" s="572" t="str">
        <f t="shared" si="93"/>
        <v/>
      </c>
      <c r="S80" s="577" t="str">
        <f t="shared" si="94"/>
        <v/>
      </c>
      <c r="T80" s="578" t="str">
        <f t="shared" si="95"/>
        <v/>
      </c>
      <c r="U80" s="572" t="str">
        <f t="shared" si="96"/>
        <v/>
      </c>
      <c r="V80" s="579" t="str">
        <f t="shared" si="97"/>
        <v/>
      </c>
      <c r="W80" s="528" t="str">
        <f t="shared" si="98"/>
        <v/>
      </c>
      <c r="X80" s="572" t="str">
        <f t="shared" si="99"/>
        <v/>
      </c>
      <c r="Y80" s="573" t="str">
        <f t="shared" si="124"/>
        <v/>
      </c>
      <c r="Z80" s="575" t="str">
        <f t="shared" si="100"/>
        <v/>
      </c>
      <c r="AA80" s="572" t="str">
        <f t="shared" si="101"/>
        <v/>
      </c>
      <c r="AB80" s="572" t="str">
        <f t="shared" si="102"/>
        <v/>
      </c>
      <c r="AC80" s="579" t="str">
        <f t="shared" si="103"/>
        <v/>
      </c>
      <c r="AD80" s="580" t="str">
        <f t="shared" si="104"/>
        <v/>
      </c>
      <c r="AE80" s="572" t="str">
        <f t="shared" si="105"/>
        <v/>
      </c>
      <c r="AF80" s="576" t="str">
        <f t="shared" si="106"/>
        <v/>
      </c>
      <c r="AG80" s="545" t="str">
        <f t="shared" si="107"/>
        <v/>
      </c>
      <c r="AH80" s="546" t="str">
        <f t="shared" si="108"/>
        <v/>
      </c>
      <c r="AI80" s="528" t="str">
        <f t="shared" si="109"/>
        <v/>
      </c>
      <c r="AJ80" s="529" t="str">
        <f t="shared" si="110"/>
        <v/>
      </c>
      <c r="AK80" s="578" t="str">
        <f t="shared" si="111"/>
        <v/>
      </c>
      <c r="AL80" s="572" t="str">
        <f t="shared" si="112"/>
        <v/>
      </c>
      <c r="AM80" s="577" t="str">
        <f t="shared" si="113"/>
        <v/>
      </c>
      <c r="AN80" s="524" t="str">
        <f t="shared" si="86"/>
        <v/>
      </c>
      <c r="AO80" s="525" t="str">
        <f t="shared" si="125"/>
        <v/>
      </c>
      <c r="AP80" s="528" t="str">
        <f t="shared" si="114"/>
        <v/>
      </c>
      <c r="AQ80" s="529" t="str">
        <f t="shared" si="129"/>
        <v/>
      </c>
      <c r="AS80" s="598" t="str">
        <f t="shared" si="115"/>
        <v/>
      </c>
      <c r="AT80" s="602" t="str">
        <f t="shared" si="130"/>
        <v/>
      </c>
      <c r="AU80" s="515" t="str">
        <f t="shared" si="87"/>
        <v/>
      </c>
      <c r="AV80" s="164" t="str">
        <f t="shared" si="116"/>
        <v/>
      </c>
      <c r="AW80" s="545" t="str">
        <f>IF($M80="","",W80-INDEX(Assy.Model!$W$9:$W$150,MATCH('SN#.Run#'!$M80,Assy.Model!$M$9:$M$150,0)))</f>
        <v/>
      </c>
      <c r="AX80" s="628" t="str">
        <f>IF($M80="","",X80-INDEX(Assy.Model!$X$9:$X$150,MATCH('SN#.Run#'!$M80,Assy.Model!$M$9:$M$150,0)))</f>
        <v/>
      </c>
      <c r="AY80" s="629" t="str">
        <f>IF($M80="","",Y80-INDEX(Assy.Model!$Y$9:$Y$150,MATCH('SN#.Run#'!$M80,Assy.Model!$M$9:$M$150,0)))</f>
        <v/>
      </c>
      <c r="AZ80" s="60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10" t="str">
        <f>IF($M80="","",AN80-INDEX(Assy.Model!$AN$9:$AN$150,MATCH('SN#.Run#'!$M80,Assy.Model!$M$9:$M$150,0)))</f>
        <v/>
      </c>
      <c r="BB80" s="525" t="str">
        <f>IF($M80="","",AO80-INDEX(Assy.Model!$AO$9:$AO$150,MATCH('SN#.Run#'!$M80,Assy.Model!$M$9:$M$150,0)))</f>
        <v/>
      </c>
      <c r="BC80" s="619" t="str">
        <f>IF($M80="","",AP80-INDEX(Assy.Model!$AP$9:$AP$150,MATCH('SN#.Run#'!$M80,Assy.Model!$M$9:$M$150,0)))</f>
        <v/>
      </c>
      <c r="BD80" s="419"/>
      <c r="BE80" s="699"/>
      <c r="BF80" s="417"/>
      <c r="BG80" s="417"/>
      <c r="BH80" s="417"/>
      <c r="IE80" s="790" t="str">
        <f>IFERROR(IF($IU80="","",IF($IU80&lt;(((Settings!$C$19/2)*-1)*$IE$8),"Taper","Nose")),"")</f>
        <v/>
      </c>
      <c r="IF80" s="482" t="str">
        <f>IFERROR(IF((((($IW80*COS(RADIANS(180-$IY80)))*COS(RADIANS($IY80)))-(($IX80*SIN(RADIANS(180-$IY80)))*SIN(RADIANS($IY80))))+$IU80)&lt;(((Settings!$C$19+$IF$8)/2)*-1),"Gage",""),"")</f>
        <v/>
      </c>
      <c r="IG80" s="788" t="str">
        <f t="shared" si="132"/>
        <v/>
      </c>
      <c r="IH80" s="674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677" t="str" cm="1">
        <f t="array" ref="II80">IFERROR(IF($IH80&lt;1,$IH80+LARGE((IF($M$9:$M$150="",0,$M$9:$M$150)-MOD(IF($M$9:$M$150="",0,$M$9:$M$150),1)),1),$IH80),"")</f>
        <v/>
      </c>
      <c r="IJ80" s="482" t="str">
        <f t="shared" si="131"/>
        <v/>
      </c>
      <c r="IK80" s="482" t="str">
        <f t="shared" si="117"/>
        <v/>
      </c>
      <c r="IL80" s="670" t="str">
        <f t="shared" si="68"/>
        <v/>
      </c>
      <c r="IM80" s="702"/>
      <c r="IN80" s="5" t="str">
        <f t="shared" si="69"/>
        <v/>
      </c>
      <c r="IO80" s="714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670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05" t="str">
        <f t="shared" si="77"/>
        <v/>
      </c>
    </row>
    <row r="81" spans="1:259" ht="15" customHeight="1" x14ac:dyDescent="0.25">
      <c r="A81" s="82"/>
      <c r="B81" s="578" t="str">
        <f t="shared" si="118"/>
        <v/>
      </c>
      <c r="C81" s="572" t="str">
        <f t="shared" si="119"/>
        <v/>
      </c>
      <c r="D81" s="576" t="str">
        <f t="shared" si="120"/>
        <v/>
      </c>
      <c r="E81" s="580" t="str">
        <f t="shared" si="121"/>
        <v/>
      </c>
      <c r="F81" s="572" t="str">
        <f t="shared" si="122"/>
        <v/>
      </c>
      <c r="G81" s="579" t="str">
        <f t="shared" si="123"/>
        <v/>
      </c>
      <c r="H81" s="580" t="str">
        <f t="shared" si="128"/>
        <v/>
      </c>
      <c r="I81" s="482"/>
      <c r="J81" s="483" t="str">
        <v/>
      </c>
      <c r="K81" s="806" t="str">
        <f t="shared" si="133"/>
        <v/>
      </c>
      <c r="M81" s="164" t="str">
        <f t="shared" si="88"/>
        <v/>
      </c>
      <c r="N81" s="575" t="str">
        <f t="shared" si="89"/>
        <v/>
      </c>
      <c r="O81" s="572" t="str">
        <f t="shared" si="90"/>
        <v/>
      </c>
      <c r="P81" s="576" t="str">
        <f t="shared" si="91"/>
        <v/>
      </c>
      <c r="Q81" s="528" t="str">
        <f t="shared" si="92"/>
        <v/>
      </c>
      <c r="R81" s="572" t="str">
        <f t="shared" si="93"/>
        <v/>
      </c>
      <c r="S81" s="577" t="str">
        <f t="shared" si="94"/>
        <v/>
      </c>
      <c r="T81" s="578" t="str">
        <f t="shared" si="95"/>
        <v/>
      </c>
      <c r="U81" s="572" t="str">
        <f t="shared" si="96"/>
        <v/>
      </c>
      <c r="V81" s="579" t="str">
        <f t="shared" si="97"/>
        <v/>
      </c>
      <c r="W81" s="528" t="str">
        <f t="shared" si="98"/>
        <v/>
      </c>
      <c r="X81" s="572" t="str">
        <f t="shared" si="99"/>
        <v/>
      </c>
      <c r="Y81" s="573" t="str">
        <f t="shared" si="124"/>
        <v/>
      </c>
      <c r="Z81" s="575" t="str">
        <f t="shared" si="100"/>
        <v/>
      </c>
      <c r="AA81" s="572" t="str">
        <f t="shared" si="101"/>
        <v/>
      </c>
      <c r="AB81" s="572" t="str">
        <f t="shared" si="102"/>
        <v/>
      </c>
      <c r="AC81" s="579" t="str">
        <f t="shared" si="103"/>
        <v/>
      </c>
      <c r="AD81" s="580" t="str">
        <f t="shared" si="104"/>
        <v/>
      </c>
      <c r="AE81" s="572" t="str">
        <f t="shared" si="105"/>
        <v/>
      </c>
      <c r="AF81" s="576" t="str">
        <f t="shared" si="106"/>
        <v/>
      </c>
      <c r="AG81" s="545" t="str">
        <f t="shared" si="107"/>
        <v/>
      </c>
      <c r="AH81" s="546" t="str">
        <f t="shared" si="108"/>
        <v/>
      </c>
      <c r="AI81" s="528" t="str">
        <f t="shared" si="109"/>
        <v/>
      </c>
      <c r="AJ81" s="529" t="str">
        <f t="shared" si="110"/>
        <v/>
      </c>
      <c r="AK81" s="578" t="str">
        <f t="shared" si="111"/>
        <v/>
      </c>
      <c r="AL81" s="572" t="str">
        <f t="shared" si="112"/>
        <v/>
      </c>
      <c r="AM81" s="577" t="str">
        <f t="shared" si="113"/>
        <v/>
      </c>
      <c r="AN81" s="524" t="str">
        <f t="shared" si="86"/>
        <v/>
      </c>
      <c r="AO81" s="525" t="str">
        <f t="shared" si="125"/>
        <v/>
      </c>
      <c r="AP81" s="528" t="str">
        <f t="shared" si="114"/>
        <v/>
      </c>
      <c r="AQ81" s="529" t="str">
        <f t="shared" si="129"/>
        <v/>
      </c>
      <c r="AS81" s="598" t="str">
        <f t="shared" si="115"/>
        <v/>
      </c>
      <c r="AT81" s="602" t="str">
        <f t="shared" si="130"/>
        <v/>
      </c>
      <c r="AU81" s="515" t="str">
        <f t="shared" si="87"/>
        <v/>
      </c>
      <c r="AV81" s="164" t="str">
        <f t="shared" si="116"/>
        <v/>
      </c>
      <c r="AW81" s="545" t="str">
        <f>IF($M81="","",W81-INDEX(Assy.Model!$W$9:$W$150,MATCH('SN#.Run#'!$M81,Assy.Model!$M$9:$M$150,0)))</f>
        <v/>
      </c>
      <c r="AX81" s="628" t="str">
        <f>IF($M81="","",X81-INDEX(Assy.Model!$X$9:$X$150,MATCH('SN#.Run#'!$M81,Assy.Model!$M$9:$M$150,0)))</f>
        <v/>
      </c>
      <c r="AY81" s="629" t="str">
        <f>IF($M81="","",Y81-INDEX(Assy.Model!$Y$9:$Y$150,MATCH('SN#.Run#'!$M81,Assy.Model!$M$9:$M$150,0)))</f>
        <v/>
      </c>
      <c r="AZ81" s="60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10" t="str">
        <f>IF($M81="","",AN81-INDEX(Assy.Model!$AN$9:$AN$150,MATCH('SN#.Run#'!$M81,Assy.Model!$M$9:$M$150,0)))</f>
        <v/>
      </c>
      <c r="BB81" s="525" t="str">
        <f>IF($M81="","",AO81-INDEX(Assy.Model!$AO$9:$AO$150,MATCH('SN#.Run#'!$M81,Assy.Model!$M$9:$M$150,0)))</f>
        <v/>
      </c>
      <c r="BC81" s="619" t="str">
        <f>IF($M81="","",AP81-INDEX(Assy.Model!$AP$9:$AP$150,MATCH('SN#.Run#'!$M81,Assy.Model!$M$9:$M$150,0)))</f>
        <v/>
      </c>
      <c r="BD81" s="419"/>
      <c r="BE81" s="699"/>
      <c r="BF81" s="417"/>
      <c r="BG81" s="417"/>
      <c r="BH81" s="417"/>
      <c r="IE81" s="790" t="str">
        <f>IFERROR(IF($IU81="","",IF($IU81&lt;(((Settings!$C$19/2)*-1)*$IE$8),"Taper","Nose")),"")</f>
        <v/>
      </c>
      <c r="IF81" s="482" t="str">
        <f>IFERROR(IF((((($IW81*COS(RADIANS(180-$IY81)))*COS(RADIANS($IY81)))-(($IX81*SIN(RADIANS(180-$IY81)))*SIN(RADIANS($IY81))))+$IU81)&lt;(((Settings!$C$19+$IF$8)/2)*-1),"Gage",""),"")</f>
        <v/>
      </c>
      <c r="IG81" s="788" t="str">
        <f t="shared" si="132"/>
        <v/>
      </c>
      <c r="IH81" s="674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677" t="str" cm="1">
        <f t="array" ref="II81">IFERROR(IF($IH81&lt;1,$IH81+LARGE((IF($M$9:$M$150="",0,$M$9:$M$150)-MOD(IF($M$9:$M$150="",0,$M$9:$M$150),1)),1),$IH81),"")</f>
        <v/>
      </c>
      <c r="IJ81" s="482" t="str">
        <f t="shared" si="131"/>
        <v/>
      </c>
      <c r="IK81" s="482" t="str">
        <f t="shared" si="117"/>
        <v/>
      </c>
      <c r="IL81" s="670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02"/>
      <c r="IN81" s="5" t="str">
        <f t="shared" ref="IN81:IN144" si="135">IF(ISNUMBER($II81),(($IO81*12)/60)/$AS$3,"")</f>
        <v/>
      </c>
      <c r="IO81" s="714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670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05" t="str">
        <f t="shared" ref="IY81:IY144" si="143">IF(ISNUMBER($II81),(-1*$AN81),"")</f>
        <v/>
      </c>
    </row>
    <row r="82" spans="1:259" ht="15" customHeight="1" x14ac:dyDescent="0.25">
      <c r="A82" s="82"/>
      <c r="B82" s="578" t="str">
        <f t="shared" si="118"/>
        <v/>
      </c>
      <c r="C82" s="572" t="str">
        <f t="shared" si="119"/>
        <v/>
      </c>
      <c r="D82" s="576" t="str">
        <f t="shared" si="120"/>
        <v/>
      </c>
      <c r="E82" s="580" t="str">
        <f t="shared" si="121"/>
        <v/>
      </c>
      <c r="F82" s="572" t="str">
        <f t="shared" si="122"/>
        <v/>
      </c>
      <c r="G82" s="579" t="str">
        <f t="shared" si="123"/>
        <v/>
      </c>
      <c r="H82" s="580" t="str">
        <f t="shared" si="128"/>
        <v/>
      </c>
      <c r="I82" s="482"/>
      <c r="J82" s="483" t="str">
        <v/>
      </c>
      <c r="K82" s="806" t="str">
        <f t="shared" si="133"/>
        <v/>
      </c>
      <c r="M82" s="164" t="str">
        <f t="shared" si="88"/>
        <v/>
      </c>
      <c r="N82" s="575" t="str">
        <f t="shared" si="89"/>
        <v/>
      </c>
      <c r="O82" s="572" t="str">
        <f t="shared" si="90"/>
        <v/>
      </c>
      <c r="P82" s="576" t="str">
        <f t="shared" si="91"/>
        <v/>
      </c>
      <c r="Q82" s="528" t="str">
        <f t="shared" si="92"/>
        <v/>
      </c>
      <c r="R82" s="572" t="str">
        <f t="shared" si="93"/>
        <v/>
      </c>
      <c r="S82" s="577" t="str">
        <f t="shared" si="94"/>
        <v/>
      </c>
      <c r="T82" s="578" t="str">
        <f t="shared" si="95"/>
        <v/>
      </c>
      <c r="U82" s="572" t="str">
        <f t="shared" si="96"/>
        <v/>
      </c>
      <c r="V82" s="579" t="str">
        <f t="shared" si="97"/>
        <v/>
      </c>
      <c r="W82" s="528" t="str">
        <f t="shared" si="98"/>
        <v/>
      </c>
      <c r="X82" s="572" t="str">
        <f t="shared" si="99"/>
        <v/>
      </c>
      <c r="Y82" s="573" t="str">
        <f t="shared" si="124"/>
        <v/>
      </c>
      <c r="Z82" s="575" t="str">
        <f t="shared" si="100"/>
        <v/>
      </c>
      <c r="AA82" s="572" t="str">
        <f t="shared" si="101"/>
        <v/>
      </c>
      <c r="AB82" s="572" t="str">
        <f t="shared" si="102"/>
        <v/>
      </c>
      <c r="AC82" s="579" t="str">
        <f t="shared" si="103"/>
        <v/>
      </c>
      <c r="AD82" s="580" t="str">
        <f t="shared" si="104"/>
        <v/>
      </c>
      <c r="AE82" s="572" t="str">
        <f t="shared" si="105"/>
        <v/>
      </c>
      <c r="AF82" s="576" t="str">
        <f t="shared" si="106"/>
        <v/>
      </c>
      <c r="AG82" s="545" t="str">
        <f t="shared" si="107"/>
        <v/>
      </c>
      <c r="AH82" s="546" t="str">
        <f t="shared" si="108"/>
        <v/>
      </c>
      <c r="AI82" s="528" t="str">
        <f t="shared" si="109"/>
        <v/>
      </c>
      <c r="AJ82" s="529" t="str">
        <f t="shared" si="110"/>
        <v/>
      </c>
      <c r="AK82" s="578" t="str">
        <f t="shared" si="111"/>
        <v/>
      </c>
      <c r="AL82" s="572" t="str">
        <f t="shared" si="112"/>
        <v/>
      </c>
      <c r="AM82" s="577" t="str">
        <f t="shared" si="113"/>
        <v/>
      </c>
      <c r="AN82" s="524" t="str">
        <f t="shared" si="86"/>
        <v/>
      </c>
      <c r="AO82" s="525" t="str">
        <f t="shared" si="125"/>
        <v/>
      </c>
      <c r="AP82" s="528" t="str">
        <f t="shared" si="114"/>
        <v/>
      </c>
      <c r="AQ82" s="529" t="str">
        <f t="shared" si="129"/>
        <v/>
      </c>
      <c r="AS82" s="598" t="str">
        <f t="shared" si="115"/>
        <v/>
      </c>
      <c r="AT82" s="602" t="str">
        <f t="shared" si="130"/>
        <v/>
      </c>
      <c r="AU82" s="515" t="str">
        <f t="shared" si="87"/>
        <v/>
      </c>
      <c r="AV82" s="164" t="str">
        <f t="shared" si="116"/>
        <v/>
      </c>
      <c r="AW82" s="545" t="str">
        <f>IF($M82="","",W82-INDEX(Assy.Model!$W$9:$W$150,MATCH('SN#.Run#'!$M82,Assy.Model!$M$9:$M$150,0)))</f>
        <v/>
      </c>
      <c r="AX82" s="628" t="str">
        <f>IF($M82="","",X82-INDEX(Assy.Model!$X$9:$X$150,MATCH('SN#.Run#'!$M82,Assy.Model!$M$9:$M$150,0)))</f>
        <v/>
      </c>
      <c r="AY82" s="629" t="str">
        <f>IF($M82="","",Y82-INDEX(Assy.Model!$Y$9:$Y$150,MATCH('SN#.Run#'!$M82,Assy.Model!$M$9:$M$150,0)))</f>
        <v/>
      </c>
      <c r="AZ82" s="60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10" t="str">
        <f>IF($M82="","",AN82-INDEX(Assy.Model!$AN$9:$AN$150,MATCH('SN#.Run#'!$M82,Assy.Model!$M$9:$M$150,0)))</f>
        <v/>
      </c>
      <c r="BB82" s="525" t="str">
        <f>IF($M82="","",AO82-INDEX(Assy.Model!$AO$9:$AO$150,MATCH('SN#.Run#'!$M82,Assy.Model!$M$9:$M$150,0)))</f>
        <v/>
      </c>
      <c r="BC82" s="619" t="str">
        <f>IF($M82="","",AP82-INDEX(Assy.Model!$AP$9:$AP$150,MATCH('SN#.Run#'!$M82,Assy.Model!$M$9:$M$150,0)))</f>
        <v/>
      </c>
      <c r="BD82" s="419"/>
      <c r="BE82" s="699"/>
      <c r="BF82" s="417"/>
      <c r="BG82" s="417"/>
      <c r="BH82" s="417"/>
      <c r="IE82" s="790" t="str">
        <f>IFERROR(IF($IU82="","",IF($IU82&lt;(((Settings!$C$19/2)*-1)*$IE$8),"Taper","Nose")),"")</f>
        <v/>
      </c>
      <c r="IF82" s="482" t="str">
        <f>IFERROR(IF((((($IW82*COS(RADIANS(180-$IY82)))*COS(RADIANS($IY82)))-(($IX82*SIN(RADIANS(180-$IY82)))*SIN(RADIANS($IY82))))+$IU82)&lt;(((Settings!$C$19+$IF$8)/2)*-1),"Gage",""),"")</f>
        <v/>
      </c>
      <c r="IG82" s="788" t="str">
        <f t="shared" si="132"/>
        <v/>
      </c>
      <c r="IH82" s="674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677" t="str" cm="1">
        <f t="array" ref="II82">IFERROR(IF($IH82&lt;1,$IH82+LARGE((IF($M$9:$M$150="",0,$M$9:$M$150)-MOD(IF($M$9:$M$150="",0,$M$9:$M$150),1)),1),$IH82),"")</f>
        <v/>
      </c>
      <c r="IJ82" s="482" t="str">
        <f t="shared" si="131"/>
        <v/>
      </c>
      <c r="IK82" s="482" t="str">
        <f t="shared" si="117"/>
        <v/>
      </c>
      <c r="IL82" s="670" t="str">
        <f t="shared" si="134"/>
        <v/>
      </c>
      <c r="IM82" s="702"/>
      <c r="IN82" s="5" t="str">
        <f t="shared" si="135"/>
        <v/>
      </c>
      <c r="IO82" s="714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670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05" t="str">
        <f t="shared" si="143"/>
        <v/>
      </c>
    </row>
    <row r="83" spans="1:259" ht="15" customHeight="1" x14ac:dyDescent="0.25">
      <c r="A83" s="82"/>
      <c r="B83" s="578" t="str">
        <f t="shared" si="118"/>
        <v/>
      </c>
      <c r="C83" s="572" t="str">
        <f t="shared" si="119"/>
        <v/>
      </c>
      <c r="D83" s="576" t="str">
        <f t="shared" si="120"/>
        <v/>
      </c>
      <c r="E83" s="580" t="str">
        <f t="shared" si="121"/>
        <v/>
      </c>
      <c r="F83" s="572" t="str">
        <f t="shared" si="122"/>
        <v/>
      </c>
      <c r="G83" s="579" t="str">
        <f t="shared" si="123"/>
        <v/>
      </c>
      <c r="H83" s="580" t="str">
        <f t="shared" si="128"/>
        <v/>
      </c>
      <c r="I83" s="482"/>
      <c r="J83" s="483" t="str">
        <v/>
      </c>
      <c r="K83" s="806" t="str">
        <f t="shared" si="133"/>
        <v/>
      </c>
      <c r="M83" s="164" t="str">
        <f t="shared" si="88"/>
        <v/>
      </c>
      <c r="N83" s="575" t="str">
        <f t="shared" si="89"/>
        <v/>
      </c>
      <c r="O83" s="572" t="str">
        <f t="shared" si="90"/>
        <v/>
      </c>
      <c r="P83" s="576" t="str">
        <f t="shared" si="91"/>
        <v/>
      </c>
      <c r="Q83" s="528" t="str">
        <f t="shared" si="92"/>
        <v/>
      </c>
      <c r="R83" s="572" t="str">
        <f t="shared" si="93"/>
        <v/>
      </c>
      <c r="S83" s="577" t="str">
        <f t="shared" si="94"/>
        <v/>
      </c>
      <c r="T83" s="578" t="str">
        <f t="shared" si="95"/>
        <v/>
      </c>
      <c r="U83" s="572" t="str">
        <f t="shared" si="96"/>
        <v/>
      </c>
      <c r="V83" s="579" t="str">
        <f t="shared" si="97"/>
        <v/>
      </c>
      <c r="W83" s="528" t="str">
        <f t="shared" si="98"/>
        <v/>
      </c>
      <c r="X83" s="572" t="str">
        <f t="shared" si="99"/>
        <v/>
      </c>
      <c r="Y83" s="573" t="str">
        <f t="shared" si="124"/>
        <v/>
      </c>
      <c r="Z83" s="575" t="str">
        <f t="shared" si="100"/>
        <v/>
      </c>
      <c r="AA83" s="572" t="str">
        <f t="shared" si="101"/>
        <v/>
      </c>
      <c r="AB83" s="572" t="str">
        <f t="shared" si="102"/>
        <v/>
      </c>
      <c r="AC83" s="579" t="str">
        <f t="shared" si="103"/>
        <v/>
      </c>
      <c r="AD83" s="580" t="str">
        <f t="shared" si="104"/>
        <v/>
      </c>
      <c r="AE83" s="572" t="str">
        <f t="shared" si="105"/>
        <v/>
      </c>
      <c r="AF83" s="576" t="str">
        <f t="shared" si="106"/>
        <v/>
      </c>
      <c r="AG83" s="545" t="str">
        <f t="shared" si="107"/>
        <v/>
      </c>
      <c r="AH83" s="546" t="str">
        <f t="shared" si="108"/>
        <v/>
      </c>
      <c r="AI83" s="528" t="str">
        <f t="shared" si="109"/>
        <v/>
      </c>
      <c r="AJ83" s="529" t="str">
        <f t="shared" si="110"/>
        <v/>
      </c>
      <c r="AK83" s="578" t="str">
        <f t="shared" si="111"/>
        <v/>
      </c>
      <c r="AL83" s="572" t="str">
        <f t="shared" si="112"/>
        <v/>
      </c>
      <c r="AM83" s="577" t="str">
        <f t="shared" si="113"/>
        <v/>
      </c>
      <c r="AN83" s="524" t="str">
        <f t="shared" si="86"/>
        <v/>
      </c>
      <c r="AO83" s="525" t="str">
        <f t="shared" si="125"/>
        <v/>
      </c>
      <c r="AP83" s="528" t="str">
        <f t="shared" si="114"/>
        <v/>
      </c>
      <c r="AQ83" s="529" t="str">
        <f t="shared" si="129"/>
        <v/>
      </c>
      <c r="AS83" s="598" t="str">
        <f t="shared" si="115"/>
        <v/>
      </c>
      <c r="AT83" s="602" t="str">
        <f t="shared" si="130"/>
        <v/>
      </c>
      <c r="AU83" s="515" t="str">
        <f t="shared" si="87"/>
        <v/>
      </c>
      <c r="AV83" s="164" t="str">
        <f t="shared" si="116"/>
        <v/>
      </c>
      <c r="AW83" s="545" t="str">
        <f>IF($M83="","",W83-INDEX(Assy.Model!$W$9:$W$150,MATCH('SN#.Run#'!$M83,Assy.Model!$M$9:$M$150,0)))</f>
        <v/>
      </c>
      <c r="AX83" s="628" t="str">
        <f>IF($M83="","",X83-INDEX(Assy.Model!$X$9:$X$150,MATCH('SN#.Run#'!$M83,Assy.Model!$M$9:$M$150,0)))</f>
        <v/>
      </c>
      <c r="AY83" s="629" t="str">
        <f>IF($M83="","",Y83-INDEX(Assy.Model!$Y$9:$Y$150,MATCH('SN#.Run#'!$M83,Assy.Model!$M$9:$M$150,0)))</f>
        <v/>
      </c>
      <c r="AZ83" s="60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10" t="str">
        <f>IF($M83="","",AN83-INDEX(Assy.Model!$AN$9:$AN$150,MATCH('SN#.Run#'!$M83,Assy.Model!$M$9:$M$150,0)))</f>
        <v/>
      </c>
      <c r="BB83" s="525" t="str">
        <f>IF($M83="","",AO83-INDEX(Assy.Model!$AO$9:$AO$150,MATCH('SN#.Run#'!$M83,Assy.Model!$M$9:$M$150,0)))</f>
        <v/>
      </c>
      <c r="BC83" s="619" t="str">
        <f>IF($M83="","",AP83-INDEX(Assy.Model!$AP$9:$AP$150,MATCH('SN#.Run#'!$M83,Assy.Model!$M$9:$M$150,0)))</f>
        <v/>
      </c>
      <c r="BD83" s="419"/>
      <c r="BE83" s="699"/>
      <c r="BF83" s="417"/>
      <c r="BG83" s="417"/>
      <c r="BH83" s="417"/>
      <c r="IE83" s="790" t="str">
        <f>IFERROR(IF($IU83="","",IF($IU83&lt;(((Settings!$C$19/2)*-1)*$IE$8),"Taper","Nose")),"")</f>
        <v/>
      </c>
      <c r="IF83" s="482" t="str">
        <f>IFERROR(IF((((($IW83*COS(RADIANS(180-$IY83)))*COS(RADIANS($IY83)))-(($IX83*SIN(RADIANS(180-$IY83)))*SIN(RADIANS($IY83))))+$IU83)&lt;(((Settings!$C$19+$IF$8)/2)*-1),"Gage",""),"")</f>
        <v/>
      </c>
      <c r="IG83" s="788" t="str">
        <f t="shared" si="132"/>
        <v/>
      </c>
      <c r="IH83" s="674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677" t="str" cm="1">
        <f t="array" ref="II83">IFERROR(IF($IH83&lt;1,$IH83+LARGE((IF($M$9:$M$150="",0,$M$9:$M$150)-MOD(IF($M$9:$M$150="",0,$M$9:$M$150),1)),1),$IH83),"")</f>
        <v/>
      </c>
      <c r="IJ83" s="482" t="str">
        <f t="shared" si="131"/>
        <v/>
      </c>
      <c r="IK83" s="482" t="str">
        <f t="shared" si="117"/>
        <v/>
      </c>
      <c r="IL83" s="670" t="str">
        <f t="shared" si="134"/>
        <v/>
      </c>
      <c r="IM83" s="702"/>
      <c r="IN83" s="5" t="str">
        <f t="shared" si="135"/>
        <v/>
      </c>
      <c r="IO83" s="714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670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05" t="str">
        <f t="shared" si="143"/>
        <v/>
      </c>
    </row>
    <row r="84" spans="1:259" ht="15" customHeight="1" x14ac:dyDescent="0.25">
      <c r="A84" s="82"/>
      <c r="B84" s="578" t="str">
        <f t="shared" si="118"/>
        <v/>
      </c>
      <c r="C84" s="572" t="str">
        <f t="shared" si="119"/>
        <v/>
      </c>
      <c r="D84" s="576" t="str">
        <f t="shared" si="120"/>
        <v/>
      </c>
      <c r="E84" s="580" t="str">
        <f t="shared" si="121"/>
        <v/>
      </c>
      <c r="F84" s="572" t="str">
        <f t="shared" si="122"/>
        <v/>
      </c>
      <c r="G84" s="579" t="str">
        <f t="shared" si="123"/>
        <v/>
      </c>
      <c r="H84" s="580" t="str">
        <f t="shared" si="128"/>
        <v/>
      </c>
      <c r="I84" s="482"/>
      <c r="J84" s="483" t="str">
        <v/>
      </c>
      <c r="K84" s="806" t="str">
        <f t="shared" si="133"/>
        <v/>
      </c>
      <c r="M84" s="164" t="str">
        <f t="shared" si="88"/>
        <v/>
      </c>
      <c r="N84" s="575" t="str">
        <f t="shared" si="89"/>
        <v/>
      </c>
      <c r="O84" s="572" t="str">
        <f t="shared" si="90"/>
        <v/>
      </c>
      <c r="P84" s="576" t="str">
        <f t="shared" si="91"/>
        <v/>
      </c>
      <c r="Q84" s="528" t="str">
        <f t="shared" si="92"/>
        <v/>
      </c>
      <c r="R84" s="572" t="str">
        <f t="shared" si="93"/>
        <v/>
      </c>
      <c r="S84" s="577" t="str">
        <f t="shared" si="94"/>
        <v/>
      </c>
      <c r="T84" s="578" t="str">
        <f t="shared" si="95"/>
        <v/>
      </c>
      <c r="U84" s="572" t="str">
        <f t="shared" si="96"/>
        <v/>
      </c>
      <c r="V84" s="579" t="str">
        <f t="shared" si="97"/>
        <v/>
      </c>
      <c r="W84" s="528" t="str">
        <f t="shared" si="98"/>
        <v/>
      </c>
      <c r="X84" s="572" t="str">
        <f t="shared" si="99"/>
        <v/>
      </c>
      <c r="Y84" s="573" t="str">
        <f t="shared" si="124"/>
        <v/>
      </c>
      <c r="Z84" s="575" t="str">
        <f t="shared" si="100"/>
        <v/>
      </c>
      <c r="AA84" s="572" t="str">
        <f t="shared" si="101"/>
        <v/>
      </c>
      <c r="AB84" s="572" t="str">
        <f t="shared" si="102"/>
        <v/>
      </c>
      <c r="AC84" s="579" t="str">
        <f t="shared" si="103"/>
        <v/>
      </c>
      <c r="AD84" s="580" t="str">
        <f t="shared" si="104"/>
        <v/>
      </c>
      <c r="AE84" s="572" t="str">
        <f t="shared" si="105"/>
        <v/>
      </c>
      <c r="AF84" s="576" t="str">
        <f t="shared" si="106"/>
        <v/>
      </c>
      <c r="AG84" s="545" t="str">
        <f t="shared" si="107"/>
        <v/>
      </c>
      <c r="AH84" s="546" t="str">
        <f t="shared" si="108"/>
        <v/>
      </c>
      <c r="AI84" s="528" t="str">
        <f t="shared" si="109"/>
        <v/>
      </c>
      <c r="AJ84" s="529" t="str">
        <f t="shared" si="110"/>
        <v/>
      </c>
      <c r="AK84" s="578" t="str">
        <f t="shared" si="111"/>
        <v/>
      </c>
      <c r="AL84" s="572" t="str">
        <f t="shared" si="112"/>
        <v/>
      </c>
      <c r="AM84" s="577" t="str">
        <f t="shared" si="113"/>
        <v/>
      </c>
      <c r="AN84" s="524" t="str">
        <f t="shared" si="86"/>
        <v/>
      </c>
      <c r="AO84" s="525" t="str">
        <f t="shared" si="125"/>
        <v/>
      </c>
      <c r="AP84" s="528" t="str">
        <f t="shared" si="114"/>
        <v/>
      </c>
      <c r="AQ84" s="529" t="str">
        <f t="shared" si="129"/>
        <v/>
      </c>
      <c r="AS84" s="598" t="str">
        <f t="shared" si="115"/>
        <v/>
      </c>
      <c r="AT84" s="602" t="str">
        <f t="shared" si="130"/>
        <v/>
      </c>
      <c r="AU84" s="515" t="str">
        <f t="shared" si="87"/>
        <v/>
      </c>
      <c r="AV84" s="164" t="str">
        <f t="shared" si="116"/>
        <v/>
      </c>
      <c r="AW84" s="545" t="str">
        <f>IF($M84="","",W84-INDEX(Assy.Model!$W$9:$W$150,MATCH('SN#.Run#'!$M84,Assy.Model!$M$9:$M$150,0)))</f>
        <v/>
      </c>
      <c r="AX84" s="628" t="str">
        <f>IF($M84="","",X84-INDEX(Assy.Model!$X$9:$X$150,MATCH('SN#.Run#'!$M84,Assy.Model!$M$9:$M$150,0)))</f>
        <v/>
      </c>
      <c r="AY84" s="629" t="str">
        <f>IF($M84="","",Y84-INDEX(Assy.Model!$Y$9:$Y$150,MATCH('SN#.Run#'!$M84,Assy.Model!$M$9:$M$150,0)))</f>
        <v/>
      </c>
      <c r="AZ84" s="60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10" t="str">
        <f>IF($M84="","",AN84-INDEX(Assy.Model!$AN$9:$AN$150,MATCH('SN#.Run#'!$M84,Assy.Model!$M$9:$M$150,0)))</f>
        <v/>
      </c>
      <c r="BB84" s="525" t="str">
        <f>IF($M84="","",AO84-INDEX(Assy.Model!$AO$9:$AO$150,MATCH('SN#.Run#'!$M84,Assy.Model!$M$9:$M$150,0)))</f>
        <v/>
      </c>
      <c r="BC84" s="619" t="str">
        <f>IF($M84="","",AP84-INDEX(Assy.Model!$AP$9:$AP$150,MATCH('SN#.Run#'!$M84,Assy.Model!$M$9:$M$150,0)))</f>
        <v/>
      </c>
      <c r="BD84" s="419"/>
      <c r="BE84" s="699"/>
      <c r="BF84" s="417"/>
      <c r="BG84" s="417"/>
      <c r="BH84" s="417"/>
      <c r="BI84" s="1"/>
      <c r="IE84" s="790" t="str">
        <f>IFERROR(IF($IU84="","",IF($IU84&lt;(((Settings!$C$19/2)*-1)*$IE$8),"Taper","Nose")),"")</f>
        <v/>
      </c>
      <c r="IF84" s="482" t="str">
        <f>IFERROR(IF((((($IW84*COS(RADIANS(180-$IY84)))*COS(RADIANS($IY84)))-(($IX84*SIN(RADIANS(180-$IY84)))*SIN(RADIANS($IY84))))+$IU84)&lt;(((Settings!$C$19+$IF$8)/2)*-1),"Gage",""),"")</f>
        <v/>
      </c>
      <c r="IG84" s="788" t="str">
        <f t="shared" si="132"/>
        <v/>
      </c>
      <c r="IH84" s="674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677" t="str" cm="1">
        <f t="array" ref="II84">IFERROR(IF($IH84&lt;1,$IH84+LARGE((IF($M$9:$M$150="",0,$M$9:$M$150)-MOD(IF($M$9:$M$150="",0,$M$9:$M$150),1)),1),$IH84),"")</f>
        <v/>
      </c>
      <c r="IJ84" s="482" t="str">
        <f t="shared" si="131"/>
        <v/>
      </c>
      <c r="IK84" s="482" t="str">
        <f t="shared" si="117"/>
        <v/>
      </c>
      <c r="IL84" s="670" t="str">
        <f t="shared" si="134"/>
        <v/>
      </c>
      <c r="IM84" s="702"/>
      <c r="IN84" s="5" t="str">
        <f t="shared" si="135"/>
        <v/>
      </c>
      <c r="IO84" s="714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670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05" t="str">
        <f t="shared" si="143"/>
        <v/>
      </c>
    </row>
    <row r="85" spans="1:259" ht="15" customHeight="1" x14ac:dyDescent="0.25">
      <c r="A85" s="82"/>
      <c r="B85" s="578" t="str">
        <f t="shared" si="118"/>
        <v/>
      </c>
      <c r="C85" s="572" t="str">
        <f t="shared" si="119"/>
        <v/>
      </c>
      <c r="D85" s="576" t="str">
        <f t="shared" si="120"/>
        <v/>
      </c>
      <c r="E85" s="580" t="str">
        <f t="shared" si="121"/>
        <v/>
      </c>
      <c r="F85" s="572" t="str">
        <f t="shared" si="122"/>
        <v/>
      </c>
      <c r="G85" s="579" t="str">
        <f t="shared" si="123"/>
        <v/>
      </c>
      <c r="H85" s="580" t="str">
        <f t="shared" si="128"/>
        <v/>
      </c>
      <c r="I85" s="482"/>
      <c r="J85" s="483" t="str">
        <v/>
      </c>
      <c r="K85" s="806" t="str">
        <f t="shared" si="133"/>
        <v/>
      </c>
      <c r="M85" s="164" t="str">
        <f t="shared" si="88"/>
        <v/>
      </c>
      <c r="N85" s="575" t="str">
        <f t="shared" si="89"/>
        <v/>
      </c>
      <c r="O85" s="572" t="str">
        <f t="shared" si="90"/>
        <v/>
      </c>
      <c r="P85" s="576" t="str">
        <f t="shared" si="91"/>
        <v/>
      </c>
      <c r="Q85" s="528" t="str">
        <f t="shared" si="92"/>
        <v/>
      </c>
      <c r="R85" s="572" t="str">
        <f t="shared" si="93"/>
        <v/>
      </c>
      <c r="S85" s="577" t="str">
        <f t="shared" si="94"/>
        <v/>
      </c>
      <c r="T85" s="578" t="str">
        <f t="shared" si="95"/>
        <v/>
      </c>
      <c r="U85" s="572" t="str">
        <f t="shared" si="96"/>
        <v/>
      </c>
      <c r="V85" s="579" t="str">
        <f t="shared" si="97"/>
        <v/>
      </c>
      <c r="W85" s="528" t="str">
        <f t="shared" si="98"/>
        <v/>
      </c>
      <c r="X85" s="572" t="str">
        <f t="shared" si="99"/>
        <v/>
      </c>
      <c r="Y85" s="573" t="str">
        <f t="shared" si="124"/>
        <v/>
      </c>
      <c r="Z85" s="575" t="str">
        <f t="shared" si="100"/>
        <v/>
      </c>
      <c r="AA85" s="572" t="str">
        <f t="shared" si="101"/>
        <v/>
      </c>
      <c r="AB85" s="572" t="str">
        <f t="shared" si="102"/>
        <v/>
      </c>
      <c r="AC85" s="579" t="str">
        <f t="shared" si="103"/>
        <v/>
      </c>
      <c r="AD85" s="580" t="str">
        <f t="shared" si="104"/>
        <v/>
      </c>
      <c r="AE85" s="572" t="str">
        <f t="shared" si="105"/>
        <v/>
      </c>
      <c r="AF85" s="576" t="str">
        <f t="shared" si="106"/>
        <v/>
      </c>
      <c r="AG85" s="545" t="str">
        <f t="shared" si="107"/>
        <v/>
      </c>
      <c r="AH85" s="546" t="str">
        <f t="shared" si="108"/>
        <v/>
      </c>
      <c r="AI85" s="528" t="str">
        <f t="shared" si="109"/>
        <v/>
      </c>
      <c r="AJ85" s="529" t="str">
        <f t="shared" si="110"/>
        <v/>
      </c>
      <c r="AK85" s="578" t="str">
        <f t="shared" si="111"/>
        <v/>
      </c>
      <c r="AL85" s="572" t="str">
        <f t="shared" si="112"/>
        <v/>
      </c>
      <c r="AM85" s="577" t="str">
        <f t="shared" si="113"/>
        <v/>
      </c>
      <c r="AN85" s="524" t="str">
        <f t="shared" si="86"/>
        <v/>
      </c>
      <c r="AO85" s="525" t="str">
        <f t="shared" si="125"/>
        <v/>
      </c>
      <c r="AP85" s="528" t="str">
        <f t="shared" si="114"/>
        <v/>
      </c>
      <c r="AQ85" s="529" t="str">
        <f t="shared" si="129"/>
        <v/>
      </c>
      <c r="AS85" s="598" t="str">
        <f t="shared" si="115"/>
        <v/>
      </c>
      <c r="AT85" s="602" t="str">
        <f t="shared" si="130"/>
        <v/>
      </c>
      <c r="AU85" s="515" t="str">
        <f t="shared" si="87"/>
        <v/>
      </c>
      <c r="AV85" s="164" t="str">
        <f t="shared" si="116"/>
        <v/>
      </c>
      <c r="AW85" s="545" t="str">
        <f>IF($M85="","",W85-INDEX(Assy.Model!$W$9:$W$150,MATCH('SN#.Run#'!$M85,Assy.Model!$M$9:$M$150,0)))</f>
        <v/>
      </c>
      <c r="AX85" s="628" t="str">
        <f>IF($M85="","",X85-INDEX(Assy.Model!$X$9:$X$150,MATCH('SN#.Run#'!$M85,Assy.Model!$M$9:$M$150,0)))</f>
        <v/>
      </c>
      <c r="AY85" s="629" t="str">
        <f>IF($M85="","",Y85-INDEX(Assy.Model!$Y$9:$Y$150,MATCH('SN#.Run#'!$M85,Assy.Model!$M$9:$M$150,0)))</f>
        <v/>
      </c>
      <c r="AZ85" s="60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10" t="str">
        <f>IF($M85="","",AN85-INDEX(Assy.Model!$AN$9:$AN$150,MATCH('SN#.Run#'!$M85,Assy.Model!$M$9:$M$150,0)))</f>
        <v/>
      </c>
      <c r="BB85" s="525" t="str">
        <f>IF($M85="","",AO85-INDEX(Assy.Model!$AO$9:$AO$150,MATCH('SN#.Run#'!$M85,Assy.Model!$M$9:$M$150,0)))</f>
        <v/>
      </c>
      <c r="BC85" s="619" t="str">
        <f>IF($M85="","",AP85-INDEX(Assy.Model!$AP$9:$AP$150,MATCH('SN#.Run#'!$M85,Assy.Model!$M$9:$M$150,0)))</f>
        <v/>
      </c>
      <c r="BD85" s="419"/>
      <c r="BE85" s="699"/>
      <c r="BF85" s="417"/>
      <c r="BG85" s="417"/>
      <c r="BH85" s="417"/>
      <c r="IE85" s="790" t="str">
        <f>IFERROR(IF($IU85="","",IF($IU85&lt;(((Settings!$C$19/2)*-1)*$IE$8),"Taper","Nose")),"")</f>
        <v/>
      </c>
      <c r="IF85" s="482" t="str">
        <f>IFERROR(IF((((($IW85*COS(RADIANS(180-$IY85)))*COS(RADIANS($IY85)))-(($IX85*SIN(RADIANS(180-$IY85)))*SIN(RADIANS($IY85))))+$IU85)&lt;(((Settings!$C$19+$IF$8)/2)*-1),"Gage",""),"")</f>
        <v/>
      </c>
      <c r="IG85" s="788" t="str">
        <f t="shared" si="132"/>
        <v/>
      </c>
      <c r="IH85" s="674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677" t="str" cm="1">
        <f t="array" ref="II85">IFERROR(IF($IH85&lt;1,$IH85+LARGE((IF($M$9:$M$150="",0,$M$9:$M$150)-MOD(IF($M$9:$M$150="",0,$M$9:$M$150),1)),1),$IH85),"")</f>
        <v/>
      </c>
      <c r="IJ85" s="482" t="str">
        <f t="shared" si="131"/>
        <v/>
      </c>
      <c r="IK85" s="482" t="str">
        <f t="shared" si="117"/>
        <v/>
      </c>
      <c r="IL85" s="670" t="str">
        <f t="shared" si="134"/>
        <v/>
      </c>
      <c r="IM85" s="702"/>
      <c r="IN85" s="5" t="str">
        <f t="shared" si="135"/>
        <v/>
      </c>
      <c r="IO85" s="714"/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670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05" t="str">
        <f t="shared" si="143"/>
        <v/>
      </c>
    </row>
    <row r="86" spans="1:259" ht="15" customHeight="1" x14ac:dyDescent="0.25">
      <c r="A86" s="82"/>
      <c r="B86" s="578" t="str">
        <f t="shared" si="118"/>
        <v/>
      </c>
      <c r="C86" s="572" t="str">
        <f t="shared" si="119"/>
        <v/>
      </c>
      <c r="D86" s="576" t="str">
        <f t="shared" si="120"/>
        <v/>
      </c>
      <c r="E86" s="580" t="str">
        <f t="shared" si="121"/>
        <v/>
      </c>
      <c r="F86" s="572" t="str">
        <f t="shared" si="122"/>
        <v/>
      </c>
      <c r="G86" s="579" t="str">
        <f t="shared" si="123"/>
        <v/>
      </c>
      <c r="H86" s="580" t="str">
        <f t="shared" si="128"/>
        <v/>
      </c>
      <c r="I86" s="482"/>
      <c r="J86" s="483" t="str">
        <v/>
      </c>
      <c r="K86" s="806" t="str">
        <f t="shared" si="133"/>
        <v/>
      </c>
      <c r="M86" s="164" t="str">
        <f t="shared" si="88"/>
        <v/>
      </c>
      <c r="N86" s="575" t="str">
        <f t="shared" si="89"/>
        <v/>
      </c>
      <c r="O86" s="572" t="str">
        <f t="shared" si="90"/>
        <v/>
      </c>
      <c r="P86" s="576" t="str">
        <f t="shared" si="91"/>
        <v/>
      </c>
      <c r="Q86" s="528" t="str">
        <f t="shared" si="92"/>
        <v/>
      </c>
      <c r="R86" s="572" t="str">
        <f t="shared" si="93"/>
        <v/>
      </c>
      <c r="S86" s="577" t="str">
        <f t="shared" si="94"/>
        <v/>
      </c>
      <c r="T86" s="578" t="str">
        <f t="shared" si="95"/>
        <v/>
      </c>
      <c r="U86" s="572" t="str">
        <f t="shared" si="96"/>
        <v/>
      </c>
      <c r="V86" s="579" t="str">
        <f t="shared" si="97"/>
        <v/>
      </c>
      <c r="W86" s="528" t="str">
        <f t="shared" si="98"/>
        <v/>
      </c>
      <c r="X86" s="572" t="str">
        <f t="shared" si="99"/>
        <v/>
      </c>
      <c r="Y86" s="573" t="str">
        <f t="shared" si="124"/>
        <v/>
      </c>
      <c r="Z86" s="575" t="str">
        <f t="shared" si="100"/>
        <v/>
      </c>
      <c r="AA86" s="572" t="str">
        <f t="shared" si="101"/>
        <v/>
      </c>
      <c r="AB86" s="572" t="str">
        <f t="shared" si="102"/>
        <v/>
      </c>
      <c r="AC86" s="579" t="str">
        <f t="shared" si="103"/>
        <v/>
      </c>
      <c r="AD86" s="580" t="str">
        <f t="shared" si="104"/>
        <v/>
      </c>
      <c r="AE86" s="572" t="str">
        <f t="shared" si="105"/>
        <v/>
      </c>
      <c r="AF86" s="576" t="str">
        <f t="shared" si="106"/>
        <v/>
      </c>
      <c r="AG86" s="545" t="str">
        <f t="shared" si="107"/>
        <v/>
      </c>
      <c r="AH86" s="546" t="str">
        <f t="shared" si="108"/>
        <v/>
      </c>
      <c r="AI86" s="528" t="str">
        <f t="shared" si="109"/>
        <v/>
      </c>
      <c r="AJ86" s="529" t="str">
        <f t="shared" si="110"/>
        <v/>
      </c>
      <c r="AK86" s="578" t="str">
        <f t="shared" si="111"/>
        <v/>
      </c>
      <c r="AL86" s="572" t="str">
        <f t="shared" si="112"/>
        <v/>
      </c>
      <c r="AM86" s="577" t="str">
        <f t="shared" si="113"/>
        <v/>
      </c>
      <c r="AN86" s="524" t="str">
        <f t="shared" si="86"/>
        <v/>
      </c>
      <c r="AO86" s="525" t="str">
        <f t="shared" si="125"/>
        <v/>
      </c>
      <c r="AP86" s="528" t="str">
        <f t="shared" si="114"/>
        <v/>
      </c>
      <c r="AQ86" s="529" t="str">
        <f t="shared" si="129"/>
        <v/>
      </c>
      <c r="AS86" s="598" t="str">
        <f t="shared" si="115"/>
        <v/>
      </c>
      <c r="AT86" s="602" t="str">
        <f t="shared" si="130"/>
        <v/>
      </c>
      <c r="AU86" s="515" t="str">
        <f t="shared" si="87"/>
        <v/>
      </c>
      <c r="AV86" s="164" t="str">
        <f t="shared" si="116"/>
        <v/>
      </c>
      <c r="AW86" s="545" t="str">
        <f>IF($M86="","",W86-INDEX(Assy.Model!$W$9:$W$150,MATCH('SN#.Run#'!$M86,Assy.Model!$M$9:$M$150,0)))</f>
        <v/>
      </c>
      <c r="AX86" s="628" t="str">
        <f>IF($M86="","",X86-INDEX(Assy.Model!$X$9:$X$150,MATCH('SN#.Run#'!$M86,Assy.Model!$M$9:$M$150,0)))</f>
        <v/>
      </c>
      <c r="AY86" s="629" t="str">
        <f>IF($M86="","",Y86-INDEX(Assy.Model!$Y$9:$Y$150,MATCH('SN#.Run#'!$M86,Assy.Model!$M$9:$M$150,0)))</f>
        <v/>
      </c>
      <c r="AZ86" s="60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10" t="str">
        <f>IF($M86="","",AN86-INDEX(Assy.Model!$AN$9:$AN$150,MATCH('SN#.Run#'!$M86,Assy.Model!$M$9:$M$150,0)))</f>
        <v/>
      </c>
      <c r="BB86" s="525" t="str">
        <f>IF($M86="","",AO86-INDEX(Assy.Model!$AO$9:$AO$150,MATCH('SN#.Run#'!$M86,Assy.Model!$M$9:$M$150,0)))</f>
        <v/>
      </c>
      <c r="BC86" s="619" t="str">
        <f>IF($M86="","",AP86-INDEX(Assy.Model!$AP$9:$AP$150,MATCH('SN#.Run#'!$M86,Assy.Model!$M$9:$M$150,0)))</f>
        <v/>
      </c>
      <c r="BD86" s="419"/>
      <c r="BE86" s="699"/>
      <c r="BF86" s="417"/>
      <c r="BG86" s="417"/>
      <c r="BH86" s="417"/>
      <c r="IE86" s="790" t="str">
        <f>IFERROR(IF($IU86="","",IF($IU86&lt;(((Settings!$C$19/2)*-1)*$IE$8),"Taper","Nose")),"")</f>
        <v/>
      </c>
      <c r="IF86" s="482" t="str">
        <f>IFERROR(IF((((($IW86*COS(RADIANS(180-$IY86)))*COS(RADIANS($IY86)))-(($IX86*SIN(RADIANS(180-$IY86)))*SIN(RADIANS($IY86))))+$IU86)&lt;(((Settings!$C$19+$IF$8)/2)*-1),"Gage",""),"")</f>
        <v/>
      </c>
      <c r="IG86" s="788" t="str">
        <f t="shared" si="132"/>
        <v/>
      </c>
      <c r="IH86" s="674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677" t="str" cm="1">
        <f t="array" ref="II86">IFERROR(IF($IH86&lt;1,$IH86+LARGE((IF($M$9:$M$150="",0,$M$9:$M$150)-MOD(IF($M$9:$M$150="",0,$M$9:$M$150),1)),1),$IH86),"")</f>
        <v/>
      </c>
      <c r="IJ86" s="482" t="str">
        <f t="shared" si="131"/>
        <v/>
      </c>
      <c r="IK86" s="482" t="str">
        <f t="shared" si="117"/>
        <v/>
      </c>
      <c r="IL86" s="670" t="str">
        <f t="shared" si="134"/>
        <v/>
      </c>
      <c r="IM86" s="702"/>
      <c r="IN86" s="5" t="str">
        <f t="shared" si="135"/>
        <v/>
      </c>
      <c r="IO86" s="714"/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670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05" t="str">
        <f t="shared" si="143"/>
        <v/>
      </c>
    </row>
    <row r="87" spans="1:259" ht="15" customHeight="1" x14ac:dyDescent="0.25">
      <c r="A87" s="82"/>
      <c r="B87" s="578" t="str">
        <f t="shared" si="118"/>
        <v/>
      </c>
      <c r="C87" s="572" t="str">
        <f t="shared" si="119"/>
        <v/>
      </c>
      <c r="D87" s="576" t="str">
        <f t="shared" si="120"/>
        <v/>
      </c>
      <c r="E87" s="580" t="str">
        <f t="shared" si="121"/>
        <v/>
      </c>
      <c r="F87" s="572" t="str">
        <f t="shared" si="122"/>
        <v/>
      </c>
      <c r="G87" s="579" t="str">
        <f t="shared" si="123"/>
        <v/>
      </c>
      <c r="H87" s="580" t="str">
        <f t="shared" si="128"/>
        <v/>
      </c>
      <c r="I87" s="482"/>
      <c r="J87" s="483" t="str">
        <v/>
      </c>
      <c r="K87" s="806" t="str">
        <f t="shared" si="133"/>
        <v/>
      </c>
      <c r="M87" s="164" t="str">
        <f t="shared" si="88"/>
        <v/>
      </c>
      <c r="N87" s="575" t="str">
        <f t="shared" si="89"/>
        <v/>
      </c>
      <c r="O87" s="572" t="str">
        <f t="shared" si="90"/>
        <v/>
      </c>
      <c r="P87" s="576" t="str">
        <f t="shared" si="91"/>
        <v/>
      </c>
      <c r="Q87" s="528" t="str">
        <f t="shared" si="92"/>
        <v/>
      </c>
      <c r="R87" s="572" t="str">
        <f t="shared" si="93"/>
        <v/>
      </c>
      <c r="S87" s="577" t="str">
        <f t="shared" si="94"/>
        <v/>
      </c>
      <c r="T87" s="578" t="str">
        <f t="shared" si="95"/>
        <v/>
      </c>
      <c r="U87" s="572" t="str">
        <f t="shared" si="96"/>
        <v/>
      </c>
      <c r="V87" s="579" t="str">
        <f t="shared" si="97"/>
        <v/>
      </c>
      <c r="W87" s="528" t="str">
        <f t="shared" si="98"/>
        <v/>
      </c>
      <c r="X87" s="572" t="str">
        <f t="shared" si="99"/>
        <v/>
      </c>
      <c r="Y87" s="573" t="str">
        <f t="shared" si="124"/>
        <v/>
      </c>
      <c r="Z87" s="575" t="str">
        <f t="shared" si="100"/>
        <v/>
      </c>
      <c r="AA87" s="572" t="str">
        <f t="shared" si="101"/>
        <v/>
      </c>
      <c r="AB87" s="572" t="str">
        <f t="shared" si="102"/>
        <v/>
      </c>
      <c r="AC87" s="579" t="str">
        <f t="shared" si="103"/>
        <v/>
      </c>
      <c r="AD87" s="580" t="str">
        <f t="shared" si="104"/>
        <v/>
      </c>
      <c r="AE87" s="572" t="str">
        <f t="shared" si="105"/>
        <v/>
      </c>
      <c r="AF87" s="576" t="str">
        <f t="shared" si="106"/>
        <v/>
      </c>
      <c r="AG87" s="545" t="str">
        <f t="shared" si="107"/>
        <v/>
      </c>
      <c r="AH87" s="546" t="str">
        <f t="shared" si="108"/>
        <v/>
      </c>
      <c r="AI87" s="528" t="str">
        <f t="shared" si="109"/>
        <v/>
      </c>
      <c r="AJ87" s="529" t="str">
        <f t="shared" si="110"/>
        <v/>
      </c>
      <c r="AK87" s="578" t="str">
        <f t="shared" si="111"/>
        <v/>
      </c>
      <c r="AL87" s="572" t="str">
        <f t="shared" si="112"/>
        <v/>
      </c>
      <c r="AM87" s="577" t="str">
        <f t="shared" si="113"/>
        <v/>
      </c>
      <c r="AN87" s="524" t="str">
        <f t="shared" si="86"/>
        <v/>
      </c>
      <c r="AO87" s="525" t="str">
        <f t="shared" si="125"/>
        <v/>
      </c>
      <c r="AP87" s="528" t="str">
        <f t="shared" si="114"/>
        <v/>
      </c>
      <c r="AQ87" s="529" t="str">
        <f t="shared" si="129"/>
        <v/>
      </c>
      <c r="AS87" s="598" t="str">
        <f t="shared" si="115"/>
        <v/>
      </c>
      <c r="AT87" s="602" t="str">
        <f t="shared" si="130"/>
        <v/>
      </c>
      <c r="AU87" s="515" t="str">
        <f t="shared" si="87"/>
        <v/>
      </c>
      <c r="AV87" s="164" t="str">
        <f t="shared" si="116"/>
        <v/>
      </c>
      <c r="AW87" s="545" t="str">
        <f>IF($M87="","",W87-INDEX(Assy.Model!$W$9:$W$150,MATCH('SN#.Run#'!$M87,Assy.Model!$M$9:$M$150,0)))</f>
        <v/>
      </c>
      <c r="AX87" s="628" t="str">
        <f>IF($M87="","",X87-INDEX(Assy.Model!$X$9:$X$150,MATCH('SN#.Run#'!$M87,Assy.Model!$M$9:$M$150,0)))</f>
        <v/>
      </c>
      <c r="AY87" s="629" t="str">
        <f>IF($M87="","",Y87-INDEX(Assy.Model!$Y$9:$Y$150,MATCH('SN#.Run#'!$M87,Assy.Model!$M$9:$M$150,0)))</f>
        <v/>
      </c>
      <c r="AZ87" s="60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10" t="str">
        <f>IF($M87="","",AN87-INDEX(Assy.Model!$AN$9:$AN$150,MATCH('SN#.Run#'!$M87,Assy.Model!$M$9:$M$150,0)))</f>
        <v/>
      </c>
      <c r="BB87" s="525" t="str">
        <f>IF($M87="","",AO87-INDEX(Assy.Model!$AO$9:$AO$150,MATCH('SN#.Run#'!$M87,Assy.Model!$M$9:$M$150,0)))</f>
        <v/>
      </c>
      <c r="BC87" s="619" t="str">
        <f>IF($M87="","",AP87-INDEX(Assy.Model!$AP$9:$AP$150,MATCH('SN#.Run#'!$M87,Assy.Model!$M$9:$M$150,0)))</f>
        <v/>
      </c>
      <c r="BD87" s="419"/>
      <c r="BE87" s="699"/>
      <c r="BF87" s="417"/>
      <c r="BG87" s="417"/>
      <c r="BH87" s="417"/>
      <c r="IE87" s="790" t="str">
        <f>IFERROR(IF($IU87="","",IF($IU87&lt;(((Settings!$C$19/2)*-1)*$IE$8),"Taper","Nose")),"")</f>
        <v/>
      </c>
      <c r="IF87" s="482" t="str">
        <f>IFERROR(IF((((($IW87*COS(RADIANS(180-$IY87)))*COS(RADIANS($IY87)))-(($IX87*SIN(RADIANS(180-$IY87)))*SIN(RADIANS($IY87))))+$IU87)&lt;(((Settings!$C$19+$IF$8)/2)*-1),"Gage",""),"")</f>
        <v/>
      </c>
      <c r="IG87" s="788" t="str">
        <f t="shared" si="132"/>
        <v/>
      </c>
      <c r="IH87" s="674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677" t="str" cm="1">
        <f t="array" ref="II87">IFERROR(IF($IH87&lt;1,$IH87+LARGE((IF($M$9:$M$150="",0,$M$9:$M$150)-MOD(IF($M$9:$M$150="",0,$M$9:$M$150),1)),1),$IH87),"")</f>
        <v/>
      </c>
      <c r="IJ87" s="482" t="str">
        <f t="shared" si="131"/>
        <v/>
      </c>
      <c r="IK87" s="482" t="str">
        <f t="shared" si="117"/>
        <v/>
      </c>
      <c r="IL87" s="670" t="str">
        <f t="shared" si="134"/>
        <v/>
      </c>
      <c r="IM87" s="702"/>
      <c r="IN87" s="5" t="str">
        <f t="shared" si="135"/>
        <v/>
      </c>
      <c r="IO87" s="714"/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670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05" t="str">
        <f t="shared" si="143"/>
        <v/>
      </c>
    </row>
    <row r="88" spans="1:259" ht="15" customHeight="1" x14ac:dyDescent="0.25">
      <c r="A88" s="82"/>
      <c r="B88" s="578" t="str">
        <f t="shared" si="118"/>
        <v/>
      </c>
      <c r="C88" s="572" t="str">
        <f t="shared" si="119"/>
        <v/>
      </c>
      <c r="D88" s="576" t="str">
        <f t="shared" si="120"/>
        <v/>
      </c>
      <c r="E88" s="580" t="str">
        <f t="shared" si="121"/>
        <v/>
      </c>
      <c r="F88" s="572" t="str">
        <f t="shared" si="122"/>
        <v/>
      </c>
      <c r="G88" s="579" t="str">
        <f t="shared" si="123"/>
        <v/>
      </c>
      <c r="H88" s="580" t="str">
        <f t="shared" si="128"/>
        <v/>
      </c>
      <c r="I88" s="482"/>
      <c r="J88" s="483" t="str">
        <v/>
      </c>
      <c r="K88" s="806" t="str">
        <f t="shared" si="133"/>
        <v/>
      </c>
      <c r="M88" s="164" t="str">
        <f t="shared" si="88"/>
        <v/>
      </c>
      <c r="N88" s="575" t="str">
        <f t="shared" si="89"/>
        <v/>
      </c>
      <c r="O88" s="572" t="str">
        <f t="shared" si="90"/>
        <v/>
      </c>
      <c r="P88" s="576" t="str">
        <f t="shared" si="91"/>
        <v/>
      </c>
      <c r="Q88" s="528" t="str">
        <f t="shared" si="92"/>
        <v/>
      </c>
      <c r="R88" s="572" t="str">
        <f t="shared" si="93"/>
        <v/>
      </c>
      <c r="S88" s="577" t="str">
        <f t="shared" si="94"/>
        <v/>
      </c>
      <c r="T88" s="578" t="str">
        <f t="shared" si="95"/>
        <v/>
      </c>
      <c r="U88" s="572" t="str">
        <f t="shared" si="96"/>
        <v/>
      </c>
      <c r="V88" s="579" t="str">
        <f t="shared" si="97"/>
        <v/>
      </c>
      <c r="W88" s="528" t="str">
        <f t="shared" si="98"/>
        <v/>
      </c>
      <c r="X88" s="572" t="str">
        <f t="shared" si="99"/>
        <v/>
      </c>
      <c r="Y88" s="573" t="str">
        <f t="shared" si="124"/>
        <v/>
      </c>
      <c r="Z88" s="575" t="str">
        <f t="shared" si="100"/>
        <v/>
      </c>
      <c r="AA88" s="572" t="str">
        <f t="shared" si="101"/>
        <v/>
      </c>
      <c r="AB88" s="572" t="str">
        <f t="shared" si="102"/>
        <v/>
      </c>
      <c r="AC88" s="579" t="str">
        <f t="shared" si="103"/>
        <v/>
      </c>
      <c r="AD88" s="580" t="str">
        <f t="shared" si="104"/>
        <v/>
      </c>
      <c r="AE88" s="572" t="str">
        <f t="shared" si="105"/>
        <v/>
      </c>
      <c r="AF88" s="576" t="str">
        <f t="shared" si="106"/>
        <v/>
      </c>
      <c r="AG88" s="545" t="str">
        <f t="shared" si="107"/>
        <v/>
      </c>
      <c r="AH88" s="546" t="str">
        <f t="shared" si="108"/>
        <v/>
      </c>
      <c r="AI88" s="528" t="str">
        <f t="shared" si="109"/>
        <v/>
      </c>
      <c r="AJ88" s="529" t="str">
        <f t="shared" si="110"/>
        <v/>
      </c>
      <c r="AK88" s="578" t="str">
        <f t="shared" si="111"/>
        <v/>
      </c>
      <c r="AL88" s="572" t="str">
        <f t="shared" si="112"/>
        <v/>
      </c>
      <c r="AM88" s="577" t="str">
        <f t="shared" si="113"/>
        <v/>
      </c>
      <c r="AN88" s="524" t="str">
        <f t="shared" si="86"/>
        <v/>
      </c>
      <c r="AO88" s="525" t="str">
        <f t="shared" si="125"/>
        <v/>
      </c>
      <c r="AP88" s="528" t="str">
        <f t="shared" si="114"/>
        <v/>
      </c>
      <c r="AQ88" s="529" t="str">
        <f t="shared" si="129"/>
        <v/>
      </c>
      <c r="AS88" s="598" t="str">
        <f t="shared" si="115"/>
        <v/>
      </c>
      <c r="AT88" s="602" t="str">
        <f t="shared" si="130"/>
        <v/>
      </c>
      <c r="AU88" s="515" t="str">
        <f t="shared" si="87"/>
        <v/>
      </c>
      <c r="AV88" s="164" t="str">
        <f t="shared" si="116"/>
        <v/>
      </c>
      <c r="AW88" s="545" t="str">
        <f>IF($M88="","",W88-INDEX(Assy.Model!$W$9:$W$150,MATCH('SN#.Run#'!$M88,Assy.Model!$M$9:$M$150,0)))</f>
        <v/>
      </c>
      <c r="AX88" s="628" t="str">
        <f>IF($M88="","",X88-INDEX(Assy.Model!$X$9:$X$150,MATCH('SN#.Run#'!$M88,Assy.Model!$M$9:$M$150,0)))</f>
        <v/>
      </c>
      <c r="AY88" s="629" t="str">
        <f>IF($M88="","",Y88-INDEX(Assy.Model!$Y$9:$Y$150,MATCH('SN#.Run#'!$M88,Assy.Model!$M$9:$M$150,0)))</f>
        <v/>
      </c>
      <c r="AZ88" s="60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10" t="str">
        <f>IF($M88="","",AN88-INDEX(Assy.Model!$AN$9:$AN$150,MATCH('SN#.Run#'!$M88,Assy.Model!$M$9:$M$150,0)))</f>
        <v/>
      </c>
      <c r="BB88" s="525" t="str">
        <f>IF($M88="","",AO88-INDEX(Assy.Model!$AO$9:$AO$150,MATCH('SN#.Run#'!$M88,Assy.Model!$M$9:$M$150,0)))</f>
        <v/>
      </c>
      <c r="BC88" s="619" t="str">
        <f>IF($M88="","",AP88-INDEX(Assy.Model!$AP$9:$AP$150,MATCH('SN#.Run#'!$M88,Assy.Model!$M$9:$M$150,0)))</f>
        <v/>
      </c>
      <c r="BD88" s="419"/>
      <c r="BE88" s="699"/>
      <c r="BF88" s="417"/>
      <c r="BG88" s="417"/>
      <c r="BH88" s="417"/>
      <c r="IE88" s="790" t="str">
        <f>IFERROR(IF($IU88="","",IF($IU88&lt;(((Settings!$C$19/2)*-1)*$IE$8),"Taper","Nose")),"")</f>
        <v/>
      </c>
      <c r="IF88" s="482" t="str">
        <f>IFERROR(IF((((($IW88*COS(RADIANS(180-$IY88)))*COS(RADIANS($IY88)))-(($IX88*SIN(RADIANS(180-$IY88)))*SIN(RADIANS($IY88))))+$IU88)&lt;(((Settings!$C$19+$IF$8)/2)*-1),"Gage",""),"")</f>
        <v/>
      </c>
      <c r="IG88" s="788" t="str">
        <f t="shared" si="132"/>
        <v/>
      </c>
      <c r="IH88" s="674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677" t="str" cm="1">
        <f t="array" ref="II88">IFERROR(IF($IH88&lt;1,$IH88+LARGE((IF($M$9:$M$150="",0,$M$9:$M$150)-MOD(IF($M$9:$M$150="",0,$M$9:$M$150),1)),1),$IH88),"")</f>
        <v/>
      </c>
      <c r="IJ88" s="482" t="str">
        <f t="shared" si="131"/>
        <v/>
      </c>
      <c r="IK88" s="482" t="str">
        <f t="shared" si="117"/>
        <v/>
      </c>
      <c r="IL88" s="670" t="str">
        <f t="shared" si="134"/>
        <v/>
      </c>
      <c r="IM88" s="702"/>
      <c r="IN88" s="5" t="str">
        <f t="shared" si="135"/>
        <v/>
      </c>
      <c r="IO88" s="714"/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670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05" t="str">
        <f t="shared" si="143"/>
        <v/>
      </c>
    </row>
    <row r="89" spans="1:259" ht="15" customHeight="1" x14ac:dyDescent="0.25">
      <c r="A89" s="82"/>
      <c r="B89" s="578" t="str">
        <f t="shared" si="118"/>
        <v/>
      </c>
      <c r="C89" s="572" t="str">
        <f t="shared" si="119"/>
        <v/>
      </c>
      <c r="D89" s="576" t="str">
        <f t="shared" si="120"/>
        <v/>
      </c>
      <c r="E89" s="580" t="str">
        <f t="shared" si="121"/>
        <v/>
      </c>
      <c r="F89" s="572" t="str">
        <f t="shared" si="122"/>
        <v/>
      </c>
      <c r="G89" s="579" t="str">
        <f t="shared" si="123"/>
        <v/>
      </c>
      <c r="H89" s="580" t="str">
        <f t="shared" si="128"/>
        <v/>
      </c>
      <c r="I89" s="482"/>
      <c r="J89" s="483" t="str">
        <v/>
      </c>
      <c r="K89" s="806" t="str">
        <f t="shared" si="133"/>
        <v/>
      </c>
      <c r="M89" s="164" t="str">
        <f t="shared" si="88"/>
        <v/>
      </c>
      <c r="N89" s="575" t="str">
        <f t="shared" si="89"/>
        <v/>
      </c>
      <c r="O89" s="572" t="str">
        <f t="shared" si="90"/>
        <v/>
      </c>
      <c r="P89" s="576" t="str">
        <f t="shared" si="91"/>
        <v/>
      </c>
      <c r="Q89" s="528" t="str">
        <f t="shared" si="92"/>
        <v/>
      </c>
      <c r="R89" s="572" t="str">
        <f t="shared" si="93"/>
        <v/>
      </c>
      <c r="S89" s="577" t="str">
        <f t="shared" si="94"/>
        <v/>
      </c>
      <c r="T89" s="578" t="str">
        <f t="shared" si="95"/>
        <v/>
      </c>
      <c r="U89" s="572" t="str">
        <f t="shared" si="96"/>
        <v/>
      </c>
      <c r="V89" s="579" t="str">
        <f t="shared" si="97"/>
        <v/>
      </c>
      <c r="W89" s="528" t="str">
        <f t="shared" si="98"/>
        <v/>
      </c>
      <c r="X89" s="572" t="str">
        <f t="shared" si="99"/>
        <v/>
      </c>
      <c r="Y89" s="573" t="str">
        <f t="shared" si="124"/>
        <v/>
      </c>
      <c r="Z89" s="575" t="str">
        <f t="shared" si="100"/>
        <v/>
      </c>
      <c r="AA89" s="572" t="str">
        <f t="shared" si="101"/>
        <v/>
      </c>
      <c r="AB89" s="572" t="str">
        <f t="shared" si="102"/>
        <v/>
      </c>
      <c r="AC89" s="579" t="str">
        <f t="shared" si="103"/>
        <v/>
      </c>
      <c r="AD89" s="580" t="str">
        <f t="shared" si="104"/>
        <v/>
      </c>
      <c r="AE89" s="572" t="str">
        <f t="shared" si="105"/>
        <v/>
      </c>
      <c r="AF89" s="576" t="str">
        <f t="shared" si="106"/>
        <v/>
      </c>
      <c r="AG89" s="545" t="str">
        <f t="shared" si="107"/>
        <v/>
      </c>
      <c r="AH89" s="546" t="str">
        <f t="shared" si="108"/>
        <v/>
      </c>
      <c r="AI89" s="528" t="str">
        <f t="shared" si="109"/>
        <v/>
      </c>
      <c r="AJ89" s="529" t="str">
        <f t="shared" si="110"/>
        <v/>
      </c>
      <c r="AK89" s="578" t="str">
        <f t="shared" si="111"/>
        <v/>
      </c>
      <c r="AL89" s="572" t="str">
        <f t="shared" si="112"/>
        <v/>
      </c>
      <c r="AM89" s="577" t="str">
        <f t="shared" si="113"/>
        <v/>
      </c>
      <c r="AN89" s="524" t="str">
        <f t="shared" si="86"/>
        <v/>
      </c>
      <c r="AO89" s="525" t="str">
        <f t="shared" si="125"/>
        <v/>
      </c>
      <c r="AP89" s="528" t="str">
        <f t="shared" si="114"/>
        <v/>
      </c>
      <c r="AQ89" s="529" t="str">
        <f t="shared" si="129"/>
        <v/>
      </c>
      <c r="AS89" s="598" t="str">
        <f t="shared" si="115"/>
        <v/>
      </c>
      <c r="AT89" s="602" t="str">
        <f t="shared" si="130"/>
        <v/>
      </c>
      <c r="AU89" s="515" t="str">
        <f t="shared" si="87"/>
        <v/>
      </c>
      <c r="AV89" s="164" t="str">
        <f t="shared" si="116"/>
        <v/>
      </c>
      <c r="AW89" s="545" t="str">
        <f>IF($M89="","",W89-INDEX(Assy.Model!$W$9:$W$150,MATCH('SN#.Run#'!$M89,Assy.Model!$M$9:$M$150,0)))</f>
        <v/>
      </c>
      <c r="AX89" s="628" t="str">
        <f>IF($M89="","",X89-INDEX(Assy.Model!$X$9:$X$150,MATCH('SN#.Run#'!$M89,Assy.Model!$M$9:$M$150,0)))</f>
        <v/>
      </c>
      <c r="AY89" s="629" t="str">
        <f>IF($M89="","",Y89-INDEX(Assy.Model!$Y$9:$Y$150,MATCH('SN#.Run#'!$M89,Assy.Model!$M$9:$M$150,0)))</f>
        <v/>
      </c>
      <c r="AZ89" s="60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10" t="str">
        <f>IF($M89="","",AN89-INDEX(Assy.Model!$AN$9:$AN$150,MATCH('SN#.Run#'!$M89,Assy.Model!$M$9:$M$150,0)))</f>
        <v/>
      </c>
      <c r="BB89" s="525" t="str">
        <f>IF($M89="","",AO89-INDEX(Assy.Model!$AO$9:$AO$150,MATCH('SN#.Run#'!$M89,Assy.Model!$M$9:$M$150,0)))</f>
        <v/>
      </c>
      <c r="BC89" s="619" t="str">
        <f>IF($M89="","",AP89-INDEX(Assy.Model!$AP$9:$AP$150,MATCH('SN#.Run#'!$M89,Assy.Model!$M$9:$M$150,0)))</f>
        <v/>
      </c>
      <c r="BD89" s="419"/>
      <c r="BE89" s="699"/>
      <c r="BF89" s="417"/>
      <c r="BG89" s="417"/>
      <c r="BH89" s="417"/>
      <c r="IE89" s="790" t="str">
        <f>IFERROR(IF($IU89="","",IF($IU89&lt;(((Settings!$C$19/2)*-1)*$IE$8),"Taper","Nose")),"")</f>
        <v/>
      </c>
      <c r="IF89" s="482" t="str">
        <f>IFERROR(IF((((($IW89*COS(RADIANS(180-$IY89)))*COS(RADIANS($IY89)))-(($IX89*SIN(RADIANS(180-$IY89)))*SIN(RADIANS($IY89))))+$IU89)&lt;(((Settings!$C$19+$IF$8)/2)*-1),"Gage",""),"")</f>
        <v/>
      </c>
      <c r="IG89" s="788" t="str">
        <f t="shared" si="132"/>
        <v/>
      </c>
      <c r="IH89" s="674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677" t="str" cm="1">
        <f t="array" ref="II89">IFERROR(IF($IH89&lt;1,$IH89+LARGE((IF($M$9:$M$150="",0,$M$9:$M$150)-MOD(IF($M$9:$M$150="",0,$M$9:$M$150),1)),1),$IH89),"")</f>
        <v/>
      </c>
      <c r="IJ89" s="482" t="str">
        <f t="shared" si="131"/>
        <v/>
      </c>
      <c r="IK89" s="482" t="str">
        <f t="shared" si="117"/>
        <v/>
      </c>
      <c r="IL89" s="670" t="str">
        <f t="shared" si="134"/>
        <v/>
      </c>
      <c r="IM89" s="702"/>
      <c r="IN89" s="5" t="str">
        <f t="shared" si="135"/>
        <v/>
      </c>
      <c r="IO89" s="714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670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05" t="str">
        <f t="shared" si="143"/>
        <v/>
      </c>
    </row>
    <row r="90" spans="1:259" ht="15" customHeight="1" x14ac:dyDescent="0.25">
      <c r="A90" s="82"/>
      <c r="B90" s="578" t="str">
        <f t="shared" si="118"/>
        <v/>
      </c>
      <c r="C90" s="572" t="str">
        <f t="shared" si="119"/>
        <v/>
      </c>
      <c r="D90" s="576" t="str">
        <f t="shared" si="120"/>
        <v/>
      </c>
      <c r="E90" s="580" t="str">
        <f t="shared" si="121"/>
        <v/>
      </c>
      <c r="F90" s="572" t="str">
        <f t="shared" si="122"/>
        <v/>
      </c>
      <c r="G90" s="579" t="str">
        <f t="shared" si="123"/>
        <v/>
      </c>
      <c r="H90" s="580" t="str">
        <f t="shared" si="128"/>
        <v/>
      </c>
      <c r="I90" s="482"/>
      <c r="J90" s="483" t="str">
        <v/>
      </c>
      <c r="K90" s="806" t="str">
        <f t="shared" si="133"/>
        <v/>
      </c>
      <c r="M90" s="164" t="str">
        <f t="shared" si="88"/>
        <v/>
      </c>
      <c r="N90" s="575" t="str">
        <f t="shared" si="89"/>
        <v/>
      </c>
      <c r="O90" s="572" t="str">
        <f t="shared" si="90"/>
        <v/>
      </c>
      <c r="P90" s="576" t="str">
        <f t="shared" si="91"/>
        <v/>
      </c>
      <c r="Q90" s="528" t="str">
        <f t="shared" si="92"/>
        <v/>
      </c>
      <c r="R90" s="572" t="str">
        <f t="shared" si="93"/>
        <v/>
      </c>
      <c r="S90" s="577" t="str">
        <f t="shared" si="94"/>
        <v/>
      </c>
      <c r="T90" s="578" t="str">
        <f t="shared" si="95"/>
        <v/>
      </c>
      <c r="U90" s="572" t="str">
        <f t="shared" si="96"/>
        <v/>
      </c>
      <c r="V90" s="579" t="str">
        <f t="shared" si="97"/>
        <v/>
      </c>
      <c r="W90" s="528" t="str">
        <f t="shared" si="98"/>
        <v/>
      </c>
      <c r="X90" s="572" t="str">
        <f t="shared" si="99"/>
        <v/>
      </c>
      <c r="Y90" s="573" t="str">
        <f t="shared" si="124"/>
        <v/>
      </c>
      <c r="Z90" s="575" t="str">
        <f t="shared" si="100"/>
        <v/>
      </c>
      <c r="AA90" s="572" t="str">
        <f t="shared" si="101"/>
        <v/>
      </c>
      <c r="AB90" s="572" t="str">
        <f t="shared" si="102"/>
        <v/>
      </c>
      <c r="AC90" s="579" t="str">
        <f t="shared" si="103"/>
        <v/>
      </c>
      <c r="AD90" s="580" t="str">
        <f t="shared" si="104"/>
        <v/>
      </c>
      <c r="AE90" s="572" t="str">
        <f t="shared" si="105"/>
        <v/>
      </c>
      <c r="AF90" s="576" t="str">
        <f t="shared" si="106"/>
        <v/>
      </c>
      <c r="AG90" s="545" t="str">
        <f t="shared" si="107"/>
        <v/>
      </c>
      <c r="AH90" s="546" t="str">
        <f t="shared" si="108"/>
        <v/>
      </c>
      <c r="AI90" s="528" t="str">
        <f t="shared" si="109"/>
        <v/>
      </c>
      <c r="AJ90" s="529" t="str">
        <f t="shared" si="110"/>
        <v/>
      </c>
      <c r="AK90" s="578" t="str">
        <f t="shared" si="111"/>
        <v/>
      </c>
      <c r="AL90" s="572" t="str">
        <f t="shared" si="112"/>
        <v/>
      </c>
      <c r="AM90" s="577" t="str">
        <f t="shared" si="113"/>
        <v/>
      </c>
      <c r="AN90" s="524" t="str">
        <f t="shared" si="86"/>
        <v/>
      </c>
      <c r="AO90" s="525" t="str">
        <f t="shared" si="125"/>
        <v/>
      </c>
      <c r="AP90" s="528" t="str">
        <f t="shared" si="114"/>
        <v/>
      </c>
      <c r="AQ90" s="529" t="str">
        <f t="shared" si="129"/>
        <v/>
      </c>
      <c r="AS90" s="598" t="str">
        <f t="shared" si="115"/>
        <v/>
      </c>
      <c r="AT90" s="602" t="str">
        <f t="shared" si="130"/>
        <v/>
      </c>
      <c r="AU90" s="515" t="str">
        <f t="shared" si="87"/>
        <v/>
      </c>
      <c r="AV90" s="164" t="str">
        <f t="shared" si="116"/>
        <v/>
      </c>
      <c r="AW90" s="545" t="str">
        <f>IF($M90="","",W90-INDEX(Assy.Model!$W$9:$W$150,MATCH('SN#.Run#'!$M90,Assy.Model!$M$9:$M$150,0)))</f>
        <v/>
      </c>
      <c r="AX90" s="628" t="str">
        <f>IF($M90="","",X90-INDEX(Assy.Model!$X$9:$X$150,MATCH('SN#.Run#'!$M90,Assy.Model!$M$9:$M$150,0)))</f>
        <v/>
      </c>
      <c r="AY90" s="629" t="str">
        <f>IF($M90="","",Y90-INDEX(Assy.Model!$Y$9:$Y$150,MATCH('SN#.Run#'!$M90,Assy.Model!$M$9:$M$150,0)))</f>
        <v/>
      </c>
      <c r="AZ90" s="60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10" t="str">
        <f>IF($M90="","",AN90-INDEX(Assy.Model!$AN$9:$AN$150,MATCH('SN#.Run#'!$M90,Assy.Model!$M$9:$M$150,0)))</f>
        <v/>
      </c>
      <c r="BB90" s="525" t="str">
        <f>IF($M90="","",AO90-INDEX(Assy.Model!$AO$9:$AO$150,MATCH('SN#.Run#'!$M90,Assy.Model!$M$9:$M$150,0)))</f>
        <v/>
      </c>
      <c r="BC90" s="619" t="str">
        <f>IF($M90="","",AP90-INDEX(Assy.Model!$AP$9:$AP$150,MATCH('SN#.Run#'!$M90,Assy.Model!$M$9:$M$150,0)))</f>
        <v/>
      </c>
      <c r="BD90" s="419"/>
      <c r="BE90" s="699"/>
      <c r="BF90" s="417"/>
      <c r="BG90" s="417"/>
      <c r="BH90" s="417"/>
      <c r="IE90" s="790" t="str">
        <f>IFERROR(IF($IU90="","",IF($IU90&lt;(((Settings!$C$19/2)*-1)*$IE$8),"Taper","Nose")),"")</f>
        <v/>
      </c>
      <c r="IF90" s="482" t="str">
        <f>IFERROR(IF((((($IW90*COS(RADIANS(180-$IY90)))*COS(RADIANS($IY90)))-(($IX90*SIN(RADIANS(180-$IY90)))*SIN(RADIANS($IY90))))+$IU90)&lt;(((Settings!$C$19+$IF$8)/2)*-1),"Gage",""),"")</f>
        <v/>
      </c>
      <c r="IG90" s="788" t="str">
        <f t="shared" si="132"/>
        <v/>
      </c>
      <c r="IH90" s="674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677" t="str" cm="1">
        <f t="array" ref="II90">IFERROR(IF($IH90&lt;1,$IH90+LARGE((IF($M$9:$M$150="",0,$M$9:$M$150)-MOD(IF($M$9:$M$150="",0,$M$9:$M$150),1)),1),$IH90),"")</f>
        <v/>
      </c>
      <c r="IJ90" s="482" t="str">
        <f t="shared" si="131"/>
        <v/>
      </c>
      <c r="IK90" s="482" t="str">
        <f t="shared" si="117"/>
        <v/>
      </c>
      <c r="IL90" s="670" t="str">
        <f t="shared" si="134"/>
        <v/>
      </c>
      <c r="IM90" s="702"/>
      <c r="IN90" s="5" t="str">
        <f t="shared" si="135"/>
        <v/>
      </c>
      <c r="IO90" s="714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670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05" t="str">
        <f t="shared" si="143"/>
        <v/>
      </c>
    </row>
    <row r="91" spans="1:259" ht="15" customHeight="1" x14ac:dyDescent="0.25">
      <c r="A91" s="82"/>
      <c r="B91" s="578" t="str">
        <f t="shared" si="118"/>
        <v/>
      </c>
      <c r="C91" s="572" t="str">
        <f t="shared" si="119"/>
        <v/>
      </c>
      <c r="D91" s="576" t="str">
        <f t="shared" si="120"/>
        <v/>
      </c>
      <c r="E91" s="580" t="str">
        <f t="shared" si="121"/>
        <v/>
      </c>
      <c r="F91" s="572" t="str">
        <f t="shared" si="122"/>
        <v/>
      </c>
      <c r="G91" s="579" t="str">
        <f t="shared" si="123"/>
        <v/>
      </c>
      <c r="H91" s="580" t="str">
        <f t="shared" si="128"/>
        <v/>
      </c>
      <c r="I91" s="482"/>
      <c r="J91" s="483" t="str">
        <v/>
      </c>
      <c r="K91" s="806" t="str">
        <f t="shared" si="133"/>
        <v/>
      </c>
      <c r="M91" s="164" t="str">
        <f t="shared" si="88"/>
        <v/>
      </c>
      <c r="N91" s="575" t="str">
        <f t="shared" si="89"/>
        <v/>
      </c>
      <c r="O91" s="572" t="str">
        <f t="shared" si="90"/>
        <v/>
      </c>
      <c r="P91" s="576" t="str">
        <f t="shared" si="91"/>
        <v/>
      </c>
      <c r="Q91" s="528" t="str">
        <f t="shared" si="92"/>
        <v/>
      </c>
      <c r="R91" s="572" t="str">
        <f t="shared" si="93"/>
        <v/>
      </c>
      <c r="S91" s="577" t="str">
        <f t="shared" si="94"/>
        <v/>
      </c>
      <c r="T91" s="578" t="str">
        <f t="shared" si="95"/>
        <v/>
      </c>
      <c r="U91" s="572" t="str">
        <f t="shared" si="96"/>
        <v/>
      </c>
      <c r="V91" s="579" t="str">
        <f t="shared" si="97"/>
        <v/>
      </c>
      <c r="W91" s="528" t="str">
        <f t="shared" si="98"/>
        <v/>
      </c>
      <c r="X91" s="572" t="str">
        <f t="shared" si="99"/>
        <v/>
      </c>
      <c r="Y91" s="573" t="str">
        <f t="shared" si="124"/>
        <v/>
      </c>
      <c r="Z91" s="575" t="str">
        <f t="shared" si="100"/>
        <v/>
      </c>
      <c r="AA91" s="572" t="str">
        <f t="shared" si="101"/>
        <v/>
      </c>
      <c r="AB91" s="572" t="str">
        <f t="shared" si="102"/>
        <v/>
      </c>
      <c r="AC91" s="579" t="str">
        <f t="shared" si="103"/>
        <v/>
      </c>
      <c r="AD91" s="580" t="str">
        <f t="shared" si="104"/>
        <v/>
      </c>
      <c r="AE91" s="572" t="str">
        <f t="shared" si="105"/>
        <v/>
      </c>
      <c r="AF91" s="576" t="str">
        <f t="shared" si="106"/>
        <v/>
      </c>
      <c r="AG91" s="545" t="str">
        <f t="shared" si="107"/>
        <v/>
      </c>
      <c r="AH91" s="546" t="str">
        <f t="shared" si="108"/>
        <v/>
      </c>
      <c r="AI91" s="528" t="str">
        <f t="shared" si="109"/>
        <v/>
      </c>
      <c r="AJ91" s="529" t="str">
        <f t="shared" si="110"/>
        <v/>
      </c>
      <c r="AK91" s="578" t="str">
        <f t="shared" si="111"/>
        <v/>
      </c>
      <c r="AL91" s="572" t="str">
        <f t="shared" si="112"/>
        <v/>
      </c>
      <c r="AM91" s="577" t="str">
        <f t="shared" si="113"/>
        <v/>
      </c>
      <c r="AN91" s="524" t="str">
        <f t="shared" si="86"/>
        <v/>
      </c>
      <c r="AO91" s="525" t="str">
        <f t="shared" si="125"/>
        <v/>
      </c>
      <c r="AP91" s="528" t="str">
        <f t="shared" si="114"/>
        <v/>
      </c>
      <c r="AQ91" s="529" t="str">
        <f t="shared" si="129"/>
        <v/>
      </c>
      <c r="AS91" s="598" t="str">
        <f t="shared" si="115"/>
        <v/>
      </c>
      <c r="AT91" s="602" t="str">
        <f t="shared" si="130"/>
        <v/>
      </c>
      <c r="AU91" s="515" t="str">
        <f t="shared" si="87"/>
        <v/>
      </c>
      <c r="AV91" s="164" t="str">
        <f t="shared" si="116"/>
        <v/>
      </c>
      <c r="AW91" s="545" t="str">
        <f>IF($M91="","",W91-INDEX(Assy.Model!$W$9:$W$150,MATCH('SN#.Run#'!$M91,Assy.Model!$M$9:$M$150,0)))</f>
        <v/>
      </c>
      <c r="AX91" s="628" t="str">
        <f>IF($M91="","",X91-INDEX(Assy.Model!$X$9:$X$150,MATCH('SN#.Run#'!$M91,Assy.Model!$M$9:$M$150,0)))</f>
        <v/>
      </c>
      <c r="AY91" s="629" t="str">
        <f>IF($M91="","",Y91-INDEX(Assy.Model!$Y$9:$Y$150,MATCH('SN#.Run#'!$M91,Assy.Model!$M$9:$M$150,0)))</f>
        <v/>
      </c>
      <c r="AZ91" s="60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10" t="str">
        <f>IF($M91="","",AN91-INDEX(Assy.Model!$AN$9:$AN$150,MATCH('SN#.Run#'!$M91,Assy.Model!$M$9:$M$150,0)))</f>
        <v/>
      </c>
      <c r="BB91" s="525" t="str">
        <f>IF($M91="","",AO91-INDEX(Assy.Model!$AO$9:$AO$150,MATCH('SN#.Run#'!$M91,Assy.Model!$M$9:$M$150,0)))</f>
        <v/>
      </c>
      <c r="BC91" s="619" t="str">
        <f>IF($M91="","",AP91-INDEX(Assy.Model!$AP$9:$AP$150,MATCH('SN#.Run#'!$M91,Assy.Model!$M$9:$M$150,0)))</f>
        <v/>
      </c>
      <c r="BD91" s="419"/>
      <c r="BE91" s="699"/>
      <c r="BF91" s="417"/>
      <c r="BG91" s="417"/>
      <c r="BH91" s="417"/>
      <c r="IE91" s="790" t="str">
        <f>IFERROR(IF($IU91="","",IF($IU91&lt;(((Settings!$C$19/2)*-1)*$IE$8),"Taper","Nose")),"")</f>
        <v/>
      </c>
      <c r="IF91" s="482" t="str">
        <f>IFERROR(IF((((($IW91*COS(RADIANS(180-$IY91)))*COS(RADIANS($IY91)))-(($IX91*SIN(RADIANS(180-$IY91)))*SIN(RADIANS($IY91))))+$IU91)&lt;(((Settings!$C$19+$IF$8)/2)*-1),"Gage",""),"")</f>
        <v/>
      </c>
      <c r="IG91" s="788" t="str">
        <f t="shared" si="132"/>
        <v/>
      </c>
      <c r="IH91" s="674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677" t="str" cm="1">
        <f t="array" ref="II91">IFERROR(IF($IH91&lt;1,$IH91+LARGE((IF($M$9:$M$150="",0,$M$9:$M$150)-MOD(IF($M$9:$M$150="",0,$M$9:$M$150),1)),1),$IH91),"")</f>
        <v/>
      </c>
      <c r="IJ91" s="482" t="str">
        <f t="shared" si="131"/>
        <v/>
      </c>
      <c r="IK91" s="482" t="str">
        <f t="shared" si="117"/>
        <v/>
      </c>
      <c r="IL91" s="670" t="str">
        <f t="shared" si="134"/>
        <v/>
      </c>
      <c r="IM91" s="702"/>
      <c r="IN91" s="5" t="str">
        <f t="shared" si="135"/>
        <v/>
      </c>
      <c r="IO91" s="714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670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05" t="str">
        <f t="shared" si="143"/>
        <v/>
      </c>
    </row>
    <row r="92" spans="1:259" ht="15" customHeight="1" x14ac:dyDescent="0.25">
      <c r="A92" s="82"/>
      <c r="B92" s="578" t="str">
        <f t="shared" si="118"/>
        <v/>
      </c>
      <c r="C92" s="572" t="str">
        <f t="shared" si="119"/>
        <v/>
      </c>
      <c r="D92" s="576" t="str">
        <f t="shared" si="120"/>
        <v/>
      </c>
      <c r="E92" s="580" t="str">
        <f t="shared" si="121"/>
        <v/>
      </c>
      <c r="F92" s="572" t="str">
        <f t="shared" si="122"/>
        <v/>
      </c>
      <c r="G92" s="579" t="str">
        <f t="shared" si="123"/>
        <v/>
      </c>
      <c r="H92" s="580" t="str">
        <f t="shared" si="128"/>
        <v/>
      </c>
      <c r="I92" s="482"/>
      <c r="J92" s="483" t="str">
        <v/>
      </c>
      <c r="K92" s="806" t="str">
        <f t="shared" si="133"/>
        <v/>
      </c>
      <c r="M92" s="164" t="str">
        <f t="shared" si="88"/>
        <v/>
      </c>
      <c r="N92" s="575" t="str">
        <f t="shared" si="89"/>
        <v/>
      </c>
      <c r="O92" s="572" t="str">
        <f t="shared" si="90"/>
        <v/>
      </c>
      <c r="P92" s="576" t="str">
        <f t="shared" si="91"/>
        <v/>
      </c>
      <c r="Q92" s="528" t="str">
        <f t="shared" si="92"/>
        <v/>
      </c>
      <c r="R92" s="572" t="str">
        <f t="shared" si="93"/>
        <v/>
      </c>
      <c r="S92" s="577" t="str">
        <f t="shared" si="94"/>
        <v/>
      </c>
      <c r="T92" s="578" t="str">
        <f t="shared" si="95"/>
        <v/>
      </c>
      <c r="U92" s="572" t="str">
        <f t="shared" si="96"/>
        <v/>
      </c>
      <c r="V92" s="579" t="str">
        <f t="shared" si="97"/>
        <v/>
      </c>
      <c r="W92" s="528" t="str">
        <f t="shared" si="98"/>
        <v/>
      </c>
      <c r="X92" s="572" t="str">
        <f t="shared" si="99"/>
        <v/>
      </c>
      <c r="Y92" s="573" t="str">
        <f t="shared" si="124"/>
        <v/>
      </c>
      <c r="Z92" s="575" t="str">
        <f t="shared" si="100"/>
        <v/>
      </c>
      <c r="AA92" s="572" t="str">
        <f t="shared" si="101"/>
        <v/>
      </c>
      <c r="AB92" s="572" t="str">
        <f t="shared" si="102"/>
        <v/>
      </c>
      <c r="AC92" s="579" t="str">
        <f t="shared" si="103"/>
        <v/>
      </c>
      <c r="AD92" s="580" t="str">
        <f t="shared" si="104"/>
        <v/>
      </c>
      <c r="AE92" s="572" t="str">
        <f t="shared" si="105"/>
        <v/>
      </c>
      <c r="AF92" s="576" t="str">
        <f t="shared" si="106"/>
        <v/>
      </c>
      <c r="AG92" s="545" t="str">
        <f t="shared" si="107"/>
        <v/>
      </c>
      <c r="AH92" s="546" t="str">
        <f t="shared" si="108"/>
        <v/>
      </c>
      <c r="AI92" s="528" t="str">
        <f t="shared" si="109"/>
        <v/>
      </c>
      <c r="AJ92" s="529" t="str">
        <f t="shared" si="110"/>
        <v/>
      </c>
      <c r="AK92" s="578" t="str">
        <f t="shared" si="111"/>
        <v/>
      </c>
      <c r="AL92" s="572" t="str">
        <f t="shared" si="112"/>
        <v/>
      </c>
      <c r="AM92" s="577" t="str">
        <f t="shared" si="113"/>
        <v/>
      </c>
      <c r="AN92" s="524" t="str">
        <f t="shared" si="86"/>
        <v/>
      </c>
      <c r="AO92" s="525" t="str">
        <f t="shared" si="125"/>
        <v/>
      </c>
      <c r="AP92" s="528" t="str">
        <f t="shared" si="114"/>
        <v/>
      </c>
      <c r="AQ92" s="529" t="str">
        <f t="shared" si="129"/>
        <v/>
      </c>
      <c r="AS92" s="598" t="str">
        <f t="shared" si="115"/>
        <v/>
      </c>
      <c r="AT92" s="602" t="str">
        <f t="shared" si="130"/>
        <v/>
      </c>
      <c r="AU92" s="515" t="str">
        <f t="shared" si="87"/>
        <v/>
      </c>
      <c r="AV92" s="164" t="str">
        <f t="shared" si="116"/>
        <v/>
      </c>
      <c r="AW92" s="545" t="str">
        <f>IF($M92="","",W92-INDEX(Assy.Model!$W$9:$W$150,MATCH('SN#.Run#'!$M92,Assy.Model!$M$9:$M$150,0)))</f>
        <v/>
      </c>
      <c r="AX92" s="628" t="str">
        <f>IF($M92="","",X92-INDEX(Assy.Model!$X$9:$X$150,MATCH('SN#.Run#'!$M92,Assy.Model!$M$9:$M$150,0)))</f>
        <v/>
      </c>
      <c r="AY92" s="629" t="str">
        <f>IF($M92="","",Y92-INDEX(Assy.Model!$Y$9:$Y$150,MATCH('SN#.Run#'!$M92,Assy.Model!$M$9:$M$150,0)))</f>
        <v/>
      </c>
      <c r="AZ92" s="60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10" t="str">
        <f>IF($M92="","",AN92-INDEX(Assy.Model!$AN$9:$AN$150,MATCH('SN#.Run#'!$M92,Assy.Model!$M$9:$M$150,0)))</f>
        <v/>
      </c>
      <c r="BB92" s="525" t="str">
        <f>IF($M92="","",AO92-INDEX(Assy.Model!$AO$9:$AO$150,MATCH('SN#.Run#'!$M92,Assy.Model!$M$9:$M$150,0)))</f>
        <v/>
      </c>
      <c r="BC92" s="619" t="str">
        <f>IF($M92="","",AP92-INDEX(Assy.Model!$AP$9:$AP$150,MATCH('SN#.Run#'!$M92,Assy.Model!$M$9:$M$150,0)))</f>
        <v/>
      </c>
      <c r="BD92" s="419"/>
      <c r="BE92" s="699"/>
      <c r="BF92" s="417"/>
      <c r="BG92" s="417"/>
      <c r="BH92" s="417"/>
      <c r="IE92" s="790" t="str">
        <f>IFERROR(IF($IU92="","",IF($IU92&lt;(((Settings!$C$19/2)*-1)*$IE$8),"Taper","Nose")),"")</f>
        <v/>
      </c>
      <c r="IF92" s="482" t="str">
        <f>IFERROR(IF((((($IW92*COS(RADIANS(180-$IY92)))*COS(RADIANS($IY92)))-(($IX92*SIN(RADIANS(180-$IY92)))*SIN(RADIANS($IY92))))+$IU92)&lt;(((Settings!$C$19+$IF$8)/2)*-1),"Gage",""),"")</f>
        <v/>
      </c>
      <c r="IG92" s="788" t="str">
        <f t="shared" si="132"/>
        <v/>
      </c>
      <c r="IH92" s="674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677" t="str" cm="1">
        <f t="array" ref="II92">IFERROR(IF($IH92&lt;1,$IH92+LARGE((IF($M$9:$M$150="",0,$M$9:$M$150)-MOD(IF($M$9:$M$150="",0,$M$9:$M$150),1)),1),$IH92),"")</f>
        <v/>
      </c>
      <c r="IJ92" s="482" t="str">
        <f t="shared" si="131"/>
        <v/>
      </c>
      <c r="IK92" s="482" t="str">
        <f t="shared" si="117"/>
        <v/>
      </c>
      <c r="IL92" s="670" t="str">
        <f t="shared" si="134"/>
        <v/>
      </c>
      <c r="IM92" s="702"/>
      <c r="IN92" s="5" t="str">
        <f t="shared" si="135"/>
        <v/>
      </c>
      <c r="IO92" s="714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670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05" t="str">
        <f t="shared" si="143"/>
        <v/>
      </c>
    </row>
    <row r="93" spans="1:259" ht="15" customHeight="1" x14ac:dyDescent="0.25">
      <c r="A93" s="82"/>
      <c r="B93" s="578" t="str">
        <f t="shared" si="118"/>
        <v/>
      </c>
      <c r="C93" s="572" t="str">
        <f t="shared" si="119"/>
        <v/>
      </c>
      <c r="D93" s="576" t="str">
        <f t="shared" si="120"/>
        <v/>
      </c>
      <c r="E93" s="580" t="str">
        <f t="shared" si="121"/>
        <v/>
      </c>
      <c r="F93" s="572" t="str">
        <f t="shared" si="122"/>
        <v/>
      </c>
      <c r="G93" s="579" t="str">
        <f t="shared" si="123"/>
        <v/>
      </c>
      <c r="H93" s="580" t="str">
        <f t="shared" si="128"/>
        <v/>
      </c>
      <c r="I93" s="482"/>
      <c r="J93" s="483" t="str">
        <v/>
      </c>
      <c r="K93" s="806" t="str">
        <f t="shared" si="133"/>
        <v/>
      </c>
      <c r="M93" s="164" t="str">
        <f t="shared" si="88"/>
        <v/>
      </c>
      <c r="N93" s="575" t="str">
        <f t="shared" si="89"/>
        <v/>
      </c>
      <c r="O93" s="572" t="str">
        <f t="shared" si="90"/>
        <v/>
      </c>
      <c r="P93" s="576" t="str">
        <f t="shared" si="91"/>
        <v/>
      </c>
      <c r="Q93" s="528" t="str">
        <f t="shared" si="92"/>
        <v/>
      </c>
      <c r="R93" s="572" t="str">
        <f t="shared" si="93"/>
        <v/>
      </c>
      <c r="S93" s="577" t="str">
        <f t="shared" si="94"/>
        <v/>
      </c>
      <c r="T93" s="578" t="str">
        <f t="shared" si="95"/>
        <v/>
      </c>
      <c r="U93" s="572" t="str">
        <f t="shared" si="96"/>
        <v/>
      </c>
      <c r="V93" s="579" t="str">
        <f t="shared" si="97"/>
        <v/>
      </c>
      <c r="W93" s="528" t="str">
        <f t="shared" si="98"/>
        <v/>
      </c>
      <c r="X93" s="572" t="str">
        <f t="shared" si="99"/>
        <v/>
      </c>
      <c r="Y93" s="573" t="str">
        <f t="shared" si="124"/>
        <v/>
      </c>
      <c r="Z93" s="575" t="str">
        <f t="shared" si="100"/>
        <v/>
      </c>
      <c r="AA93" s="572" t="str">
        <f t="shared" si="101"/>
        <v/>
      </c>
      <c r="AB93" s="572" t="str">
        <f t="shared" si="102"/>
        <v/>
      </c>
      <c r="AC93" s="579" t="str">
        <f t="shared" si="103"/>
        <v/>
      </c>
      <c r="AD93" s="580" t="str">
        <f t="shared" si="104"/>
        <v/>
      </c>
      <c r="AE93" s="572" t="str">
        <f t="shared" si="105"/>
        <v/>
      </c>
      <c r="AF93" s="576" t="str">
        <f t="shared" si="106"/>
        <v/>
      </c>
      <c r="AG93" s="545" t="str">
        <f t="shared" si="107"/>
        <v/>
      </c>
      <c r="AH93" s="546" t="str">
        <f t="shared" si="108"/>
        <v/>
      </c>
      <c r="AI93" s="528" t="str">
        <f t="shared" si="109"/>
        <v/>
      </c>
      <c r="AJ93" s="529" t="str">
        <f t="shared" si="110"/>
        <v/>
      </c>
      <c r="AK93" s="578" t="str">
        <f t="shared" si="111"/>
        <v/>
      </c>
      <c r="AL93" s="572" t="str">
        <f t="shared" si="112"/>
        <v/>
      </c>
      <c r="AM93" s="577" t="str">
        <f t="shared" si="113"/>
        <v/>
      </c>
      <c r="AN93" s="524" t="str">
        <f t="shared" si="86"/>
        <v/>
      </c>
      <c r="AO93" s="525" t="str">
        <f t="shared" si="125"/>
        <v/>
      </c>
      <c r="AP93" s="528" t="str">
        <f t="shared" si="114"/>
        <v/>
      </c>
      <c r="AQ93" s="529" t="str">
        <f t="shared" si="129"/>
        <v/>
      </c>
      <c r="AS93" s="598" t="str">
        <f t="shared" si="115"/>
        <v/>
      </c>
      <c r="AT93" s="602" t="str">
        <f t="shared" si="130"/>
        <v/>
      </c>
      <c r="AU93" s="515" t="str">
        <f t="shared" si="87"/>
        <v/>
      </c>
      <c r="AV93" s="164" t="str">
        <f t="shared" si="116"/>
        <v/>
      </c>
      <c r="AW93" s="545" t="str">
        <f>IF($M93="","",W93-INDEX(Assy.Model!$W$9:$W$150,MATCH('SN#.Run#'!$M93,Assy.Model!$M$9:$M$150,0)))</f>
        <v/>
      </c>
      <c r="AX93" s="628" t="str">
        <f>IF($M93="","",X93-INDEX(Assy.Model!$X$9:$X$150,MATCH('SN#.Run#'!$M93,Assy.Model!$M$9:$M$150,0)))</f>
        <v/>
      </c>
      <c r="AY93" s="629" t="str">
        <f>IF($M93="","",Y93-INDEX(Assy.Model!$Y$9:$Y$150,MATCH('SN#.Run#'!$M93,Assy.Model!$M$9:$M$150,0)))</f>
        <v/>
      </c>
      <c r="AZ93" s="60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10" t="str">
        <f>IF($M93="","",AN93-INDEX(Assy.Model!$AN$9:$AN$150,MATCH('SN#.Run#'!$M93,Assy.Model!$M$9:$M$150,0)))</f>
        <v/>
      </c>
      <c r="BB93" s="525" t="str">
        <f>IF($M93="","",AO93-INDEX(Assy.Model!$AO$9:$AO$150,MATCH('SN#.Run#'!$M93,Assy.Model!$M$9:$M$150,0)))</f>
        <v/>
      </c>
      <c r="BC93" s="619" t="str">
        <f>IF($M93="","",AP93-INDEX(Assy.Model!$AP$9:$AP$150,MATCH('SN#.Run#'!$M93,Assy.Model!$M$9:$M$150,0)))</f>
        <v/>
      </c>
      <c r="BD93" s="419"/>
      <c r="BE93" s="699"/>
      <c r="BF93" s="417"/>
      <c r="BG93" s="417"/>
      <c r="BH93" s="417"/>
      <c r="IE93" s="790" t="str">
        <f>IFERROR(IF($IU93="","",IF($IU93&lt;(((Settings!$C$19/2)*-1)*$IE$8),"Taper","Nose")),"")</f>
        <v/>
      </c>
      <c r="IF93" s="482" t="str">
        <f>IFERROR(IF((((($IW93*COS(RADIANS(180-$IY93)))*COS(RADIANS($IY93)))-(($IX93*SIN(RADIANS(180-$IY93)))*SIN(RADIANS($IY93))))+$IU93)&lt;(((Settings!$C$19+$IF$8)/2)*-1),"Gage",""),"")</f>
        <v/>
      </c>
      <c r="IG93" s="788" t="str">
        <f t="shared" si="132"/>
        <v/>
      </c>
      <c r="IH93" s="674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677" t="str" cm="1">
        <f t="array" ref="II93">IFERROR(IF($IH93&lt;1,$IH93+LARGE((IF($M$9:$M$150="",0,$M$9:$M$150)-MOD(IF($M$9:$M$150="",0,$M$9:$M$150),1)),1),$IH93),"")</f>
        <v/>
      </c>
      <c r="IJ93" s="482" t="str">
        <f t="shared" si="131"/>
        <v/>
      </c>
      <c r="IK93" s="482" t="str">
        <f t="shared" si="117"/>
        <v/>
      </c>
      <c r="IL93" s="670" t="str">
        <f t="shared" si="134"/>
        <v/>
      </c>
      <c r="IM93" s="702"/>
      <c r="IN93" s="5" t="str">
        <f t="shared" si="135"/>
        <v/>
      </c>
      <c r="IO93" s="714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670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05" t="str">
        <f t="shared" si="143"/>
        <v/>
      </c>
    </row>
    <row r="94" spans="1:259" ht="15" customHeight="1" x14ac:dyDescent="0.25">
      <c r="A94" s="82"/>
      <c r="B94" s="578" t="str">
        <f t="shared" si="118"/>
        <v/>
      </c>
      <c r="C94" s="572" t="str">
        <f t="shared" si="119"/>
        <v/>
      </c>
      <c r="D94" s="576" t="str">
        <f t="shared" si="120"/>
        <v/>
      </c>
      <c r="E94" s="580" t="str">
        <f t="shared" si="121"/>
        <v/>
      </c>
      <c r="F94" s="572" t="str">
        <f t="shared" si="122"/>
        <v/>
      </c>
      <c r="G94" s="579" t="str">
        <f t="shared" si="123"/>
        <v/>
      </c>
      <c r="H94" s="580" t="str">
        <f t="shared" si="128"/>
        <v/>
      </c>
      <c r="I94" s="482"/>
      <c r="J94" s="483" t="str">
        <v/>
      </c>
      <c r="K94" s="806" t="str">
        <f t="shared" si="133"/>
        <v/>
      </c>
      <c r="M94" s="164" t="str">
        <f t="shared" si="88"/>
        <v/>
      </c>
      <c r="N94" s="575" t="str">
        <f t="shared" si="89"/>
        <v/>
      </c>
      <c r="O94" s="572" t="str">
        <f t="shared" si="90"/>
        <v/>
      </c>
      <c r="P94" s="576" t="str">
        <f t="shared" si="91"/>
        <v/>
      </c>
      <c r="Q94" s="528" t="str">
        <f t="shared" si="92"/>
        <v/>
      </c>
      <c r="R94" s="572" t="str">
        <f t="shared" si="93"/>
        <v/>
      </c>
      <c r="S94" s="577" t="str">
        <f t="shared" si="94"/>
        <v/>
      </c>
      <c r="T94" s="578" t="str">
        <f t="shared" si="95"/>
        <v/>
      </c>
      <c r="U94" s="572" t="str">
        <f t="shared" si="96"/>
        <v/>
      </c>
      <c r="V94" s="579" t="str">
        <f t="shared" si="97"/>
        <v/>
      </c>
      <c r="W94" s="528" t="str">
        <f t="shared" si="98"/>
        <v/>
      </c>
      <c r="X94" s="572" t="str">
        <f t="shared" si="99"/>
        <v/>
      </c>
      <c r="Y94" s="573" t="str">
        <f t="shared" si="124"/>
        <v/>
      </c>
      <c r="Z94" s="575" t="str">
        <f t="shared" si="100"/>
        <v/>
      </c>
      <c r="AA94" s="572" t="str">
        <f t="shared" si="101"/>
        <v/>
      </c>
      <c r="AB94" s="572" t="str">
        <f t="shared" si="102"/>
        <v/>
      </c>
      <c r="AC94" s="579" t="str">
        <f t="shared" si="103"/>
        <v/>
      </c>
      <c r="AD94" s="580" t="str">
        <f t="shared" si="104"/>
        <v/>
      </c>
      <c r="AE94" s="572" t="str">
        <f t="shared" si="105"/>
        <v/>
      </c>
      <c r="AF94" s="576" t="str">
        <f t="shared" si="106"/>
        <v/>
      </c>
      <c r="AG94" s="545" t="str">
        <f t="shared" si="107"/>
        <v/>
      </c>
      <c r="AH94" s="546" t="str">
        <f t="shared" si="108"/>
        <v/>
      </c>
      <c r="AI94" s="528" t="str">
        <f t="shared" si="109"/>
        <v/>
      </c>
      <c r="AJ94" s="529" t="str">
        <f t="shared" si="110"/>
        <v/>
      </c>
      <c r="AK94" s="578" t="str">
        <f t="shared" si="111"/>
        <v/>
      </c>
      <c r="AL94" s="572" t="str">
        <f t="shared" si="112"/>
        <v/>
      </c>
      <c r="AM94" s="577" t="str">
        <f t="shared" si="113"/>
        <v/>
      </c>
      <c r="AN94" s="524" t="str">
        <f t="shared" si="86"/>
        <v/>
      </c>
      <c r="AO94" s="525" t="str">
        <f t="shared" si="125"/>
        <v/>
      </c>
      <c r="AP94" s="528" t="str">
        <f t="shared" si="114"/>
        <v/>
      </c>
      <c r="AQ94" s="529" t="str">
        <f t="shared" si="129"/>
        <v/>
      </c>
      <c r="AS94" s="598" t="str">
        <f t="shared" si="115"/>
        <v/>
      </c>
      <c r="AT94" s="602" t="str">
        <f t="shared" si="130"/>
        <v/>
      </c>
      <c r="AU94" s="515" t="str">
        <f t="shared" si="87"/>
        <v/>
      </c>
      <c r="AV94" s="164" t="str">
        <f t="shared" si="116"/>
        <v/>
      </c>
      <c r="AW94" s="545" t="str">
        <f>IF($M94="","",W94-INDEX(Assy.Model!$W$9:$W$150,MATCH('SN#.Run#'!$M94,Assy.Model!$M$9:$M$150,0)))</f>
        <v/>
      </c>
      <c r="AX94" s="628" t="str">
        <f>IF($M94="","",X94-INDEX(Assy.Model!$X$9:$X$150,MATCH('SN#.Run#'!$M94,Assy.Model!$M$9:$M$150,0)))</f>
        <v/>
      </c>
      <c r="AY94" s="629" t="str">
        <f>IF($M94="","",Y94-INDEX(Assy.Model!$Y$9:$Y$150,MATCH('SN#.Run#'!$M94,Assy.Model!$M$9:$M$150,0)))</f>
        <v/>
      </c>
      <c r="AZ94" s="60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10" t="str">
        <f>IF($M94="","",AN94-INDEX(Assy.Model!$AN$9:$AN$150,MATCH('SN#.Run#'!$M94,Assy.Model!$M$9:$M$150,0)))</f>
        <v/>
      </c>
      <c r="BB94" s="525" t="str">
        <f>IF($M94="","",AO94-INDEX(Assy.Model!$AO$9:$AO$150,MATCH('SN#.Run#'!$M94,Assy.Model!$M$9:$M$150,0)))</f>
        <v/>
      </c>
      <c r="BC94" s="619" t="str">
        <f>IF($M94="","",AP94-INDEX(Assy.Model!$AP$9:$AP$150,MATCH('SN#.Run#'!$M94,Assy.Model!$M$9:$M$150,0)))</f>
        <v/>
      </c>
      <c r="BD94" s="419"/>
      <c r="BE94" s="699"/>
      <c r="BF94" s="417"/>
      <c r="BG94" s="417"/>
      <c r="BH94" s="417"/>
      <c r="IE94" s="790" t="str">
        <f>IFERROR(IF($IU94="","",IF($IU94&lt;(((Settings!$C$19/2)*-1)*$IE$8),"Taper","Nose")),"")</f>
        <v/>
      </c>
      <c r="IF94" s="482" t="str">
        <f>IFERROR(IF((((($IW94*COS(RADIANS(180-$IY94)))*COS(RADIANS($IY94)))-(($IX94*SIN(RADIANS(180-$IY94)))*SIN(RADIANS($IY94))))+$IU94)&lt;(((Settings!$C$19+$IF$8)/2)*-1),"Gage",""),"")</f>
        <v/>
      </c>
      <c r="IG94" s="788" t="str">
        <f t="shared" si="132"/>
        <v/>
      </c>
      <c r="IH94" s="674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677" t="str" cm="1">
        <f t="array" ref="II94">IFERROR(IF($IH94&lt;1,$IH94+LARGE((IF($M$9:$M$150="",0,$M$9:$M$150)-MOD(IF($M$9:$M$150="",0,$M$9:$M$150),1)),1),$IH94),"")</f>
        <v/>
      </c>
      <c r="IJ94" s="482" t="str">
        <f t="shared" si="131"/>
        <v/>
      </c>
      <c r="IK94" s="482" t="str">
        <f t="shared" si="117"/>
        <v/>
      </c>
      <c r="IL94" s="670" t="str">
        <f t="shared" si="134"/>
        <v/>
      </c>
      <c r="IM94" s="702"/>
      <c r="IN94" s="5" t="str">
        <f t="shared" si="135"/>
        <v/>
      </c>
      <c r="IO94" s="714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670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05" t="str">
        <f t="shared" si="143"/>
        <v/>
      </c>
    </row>
    <row r="95" spans="1:259" ht="15" customHeight="1" x14ac:dyDescent="0.25">
      <c r="A95" s="82"/>
      <c r="B95" s="578" t="str">
        <f t="shared" si="118"/>
        <v/>
      </c>
      <c r="C95" s="572" t="str">
        <f t="shared" si="119"/>
        <v/>
      </c>
      <c r="D95" s="576" t="str">
        <f t="shared" si="120"/>
        <v/>
      </c>
      <c r="E95" s="580" t="str">
        <f t="shared" si="121"/>
        <v/>
      </c>
      <c r="F95" s="572" t="str">
        <f t="shared" si="122"/>
        <v/>
      </c>
      <c r="G95" s="579" t="str">
        <f t="shared" si="123"/>
        <v/>
      </c>
      <c r="H95" s="580" t="str">
        <f t="shared" si="128"/>
        <v/>
      </c>
      <c r="I95" s="482"/>
      <c r="J95" s="483" t="str">
        <v/>
      </c>
      <c r="K95" s="806" t="str">
        <f t="shared" si="133"/>
        <v/>
      </c>
      <c r="M95" s="164" t="str">
        <f t="shared" si="88"/>
        <v/>
      </c>
      <c r="N95" s="575" t="str">
        <f t="shared" si="89"/>
        <v/>
      </c>
      <c r="O95" s="572" t="str">
        <f t="shared" si="90"/>
        <v/>
      </c>
      <c r="P95" s="576" t="str">
        <f t="shared" si="91"/>
        <v/>
      </c>
      <c r="Q95" s="528" t="str">
        <f t="shared" si="92"/>
        <v/>
      </c>
      <c r="R95" s="572" t="str">
        <f t="shared" si="93"/>
        <v/>
      </c>
      <c r="S95" s="577" t="str">
        <f t="shared" si="94"/>
        <v/>
      </c>
      <c r="T95" s="578" t="str">
        <f t="shared" si="95"/>
        <v/>
      </c>
      <c r="U95" s="572" t="str">
        <f t="shared" si="96"/>
        <v/>
      </c>
      <c r="V95" s="579" t="str">
        <f t="shared" si="97"/>
        <v/>
      </c>
      <c r="W95" s="528" t="str">
        <f t="shared" si="98"/>
        <v/>
      </c>
      <c r="X95" s="572" t="str">
        <f t="shared" si="99"/>
        <v/>
      </c>
      <c r="Y95" s="573" t="str">
        <f t="shared" si="124"/>
        <v/>
      </c>
      <c r="Z95" s="575" t="str">
        <f t="shared" si="100"/>
        <v/>
      </c>
      <c r="AA95" s="572" t="str">
        <f t="shared" si="101"/>
        <v/>
      </c>
      <c r="AB95" s="572" t="str">
        <f t="shared" si="102"/>
        <v/>
      </c>
      <c r="AC95" s="579" t="str">
        <f t="shared" si="103"/>
        <v/>
      </c>
      <c r="AD95" s="580" t="str">
        <f t="shared" si="104"/>
        <v/>
      </c>
      <c r="AE95" s="572" t="str">
        <f t="shared" si="105"/>
        <v/>
      </c>
      <c r="AF95" s="576" t="str">
        <f t="shared" si="106"/>
        <v/>
      </c>
      <c r="AG95" s="545" t="str">
        <f t="shared" si="107"/>
        <v/>
      </c>
      <c r="AH95" s="546" t="str">
        <f t="shared" si="108"/>
        <v/>
      </c>
      <c r="AI95" s="528" t="str">
        <f t="shared" si="109"/>
        <v/>
      </c>
      <c r="AJ95" s="529" t="str">
        <f t="shared" si="110"/>
        <v/>
      </c>
      <c r="AK95" s="578" t="str">
        <f t="shared" si="111"/>
        <v/>
      </c>
      <c r="AL95" s="572" t="str">
        <f t="shared" si="112"/>
        <v/>
      </c>
      <c r="AM95" s="577" t="str">
        <f t="shared" si="113"/>
        <v/>
      </c>
      <c r="AN95" s="524" t="str">
        <f t="shared" si="86"/>
        <v/>
      </c>
      <c r="AO95" s="525" t="str">
        <f t="shared" si="125"/>
        <v/>
      </c>
      <c r="AP95" s="528" t="str">
        <f t="shared" si="114"/>
        <v/>
      </c>
      <c r="AQ95" s="529" t="str">
        <f t="shared" si="129"/>
        <v/>
      </c>
      <c r="AS95" s="598" t="str">
        <f t="shared" si="115"/>
        <v/>
      </c>
      <c r="AT95" s="602" t="str">
        <f t="shared" si="130"/>
        <v/>
      </c>
      <c r="AU95" s="515" t="str">
        <f t="shared" si="87"/>
        <v/>
      </c>
      <c r="AV95" s="164" t="str">
        <f t="shared" si="116"/>
        <v/>
      </c>
      <c r="AW95" s="545" t="str">
        <f>IF($M95="","",W95-INDEX(Assy.Model!$W$9:$W$150,MATCH('SN#.Run#'!$M95,Assy.Model!$M$9:$M$150,0)))</f>
        <v/>
      </c>
      <c r="AX95" s="628" t="str">
        <f>IF($M95="","",X95-INDEX(Assy.Model!$X$9:$X$150,MATCH('SN#.Run#'!$M95,Assy.Model!$M$9:$M$150,0)))</f>
        <v/>
      </c>
      <c r="AY95" s="629" t="str">
        <f>IF($M95="","",Y95-INDEX(Assy.Model!$Y$9:$Y$150,MATCH('SN#.Run#'!$M95,Assy.Model!$M$9:$M$150,0)))</f>
        <v/>
      </c>
      <c r="AZ95" s="60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10" t="str">
        <f>IF($M95="","",AN95-INDEX(Assy.Model!$AN$9:$AN$150,MATCH('SN#.Run#'!$M95,Assy.Model!$M$9:$M$150,0)))</f>
        <v/>
      </c>
      <c r="BB95" s="525" t="str">
        <f>IF($M95="","",AO95-INDEX(Assy.Model!$AO$9:$AO$150,MATCH('SN#.Run#'!$M95,Assy.Model!$M$9:$M$150,0)))</f>
        <v/>
      </c>
      <c r="BC95" s="619" t="str">
        <f>IF($M95="","",AP95-INDEX(Assy.Model!$AP$9:$AP$150,MATCH('SN#.Run#'!$M95,Assy.Model!$M$9:$M$150,0)))</f>
        <v/>
      </c>
      <c r="BD95" s="419"/>
      <c r="BE95" s="699"/>
      <c r="BF95" s="417"/>
      <c r="BG95" s="417"/>
      <c r="BH95" s="417"/>
      <c r="IE95" s="790" t="str">
        <f>IFERROR(IF($IU95="","",IF($IU95&lt;(((Settings!$C$19/2)*-1)*$IE$8),"Taper","Nose")),"")</f>
        <v/>
      </c>
      <c r="IF95" s="482" t="str">
        <f>IFERROR(IF((((($IW95*COS(RADIANS(180-$IY95)))*COS(RADIANS($IY95)))-(($IX95*SIN(RADIANS(180-$IY95)))*SIN(RADIANS($IY95))))+$IU95)&lt;(((Settings!$C$19+$IF$8)/2)*-1),"Gage",""),"")</f>
        <v/>
      </c>
      <c r="IG95" s="788" t="str">
        <f t="shared" si="132"/>
        <v/>
      </c>
      <c r="IH95" s="674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677" t="str" cm="1">
        <f t="array" ref="II95">IFERROR(IF($IH95&lt;1,$IH95+LARGE((IF($M$9:$M$150="",0,$M$9:$M$150)-MOD(IF($M$9:$M$150="",0,$M$9:$M$150),1)),1),$IH95),"")</f>
        <v/>
      </c>
      <c r="IJ95" s="482" t="str">
        <f t="shared" si="131"/>
        <v/>
      </c>
      <c r="IK95" s="482" t="str">
        <f t="shared" si="117"/>
        <v/>
      </c>
      <c r="IL95" s="670" t="str">
        <f t="shared" si="134"/>
        <v/>
      </c>
      <c r="IM95" s="702"/>
      <c r="IN95" s="5" t="str">
        <f t="shared" si="135"/>
        <v/>
      </c>
      <c r="IO95" s="714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670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05" t="str">
        <f t="shared" si="143"/>
        <v/>
      </c>
    </row>
    <row r="96" spans="1:259" ht="15" customHeight="1" x14ac:dyDescent="0.25">
      <c r="A96" s="82"/>
      <c r="B96" s="578" t="str">
        <f t="shared" si="118"/>
        <v/>
      </c>
      <c r="C96" s="572" t="str">
        <f t="shared" si="119"/>
        <v/>
      </c>
      <c r="D96" s="576" t="str">
        <f t="shared" si="120"/>
        <v/>
      </c>
      <c r="E96" s="580" t="str">
        <f t="shared" si="121"/>
        <v/>
      </c>
      <c r="F96" s="572" t="str">
        <f t="shared" si="122"/>
        <v/>
      </c>
      <c r="G96" s="579" t="str">
        <f t="shared" si="123"/>
        <v/>
      </c>
      <c r="H96" s="580" t="str">
        <f t="shared" si="128"/>
        <v/>
      </c>
      <c r="I96" s="482"/>
      <c r="J96" s="483" t="str">
        <v/>
      </c>
      <c r="K96" s="806" t="str">
        <f t="shared" si="133"/>
        <v/>
      </c>
      <c r="M96" s="164" t="str">
        <f t="shared" si="88"/>
        <v/>
      </c>
      <c r="N96" s="575" t="str">
        <f t="shared" si="89"/>
        <v/>
      </c>
      <c r="O96" s="572" t="str">
        <f t="shared" si="90"/>
        <v/>
      </c>
      <c r="P96" s="576" t="str">
        <f t="shared" si="91"/>
        <v/>
      </c>
      <c r="Q96" s="528" t="str">
        <f t="shared" si="92"/>
        <v/>
      </c>
      <c r="R96" s="572" t="str">
        <f t="shared" si="93"/>
        <v/>
      </c>
      <c r="S96" s="577" t="str">
        <f t="shared" si="94"/>
        <v/>
      </c>
      <c r="T96" s="578" t="str">
        <f t="shared" si="95"/>
        <v/>
      </c>
      <c r="U96" s="572" t="str">
        <f t="shared" si="96"/>
        <v/>
      </c>
      <c r="V96" s="579" t="str">
        <f t="shared" si="97"/>
        <v/>
      </c>
      <c r="W96" s="528" t="str">
        <f t="shared" si="98"/>
        <v/>
      </c>
      <c r="X96" s="572" t="str">
        <f t="shared" si="99"/>
        <v/>
      </c>
      <c r="Y96" s="573" t="str">
        <f t="shared" si="124"/>
        <v/>
      </c>
      <c r="Z96" s="575" t="str">
        <f t="shared" si="100"/>
        <v/>
      </c>
      <c r="AA96" s="572" t="str">
        <f t="shared" si="101"/>
        <v/>
      </c>
      <c r="AB96" s="572" t="str">
        <f t="shared" si="102"/>
        <v/>
      </c>
      <c r="AC96" s="579" t="str">
        <f t="shared" si="103"/>
        <v/>
      </c>
      <c r="AD96" s="580" t="str">
        <f t="shared" si="104"/>
        <v/>
      </c>
      <c r="AE96" s="572" t="str">
        <f t="shared" si="105"/>
        <v/>
      </c>
      <c r="AF96" s="576" t="str">
        <f t="shared" si="106"/>
        <v/>
      </c>
      <c r="AG96" s="545" t="str">
        <f t="shared" si="107"/>
        <v/>
      </c>
      <c r="AH96" s="546" t="str">
        <f t="shared" si="108"/>
        <v/>
      </c>
      <c r="AI96" s="528" t="str">
        <f t="shared" si="109"/>
        <v/>
      </c>
      <c r="AJ96" s="529" t="str">
        <f t="shared" si="110"/>
        <v/>
      </c>
      <c r="AK96" s="578" t="str">
        <f t="shared" si="111"/>
        <v/>
      </c>
      <c r="AL96" s="572" t="str">
        <f t="shared" si="112"/>
        <v/>
      </c>
      <c r="AM96" s="577" t="str">
        <f t="shared" si="113"/>
        <v/>
      </c>
      <c r="AN96" s="524" t="str">
        <f t="shared" si="86"/>
        <v/>
      </c>
      <c r="AO96" s="525" t="str">
        <f t="shared" si="125"/>
        <v/>
      </c>
      <c r="AP96" s="528" t="str">
        <f t="shared" si="114"/>
        <v/>
      </c>
      <c r="AQ96" s="529" t="str">
        <f t="shared" si="129"/>
        <v/>
      </c>
      <c r="AS96" s="598" t="str">
        <f t="shared" si="115"/>
        <v/>
      </c>
      <c r="AT96" s="602" t="str">
        <f t="shared" si="130"/>
        <v/>
      </c>
      <c r="AU96" s="515" t="str">
        <f t="shared" si="87"/>
        <v/>
      </c>
      <c r="AV96" s="164" t="str">
        <f t="shared" si="116"/>
        <v/>
      </c>
      <c r="AW96" s="545" t="str">
        <f>IF($M96="","",W96-INDEX(Assy.Model!$W$9:$W$150,MATCH('SN#.Run#'!$M96,Assy.Model!$M$9:$M$150,0)))</f>
        <v/>
      </c>
      <c r="AX96" s="628" t="str">
        <f>IF($M96="","",X96-INDEX(Assy.Model!$X$9:$X$150,MATCH('SN#.Run#'!$M96,Assy.Model!$M$9:$M$150,0)))</f>
        <v/>
      </c>
      <c r="AY96" s="629" t="str">
        <f>IF($M96="","",Y96-INDEX(Assy.Model!$Y$9:$Y$150,MATCH('SN#.Run#'!$M96,Assy.Model!$M$9:$M$150,0)))</f>
        <v/>
      </c>
      <c r="AZ96" s="60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10" t="str">
        <f>IF($M96="","",AN96-INDEX(Assy.Model!$AN$9:$AN$150,MATCH('SN#.Run#'!$M96,Assy.Model!$M$9:$M$150,0)))</f>
        <v/>
      </c>
      <c r="BB96" s="525" t="str">
        <f>IF($M96="","",AO96-INDEX(Assy.Model!$AO$9:$AO$150,MATCH('SN#.Run#'!$M96,Assy.Model!$M$9:$M$150,0)))</f>
        <v/>
      </c>
      <c r="BC96" s="619" t="str">
        <f>IF($M96="","",AP96-INDEX(Assy.Model!$AP$9:$AP$150,MATCH('SN#.Run#'!$M96,Assy.Model!$M$9:$M$150,0)))</f>
        <v/>
      </c>
      <c r="BD96" s="419"/>
      <c r="BE96" s="699"/>
      <c r="BF96" s="417"/>
      <c r="BG96" s="417"/>
      <c r="BH96" s="417"/>
      <c r="IE96" s="790" t="str">
        <f>IFERROR(IF($IU96="","",IF($IU96&lt;(((Settings!$C$19/2)*-1)*$IE$8),"Taper","Nose")),"")</f>
        <v/>
      </c>
      <c r="IF96" s="482" t="str">
        <f>IFERROR(IF((((($IW96*COS(RADIANS(180-$IY96)))*COS(RADIANS($IY96)))-(($IX96*SIN(RADIANS(180-$IY96)))*SIN(RADIANS($IY96))))+$IU96)&lt;(((Settings!$C$19+$IF$8)/2)*-1),"Gage",""),"")</f>
        <v/>
      </c>
      <c r="IG96" s="788" t="str">
        <f t="shared" si="132"/>
        <v/>
      </c>
      <c r="IH96" s="674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677" t="str" cm="1">
        <f t="array" ref="II96">IFERROR(IF($IH96&lt;1,$IH96+LARGE((IF($M$9:$M$150="",0,$M$9:$M$150)-MOD(IF($M$9:$M$150="",0,$M$9:$M$150),1)),1),$IH96),"")</f>
        <v/>
      </c>
      <c r="IJ96" s="482" t="str">
        <f t="shared" si="131"/>
        <v/>
      </c>
      <c r="IK96" s="482" t="str">
        <f t="shared" si="117"/>
        <v/>
      </c>
      <c r="IL96" s="670" t="str">
        <f t="shared" si="134"/>
        <v/>
      </c>
      <c r="IM96" s="702"/>
      <c r="IN96" s="5" t="str">
        <f t="shared" si="135"/>
        <v/>
      </c>
      <c r="IO96" s="714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670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05" t="str">
        <f t="shared" si="143"/>
        <v/>
      </c>
    </row>
    <row r="97" spans="1:259" ht="15" customHeight="1" x14ac:dyDescent="0.25">
      <c r="A97" s="82"/>
      <c r="B97" s="578" t="str">
        <f t="shared" si="118"/>
        <v/>
      </c>
      <c r="C97" s="572" t="str">
        <f t="shared" si="119"/>
        <v/>
      </c>
      <c r="D97" s="576" t="str">
        <f t="shared" si="120"/>
        <v/>
      </c>
      <c r="E97" s="580" t="str">
        <f t="shared" si="121"/>
        <v/>
      </c>
      <c r="F97" s="572" t="str">
        <f t="shared" si="122"/>
        <v/>
      </c>
      <c r="G97" s="579" t="str">
        <f t="shared" si="123"/>
        <v/>
      </c>
      <c r="H97" s="580" t="str">
        <f t="shared" si="128"/>
        <v/>
      </c>
      <c r="I97" s="482"/>
      <c r="J97" s="483" t="str">
        <v/>
      </c>
      <c r="K97" s="806" t="str">
        <f t="shared" si="133"/>
        <v/>
      </c>
      <c r="M97" s="164" t="str">
        <f t="shared" si="88"/>
        <v/>
      </c>
      <c r="N97" s="575" t="str">
        <f t="shared" si="89"/>
        <v/>
      </c>
      <c r="O97" s="572" t="str">
        <f t="shared" si="90"/>
        <v/>
      </c>
      <c r="P97" s="576" t="str">
        <f t="shared" si="91"/>
        <v/>
      </c>
      <c r="Q97" s="528" t="str">
        <f t="shared" si="92"/>
        <v/>
      </c>
      <c r="R97" s="572" t="str">
        <f t="shared" si="93"/>
        <v/>
      </c>
      <c r="S97" s="577" t="str">
        <f t="shared" si="94"/>
        <v/>
      </c>
      <c r="T97" s="578" t="str">
        <f t="shared" si="95"/>
        <v/>
      </c>
      <c r="U97" s="572" t="str">
        <f t="shared" si="96"/>
        <v/>
      </c>
      <c r="V97" s="579" t="str">
        <f t="shared" si="97"/>
        <v/>
      </c>
      <c r="W97" s="528" t="str">
        <f t="shared" si="98"/>
        <v/>
      </c>
      <c r="X97" s="572" t="str">
        <f t="shared" si="99"/>
        <v/>
      </c>
      <c r="Y97" s="573" t="str">
        <f t="shared" si="124"/>
        <v/>
      </c>
      <c r="Z97" s="575" t="str">
        <f t="shared" si="100"/>
        <v/>
      </c>
      <c r="AA97" s="572" t="str">
        <f t="shared" si="101"/>
        <v/>
      </c>
      <c r="AB97" s="572" t="str">
        <f t="shared" si="102"/>
        <v/>
      </c>
      <c r="AC97" s="579" t="str">
        <f t="shared" si="103"/>
        <v/>
      </c>
      <c r="AD97" s="580" t="str">
        <f t="shared" si="104"/>
        <v/>
      </c>
      <c r="AE97" s="572" t="str">
        <f t="shared" si="105"/>
        <v/>
      </c>
      <c r="AF97" s="576" t="str">
        <f t="shared" si="106"/>
        <v/>
      </c>
      <c r="AG97" s="545" t="str">
        <f t="shared" si="107"/>
        <v/>
      </c>
      <c r="AH97" s="546" t="str">
        <f t="shared" si="108"/>
        <v/>
      </c>
      <c r="AI97" s="528" t="str">
        <f t="shared" si="109"/>
        <v/>
      </c>
      <c r="AJ97" s="529" t="str">
        <f t="shared" si="110"/>
        <v/>
      </c>
      <c r="AK97" s="578" t="str">
        <f t="shared" si="111"/>
        <v/>
      </c>
      <c r="AL97" s="572" t="str">
        <f t="shared" si="112"/>
        <v/>
      </c>
      <c r="AM97" s="577" t="str">
        <f t="shared" si="113"/>
        <v/>
      </c>
      <c r="AN97" s="524" t="str">
        <f t="shared" si="86"/>
        <v/>
      </c>
      <c r="AO97" s="525" t="str">
        <f t="shared" si="125"/>
        <v/>
      </c>
      <c r="AP97" s="528" t="str">
        <f t="shared" si="114"/>
        <v/>
      </c>
      <c r="AQ97" s="529" t="str">
        <f t="shared" si="129"/>
        <v/>
      </c>
      <c r="AS97" s="598" t="str">
        <f t="shared" si="115"/>
        <v/>
      </c>
      <c r="AT97" s="602" t="str">
        <f t="shared" si="130"/>
        <v/>
      </c>
      <c r="AU97" s="515" t="str">
        <f t="shared" si="87"/>
        <v/>
      </c>
      <c r="AV97" s="164" t="str">
        <f t="shared" si="116"/>
        <v/>
      </c>
      <c r="AW97" s="545" t="str">
        <f>IF($M97="","",W97-INDEX(Assy.Model!$W$9:$W$150,MATCH('SN#.Run#'!$M97,Assy.Model!$M$9:$M$150,0)))</f>
        <v/>
      </c>
      <c r="AX97" s="628" t="str">
        <f>IF($M97="","",X97-INDEX(Assy.Model!$X$9:$X$150,MATCH('SN#.Run#'!$M97,Assy.Model!$M$9:$M$150,0)))</f>
        <v/>
      </c>
      <c r="AY97" s="629" t="str">
        <f>IF($M97="","",Y97-INDEX(Assy.Model!$Y$9:$Y$150,MATCH('SN#.Run#'!$M97,Assy.Model!$M$9:$M$150,0)))</f>
        <v/>
      </c>
      <c r="AZ97" s="60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10" t="str">
        <f>IF($M97="","",AN97-INDEX(Assy.Model!$AN$9:$AN$150,MATCH('SN#.Run#'!$M97,Assy.Model!$M$9:$M$150,0)))</f>
        <v/>
      </c>
      <c r="BB97" s="525" t="str">
        <f>IF($M97="","",AO97-INDEX(Assy.Model!$AO$9:$AO$150,MATCH('SN#.Run#'!$M97,Assy.Model!$M$9:$M$150,0)))</f>
        <v/>
      </c>
      <c r="BC97" s="619" t="str">
        <f>IF($M97="","",AP97-INDEX(Assy.Model!$AP$9:$AP$150,MATCH('SN#.Run#'!$M97,Assy.Model!$M$9:$M$150,0)))</f>
        <v/>
      </c>
      <c r="BD97" s="419"/>
      <c r="BE97" s="699"/>
      <c r="BF97" s="417"/>
      <c r="BG97" s="417"/>
      <c r="BH97" s="417"/>
      <c r="IE97" s="790" t="str">
        <f>IFERROR(IF($IU97="","",IF($IU97&lt;(((Settings!$C$19/2)*-1)*$IE$8),"Taper","Nose")),"")</f>
        <v/>
      </c>
      <c r="IF97" s="482" t="str">
        <f>IFERROR(IF((((($IW97*COS(RADIANS(180-$IY97)))*COS(RADIANS($IY97)))-(($IX97*SIN(RADIANS(180-$IY97)))*SIN(RADIANS($IY97))))+$IU97)&lt;(((Settings!$C$19+$IF$8)/2)*-1),"Gage",""),"")</f>
        <v/>
      </c>
      <c r="IG97" s="788" t="str">
        <f t="shared" si="132"/>
        <v/>
      </c>
      <c r="IH97" s="674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677" t="str" cm="1">
        <f t="array" ref="II97">IFERROR(IF($IH97&lt;1,$IH97+LARGE((IF($M$9:$M$150="",0,$M$9:$M$150)-MOD(IF($M$9:$M$150="",0,$M$9:$M$150),1)),1),$IH97),"")</f>
        <v/>
      </c>
      <c r="IJ97" s="482" t="str">
        <f t="shared" si="131"/>
        <v/>
      </c>
      <c r="IK97" s="482" t="str">
        <f t="shared" si="117"/>
        <v/>
      </c>
      <c r="IL97" s="670" t="str">
        <f t="shared" si="134"/>
        <v/>
      </c>
      <c r="IM97" s="702"/>
      <c r="IN97" s="5" t="str">
        <f t="shared" si="135"/>
        <v/>
      </c>
      <c r="IO97" s="714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670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05" t="str">
        <f t="shared" si="143"/>
        <v/>
      </c>
    </row>
    <row r="98" spans="1:259" ht="15" customHeight="1" x14ac:dyDescent="0.25">
      <c r="A98" s="82"/>
      <c r="B98" s="578" t="str">
        <f t="shared" si="118"/>
        <v/>
      </c>
      <c r="C98" s="572" t="str">
        <f t="shared" si="119"/>
        <v/>
      </c>
      <c r="D98" s="576" t="str">
        <f t="shared" si="120"/>
        <v/>
      </c>
      <c r="E98" s="580" t="str">
        <f t="shared" si="121"/>
        <v/>
      </c>
      <c r="F98" s="572" t="str">
        <f t="shared" si="122"/>
        <v/>
      </c>
      <c r="G98" s="579" t="str">
        <f t="shared" si="123"/>
        <v/>
      </c>
      <c r="H98" s="580" t="str">
        <f t="shared" si="128"/>
        <v/>
      </c>
      <c r="I98" s="482"/>
      <c r="J98" s="483" t="str">
        <v/>
      </c>
      <c r="K98" s="806" t="str">
        <f t="shared" si="133"/>
        <v/>
      </c>
      <c r="M98" s="164" t="str">
        <f t="shared" si="88"/>
        <v/>
      </c>
      <c r="N98" s="575" t="str">
        <f t="shared" si="89"/>
        <v/>
      </c>
      <c r="O98" s="572" t="str">
        <f t="shared" si="90"/>
        <v/>
      </c>
      <c r="P98" s="576" t="str">
        <f t="shared" si="91"/>
        <v/>
      </c>
      <c r="Q98" s="528" t="str">
        <f t="shared" si="92"/>
        <v/>
      </c>
      <c r="R98" s="572" t="str">
        <f t="shared" si="93"/>
        <v/>
      </c>
      <c r="S98" s="577" t="str">
        <f t="shared" si="94"/>
        <v/>
      </c>
      <c r="T98" s="578" t="str">
        <f t="shared" si="95"/>
        <v/>
      </c>
      <c r="U98" s="572" t="str">
        <f t="shared" si="96"/>
        <v/>
      </c>
      <c r="V98" s="579" t="str">
        <f t="shared" si="97"/>
        <v/>
      </c>
      <c r="W98" s="528" t="str">
        <f t="shared" si="98"/>
        <v/>
      </c>
      <c r="X98" s="572" t="str">
        <f t="shared" si="99"/>
        <v/>
      </c>
      <c r="Y98" s="573" t="str">
        <f t="shared" si="124"/>
        <v/>
      </c>
      <c r="Z98" s="575" t="str">
        <f t="shared" si="100"/>
        <v/>
      </c>
      <c r="AA98" s="572" t="str">
        <f t="shared" si="101"/>
        <v/>
      </c>
      <c r="AB98" s="572" t="str">
        <f t="shared" si="102"/>
        <v/>
      </c>
      <c r="AC98" s="579" t="str">
        <f t="shared" si="103"/>
        <v/>
      </c>
      <c r="AD98" s="580" t="str">
        <f t="shared" si="104"/>
        <v/>
      </c>
      <c r="AE98" s="572" t="str">
        <f t="shared" si="105"/>
        <v/>
      </c>
      <c r="AF98" s="576" t="str">
        <f t="shared" si="106"/>
        <v/>
      </c>
      <c r="AG98" s="545" t="str">
        <f t="shared" si="107"/>
        <v/>
      </c>
      <c r="AH98" s="546" t="str">
        <f t="shared" si="108"/>
        <v/>
      </c>
      <c r="AI98" s="528" t="str">
        <f t="shared" si="109"/>
        <v/>
      </c>
      <c r="AJ98" s="529" t="str">
        <f t="shared" si="110"/>
        <v/>
      </c>
      <c r="AK98" s="578" t="str">
        <f t="shared" si="111"/>
        <v/>
      </c>
      <c r="AL98" s="572" t="str">
        <f t="shared" si="112"/>
        <v/>
      </c>
      <c r="AM98" s="577" t="str">
        <f t="shared" si="113"/>
        <v/>
      </c>
      <c r="AN98" s="524" t="str">
        <f t="shared" si="86"/>
        <v/>
      </c>
      <c r="AO98" s="525" t="str">
        <f t="shared" si="125"/>
        <v/>
      </c>
      <c r="AP98" s="528" t="str">
        <f t="shared" si="114"/>
        <v/>
      </c>
      <c r="AQ98" s="529" t="str">
        <f t="shared" si="129"/>
        <v/>
      </c>
      <c r="AS98" s="598" t="str">
        <f t="shared" si="115"/>
        <v/>
      </c>
      <c r="AT98" s="602" t="str">
        <f t="shared" si="130"/>
        <v/>
      </c>
      <c r="AU98" s="515" t="str">
        <f t="shared" si="87"/>
        <v/>
      </c>
      <c r="AV98" s="164" t="str">
        <f t="shared" si="116"/>
        <v/>
      </c>
      <c r="AW98" s="545" t="str">
        <f>IF($M98="","",W98-INDEX(Assy.Model!$W$9:$W$150,MATCH('SN#.Run#'!$M98,Assy.Model!$M$9:$M$150,0)))</f>
        <v/>
      </c>
      <c r="AX98" s="628" t="str">
        <f>IF($M98="","",X98-INDEX(Assy.Model!$X$9:$X$150,MATCH('SN#.Run#'!$M98,Assy.Model!$M$9:$M$150,0)))</f>
        <v/>
      </c>
      <c r="AY98" s="629" t="str">
        <f>IF($M98="","",Y98-INDEX(Assy.Model!$Y$9:$Y$150,MATCH('SN#.Run#'!$M98,Assy.Model!$M$9:$M$150,0)))</f>
        <v/>
      </c>
      <c r="AZ98" s="60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10" t="str">
        <f>IF($M98="","",AN98-INDEX(Assy.Model!$AN$9:$AN$150,MATCH('SN#.Run#'!$M98,Assy.Model!$M$9:$M$150,0)))</f>
        <v/>
      </c>
      <c r="BB98" s="525" t="str">
        <f>IF($M98="","",AO98-INDEX(Assy.Model!$AO$9:$AO$150,MATCH('SN#.Run#'!$M98,Assy.Model!$M$9:$M$150,0)))</f>
        <v/>
      </c>
      <c r="BC98" s="619" t="str">
        <f>IF($M98="","",AP98-INDEX(Assy.Model!$AP$9:$AP$150,MATCH('SN#.Run#'!$M98,Assy.Model!$M$9:$M$150,0)))</f>
        <v/>
      </c>
      <c r="BD98" s="419"/>
      <c r="BE98" s="699"/>
      <c r="BF98" s="417"/>
      <c r="BG98" s="417"/>
      <c r="BH98" s="417"/>
      <c r="IE98" s="790" t="str">
        <f>IFERROR(IF($IU98="","",IF($IU98&lt;(((Settings!$C$19/2)*-1)*$IE$8),"Taper","Nose")),"")</f>
        <v/>
      </c>
      <c r="IF98" s="482" t="str">
        <f>IFERROR(IF((((($IW98*COS(RADIANS(180-$IY98)))*COS(RADIANS($IY98)))-(($IX98*SIN(RADIANS(180-$IY98)))*SIN(RADIANS($IY98))))+$IU98)&lt;(((Settings!$C$19+$IF$8)/2)*-1),"Gage",""),"")</f>
        <v/>
      </c>
      <c r="IG98" s="788" t="str">
        <f t="shared" si="132"/>
        <v/>
      </c>
      <c r="IH98" s="674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677" t="str" cm="1">
        <f t="array" ref="II98">IFERROR(IF($IH98&lt;1,$IH98+LARGE((IF($M$9:$M$150="",0,$M$9:$M$150)-MOD(IF($M$9:$M$150="",0,$M$9:$M$150),1)),1),$IH98),"")</f>
        <v/>
      </c>
      <c r="IJ98" s="482" t="str">
        <f t="shared" si="131"/>
        <v/>
      </c>
      <c r="IK98" s="482" t="str">
        <f t="shared" si="117"/>
        <v/>
      </c>
      <c r="IL98" s="670" t="str">
        <f t="shared" si="134"/>
        <v/>
      </c>
      <c r="IM98" s="702"/>
      <c r="IN98" s="5" t="str">
        <f t="shared" si="135"/>
        <v/>
      </c>
      <c r="IO98" s="714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670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05" t="str">
        <f t="shared" si="143"/>
        <v/>
      </c>
    </row>
    <row r="99" spans="1:259" ht="15" customHeight="1" x14ac:dyDescent="0.25">
      <c r="A99" s="82"/>
      <c r="B99" s="578" t="str">
        <f t="shared" si="118"/>
        <v/>
      </c>
      <c r="C99" s="572" t="str">
        <f t="shared" si="119"/>
        <v/>
      </c>
      <c r="D99" s="576" t="str">
        <f t="shared" si="120"/>
        <v/>
      </c>
      <c r="E99" s="580" t="str">
        <f t="shared" si="121"/>
        <v/>
      </c>
      <c r="F99" s="572" t="str">
        <f t="shared" si="122"/>
        <v/>
      </c>
      <c r="G99" s="579" t="str">
        <f t="shared" si="123"/>
        <v/>
      </c>
      <c r="H99" s="580" t="str">
        <f t="shared" si="128"/>
        <v/>
      </c>
      <c r="I99" s="482"/>
      <c r="J99" s="483" t="str">
        <v/>
      </c>
      <c r="K99" s="806" t="str">
        <f t="shared" si="133"/>
        <v/>
      </c>
      <c r="M99" s="164" t="str">
        <f t="shared" si="88"/>
        <v/>
      </c>
      <c r="N99" s="575" t="str">
        <f t="shared" si="89"/>
        <v/>
      </c>
      <c r="O99" s="572" t="str">
        <f t="shared" si="90"/>
        <v/>
      </c>
      <c r="P99" s="576" t="str">
        <f t="shared" si="91"/>
        <v/>
      </c>
      <c r="Q99" s="528" t="str">
        <f t="shared" si="92"/>
        <v/>
      </c>
      <c r="R99" s="572" t="str">
        <f t="shared" si="93"/>
        <v/>
      </c>
      <c r="S99" s="577" t="str">
        <f t="shared" si="94"/>
        <v/>
      </c>
      <c r="T99" s="578" t="str">
        <f t="shared" si="95"/>
        <v/>
      </c>
      <c r="U99" s="572" t="str">
        <f t="shared" si="96"/>
        <v/>
      </c>
      <c r="V99" s="579" t="str">
        <f t="shared" si="97"/>
        <v/>
      </c>
      <c r="W99" s="528" t="str">
        <f t="shared" si="98"/>
        <v/>
      </c>
      <c r="X99" s="572" t="str">
        <f t="shared" si="99"/>
        <v/>
      </c>
      <c r="Y99" s="573" t="str">
        <f t="shared" si="124"/>
        <v/>
      </c>
      <c r="Z99" s="575" t="str">
        <f t="shared" si="100"/>
        <v/>
      </c>
      <c r="AA99" s="572" t="str">
        <f t="shared" si="101"/>
        <v/>
      </c>
      <c r="AB99" s="572" t="str">
        <f t="shared" si="102"/>
        <v/>
      </c>
      <c r="AC99" s="579" t="str">
        <f t="shared" si="103"/>
        <v/>
      </c>
      <c r="AD99" s="580" t="str">
        <f t="shared" si="104"/>
        <v/>
      </c>
      <c r="AE99" s="572" t="str">
        <f t="shared" si="105"/>
        <v/>
      </c>
      <c r="AF99" s="576" t="str">
        <f t="shared" si="106"/>
        <v/>
      </c>
      <c r="AG99" s="545" t="str">
        <f t="shared" si="107"/>
        <v/>
      </c>
      <c r="AH99" s="546" t="str">
        <f t="shared" si="108"/>
        <v/>
      </c>
      <c r="AI99" s="528" t="str">
        <f t="shared" si="109"/>
        <v/>
      </c>
      <c r="AJ99" s="529" t="str">
        <f t="shared" si="110"/>
        <v/>
      </c>
      <c r="AK99" s="578" t="str">
        <f t="shared" si="111"/>
        <v/>
      </c>
      <c r="AL99" s="572" t="str">
        <f t="shared" si="112"/>
        <v/>
      </c>
      <c r="AM99" s="577" t="str">
        <f t="shared" si="113"/>
        <v/>
      </c>
      <c r="AN99" s="524" t="str">
        <f t="shared" si="86"/>
        <v/>
      </c>
      <c r="AO99" s="525" t="str">
        <f t="shared" si="125"/>
        <v/>
      </c>
      <c r="AP99" s="528" t="str">
        <f t="shared" si="114"/>
        <v/>
      </c>
      <c r="AQ99" s="529" t="str">
        <f t="shared" si="129"/>
        <v/>
      </c>
      <c r="AS99" s="598" t="str">
        <f t="shared" si="115"/>
        <v/>
      </c>
      <c r="AT99" s="602" t="str">
        <f t="shared" si="130"/>
        <v/>
      </c>
      <c r="AU99" s="515" t="str">
        <f t="shared" si="87"/>
        <v/>
      </c>
      <c r="AV99" s="164" t="str">
        <f t="shared" si="116"/>
        <v/>
      </c>
      <c r="AW99" s="545" t="str">
        <f>IF($M99="","",W99-INDEX(Assy.Model!$W$9:$W$150,MATCH('SN#.Run#'!$M99,Assy.Model!$M$9:$M$150,0)))</f>
        <v/>
      </c>
      <c r="AX99" s="628" t="str">
        <f>IF($M99="","",X99-INDEX(Assy.Model!$X$9:$X$150,MATCH('SN#.Run#'!$M99,Assy.Model!$M$9:$M$150,0)))</f>
        <v/>
      </c>
      <c r="AY99" s="629" t="str">
        <f>IF($M99="","",Y99-INDEX(Assy.Model!$Y$9:$Y$150,MATCH('SN#.Run#'!$M99,Assy.Model!$M$9:$M$150,0)))</f>
        <v/>
      </c>
      <c r="AZ99" s="60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10" t="str">
        <f>IF($M99="","",AN99-INDEX(Assy.Model!$AN$9:$AN$150,MATCH('SN#.Run#'!$M99,Assy.Model!$M$9:$M$150,0)))</f>
        <v/>
      </c>
      <c r="BB99" s="525" t="str">
        <f>IF($M99="","",AO99-INDEX(Assy.Model!$AO$9:$AO$150,MATCH('SN#.Run#'!$M99,Assy.Model!$M$9:$M$150,0)))</f>
        <v/>
      </c>
      <c r="BC99" s="619" t="str">
        <f>IF($M99="","",AP99-INDEX(Assy.Model!$AP$9:$AP$150,MATCH('SN#.Run#'!$M99,Assy.Model!$M$9:$M$150,0)))</f>
        <v/>
      </c>
      <c r="BD99" s="419"/>
      <c r="BE99" s="699"/>
      <c r="BF99" s="417"/>
      <c r="BG99" s="417"/>
      <c r="BH99" s="417"/>
      <c r="BI99" s="1"/>
      <c r="IE99" s="790" t="str">
        <f>IFERROR(IF($IU99="","",IF($IU99&lt;(((Settings!$C$19/2)*-1)*$IE$8),"Taper","Nose")),"")</f>
        <v/>
      </c>
      <c r="IF99" s="482" t="str">
        <f>IFERROR(IF((((($IW99*COS(RADIANS(180-$IY99)))*COS(RADIANS($IY99)))-(($IX99*SIN(RADIANS(180-$IY99)))*SIN(RADIANS($IY99))))+$IU99)&lt;(((Settings!$C$19+$IF$8)/2)*-1),"Gage",""),"")</f>
        <v/>
      </c>
      <c r="IG99" s="788" t="str">
        <f t="shared" si="132"/>
        <v/>
      </c>
      <c r="IH99" s="674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677" t="str" cm="1">
        <f t="array" ref="II99">IFERROR(IF($IH99&lt;1,$IH99+LARGE((IF($M$9:$M$150="",0,$M$9:$M$150)-MOD(IF($M$9:$M$150="",0,$M$9:$M$150),1)),1),$IH99),"")</f>
        <v/>
      </c>
      <c r="IJ99" s="482" t="str">
        <f t="shared" si="131"/>
        <v/>
      </c>
      <c r="IK99" s="482" t="str">
        <f t="shared" si="117"/>
        <v/>
      </c>
      <c r="IL99" s="670" t="str">
        <f t="shared" si="134"/>
        <v/>
      </c>
      <c r="IM99" s="702"/>
      <c r="IN99" s="5" t="str">
        <f t="shared" si="135"/>
        <v/>
      </c>
      <c r="IO99" s="714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670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05" t="str">
        <f t="shared" si="143"/>
        <v/>
      </c>
    </row>
    <row r="100" spans="1:259" ht="15" customHeight="1" x14ac:dyDescent="0.25">
      <c r="A100" s="82"/>
      <c r="B100" s="578" t="str">
        <f t="shared" si="118"/>
        <v/>
      </c>
      <c r="C100" s="572" t="str">
        <f t="shared" si="119"/>
        <v/>
      </c>
      <c r="D100" s="576" t="str">
        <f t="shared" si="120"/>
        <v/>
      </c>
      <c r="E100" s="580" t="str">
        <f t="shared" si="121"/>
        <v/>
      </c>
      <c r="F100" s="572" t="str">
        <f t="shared" si="122"/>
        <v/>
      </c>
      <c r="G100" s="579" t="str">
        <f t="shared" si="123"/>
        <v/>
      </c>
      <c r="H100" s="580" t="str">
        <f t="shared" si="128"/>
        <v/>
      </c>
      <c r="I100" s="482"/>
      <c r="J100" s="483" t="str">
        <v/>
      </c>
      <c r="K100" s="806" t="str">
        <f t="shared" si="133"/>
        <v/>
      </c>
      <c r="M100" s="164" t="str">
        <f t="shared" si="88"/>
        <v/>
      </c>
      <c r="N100" s="575" t="str">
        <f t="shared" si="89"/>
        <v/>
      </c>
      <c r="O100" s="572" t="str">
        <f t="shared" si="90"/>
        <v/>
      </c>
      <c r="P100" s="576" t="str">
        <f t="shared" si="91"/>
        <v/>
      </c>
      <c r="Q100" s="528" t="str">
        <f t="shared" si="92"/>
        <v/>
      </c>
      <c r="R100" s="572" t="str">
        <f t="shared" si="93"/>
        <v/>
      </c>
      <c r="S100" s="577" t="str">
        <f t="shared" si="94"/>
        <v/>
      </c>
      <c r="T100" s="578" t="str">
        <f t="shared" si="95"/>
        <v/>
      </c>
      <c r="U100" s="572" t="str">
        <f t="shared" si="96"/>
        <v/>
      </c>
      <c r="V100" s="579" t="str">
        <f t="shared" si="97"/>
        <v/>
      </c>
      <c r="W100" s="528" t="str">
        <f t="shared" si="98"/>
        <v/>
      </c>
      <c r="X100" s="572" t="str">
        <f t="shared" si="99"/>
        <v/>
      </c>
      <c r="Y100" s="573" t="str">
        <f t="shared" si="124"/>
        <v/>
      </c>
      <c r="Z100" s="575" t="str">
        <f t="shared" si="100"/>
        <v/>
      </c>
      <c r="AA100" s="572" t="str">
        <f t="shared" si="101"/>
        <v/>
      </c>
      <c r="AB100" s="572" t="str">
        <f t="shared" si="102"/>
        <v/>
      </c>
      <c r="AC100" s="579" t="str">
        <f t="shared" si="103"/>
        <v/>
      </c>
      <c r="AD100" s="580" t="str">
        <f t="shared" si="104"/>
        <v/>
      </c>
      <c r="AE100" s="572" t="str">
        <f t="shared" si="105"/>
        <v/>
      </c>
      <c r="AF100" s="576" t="str">
        <f t="shared" si="106"/>
        <v/>
      </c>
      <c r="AG100" s="545" t="str">
        <f t="shared" si="107"/>
        <v/>
      </c>
      <c r="AH100" s="546" t="str">
        <f t="shared" si="108"/>
        <v/>
      </c>
      <c r="AI100" s="528" t="str">
        <f t="shared" si="109"/>
        <v/>
      </c>
      <c r="AJ100" s="529" t="str">
        <f t="shared" si="110"/>
        <v/>
      </c>
      <c r="AK100" s="578" t="str">
        <f t="shared" si="111"/>
        <v/>
      </c>
      <c r="AL100" s="572" t="str">
        <f t="shared" si="112"/>
        <v/>
      </c>
      <c r="AM100" s="577" t="str">
        <f t="shared" si="113"/>
        <v/>
      </c>
      <c r="AN100" s="524" t="str">
        <f t="shared" si="86"/>
        <v/>
      </c>
      <c r="AO100" s="525" t="str">
        <f t="shared" si="125"/>
        <v/>
      </c>
      <c r="AP100" s="528" t="str">
        <f t="shared" si="114"/>
        <v/>
      </c>
      <c r="AQ100" s="529" t="str">
        <f t="shared" si="129"/>
        <v/>
      </c>
      <c r="AS100" s="598" t="str">
        <f t="shared" si="115"/>
        <v/>
      </c>
      <c r="AT100" s="602" t="str">
        <f t="shared" si="130"/>
        <v/>
      </c>
      <c r="AU100" s="515" t="str">
        <f t="shared" si="87"/>
        <v/>
      </c>
      <c r="AV100" s="164" t="str">
        <f t="shared" si="116"/>
        <v/>
      </c>
      <c r="AW100" s="545" t="str">
        <f>IF($M100="","",W100-INDEX(Assy.Model!$W$9:$W$150,MATCH('SN#.Run#'!$M100,Assy.Model!$M$9:$M$150,0)))</f>
        <v/>
      </c>
      <c r="AX100" s="628" t="str">
        <f>IF($M100="","",X100-INDEX(Assy.Model!$X$9:$X$150,MATCH('SN#.Run#'!$M100,Assy.Model!$M$9:$M$150,0)))</f>
        <v/>
      </c>
      <c r="AY100" s="629" t="str">
        <f>IF($M100="","",Y100-INDEX(Assy.Model!$Y$9:$Y$150,MATCH('SN#.Run#'!$M100,Assy.Model!$M$9:$M$150,0)))</f>
        <v/>
      </c>
      <c r="AZ100" s="60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10" t="str">
        <f>IF($M100="","",AN100-INDEX(Assy.Model!$AN$9:$AN$150,MATCH('SN#.Run#'!$M100,Assy.Model!$M$9:$M$150,0)))</f>
        <v/>
      </c>
      <c r="BB100" s="525" t="str">
        <f>IF($M100="","",AO100-INDEX(Assy.Model!$AO$9:$AO$150,MATCH('SN#.Run#'!$M100,Assy.Model!$M$9:$M$150,0)))</f>
        <v/>
      </c>
      <c r="BC100" s="619" t="str">
        <f>IF($M100="","",AP100-INDEX(Assy.Model!$AP$9:$AP$150,MATCH('SN#.Run#'!$M100,Assy.Model!$M$9:$M$150,0)))</f>
        <v/>
      </c>
      <c r="BD100" s="419"/>
      <c r="BE100" s="699"/>
      <c r="BF100" s="417"/>
      <c r="BG100" s="417"/>
      <c r="BH100" s="417"/>
      <c r="IE100" s="790" t="str">
        <f>IFERROR(IF($IU100="","",IF($IU100&lt;(((Settings!$C$19/2)*-1)*$IE$8),"Taper","Nose")),"")</f>
        <v/>
      </c>
      <c r="IF100" s="482" t="str">
        <f>IFERROR(IF((((($IW100*COS(RADIANS(180-$IY100)))*COS(RADIANS($IY100)))-(($IX100*SIN(RADIANS(180-$IY100)))*SIN(RADIANS($IY100))))+$IU100)&lt;(((Settings!$C$19+$IF$8)/2)*-1),"Gage",""),"")</f>
        <v/>
      </c>
      <c r="IG100" s="788" t="str">
        <f t="shared" si="132"/>
        <v/>
      </c>
      <c r="IH100" s="674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677" t="str" cm="1">
        <f t="array" ref="II100">IFERROR(IF($IH100&lt;1,$IH100+LARGE((IF($M$9:$M$150="",0,$M$9:$M$150)-MOD(IF($M$9:$M$150="",0,$M$9:$M$150),1)),1),$IH100),"")</f>
        <v/>
      </c>
      <c r="IJ100" s="482" t="str">
        <f t="shared" si="131"/>
        <v/>
      </c>
      <c r="IK100" s="482" t="str">
        <f t="shared" si="117"/>
        <v/>
      </c>
      <c r="IL100" s="670" t="str">
        <f t="shared" si="134"/>
        <v/>
      </c>
      <c r="IM100" s="702"/>
      <c r="IN100" s="5" t="str">
        <f t="shared" si="135"/>
        <v/>
      </c>
      <c r="IO100" s="714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670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05" t="str">
        <f t="shared" si="143"/>
        <v/>
      </c>
    </row>
    <row r="101" spans="1:259" ht="15" customHeight="1" x14ac:dyDescent="0.25">
      <c r="A101" s="82"/>
      <c r="B101" s="578" t="str">
        <f t="shared" si="118"/>
        <v/>
      </c>
      <c r="C101" s="572" t="str">
        <f t="shared" si="119"/>
        <v/>
      </c>
      <c r="D101" s="576" t="str">
        <f t="shared" si="120"/>
        <v/>
      </c>
      <c r="E101" s="580" t="str">
        <f t="shared" si="121"/>
        <v/>
      </c>
      <c r="F101" s="572" t="str">
        <f t="shared" si="122"/>
        <v/>
      </c>
      <c r="G101" s="579" t="str">
        <f t="shared" si="123"/>
        <v/>
      </c>
      <c r="H101" s="580" t="str">
        <f t="shared" si="128"/>
        <v/>
      </c>
      <c r="I101" s="482"/>
      <c r="J101" s="483" t="str">
        <v/>
      </c>
      <c r="K101" s="806" t="str">
        <f t="shared" si="133"/>
        <v/>
      </c>
      <c r="M101" s="164" t="str">
        <f t="shared" si="88"/>
        <v/>
      </c>
      <c r="N101" s="575" t="str">
        <f t="shared" si="89"/>
        <v/>
      </c>
      <c r="O101" s="572" t="str">
        <f t="shared" si="90"/>
        <v/>
      </c>
      <c r="P101" s="576" t="str">
        <f t="shared" si="91"/>
        <v/>
      </c>
      <c r="Q101" s="528" t="str">
        <f t="shared" si="92"/>
        <v/>
      </c>
      <c r="R101" s="572" t="str">
        <f t="shared" si="93"/>
        <v/>
      </c>
      <c r="S101" s="577" t="str">
        <f t="shared" si="94"/>
        <v/>
      </c>
      <c r="T101" s="578" t="str">
        <f t="shared" si="95"/>
        <v/>
      </c>
      <c r="U101" s="572" t="str">
        <f t="shared" si="96"/>
        <v/>
      </c>
      <c r="V101" s="579" t="str">
        <f t="shared" si="97"/>
        <v/>
      </c>
      <c r="W101" s="528" t="str">
        <f t="shared" si="98"/>
        <v/>
      </c>
      <c r="X101" s="572" t="str">
        <f t="shared" si="99"/>
        <v/>
      </c>
      <c r="Y101" s="573" t="str">
        <f t="shared" si="124"/>
        <v/>
      </c>
      <c r="Z101" s="575" t="str">
        <f t="shared" si="100"/>
        <v/>
      </c>
      <c r="AA101" s="572" t="str">
        <f t="shared" si="101"/>
        <v/>
      </c>
      <c r="AB101" s="572" t="str">
        <f t="shared" si="102"/>
        <v/>
      </c>
      <c r="AC101" s="579" t="str">
        <f t="shared" si="103"/>
        <v/>
      </c>
      <c r="AD101" s="580" t="str">
        <f t="shared" si="104"/>
        <v/>
      </c>
      <c r="AE101" s="572" t="str">
        <f t="shared" si="105"/>
        <v/>
      </c>
      <c r="AF101" s="576" t="str">
        <f t="shared" si="106"/>
        <v/>
      </c>
      <c r="AG101" s="545" t="str">
        <f t="shared" si="107"/>
        <v/>
      </c>
      <c r="AH101" s="546" t="str">
        <f t="shared" si="108"/>
        <v/>
      </c>
      <c r="AI101" s="528" t="str">
        <f t="shared" si="109"/>
        <v/>
      </c>
      <c r="AJ101" s="529" t="str">
        <f t="shared" si="110"/>
        <v/>
      </c>
      <c r="AK101" s="578" t="str">
        <f t="shared" si="111"/>
        <v/>
      </c>
      <c r="AL101" s="572" t="str">
        <f t="shared" si="112"/>
        <v/>
      </c>
      <c r="AM101" s="577" t="str">
        <f t="shared" si="113"/>
        <v/>
      </c>
      <c r="AN101" s="524" t="str">
        <f t="shared" si="86"/>
        <v/>
      </c>
      <c r="AO101" s="525" t="str">
        <f t="shared" si="125"/>
        <v/>
      </c>
      <c r="AP101" s="528" t="str">
        <f t="shared" si="114"/>
        <v/>
      </c>
      <c r="AQ101" s="529" t="str">
        <f t="shared" si="129"/>
        <v/>
      </c>
      <c r="AS101" s="598" t="str">
        <f t="shared" si="115"/>
        <v/>
      </c>
      <c r="AT101" s="602" t="str">
        <f t="shared" si="130"/>
        <v/>
      </c>
      <c r="AU101" s="515" t="str">
        <f t="shared" si="87"/>
        <v/>
      </c>
      <c r="AV101" s="164" t="str">
        <f t="shared" si="116"/>
        <v/>
      </c>
      <c r="AW101" s="545" t="str">
        <f>IF($M101="","",W101-INDEX(Assy.Model!$W$9:$W$150,MATCH('SN#.Run#'!$M101,Assy.Model!$M$9:$M$150,0)))</f>
        <v/>
      </c>
      <c r="AX101" s="628" t="str">
        <f>IF($M101="","",X101-INDEX(Assy.Model!$X$9:$X$150,MATCH('SN#.Run#'!$M101,Assy.Model!$M$9:$M$150,0)))</f>
        <v/>
      </c>
      <c r="AY101" s="629" t="str">
        <f>IF($M101="","",Y101-INDEX(Assy.Model!$Y$9:$Y$150,MATCH('SN#.Run#'!$M101,Assy.Model!$M$9:$M$150,0)))</f>
        <v/>
      </c>
      <c r="AZ101" s="60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10" t="str">
        <f>IF($M101="","",AN101-INDEX(Assy.Model!$AN$9:$AN$150,MATCH('SN#.Run#'!$M101,Assy.Model!$M$9:$M$150,0)))</f>
        <v/>
      </c>
      <c r="BB101" s="525" t="str">
        <f>IF($M101="","",AO101-INDEX(Assy.Model!$AO$9:$AO$150,MATCH('SN#.Run#'!$M101,Assy.Model!$M$9:$M$150,0)))</f>
        <v/>
      </c>
      <c r="BC101" s="619" t="str">
        <f>IF($M101="","",AP101-INDEX(Assy.Model!$AP$9:$AP$150,MATCH('SN#.Run#'!$M101,Assy.Model!$M$9:$M$150,0)))</f>
        <v/>
      </c>
      <c r="BD101" s="419"/>
      <c r="BE101" s="699"/>
      <c r="BF101" s="417"/>
      <c r="BG101" s="417"/>
      <c r="BH101" s="417"/>
      <c r="IE101" s="790" t="str">
        <f>IFERROR(IF($IU101="","",IF($IU101&lt;(((Settings!$C$19/2)*-1)*$IE$8),"Taper","Nose")),"")</f>
        <v/>
      </c>
      <c r="IF101" s="482" t="str">
        <f>IFERROR(IF((((($IW101*COS(RADIANS(180-$IY101)))*COS(RADIANS($IY101)))-(($IX101*SIN(RADIANS(180-$IY101)))*SIN(RADIANS($IY101))))+$IU101)&lt;(((Settings!$C$19+$IF$8)/2)*-1),"Gage",""),"")</f>
        <v/>
      </c>
      <c r="IG101" s="788" t="str">
        <f t="shared" si="132"/>
        <v/>
      </c>
      <c r="IH101" s="674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677" t="str" cm="1">
        <f t="array" ref="II101">IFERROR(IF($IH101&lt;1,$IH101+LARGE((IF($M$9:$M$150="",0,$M$9:$M$150)-MOD(IF($M$9:$M$150="",0,$M$9:$M$150),1)),1),$IH101),"")</f>
        <v/>
      </c>
      <c r="IJ101" s="482" t="str">
        <f t="shared" si="131"/>
        <v/>
      </c>
      <c r="IK101" s="482" t="str">
        <f t="shared" si="117"/>
        <v/>
      </c>
      <c r="IL101" s="670" t="str">
        <f t="shared" si="134"/>
        <v/>
      </c>
      <c r="IM101" s="702"/>
      <c r="IN101" s="5" t="str">
        <f t="shared" si="135"/>
        <v/>
      </c>
      <c r="IO101" s="714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670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05" t="str">
        <f t="shared" si="143"/>
        <v/>
      </c>
    </row>
    <row r="102" spans="1:259" ht="15" customHeight="1" x14ac:dyDescent="0.25">
      <c r="A102" s="82"/>
      <c r="B102" s="578" t="str">
        <f t="shared" si="118"/>
        <v/>
      </c>
      <c r="C102" s="572" t="str">
        <f t="shared" si="119"/>
        <v/>
      </c>
      <c r="D102" s="576" t="str">
        <f t="shared" si="120"/>
        <v/>
      </c>
      <c r="E102" s="580" t="str">
        <f t="shared" si="121"/>
        <v/>
      </c>
      <c r="F102" s="572" t="str">
        <f t="shared" si="122"/>
        <v/>
      </c>
      <c r="G102" s="579" t="str">
        <f t="shared" si="123"/>
        <v/>
      </c>
      <c r="H102" s="580" t="str">
        <f t="shared" si="128"/>
        <v/>
      </c>
      <c r="I102" s="482"/>
      <c r="J102" s="483" t="str">
        <v/>
      </c>
      <c r="K102" s="806" t="str">
        <f t="shared" si="133"/>
        <v/>
      </c>
      <c r="M102" s="164" t="str">
        <f t="shared" si="88"/>
        <v/>
      </c>
      <c r="N102" s="575" t="str">
        <f t="shared" si="89"/>
        <v/>
      </c>
      <c r="O102" s="572" t="str">
        <f t="shared" si="90"/>
        <v/>
      </c>
      <c r="P102" s="576" t="str">
        <f t="shared" si="91"/>
        <v/>
      </c>
      <c r="Q102" s="528" t="str">
        <f t="shared" si="92"/>
        <v/>
      </c>
      <c r="R102" s="572" t="str">
        <f t="shared" si="93"/>
        <v/>
      </c>
      <c r="S102" s="577" t="str">
        <f t="shared" si="94"/>
        <v/>
      </c>
      <c r="T102" s="578" t="str">
        <f t="shared" si="95"/>
        <v/>
      </c>
      <c r="U102" s="572" t="str">
        <f t="shared" si="96"/>
        <v/>
      </c>
      <c r="V102" s="579" t="str">
        <f t="shared" si="97"/>
        <v/>
      </c>
      <c r="W102" s="528" t="str">
        <f t="shared" si="98"/>
        <v/>
      </c>
      <c r="X102" s="572" t="str">
        <f t="shared" si="99"/>
        <v/>
      </c>
      <c r="Y102" s="573" t="str">
        <f t="shared" si="124"/>
        <v/>
      </c>
      <c r="Z102" s="575" t="str">
        <f t="shared" si="100"/>
        <v/>
      </c>
      <c r="AA102" s="572" t="str">
        <f t="shared" si="101"/>
        <v/>
      </c>
      <c r="AB102" s="572" t="str">
        <f t="shared" si="102"/>
        <v/>
      </c>
      <c r="AC102" s="579" t="str">
        <f t="shared" si="103"/>
        <v/>
      </c>
      <c r="AD102" s="580" t="str">
        <f t="shared" si="104"/>
        <v/>
      </c>
      <c r="AE102" s="572" t="str">
        <f t="shared" si="105"/>
        <v/>
      </c>
      <c r="AF102" s="576" t="str">
        <f t="shared" si="106"/>
        <v/>
      </c>
      <c r="AG102" s="545" t="str">
        <f t="shared" si="107"/>
        <v/>
      </c>
      <c r="AH102" s="546" t="str">
        <f t="shared" si="108"/>
        <v/>
      </c>
      <c r="AI102" s="528" t="str">
        <f t="shared" si="109"/>
        <v/>
      </c>
      <c r="AJ102" s="529" t="str">
        <f t="shared" si="110"/>
        <v/>
      </c>
      <c r="AK102" s="578" t="str">
        <f t="shared" si="111"/>
        <v/>
      </c>
      <c r="AL102" s="572" t="str">
        <f t="shared" si="112"/>
        <v/>
      </c>
      <c r="AM102" s="577" t="str">
        <f t="shared" si="113"/>
        <v/>
      </c>
      <c r="AN102" s="524" t="str">
        <f t="shared" si="86"/>
        <v/>
      </c>
      <c r="AO102" s="525" t="str">
        <f t="shared" si="125"/>
        <v/>
      </c>
      <c r="AP102" s="528" t="str">
        <f t="shared" si="114"/>
        <v/>
      </c>
      <c r="AQ102" s="529" t="str">
        <f t="shared" si="129"/>
        <v/>
      </c>
      <c r="AS102" s="598" t="str">
        <f t="shared" si="115"/>
        <v/>
      </c>
      <c r="AT102" s="602" t="str">
        <f t="shared" si="130"/>
        <v/>
      </c>
      <c r="AU102" s="515" t="str">
        <f t="shared" si="87"/>
        <v/>
      </c>
      <c r="AV102" s="164" t="str">
        <f t="shared" si="116"/>
        <v/>
      </c>
      <c r="AW102" s="545" t="str">
        <f>IF($M102="","",W102-INDEX(Assy.Model!$W$9:$W$150,MATCH('SN#.Run#'!$M102,Assy.Model!$M$9:$M$150,0)))</f>
        <v/>
      </c>
      <c r="AX102" s="628" t="str">
        <f>IF($M102="","",X102-INDEX(Assy.Model!$X$9:$X$150,MATCH('SN#.Run#'!$M102,Assy.Model!$M$9:$M$150,0)))</f>
        <v/>
      </c>
      <c r="AY102" s="629" t="str">
        <f>IF($M102="","",Y102-INDEX(Assy.Model!$Y$9:$Y$150,MATCH('SN#.Run#'!$M102,Assy.Model!$M$9:$M$150,0)))</f>
        <v/>
      </c>
      <c r="AZ102" s="60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10" t="str">
        <f>IF($M102="","",AN102-INDEX(Assy.Model!$AN$9:$AN$150,MATCH('SN#.Run#'!$M102,Assy.Model!$M$9:$M$150,0)))</f>
        <v/>
      </c>
      <c r="BB102" s="525" t="str">
        <f>IF($M102="","",AO102-INDEX(Assy.Model!$AO$9:$AO$150,MATCH('SN#.Run#'!$M102,Assy.Model!$M$9:$M$150,0)))</f>
        <v/>
      </c>
      <c r="BC102" s="619" t="str">
        <f>IF($M102="","",AP102-INDEX(Assy.Model!$AP$9:$AP$150,MATCH('SN#.Run#'!$M102,Assy.Model!$M$9:$M$150,0)))</f>
        <v/>
      </c>
      <c r="BD102" s="419"/>
      <c r="BE102" s="699"/>
      <c r="BF102" s="417"/>
      <c r="BG102" s="417"/>
      <c r="BH102" s="417"/>
      <c r="IE102" s="790" t="str">
        <f>IFERROR(IF($IU102="","",IF($IU102&lt;(((Settings!$C$19/2)*-1)*$IE$8),"Taper","Nose")),"")</f>
        <v/>
      </c>
      <c r="IF102" s="482" t="str">
        <f>IFERROR(IF((((($IW102*COS(RADIANS(180-$IY102)))*COS(RADIANS($IY102)))-(($IX102*SIN(RADIANS(180-$IY102)))*SIN(RADIANS($IY102))))+$IU102)&lt;(((Settings!$C$19+$IF$8)/2)*-1),"Gage",""),"")</f>
        <v/>
      </c>
      <c r="IG102" s="788" t="str">
        <f t="shared" si="132"/>
        <v/>
      </c>
      <c r="IH102" s="674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677" t="str" cm="1">
        <f t="array" ref="II102">IFERROR(IF($IH102&lt;1,$IH102+LARGE((IF($M$9:$M$150="",0,$M$9:$M$150)-MOD(IF($M$9:$M$150="",0,$M$9:$M$150),1)),1),$IH102),"")</f>
        <v/>
      </c>
      <c r="IJ102" s="482" t="str">
        <f t="shared" si="131"/>
        <v/>
      </c>
      <c r="IK102" s="482" t="str">
        <f t="shared" si="117"/>
        <v/>
      </c>
      <c r="IL102" s="670" t="str">
        <f t="shared" si="134"/>
        <v/>
      </c>
      <c r="IM102" s="702"/>
      <c r="IN102" s="5" t="str">
        <f t="shared" si="135"/>
        <v/>
      </c>
      <c r="IO102" s="714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670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05" t="str">
        <f t="shared" si="143"/>
        <v/>
      </c>
    </row>
    <row r="103" spans="1:259" ht="15" customHeight="1" x14ac:dyDescent="0.25">
      <c r="A103" s="82"/>
      <c r="B103" s="578" t="str">
        <f t="shared" si="118"/>
        <v/>
      </c>
      <c r="C103" s="572" t="str">
        <f t="shared" si="119"/>
        <v/>
      </c>
      <c r="D103" s="576" t="str">
        <f t="shared" si="120"/>
        <v/>
      </c>
      <c r="E103" s="580" t="str">
        <f t="shared" si="121"/>
        <v/>
      </c>
      <c r="F103" s="572" t="str">
        <f t="shared" si="122"/>
        <v/>
      </c>
      <c r="G103" s="579" t="str">
        <f t="shared" si="123"/>
        <v/>
      </c>
      <c r="H103" s="580" t="str">
        <f t="shared" si="128"/>
        <v/>
      </c>
      <c r="I103" s="482"/>
      <c r="J103" s="483" t="str">
        <v/>
      </c>
      <c r="K103" s="806" t="str">
        <f t="shared" si="133"/>
        <v/>
      </c>
      <c r="M103" s="164" t="str">
        <f t="shared" si="88"/>
        <v/>
      </c>
      <c r="N103" s="575" t="str">
        <f t="shared" si="89"/>
        <v/>
      </c>
      <c r="O103" s="572" t="str">
        <f t="shared" si="90"/>
        <v/>
      </c>
      <c r="P103" s="576" t="str">
        <f t="shared" si="91"/>
        <v/>
      </c>
      <c r="Q103" s="528" t="str">
        <f t="shared" si="92"/>
        <v/>
      </c>
      <c r="R103" s="572" t="str">
        <f t="shared" si="93"/>
        <v/>
      </c>
      <c r="S103" s="577" t="str">
        <f t="shared" si="94"/>
        <v/>
      </c>
      <c r="T103" s="578" t="str">
        <f t="shared" si="95"/>
        <v/>
      </c>
      <c r="U103" s="572" t="str">
        <f t="shared" si="96"/>
        <v/>
      </c>
      <c r="V103" s="579" t="str">
        <f t="shared" si="97"/>
        <v/>
      </c>
      <c r="W103" s="528" t="str">
        <f t="shared" si="98"/>
        <v/>
      </c>
      <c r="X103" s="572" t="str">
        <f t="shared" si="99"/>
        <v/>
      </c>
      <c r="Y103" s="573" t="str">
        <f t="shared" si="124"/>
        <v/>
      </c>
      <c r="Z103" s="575" t="str">
        <f t="shared" si="100"/>
        <v/>
      </c>
      <c r="AA103" s="572" t="str">
        <f t="shared" si="101"/>
        <v/>
      </c>
      <c r="AB103" s="572" t="str">
        <f t="shared" si="102"/>
        <v/>
      </c>
      <c r="AC103" s="579" t="str">
        <f t="shared" si="103"/>
        <v/>
      </c>
      <c r="AD103" s="580" t="str">
        <f t="shared" si="104"/>
        <v/>
      </c>
      <c r="AE103" s="572" t="str">
        <f t="shared" si="105"/>
        <v/>
      </c>
      <c r="AF103" s="576" t="str">
        <f t="shared" si="106"/>
        <v/>
      </c>
      <c r="AG103" s="545" t="str">
        <f t="shared" si="107"/>
        <v/>
      </c>
      <c r="AH103" s="546" t="str">
        <f t="shared" si="108"/>
        <v/>
      </c>
      <c r="AI103" s="528" t="str">
        <f t="shared" si="109"/>
        <v/>
      </c>
      <c r="AJ103" s="529" t="str">
        <f t="shared" si="110"/>
        <v/>
      </c>
      <c r="AK103" s="578" t="str">
        <f t="shared" si="111"/>
        <v/>
      </c>
      <c r="AL103" s="572" t="str">
        <f t="shared" si="112"/>
        <v/>
      </c>
      <c r="AM103" s="577" t="str">
        <f t="shared" si="113"/>
        <v/>
      </c>
      <c r="AN103" s="524" t="str">
        <f t="shared" si="86"/>
        <v/>
      </c>
      <c r="AO103" s="525" t="str">
        <f t="shared" si="125"/>
        <v/>
      </c>
      <c r="AP103" s="528" t="str">
        <f t="shared" si="114"/>
        <v/>
      </c>
      <c r="AQ103" s="529" t="str">
        <f t="shared" si="129"/>
        <v/>
      </c>
      <c r="AS103" s="598" t="str">
        <f t="shared" si="115"/>
        <v/>
      </c>
      <c r="AT103" s="602" t="str">
        <f t="shared" si="130"/>
        <v/>
      </c>
      <c r="AU103" s="515" t="str">
        <f t="shared" si="87"/>
        <v/>
      </c>
      <c r="AV103" s="164" t="str">
        <f t="shared" si="116"/>
        <v/>
      </c>
      <c r="AW103" s="545" t="str">
        <f>IF($M103="","",W103-INDEX(Assy.Model!$W$9:$W$150,MATCH('SN#.Run#'!$M103,Assy.Model!$M$9:$M$150,0)))</f>
        <v/>
      </c>
      <c r="AX103" s="628" t="str">
        <f>IF($M103="","",X103-INDEX(Assy.Model!$X$9:$X$150,MATCH('SN#.Run#'!$M103,Assy.Model!$M$9:$M$150,0)))</f>
        <v/>
      </c>
      <c r="AY103" s="629" t="str">
        <f>IF($M103="","",Y103-INDEX(Assy.Model!$Y$9:$Y$150,MATCH('SN#.Run#'!$M103,Assy.Model!$M$9:$M$150,0)))</f>
        <v/>
      </c>
      <c r="AZ103" s="60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10" t="str">
        <f>IF($M103="","",AN103-INDEX(Assy.Model!$AN$9:$AN$150,MATCH('SN#.Run#'!$M103,Assy.Model!$M$9:$M$150,0)))</f>
        <v/>
      </c>
      <c r="BB103" s="525" t="str">
        <f>IF($M103="","",AO103-INDEX(Assy.Model!$AO$9:$AO$150,MATCH('SN#.Run#'!$M103,Assy.Model!$M$9:$M$150,0)))</f>
        <v/>
      </c>
      <c r="BC103" s="619" t="str">
        <f>IF($M103="","",AP103-INDEX(Assy.Model!$AP$9:$AP$150,MATCH('SN#.Run#'!$M103,Assy.Model!$M$9:$M$150,0)))</f>
        <v/>
      </c>
      <c r="BD103" s="419"/>
      <c r="BE103" s="699"/>
      <c r="BF103" s="417"/>
      <c r="BG103" s="417"/>
      <c r="BH103" s="417"/>
      <c r="IE103" s="790" t="str">
        <f>IFERROR(IF($IU103="","",IF($IU103&lt;(((Settings!$C$19/2)*-1)*$IE$8),"Taper","Nose")),"")</f>
        <v/>
      </c>
      <c r="IF103" s="482" t="str">
        <f>IFERROR(IF((((($IW103*COS(RADIANS(180-$IY103)))*COS(RADIANS($IY103)))-(($IX103*SIN(RADIANS(180-$IY103)))*SIN(RADIANS($IY103))))+$IU103)&lt;(((Settings!$C$19+$IF$8)/2)*-1),"Gage",""),"")</f>
        <v/>
      </c>
      <c r="IG103" s="788" t="str">
        <f t="shared" si="132"/>
        <v/>
      </c>
      <c r="IH103" s="674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677" t="str" cm="1">
        <f t="array" ref="II103">IFERROR(IF($IH103&lt;1,$IH103+LARGE((IF($M$9:$M$150="",0,$M$9:$M$150)-MOD(IF($M$9:$M$150="",0,$M$9:$M$150),1)),1),$IH103),"")</f>
        <v/>
      </c>
      <c r="IJ103" s="482" t="str">
        <f t="shared" si="131"/>
        <v/>
      </c>
      <c r="IK103" s="482" t="str">
        <f t="shared" si="117"/>
        <v/>
      </c>
      <c r="IL103" s="670" t="str">
        <f t="shared" si="134"/>
        <v/>
      </c>
      <c r="IM103" s="702"/>
      <c r="IN103" s="5" t="str">
        <f t="shared" si="135"/>
        <v/>
      </c>
      <c r="IO103" s="714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670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05" t="str">
        <f t="shared" si="143"/>
        <v/>
      </c>
    </row>
    <row r="104" spans="1:259" ht="15" customHeight="1" x14ac:dyDescent="0.25">
      <c r="A104" s="82"/>
      <c r="B104" s="578" t="str">
        <f t="shared" si="118"/>
        <v/>
      </c>
      <c r="C104" s="572" t="str">
        <f t="shared" si="119"/>
        <v/>
      </c>
      <c r="D104" s="576" t="str">
        <f t="shared" si="120"/>
        <v/>
      </c>
      <c r="E104" s="580" t="str">
        <f t="shared" si="121"/>
        <v/>
      </c>
      <c r="F104" s="572" t="str">
        <f t="shared" si="122"/>
        <v/>
      </c>
      <c r="G104" s="579" t="str">
        <f t="shared" si="123"/>
        <v/>
      </c>
      <c r="H104" s="580" t="str">
        <f t="shared" si="128"/>
        <v/>
      </c>
      <c r="I104" s="482"/>
      <c r="J104" s="483" t="str">
        <v/>
      </c>
      <c r="K104" s="806" t="str">
        <f t="shared" si="133"/>
        <v/>
      </c>
      <c r="M104" s="164" t="str">
        <f t="shared" si="88"/>
        <v/>
      </c>
      <c r="N104" s="575" t="str">
        <f t="shared" si="89"/>
        <v/>
      </c>
      <c r="O104" s="572" t="str">
        <f t="shared" si="90"/>
        <v/>
      </c>
      <c r="P104" s="576" t="str">
        <f t="shared" si="91"/>
        <v/>
      </c>
      <c r="Q104" s="528" t="str">
        <f t="shared" si="92"/>
        <v/>
      </c>
      <c r="R104" s="572" t="str">
        <f t="shared" si="93"/>
        <v/>
      </c>
      <c r="S104" s="577" t="str">
        <f t="shared" si="94"/>
        <v/>
      </c>
      <c r="T104" s="578" t="str">
        <f t="shared" si="95"/>
        <v/>
      </c>
      <c r="U104" s="572" t="str">
        <f t="shared" si="96"/>
        <v/>
      </c>
      <c r="V104" s="579" t="str">
        <f t="shared" si="97"/>
        <v/>
      </c>
      <c r="W104" s="528" t="str">
        <f t="shared" si="98"/>
        <v/>
      </c>
      <c r="X104" s="572" t="str">
        <f t="shared" si="99"/>
        <v/>
      </c>
      <c r="Y104" s="573" t="str">
        <f t="shared" si="124"/>
        <v/>
      </c>
      <c r="Z104" s="575" t="str">
        <f t="shared" si="100"/>
        <v/>
      </c>
      <c r="AA104" s="572" t="str">
        <f t="shared" si="101"/>
        <v/>
      </c>
      <c r="AB104" s="572" t="str">
        <f t="shared" si="102"/>
        <v/>
      </c>
      <c r="AC104" s="579" t="str">
        <f t="shared" si="103"/>
        <v/>
      </c>
      <c r="AD104" s="580" t="str">
        <f t="shared" si="104"/>
        <v/>
      </c>
      <c r="AE104" s="572" t="str">
        <f t="shared" si="105"/>
        <v/>
      </c>
      <c r="AF104" s="576" t="str">
        <f t="shared" si="106"/>
        <v/>
      </c>
      <c r="AG104" s="545" t="str">
        <f t="shared" si="107"/>
        <v/>
      </c>
      <c r="AH104" s="546" t="str">
        <f t="shared" si="108"/>
        <v/>
      </c>
      <c r="AI104" s="528" t="str">
        <f t="shared" si="109"/>
        <v/>
      </c>
      <c r="AJ104" s="529" t="str">
        <f t="shared" si="110"/>
        <v/>
      </c>
      <c r="AK104" s="578" t="str">
        <f t="shared" si="111"/>
        <v/>
      </c>
      <c r="AL104" s="572" t="str">
        <f t="shared" si="112"/>
        <v/>
      </c>
      <c r="AM104" s="577" t="str">
        <f t="shared" si="113"/>
        <v/>
      </c>
      <c r="AN104" s="524" t="str">
        <f t="shared" si="86"/>
        <v/>
      </c>
      <c r="AO104" s="525" t="str">
        <f t="shared" si="125"/>
        <v/>
      </c>
      <c r="AP104" s="528" t="str">
        <f t="shared" si="114"/>
        <v/>
      </c>
      <c r="AQ104" s="529" t="str">
        <f t="shared" si="129"/>
        <v/>
      </c>
      <c r="AS104" s="598" t="str">
        <f t="shared" si="115"/>
        <v/>
      </c>
      <c r="AT104" s="602" t="str">
        <f t="shared" si="130"/>
        <v/>
      </c>
      <c r="AU104" s="515" t="str">
        <f t="shared" si="87"/>
        <v/>
      </c>
      <c r="AV104" s="164" t="str">
        <f t="shared" si="116"/>
        <v/>
      </c>
      <c r="AW104" s="545" t="str">
        <f>IF($M104="","",W104-INDEX(Assy.Model!$W$9:$W$150,MATCH('SN#.Run#'!$M104,Assy.Model!$M$9:$M$150,0)))</f>
        <v/>
      </c>
      <c r="AX104" s="628" t="str">
        <f>IF($M104="","",X104-INDEX(Assy.Model!$X$9:$X$150,MATCH('SN#.Run#'!$M104,Assy.Model!$M$9:$M$150,0)))</f>
        <v/>
      </c>
      <c r="AY104" s="629" t="str">
        <f>IF($M104="","",Y104-INDEX(Assy.Model!$Y$9:$Y$150,MATCH('SN#.Run#'!$M104,Assy.Model!$M$9:$M$150,0)))</f>
        <v/>
      </c>
      <c r="AZ104" s="60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10" t="str">
        <f>IF($M104="","",AN104-INDEX(Assy.Model!$AN$9:$AN$150,MATCH('SN#.Run#'!$M104,Assy.Model!$M$9:$M$150,0)))</f>
        <v/>
      </c>
      <c r="BB104" s="525" t="str">
        <f>IF($M104="","",AO104-INDEX(Assy.Model!$AO$9:$AO$150,MATCH('SN#.Run#'!$M104,Assy.Model!$M$9:$M$150,0)))</f>
        <v/>
      </c>
      <c r="BC104" s="619" t="str">
        <f>IF($M104="","",AP104-INDEX(Assy.Model!$AP$9:$AP$150,MATCH('SN#.Run#'!$M104,Assy.Model!$M$9:$M$150,0)))</f>
        <v/>
      </c>
      <c r="BD104" s="419"/>
      <c r="BE104" s="699"/>
      <c r="BF104" s="417"/>
      <c r="BG104" s="417"/>
      <c r="BH104" s="417"/>
      <c r="IE104" s="790" t="str">
        <f>IFERROR(IF($IU104="","",IF($IU104&lt;(((Settings!$C$19/2)*-1)*$IE$8),"Taper","Nose")),"")</f>
        <v/>
      </c>
      <c r="IF104" s="482" t="str">
        <f>IFERROR(IF((((($IW104*COS(RADIANS(180-$IY104)))*COS(RADIANS($IY104)))-(($IX104*SIN(RADIANS(180-$IY104)))*SIN(RADIANS($IY104))))+$IU104)&lt;(((Settings!$C$19+$IF$8)/2)*-1),"Gage",""),"")</f>
        <v/>
      </c>
      <c r="IG104" s="788" t="str">
        <f t="shared" si="132"/>
        <v/>
      </c>
      <c r="IH104" s="674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677" t="str" cm="1">
        <f t="array" ref="II104">IFERROR(IF($IH104&lt;1,$IH104+LARGE((IF($M$9:$M$150="",0,$M$9:$M$150)-MOD(IF($M$9:$M$150="",0,$M$9:$M$150),1)),1),$IH104),"")</f>
        <v/>
      </c>
      <c r="IJ104" s="482" t="str">
        <f t="shared" si="131"/>
        <v/>
      </c>
      <c r="IK104" s="482" t="str">
        <f t="shared" si="117"/>
        <v/>
      </c>
      <c r="IL104" s="670" t="str">
        <f t="shared" si="134"/>
        <v/>
      </c>
      <c r="IM104" s="702"/>
      <c r="IN104" s="5" t="str">
        <f t="shared" si="135"/>
        <v/>
      </c>
      <c r="IO104" s="714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670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05" t="str">
        <f t="shared" si="143"/>
        <v/>
      </c>
    </row>
    <row r="105" spans="1:259" ht="15" customHeight="1" x14ac:dyDescent="0.25">
      <c r="A105" s="82"/>
      <c r="B105" s="578" t="str">
        <f t="shared" ref="B105:B136" si="144">INDEX(O$164:O$305,MATCH($M105,$M$164:$M$305,0))</f>
        <v/>
      </c>
      <c r="C105" s="572" t="str">
        <f t="shared" ref="C105:C136" si="145">INDEX(P$164:P$305,MATCH($M105,$M$164:$M$305,0))</f>
        <v/>
      </c>
      <c r="D105" s="576" t="str">
        <f t="shared" ref="D105:D136" si="146">INDEX(Q$164:Q$305,MATCH($M105,$M$164:$M$305,0))</f>
        <v/>
      </c>
      <c r="E105" s="580" t="str">
        <f t="shared" ref="E105:E136" si="147">INDEX(R$164:R$305,MATCH($M105,$M$164:$M$305,0))</f>
        <v/>
      </c>
      <c r="F105" s="572" t="str">
        <f t="shared" ref="F105:F136" si="148">INDEX(S$164:S$305,MATCH($M105,$M$164:$M$305,0))</f>
        <v/>
      </c>
      <c r="G105" s="579" t="str">
        <f t="shared" ref="G105:G136" si="149">INDEX(T$164:T$305,MATCH($M105,$M$164:$M$305,0))</f>
        <v/>
      </c>
      <c r="H105" s="580" t="str">
        <f t="shared" si="128"/>
        <v/>
      </c>
      <c r="I105" s="482"/>
      <c r="J105" s="483" t="str">
        <v/>
      </c>
      <c r="K105" s="806" t="str">
        <f t="shared" si="133"/>
        <v/>
      </c>
      <c r="M105" s="164" t="str">
        <f t="shared" si="88"/>
        <v/>
      </c>
      <c r="N105" s="575" t="str">
        <f t="shared" si="89"/>
        <v/>
      </c>
      <c r="O105" s="572" t="str">
        <f t="shared" si="90"/>
        <v/>
      </c>
      <c r="P105" s="576" t="str">
        <f t="shared" si="91"/>
        <v/>
      </c>
      <c r="Q105" s="528" t="str">
        <f t="shared" si="92"/>
        <v/>
      </c>
      <c r="R105" s="572" t="str">
        <f t="shared" si="93"/>
        <v/>
      </c>
      <c r="S105" s="577" t="str">
        <f t="shared" si="94"/>
        <v/>
      </c>
      <c r="T105" s="578" t="str">
        <f t="shared" si="95"/>
        <v/>
      </c>
      <c r="U105" s="572" t="str">
        <f t="shared" si="96"/>
        <v/>
      </c>
      <c r="V105" s="579" t="str">
        <f t="shared" si="97"/>
        <v/>
      </c>
      <c r="W105" s="528" t="str">
        <f t="shared" si="98"/>
        <v/>
      </c>
      <c r="X105" s="572" t="str">
        <f t="shared" si="99"/>
        <v/>
      </c>
      <c r="Y105" s="573" t="str">
        <f t="shared" ref="Y105:Y136" si="150">IF(M105="","",(S105-$S$8)+$X$1)</f>
        <v/>
      </c>
      <c r="Z105" s="575" t="str">
        <f t="shared" si="100"/>
        <v/>
      </c>
      <c r="AA105" s="572" t="str">
        <f t="shared" si="101"/>
        <v/>
      </c>
      <c r="AB105" s="572" t="str">
        <f t="shared" si="102"/>
        <v/>
      </c>
      <c r="AC105" s="579" t="str">
        <f t="shared" si="103"/>
        <v/>
      </c>
      <c r="AD105" s="580" t="str">
        <f t="shared" si="104"/>
        <v/>
      </c>
      <c r="AE105" s="572" t="str">
        <f t="shared" si="105"/>
        <v/>
      </c>
      <c r="AF105" s="576" t="str">
        <f t="shared" si="106"/>
        <v/>
      </c>
      <c r="AG105" s="545" t="str">
        <f t="shared" si="107"/>
        <v/>
      </c>
      <c r="AH105" s="546" t="str">
        <f t="shared" si="108"/>
        <v/>
      </c>
      <c r="AI105" s="528" t="str">
        <f t="shared" si="109"/>
        <v/>
      </c>
      <c r="AJ105" s="529" t="str">
        <f t="shared" si="110"/>
        <v/>
      </c>
      <c r="AK105" s="578" t="str">
        <f t="shared" si="111"/>
        <v/>
      </c>
      <c r="AL105" s="572" t="str">
        <f t="shared" si="112"/>
        <v/>
      </c>
      <c r="AM105" s="577" t="str">
        <f t="shared" si="113"/>
        <v/>
      </c>
      <c r="AN105" s="524" t="str">
        <f t="shared" ref="AN105:AN150" si="151">IF(M105="","",IF(K105="Knuckle",((DEGREES(ATAN2(AK105,AM105))+90)*-1),DEGREES(ATAN2(-AM105,AL105))))</f>
        <v/>
      </c>
      <c r="AO105" s="525" t="str">
        <f t="shared" si="125"/>
        <v/>
      </c>
      <c r="AP105" s="528" t="str">
        <f t="shared" si="114"/>
        <v/>
      </c>
      <c r="AQ105" s="529" t="str">
        <f t="shared" si="129"/>
        <v/>
      </c>
      <c r="AS105" s="598" t="str">
        <f t="shared" si="115"/>
        <v/>
      </c>
      <c r="AT105" s="602" t="str">
        <f t="shared" si="130"/>
        <v/>
      </c>
      <c r="AU105" s="515" t="str">
        <f t="shared" si="87"/>
        <v/>
      </c>
      <c r="AV105" s="164" t="str">
        <f t="shared" si="116"/>
        <v/>
      </c>
      <c r="AW105" s="545" t="str">
        <f>IF($M105="","",W105-INDEX(Assy.Model!$W$9:$W$150,MATCH('SN#.Run#'!$M105,Assy.Model!$M$9:$M$150,0)))</f>
        <v/>
      </c>
      <c r="AX105" s="628" t="str">
        <f>IF($M105="","",X105-INDEX(Assy.Model!$X$9:$X$150,MATCH('SN#.Run#'!$M105,Assy.Model!$M$9:$M$150,0)))</f>
        <v/>
      </c>
      <c r="AY105" s="629" t="str">
        <f>IF($M105="","",Y105-INDEX(Assy.Model!$Y$9:$Y$150,MATCH('SN#.Run#'!$M105,Assy.Model!$M$9:$M$150,0)))</f>
        <v/>
      </c>
      <c r="AZ105" s="60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10" t="str">
        <f>IF($M105="","",AN105-INDEX(Assy.Model!$AN$9:$AN$150,MATCH('SN#.Run#'!$M105,Assy.Model!$M$9:$M$150,0)))</f>
        <v/>
      </c>
      <c r="BB105" s="525" t="str">
        <f>IF($M105="","",AO105-INDEX(Assy.Model!$AO$9:$AO$150,MATCH('SN#.Run#'!$M105,Assy.Model!$M$9:$M$150,0)))</f>
        <v/>
      </c>
      <c r="BC105" s="619" t="str">
        <f>IF($M105="","",AP105-INDEX(Assy.Model!$AP$9:$AP$150,MATCH('SN#.Run#'!$M105,Assy.Model!$M$9:$M$150,0)))</f>
        <v/>
      </c>
      <c r="BD105" s="419"/>
      <c r="BE105" s="699"/>
      <c r="BF105" s="417"/>
      <c r="BG105" s="417"/>
      <c r="BH105" s="417"/>
      <c r="IE105" s="790" t="str">
        <f>IFERROR(IF($IU105="","",IF($IU105&lt;(((Settings!$C$19/2)*-1)*$IE$8),"Taper","Nose")),"")</f>
        <v/>
      </c>
      <c r="IF105" s="482" t="str">
        <f>IFERROR(IF((((($IW105*COS(RADIANS(180-$IY105)))*COS(RADIANS($IY105)))-(($IX105*SIN(RADIANS(180-$IY105)))*SIN(RADIANS($IY105))))+$IU105)&lt;(((Settings!$C$19+$IF$8)/2)*-1),"Gage",""),"")</f>
        <v/>
      </c>
      <c r="IG105" s="788" t="str">
        <f t="shared" si="132"/>
        <v/>
      </c>
      <c r="IH105" s="674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677" t="str" cm="1">
        <f t="array" ref="II105">IFERROR(IF($IH105&lt;1,$IH105+LARGE((IF($M$9:$M$150="",0,$M$9:$M$150)-MOD(IF($M$9:$M$150="",0,$M$9:$M$150),1)),1),$IH105),"")</f>
        <v/>
      </c>
      <c r="IJ105" s="482" t="str">
        <f t="shared" si="131"/>
        <v/>
      </c>
      <c r="IK105" s="482" t="str">
        <f t="shared" si="117"/>
        <v/>
      </c>
      <c r="IL105" s="670" t="str">
        <f t="shared" si="134"/>
        <v/>
      </c>
      <c r="IM105" s="702"/>
      <c r="IN105" s="5" t="str">
        <f t="shared" si="135"/>
        <v/>
      </c>
      <c r="IO105" s="714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670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05" t="str">
        <f t="shared" si="143"/>
        <v/>
      </c>
    </row>
    <row r="106" spans="1:259" ht="15" customHeight="1" x14ac:dyDescent="0.25">
      <c r="A106" s="82"/>
      <c r="B106" s="578" t="str">
        <f t="shared" si="144"/>
        <v/>
      </c>
      <c r="C106" s="572" t="str">
        <f t="shared" si="145"/>
        <v/>
      </c>
      <c r="D106" s="576" t="str">
        <f t="shared" si="146"/>
        <v/>
      </c>
      <c r="E106" s="580" t="str">
        <f t="shared" si="147"/>
        <v/>
      </c>
      <c r="F106" s="572" t="str">
        <f t="shared" si="148"/>
        <v/>
      </c>
      <c r="G106" s="579" t="str">
        <f t="shared" si="149"/>
        <v/>
      </c>
      <c r="H106" s="580" t="str">
        <f t="shared" si="128"/>
        <v/>
      </c>
      <c r="I106" s="482"/>
      <c r="J106" s="483" t="str">
        <v/>
      </c>
      <c r="K106" s="806" t="str">
        <f t="shared" si="133"/>
        <v/>
      </c>
      <c r="M106" s="164" t="str">
        <f t="shared" si="88"/>
        <v/>
      </c>
      <c r="N106" s="575" t="str">
        <f t="shared" si="89"/>
        <v/>
      </c>
      <c r="O106" s="572" t="str">
        <f t="shared" si="90"/>
        <v/>
      </c>
      <c r="P106" s="576" t="str">
        <f t="shared" si="91"/>
        <v/>
      </c>
      <c r="Q106" s="528" t="str">
        <f t="shared" si="92"/>
        <v/>
      </c>
      <c r="R106" s="572" t="str">
        <f t="shared" si="93"/>
        <v/>
      </c>
      <c r="S106" s="577" t="str">
        <f t="shared" si="94"/>
        <v/>
      </c>
      <c r="T106" s="578" t="str">
        <f t="shared" si="95"/>
        <v/>
      </c>
      <c r="U106" s="572" t="str">
        <f t="shared" si="96"/>
        <v/>
      </c>
      <c r="V106" s="579" t="str">
        <f t="shared" si="97"/>
        <v/>
      </c>
      <c r="W106" s="528" t="str">
        <f t="shared" si="98"/>
        <v/>
      </c>
      <c r="X106" s="572" t="str">
        <f t="shared" si="99"/>
        <v/>
      </c>
      <c r="Y106" s="573" t="str">
        <f t="shared" si="150"/>
        <v/>
      </c>
      <c r="Z106" s="575" t="str">
        <f t="shared" si="100"/>
        <v/>
      </c>
      <c r="AA106" s="572" t="str">
        <f t="shared" si="101"/>
        <v/>
      </c>
      <c r="AB106" s="572" t="str">
        <f t="shared" si="102"/>
        <v/>
      </c>
      <c r="AC106" s="579" t="str">
        <f t="shared" si="103"/>
        <v/>
      </c>
      <c r="AD106" s="580" t="str">
        <f t="shared" si="104"/>
        <v/>
      </c>
      <c r="AE106" s="572" t="str">
        <f t="shared" si="105"/>
        <v/>
      </c>
      <c r="AF106" s="576" t="str">
        <f t="shared" si="106"/>
        <v/>
      </c>
      <c r="AG106" s="545" t="str">
        <f t="shared" si="107"/>
        <v/>
      </c>
      <c r="AH106" s="546" t="str">
        <f t="shared" si="108"/>
        <v/>
      </c>
      <c r="AI106" s="528" t="str">
        <f t="shared" si="109"/>
        <v/>
      </c>
      <c r="AJ106" s="529" t="str">
        <f t="shared" si="110"/>
        <v/>
      </c>
      <c r="AK106" s="578" t="str">
        <f t="shared" si="111"/>
        <v/>
      </c>
      <c r="AL106" s="572" t="str">
        <f t="shared" si="112"/>
        <v/>
      </c>
      <c r="AM106" s="577" t="str">
        <f t="shared" si="113"/>
        <v/>
      </c>
      <c r="AN106" s="524" t="str">
        <f t="shared" si="151"/>
        <v/>
      </c>
      <c r="AO106" s="525" t="str">
        <f t="shared" si="125"/>
        <v/>
      </c>
      <c r="AP106" s="528" t="str">
        <f t="shared" si="114"/>
        <v/>
      </c>
      <c r="AQ106" s="529" t="str">
        <f t="shared" si="129"/>
        <v/>
      </c>
      <c r="AS106" s="598" t="str">
        <f t="shared" si="115"/>
        <v/>
      </c>
      <c r="AT106" s="602" t="str">
        <f t="shared" si="130"/>
        <v/>
      </c>
      <c r="AU106" s="515" t="str">
        <f t="shared" si="87"/>
        <v/>
      </c>
      <c r="AV106" s="164" t="str">
        <f t="shared" si="116"/>
        <v/>
      </c>
      <c r="AW106" s="545" t="str">
        <f>IF($M106="","",W106-INDEX(Assy.Model!$W$9:$W$150,MATCH('SN#.Run#'!$M106,Assy.Model!$M$9:$M$150,0)))</f>
        <v/>
      </c>
      <c r="AX106" s="628" t="str">
        <f>IF($M106="","",X106-INDEX(Assy.Model!$X$9:$X$150,MATCH('SN#.Run#'!$M106,Assy.Model!$M$9:$M$150,0)))</f>
        <v/>
      </c>
      <c r="AY106" s="629" t="str">
        <f>IF($M106="","",Y106-INDEX(Assy.Model!$Y$9:$Y$150,MATCH('SN#.Run#'!$M106,Assy.Model!$M$9:$M$150,0)))</f>
        <v/>
      </c>
      <c r="AZ106" s="60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10" t="str">
        <f>IF($M106="","",AN106-INDEX(Assy.Model!$AN$9:$AN$150,MATCH('SN#.Run#'!$M106,Assy.Model!$M$9:$M$150,0)))</f>
        <v/>
      </c>
      <c r="BB106" s="525" t="str">
        <f>IF($M106="","",AO106-INDEX(Assy.Model!$AO$9:$AO$150,MATCH('SN#.Run#'!$M106,Assy.Model!$M$9:$M$150,0)))</f>
        <v/>
      </c>
      <c r="BC106" s="619" t="str">
        <f>IF($M106="","",AP106-INDEX(Assy.Model!$AP$9:$AP$150,MATCH('SN#.Run#'!$M106,Assy.Model!$M$9:$M$150,0)))</f>
        <v/>
      </c>
      <c r="BD106" s="419"/>
      <c r="BE106" s="699"/>
      <c r="BF106" s="417"/>
      <c r="BG106" s="417"/>
      <c r="BH106" s="417"/>
      <c r="IE106" s="790" t="str">
        <f>IFERROR(IF($IU106="","",IF($IU106&lt;(((Settings!$C$19/2)*-1)*$IE$8),"Taper","Nose")),"")</f>
        <v/>
      </c>
      <c r="IF106" s="482" t="str">
        <f>IFERROR(IF((((($IW106*COS(RADIANS(180-$IY106)))*COS(RADIANS($IY106)))-(($IX106*SIN(RADIANS(180-$IY106)))*SIN(RADIANS($IY106))))+$IU106)&lt;(((Settings!$C$19+$IF$8)/2)*-1),"Gage",""),"")</f>
        <v/>
      </c>
      <c r="IG106" s="788" t="str">
        <f t="shared" si="132"/>
        <v/>
      </c>
      <c r="IH106" s="674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677" t="str" cm="1">
        <f t="array" ref="II106">IFERROR(IF($IH106&lt;1,$IH106+LARGE((IF($M$9:$M$150="",0,$M$9:$M$150)-MOD(IF($M$9:$M$150="",0,$M$9:$M$150),1)),1),$IH106),"")</f>
        <v/>
      </c>
      <c r="IJ106" s="482" t="str">
        <f t="shared" si="131"/>
        <v/>
      </c>
      <c r="IK106" s="482" t="str">
        <f t="shared" si="117"/>
        <v/>
      </c>
      <c r="IL106" s="670" t="str">
        <f t="shared" si="134"/>
        <v/>
      </c>
      <c r="IM106" s="702"/>
      <c r="IN106" s="5" t="str">
        <f t="shared" si="135"/>
        <v/>
      </c>
      <c r="IO106" s="714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670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05" t="str">
        <f t="shared" si="143"/>
        <v/>
      </c>
    </row>
    <row r="107" spans="1:259" ht="15" customHeight="1" x14ac:dyDescent="0.25">
      <c r="A107" s="82"/>
      <c r="B107" s="578" t="str">
        <f t="shared" si="144"/>
        <v/>
      </c>
      <c r="C107" s="572" t="str">
        <f t="shared" si="145"/>
        <v/>
      </c>
      <c r="D107" s="576" t="str">
        <f t="shared" si="146"/>
        <v/>
      </c>
      <c r="E107" s="580" t="str">
        <f t="shared" si="147"/>
        <v/>
      </c>
      <c r="F107" s="572" t="str">
        <f t="shared" si="148"/>
        <v/>
      </c>
      <c r="G107" s="579" t="str">
        <f t="shared" si="149"/>
        <v/>
      </c>
      <c r="H107" s="580" t="str">
        <f t="shared" si="128"/>
        <v/>
      </c>
      <c r="I107" s="482"/>
      <c r="J107" s="483" t="str">
        <v/>
      </c>
      <c r="K107" s="806" t="str">
        <f t="shared" si="133"/>
        <v/>
      </c>
      <c r="M107" s="164" t="str">
        <f t="shared" si="88"/>
        <v/>
      </c>
      <c r="N107" s="575" t="str">
        <f t="shared" si="89"/>
        <v/>
      </c>
      <c r="O107" s="572" t="str">
        <f t="shared" si="90"/>
        <v/>
      </c>
      <c r="P107" s="576" t="str">
        <f t="shared" si="91"/>
        <v/>
      </c>
      <c r="Q107" s="528" t="str">
        <f t="shared" si="92"/>
        <v/>
      </c>
      <c r="R107" s="572" t="str">
        <f t="shared" si="93"/>
        <v/>
      </c>
      <c r="S107" s="577" t="str">
        <f t="shared" si="94"/>
        <v/>
      </c>
      <c r="T107" s="578" t="str">
        <f t="shared" si="95"/>
        <v/>
      </c>
      <c r="U107" s="572" t="str">
        <f t="shared" si="96"/>
        <v/>
      </c>
      <c r="V107" s="579" t="str">
        <f t="shared" si="97"/>
        <v/>
      </c>
      <c r="W107" s="528" t="str">
        <f t="shared" si="98"/>
        <v/>
      </c>
      <c r="X107" s="572" t="str">
        <f t="shared" si="99"/>
        <v/>
      </c>
      <c r="Y107" s="573" t="str">
        <f t="shared" si="150"/>
        <v/>
      </c>
      <c r="Z107" s="575" t="str">
        <f t="shared" si="100"/>
        <v/>
      </c>
      <c r="AA107" s="572" t="str">
        <f t="shared" si="101"/>
        <v/>
      </c>
      <c r="AB107" s="572" t="str">
        <f t="shared" si="102"/>
        <v/>
      </c>
      <c r="AC107" s="579" t="str">
        <f t="shared" si="103"/>
        <v/>
      </c>
      <c r="AD107" s="580" t="str">
        <f t="shared" si="104"/>
        <v/>
      </c>
      <c r="AE107" s="572" t="str">
        <f t="shared" si="105"/>
        <v/>
      </c>
      <c r="AF107" s="576" t="str">
        <f t="shared" si="106"/>
        <v/>
      </c>
      <c r="AG107" s="545" t="str">
        <f t="shared" si="107"/>
        <v/>
      </c>
      <c r="AH107" s="546" t="str">
        <f t="shared" si="108"/>
        <v/>
      </c>
      <c r="AI107" s="528" t="str">
        <f t="shared" si="109"/>
        <v/>
      </c>
      <c r="AJ107" s="529" t="str">
        <f t="shared" si="110"/>
        <v/>
      </c>
      <c r="AK107" s="578" t="str">
        <f t="shared" si="111"/>
        <v/>
      </c>
      <c r="AL107" s="572" t="str">
        <f t="shared" si="112"/>
        <v/>
      </c>
      <c r="AM107" s="577" t="str">
        <f t="shared" si="113"/>
        <v/>
      </c>
      <c r="AN107" s="524" t="str">
        <f t="shared" si="151"/>
        <v/>
      </c>
      <c r="AO107" s="525" t="str">
        <f t="shared" si="125"/>
        <v/>
      </c>
      <c r="AP107" s="528" t="str">
        <f t="shared" si="114"/>
        <v/>
      </c>
      <c r="AQ107" s="529" t="str">
        <f t="shared" si="129"/>
        <v/>
      </c>
      <c r="AS107" s="598" t="str">
        <f t="shared" si="115"/>
        <v/>
      </c>
      <c r="AT107" s="602" t="str">
        <f t="shared" si="130"/>
        <v/>
      </c>
      <c r="AU107" s="515" t="str">
        <f t="shared" si="87"/>
        <v/>
      </c>
      <c r="AV107" s="164" t="str">
        <f t="shared" si="116"/>
        <v/>
      </c>
      <c r="AW107" s="545" t="str">
        <f>IF($M107="","",W107-INDEX(Assy.Model!$W$9:$W$150,MATCH('SN#.Run#'!$M107,Assy.Model!$M$9:$M$150,0)))</f>
        <v/>
      </c>
      <c r="AX107" s="628" t="str">
        <f>IF($M107="","",X107-INDEX(Assy.Model!$X$9:$X$150,MATCH('SN#.Run#'!$M107,Assy.Model!$M$9:$M$150,0)))</f>
        <v/>
      </c>
      <c r="AY107" s="629" t="str">
        <f>IF($M107="","",Y107-INDEX(Assy.Model!$Y$9:$Y$150,MATCH('SN#.Run#'!$M107,Assy.Model!$M$9:$M$150,0)))</f>
        <v/>
      </c>
      <c r="AZ107" s="60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10" t="str">
        <f>IF($M107="","",AN107-INDEX(Assy.Model!$AN$9:$AN$150,MATCH('SN#.Run#'!$M107,Assy.Model!$M$9:$M$150,0)))</f>
        <v/>
      </c>
      <c r="BB107" s="525" t="str">
        <f>IF($M107="","",AO107-INDEX(Assy.Model!$AO$9:$AO$150,MATCH('SN#.Run#'!$M107,Assy.Model!$M$9:$M$150,0)))</f>
        <v/>
      </c>
      <c r="BC107" s="619" t="str">
        <f>IF($M107="","",AP107-INDEX(Assy.Model!$AP$9:$AP$150,MATCH('SN#.Run#'!$M107,Assy.Model!$M$9:$M$150,0)))</f>
        <v/>
      </c>
      <c r="BD107" s="419"/>
      <c r="BE107" s="699"/>
      <c r="BF107" s="417"/>
      <c r="BG107" s="417"/>
      <c r="BH107" s="417"/>
      <c r="IE107" s="790" t="str">
        <f>IFERROR(IF($IU107="","",IF($IU107&lt;(((Settings!$C$19/2)*-1)*$IE$8),"Taper","Nose")),"")</f>
        <v/>
      </c>
      <c r="IF107" s="482" t="str">
        <f>IFERROR(IF((((($IW107*COS(RADIANS(180-$IY107)))*COS(RADIANS($IY107)))-(($IX107*SIN(RADIANS(180-$IY107)))*SIN(RADIANS($IY107))))+$IU107)&lt;(((Settings!$C$19+$IF$8)/2)*-1),"Gage",""),"")</f>
        <v/>
      </c>
      <c r="IG107" s="788" t="str">
        <f t="shared" si="132"/>
        <v/>
      </c>
      <c r="IH107" s="674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677" t="str" cm="1">
        <f t="array" ref="II107">IFERROR(IF($IH107&lt;1,$IH107+LARGE((IF($M$9:$M$150="",0,$M$9:$M$150)-MOD(IF($M$9:$M$150="",0,$M$9:$M$150),1)),1),$IH107),"")</f>
        <v/>
      </c>
      <c r="IJ107" s="482" t="str">
        <f t="shared" si="131"/>
        <v/>
      </c>
      <c r="IK107" s="482" t="str">
        <f t="shared" si="117"/>
        <v/>
      </c>
      <c r="IL107" s="670" t="str">
        <f t="shared" si="134"/>
        <v/>
      </c>
      <c r="IM107" s="702"/>
      <c r="IN107" s="5" t="str">
        <f t="shared" si="135"/>
        <v/>
      </c>
      <c r="IO107" s="714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670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05" t="str">
        <f t="shared" si="143"/>
        <v/>
      </c>
    </row>
    <row r="108" spans="1:259" ht="15" customHeight="1" x14ac:dyDescent="0.25">
      <c r="A108" s="82"/>
      <c r="B108" s="578" t="str">
        <f t="shared" si="144"/>
        <v/>
      </c>
      <c r="C108" s="572" t="str">
        <f t="shared" si="145"/>
        <v/>
      </c>
      <c r="D108" s="576" t="str">
        <f t="shared" si="146"/>
        <v/>
      </c>
      <c r="E108" s="580" t="str">
        <f t="shared" si="147"/>
        <v/>
      </c>
      <c r="F108" s="572" t="str">
        <f t="shared" si="148"/>
        <v/>
      </c>
      <c r="G108" s="579" t="str">
        <f t="shared" si="149"/>
        <v/>
      </c>
      <c r="H108" s="580" t="str">
        <f t="shared" si="128"/>
        <v/>
      </c>
      <c r="I108" s="482"/>
      <c r="J108" s="483" t="str">
        <v/>
      </c>
      <c r="K108" s="806" t="str">
        <f t="shared" si="133"/>
        <v/>
      </c>
      <c r="M108" s="164" t="str">
        <f t="shared" si="88"/>
        <v/>
      </c>
      <c r="N108" s="575" t="str">
        <f t="shared" si="89"/>
        <v/>
      </c>
      <c r="O108" s="572" t="str">
        <f t="shared" si="90"/>
        <v/>
      </c>
      <c r="P108" s="576" t="str">
        <f t="shared" si="91"/>
        <v/>
      </c>
      <c r="Q108" s="528" t="str">
        <f t="shared" si="92"/>
        <v/>
      </c>
      <c r="R108" s="572" t="str">
        <f t="shared" si="93"/>
        <v/>
      </c>
      <c r="S108" s="577" t="str">
        <f t="shared" si="94"/>
        <v/>
      </c>
      <c r="T108" s="578" t="str">
        <f t="shared" si="95"/>
        <v/>
      </c>
      <c r="U108" s="572" t="str">
        <f t="shared" si="96"/>
        <v/>
      </c>
      <c r="V108" s="579" t="str">
        <f t="shared" si="97"/>
        <v/>
      </c>
      <c r="W108" s="528" t="str">
        <f t="shared" si="98"/>
        <v/>
      </c>
      <c r="X108" s="572" t="str">
        <f t="shared" si="99"/>
        <v/>
      </c>
      <c r="Y108" s="573" t="str">
        <f t="shared" si="150"/>
        <v/>
      </c>
      <c r="Z108" s="575" t="str">
        <f t="shared" si="100"/>
        <v/>
      </c>
      <c r="AA108" s="572" t="str">
        <f t="shared" si="101"/>
        <v/>
      </c>
      <c r="AB108" s="572" t="str">
        <f t="shared" si="102"/>
        <v/>
      </c>
      <c r="AC108" s="579" t="str">
        <f t="shared" si="103"/>
        <v/>
      </c>
      <c r="AD108" s="580" t="str">
        <f t="shared" si="104"/>
        <v/>
      </c>
      <c r="AE108" s="572" t="str">
        <f t="shared" si="105"/>
        <v/>
      </c>
      <c r="AF108" s="576" t="str">
        <f t="shared" si="106"/>
        <v/>
      </c>
      <c r="AG108" s="545" t="str">
        <f t="shared" si="107"/>
        <v/>
      </c>
      <c r="AH108" s="546" t="str">
        <f t="shared" si="108"/>
        <v/>
      </c>
      <c r="AI108" s="528" t="str">
        <f t="shared" si="109"/>
        <v/>
      </c>
      <c r="AJ108" s="529" t="str">
        <f t="shared" si="110"/>
        <v/>
      </c>
      <c r="AK108" s="578" t="str">
        <f t="shared" si="111"/>
        <v/>
      </c>
      <c r="AL108" s="572" t="str">
        <f t="shared" si="112"/>
        <v/>
      </c>
      <c r="AM108" s="577" t="str">
        <f t="shared" si="113"/>
        <v/>
      </c>
      <c r="AN108" s="524" t="str">
        <f t="shared" si="151"/>
        <v/>
      </c>
      <c r="AO108" s="525" t="str">
        <f t="shared" si="125"/>
        <v/>
      </c>
      <c r="AP108" s="528" t="str">
        <f t="shared" si="114"/>
        <v/>
      </c>
      <c r="AQ108" s="529" t="str">
        <f t="shared" si="129"/>
        <v/>
      </c>
      <c r="AS108" s="598" t="str">
        <f t="shared" si="115"/>
        <v/>
      </c>
      <c r="AT108" s="602" t="str">
        <f t="shared" si="130"/>
        <v/>
      </c>
      <c r="AU108" s="515" t="str">
        <f t="shared" si="87"/>
        <v/>
      </c>
      <c r="AV108" s="164" t="str">
        <f t="shared" si="116"/>
        <v/>
      </c>
      <c r="AW108" s="545" t="str">
        <f>IF($M108="","",W108-INDEX(Assy.Model!$W$9:$W$150,MATCH('SN#.Run#'!$M108,Assy.Model!$M$9:$M$150,0)))</f>
        <v/>
      </c>
      <c r="AX108" s="628" t="str">
        <f>IF($M108="","",X108-INDEX(Assy.Model!$X$9:$X$150,MATCH('SN#.Run#'!$M108,Assy.Model!$M$9:$M$150,0)))</f>
        <v/>
      </c>
      <c r="AY108" s="629" t="str">
        <f>IF($M108="","",Y108-INDEX(Assy.Model!$Y$9:$Y$150,MATCH('SN#.Run#'!$M108,Assy.Model!$M$9:$M$150,0)))</f>
        <v/>
      </c>
      <c r="AZ108" s="60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10" t="str">
        <f>IF($M108="","",AN108-INDEX(Assy.Model!$AN$9:$AN$150,MATCH('SN#.Run#'!$M108,Assy.Model!$M$9:$M$150,0)))</f>
        <v/>
      </c>
      <c r="BB108" s="525" t="str">
        <f>IF($M108="","",AO108-INDEX(Assy.Model!$AO$9:$AO$150,MATCH('SN#.Run#'!$M108,Assy.Model!$M$9:$M$150,0)))</f>
        <v/>
      </c>
      <c r="BC108" s="619" t="str">
        <f>IF($M108="","",AP108-INDEX(Assy.Model!$AP$9:$AP$150,MATCH('SN#.Run#'!$M108,Assy.Model!$M$9:$M$150,0)))</f>
        <v/>
      </c>
      <c r="BD108" s="419"/>
      <c r="BE108" s="699"/>
      <c r="BF108" s="417"/>
      <c r="BG108" s="417"/>
      <c r="BH108" s="417"/>
      <c r="IE108" s="790" t="str">
        <f>IFERROR(IF($IU108="","",IF($IU108&lt;(((Settings!$C$19/2)*-1)*$IE$8),"Taper","Nose")),"")</f>
        <v/>
      </c>
      <c r="IF108" s="482" t="str">
        <f>IFERROR(IF((((($IW108*COS(RADIANS(180-$IY108)))*COS(RADIANS($IY108)))-(($IX108*SIN(RADIANS(180-$IY108)))*SIN(RADIANS($IY108))))+$IU108)&lt;(((Settings!$C$19+$IF$8)/2)*-1),"Gage",""),"")</f>
        <v/>
      </c>
      <c r="IG108" s="788" t="str">
        <f t="shared" si="132"/>
        <v/>
      </c>
      <c r="IH108" s="674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677" t="str" cm="1">
        <f t="array" ref="II108">IFERROR(IF($IH108&lt;1,$IH108+LARGE((IF($M$9:$M$150="",0,$M$9:$M$150)-MOD(IF($M$9:$M$150="",0,$M$9:$M$150),1)),1),$IH108),"")</f>
        <v/>
      </c>
      <c r="IJ108" s="482" t="str">
        <f t="shared" si="131"/>
        <v/>
      </c>
      <c r="IK108" s="482" t="str">
        <f t="shared" si="117"/>
        <v/>
      </c>
      <c r="IL108" s="670" t="str">
        <f t="shared" si="134"/>
        <v/>
      </c>
      <c r="IM108" s="702"/>
      <c r="IN108" s="5" t="str">
        <f t="shared" si="135"/>
        <v/>
      </c>
      <c r="IO108" s="714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670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05" t="str">
        <f t="shared" si="143"/>
        <v/>
      </c>
    </row>
    <row r="109" spans="1:259" ht="15" customHeight="1" x14ac:dyDescent="0.25">
      <c r="A109" s="82"/>
      <c r="B109" s="578" t="str">
        <f t="shared" si="144"/>
        <v/>
      </c>
      <c r="C109" s="572" t="str">
        <f t="shared" si="145"/>
        <v/>
      </c>
      <c r="D109" s="576" t="str">
        <f t="shared" si="146"/>
        <v/>
      </c>
      <c r="E109" s="580" t="str">
        <f t="shared" si="147"/>
        <v/>
      </c>
      <c r="F109" s="572" t="str">
        <f t="shared" si="148"/>
        <v/>
      </c>
      <c r="G109" s="579" t="str">
        <f t="shared" si="149"/>
        <v/>
      </c>
      <c r="H109" s="580" t="str">
        <f t="shared" si="128"/>
        <v/>
      </c>
      <c r="I109" s="482"/>
      <c r="J109" s="483" t="str">
        <v/>
      </c>
      <c r="K109" s="806" t="str">
        <f t="shared" si="133"/>
        <v/>
      </c>
      <c r="M109" s="164" t="str">
        <f t="shared" si="88"/>
        <v/>
      </c>
      <c r="N109" s="575" t="str">
        <f t="shared" si="89"/>
        <v/>
      </c>
      <c r="O109" s="572" t="str">
        <f t="shared" si="90"/>
        <v/>
      </c>
      <c r="P109" s="576" t="str">
        <f t="shared" si="91"/>
        <v/>
      </c>
      <c r="Q109" s="528" t="str">
        <f t="shared" si="92"/>
        <v/>
      </c>
      <c r="R109" s="572" t="str">
        <f t="shared" si="93"/>
        <v/>
      </c>
      <c r="S109" s="577" t="str">
        <f t="shared" si="94"/>
        <v/>
      </c>
      <c r="T109" s="578" t="str">
        <f t="shared" si="95"/>
        <v/>
      </c>
      <c r="U109" s="572" t="str">
        <f t="shared" si="96"/>
        <v/>
      </c>
      <c r="V109" s="579" t="str">
        <f t="shared" si="97"/>
        <v/>
      </c>
      <c r="W109" s="528" t="str">
        <f t="shared" si="98"/>
        <v/>
      </c>
      <c r="X109" s="572" t="str">
        <f t="shared" si="99"/>
        <v/>
      </c>
      <c r="Y109" s="573" t="str">
        <f t="shared" si="150"/>
        <v/>
      </c>
      <c r="Z109" s="575" t="str">
        <f t="shared" si="100"/>
        <v/>
      </c>
      <c r="AA109" s="572" t="str">
        <f t="shared" si="101"/>
        <v/>
      </c>
      <c r="AB109" s="572" t="str">
        <f t="shared" si="102"/>
        <v/>
      </c>
      <c r="AC109" s="579" t="str">
        <f t="shared" si="103"/>
        <v/>
      </c>
      <c r="AD109" s="580" t="str">
        <f t="shared" si="104"/>
        <v/>
      </c>
      <c r="AE109" s="572" t="str">
        <f t="shared" si="105"/>
        <v/>
      </c>
      <c r="AF109" s="576" t="str">
        <f t="shared" si="106"/>
        <v/>
      </c>
      <c r="AG109" s="545" t="str">
        <f t="shared" si="107"/>
        <v/>
      </c>
      <c r="AH109" s="546" t="str">
        <f t="shared" si="108"/>
        <v/>
      </c>
      <c r="AI109" s="528" t="str">
        <f t="shared" si="109"/>
        <v/>
      </c>
      <c r="AJ109" s="529" t="str">
        <f t="shared" si="110"/>
        <v/>
      </c>
      <c r="AK109" s="578" t="str">
        <f t="shared" si="111"/>
        <v/>
      </c>
      <c r="AL109" s="572" t="str">
        <f t="shared" si="112"/>
        <v/>
      </c>
      <c r="AM109" s="577" t="str">
        <f t="shared" si="113"/>
        <v/>
      </c>
      <c r="AN109" s="524" t="str">
        <f t="shared" si="151"/>
        <v/>
      </c>
      <c r="AO109" s="525" t="str">
        <f t="shared" si="125"/>
        <v/>
      </c>
      <c r="AP109" s="528" t="str">
        <f t="shared" si="114"/>
        <v/>
      </c>
      <c r="AQ109" s="529" t="str">
        <f t="shared" si="129"/>
        <v/>
      </c>
      <c r="AS109" s="598" t="str">
        <f t="shared" si="115"/>
        <v/>
      </c>
      <c r="AT109" s="602" t="str">
        <f t="shared" si="130"/>
        <v/>
      </c>
      <c r="AU109" s="515" t="str">
        <f t="shared" si="87"/>
        <v/>
      </c>
      <c r="AV109" s="164" t="str">
        <f t="shared" si="116"/>
        <v/>
      </c>
      <c r="AW109" s="545" t="str">
        <f>IF($M109="","",W109-INDEX(Assy.Model!$W$9:$W$150,MATCH('SN#.Run#'!$M109,Assy.Model!$M$9:$M$150,0)))</f>
        <v/>
      </c>
      <c r="AX109" s="628" t="str">
        <f>IF($M109="","",X109-INDEX(Assy.Model!$X$9:$X$150,MATCH('SN#.Run#'!$M109,Assy.Model!$M$9:$M$150,0)))</f>
        <v/>
      </c>
      <c r="AY109" s="629" t="str">
        <f>IF($M109="","",Y109-INDEX(Assy.Model!$Y$9:$Y$150,MATCH('SN#.Run#'!$M109,Assy.Model!$M$9:$M$150,0)))</f>
        <v/>
      </c>
      <c r="AZ109" s="60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10" t="str">
        <f>IF($M109="","",AN109-INDEX(Assy.Model!$AN$9:$AN$150,MATCH('SN#.Run#'!$M109,Assy.Model!$M$9:$M$150,0)))</f>
        <v/>
      </c>
      <c r="BB109" s="525" t="str">
        <f>IF($M109="","",AO109-INDEX(Assy.Model!$AO$9:$AO$150,MATCH('SN#.Run#'!$M109,Assy.Model!$M$9:$M$150,0)))</f>
        <v/>
      </c>
      <c r="BC109" s="619" t="str">
        <f>IF($M109="","",AP109-INDEX(Assy.Model!$AP$9:$AP$150,MATCH('SN#.Run#'!$M109,Assy.Model!$M$9:$M$150,0)))</f>
        <v/>
      </c>
      <c r="BD109" s="419"/>
      <c r="BE109" s="699"/>
      <c r="BF109" s="417"/>
      <c r="BG109" s="417"/>
      <c r="BH109" s="417"/>
      <c r="IE109" s="790" t="str">
        <f>IFERROR(IF($IU109="","",IF($IU109&lt;(((Settings!$C$19/2)*-1)*$IE$8),"Taper","Nose")),"")</f>
        <v/>
      </c>
      <c r="IF109" s="482" t="str">
        <f>IFERROR(IF((((($IW109*COS(RADIANS(180-$IY109)))*COS(RADIANS($IY109)))-(($IX109*SIN(RADIANS(180-$IY109)))*SIN(RADIANS($IY109))))+$IU109)&lt;(((Settings!$C$19+$IF$8)/2)*-1),"Gage",""),"")</f>
        <v/>
      </c>
      <c r="IG109" s="788" t="str">
        <f t="shared" si="132"/>
        <v/>
      </c>
      <c r="IH109" s="674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677" t="str" cm="1">
        <f t="array" ref="II109">IFERROR(IF($IH109&lt;1,$IH109+LARGE((IF($M$9:$M$150="",0,$M$9:$M$150)-MOD(IF($M$9:$M$150="",0,$M$9:$M$150),1)),1),$IH109),"")</f>
        <v/>
      </c>
      <c r="IJ109" s="482" t="str">
        <f t="shared" si="131"/>
        <v/>
      </c>
      <c r="IK109" s="482" t="str">
        <f t="shared" si="117"/>
        <v/>
      </c>
      <c r="IL109" s="670" t="str">
        <f t="shared" si="134"/>
        <v/>
      </c>
      <c r="IM109" s="702"/>
      <c r="IN109" s="5" t="str">
        <f t="shared" si="135"/>
        <v/>
      </c>
      <c r="IO109" s="714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670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05" t="str">
        <f t="shared" si="143"/>
        <v/>
      </c>
    </row>
    <row r="110" spans="1:259" ht="15" customHeight="1" x14ac:dyDescent="0.25">
      <c r="A110" s="82"/>
      <c r="B110" s="578" t="str">
        <f t="shared" si="144"/>
        <v/>
      </c>
      <c r="C110" s="572" t="str">
        <f t="shared" si="145"/>
        <v/>
      </c>
      <c r="D110" s="576" t="str">
        <f t="shared" si="146"/>
        <v/>
      </c>
      <c r="E110" s="580" t="str">
        <f t="shared" si="147"/>
        <v/>
      </c>
      <c r="F110" s="572" t="str">
        <f t="shared" si="148"/>
        <v/>
      </c>
      <c r="G110" s="579" t="str">
        <f t="shared" si="149"/>
        <v/>
      </c>
      <c r="H110" s="580" t="str">
        <f t="shared" si="128"/>
        <v/>
      </c>
      <c r="I110" s="482"/>
      <c r="J110" s="483" t="str">
        <v/>
      </c>
      <c r="K110" s="806" t="str">
        <f t="shared" si="133"/>
        <v/>
      </c>
      <c r="M110" s="164" t="str">
        <f t="shared" si="88"/>
        <v/>
      </c>
      <c r="N110" s="575" t="str">
        <f t="shared" si="89"/>
        <v/>
      </c>
      <c r="O110" s="572" t="str">
        <f t="shared" si="90"/>
        <v/>
      </c>
      <c r="P110" s="576" t="str">
        <f t="shared" si="91"/>
        <v/>
      </c>
      <c r="Q110" s="528" t="str">
        <f t="shared" si="92"/>
        <v/>
      </c>
      <c r="R110" s="572" t="str">
        <f t="shared" si="93"/>
        <v/>
      </c>
      <c r="S110" s="577" t="str">
        <f t="shared" si="94"/>
        <v/>
      </c>
      <c r="T110" s="578" t="str">
        <f t="shared" si="95"/>
        <v/>
      </c>
      <c r="U110" s="572" t="str">
        <f t="shared" si="96"/>
        <v/>
      </c>
      <c r="V110" s="579" t="str">
        <f t="shared" si="97"/>
        <v/>
      </c>
      <c r="W110" s="528" t="str">
        <f t="shared" si="98"/>
        <v/>
      </c>
      <c r="X110" s="572" t="str">
        <f t="shared" si="99"/>
        <v/>
      </c>
      <c r="Y110" s="573" t="str">
        <f t="shared" si="150"/>
        <v/>
      </c>
      <c r="Z110" s="575" t="str">
        <f t="shared" si="100"/>
        <v/>
      </c>
      <c r="AA110" s="572" t="str">
        <f t="shared" si="101"/>
        <v/>
      </c>
      <c r="AB110" s="572" t="str">
        <f t="shared" si="102"/>
        <v/>
      </c>
      <c r="AC110" s="579" t="str">
        <f t="shared" si="103"/>
        <v/>
      </c>
      <c r="AD110" s="580" t="str">
        <f t="shared" si="104"/>
        <v/>
      </c>
      <c r="AE110" s="572" t="str">
        <f t="shared" si="105"/>
        <v/>
      </c>
      <c r="AF110" s="576" t="str">
        <f t="shared" si="106"/>
        <v/>
      </c>
      <c r="AG110" s="545" t="str">
        <f t="shared" si="107"/>
        <v/>
      </c>
      <c r="AH110" s="546" t="str">
        <f t="shared" si="108"/>
        <v/>
      </c>
      <c r="AI110" s="528" t="str">
        <f t="shared" si="109"/>
        <v/>
      </c>
      <c r="AJ110" s="529" t="str">
        <f t="shared" si="110"/>
        <v/>
      </c>
      <c r="AK110" s="578" t="str">
        <f t="shared" si="111"/>
        <v/>
      </c>
      <c r="AL110" s="572" t="str">
        <f t="shared" si="112"/>
        <v/>
      </c>
      <c r="AM110" s="577" t="str">
        <f t="shared" si="113"/>
        <v/>
      </c>
      <c r="AN110" s="524" t="str">
        <f t="shared" si="151"/>
        <v/>
      </c>
      <c r="AO110" s="525" t="str">
        <f t="shared" si="125"/>
        <v/>
      </c>
      <c r="AP110" s="528" t="str">
        <f t="shared" si="114"/>
        <v/>
      </c>
      <c r="AQ110" s="529" t="str">
        <f t="shared" si="129"/>
        <v/>
      </c>
      <c r="AS110" s="598" t="str">
        <f t="shared" si="115"/>
        <v/>
      </c>
      <c r="AT110" s="602" t="str">
        <f t="shared" si="130"/>
        <v/>
      </c>
      <c r="AU110" s="515" t="str">
        <f t="shared" si="87"/>
        <v/>
      </c>
      <c r="AV110" s="164" t="str">
        <f t="shared" si="116"/>
        <v/>
      </c>
      <c r="AW110" s="545" t="str">
        <f>IF($M110="","",W110-INDEX(Assy.Model!$W$9:$W$150,MATCH('SN#.Run#'!$M110,Assy.Model!$M$9:$M$150,0)))</f>
        <v/>
      </c>
      <c r="AX110" s="628" t="str">
        <f>IF($M110="","",X110-INDEX(Assy.Model!$X$9:$X$150,MATCH('SN#.Run#'!$M110,Assy.Model!$M$9:$M$150,0)))</f>
        <v/>
      </c>
      <c r="AY110" s="629" t="str">
        <f>IF($M110="","",Y110-INDEX(Assy.Model!$Y$9:$Y$150,MATCH('SN#.Run#'!$M110,Assy.Model!$M$9:$M$150,0)))</f>
        <v/>
      </c>
      <c r="AZ110" s="60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10" t="str">
        <f>IF($M110="","",AN110-INDEX(Assy.Model!$AN$9:$AN$150,MATCH('SN#.Run#'!$M110,Assy.Model!$M$9:$M$150,0)))</f>
        <v/>
      </c>
      <c r="BB110" s="525" t="str">
        <f>IF($M110="","",AO110-INDEX(Assy.Model!$AO$9:$AO$150,MATCH('SN#.Run#'!$M110,Assy.Model!$M$9:$M$150,0)))</f>
        <v/>
      </c>
      <c r="BC110" s="619" t="str">
        <f>IF($M110="","",AP110-INDEX(Assy.Model!$AP$9:$AP$150,MATCH('SN#.Run#'!$M110,Assy.Model!$M$9:$M$150,0)))</f>
        <v/>
      </c>
      <c r="BD110" s="419"/>
      <c r="BE110" s="699"/>
      <c r="BF110" s="417"/>
      <c r="BG110" s="417"/>
      <c r="BH110" s="417"/>
      <c r="IE110" s="790" t="str">
        <f>IFERROR(IF($IU110="","",IF($IU110&lt;(((Settings!$C$19/2)*-1)*$IE$8),"Taper","Nose")),"")</f>
        <v/>
      </c>
      <c r="IF110" s="482" t="str">
        <f>IFERROR(IF((((($IW110*COS(RADIANS(180-$IY110)))*COS(RADIANS($IY110)))-(($IX110*SIN(RADIANS(180-$IY110)))*SIN(RADIANS($IY110))))+$IU110)&lt;(((Settings!$C$19+$IF$8)/2)*-1),"Gage",""),"")</f>
        <v/>
      </c>
      <c r="IG110" s="788" t="str">
        <f t="shared" si="132"/>
        <v/>
      </c>
      <c r="IH110" s="674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677" t="str" cm="1">
        <f t="array" ref="II110">IFERROR(IF($IH110&lt;1,$IH110+LARGE((IF($M$9:$M$150="",0,$M$9:$M$150)-MOD(IF($M$9:$M$150="",0,$M$9:$M$150),1)),1),$IH110),"")</f>
        <v/>
      </c>
      <c r="IJ110" s="482" t="str">
        <f t="shared" si="131"/>
        <v/>
      </c>
      <c r="IK110" s="482" t="str">
        <f t="shared" si="117"/>
        <v/>
      </c>
      <c r="IL110" s="670" t="str">
        <f t="shared" si="134"/>
        <v/>
      </c>
      <c r="IM110" s="702"/>
      <c r="IN110" s="5" t="str">
        <f t="shared" si="135"/>
        <v/>
      </c>
      <c r="IO110" s="714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670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05" t="str">
        <f t="shared" si="143"/>
        <v/>
      </c>
    </row>
    <row r="111" spans="1:259" ht="15" customHeight="1" x14ac:dyDescent="0.25">
      <c r="A111" s="82"/>
      <c r="B111" s="578" t="str">
        <f t="shared" si="144"/>
        <v/>
      </c>
      <c r="C111" s="572" t="str">
        <f t="shared" si="145"/>
        <v/>
      </c>
      <c r="D111" s="576" t="str">
        <f t="shared" si="146"/>
        <v/>
      </c>
      <c r="E111" s="580" t="str">
        <f t="shared" si="147"/>
        <v/>
      </c>
      <c r="F111" s="572" t="str">
        <f t="shared" si="148"/>
        <v/>
      </c>
      <c r="G111" s="579" t="str">
        <f t="shared" si="149"/>
        <v/>
      </c>
      <c r="H111" s="580" t="str">
        <f t="shared" si="128"/>
        <v/>
      </c>
      <c r="I111" s="482"/>
      <c r="J111" s="483" t="str">
        <v/>
      </c>
      <c r="K111" s="806" t="str">
        <f t="shared" si="133"/>
        <v/>
      </c>
      <c r="M111" s="164" t="str">
        <f t="shared" si="88"/>
        <v/>
      </c>
      <c r="N111" s="575" t="str">
        <f t="shared" si="89"/>
        <v/>
      </c>
      <c r="O111" s="572" t="str">
        <f t="shared" si="90"/>
        <v/>
      </c>
      <c r="P111" s="576" t="str">
        <f t="shared" si="91"/>
        <v/>
      </c>
      <c r="Q111" s="528" t="str">
        <f t="shared" si="92"/>
        <v/>
      </c>
      <c r="R111" s="572" t="str">
        <f t="shared" si="93"/>
        <v/>
      </c>
      <c r="S111" s="577" t="str">
        <f t="shared" si="94"/>
        <v/>
      </c>
      <c r="T111" s="578" t="str">
        <f t="shared" si="95"/>
        <v/>
      </c>
      <c r="U111" s="572" t="str">
        <f t="shared" si="96"/>
        <v/>
      </c>
      <c r="V111" s="579" t="str">
        <f t="shared" si="97"/>
        <v/>
      </c>
      <c r="W111" s="528" t="str">
        <f t="shared" si="98"/>
        <v/>
      </c>
      <c r="X111" s="572" t="str">
        <f t="shared" si="99"/>
        <v/>
      </c>
      <c r="Y111" s="573" t="str">
        <f t="shared" si="150"/>
        <v/>
      </c>
      <c r="Z111" s="575" t="str">
        <f t="shared" si="100"/>
        <v/>
      </c>
      <c r="AA111" s="572" t="str">
        <f t="shared" si="101"/>
        <v/>
      </c>
      <c r="AB111" s="572" t="str">
        <f t="shared" si="102"/>
        <v/>
      </c>
      <c r="AC111" s="579" t="str">
        <f t="shared" si="103"/>
        <v/>
      </c>
      <c r="AD111" s="580" t="str">
        <f t="shared" si="104"/>
        <v/>
      </c>
      <c r="AE111" s="572" t="str">
        <f t="shared" si="105"/>
        <v/>
      </c>
      <c r="AF111" s="576" t="str">
        <f t="shared" si="106"/>
        <v/>
      </c>
      <c r="AG111" s="545" t="str">
        <f t="shared" si="107"/>
        <v/>
      </c>
      <c r="AH111" s="546" t="str">
        <f t="shared" si="108"/>
        <v/>
      </c>
      <c r="AI111" s="528" t="str">
        <f t="shared" si="109"/>
        <v/>
      </c>
      <c r="AJ111" s="529" t="str">
        <f t="shared" si="110"/>
        <v/>
      </c>
      <c r="AK111" s="578" t="str">
        <f t="shared" si="111"/>
        <v/>
      </c>
      <c r="AL111" s="572" t="str">
        <f t="shared" si="112"/>
        <v/>
      </c>
      <c r="AM111" s="577" t="str">
        <f t="shared" si="113"/>
        <v/>
      </c>
      <c r="AN111" s="524" t="str">
        <f t="shared" si="151"/>
        <v/>
      </c>
      <c r="AO111" s="525" t="str">
        <f t="shared" si="125"/>
        <v/>
      </c>
      <c r="AP111" s="528" t="str">
        <f t="shared" si="114"/>
        <v/>
      </c>
      <c r="AQ111" s="529" t="str">
        <f t="shared" si="129"/>
        <v/>
      </c>
      <c r="AS111" s="598" t="str">
        <f t="shared" si="115"/>
        <v/>
      </c>
      <c r="AT111" s="602" t="str">
        <f t="shared" si="130"/>
        <v/>
      </c>
      <c r="AU111" s="515" t="str">
        <f t="shared" si="87"/>
        <v/>
      </c>
      <c r="AV111" s="164" t="str">
        <f t="shared" si="116"/>
        <v/>
      </c>
      <c r="AW111" s="545" t="str">
        <f>IF($M111="","",W111-INDEX(Assy.Model!$W$9:$W$150,MATCH('SN#.Run#'!$M111,Assy.Model!$M$9:$M$150,0)))</f>
        <v/>
      </c>
      <c r="AX111" s="628" t="str">
        <f>IF($M111="","",X111-INDEX(Assy.Model!$X$9:$X$150,MATCH('SN#.Run#'!$M111,Assy.Model!$M$9:$M$150,0)))</f>
        <v/>
      </c>
      <c r="AY111" s="629" t="str">
        <f>IF($M111="","",Y111-INDEX(Assy.Model!$Y$9:$Y$150,MATCH('SN#.Run#'!$M111,Assy.Model!$M$9:$M$150,0)))</f>
        <v/>
      </c>
      <c r="AZ111" s="60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10" t="str">
        <f>IF($M111="","",AN111-INDEX(Assy.Model!$AN$9:$AN$150,MATCH('SN#.Run#'!$M111,Assy.Model!$M$9:$M$150,0)))</f>
        <v/>
      </c>
      <c r="BB111" s="525" t="str">
        <f>IF($M111="","",AO111-INDEX(Assy.Model!$AO$9:$AO$150,MATCH('SN#.Run#'!$M111,Assy.Model!$M$9:$M$150,0)))</f>
        <v/>
      </c>
      <c r="BC111" s="619" t="str">
        <f>IF($M111="","",AP111-INDEX(Assy.Model!$AP$9:$AP$150,MATCH('SN#.Run#'!$M111,Assy.Model!$M$9:$M$150,0)))</f>
        <v/>
      </c>
      <c r="BD111" s="419"/>
      <c r="BE111" s="699"/>
      <c r="BF111" s="417"/>
      <c r="BG111" s="417"/>
      <c r="BH111" s="417"/>
      <c r="IE111" s="790" t="str">
        <f>IFERROR(IF($IU111="","",IF($IU111&lt;(((Settings!$C$19/2)*-1)*$IE$8),"Taper","Nose")),"")</f>
        <v/>
      </c>
      <c r="IF111" s="482" t="str">
        <f>IFERROR(IF((((($IW111*COS(RADIANS(180-$IY111)))*COS(RADIANS($IY111)))-(($IX111*SIN(RADIANS(180-$IY111)))*SIN(RADIANS($IY111))))+$IU111)&lt;(((Settings!$C$19+$IF$8)/2)*-1),"Gage",""),"")</f>
        <v/>
      </c>
      <c r="IG111" s="788" t="str">
        <f t="shared" si="132"/>
        <v/>
      </c>
      <c r="IH111" s="674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677" t="str" cm="1">
        <f t="array" ref="II111">IFERROR(IF($IH111&lt;1,$IH111+LARGE((IF($M$9:$M$150="",0,$M$9:$M$150)-MOD(IF($M$9:$M$150="",0,$M$9:$M$150),1)),1),$IH111),"")</f>
        <v/>
      </c>
      <c r="IJ111" s="482" t="str">
        <f t="shared" si="131"/>
        <v/>
      </c>
      <c r="IK111" s="482" t="str">
        <f t="shared" si="117"/>
        <v/>
      </c>
      <c r="IL111" s="670" t="str">
        <f t="shared" si="134"/>
        <v/>
      </c>
      <c r="IM111" s="702"/>
      <c r="IN111" s="5" t="str">
        <f t="shared" si="135"/>
        <v/>
      </c>
      <c r="IO111" s="714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670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05" t="str">
        <f t="shared" si="143"/>
        <v/>
      </c>
    </row>
    <row r="112" spans="1:259" ht="15" customHeight="1" x14ac:dyDescent="0.25">
      <c r="A112" s="82"/>
      <c r="B112" s="578" t="str">
        <f t="shared" si="144"/>
        <v/>
      </c>
      <c r="C112" s="572" t="str">
        <f t="shared" si="145"/>
        <v/>
      </c>
      <c r="D112" s="576" t="str">
        <f t="shared" si="146"/>
        <v/>
      </c>
      <c r="E112" s="580" t="str">
        <f t="shared" si="147"/>
        <v/>
      </c>
      <c r="F112" s="572" t="str">
        <f t="shared" si="148"/>
        <v/>
      </c>
      <c r="G112" s="579" t="str">
        <f t="shared" si="149"/>
        <v/>
      </c>
      <c r="H112" s="580" t="str">
        <f t="shared" si="128"/>
        <v/>
      </c>
      <c r="I112" s="482"/>
      <c r="J112" s="483" t="str">
        <v/>
      </c>
      <c r="K112" s="806" t="str">
        <f t="shared" si="133"/>
        <v/>
      </c>
      <c r="M112" s="164" t="str">
        <f t="shared" si="88"/>
        <v/>
      </c>
      <c r="N112" s="575" t="str">
        <f t="shared" si="89"/>
        <v/>
      </c>
      <c r="O112" s="572" t="str">
        <f t="shared" si="90"/>
        <v/>
      </c>
      <c r="P112" s="576" t="str">
        <f t="shared" si="91"/>
        <v/>
      </c>
      <c r="Q112" s="528" t="str">
        <f t="shared" si="92"/>
        <v/>
      </c>
      <c r="R112" s="572" t="str">
        <f t="shared" si="93"/>
        <v/>
      </c>
      <c r="S112" s="577" t="str">
        <f t="shared" si="94"/>
        <v/>
      </c>
      <c r="T112" s="578" t="str">
        <f t="shared" si="95"/>
        <v/>
      </c>
      <c r="U112" s="572" t="str">
        <f t="shared" si="96"/>
        <v/>
      </c>
      <c r="V112" s="579" t="str">
        <f t="shared" si="97"/>
        <v/>
      </c>
      <c r="W112" s="528" t="str">
        <f t="shared" si="98"/>
        <v/>
      </c>
      <c r="X112" s="572" t="str">
        <f t="shared" si="99"/>
        <v/>
      </c>
      <c r="Y112" s="573" t="str">
        <f t="shared" si="150"/>
        <v/>
      </c>
      <c r="Z112" s="575" t="str">
        <f t="shared" si="100"/>
        <v/>
      </c>
      <c r="AA112" s="572" t="str">
        <f t="shared" si="101"/>
        <v/>
      </c>
      <c r="AB112" s="572" t="str">
        <f t="shared" si="102"/>
        <v/>
      </c>
      <c r="AC112" s="579" t="str">
        <f t="shared" si="103"/>
        <v/>
      </c>
      <c r="AD112" s="580" t="str">
        <f t="shared" si="104"/>
        <v/>
      </c>
      <c r="AE112" s="572" t="str">
        <f t="shared" si="105"/>
        <v/>
      </c>
      <c r="AF112" s="576" t="str">
        <f t="shared" si="106"/>
        <v/>
      </c>
      <c r="AG112" s="545" t="str">
        <f t="shared" si="107"/>
        <v/>
      </c>
      <c r="AH112" s="546" t="str">
        <f t="shared" si="108"/>
        <v/>
      </c>
      <c r="AI112" s="528" t="str">
        <f t="shared" si="109"/>
        <v/>
      </c>
      <c r="AJ112" s="529" t="str">
        <f t="shared" si="110"/>
        <v/>
      </c>
      <c r="AK112" s="578" t="str">
        <f t="shared" si="111"/>
        <v/>
      </c>
      <c r="AL112" s="572" t="str">
        <f t="shared" si="112"/>
        <v/>
      </c>
      <c r="AM112" s="577" t="str">
        <f t="shared" si="113"/>
        <v/>
      </c>
      <c r="AN112" s="524" t="str">
        <f t="shared" si="151"/>
        <v/>
      </c>
      <c r="AO112" s="525" t="str">
        <f t="shared" si="125"/>
        <v/>
      </c>
      <c r="AP112" s="528" t="str">
        <f t="shared" si="114"/>
        <v/>
      </c>
      <c r="AQ112" s="529" t="str">
        <f t="shared" si="129"/>
        <v/>
      </c>
      <c r="AS112" s="598" t="str">
        <f t="shared" si="115"/>
        <v/>
      </c>
      <c r="AT112" s="602" t="str">
        <f t="shared" si="130"/>
        <v/>
      </c>
      <c r="AU112" s="515" t="str">
        <f t="shared" si="87"/>
        <v/>
      </c>
      <c r="AV112" s="164" t="str">
        <f t="shared" si="116"/>
        <v/>
      </c>
      <c r="AW112" s="545" t="str">
        <f>IF($M112="","",W112-INDEX(Assy.Model!$W$9:$W$150,MATCH('SN#.Run#'!$M112,Assy.Model!$M$9:$M$150,0)))</f>
        <v/>
      </c>
      <c r="AX112" s="628" t="str">
        <f>IF($M112="","",X112-INDEX(Assy.Model!$X$9:$X$150,MATCH('SN#.Run#'!$M112,Assy.Model!$M$9:$M$150,0)))</f>
        <v/>
      </c>
      <c r="AY112" s="629" t="str">
        <f>IF($M112="","",Y112-INDEX(Assy.Model!$Y$9:$Y$150,MATCH('SN#.Run#'!$M112,Assy.Model!$M$9:$M$150,0)))</f>
        <v/>
      </c>
      <c r="AZ112" s="60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10" t="str">
        <f>IF($M112="","",AN112-INDEX(Assy.Model!$AN$9:$AN$150,MATCH('SN#.Run#'!$M112,Assy.Model!$M$9:$M$150,0)))</f>
        <v/>
      </c>
      <c r="BB112" s="525" t="str">
        <f>IF($M112="","",AO112-INDEX(Assy.Model!$AO$9:$AO$150,MATCH('SN#.Run#'!$M112,Assy.Model!$M$9:$M$150,0)))</f>
        <v/>
      </c>
      <c r="BC112" s="619" t="str">
        <f>IF($M112="","",AP112-INDEX(Assy.Model!$AP$9:$AP$150,MATCH('SN#.Run#'!$M112,Assy.Model!$M$9:$M$150,0)))</f>
        <v/>
      </c>
      <c r="BD112" s="419"/>
      <c r="BE112" s="699"/>
      <c r="BF112" s="417"/>
      <c r="BG112" s="417"/>
      <c r="BH112" s="417"/>
      <c r="IE112" s="790" t="str">
        <f>IFERROR(IF($IU112="","",IF($IU112&lt;(((Settings!$C$19/2)*-1)*$IE$8),"Taper","Nose")),"")</f>
        <v/>
      </c>
      <c r="IF112" s="482" t="str">
        <f>IFERROR(IF((((($IW112*COS(RADIANS(180-$IY112)))*COS(RADIANS($IY112)))-(($IX112*SIN(RADIANS(180-$IY112)))*SIN(RADIANS($IY112))))+$IU112)&lt;(((Settings!$C$19+$IF$8)/2)*-1),"Gage",""),"")</f>
        <v/>
      </c>
      <c r="IG112" s="788" t="str">
        <f t="shared" si="132"/>
        <v/>
      </c>
      <c r="IH112" s="674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677" t="str" cm="1">
        <f t="array" ref="II112">IFERROR(IF($IH112&lt;1,$IH112+LARGE((IF($M$9:$M$150="",0,$M$9:$M$150)-MOD(IF($M$9:$M$150="",0,$M$9:$M$150),1)),1),$IH112),"")</f>
        <v/>
      </c>
      <c r="IJ112" s="482" t="str">
        <f t="shared" si="131"/>
        <v/>
      </c>
      <c r="IK112" s="482" t="str">
        <f t="shared" si="117"/>
        <v/>
      </c>
      <c r="IL112" s="670" t="str">
        <f t="shared" si="134"/>
        <v/>
      </c>
      <c r="IM112" s="702"/>
      <c r="IN112" s="5" t="str">
        <f t="shared" si="135"/>
        <v/>
      </c>
      <c r="IO112" s="714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670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05" t="str">
        <f t="shared" si="143"/>
        <v/>
      </c>
    </row>
    <row r="113" spans="1:259" ht="15" customHeight="1" x14ac:dyDescent="0.25">
      <c r="A113" s="82"/>
      <c r="B113" s="578" t="str">
        <f t="shared" si="144"/>
        <v/>
      </c>
      <c r="C113" s="572" t="str">
        <f t="shared" si="145"/>
        <v/>
      </c>
      <c r="D113" s="576" t="str">
        <f t="shared" si="146"/>
        <v/>
      </c>
      <c r="E113" s="580" t="str">
        <f t="shared" si="147"/>
        <v/>
      </c>
      <c r="F113" s="572" t="str">
        <f t="shared" si="148"/>
        <v/>
      </c>
      <c r="G113" s="579" t="str">
        <f t="shared" si="149"/>
        <v/>
      </c>
      <c r="H113" s="580" t="str">
        <f t="shared" si="128"/>
        <v/>
      </c>
      <c r="I113" s="482"/>
      <c r="J113" s="483" t="str">
        <v/>
      </c>
      <c r="K113" s="806" t="str">
        <f t="shared" si="133"/>
        <v/>
      </c>
      <c r="M113" s="164" t="str">
        <f t="shared" ref="M113:M120" si="152">IF(J113="","",J113)</f>
        <v/>
      </c>
      <c r="N113" s="575" t="str">
        <f t="shared" ref="N113:N120" si="153">IF(M113="","",B113)</f>
        <v/>
      </c>
      <c r="O113" s="572" t="str">
        <f t="shared" ref="O113:O120" si="154">IF(M113="","",C113)</f>
        <v/>
      </c>
      <c r="P113" s="576" t="str">
        <f t="shared" ref="P113:P120" si="155">IF(M113="","",D113)</f>
        <v/>
      </c>
      <c r="Q113" s="528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572" t="str">
        <f t="shared" ref="R113:R120" si="157">IF(M113="","",SQRT(N113^2+O113^2))</f>
        <v/>
      </c>
      <c r="S113" s="577" t="str">
        <f t="shared" ref="S113:S120" si="158">IF(M113="","",P113)</f>
        <v/>
      </c>
      <c r="T113" s="578" t="str">
        <f t="shared" ref="T113:T120" si="159">IF(M113="","",X113*COS(RADIANS(W113)))</f>
        <v/>
      </c>
      <c r="U113" s="572" t="str">
        <f t="shared" ref="U113:U120" si="160">IF(M113="","",X113*SIN(RADIANS(W113)))</f>
        <v/>
      </c>
      <c r="V113" s="579" t="str">
        <f t="shared" ref="V113:V120" si="161">IF(M113="","",Y113)</f>
        <v/>
      </c>
      <c r="W113" s="528" t="str">
        <f t="shared" ref="W113:W120" si="162">IF(M113="","",IF(Q113-$Q$8&lt;0,360+Q113-$Q$8,Q113-$Q$8))</f>
        <v/>
      </c>
      <c r="X113" s="572" t="str">
        <f t="shared" ref="X113:X120" si="163">IF(M113="","",R113)</f>
        <v/>
      </c>
      <c r="Y113" s="573" t="str">
        <f t="shared" si="150"/>
        <v/>
      </c>
      <c r="Z113" s="575" t="str">
        <f t="shared" ref="Z113:Z120" si="164">IF(M113="","",-E113)</f>
        <v/>
      </c>
      <c r="AA113" s="572" t="str">
        <f t="shared" ref="AA113:AA120" si="165">IF(M113="","",-F113)</f>
        <v/>
      </c>
      <c r="AB113" s="572" t="str">
        <f t="shared" ref="AB113:AB120" si="166">IF(M113="","",-G113)</f>
        <v/>
      </c>
      <c r="AC113" s="579" t="str">
        <f t="shared" ref="AC113:AC120" si="167">IF(M113="","",SQRT(Z113^2+AA113^2+AB113^2))</f>
        <v/>
      </c>
      <c r="AD113" s="580" t="str">
        <f t="shared" ref="AD113:AD120" si="168">IF(M113="","",Z113*(1/SQRT(Z113^2+AA113^2+AB113^2)))</f>
        <v/>
      </c>
      <c r="AE113" s="572" t="str">
        <f t="shared" ref="AE113:AE120" si="169">IF(M113="","",AA113*(1/SQRT(Z113^2+AA113^2+AB113^2)))</f>
        <v/>
      </c>
      <c r="AF113" s="576" t="str">
        <f t="shared" ref="AF113:AF120" si="170">IF(M113="","",AB113*(1/SQRT(Z113^2+AA113^2+AB113^2)))</f>
        <v/>
      </c>
      <c r="AG113" s="545" t="str">
        <f t="shared" ref="AG113:AG120" si="171">IF(M113="","",DEGREES(ATAN2(-AF113,AE113)))</f>
        <v/>
      </c>
      <c r="AH113" s="546" t="str">
        <f t="shared" ref="AH113:AH120" si="172">IF(M113="","",DEGREES(ACOS(AD113)))</f>
        <v/>
      </c>
      <c r="AI113" s="528" t="str">
        <f t="shared" ref="AI113:AI120" si="173">IF(M113="","",DEGREES(-ACOS(-AF113)))</f>
        <v/>
      </c>
      <c r="AJ113" s="529" t="str">
        <f t="shared" ref="AJ113:AJ120" si="174">IF(M113="","",DEGREES(ATAN2(-AE113,AD113)))</f>
        <v/>
      </c>
      <c r="AK113" s="578" t="str">
        <f t="shared" ref="AK113:AK120" si="175">IF(M113="","",(COS(RADIANS((90-$Q$8)-W113))*AD113)+(-SIN(RADIANS((90-$Q$8)-W113))*AE113))</f>
        <v/>
      </c>
      <c r="AL113" s="572" t="str">
        <f t="shared" ref="AL113:AL120" si="176">IF(M113="","",(SIN(RADIANS((90-$Q$8)-W113))*AD113)+(COS(RADIANS((90-$Q$8)-W113))*AE113))</f>
        <v/>
      </c>
      <c r="AM113" s="577" t="str">
        <f t="shared" ref="AM113:AM120" si="177">IF(M113="","",AF113)</f>
        <v/>
      </c>
      <c r="AN113" s="524" t="str">
        <f t="shared" si="151"/>
        <v/>
      </c>
      <c r="AO113" s="525" t="str">
        <f t="shared" si="125"/>
        <v/>
      </c>
      <c r="AP113" s="528" t="str">
        <f t="shared" ref="AP113:AP120" si="178">IF(M113="","",DEGREES(ATAN2(AK113,AL113)))</f>
        <v/>
      </c>
      <c r="AQ113" s="529" t="str">
        <f t="shared" si="129"/>
        <v/>
      </c>
      <c r="AS113" s="598" t="str">
        <f t="shared" ref="AS113:AS120" si="179">IF(M113="","",IF(W113&lt;=LARGE($W$9:$W$17,1),W113,W113-360))</f>
        <v/>
      </c>
      <c r="AT113" s="602" t="str">
        <f t="shared" si="130"/>
        <v/>
      </c>
      <c r="AU113" s="515" t="str">
        <f t="shared" si="87"/>
        <v/>
      </c>
      <c r="AV113" s="164" t="str">
        <f t="shared" ref="AV113:AV120" si="180">M113</f>
        <v/>
      </c>
      <c r="AW113" s="545" t="str">
        <f>IF($M113="","",W113-INDEX(Assy.Model!$W$9:$W$150,MATCH('SN#.Run#'!$M113,Assy.Model!$M$9:$M$150,0)))</f>
        <v/>
      </c>
      <c r="AX113" s="628" t="str">
        <f>IF($M113="","",X113-INDEX(Assy.Model!$X$9:$X$150,MATCH('SN#.Run#'!$M113,Assy.Model!$M$9:$M$150,0)))</f>
        <v/>
      </c>
      <c r="AY113" s="629" t="str">
        <f>IF($M113="","",Y113-INDEX(Assy.Model!$Y$9:$Y$150,MATCH('SN#.Run#'!$M113,Assy.Model!$M$9:$M$150,0)))</f>
        <v/>
      </c>
      <c r="AZ113" s="60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10" t="str">
        <f>IF($M113="","",AN113-INDEX(Assy.Model!$AN$9:$AN$150,MATCH('SN#.Run#'!$M113,Assy.Model!$M$9:$M$150,0)))</f>
        <v/>
      </c>
      <c r="BB113" s="525" t="str">
        <f>IF($M113="","",AO113-INDEX(Assy.Model!$AO$9:$AO$150,MATCH('SN#.Run#'!$M113,Assy.Model!$M$9:$M$150,0)))</f>
        <v/>
      </c>
      <c r="BC113" s="619" t="str">
        <f>IF($M113="","",AP113-INDEX(Assy.Model!$AP$9:$AP$150,MATCH('SN#.Run#'!$M113,Assy.Model!$M$9:$M$150,0)))</f>
        <v/>
      </c>
      <c r="BD113" s="419"/>
      <c r="BE113" s="699"/>
      <c r="BF113" s="417"/>
      <c r="BG113" s="417"/>
      <c r="BH113" s="417"/>
      <c r="IE113" s="790" t="str">
        <f>IFERROR(IF($IU113="","",IF($IU113&lt;(((Settings!$C$19/2)*-1)*$IE$8),"Taper","Nose")),"")</f>
        <v/>
      </c>
      <c r="IF113" s="482" t="str">
        <f>IFERROR(IF((((($IW113*COS(RADIANS(180-$IY113)))*COS(RADIANS($IY113)))-(($IX113*SIN(RADIANS(180-$IY113)))*SIN(RADIANS($IY113))))+$IU113)&lt;(((Settings!$C$19+$IF$8)/2)*-1),"Gage",""),"")</f>
        <v/>
      </c>
      <c r="IG113" s="788" t="str">
        <f t="shared" si="132"/>
        <v/>
      </c>
      <c r="IH113" s="674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677" t="str" cm="1">
        <f t="array" ref="II113">IFERROR(IF($IH113&lt;1,$IH113+LARGE((IF($M$9:$M$150="",0,$M$9:$M$150)-MOD(IF($M$9:$M$150="",0,$M$9:$M$150),1)),1),$IH113),"")</f>
        <v/>
      </c>
      <c r="IJ113" s="482" t="str">
        <f t="shared" si="131"/>
        <v/>
      </c>
      <c r="IK113" s="482" t="str">
        <f t="shared" si="117"/>
        <v/>
      </c>
      <c r="IL113" s="670" t="str">
        <f t="shared" si="134"/>
        <v/>
      </c>
      <c r="IM113" s="702"/>
      <c r="IN113" s="5" t="str">
        <f t="shared" si="135"/>
        <v/>
      </c>
      <c r="IO113" s="714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670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05" t="str">
        <f t="shared" si="143"/>
        <v/>
      </c>
    </row>
    <row r="114" spans="1:259" ht="15" customHeight="1" x14ac:dyDescent="0.25">
      <c r="A114" s="82"/>
      <c r="B114" s="578" t="str">
        <f t="shared" si="144"/>
        <v/>
      </c>
      <c r="C114" s="572" t="str">
        <f t="shared" si="145"/>
        <v/>
      </c>
      <c r="D114" s="576" t="str">
        <f t="shared" si="146"/>
        <v/>
      </c>
      <c r="E114" s="580" t="str">
        <f t="shared" si="147"/>
        <v/>
      </c>
      <c r="F114" s="572" t="str">
        <f t="shared" si="148"/>
        <v/>
      </c>
      <c r="G114" s="579" t="str">
        <f t="shared" si="149"/>
        <v/>
      </c>
      <c r="H114" s="580" t="str">
        <f t="shared" si="128"/>
        <v/>
      </c>
      <c r="I114" s="482"/>
      <c r="J114" s="483" t="str">
        <v/>
      </c>
      <c r="K114" s="806" t="str">
        <f t="shared" si="133"/>
        <v/>
      </c>
      <c r="M114" s="164" t="str">
        <f t="shared" si="152"/>
        <v/>
      </c>
      <c r="N114" s="575" t="str">
        <f t="shared" si="153"/>
        <v/>
      </c>
      <c r="O114" s="572" t="str">
        <f t="shared" si="154"/>
        <v/>
      </c>
      <c r="P114" s="576" t="str">
        <f t="shared" si="155"/>
        <v/>
      </c>
      <c r="Q114" s="528" t="str">
        <f t="shared" si="156"/>
        <v/>
      </c>
      <c r="R114" s="572" t="str">
        <f t="shared" si="157"/>
        <v/>
      </c>
      <c r="S114" s="577" t="str">
        <f t="shared" si="158"/>
        <v/>
      </c>
      <c r="T114" s="578" t="str">
        <f t="shared" si="159"/>
        <v/>
      </c>
      <c r="U114" s="572" t="str">
        <f t="shared" si="160"/>
        <v/>
      </c>
      <c r="V114" s="579" t="str">
        <f t="shared" si="161"/>
        <v/>
      </c>
      <c r="W114" s="528" t="str">
        <f t="shared" si="162"/>
        <v/>
      </c>
      <c r="X114" s="572" t="str">
        <f t="shared" si="163"/>
        <v/>
      </c>
      <c r="Y114" s="573" t="str">
        <f t="shared" si="150"/>
        <v/>
      </c>
      <c r="Z114" s="575" t="str">
        <f t="shared" si="164"/>
        <v/>
      </c>
      <c r="AA114" s="572" t="str">
        <f t="shared" si="165"/>
        <v/>
      </c>
      <c r="AB114" s="572" t="str">
        <f t="shared" si="166"/>
        <v/>
      </c>
      <c r="AC114" s="579" t="str">
        <f t="shared" si="167"/>
        <v/>
      </c>
      <c r="AD114" s="580" t="str">
        <f t="shared" si="168"/>
        <v/>
      </c>
      <c r="AE114" s="572" t="str">
        <f t="shared" si="169"/>
        <v/>
      </c>
      <c r="AF114" s="576" t="str">
        <f t="shared" si="170"/>
        <v/>
      </c>
      <c r="AG114" s="545" t="str">
        <f t="shared" si="171"/>
        <v/>
      </c>
      <c r="AH114" s="546" t="str">
        <f t="shared" si="172"/>
        <v/>
      </c>
      <c r="AI114" s="528" t="str">
        <f t="shared" si="173"/>
        <v/>
      </c>
      <c r="AJ114" s="529" t="str">
        <f t="shared" si="174"/>
        <v/>
      </c>
      <c r="AK114" s="578" t="str">
        <f t="shared" si="175"/>
        <v/>
      </c>
      <c r="AL114" s="572" t="str">
        <f t="shared" si="176"/>
        <v/>
      </c>
      <c r="AM114" s="577" t="str">
        <f t="shared" si="177"/>
        <v/>
      </c>
      <c r="AN114" s="524" t="str">
        <f t="shared" si="151"/>
        <v/>
      </c>
      <c r="AO114" s="525" t="str">
        <f>IF(M114="","",IF(K114="Knuckle",0,DEGREES(ACOS(AK114))))</f>
        <v/>
      </c>
      <c r="AP114" s="528" t="str">
        <f t="shared" si="178"/>
        <v/>
      </c>
      <c r="AQ114" s="529" t="str">
        <f t="shared" si="129"/>
        <v/>
      </c>
      <c r="AS114" s="598" t="str">
        <f t="shared" si="179"/>
        <v/>
      </c>
      <c r="AT114" s="602" t="str">
        <f t="shared" si="130"/>
        <v/>
      </c>
      <c r="AU114" s="515" t="str">
        <f t="shared" si="87"/>
        <v/>
      </c>
      <c r="AV114" s="164" t="str">
        <f t="shared" si="180"/>
        <v/>
      </c>
      <c r="AW114" s="545" t="str">
        <f>IF($M114="","",W114-INDEX(Assy.Model!$W$9:$W$150,MATCH('SN#.Run#'!$M114,Assy.Model!$M$9:$M$150,0)))</f>
        <v/>
      </c>
      <c r="AX114" s="628" t="str">
        <f>IF($M114="","",X114-INDEX(Assy.Model!$X$9:$X$150,MATCH('SN#.Run#'!$M114,Assy.Model!$M$9:$M$150,0)))</f>
        <v/>
      </c>
      <c r="AY114" s="629" t="str">
        <f>IF($M114="","",Y114-INDEX(Assy.Model!$Y$9:$Y$150,MATCH('SN#.Run#'!$M114,Assy.Model!$M$9:$M$150,0)))</f>
        <v/>
      </c>
      <c r="AZ114" s="60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10" t="str">
        <f>IF($M114="","",AN114-INDEX(Assy.Model!$AN$9:$AN$150,MATCH('SN#.Run#'!$M114,Assy.Model!$M$9:$M$150,0)))</f>
        <v/>
      </c>
      <c r="BB114" s="525" t="str">
        <f>IF($M114="","",AO114-INDEX(Assy.Model!$AO$9:$AO$150,MATCH('SN#.Run#'!$M114,Assy.Model!$M$9:$M$150,0)))</f>
        <v/>
      </c>
      <c r="BC114" s="619" t="str">
        <f>IF($M114="","",AP114-INDEX(Assy.Model!$AP$9:$AP$150,MATCH('SN#.Run#'!$M114,Assy.Model!$M$9:$M$150,0)))</f>
        <v/>
      </c>
      <c r="BD114" s="419"/>
      <c r="BE114" s="699"/>
      <c r="BF114" s="417"/>
      <c r="BG114" s="417"/>
      <c r="BH114" s="417"/>
      <c r="IE114" s="790" t="str">
        <f>IFERROR(IF($IU114="","",IF($IU114&lt;(((Settings!$C$19/2)*-1)*$IE$8),"Taper","Nose")),"")</f>
        <v/>
      </c>
      <c r="IF114" s="482" t="str">
        <f>IFERROR(IF((((($IW114*COS(RADIANS(180-$IY114)))*COS(RADIANS($IY114)))-(($IX114*SIN(RADIANS(180-$IY114)))*SIN(RADIANS($IY114))))+$IU114)&lt;(((Settings!$C$19+$IF$8)/2)*-1),"Gage",""),"")</f>
        <v/>
      </c>
      <c r="IG114" s="788" t="str">
        <f t="shared" si="132"/>
        <v/>
      </c>
      <c r="IH114" s="674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677" t="str" cm="1">
        <f t="array" ref="II114">IFERROR(IF($IH114&lt;1,$IH114+LARGE((IF($M$9:$M$150="",0,$M$9:$M$150)-MOD(IF($M$9:$M$150="",0,$M$9:$M$150),1)),1),$IH114),"")</f>
        <v/>
      </c>
      <c r="IJ114" s="482" t="str">
        <f t="shared" si="131"/>
        <v/>
      </c>
      <c r="IK114" s="482" t="str">
        <f t="shared" si="117"/>
        <v/>
      </c>
      <c r="IL114" s="670" t="str">
        <f t="shared" si="134"/>
        <v/>
      </c>
      <c r="IM114" s="702"/>
      <c r="IN114" s="5" t="str">
        <f t="shared" si="135"/>
        <v/>
      </c>
      <c r="IO114" s="714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670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05" t="str">
        <f t="shared" si="143"/>
        <v/>
      </c>
    </row>
    <row r="115" spans="1:259" ht="15" customHeight="1" x14ac:dyDescent="0.25">
      <c r="A115" s="82"/>
      <c r="B115" s="578" t="str">
        <f t="shared" si="144"/>
        <v/>
      </c>
      <c r="C115" s="572" t="str">
        <f t="shared" si="145"/>
        <v/>
      </c>
      <c r="D115" s="576" t="str">
        <f t="shared" si="146"/>
        <v/>
      </c>
      <c r="E115" s="580" t="str">
        <f t="shared" si="147"/>
        <v/>
      </c>
      <c r="F115" s="572" t="str">
        <f t="shared" si="148"/>
        <v/>
      </c>
      <c r="G115" s="579" t="str">
        <f t="shared" si="149"/>
        <v/>
      </c>
      <c r="H115" s="580" t="str">
        <f t="shared" si="128"/>
        <v/>
      </c>
      <c r="I115" s="482"/>
      <c r="J115" s="483" t="str">
        <v/>
      </c>
      <c r="K115" s="806" t="str">
        <f t="shared" si="133"/>
        <v/>
      </c>
      <c r="M115" s="164" t="str">
        <f t="shared" si="152"/>
        <v/>
      </c>
      <c r="N115" s="575" t="str">
        <f t="shared" si="153"/>
        <v/>
      </c>
      <c r="O115" s="572" t="str">
        <f t="shared" si="154"/>
        <v/>
      </c>
      <c r="P115" s="576" t="str">
        <f t="shared" si="155"/>
        <v/>
      </c>
      <c r="Q115" s="528" t="str">
        <f t="shared" si="156"/>
        <v/>
      </c>
      <c r="R115" s="572" t="str">
        <f t="shared" si="157"/>
        <v/>
      </c>
      <c r="S115" s="577" t="str">
        <f t="shared" si="158"/>
        <v/>
      </c>
      <c r="T115" s="578" t="str">
        <f t="shared" si="159"/>
        <v/>
      </c>
      <c r="U115" s="572" t="str">
        <f t="shared" si="160"/>
        <v/>
      </c>
      <c r="V115" s="579" t="str">
        <f t="shared" si="161"/>
        <v/>
      </c>
      <c r="W115" s="528" t="str">
        <f t="shared" si="162"/>
        <v/>
      </c>
      <c r="X115" s="572" t="str">
        <f t="shared" si="163"/>
        <v/>
      </c>
      <c r="Y115" s="573" t="str">
        <f t="shared" si="150"/>
        <v/>
      </c>
      <c r="Z115" s="575" t="str">
        <f t="shared" si="164"/>
        <v/>
      </c>
      <c r="AA115" s="572" t="str">
        <f t="shared" si="165"/>
        <v/>
      </c>
      <c r="AB115" s="572" t="str">
        <f t="shared" si="166"/>
        <v/>
      </c>
      <c r="AC115" s="579" t="str">
        <f t="shared" si="167"/>
        <v/>
      </c>
      <c r="AD115" s="580" t="str">
        <f t="shared" si="168"/>
        <v/>
      </c>
      <c r="AE115" s="572" t="str">
        <f t="shared" si="169"/>
        <v/>
      </c>
      <c r="AF115" s="576" t="str">
        <f t="shared" si="170"/>
        <v/>
      </c>
      <c r="AG115" s="545" t="str">
        <f t="shared" si="171"/>
        <v/>
      </c>
      <c r="AH115" s="546" t="str">
        <f t="shared" si="172"/>
        <v/>
      </c>
      <c r="AI115" s="528" t="str">
        <f t="shared" si="173"/>
        <v/>
      </c>
      <c r="AJ115" s="529" t="str">
        <f t="shared" si="174"/>
        <v/>
      </c>
      <c r="AK115" s="578" t="str">
        <f t="shared" si="175"/>
        <v/>
      </c>
      <c r="AL115" s="572" t="str">
        <f t="shared" si="176"/>
        <v/>
      </c>
      <c r="AM115" s="577" t="str">
        <f t="shared" si="177"/>
        <v/>
      </c>
      <c r="AN115" s="524" t="str">
        <f t="shared" si="151"/>
        <v/>
      </c>
      <c r="AO115" s="525" t="str">
        <f t="shared" ref="AO115:AO150" si="181">IF(M115="","",IF(K115="Knuckle",0,DEGREES(ACOS(AK115))))</f>
        <v/>
      </c>
      <c r="AP115" s="528" t="str">
        <f t="shared" si="178"/>
        <v/>
      </c>
      <c r="AQ115" s="529" t="str">
        <f t="shared" si="129"/>
        <v/>
      </c>
      <c r="AS115" s="598" t="str">
        <f t="shared" si="179"/>
        <v/>
      </c>
      <c r="AT115" s="602" t="str">
        <f t="shared" si="130"/>
        <v/>
      </c>
      <c r="AU115" s="515" t="str">
        <f t="shared" si="87"/>
        <v/>
      </c>
      <c r="AV115" s="164" t="str">
        <f t="shared" si="180"/>
        <v/>
      </c>
      <c r="AW115" s="545" t="str">
        <f>IF($M115="","",W115-INDEX(Assy.Model!$W$9:$W$150,MATCH('SN#.Run#'!$M115,Assy.Model!$M$9:$M$150,0)))</f>
        <v/>
      </c>
      <c r="AX115" s="628" t="str">
        <f>IF($M115="","",X115-INDEX(Assy.Model!$X$9:$X$150,MATCH('SN#.Run#'!$M115,Assy.Model!$M$9:$M$150,0)))</f>
        <v/>
      </c>
      <c r="AY115" s="629" t="str">
        <f>IF($M115="","",Y115-INDEX(Assy.Model!$Y$9:$Y$150,MATCH('SN#.Run#'!$M115,Assy.Model!$M$9:$M$150,0)))</f>
        <v/>
      </c>
      <c r="AZ115" s="60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10" t="str">
        <f>IF($M115="","",AN115-INDEX(Assy.Model!$AN$9:$AN$150,MATCH('SN#.Run#'!$M115,Assy.Model!$M$9:$M$150,0)))</f>
        <v/>
      </c>
      <c r="BB115" s="525" t="str">
        <f>IF($M115="","",AO115-INDEX(Assy.Model!$AO$9:$AO$150,MATCH('SN#.Run#'!$M115,Assy.Model!$M$9:$M$150,0)))</f>
        <v/>
      </c>
      <c r="BC115" s="619" t="str">
        <f>IF($M115="","",AP115-INDEX(Assy.Model!$AP$9:$AP$150,MATCH('SN#.Run#'!$M115,Assy.Model!$M$9:$M$150,0)))</f>
        <v/>
      </c>
      <c r="BD115" s="419"/>
      <c r="BE115" s="699"/>
      <c r="BF115" s="417"/>
      <c r="BG115" s="417"/>
      <c r="BH115" s="417"/>
      <c r="IE115" s="790" t="str">
        <f>IFERROR(IF($IU115="","",IF($IU115&lt;(((Settings!$C$19/2)*-1)*$IE$8),"Taper","Nose")),"")</f>
        <v/>
      </c>
      <c r="IF115" s="482" t="str">
        <f>IFERROR(IF((((($IW115*COS(RADIANS(180-$IY115)))*COS(RADIANS($IY115)))-(($IX115*SIN(RADIANS(180-$IY115)))*SIN(RADIANS($IY115))))+$IU115)&lt;(((Settings!$C$19+$IF$8)/2)*-1),"Gage",""),"")</f>
        <v/>
      </c>
      <c r="IG115" s="788" t="str">
        <f t="shared" si="132"/>
        <v/>
      </c>
      <c r="IH115" s="674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677" t="str" cm="1">
        <f t="array" ref="II115">IFERROR(IF($IH115&lt;1,$IH115+LARGE((IF($M$9:$M$150="",0,$M$9:$M$150)-MOD(IF($M$9:$M$150="",0,$M$9:$M$150),1)),1),$IH115),"")</f>
        <v/>
      </c>
      <c r="IJ115" s="482" t="str">
        <f t="shared" si="131"/>
        <v/>
      </c>
      <c r="IK115" s="482" t="str">
        <f t="shared" si="117"/>
        <v/>
      </c>
      <c r="IL115" s="670" t="str">
        <f t="shared" si="134"/>
        <v/>
      </c>
      <c r="IM115" s="702"/>
      <c r="IN115" s="5" t="str">
        <f t="shared" si="135"/>
        <v/>
      </c>
      <c r="IO115" s="714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670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05" t="str">
        <f t="shared" si="143"/>
        <v/>
      </c>
    </row>
    <row r="116" spans="1:259" ht="15" customHeight="1" x14ac:dyDescent="0.25">
      <c r="A116" s="82"/>
      <c r="B116" s="578" t="str">
        <f t="shared" si="144"/>
        <v/>
      </c>
      <c r="C116" s="572" t="str">
        <f t="shared" si="145"/>
        <v/>
      </c>
      <c r="D116" s="576" t="str">
        <f t="shared" si="146"/>
        <v/>
      </c>
      <c r="E116" s="580" t="str">
        <f t="shared" si="147"/>
        <v/>
      </c>
      <c r="F116" s="572" t="str">
        <f t="shared" si="148"/>
        <v/>
      </c>
      <c r="G116" s="579" t="str">
        <f t="shared" si="149"/>
        <v/>
      </c>
      <c r="H116" s="580" t="str">
        <f t="shared" si="128"/>
        <v/>
      </c>
      <c r="I116" s="482"/>
      <c r="J116" s="483" t="str">
        <v/>
      </c>
      <c r="K116" s="806" t="str">
        <f t="shared" si="133"/>
        <v/>
      </c>
      <c r="M116" s="164" t="str">
        <f t="shared" si="152"/>
        <v/>
      </c>
      <c r="N116" s="575" t="str">
        <f t="shared" si="153"/>
        <v/>
      </c>
      <c r="O116" s="572" t="str">
        <f t="shared" si="154"/>
        <v/>
      </c>
      <c r="P116" s="576" t="str">
        <f t="shared" si="155"/>
        <v/>
      </c>
      <c r="Q116" s="528" t="str">
        <f t="shared" si="156"/>
        <v/>
      </c>
      <c r="R116" s="572" t="str">
        <f t="shared" si="157"/>
        <v/>
      </c>
      <c r="S116" s="577" t="str">
        <f t="shared" si="158"/>
        <v/>
      </c>
      <c r="T116" s="578" t="str">
        <f t="shared" si="159"/>
        <v/>
      </c>
      <c r="U116" s="572" t="str">
        <f t="shared" si="160"/>
        <v/>
      </c>
      <c r="V116" s="579" t="str">
        <f t="shared" si="161"/>
        <v/>
      </c>
      <c r="W116" s="528" t="str">
        <f t="shared" si="162"/>
        <v/>
      </c>
      <c r="X116" s="572" t="str">
        <f t="shared" si="163"/>
        <v/>
      </c>
      <c r="Y116" s="573" t="str">
        <f t="shared" si="150"/>
        <v/>
      </c>
      <c r="Z116" s="575" t="str">
        <f t="shared" si="164"/>
        <v/>
      </c>
      <c r="AA116" s="572" t="str">
        <f t="shared" si="165"/>
        <v/>
      </c>
      <c r="AB116" s="572" t="str">
        <f t="shared" si="166"/>
        <v/>
      </c>
      <c r="AC116" s="579" t="str">
        <f t="shared" si="167"/>
        <v/>
      </c>
      <c r="AD116" s="580" t="str">
        <f t="shared" si="168"/>
        <v/>
      </c>
      <c r="AE116" s="572" t="str">
        <f t="shared" si="169"/>
        <v/>
      </c>
      <c r="AF116" s="576" t="str">
        <f t="shared" si="170"/>
        <v/>
      </c>
      <c r="AG116" s="545" t="str">
        <f t="shared" si="171"/>
        <v/>
      </c>
      <c r="AH116" s="546" t="str">
        <f t="shared" si="172"/>
        <v/>
      </c>
      <c r="AI116" s="528" t="str">
        <f t="shared" si="173"/>
        <v/>
      </c>
      <c r="AJ116" s="529" t="str">
        <f t="shared" si="174"/>
        <v/>
      </c>
      <c r="AK116" s="578" t="str">
        <f t="shared" si="175"/>
        <v/>
      </c>
      <c r="AL116" s="572" t="str">
        <f t="shared" si="176"/>
        <v/>
      </c>
      <c r="AM116" s="577" t="str">
        <f t="shared" si="177"/>
        <v/>
      </c>
      <c r="AN116" s="524" t="str">
        <f t="shared" si="151"/>
        <v/>
      </c>
      <c r="AO116" s="525" t="str">
        <f t="shared" si="181"/>
        <v/>
      </c>
      <c r="AP116" s="528" t="str">
        <f t="shared" si="178"/>
        <v/>
      </c>
      <c r="AQ116" s="529" t="str">
        <f t="shared" si="129"/>
        <v/>
      </c>
      <c r="AS116" s="598" t="str">
        <f t="shared" si="179"/>
        <v/>
      </c>
      <c r="AT116" s="602" t="str">
        <f t="shared" si="130"/>
        <v/>
      </c>
      <c r="AU116" s="515" t="str">
        <f t="shared" si="87"/>
        <v/>
      </c>
      <c r="AV116" s="164" t="str">
        <f t="shared" si="180"/>
        <v/>
      </c>
      <c r="AW116" s="545" t="str">
        <f>IF($M116="","",W116-INDEX(Assy.Model!$W$9:$W$150,MATCH('SN#.Run#'!$M116,Assy.Model!$M$9:$M$150,0)))</f>
        <v/>
      </c>
      <c r="AX116" s="628" t="str">
        <f>IF($M116="","",X116-INDEX(Assy.Model!$X$9:$X$150,MATCH('SN#.Run#'!$M116,Assy.Model!$M$9:$M$150,0)))</f>
        <v/>
      </c>
      <c r="AY116" s="629" t="str">
        <f>IF($M116="","",Y116-INDEX(Assy.Model!$Y$9:$Y$150,MATCH('SN#.Run#'!$M116,Assy.Model!$M$9:$M$150,0)))</f>
        <v/>
      </c>
      <c r="AZ116" s="60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10" t="str">
        <f>IF($M116="","",AN116-INDEX(Assy.Model!$AN$9:$AN$150,MATCH('SN#.Run#'!$M116,Assy.Model!$M$9:$M$150,0)))</f>
        <v/>
      </c>
      <c r="BB116" s="525" t="str">
        <f>IF($M116="","",AO116-INDEX(Assy.Model!$AO$9:$AO$150,MATCH('SN#.Run#'!$M116,Assy.Model!$M$9:$M$150,0)))</f>
        <v/>
      </c>
      <c r="BC116" s="619" t="str">
        <f>IF($M116="","",AP116-INDEX(Assy.Model!$AP$9:$AP$150,MATCH('SN#.Run#'!$M116,Assy.Model!$M$9:$M$150,0)))</f>
        <v/>
      </c>
      <c r="BD116" s="419"/>
      <c r="BE116" s="699"/>
      <c r="BF116" s="417"/>
      <c r="BG116" s="417"/>
      <c r="BH116" s="417"/>
      <c r="IE116" s="790" t="str">
        <f>IFERROR(IF($IU116="","",IF($IU116&lt;(((Settings!$C$19/2)*-1)*$IE$8),"Taper","Nose")),"")</f>
        <v/>
      </c>
      <c r="IF116" s="482" t="str">
        <f>IFERROR(IF((((($IW116*COS(RADIANS(180-$IY116)))*COS(RADIANS($IY116)))-(($IX116*SIN(RADIANS(180-$IY116)))*SIN(RADIANS($IY116))))+$IU116)&lt;(((Settings!$C$19+$IF$8)/2)*-1),"Gage",""),"")</f>
        <v/>
      </c>
      <c r="IG116" s="788" t="str">
        <f t="shared" si="132"/>
        <v/>
      </c>
      <c r="IH116" s="674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677" t="str" cm="1">
        <f t="array" ref="II116">IFERROR(IF($IH116&lt;1,$IH116+LARGE((IF($M$9:$M$150="",0,$M$9:$M$150)-MOD(IF($M$9:$M$150="",0,$M$9:$M$150),1)),1),$IH116),"")</f>
        <v/>
      </c>
      <c r="IJ116" s="482" t="str">
        <f t="shared" si="131"/>
        <v/>
      </c>
      <c r="IK116" s="482" t="str">
        <f t="shared" si="117"/>
        <v/>
      </c>
      <c r="IL116" s="670" t="str">
        <f t="shared" si="134"/>
        <v/>
      </c>
      <c r="IM116" s="702"/>
      <c r="IN116" s="5" t="str">
        <f t="shared" si="135"/>
        <v/>
      </c>
      <c r="IO116" s="714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670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05" t="str">
        <f t="shared" si="143"/>
        <v/>
      </c>
    </row>
    <row r="117" spans="1:259" ht="15" customHeight="1" x14ac:dyDescent="0.25">
      <c r="A117" s="82"/>
      <c r="B117" s="578" t="str">
        <f t="shared" si="144"/>
        <v/>
      </c>
      <c r="C117" s="572" t="str">
        <f t="shared" si="145"/>
        <v/>
      </c>
      <c r="D117" s="576" t="str">
        <f t="shared" si="146"/>
        <v/>
      </c>
      <c r="E117" s="580" t="str">
        <f t="shared" si="147"/>
        <v/>
      </c>
      <c r="F117" s="572" t="str">
        <f t="shared" si="148"/>
        <v/>
      </c>
      <c r="G117" s="579" t="str">
        <f t="shared" si="149"/>
        <v/>
      </c>
      <c r="H117" s="580" t="str">
        <f t="shared" si="128"/>
        <v/>
      </c>
      <c r="I117" s="482"/>
      <c r="J117" s="483" t="str">
        <v/>
      </c>
      <c r="K117" s="806" t="str">
        <f t="shared" si="133"/>
        <v/>
      </c>
      <c r="M117" s="164" t="str">
        <f t="shared" si="152"/>
        <v/>
      </c>
      <c r="N117" s="575" t="str">
        <f t="shared" si="153"/>
        <v/>
      </c>
      <c r="O117" s="572" t="str">
        <f t="shared" si="154"/>
        <v/>
      </c>
      <c r="P117" s="576" t="str">
        <f t="shared" si="155"/>
        <v/>
      </c>
      <c r="Q117" s="528" t="str">
        <f t="shared" si="156"/>
        <v/>
      </c>
      <c r="R117" s="572" t="str">
        <f t="shared" si="157"/>
        <v/>
      </c>
      <c r="S117" s="577" t="str">
        <f t="shared" si="158"/>
        <v/>
      </c>
      <c r="T117" s="578" t="str">
        <f t="shared" si="159"/>
        <v/>
      </c>
      <c r="U117" s="572" t="str">
        <f t="shared" si="160"/>
        <v/>
      </c>
      <c r="V117" s="579" t="str">
        <f t="shared" si="161"/>
        <v/>
      </c>
      <c r="W117" s="528" t="str">
        <f t="shared" si="162"/>
        <v/>
      </c>
      <c r="X117" s="572" t="str">
        <f t="shared" si="163"/>
        <v/>
      </c>
      <c r="Y117" s="573" t="str">
        <f t="shared" si="150"/>
        <v/>
      </c>
      <c r="Z117" s="575" t="str">
        <f t="shared" si="164"/>
        <v/>
      </c>
      <c r="AA117" s="572" t="str">
        <f t="shared" si="165"/>
        <v/>
      </c>
      <c r="AB117" s="572" t="str">
        <f t="shared" si="166"/>
        <v/>
      </c>
      <c r="AC117" s="579" t="str">
        <f t="shared" si="167"/>
        <v/>
      </c>
      <c r="AD117" s="580" t="str">
        <f t="shared" si="168"/>
        <v/>
      </c>
      <c r="AE117" s="572" t="str">
        <f t="shared" si="169"/>
        <v/>
      </c>
      <c r="AF117" s="576" t="str">
        <f t="shared" si="170"/>
        <v/>
      </c>
      <c r="AG117" s="545" t="str">
        <f t="shared" si="171"/>
        <v/>
      </c>
      <c r="AH117" s="546" t="str">
        <f t="shared" si="172"/>
        <v/>
      </c>
      <c r="AI117" s="528" t="str">
        <f t="shared" si="173"/>
        <v/>
      </c>
      <c r="AJ117" s="529" t="str">
        <f t="shared" si="174"/>
        <v/>
      </c>
      <c r="AK117" s="578" t="str">
        <f t="shared" si="175"/>
        <v/>
      </c>
      <c r="AL117" s="572" t="str">
        <f t="shared" si="176"/>
        <v/>
      </c>
      <c r="AM117" s="577" t="str">
        <f t="shared" si="177"/>
        <v/>
      </c>
      <c r="AN117" s="524" t="str">
        <f t="shared" si="151"/>
        <v/>
      </c>
      <c r="AO117" s="525" t="str">
        <f t="shared" si="181"/>
        <v/>
      </c>
      <c r="AP117" s="528" t="str">
        <f t="shared" si="178"/>
        <v/>
      </c>
      <c r="AQ117" s="529" t="str">
        <f t="shared" si="129"/>
        <v/>
      </c>
      <c r="AS117" s="598" t="str">
        <f t="shared" si="179"/>
        <v/>
      </c>
      <c r="AT117" s="602" t="str">
        <f t="shared" si="130"/>
        <v/>
      </c>
      <c r="AU117" s="515" t="str">
        <f t="shared" si="87"/>
        <v/>
      </c>
      <c r="AV117" s="164" t="str">
        <f t="shared" si="180"/>
        <v/>
      </c>
      <c r="AW117" s="545" t="str">
        <f>IF($M117="","",W117-INDEX(Assy.Model!$W$9:$W$150,MATCH('SN#.Run#'!$M117,Assy.Model!$M$9:$M$150,0)))</f>
        <v/>
      </c>
      <c r="AX117" s="628" t="str">
        <f>IF($M117="","",X117-INDEX(Assy.Model!$X$9:$X$150,MATCH('SN#.Run#'!$M117,Assy.Model!$M$9:$M$150,0)))</f>
        <v/>
      </c>
      <c r="AY117" s="629" t="str">
        <f>IF($M117="","",Y117-INDEX(Assy.Model!$Y$9:$Y$150,MATCH('SN#.Run#'!$M117,Assy.Model!$M$9:$M$150,0)))</f>
        <v/>
      </c>
      <c r="AZ117" s="60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10" t="str">
        <f>IF($M117="","",AN117-INDEX(Assy.Model!$AN$9:$AN$150,MATCH('SN#.Run#'!$M117,Assy.Model!$M$9:$M$150,0)))</f>
        <v/>
      </c>
      <c r="BB117" s="525" t="str">
        <f>IF($M117="","",AO117-INDEX(Assy.Model!$AO$9:$AO$150,MATCH('SN#.Run#'!$M117,Assy.Model!$M$9:$M$150,0)))</f>
        <v/>
      </c>
      <c r="BC117" s="619" t="str">
        <f>IF($M117="","",AP117-INDEX(Assy.Model!$AP$9:$AP$150,MATCH('SN#.Run#'!$M117,Assy.Model!$M$9:$M$150,0)))</f>
        <v/>
      </c>
      <c r="BD117" s="419"/>
      <c r="BE117" s="699"/>
      <c r="BF117" s="417"/>
      <c r="BG117" s="417"/>
      <c r="BH117" s="417"/>
      <c r="IE117" s="790" t="str">
        <f>IFERROR(IF($IU117="","",IF($IU117&lt;(((Settings!$C$19/2)*-1)*$IE$8),"Taper","Nose")),"")</f>
        <v/>
      </c>
      <c r="IF117" s="482" t="str">
        <f>IFERROR(IF((((($IW117*COS(RADIANS(180-$IY117)))*COS(RADIANS($IY117)))-(($IX117*SIN(RADIANS(180-$IY117)))*SIN(RADIANS($IY117))))+$IU117)&lt;(((Settings!$C$19+$IF$8)/2)*-1),"Gage",""),"")</f>
        <v/>
      </c>
      <c r="IG117" s="788" t="str">
        <f t="shared" si="132"/>
        <v/>
      </c>
      <c r="IH117" s="674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677" t="str" cm="1">
        <f t="array" ref="II117">IFERROR(IF($IH117&lt;1,$IH117+LARGE((IF($M$9:$M$150="",0,$M$9:$M$150)-MOD(IF($M$9:$M$150="",0,$M$9:$M$150),1)),1),$IH117),"")</f>
        <v/>
      </c>
      <c r="IJ117" s="482" t="str">
        <f t="shared" si="131"/>
        <v/>
      </c>
      <c r="IK117" s="482" t="str">
        <f t="shared" si="117"/>
        <v/>
      </c>
      <c r="IL117" s="670" t="str">
        <f t="shared" si="134"/>
        <v/>
      </c>
      <c r="IM117" s="702"/>
      <c r="IN117" s="5" t="str">
        <f t="shared" si="135"/>
        <v/>
      </c>
      <c r="IO117" s="714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670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05" t="str">
        <f t="shared" si="143"/>
        <v/>
      </c>
    </row>
    <row r="118" spans="1:259" ht="15" customHeight="1" x14ac:dyDescent="0.25">
      <c r="A118" s="82"/>
      <c r="B118" s="578" t="str">
        <f t="shared" si="144"/>
        <v/>
      </c>
      <c r="C118" s="572" t="str">
        <f t="shared" si="145"/>
        <v/>
      </c>
      <c r="D118" s="576" t="str">
        <f t="shared" si="146"/>
        <v/>
      </c>
      <c r="E118" s="580" t="str">
        <f t="shared" si="147"/>
        <v/>
      </c>
      <c r="F118" s="572" t="str">
        <f t="shared" si="148"/>
        <v/>
      </c>
      <c r="G118" s="579" t="str">
        <f t="shared" si="149"/>
        <v/>
      </c>
      <c r="H118" s="580" t="str">
        <f t="shared" si="128"/>
        <v/>
      </c>
      <c r="I118" s="482"/>
      <c r="J118" s="483" t="str">
        <v/>
      </c>
      <c r="K118" s="806" t="str">
        <f t="shared" si="133"/>
        <v/>
      </c>
      <c r="M118" s="164" t="str">
        <f t="shared" si="152"/>
        <v/>
      </c>
      <c r="N118" s="575" t="str">
        <f t="shared" si="153"/>
        <v/>
      </c>
      <c r="O118" s="572" t="str">
        <f t="shared" si="154"/>
        <v/>
      </c>
      <c r="P118" s="576" t="str">
        <f t="shared" si="155"/>
        <v/>
      </c>
      <c r="Q118" s="528" t="str">
        <f t="shared" si="156"/>
        <v/>
      </c>
      <c r="R118" s="572" t="str">
        <f t="shared" si="157"/>
        <v/>
      </c>
      <c r="S118" s="577" t="str">
        <f t="shared" si="158"/>
        <v/>
      </c>
      <c r="T118" s="578" t="str">
        <f t="shared" si="159"/>
        <v/>
      </c>
      <c r="U118" s="572" t="str">
        <f t="shared" si="160"/>
        <v/>
      </c>
      <c r="V118" s="579" t="str">
        <f t="shared" si="161"/>
        <v/>
      </c>
      <c r="W118" s="528" t="str">
        <f t="shared" si="162"/>
        <v/>
      </c>
      <c r="X118" s="572" t="str">
        <f t="shared" si="163"/>
        <v/>
      </c>
      <c r="Y118" s="573" t="str">
        <f t="shared" si="150"/>
        <v/>
      </c>
      <c r="Z118" s="575" t="str">
        <f t="shared" si="164"/>
        <v/>
      </c>
      <c r="AA118" s="572" t="str">
        <f t="shared" si="165"/>
        <v/>
      </c>
      <c r="AB118" s="572" t="str">
        <f t="shared" si="166"/>
        <v/>
      </c>
      <c r="AC118" s="579" t="str">
        <f t="shared" si="167"/>
        <v/>
      </c>
      <c r="AD118" s="580" t="str">
        <f t="shared" si="168"/>
        <v/>
      </c>
      <c r="AE118" s="572" t="str">
        <f t="shared" si="169"/>
        <v/>
      </c>
      <c r="AF118" s="576" t="str">
        <f t="shared" si="170"/>
        <v/>
      </c>
      <c r="AG118" s="545" t="str">
        <f t="shared" si="171"/>
        <v/>
      </c>
      <c r="AH118" s="546" t="str">
        <f t="shared" si="172"/>
        <v/>
      </c>
      <c r="AI118" s="528" t="str">
        <f t="shared" si="173"/>
        <v/>
      </c>
      <c r="AJ118" s="529" t="str">
        <f t="shared" si="174"/>
        <v/>
      </c>
      <c r="AK118" s="578" t="str">
        <f t="shared" si="175"/>
        <v/>
      </c>
      <c r="AL118" s="572" t="str">
        <f t="shared" si="176"/>
        <v/>
      </c>
      <c r="AM118" s="577" t="str">
        <f t="shared" si="177"/>
        <v/>
      </c>
      <c r="AN118" s="524" t="str">
        <f t="shared" si="151"/>
        <v/>
      </c>
      <c r="AO118" s="525" t="str">
        <f t="shared" si="181"/>
        <v/>
      </c>
      <c r="AP118" s="528" t="str">
        <f t="shared" si="178"/>
        <v/>
      </c>
      <c r="AQ118" s="529" t="str">
        <f t="shared" si="129"/>
        <v/>
      </c>
      <c r="AS118" s="598" t="str">
        <f t="shared" si="179"/>
        <v/>
      </c>
      <c r="AT118" s="602" t="str">
        <f t="shared" si="130"/>
        <v/>
      </c>
      <c r="AU118" s="515" t="str">
        <f>IFERROR(ROUNDDOWN(AV118,1),"")</f>
        <v/>
      </c>
      <c r="AV118" s="164" t="str">
        <f t="shared" si="180"/>
        <v/>
      </c>
      <c r="AW118" s="545" t="str">
        <f>IF($M118="","",W118-INDEX(Assy.Model!$W$9:$W$150,MATCH('SN#.Run#'!$M118,Assy.Model!$M$9:$M$150,0)))</f>
        <v/>
      </c>
      <c r="AX118" s="628" t="str">
        <f>IF($M118="","",X118-INDEX(Assy.Model!$X$9:$X$150,MATCH('SN#.Run#'!$M118,Assy.Model!$M$9:$M$150,0)))</f>
        <v/>
      </c>
      <c r="AY118" s="629" t="str">
        <f>IF($M118="","",Y118-INDEX(Assy.Model!$Y$9:$Y$150,MATCH('SN#.Run#'!$M118,Assy.Model!$M$9:$M$150,0)))</f>
        <v/>
      </c>
      <c r="AZ118" s="60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10" t="str">
        <f>IF($M118="","",AN118-INDEX(Assy.Model!$AN$9:$AN$150,MATCH('SN#.Run#'!$M118,Assy.Model!$M$9:$M$150,0)))</f>
        <v/>
      </c>
      <c r="BB118" s="525" t="str">
        <f>IF($M118="","",AO118-INDEX(Assy.Model!$AO$9:$AO$150,MATCH('SN#.Run#'!$M118,Assy.Model!$M$9:$M$150,0)))</f>
        <v/>
      </c>
      <c r="BC118" s="619" t="str">
        <f>IF($M118="","",AP118-INDEX(Assy.Model!$AP$9:$AP$150,MATCH('SN#.Run#'!$M118,Assy.Model!$M$9:$M$150,0)))</f>
        <v/>
      </c>
      <c r="BD118" s="419"/>
      <c r="BE118" s="699"/>
      <c r="BF118" s="417"/>
      <c r="BG118" s="417"/>
      <c r="BH118" s="417"/>
      <c r="IE118" s="790" t="str">
        <f>IFERROR(IF($IU118="","",IF($IU118&lt;(((Settings!$C$19/2)*-1)*$IE$8),"Taper","Nose")),"")</f>
        <v/>
      </c>
      <c r="IF118" s="482" t="str">
        <f>IFERROR(IF((((($IW118*COS(RADIANS(180-$IY118)))*COS(RADIANS($IY118)))-(($IX118*SIN(RADIANS(180-$IY118)))*SIN(RADIANS($IY118))))+$IU118)&lt;(((Settings!$C$19+$IF$8)/2)*-1),"Gage",""),"")</f>
        <v/>
      </c>
      <c r="IG118" s="788" t="str">
        <f t="shared" si="132"/>
        <v/>
      </c>
      <c r="IH118" s="674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677" t="str" cm="1">
        <f t="array" ref="II118">IFERROR(IF($IH118&lt;1,$IH118+LARGE((IF($M$9:$M$150="",0,$M$9:$M$150)-MOD(IF($M$9:$M$150="",0,$M$9:$M$150),1)),1),$IH118),"")</f>
        <v/>
      </c>
      <c r="IJ118" s="482" t="str">
        <f t="shared" si="131"/>
        <v/>
      </c>
      <c r="IK118" s="482" t="str">
        <f t="shared" si="117"/>
        <v/>
      </c>
      <c r="IL118" s="670" t="str">
        <f t="shared" si="134"/>
        <v/>
      </c>
      <c r="IM118" s="702"/>
      <c r="IN118" s="5" t="str">
        <f t="shared" si="135"/>
        <v/>
      </c>
      <c r="IO118" s="714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670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05" t="str">
        <f t="shared" si="143"/>
        <v/>
      </c>
    </row>
    <row r="119" spans="1:259" ht="15" customHeight="1" x14ac:dyDescent="0.25">
      <c r="A119" s="82"/>
      <c r="B119" s="578" t="str">
        <f t="shared" si="144"/>
        <v/>
      </c>
      <c r="C119" s="572" t="str">
        <f t="shared" si="145"/>
        <v/>
      </c>
      <c r="D119" s="576" t="str">
        <f t="shared" si="146"/>
        <v/>
      </c>
      <c r="E119" s="580" t="str">
        <f t="shared" si="147"/>
        <v/>
      </c>
      <c r="F119" s="572" t="str">
        <f t="shared" si="148"/>
        <v/>
      </c>
      <c r="G119" s="579" t="str">
        <f t="shared" si="149"/>
        <v/>
      </c>
      <c r="H119" s="580" t="str">
        <f t="shared" si="128"/>
        <v/>
      </c>
      <c r="I119" s="482"/>
      <c r="J119" s="483" t="str">
        <v/>
      </c>
      <c r="K119" s="806" t="str">
        <f t="shared" si="133"/>
        <v/>
      </c>
      <c r="M119" s="164" t="str">
        <f t="shared" si="152"/>
        <v/>
      </c>
      <c r="N119" s="575" t="str">
        <f t="shared" si="153"/>
        <v/>
      </c>
      <c r="O119" s="572" t="str">
        <f t="shared" si="154"/>
        <v/>
      </c>
      <c r="P119" s="576" t="str">
        <f t="shared" si="155"/>
        <v/>
      </c>
      <c r="Q119" s="528" t="str">
        <f t="shared" si="156"/>
        <v/>
      </c>
      <c r="R119" s="572" t="str">
        <f t="shared" si="157"/>
        <v/>
      </c>
      <c r="S119" s="577" t="str">
        <f t="shared" si="158"/>
        <v/>
      </c>
      <c r="T119" s="578" t="str">
        <f t="shared" si="159"/>
        <v/>
      </c>
      <c r="U119" s="572" t="str">
        <f t="shared" si="160"/>
        <v/>
      </c>
      <c r="V119" s="579" t="str">
        <f t="shared" si="161"/>
        <v/>
      </c>
      <c r="W119" s="528" t="str">
        <f t="shared" si="162"/>
        <v/>
      </c>
      <c r="X119" s="572" t="str">
        <f t="shared" si="163"/>
        <v/>
      </c>
      <c r="Y119" s="573" t="str">
        <f t="shared" si="150"/>
        <v/>
      </c>
      <c r="Z119" s="575" t="str">
        <f t="shared" si="164"/>
        <v/>
      </c>
      <c r="AA119" s="572" t="str">
        <f t="shared" si="165"/>
        <v/>
      </c>
      <c r="AB119" s="572" t="str">
        <f t="shared" si="166"/>
        <v/>
      </c>
      <c r="AC119" s="579" t="str">
        <f t="shared" si="167"/>
        <v/>
      </c>
      <c r="AD119" s="580" t="str">
        <f t="shared" si="168"/>
        <v/>
      </c>
      <c r="AE119" s="572" t="str">
        <f t="shared" si="169"/>
        <v/>
      </c>
      <c r="AF119" s="576" t="str">
        <f t="shared" si="170"/>
        <v/>
      </c>
      <c r="AG119" s="545" t="str">
        <f t="shared" si="171"/>
        <v/>
      </c>
      <c r="AH119" s="546" t="str">
        <f t="shared" si="172"/>
        <v/>
      </c>
      <c r="AI119" s="528" t="str">
        <f t="shared" si="173"/>
        <v/>
      </c>
      <c r="AJ119" s="529" t="str">
        <f t="shared" si="174"/>
        <v/>
      </c>
      <c r="AK119" s="578" t="str">
        <f t="shared" si="175"/>
        <v/>
      </c>
      <c r="AL119" s="572" t="str">
        <f t="shared" si="176"/>
        <v/>
      </c>
      <c r="AM119" s="577" t="str">
        <f t="shared" si="177"/>
        <v/>
      </c>
      <c r="AN119" s="524" t="str">
        <f t="shared" si="151"/>
        <v/>
      </c>
      <c r="AO119" s="525" t="str">
        <f t="shared" si="181"/>
        <v/>
      </c>
      <c r="AP119" s="528" t="str">
        <f t="shared" si="178"/>
        <v/>
      </c>
      <c r="AQ119" s="529" t="str">
        <f t="shared" si="129"/>
        <v/>
      </c>
      <c r="AS119" s="598" t="str">
        <f t="shared" si="179"/>
        <v/>
      </c>
      <c r="AT119" s="602" t="str">
        <f t="shared" si="130"/>
        <v/>
      </c>
      <c r="AU119" s="515" t="str">
        <f>IFERROR(ROUNDDOWN(AV119,1),"")</f>
        <v/>
      </c>
      <c r="AV119" s="164" t="str">
        <f t="shared" si="180"/>
        <v/>
      </c>
      <c r="AW119" s="545" t="str">
        <f>IF($M119="","",W119-INDEX(Assy.Model!$W$9:$W$150,MATCH('SN#.Run#'!$M119,Assy.Model!$M$9:$M$150,0)))</f>
        <v/>
      </c>
      <c r="AX119" s="628" t="str">
        <f>IF($M119="","",X119-INDEX(Assy.Model!$X$9:$X$150,MATCH('SN#.Run#'!$M119,Assy.Model!$M$9:$M$150,0)))</f>
        <v/>
      </c>
      <c r="AY119" s="629" t="str">
        <f>IF($M119="","",Y119-INDEX(Assy.Model!$Y$9:$Y$150,MATCH('SN#.Run#'!$M119,Assy.Model!$M$9:$M$150,0)))</f>
        <v/>
      </c>
      <c r="AZ119" s="60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10" t="str">
        <f>IF($M119="","",AN119-INDEX(Assy.Model!$AN$9:$AN$150,MATCH('SN#.Run#'!$M119,Assy.Model!$M$9:$M$150,0)))</f>
        <v/>
      </c>
      <c r="BB119" s="525" t="str">
        <f>IF($M119="","",AO119-INDEX(Assy.Model!$AO$9:$AO$150,MATCH('SN#.Run#'!$M119,Assy.Model!$M$9:$M$150,0)))</f>
        <v/>
      </c>
      <c r="BC119" s="619" t="str">
        <f>IF($M119="","",AP119-INDEX(Assy.Model!$AP$9:$AP$150,MATCH('SN#.Run#'!$M119,Assy.Model!$M$9:$M$150,0)))</f>
        <v/>
      </c>
      <c r="BD119" s="419"/>
      <c r="BE119" s="699"/>
      <c r="BF119" s="417"/>
      <c r="BG119" s="417"/>
      <c r="BH119" s="417"/>
      <c r="IE119" s="790" t="str">
        <f>IFERROR(IF($IU119="","",IF($IU119&lt;(((Settings!$C$19/2)*-1)*$IE$8),"Taper","Nose")),"")</f>
        <v/>
      </c>
      <c r="IF119" s="482" t="str">
        <f>IFERROR(IF((((($IW119*COS(RADIANS(180-$IY119)))*COS(RADIANS($IY119)))-(($IX119*SIN(RADIANS(180-$IY119)))*SIN(RADIANS($IY119))))+$IU119)&lt;(((Settings!$C$19+$IF$8)/2)*-1),"Gage",""),"")</f>
        <v/>
      </c>
      <c r="IG119" s="788" t="str">
        <f t="shared" si="132"/>
        <v/>
      </c>
      <c r="IH119" s="674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677" t="str" cm="1">
        <f t="array" ref="II119">IFERROR(IF($IH119&lt;1,$IH119+LARGE((IF($M$9:$M$150="",0,$M$9:$M$150)-MOD(IF($M$9:$M$150="",0,$M$9:$M$150),1)),1),$IH119),"")</f>
        <v/>
      </c>
      <c r="IJ119" s="482" t="str">
        <f t="shared" si="131"/>
        <v/>
      </c>
      <c r="IK119" s="482" t="str">
        <f t="shared" si="117"/>
        <v/>
      </c>
      <c r="IL119" s="670" t="str">
        <f t="shared" si="134"/>
        <v/>
      </c>
      <c r="IM119" s="702"/>
      <c r="IN119" s="5" t="str">
        <f t="shared" si="135"/>
        <v/>
      </c>
      <c r="IO119" s="714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670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05" t="str">
        <f t="shared" si="143"/>
        <v/>
      </c>
    </row>
    <row r="120" spans="1:259" ht="15" customHeight="1" x14ac:dyDescent="0.25">
      <c r="A120" s="82"/>
      <c r="B120" s="578" t="str">
        <f t="shared" si="144"/>
        <v/>
      </c>
      <c r="C120" s="572" t="str">
        <f t="shared" si="145"/>
        <v/>
      </c>
      <c r="D120" s="576" t="str">
        <f t="shared" si="146"/>
        <v/>
      </c>
      <c r="E120" s="580" t="str">
        <f t="shared" si="147"/>
        <v/>
      </c>
      <c r="F120" s="572" t="str">
        <f t="shared" si="148"/>
        <v/>
      </c>
      <c r="G120" s="579" t="str">
        <f t="shared" si="149"/>
        <v/>
      </c>
      <c r="H120" s="580" t="str">
        <f t="shared" si="128"/>
        <v/>
      </c>
      <c r="I120" s="482"/>
      <c r="J120" s="483" t="str">
        <v/>
      </c>
      <c r="K120" s="806" t="str">
        <f t="shared" si="133"/>
        <v/>
      </c>
      <c r="M120" s="164" t="str">
        <f t="shared" si="152"/>
        <v/>
      </c>
      <c r="N120" s="575" t="str">
        <f t="shared" si="153"/>
        <v/>
      </c>
      <c r="O120" s="572" t="str">
        <f t="shared" si="154"/>
        <v/>
      </c>
      <c r="P120" s="576" t="str">
        <f t="shared" si="155"/>
        <v/>
      </c>
      <c r="Q120" s="528" t="str">
        <f t="shared" si="156"/>
        <v/>
      </c>
      <c r="R120" s="572" t="str">
        <f t="shared" si="157"/>
        <v/>
      </c>
      <c r="S120" s="577" t="str">
        <f t="shared" si="158"/>
        <v/>
      </c>
      <c r="T120" s="578" t="str">
        <f t="shared" si="159"/>
        <v/>
      </c>
      <c r="U120" s="572" t="str">
        <f t="shared" si="160"/>
        <v/>
      </c>
      <c r="V120" s="579" t="str">
        <f t="shared" si="161"/>
        <v/>
      </c>
      <c r="W120" s="528" t="str">
        <f t="shared" si="162"/>
        <v/>
      </c>
      <c r="X120" s="572" t="str">
        <f t="shared" si="163"/>
        <v/>
      </c>
      <c r="Y120" s="573" t="str">
        <f t="shared" si="150"/>
        <v/>
      </c>
      <c r="Z120" s="575" t="str">
        <f t="shared" si="164"/>
        <v/>
      </c>
      <c r="AA120" s="572" t="str">
        <f t="shared" si="165"/>
        <v/>
      </c>
      <c r="AB120" s="572" t="str">
        <f t="shared" si="166"/>
        <v/>
      </c>
      <c r="AC120" s="579" t="str">
        <f t="shared" si="167"/>
        <v/>
      </c>
      <c r="AD120" s="580" t="str">
        <f t="shared" si="168"/>
        <v/>
      </c>
      <c r="AE120" s="572" t="str">
        <f t="shared" si="169"/>
        <v/>
      </c>
      <c r="AF120" s="576" t="str">
        <f t="shared" si="170"/>
        <v/>
      </c>
      <c r="AG120" s="545" t="str">
        <f t="shared" si="171"/>
        <v/>
      </c>
      <c r="AH120" s="546" t="str">
        <f t="shared" si="172"/>
        <v/>
      </c>
      <c r="AI120" s="528" t="str">
        <f t="shared" si="173"/>
        <v/>
      </c>
      <c r="AJ120" s="529" t="str">
        <f t="shared" si="174"/>
        <v/>
      </c>
      <c r="AK120" s="578" t="str">
        <f t="shared" si="175"/>
        <v/>
      </c>
      <c r="AL120" s="572" t="str">
        <f t="shared" si="176"/>
        <v/>
      </c>
      <c r="AM120" s="577" t="str">
        <f t="shared" si="177"/>
        <v/>
      </c>
      <c r="AN120" s="524" t="str">
        <f t="shared" si="151"/>
        <v/>
      </c>
      <c r="AO120" s="525" t="str">
        <f t="shared" si="181"/>
        <v/>
      </c>
      <c r="AP120" s="528" t="str">
        <f t="shared" si="178"/>
        <v/>
      </c>
      <c r="AQ120" s="529" t="str">
        <f t="shared" si="129"/>
        <v/>
      </c>
      <c r="AS120" s="598" t="str">
        <f t="shared" si="179"/>
        <v/>
      </c>
      <c r="AT120" s="602" t="str">
        <f t="shared" si="130"/>
        <v/>
      </c>
      <c r="AU120" s="515" t="str">
        <f>IFERROR(ROUNDDOWN(AV120,1),"")</f>
        <v/>
      </c>
      <c r="AV120" s="164" t="str">
        <f t="shared" si="180"/>
        <v/>
      </c>
      <c r="AW120" s="545" t="str">
        <f>IF($M120="","",W120-INDEX(Assy.Model!$W$9:$W$150,MATCH('SN#.Run#'!$M120,Assy.Model!$M$9:$M$150,0)))</f>
        <v/>
      </c>
      <c r="AX120" s="628" t="str">
        <f>IF($M120="","",X120-INDEX(Assy.Model!$X$9:$X$150,MATCH('SN#.Run#'!$M120,Assy.Model!$M$9:$M$150,0)))</f>
        <v/>
      </c>
      <c r="AY120" s="629" t="str">
        <f>IF($M120="","",Y120-INDEX(Assy.Model!$Y$9:$Y$150,MATCH('SN#.Run#'!$M120,Assy.Model!$M$9:$M$150,0)))</f>
        <v/>
      </c>
      <c r="AZ120" s="60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10" t="str">
        <f>IF($M120="","",AN120-INDEX(Assy.Model!$AN$9:$AN$150,MATCH('SN#.Run#'!$M120,Assy.Model!$M$9:$M$150,0)))</f>
        <v/>
      </c>
      <c r="BB120" s="525" t="str">
        <f>IF($M120="","",AO120-INDEX(Assy.Model!$AO$9:$AO$150,MATCH('SN#.Run#'!$M120,Assy.Model!$M$9:$M$150,0)))</f>
        <v/>
      </c>
      <c r="BC120" s="619" t="str">
        <f>IF($M120="","",AP120-INDEX(Assy.Model!$AP$9:$AP$150,MATCH('SN#.Run#'!$M120,Assy.Model!$M$9:$M$150,0)))</f>
        <v/>
      </c>
      <c r="BD120" s="419"/>
      <c r="BE120" s="699"/>
      <c r="BF120" s="417"/>
      <c r="BG120" s="417"/>
      <c r="BH120" s="417"/>
      <c r="IE120" s="790" t="str">
        <f>IFERROR(IF($IU120="","",IF($IU120&lt;(((Settings!$C$19/2)*-1)*$IE$8),"Taper","Nose")),"")</f>
        <v/>
      </c>
      <c r="IF120" s="482" t="str">
        <f>IFERROR(IF((((($IW120*COS(RADIANS(180-$IY120)))*COS(RADIANS($IY120)))-(($IX120*SIN(RADIANS(180-$IY120)))*SIN(RADIANS($IY120))))+$IU120)&lt;(((Settings!$C$19+$IF$8)/2)*-1),"Gage",""),"")</f>
        <v/>
      </c>
      <c r="IG120" s="788" t="str">
        <f t="shared" si="132"/>
        <v/>
      </c>
      <c r="IH120" s="674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677" t="str" cm="1">
        <f t="array" ref="II120">IFERROR(IF($IH120&lt;1,$IH120+LARGE((IF($M$9:$M$150="",0,$M$9:$M$150)-MOD(IF($M$9:$M$150="",0,$M$9:$M$150),1)),1),$IH120),"")</f>
        <v/>
      </c>
      <c r="IJ120" s="482" t="str">
        <f t="shared" si="131"/>
        <v/>
      </c>
      <c r="IK120" s="482" t="str">
        <f t="shared" si="117"/>
        <v/>
      </c>
      <c r="IL120" s="670" t="str">
        <f t="shared" si="134"/>
        <v/>
      </c>
      <c r="IM120" s="702"/>
      <c r="IN120" s="5" t="str">
        <f t="shared" si="135"/>
        <v/>
      </c>
      <c r="IO120" s="714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670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05" t="str">
        <f t="shared" si="143"/>
        <v/>
      </c>
    </row>
    <row r="121" spans="1:259" ht="15" customHeight="1" x14ac:dyDescent="0.25">
      <c r="A121" s="82"/>
      <c r="B121" s="578" t="str">
        <f t="shared" si="144"/>
        <v/>
      </c>
      <c r="C121" s="572" t="str">
        <f t="shared" si="145"/>
        <v/>
      </c>
      <c r="D121" s="576" t="str">
        <f t="shared" si="146"/>
        <v/>
      </c>
      <c r="E121" s="580" t="str">
        <f t="shared" si="147"/>
        <v/>
      </c>
      <c r="F121" s="572" t="str">
        <f t="shared" si="148"/>
        <v/>
      </c>
      <c r="G121" s="579" t="str">
        <f t="shared" si="149"/>
        <v/>
      </c>
      <c r="H121" s="580" t="str">
        <f t="shared" si="128"/>
        <v/>
      </c>
      <c r="I121" s="482"/>
      <c r="J121" s="483" t="str">
        <v/>
      </c>
      <c r="K121" s="806" t="str">
        <f t="shared" si="133"/>
        <v/>
      </c>
      <c r="M121" s="164" t="str">
        <f t="shared" ref="M121:M150" si="182">IF(J121="","",J121)</f>
        <v/>
      </c>
      <c r="N121" s="575" t="str">
        <f t="shared" ref="N121:N150" si="183">IF(M121="","",B121)</f>
        <v/>
      </c>
      <c r="O121" s="572" t="str">
        <f t="shared" ref="O121:O150" si="184">IF(M121="","",C121)</f>
        <v/>
      </c>
      <c r="P121" s="576" t="str">
        <f t="shared" ref="P121:P150" si="185">IF(M121="","",D121)</f>
        <v/>
      </c>
      <c r="Q121" s="528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572" t="str">
        <f t="shared" ref="R121:R150" si="187">IF(M121="","",SQRT(N121^2+O121^2))</f>
        <v/>
      </c>
      <c r="S121" s="577" t="str">
        <f t="shared" ref="S121:S150" si="188">IF(M121="","",P121)</f>
        <v/>
      </c>
      <c r="T121" s="578" t="str">
        <f t="shared" ref="T121:T150" si="189">IF(M121="","",X121*COS(RADIANS(W121)))</f>
        <v/>
      </c>
      <c r="U121" s="572" t="str">
        <f t="shared" ref="U121:U150" si="190">IF(M121="","",X121*SIN(RADIANS(W121)))</f>
        <v/>
      </c>
      <c r="V121" s="579" t="str">
        <f t="shared" ref="V121:V150" si="191">IF(M121="","",Y121)</f>
        <v/>
      </c>
      <c r="W121" s="528" t="str">
        <f t="shared" ref="W121:W150" si="192">IF(M121="","",IF(Q121-$Q$8&lt;0,360+Q121-$Q$8,Q121-$Q$8))</f>
        <v/>
      </c>
      <c r="X121" s="572" t="str">
        <f t="shared" ref="X121:X150" si="193">IF(M121="","",R121)</f>
        <v/>
      </c>
      <c r="Y121" s="573" t="str">
        <f t="shared" si="150"/>
        <v/>
      </c>
      <c r="Z121" s="575" t="str">
        <f t="shared" ref="Z121:Z150" si="194">IF(M121="","",-E121)</f>
        <v/>
      </c>
      <c r="AA121" s="572" t="str">
        <f t="shared" ref="AA121:AA150" si="195">IF(M121="","",-F121)</f>
        <v/>
      </c>
      <c r="AB121" s="572" t="str">
        <f t="shared" ref="AB121:AB150" si="196">IF(M121="","",-G121)</f>
        <v/>
      </c>
      <c r="AC121" s="579" t="str">
        <f t="shared" ref="AC121:AC150" si="197">IF(M121="","",SQRT(Z121^2+AA121^2+AB121^2))</f>
        <v/>
      </c>
      <c r="AD121" s="580" t="str">
        <f t="shared" ref="AD121:AD150" si="198">IF(M121="","",Z121*(1/SQRT(Z121^2+AA121^2+AB121^2)))</f>
        <v/>
      </c>
      <c r="AE121" s="572" t="str">
        <f t="shared" ref="AE121:AE150" si="199">IF(M121="","",AA121*(1/SQRT(Z121^2+AA121^2+AB121^2)))</f>
        <v/>
      </c>
      <c r="AF121" s="576" t="str">
        <f t="shared" ref="AF121:AF150" si="200">IF(M121="","",AB121*(1/SQRT(Z121^2+AA121^2+AB121^2)))</f>
        <v/>
      </c>
      <c r="AG121" s="545" t="str">
        <f t="shared" ref="AG121:AG150" si="201">IF(M121="","",DEGREES(ATAN2(-AF121,AE121)))</f>
        <v/>
      </c>
      <c r="AH121" s="546" t="str">
        <f t="shared" ref="AH121:AH150" si="202">IF(M121="","",DEGREES(ACOS(AD121)))</f>
        <v/>
      </c>
      <c r="AI121" s="528" t="str">
        <f t="shared" ref="AI121:AI150" si="203">IF(M121="","",DEGREES(-ACOS(-AF121)))</f>
        <v/>
      </c>
      <c r="AJ121" s="529" t="str">
        <f t="shared" ref="AJ121:AJ150" si="204">IF(M121="","",DEGREES(ATAN2(-AE121,AD121)))</f>
        <v/>
      </c>
      <c r="AK121" s="578" t="str">
        <f t="shared" ref="AK121:AK150" si="205">IF(M121="","",(COS(RADIANS((90-$Q$8)-W121))*AD121)+(-SIN(RADIANS((90-$Q$8)-W121))*AE121))</f>
        <v/>
      </c>
      <c r="AL121" s="572" t="str">
        <f t="shared" ref="AL121:AL150" si="206">IF(M121="","",(SIN(RADIANS((90-$Q$8)-W121))*AD121)+(COS(RADIANS((90-$Q$8)-W121))*AE121))</f>
        <v/>
      </c>
      <c r="AM121" s="577" t="str">
        <f t="shared" ref="AM121:AM150" si="207">IF(M121="","",AF121)</f>
        <v/>
      </c>
      <c r="AN121" s="524" t="str">
        <f t="shared" si="151"/>
        <v/>
      </c>
      <c r="AO121" s="525" t="str">
        <f t="shared" si="181"/>
        <v/>
      </c>
      <c r="AP121" s="528" t="str">
        <f t="shared" ref="AP121:AP150" si="208">IF(M121="","",DEGREES(ATAN2(AK121,AL121)))</f>
        <v/>
      </c>
      <c r="AQ121" s="529" t="str">
        <f t="shared" si="129"/>
        <v/>
      </c>
      <c r="AS121" s="598" t="str">
        <f t="shared" ref="AS121:AS150" si="209">IF(M121="","",IF(W121&lt;=LARGE($W$9:$W$17,1),W121,W121-360))</f>
        <v/>
      </c>
      <c r="AT121" s="602" t="str">
        <f t="shared" si="130"/>
        <v/>
      </c>
      <c r="AU121" s="515" t="str">
        <f t="shared" ref="AU121:AU150" si="210">IFERROR(ROUNDDOWN(AV121,1),"")</f>
        <v/>
      </c>
      <c r="AV121" s="164" t="str">
        <f t="shared" ref="AV121:AV150" si="211">M121</f>
        <v/>
      </c>
      <c r="AW121" s="545" t="str">
        <f>IF($M121="","",W121-INDEX(Assy.Model!$W$9:$W$150,MATCH('SN#.Run#'!$M121,Assy.Model!$M$9:$M$150,0)))</f>
        <v/>
      </c>
      <c r="AX121" s="628" t="str">
        <f>IF($M121="","",X121-INDEX(Assy.Model!$X$9:$X$150,MATCH('SN#.Run#'!$M121,Assy.Model!$M$9:$M$150,0)))</f>
        <v/>
      </c>
      <c r="AY121" s="629" t="str">
        <f>IF($M121="","",Y121-INDEX(Assy.Model!$Y$9:$Y$150,MATCH('SN#.Run#'!$M121,Assy.Model!$M$9:$M$150,0)))</f>
        <v/>
      </c>
      <c r="AZ121" s="60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10" t="str">
        <f>IF($M121="","",AN121-INDEX(Assy.Model!$AN$9:$AN$150,MATCH('SN#.Run#'!$M121,Assy.Model!$M$9:$M$150,0)))</f>
        <v/>
      </c>
      <c r="BB121" s="525" t="str">
        <f>IF($M121="","",AO121-INDEX(Assy.Model!$AO$9:$AO$150,MATCH('SN#.Run#'!$M121,Assy.Model!$M$9:$M$150,0)))</f>
        <v/>
      </c>
      <c r="BC121" s="619" t="str">
        <f>IF($M121="","",AP121-INDEX(Assy.Model!$AP$9:$AP$150,MATCH('SN#.Run#'!$M121,Assy.Model!$M$9:$M$150,0)))</f>
        <v/>
      </c>
      <c r="BD121" s="419"/>
      <c r="BE121" s="699"/>
      <c r="BF121" s="417"/>
      <c r="BG121" s="417"/>
      <c r="BH121" s="417"/>
      <c r="IE121" s="790" t="str">
        <f>IFERROR(IF($IU121="","",IF($IU121&lt;(((Settings!$C$19/2)*-1)*$IE$8),"Taper","Nose")),"")</f>
        <v/>
      </c>
      <c r="IF121" s="482" t="str">
        <f>IFERROR(IF((((($IW121*COS(RADIANS(180-$IY121)))*COS(RADIANS($IY121)))-(($IX121*SIN(RADIANS(180-$IY121)))*SIN(RADIANS($IY121))))+$IU121)&lt;(((Settings!$C$19+$IF$8)/2)*-1),"Gage",""),"")</f>
        <v/>
      </c>
      <c r="IG121" s="788" t="str">
        <f t="shared" si="132"/>
        <v/>
      </c>
      <c r="IH121" s="674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677" t="str" cm="1">
        <f t="array" ref="II121">IFERROR(IF($IH121&lt;1,$IH121+LARGE((IF($M$9:$M$150="",0,$M$9:$M$150)-MOD(IF($M$9:$M$150="",0,$M$9:$M$150),1)),1),$IH121),"")</f>
        <v/>
      </c>
      <c r="IJ121" s="482" t="str">
        <f t="shared" si="131"/>
        <v/>
      </c>
      <c r="IK121" s="482" t="str">
        <f t="shared" si="117"/>
        <v/>
      </c>
      <c r="IL121" s="670" t="str">
        <f t="shared" si="134"/>
        <v/>
      </c>
      <c r="IM121" s="702"/>
      <c r="IN121" s="5" t="str">
        <f t="shared" si="135"/>
        <v/>
      </c>
      <c r="IO121" s="714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670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05" t="str">
        <f t="shared" si="143"/>
        <v/>
      </c>
    </row>
    <row r="122" spans="1:259" ht="15" customHeight="1" x14ac:dyDescent="0.25">
      <c r="A122" s="82"/>
      <c r="B122" s="578" t="str">
        <f t="shared" si="144"/>
        <v/>
      </c>
      <c r="C122" s="572" t="str">
        <f t="shared" si="145"/>
        <v/>
      </c>
      <c r="D122" s="576" t="str">
        <f t="shared" si="146"/>
        <v/>
      </c>
      <c r="E122" s="580" t="str">
        <f t="shared" si="147"/>
        <v/>
      </c>
      <c r="F122" s="572" t="str">
        <f t="shared" si="148"/>
        <v/>
      </c>
      <c r="G122" s="579" t="str">
        <f t="shared" si="149"/>
        <v/>
      </c>
      <c r="H122" s="580" t="str">
        <f t="shared" si="128"/>
        <v/>
      </c>
      <c r="I122" s="482"/>
      <c r="J122" s="483" t="str">
        <v/>
      </c>
      <c r="K122" s="806" t="str">
        <f t="shared" si="133"/>
        <v/>
      </c>
      <c r="M122" s="164" t="str">
        <f t="shared" si="182"/>
        <v/>
      </c>
      <c r="N122" s="575" t="str">
        <f t="shared" si="183"/>
        <v/>
      </c>
      <c r="O122" s="572" t="str">
        <f t="shared" si="184"/>
        <v/>
      </c>
      <c r="P122" s="576" t="str">
        <f t="shared" si="185"/>
        <v/>
      </c>
      <c r="Q122" s="528" t="str">
        <f t="shared" si="186"/>
        <v/>
      </c>
      <c r="R122" s="572" t="str">
        <f t="shared" si="187"/>
        <v/>
      </c>
      <c r="S122" s="577" t="str">
        <f t="shared" si="188"/>
        <v/>
      </c>
      <c r="T122" s="578" t="str">
        <f t="shared" si="189"/>
        <v/>
      </c>
      <c r="U122" s="572" t="str">
        <f t="shared" si="190"/>
        <v/>
      </c>
      <c r="V122" s="579" t="str">
        <f t="shared" si="191"/>
        <v/>
      </c>
      <c r="W122" s="528" t="str">
        <f t="shared" si="192"/>
        <v/>
      </c>
      <c r="X122" s="572" t="str">
        <f t="shared" si="193"/>
        <v/>
      </c>
      <c r="Y122" s="573" t="str">
        <f t="shared" si="150"/>
        <v/>
      </c>
      <c r="Z122" s="575" t="str">
        <f t="shared" si="194"/>
        <v/>
      </c>
      <c r="AA122" s="572" t="str">
        <f t="shared" si="195"/>
        <v/>
      </c>
      <c r="AB122" s="572" t="str">
        <f t="shared" si="196"/>
        <v/>
      </c>
      <c r="AC122" s="579" t="str">
        <f t="shared" si="197"/>
        <v/>
      </c>
      <c r="AD122" s="580" t="str">
        <f t="shared" si="198"/>
        <v/>
      </c>
      <c r="AE122" s="572" t="str">
        <f t="shared" si="199"/>
        <v/>
      </c>
      <c r="AF122" s="576" t="str">
        <f t="shared" si="200"/>
        <v/>
      </c>
      <c r="AG122" s="545" t="str">
        <f t="shared" si="201"/>
        <v/>
      </c>
      <c r="AH122" s="546" t="str">
        <f t="shared" si="202"/>
        <v/>
      </c>
      <c r="AI122" s="528" t="str">
        <f t="shared" si="203"/>
        <v/>
      </c>
      <c r="AJ122" s="529" t="str">
        <f t="shared" si="204"/>
        <v/>
      </c>
      <c r="AK122" s="578" t="str">
        <f t="shared" si="205"/>
        <v/>
      </c>
      <c r="AL122" s="572" t="str">
        <f t="shared" si="206"/>
        <v/>
      </c>
      <c r="AM122" s="577" t="str">
        <f t="shared" si="207"/>
        <v/>
      </c>
      <c r="AN122" s="524" t="str">
        <f t="shared" si="151"/>
        <v/>
      </c>
      <c r="AO122" s="525" t="str">
        <f t="shared" si="181"/>
        <v/>
      </c>
      <c r="AP122" s="528" t="str">
        <f t="shared" si="208"/>
        <v/>
      </c>
      <c r="AQ122" s="529" t="str">
        <f t="shared" si="129"/>
        <v/>
      </c>
      <c r="AS122" s="598" t="str">
        <f t="shared" si="209"/>
        <v/>
      </c>
      <c r="AT122" s="602" t="str">
        <f t="shared" si="130"/>
        <v/>
      </c>
      <c r="AU122" s="515" t="str">
        <f t="shared" si="210"/>
        <v/>
      </c>
      <c r="AV122" s="164" t="str">
        <f t="shared" si="211"/>
        <v/>
      </c>
      <c r="AW122" s="545" t="str">
        <f>IF($M122="","",W122-INDEX(Assy.Model!$W$9:$W$150,MATCH('SN#.Run#'!$M122,Assy.Model!$M$9:$M$150,0)))</f>
        <v/>
      </c>
      <c r="AX122" s="628" t="str">
        <f>IF($M122="","",X122-INDEX(Assy.Model!$X$9:$X$150,MATCH('SN#.Run#'!$M122,Assy.Model!$M$9:$M$150,0)))</f>
        <v/>
      </c>
      <c r="AY122" s="629" t="str">
        <f>IF($M122="","",Y122-INDEX(Assy.Model!$Y$9:$Y$150,MATCH('SN#.Run#'!$M122,Assy.Model!$M$9:$M$150,0)))</f>
        <v/>
      </c>
      <c r="AZ122" s="60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10" t="str">
        <f>IF($M122="","",AN122-INDEX(Assy.Model!$AN$9:$AN$150,MATCH('SN#.Run#'!$M122,Assy.Model!$M$9:$M$150,0)))</f>
        <v/>
      </c>
      <c r="BB122" s="525" t="str">
        <f>IF($M122="","",AO122-INDEX(Assy.Model!$AO$9:$AO$150,MATCH('SN#.Run#'!$M122,Assy.Model!$M$9:$M$150,0)))</f>
        <v/>
      </c>
      <c r="BC122" s="619" t="str">
        <f>IF($M122="","",AP122-INDEX(Assy.Model!$AP$9:$AP$150,MATCH('SN#.Run#'!$M122,Assy.Model!$M$9:$M$150,0)))</f>
        <v/>
      </c>
      <c r="BD122" s="419"/>
      <c r="BE122" s="699"/>
      <c r="BF122" s="417"/>
      <c r="BG122" s="417"/>
      <c r="BH122" s="417"/>
      <c r="IE122" s="790" t="str">
        <f>IFERROR(IF($IU122="","",IF($IU122&lt;(((Settings!$C$19/2)*-1)*$IE$8),"Taper","Nose")),"")</f>
        <v/>
      </c>
      <c r="IF122" s="482" t="str">
        <f>IFERROR(IF((((($IW122*COS(RADIANS(180-$IY122)))*COS(RADIANS($IY122)))-(($IX122*SIN(RADIANS(180-$IY122)))*SIN(RADIANS($IY122))))+$IU122)&lt;(((Settings!$C$19+$IF$8)/2)*-1),"Gage",""),"")</f>
        <v/>
      </c>
      <c r="IG122" s="788" t="str">
        <f t="shared" si="132"/>
        <v/>
      </c>
      <c r="IH122" s="674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677" t="str" cm="1">
        <f t="array" ref="II122">IFERROR(IF($IH122&lt;1,$IH122+LARGE((IF($M$9:$M$150="",0,$M$9:$M$150)-MOD(IF($M$9:$M$150="",0,$M$9:$M$150),1)),1),$IH122),"")</f>
        <v/>
      </c>
      <c r="IJ122" s="482" t="str">
        <f t="shared" si="131"/>
        <v/>
      </c>
      <c r="IK122" s="482" t="str">
        <f t="shared" si="117"/>
        <v/>
      </c>
      <c r="IL122" s="670" t="str">
        <f t="shared" si="134"/>
        <v/>
      </c>
      <c r="IM122" s="702"/>
      <c r="IN122" s="5" t="str">
        <f t="shared" si="135"/>
        <v/>
      </c>
      <c r="IO122" s="714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670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05" t="str">
        <f t="shared" si="143"/>
        <v/>
      </c>
    </row>
    <row r="123" spans="1:259" ht="15" customHeight="1" x14ac:dyDescent="0.25">
      <c r="A123" s="82"/>
      <c r="B123" s="578" t="str">
        <f t="shared" si="144"/>
        <v/>
      </c>
      <c r="C123" s="572" t="str">
        <f t="shared" si="145"/>
        <v/>
      </c>
      <c r="D123" s="576" t="str">
        <f t="shared" si="146"/>
        <v/>
      </c>
      <c r="E123" s="580" t="str">
        <f t="shared" si="147"/>
        <v/>
      </c>
      <c r="F123" s="572" t="str">
        <f t="shared" si="148"/>
        <v/>
      </c>
      <c r="G123" s="579" t="str">
        <f t="shared" si="149"/>
        <v/>
      </c>
      <c r="H123" s="580" t="str">
        <f t="shared" si="128"/>
        <v/>
      </c>
      <c r="I123" s="482"/>
      <c r="J123" s="483" t="str">
        <v/>
      </c>
      <c r="K123" s="806" t="str">
        <f t="shared" si="133"/>
        <v/>
      </c>
      <c r="M123" s="164" t="str">
        <f t="shared" si="182"/>
        <v/>
      </c>
      <c r="N123" s="575" t="str">
        <f t="shared" si="183"/>
        <v/>
      </c>
      <c r="O123" s="572" t="str">
        <f t="shared" si="184"/>
        <v/>
      </c>
      <c r="P123" s="576" t="str">
        <f t="shared" si="185"/>
        <v/>
      </c>
      <c r="Q123" s="528" t="str">
        <f t="shared" si="186"/>
        <v/>
      </c>
      <c r="R123" s="572" t="str">
        <f t="shared" si="187"/>
        <v/>
      </c>
      <c r="S123" s="577" t="str">
        <f t="shared" si="188"/>
        <v/>
      </c>
      <c r="T123" s="578" t="str">
        <f t="shared" si="189"/>
        <v/>
      </c>
      <c r="U123" s="572" t="str">
        <f t="shared" si="190"/>
        <v/>
      </c>
      <c r="V123" s="579" t="str">
        <f t="shared" si="191"/>
        <v/>
      </c>
      <c r="W123" s="528" t="str">
        <f t="shared" si="192"/>
        <v/>
      </c>
      <c r="X123" s="572" t="str">
        <f t="shared" si="193"/>
        <v/>
      </c>
      <c r="Y123" s="573" t="str">
        <f t="shared" si="150"/>
        <v/>
      </c>
      <c r="Z123" s="575" t="str">
        <f t="shared" si="194"/>
        <v/>
      </c>
      <c r="AA123" s="572" t="str">
        <f t="shared" si="195"/>
        <v/>
      </c>
      <c r="AB123" s="572" t="str">
        <f t="shared" si="196"/>
        <v/>
      </c>
      <c r="AC123" s="579" t="str">
        <f t="shared" si="197"/>
        <v/>
      </c>
      <c r="AD123" s="580" t="str">
        <f t="shared" si="198"/>
        <v/>
      </c>
      <c r="AE123" s="572" t="str">
        <f t="shared" si="199"/>
        <v/>
      </c>
      <c r="AF123" s="576" t="str">
        <f t="shared" si="200"/>
        <v/>
      </c>
      <c r="AG123" s="545" t="str">
        <f t="shared" si="201"/>
        <v/>
      </c>
      <c r="AH123" s="546" t="str">
        <f t="shared" si="202"/>
        <v/>
      </c>
      <c r="AI123" s="528" t="str">
        <f t="shared" si="203"/>
        <v/>
      </c>
      <c r="AJ123" s="529" t="str">
        <f t="shared" si="204"/>
        <v/>
      </c>
      <c r="AK123" s="578" t="str">
        <f t="shared" si="205"/>
        <v/>
      </c>
      <c r="AL123" s="572" t="str">
        <f t="shared" si="206"/>
        <v/>
      </c>
      <c r="AM123" s="577" t="str">
        <f t="shared" si="207"/>
        <v/>
      </c>
      <c r="AN123" s="524" t="str">
        <f t="shared" si="151"/>
        <v/>
      </c>
      <c r="AO123" s="525" t="str">
        <f t="shared" si="181"/>
        <v/>
      </c>
      <c r="AP123" s="528" t="str">
        <f t="shared" si="208"/>
        <v/>
      </c>
      <c r="AQ123" s="529" t="str">
        <f t="shared" si="129"/>
        <v/>
      </c>
      <c r="AS123" s="598" t="str">
        <f t="shared" si="209"/>
        <v/>
      </c>
      <c r="AT123" s="602" t="str">
        <f t="shared" si="130"/>
        <v/>
      </c>
      <c r="AU123" s="515" t="str">
        <f t="shared" si="210"/>
        <v/>
      </c>
      <c r="AV123" s="164" t="str">
        <f t="shared" si="211"/>
        <v/>
      </c>
      <c r="AW123" s="545" t="str">
        <f>IF($M123="","",W123-INDEX(Assy.Model!$W$9:$W$150,MATCH('SN#.Run#'!$M123,Assy.Model!$M$9:$M$150,0)))</f>
        <v/>
      </c>
      <c r="AX123" s="628" t="str">
        <f>IF($M123="","",X123-INDEX(Assy.Model!$X$9:$X$150,MATCH('SN#.Run#'!$M123,Assy.Model!$M$9:$M$150,0)))</f>
        <v/>
      </c>
      <c r="AY123" s="629" t="str">
        <f>IF($M123="","",Y123-INDEX(Assy.Model!$Y$9:$Y$150,MATCH('SN#.Run#'!$M123,Assy.Model!$M$9:$M$150,0)))</f>
        <v/>
      </c>
      <c r="AZ123" s="60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10" t="str">
        <f>IF($M123="","",AN123-INDEX(Assy.Model!$AN$9:$AN$150,MATCH('SN#.Run#'!$M123,Assy.Model!$M$9:$M$150,0)))</f>
        <v/>
      </c>
      <c r="BB123" s="525" t="str">
        <f>IF($M123="","",AO123-INDEX(Assy.Model!$AO$9:$AO$150,MATCH('SN#.Run#'!$M123,Assy.Model!$M$9:$M$150,0)))</f>
        <v/>
      </c>
      <c r="BC123" s="619" t="str">
        <f>IF($M123="","",AP123-INDEX(Assy.Model!$AP$9:$AP$150,MATCH('SN#.Run#'!$M123,Assy.Model!$M$9:$M$150,0)))</f>
        <v/>
      </c>
      <c r="BD123" s="419"/>
      <c r="BE123" s="699"/>
      <c r="BF123" s="417"/>
      <c r="BG123" s="417"/>
      <c r="BH123" s="417"/>
      <c r="IE123" s="790" t="str">
        <f>IFERROR(IF($IU123="","",IF($IU123&lt;(((Settings!$C$19/2)*-1)*$IE$8),"Taper","Nose")),"")</f>
        <v/>
      </c>
      <c r="IF123" s="482" t="str">
        <f>IFERROR(IF((((($IW123*COS(RADIANS(180-$IY123)))*COS(RADIANS($IY123)))-(($IX123*SIN(RADIANS(180-$IY123)))*SIN(RADIANS($IY123))))+$IU123)&lt;(((Settings!$C$19+$IF$8)/2)*-1),"Gage",""),"")</f>
        <v/>
      </c>
      <c r="IG123" s="788" t="str">
        <f t="shared" si="132"/>
        <v/>
      </c>
      <c r="IH123" s="674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677" t="str" cm="1">
        <f t="array" ref="II123">IFERROR(IF($IH123&lt;1,$IH123+LARGE((IF($M$9:$M$150="",0,$M$9:$M$150)-MOD(IF($M$9:$M$150="",0,$M$9:$M$150),1)),1),$IH123),"")</f>
        <v/>
      </c>
      <c r="IJ123" s="482" t="str">
        <f t="shared" si="131"/>
        <v/>
      </c>
      <c r="IK123" s="482" t="str">
        <f t="shared" si="117"/>
        <v/>
      </c>
      <c r="IL123" s="670" t="str">
        <f t="shared" si="134"/>
        <v/>
      </c>
      <c r="IM123" s="702"/>
      <c r="IN123" s="5" t="str">
        <f t="shared" si="135"/>
        <v/>
      </c>
      <c r="IO123" s="714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670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05" t="str">
        <f t="shared" si="143"/>
        <v/>
      </c>
    </row>
    <row r="124" spans="1:259" ht="15" customHeight="1" x14ac:dyDescent="0.25">
      <c r="A124" s="82"/>
      <c r="B124" s="578" t="str">
        <f t="shared" si="144"/>
        <v/>
      </c>
      <c r="C124" s="572" t="str">
        <f t="shared" si="145"/>
        <v/>
      </c>
      <c r="D124" s="576" t="str">
        <f t="shared" si="146"/>
        <v/>
      </c>
      <c r="E124" s="580" t="str">
        <f t="shared" si="147"/>
        <v/>
      </c>
      <c r="F124" s="572" t="str">
        <f t="shared" si="148"/>
        <v/>
      </c>
      <c r="G124" s="579" t="str">
        <f t="shared" si="149"/>
        <v/>
      </c>
      <c r="H124" s="580" t="str">
        <f t="shared" si="128"/>
        <v/>
      </c>
      <c r="I124" s="482"/>
      <c r="J124" s="483" t="str">
        <v/>
      </c>
      <c r="K124" s="806" t="str">
        <f t="shared" si="133"/>
        <v/>
      </c>
      <c r="M124" s="164" t="str">
        <f t="shared" si="182"/>
        <v/>
      </c>
      <c r="N124" s="575" t="str">
        <f t="shared" si="183"/>
        <v/>
      </c>
      <c r="O124" s="572" t="str">
        <f t="shared" si="184"/>
        <v/>
      </c>
      <c r="P124" s="576" t="str">
        <f t="shared" si="185"/>
        <v/>
      </c>
      <c r="Q124" s="528" t="str">
        <f t="shared" si="186"/>
        <v/>
      </c>
      <c r="R124" s="572" t="str">
        <f t="shared" si="187"/>
        <v/>
      </c>
      <c r="S124" s="577" t="str">
        <f t="shared" si="188"/>
        <v/>
      </c>
      <c r="T124" s="578" t="str">
        <f t="shared" si="189"/>
        <v/>
      </c>
      <c r="U124" s="572" t="str">
        <f t="shared" si="190"/>
        <v/>
      </c>
      <c r="V124" s="579" t="str">
        <f t="shared" si="191"/>
        <v/>
      </c>
      <c r="W124" s="528" t="str">
        <f t="shared" si="192"/>
        <v/>
      </c>
      <c r="X124" s="572" t="str">
        <f t="shared" si="193"/>
        <v/>
      </c>
      <c r="Y124" s="573" t="str">
        <f t="shared" si="150"/>
        <v/>
      </c>
      <c r="Z124" s="575" t="str">
        <f t="shared" si="194"/>
        <v/>
      </c>
      <c r="AA124" s="572" t="str">
        <f t="shared" si="195"/>
        <v/>
      </c>
      <c r="AB124" s="572" t="str">
        <f t="shared" si="196"/>
        <v/>
      </c>
      <c r="AC124" s="579" t="str">
        <f t="shared" si="197"/>
        <v/>
      </c>
      <c r="AD124" s="580" t="str">
        <f t="shared" si="198"/>
        <v/>
      </c>
      <c r="AE124" s="572" t="str">
        <f t="shared" si="199"/>
        <v/>
      </c>
      <c r="AF124" s="576" t="str">
        <f t="shared" si="200"/>
        <v/>
      </c>
      <c r="AG124" s="545" t="str">
        <f t="shared" si="201"/>
        <v/>
      </c>
      <c r="AH124" s="546" t="str">
        <f t="shared" si="202"/>
        <v/>
      </c>
      <c r="AI124" s="528" t="str">
        <f t="shared" si="203"/>
        <v/>
      </c>
      <c r="AJ124" s="529" t="str">
        <f t="shared" si="204"/>
        <v/>
      </c>
      <c r="AK124" s="578" t="str">
        <f t="shared" si="205"/>
        <v/>
      </c>
      <c r="AL124" s="572" t="str">
        <f t="shared" si="206"/>
        <v/>
      </c>
      <c r="AM124" s="577" t="str">
        <f t="shared" si="207"/>
        <v/>
      </c>
      <c r="AN124" s="524" t="str">
        <f t="shared" si="151"/>
        <v/>
      </c>
      <c r="AO124" s="525" t="str">
        <f t="shared" si="181"/>
        <v/>
      </c>
      <c r="AP124" s="528" t="str">
        <f t="shared" si="208"/>
        <v/>
      </c>
      <c r="AQ124" s="529" t="str">
        <f t="shared" si="129"/>
        <v/>
      </c>
      <c r="AS124" s="598" t="str">
        <f t="shared" si="209"/>
        <v/>
      </c>
      <c r="AT124" s="602" t="str">
        <f t="shared" si="130"/>
        <v/>
      </c>
      <c r="AU124" s="515" t="str">
        <f t="shared" si="210"/>
        <v/>
      </c>
      <c r="AV124" s="164" t="str">
        <f t="shared" si="211"/>
        <v/>
      </c>
      <c r="AW124" s="545" t="str">
        <f>IF($M124="","",W124-INDEX(Assy.Model!$W$9:$W$150,MATCH('SN#.Run#'!$M124,Assy.Model!$M$9:$M$150,0)))</f>
        <v/>
      </c>
      <c r="AX124" s="628" t="str">
        <f>IF($M124="","",X124-INDEX(Assy.Model!$X$9:$X$150,MATCH('SN#.Run#'!$M124,Assy.Model!$M$9:$M$150,0)))</f>
        <v/>
      </c>
      <c r="AY124" s="629" t="str">
        <f>IF($M124="","",Y124-INDEX(Assy.Model!$Y$9:$Y$150,MATCH('SN#.Run#'!$M124,Assy.Model!$M$9:$M$150,0)))</f>
        <v/>
      </c>
      <c r="AZ124" s="60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10" t="str">
        <f>IF($M124="","",AN124-INDEX(Assy.Model!$AN$9:$AN$150,MATCH('SN#.Run#'!$M124,Assy.Model!$M$9:$M$150,0)))</f>
        <v/>
      </c>
      <c r="BB124" s="525" t="str">
        <f>IF($M124="","",AO124-INDEX(Assy.Model!$AO$9:$AO$150,MATCH('SN#.Run#'!$M124,Assy.Model!$M$9:$M$150,0)))</f>
        <v/>
      </c>
      <c r="BC124" s="619" t="str">
        <f>IF($M124="","",AP124-INDEX(Assy.Model!$AP$9:$AP$150,MATCH('SN#.Run#'!$M124,Assy.Model!$M$9:$M$150,0)))</f>
        <v/>
      </c>
      <c r="BD124" s="419"/>
      <c r="BE124" s="699"/>
      <c r="BF124" s="417"/>
      <c r="BG124" s="417"/>
      <c r="BH124" s="417"/>
      <c r="IE124" s="790" t="str">
        <f>IFERROR(IF($IU124="","",IF($IU124&lt;(((Settings!$C$19/2)*-1)*$IE$8),"Taper","Nose")),"")</f>
        <v/>
      </c>
      <c r="IF124" s="482" t="str">
        <f>IFERROR(IF((((($IW124*COS(RADIANS(180-$IY124)))*COS(RADIANS($IY124)))-(($IX124*SIN(RADIANS(180-$IY124)))*SIN(RADIANS($IY124))))+$IU124)&lt;(((Settings!$C$19+$IF$8)/2)*-1),"Gage",""),"")</f>
        <v/>
      </c>
      <c r="IG124" s="788" t="str">
        <f t="shared" si="132"/>
        <v/>
      </c>
      <c r="IH124" s="674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677" t="str" cm="1">
        <f t="array" ref="II124">IFERROR(IF($IH124&lt;1,$IH124+LARGE((IF($M$9:$M$150="",0,$M$9:$M$150)-MOD(IF($M$9:$M$150="",0,$M$9:$M$150),1)),1),$IH124),"")</f>
        <v/>
      </c>
      <c r="IJ124" s="482" t="str">
        <f t="shared" si="131"/>
        <v/>
      </c>
      <c r="IK124" s="482" t="str">
        <f t="shared" ref="IK124:IK150" si="212">IF(ISNUMBER($II124),INDEX($K$9:$K$150,MATCH($IG124,$M$9:$M$150,0)),"")</f>
        <v/>
      </c>
      <c r="IL124" s="670" t="str">
        <f t="shared" si="134"/>
        <v/>
      </c>
      <c r="IM124" s="702"/>
      <c r="IN124" s="5" t="str">
        <f t="shared" si="135"/>
        <v/>
      </c>
      <c r="IO124" s="714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670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05" t="str">
        <f t="shared" si="143"/>
        <v/>
      </c>
    </row>
    <row r="125" spans="1:259" ht="15" customHeight="1" x14ac:dyDescent="0.25">
      <c r="A125" s="82"/>
      <c r="B125" s="578" t="str">
        <f t="shared" si="144"/>
        <v/>
      </c>
      <c r="C125" s="572" t="str">
        <f t="shared" si="145"/>
        <v/>
      </c>
      <c r="D125" s="576" t="str">
        <f t="shared" si="146"/>
        <v/>
      </c>
      <c r="E125" s="580" t="str">
        <f t="shared" si="147"/>
        <v/>
      </c>
      <c r="F125" s="572" t="str">
        <f t="shared" si="148"/>
        <v/>
      </c>
      <c r="G125" s="579" t="str">
        <f t="shared" si="149"/>
        <v/>
      </c>
      <c r="H125" s="580" t="str">
        <f t="shared" si="128"/>
        <v/>
      </c>
      <c r="I125" s="482"/>
      <c r="J125" s="483" t="str">
        <v/>
      </c>
      <c r="K125" s="806" t="str">
        <f t="shared" si="133"/>
        <v/>
      </c>
      <c r="M125" s="164" t="str">
        <f t="shared" si="182"/>
        <v/>
      </c>
      <c r="N125" s="575" t="str">
        <f t="shared" si="183"/>
        <v/>
      </c>
      <c r="O125" s="572" t="str">
        <f t="shared" si="184"/>
        <v/>
      </c>
      <c r="P125" s="576" t="str">
        <f t="shared" si="185"/>
        <v/>
      </c>
      <c r="Q125" s="528" t="str">
        <f t="shared" si="186"/>
        <v/>
      </c>
      <c r="R125" s="572" t="str">
        <f t="shared" si="187"/>
        <v/>
      </c>
      <c r="S125" s="577" t="str">
        <f t="shared" si="188"/>
        <v/>
      </c>
      <c r="T125" s="578" t="str">
        <f t="shared" si="189"/>
        <v/>
      </c>
      <c r="U125" s="572" t="str">
        <f t="shared" si="190"/>
        <v/>
      </c>
      <c r="V125" s="579" t="str">
        <f t="shared" si="191"/>
        <v/>
      </c>
      <c r="W125" s="528" t="str">
        <f t="shared" si="192"/>
        <v/>
      </c>
      <c r="X125" s="572" t="str">
        <f t="shared" si="193"/>
        <v/>
      </c>
      <c r="Y125" s="573" t="str">
        <f t="shared" si="150"/>
        <v/>
      </c>
      <c r="Z125" s="575" t="str">
        <f t="shared" si="194"/>
        <v/>
      </c>
      <c r="AA125" s="572" t="str">
        <f t="shared" si="195"/>
        <v/>
      </c>
      <c r="AB125" s="572" t="str">
        <f t="shared" si="196"/>
        <v/>
      </c>
      <c r="AC125" s="579" t="str">
        <f t="shared" si="197"/>
        <v/>
      </c>
      <c r="AD125" s="580" t="str">
        <f t="shared" si="198"/>
        <v/>
      </c>
      <c r="AE125" s="572" t="str">
        <f t="shared" si="199"/>
        <v/>
      </c>
      <c r="AF125" s="576" t="str">
        <f t="shared" si="200"/>
        <v/>
      </c>
      <c r="AG125" s="545" t="str">
        <f t="shared" si="201"/>
        <v/>
      </c>
      <c r="AH125" s="546" t="str">
        <f t="shared" si="202"/>
        <v/>
      </c>
      <c r="AI125" s="528" t="str">
        <f t="shared" si="203"/>
        <v/>
      </c>
      <c r="AJ125" s="529" t="str">
        <f t="shared" si="204"/>
        <v/>
      </c>
      <c r="AK125" s="578" t="str">
        <f t="shared" si="205"/>
        <v/>
      </c>
      <c r="AL125" s="572" t="str">
        <f t="shared" si="206"/>
        <v/>
      </c>
      <c r="AM125" s="577" t="str">
        <f t="shared" si="207"/>
        <v/>
      </c>
      <c r="AN125" s="524" t="str">
        <f t="shared" si="151"/>
        <v/>
      </c>
      <c r="AO125" s="525" t="str">
        <f t="shared" si="181"/>
        <v/>
      </c>
      <c r="AP125" s="528" t="str">
        <f t="shared" si="208"/>
        <v/>
      </c>
      <c r="AQ125" s="529" t="str">
        <f t="shared" si="129"/>
        <v/>
      </c>
      <c r="AS125" s="598" t="str">
        <f t="shared" si="209"/>
        <v/>
      </c>
      <c r="AT125" s="602" t="str">
        <f t="shared" si="130"/>
        <v/>
      </c>
      <c r="AU125" s="515" t="str">
        <f t="shared" si="210"/>
        <v/>
      </c>
      <c r="AV125" s="164" t="str">
        <f t="shared" si="211"/>
        <v/>
      </c>
      <c r="AW125" s="545" t="str">
        <f>IF($M125="","",W125-INDEX(Assy.Model!$W$9:$W$150,MATCH('SN#.Run#'!$M125,Assy.Model!$M$9:$M$150,0)))</f>
        <v/>
      </c>
      <c r="AX125" s="628" t="str">
        <f>IF($M125="","",X125-INDEX(Assy.Model!$X$9:$X$150,MATCH('SN#.Run#'!$M125,Assy.Model!$M$9:$M$150,0)))</f>
        <v/>
      </c>
      <c r="AY125" s="629" t="str">
        <f>IF($M125="","",Y125-INDEX(Assy.Model!$Y$9:$Y$150,MATCH('SN#.Run#'!$M125,Assy.Model!$M$9:$M$150,0)))</f>
        <v/>
      </c>
      <c r="AZ125" s="60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10" t="str">
        <f>IF($M125="","",AN125-INDEX(Assy.Model!$AN$9:$AN$150,MATCH('SN#.Run#'!$M125,Assy.Model!$M$9:$M$150,0)))</f>
        <v/>
      </c>
      <c r="BB125" s="525" t="str">
        <f>IF($M125="","",AO125-INDEX(Assy.Model!$AO$9:$AO$150,MATCH('SN#.Run#'!$M125,Assy.Model!$M$9:$M$150,0)))</f>
        <v/>
      </c>
      <c r="BC125" s="619" t="str">
        <f>IF($M125="","",AP125-INDEX(Assy.Model!$AP$9:$AP$150,MATCH('SN#.Run#'!$M125,Assy.Model!$M$9:$M$150,0)))</f>
        <v/>
      </c>
      <c r="BD125" s="419"/>
      <c r="BE125" s="699"/>
      <c r="BF125" s="417"/>
      <c r="BG125" s="417"/>
      <c r="BH125" s="417"/>
      <c r="IE125" s="790" t="str">
        <f>IFERROR(IF($IU125="","",IF($IU125&lt;(((Settings!$C$19/2)*-1)*$IE$8),"Taper","Nose")),"")</f>
        <v/>
      </c>
      <c r="IF125" s="482" t="str">
        <f>IFERROR(IF((((($IW125*COS(RADIANS(180-$IY125)))*COS(RADIANS($IY125)))-(($IX125*SIN(RADIANS(180-$IY125)))*SIN(RADIANS($IY125))))+$IU125)&lt;(((Settings!$C$19+$IF$8)/2)*-1),"Gage",""),"")</f>
        <v/>
      </c>
      <c r="IG125" s="788" t="str">
        <f t="shared" si="132"/>
        <v/>
      </c>
      <c r="IH125" s="674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677" t="str" cm="1">
        <f t="array" ref="II125">IFERROR(IF($IH125&lt;1,$IH125+LARGE((IF($M$9:$M$150="",0,$M$9:$M$150)-MOD(IF($M$9:$M$150="",0,$M$9:$M$150),1)),1),$IH125),"")</f>
        <v/>
      </c>
      <c r="IJ125" s="482" t="str">
        <f t="shared" si="131"/>
        <v/>
      </c>
      <c r="IK125" s="482" t="str">
        <f t="shared" si="212"/>
        <v/>
      </c>
      <c r="IL125" s="670" t="str">
        <f t="shared" si="134"/>
        <v/>
      </c>
      <c r="IM125" s="702"/>
      <c r="IN125" s="5" t="str">
        <f t="shared" si="135"/>
        <v/>
      </c>
      <c r="IO125" s="714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670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05" t="str">
        <f t="shared" si="143"/>
        <v/>
      </c>
    </row>
    <row r="126" spans="1:259" ht="15" customHeight="1" x14ac:dyDescent="0.25">
      <c r="A126" s="82"/>
      <c r="B126" s="578" t="str">
        <f t="shared" si="144"/>
        <v/>
      </c>
      <c r="C126" s="572" t="str">
        <f t="shared" si="145"/>
        <v/>
      </c>
      <c r="D126" s="576" t="str">
        <f t="shared" si="146"/>
        <v/>
      </c>
      <c r="E126" s="580" t="str">
        <f t="shared" si="147"/>
        <v/>
      </c>
      <c r="F126" s="572" t="str">
        <f t="shared" si="148"/>
        <v/>
      </c>
      <c r="G126" s="579" t="str">
        <f t="shared" si="149"/>
        <v/>
      </c>
      <c r="H126" s="580" t="str">
        <f t="shared" si="128"/>
        <v/>
      </c>
      <c r="I126" s="482"/>
      <c r="J126" s="483" t="str">
        <v/>
      </c>
      <c r="K126" s="806" t="str">
        <f t="shared" si="133"/>
        <v/>
      </c>
      <c r="M126" s="164" t="str">
        <f t="shared" si="182"/>
        <v/>
      </c>
      <c r="N126" s="575" t="str">
        <f t="shared" si="183"/>
        <v/>
      </c>
      <c r="O126" s="572" t="str">
        <f t="shared" si="184"/>
        <v/>
      </c>
      <c r="P126" s="576" t="str">
        <f t="shared" si="185"/>
        <v/>
      </c>
      <c r="Q126" s="528" t="str">
        <f t="shared" si="186"/>
        <v/>
      </c>
      <c r="R126" s="572" t="str">
        <f t="shared" si="187"/>
        <v/>
      </c>
      <c r="S126" s="577" t="str">
        <f t="shared" si="188"/>
        <v/>
      </c>
      <c r="T126" s="578" t="str">
        <f t="shared" si="189"/>
        <v/>
      </c>
      <c r="U126" s="572" t="str">
        <f t="shared" si="190"/>
        <v/>
      </c>
      <c r="V126" s="579" t="str">
        <f t="shared" si="191"/>
        <v/>
      </c>
      <c r="W126" s="528" t="str">
        <f t="shared" si="192"/>
        <v/>
      </c>
      <c r="X126" s="572" t="str">
        <f t="shared" si="193"/>
        <v/>
      </c>
      <c r="Y126" s="573" t="str">
        <f t="shared" si="150"/>
        <v/>
      </c>
      <c r="Z126" s="575" t="str">
        <f t="shared" si="194"/>
        <v/>
      </c>
      <c r="AA126" s="572" t="str">
        <f t="shared" si="195"/>
        <v/>
      </c>
      <c r="AB126" s="572" t="str">
        <f t="shared" si="196"/>
        <v/>
      </c>
      <c r="AC126" s="579" t="str">
        <f t="shared" si="197"/>
        <v/>
      </c>
      <c r="AD126" s="580" t="str">
        <f t="shared" si="198"/>
        <v/>
      </c>
      <c r="AE126" s="572" t="str">
        <f t="shared" si="199"/>
        <v/>
      </c>
      <c r="AF126" s="576" t="str">
        <f t="shared" si="200"/>
        <v/>
      </c>
      <c r="AG126" s="545" t="str">
        <f t="shared" si="201"/>
        <v/>
      </c>
      <c r="AH126" s="546" t="str">
        <f t="shared" si="202"/>
        <v/>
      </c>
      <c r="AI126" s="528" t="str">
        <f t="shared" si="203"/>
        <v/>
      </c>
      <c r="AJ126" s="529" t="str">
        <f t="shared" si="204"/>
        <v/>
      </c>
      <c r="AK126" s="578" t="str">
        <f t="shared" si="205"/>
        <v/>
      </c>
      <c r="AL126" s="572" t="str">
        <f t="shared" si="206"/>
        <v/>
      </c>
      <c r="AM126" s="577" t="str">
        <f t="shared" si="207"/>
        <v/>
      </c>
      <c r="AN126" s="524" t="str">
        <f t="shared" si="151"/>
        <v/>
      </c>
      <c r="AO126" s="525" t="str">
        <f t="shared" si="181"/>
        <v/>
      </c>
      <c r="AP126" s="528" t="str">
        <f t="shared" si="208"/>
        <v/>
      </c>
      <c r="AQ126" s="529" t="str">
        <f t="shared" si="129"/>
        <v/>
      </c>
      <c r="AS126" s="598" t="str">
        <f t="shared" si="209"/>
        <v/>
      </c>
      <c r="AT126" s="602" t="str">
        <f t="shared" si="130"/>
        <v/>
      </c>
      <c r="AU126" s="515" t="str">
        <f t="shared" si="210"/>
        <v/>
      </c>
      <c r="AV126" s="164" t="str">
        <f t="shared" si="211"/>
        <v/>
      </c>
      <c r="AW126" s="545" t="str">
        <f>IF($M126="","",W126-INDEX(Assy.Model!$W$9:$W$150,MATCH('SN#.Run#'!$M126,Assy.Model!$M$9:$M$150,0)))</f>
        <v/>
      </c>
      <c r="AX126" s="628" t="str">
        <f>IF($M126="","",X126-INDEX(Assy.Model!$X$9:$X$150,MATCH('SN#.Run#'!$M126,Assy.Model!$M$9:$M$150,0)))</f>
        <v/>
      </c>
      <c r="AY126" s="629" t="str">
        <f>IF($M126="","",Y126-INDEX(Assy.Model!$Y$9:$Y$150,MATCH('SN#.Run#'!$M126,Assy.Model!$M$9:$M$150,0)))</f>
        <v/>
      </c>
      <c r="AZ126" s="60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10" t="str">
        <f>IF($M126="","",AN126-INDEX(Assy.Model!$AN$9:$AN$150,MATCH('SN#.Run#'!$M126,Assy.Model!$M$9:$M$150,0)))</f>
        <v/>
      </c>
      <c r="BB126" s="525" t="str">
        <f>IF($M126="","",AO126-INDEX(Assy.Model!$AO$9:$AO$150,MATCH('SN#.Run#'!$M126,Assy.Model!$M$9:$M$150,0)))</f>
        <v/>
      </c>
      <c r="BC126" s="619" t="str">
        <f>IF($M126="","",AP126-INDEX(Assy.Model!$AP$9:$AP$150,MATCH('SN#.Run#'!$M126,Assy.Model!$M$9:$M$150,0)))</f>
        <v/>
      </c>
      <c r="BD126" s="419"/>
      <c r="BE126" s="699"/>
      <c r="BF126" s="417"/>
      <c r="BG126" s="417"/>
      <c r="BH126" s="417"/>
      <c r="IE126" s="790" t="str">
        <f>IFERROR(IF($IU126="","",IF($IU126&lt;(((Settings!$C$19/2)*-1)*$IE$8),"Taper","Nose")),"")</f>
        <v/>
      </c>
      <c r="IF126" s="482" t="str">
        <f>IFERROR(IF((((($IW126*COS(RADIANS(180-$IY126)))*COS(RADIANS($IY126)))-(($IX126*SIN(RADIANS(180-$IY126)))*SIN(RADIANS($IY126))))+$IU126)&lt;(((Settings!$C$19+$IF$8)/2)*-1),"Gage",""),"")</f>
        <v/>
      </c>
      <c r="IG126" s="788" t="str">
        <f t="shared" si="132"/>
        <v/>
      </c>
      <c r="IH126" s="674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677" t="str" cm="1">
        <f t="array" ref="II126">IFERROR(IF($IH126&lt;1,$IH126+LARGE((IF($M$9:$M$150="",0,$M$9:$M$150)-MOD(IF($M$9:$M$150="",0,$M$9:$M$150),1)),1),$IH126),"")</f>
        <v/>
      </c>
      <c r="IJ126" s="482" t="str">
        <f t="shared" si="131"/>
        <v/>
      </c>
      <c r="IK126" s="482" t="str">
        <f t="shared" si="212"/>
        <v/>
      </c>
      <c r="IL126" s="670" t="str">
        <f t="shared" si="134"/>
        <v/>
      </c>
      <c r="IM126" s="702"/>
      <c r="IN126" s="5" t="str">
        <f t="shared" si="135"/>
        <v/>
      </c>
      <c r="IO126" s="714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670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05" t="str">
        <f t="shared" si="143"/>
        <v/>
      </c>
    </row>
    <row r="127" spans="1:259" ht="15" customHeight="1" x14ac:dyDescent="0.25">
      <c r="A127" s="82"/>
      <c r="B127" s="578" t="str">
        <f t="shared" si="144"/>
        <v/>
      </c>
      <c r="C127" s="572" t="str">
        <f t="shared" si="145"/>
        <v/>
      </c>
      <c r="D127" s="576" t="str">
        <f t="shared" si="146"/>
        <v/>
      </c>
      <c r="E127" s="580" t="str">
        <f t="shared" si="147"/>
        <v/>
      </c>
      <c r="F127" s="572" t="str">
        <f t="shared" si="148"/>
        <v/>
      </c>
      <c r="G127" s="579" t="str">
        <f t="shared" si="149"/>
        <v/>
      </c>
      <c r="H127" s="580" t="str">
        <f t="shared" si="128"/>
        <v/>
      </c>
      <c r="I127" s="482"/>
      <c r="J127" s="483" t="str">
        <v/>
      </c>
      <c r="K127" s="806" t="str">
        <f t="shared" si="133"/>
        <v/>
      </c>
      <c r="M127" s="164" t="str">
        <f t="shared" si="182"/>
        <v/>
      </c>
      <c r="N127" s="575" t="str">
        <f t="shared" si="183"/>
        <v/>
      </c>
      <c r="O127" s="572" t="str">
        <f t="shared" si="184"/>
        <v/>
      </c>
      <c r="P127" s="576" t="str">
        <f t="shared" si="185"/>
        <v/>
      </c>
      <c r="Q127" s="528" t="str">
        <f t="shared" si="186"/>
        <v/>
      </c>
      <c r="R127" s="572" t="str">
        <f t="shared" si="187"/>
        <v/>
      </c>
      <c r="S127" s="577" t="str">
        <f t="shared" si="188"/>
        <v/>
      </c>
      <c r="T127" s="578" t="str">
        <f t="shared" si="189"/>
        <v/>
      </c>
      <c r="U127" s="572" t="str">
        <f t="shared" si="190"/>
        <v/>
      </c>
      <c r="V127" s="579" t="str">
        <f t="shared" si="191"/>
        <v/>
      </c>
      <c r="W127" s="528" t="str">
        <f t="shared" si="192"/>
        <v/>
      </c>
      <c r="X127" s="572" t="str">
        <f t="shared" si="193"/>
        <v/>
      </c>
      <c r="Y127" s="573" t="str">
        <f t="shared" si="150"/>
        <v/>
      </c>
      <c r="Z127" s="575" t="str">
        <f t="shared" si="194"/>
        <v/>
      </c>
      <c r="AA127" s="572" t="str">
        <f t="shared" si="195"/>
        <v/>
      </c>
      <c r="AB127" s="572" t="str">
        <f t="shared" si="196"/>
        <v/>
      </c>
      <c r="AC127" s="579" t="str">
        <f t="shared" si="197"/>
        <v/>
      </c>
      <c r="AD127" s="580" t="str">
        <f t="shared" si="198"/>
        <v/>
      </c>
      <c r="AE127" s="572" t="str">
        <f t="shared" si="199"/>
        <v/>
      </c>
      <c r="AF127" s="576" t="str">
        <f t="shared" si="200"/>
        <v/>
      </c>
      <c r="AG127" s="545" t="str">
        <f t="shared" si="201"/>
        <v/>
      </c>
      <c r="AH127" s="546" t="str">
        <f t="shared" si="202"/>
        <v/>
      </c>
      <c r="AI127" s="528" t="str">
        <f t="shared" si="203"/>
        <v/>
      </c>
      <c r="AJ127" s="529" t="str">
        <f t="shared" si="204"/>
        <v/>
      </c>
      <c r="AK127" s="578" t="str">
        <f t="shared" si="205"/>
        <v/>
      </c>
      <c r="AL127" s="572" t="str">
        <f t="shared" si="206"/>
        <v/>
      </c>
      <c r="AM127" s="577" t="str">
        <f t="shared" si="207"/>
        <v/>
      </c>
      <c r="AN127" s="524" t="str">
        <f t="shared" si="151"/>
        <v/>
      </c>
      <c r="AO127" s="525" t="str">
        <f t="shared" si="181"/>
        <v/>
      </c>
      <c r="AP127" s="528" t="str">
        <f t="shared" si="208"/>
        <v/>
      </c>
      <c r="AQ127" s="529" t="str">
        <f t="shared" si="129"/>
        <v/>
      </c>
      <c r="AS127" s="598" t="str">
        <f t="shared" si="209"/>
        <v/>
      </c>
      <c r="AT127" s="602" t="str">
        <f t="shared" si="130"/>
        <v/>
      </c>
      <c r="AU127" s="515" t="str">
        <f t="shared" si="210"/>
        <v/>
      </c>
      <c r="AV127" s="164" t="str">
        <f t="shared" si="211"/>
        <v/>
      </c>
      <c r="AW127" s="545" t="str">
        <f>IF($M127="","",W127-INDEX(Assy.Model!$W$9:$W$150,MATCH('SN#.Run#'!$M127,Assy.Model!$M$9:$M$150,0)))</f>
        <v/>
      </c>
      <c r="AX127" s="628" t="str">
        <f>IF($M127="","",X127-INDEX(Assy.Model!$X$9:$X$150,MATCH('SN#.Run#'!$M127,Assy.Model!$M$9:$M$150,0)))</f>
        <v/>
      </c>
      <c r="AY127" s="629" t="str">
        <f>IF($M127="","",Y127-INDEX(Assy.Model!$Y$9:$Y$150,MATCH('SN#.Run#'!$M127,Assy.Model!$M$9:$M$150,0)))</f>
        <v/>
      </c>
      <c r="AZ127" s="60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10" t="str">
        <f>IF($M127="","",AN127-INDEX(Assy.Model!$AN$9:$AN$150,MATCH('SN#.Run#'!$M127,Assy.Model!$M$9:$M$150,0)))</f>
        <v/>
      </c>
      <c r="BB127" s="525" t="str">
        <f>IF($M127="","",AO127-INDEX(Assy.Model!$AO$9:$AO$150,MATCH('SN#.Run#'!$M127,Assy.Model!$M$9:$M$150,0)))</f>
        <v/>
      </c>
      <c r="BC127" s="619" t="str">
        <f>IF($M127="","",AP127-INDEX(Assy.Model!$AP$9:$AP$150,MATCH('SN#.Run#'!$M127,Assy.Model!$M$9:$M$150,0)))</f>
        <v/>
      </c>
      <c r="BD127" s="419"/>
      <c r="BE127" s="699"/>
      <c r="BF127" s="417"/>
      <c r="BG127" s="417"/>
      <c r="BH127" s="417"/>
      <c r="IE127" s="790" t="str">
        <f>IFERROR(IF($IU127="","",IF($IU127&lt;(((Settings!$C$19/2)*-1)*$IE$8),"Taper","Nose")),"")</f>
        <v/>
      </c>
      <c r="IF127" s="482" t="str">
        <f>IFERROR(IF((((($IW127*COS(RADIANS(180-$IY127)))*COS(RADIANS($IY127)))-(($IX127*SIN(RADIANS(180-$IY127)))*SIN(RADIANS($IY127))))+$IU127)&lt;(((Settings!$C$19+$IF$8)/2)*-1),"Gage",""),"")</f>
        <v/>
      </c>
      <c r="IG127" s="788" t="str">
        <f t="shared" si="132"/>
        <v/>
      </c>
      <c r="IH127" s="674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677" t="str" cm="1">
        <f t="array" ref="II127">IFERROR(IF($IH127&lt;1,$IH127+LARGE((IF($M$9:$M$150="",0,$M$9:$M$150)-MOD(IF($M$9:$M$150="",0,$M$9:$M$150),1)),1),$IH127),"")</f>
        <v/>
      </c>
      <c r="IJ127" s="482" t="str">
        <f t="shared" si="131"/>
        <v/>
      </c>
      <c r="IK127" s="482" t="str">
        <f t="shared" si="212"/>
        <v/>
      </c>
      <c r="IL127" s="670" t="str">
        <f t="shared" si="134"/>
        <v/>
      </c>
      <c r="IM127" s="702"/>
      <c r="IN127" s="5" t="str">
        <f t="shared" si="135"/>
        <v/>
      </c>
      <c r="IO127" s="714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670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05" t="str">
        <f t="shared" si="143"/>
        <v/>
      </c>
    </row>
    <row r="128" spans="1:259" ht="15" customHeight="1" x14ac:dyDescent="0.25">
      <c r="A128" s="82"/>
      <c r="B128" s="578" t="str">
        <f t="shared" si="144"/>
        <v/>
      </c>
      <c r="C128" s="572" t="str">
        <f t="shared" si="145"/>
        <v/>
      </c>
      <c r="D128" s="576" t="str">
        <f t="shared" si="146"/>
        <v/>
      </c>
      <c r="E128" s="580" t="str">
        <f t="shared" si="147"/>
        <v/>
      </c>
      <c r="F128" s="572" t="str">
        <f t="shared" si="148"/>
        <v/>
      </c>
      <c r="G128" s="579" t="str">
        <f t="shared" si="149"/>
        <v/>
      </c>
      <c r="H128" s="580" t="str">
        <f t="shared" si="128"/>
        <v/>
      </c>
      <c r="I128" s="482"/>
      <c r="J128" s="483" t="str">
        <v/>
      </c>
      <c r="K128" s="806" t="str">
        <f t="shared" si="133"/>
        <v/>
      </c>
      <c r="M128" s="164" t="str">
        <f t="shared" si="182"/>
        <v/>
      </c>
      <c r="N128" s="575" t="str">
        <f t="shared" si="183"/>
        <v/>
      </c>
      <c r="O128" s="572" t="str">
        <f t="shared" si="184"/>
        <v/>
      </c>
      <c r="P128" s="576" t="str">
        <f t="shared" si="185"/>
        <v/>
      </c>
      <c r="Q128" s="528" t="str">
        <f t="shared" si="186"/>
        <v/>
      </c>
      <c r="R128" s="572" t="str">
        <f t="shared" si="187"/>
        <v/>
      </c>
      <c r="S128" s="577" t="str">
        <f t="shared" si="188"/>
        <v/>
      </c>
      <c r="T128" s="578" t="str">
        <f t="shared" si="189"/>
        <v/>
      </c>
      <c r="U128" s="572" t="str">
        <f t="shared" si="190"/>
        <v/>
      </c>
      <c r="V128" s="579" t="str">
        <f t="shared" si="191"/>
        <v/>
      </c>
      <c r="W128" s="528" t="str">
        <f t="shared" si="192"/>
        <v/>
      </c>
      <c r="X128" s="572" t="str">
        <f t="shared" si="193"/>
        <v/>
      </c>
      <c r="Y128" s="573" t="str">
        <f t="shared" si="150"/>
        <v/>
      </c>
      <c r="Z128" s="575" t="str">
        <f t="shared" si="194"/>
        <v/>
      </c>
      <c r="AA128" s="572" t="str">
        <f t="shared" si="195"/>
        <v/>
      </c>
      <c r="AB128" s="572" t="str">
        <f t="shared" si="196"/>
        <v/>
      </c>
      <c r="AC128" s="579" t="str">
        <f t="shared" si="197"/>
        <v/>
      </c>
      <c r="AD128" s="580" t="str">
        <f t="shared" si="198"/>
        <v/>
      </c>
      <c r="AE128" s="572" t="str">
        <f t="shared" si="199"/>
        <v/>
      </c>
      <c r="AF128" s="576" t="str">
        <f t="shared" si="200"/>
        <v/>
      </c>
      <c r="AG128" s="545" t="str">
        <f t="shared" si="201"/>
        <v/>
      </c>
      <c r="AH128" s="546" t="str">
        <f t="shared" si="202"/>
        <v/>
      </c>
      <c r="AI128" s="528" t="str">
        <f t="shared" si="203"/>
        <v/>
      </c>
      <c r="AJ128" s="529" t="str">
        <f t="shared" si="204"/>
        <v/>
      </c>
      <c r="AK128" s="578" t="str">
        <f t="shared" si="205"/>
        <v/>
      </c>
      <c r="AL128" s="572" t="str">
        <f t="shared" si="206"/>
        <v/>
      </c>
      <c r="AM128" s="577" t="str">
        <f t="shared" si="207"/>
        <v/>
      </c>
      <c r="AN128" s="524" t="str">
        <f t="shared" si="151"/>
        <v/>
      </c>
      <c r="AO128" s="525" t="str">
        <f t="shared" si="181"/>
        <v/>
      </c>
      <c r="AP128" s="528" t="str">
        <f t="shared" si="208"/>
        <v/>
      </c>
      <c r="AQ128" s="529" t="str">
        <f t="shared" si="129"/>
        <v/>
      </c>
      <c r="AS128" s="598" t="str">
        <f t="shared" si="209"/>
        <v/>
      </c>
      <c r="AT128" s="602" t="str">
        <f t="shared" si="130"/>
        <v/>
      </c>
      <c r="AU128" s="515" t="str">
        <f t="shared" si="210"/>
        <v/>
      </c>
      <c r="AV128" s="164" t="str">
        <f t="shared" si="211"/>
        <v/>
      </c>
      <c r="AW128" s="545" t="str">
        <f>IF($M128="","",W128-INDEX(Assy.Model!$W$9:$W$150,MATCH('SN#.Run#'!$M128,Assy.Model!$M$9:$M$150,0)))</f>
        <v/>
      </c>
      <c r="AX128" s="628" t="str">
        <f>IF($M128="","",X128-INDEX(Assy.Model!$X$9:$X$150,MATCH('SN#.Run#'!$M128,Assy.Model!$M$9:$M$150,0)))</f>
        <v/>
      </c>
      <c r="AY128" s="629" t="str">
        <f>IF($M128="","",Y128-INDEX(Assy.Model!$Y$9:$Y$150,MATCH('SN#.Run#'!$M128,Assy.Model!$M$9:$M$150,0)))</f>
        <v/>
      </c>
      <c r="AZ128" s="60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10" t="str">
        <f>IF($M128="","",AN128-INDEX(Assy.Model!$AN$9:$AN$150,MATCH('SN#.Run#'!$M128,Assy.Model!$M$9:$M$150,0)))</f>
        <v/>
      </c>
      <c r="BB128" s="525" t="str">
        <f>IF($M128="","",AO128-INDEX(Assy.Model!$AO$9:$AO$150,MATCH('SN#.Run#'!$M128,Assy.Model!$M$9:$M$150,0)))</f>
        <v/>
      </c>
      <c r="BC128" s="619" t="str">
        <f>IF($M128="","",AP128-INDEX(Assy.Model!$AP$9:$AP$150,MATCH('SN#.Run#'!$M128,Assy.Model!$M$9:$M$150,0)))</f>
        <v/>
      </c>
      <c r="BD128" s="419"/>
      <c r="BE128" s="699"/>
      <c r="BF128" s="417"/>
      <c r="BG128" s="417"/>
      <c r="BH128" s="417"/>
      <c r="IE128" s="790" t="str">
        <f>IFERROR(IF($IU128="","",IF($IU128&lt;(((Settings!$C$19/2)*-1)*$IE$8),"Taper","Nose")),"")</f>
        <v/>
      </c>
      <c r="IF128" s="482" t="str">
        <f>IFERROR(IF((((($IW128*COS(RADIANS(180-$IY128)))*COS(RADIANS($IY128)))-(($IX128*SIN(RADIANS(180-$IY128)))*SIN(RADIANS($IY128))))+$IU128)&lt;(((Settings!$C$19+$IF$8)/2)*-1),"Gage",""),"")</f>
        <v/>
      </c>
      <c r="IG128" s="788" t="str">
        <f t="shared" si="132"/>
        <v/>
      </c>
      <c r="IH128" s="674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677" t="str" cm="1">
        <f t="array" ref="II128">IFERROR(IF($IH128&lt;1,$IH128+LARGE((IF($M$9:$M$150="",0,$M$9:$M$150)-MOD(IF($M$9:$M$150="",0,$M$9:$M$150),1)),1),$IH128),"")</f>
        <v/>
      </c>
      <c r="IJ128" s="482" t="str">
        <f t="shared" si="131"/>
        <v/>
      </c>
      <c r="IK128" s="482" t="str">
        <f t="shared" si="212"/>
        <v/>
      </c>
      <c r="IL128" s="670" t="str">
        <f t="shared" si="134"/>
        <v/>
      </c>
      <c r="IM128" s="702"/>
      <c r="IN128" s="5" t="str">
        <f t="shared" si="135"/>
        <v/>
      </c>
      <c r="IO128" s="714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670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05" t="str">
        <f t="shared" si="143"/>
        <v/>
      </c>
    </row>
    <row r="129" spans="1:259" ht="15" customHeight="1" x14ac:dyDescent="0.25">
      <c r="A129" s="82"/>
      <c r="B129" s="578" t="str">
        <f t="shared" si="144"/>
        <v/>
      </c>
      <c r="C129" s="572" t="str">
        <f t="shared" si="145"/>
        <v/>
      </c>
      <c r="D129" s="576" t="str">
        <f t="shared" si="146"/>
        <v/>
      </c>
      <c r="E129" s="580" t="str">
        <f t="shared" si="147"/>
        <v/>
      </c>
      <c r="F129" s="572" t="str">
        <f t="shared" si="148"/>
        <v/>
      </c>
      <c r="G129" s="579" t="str">
        <f t="shared" si="149"/>
        <v/>
      </c>
      <c r="H129" s="580" t="str">
        <f t="shared" si="128"/>
        <v/>
      </c>
      <c r="I129" s="482"/>
      <c r="J129" s="483" t="str">
        <v/>
      </c>
      <c r="K129" s="806" t="str">
        <f t="shared" si="133"/>
        <v/>
      </c>
      <c r="M129" s="164" t="str">
        <f t="shared" si="182"/>
        <v/>
      </c>
      <c r="N129" s="575" t="str">
        <f t="shared" si="183"/>
        <v/>
      </c>
      <c r="O129" s="572" t="str">
        <f t="shared" si="184"/>
        <v/>
      </c>
      <c r="P129" s="576" t="str">
        <f t="shared" si="185"/>
        <v/>
      </c>
      <c r="Q129" s="528" t="str">
        <f t="shared" si="186"/>
        <v/>
      </c>
      <c r="R129" s="572" t="str">
        <f t="shared" si="187"/>
        <v/>
      </c>
      <c r="S129" s="577" t="str">
        <f t="shared" si="188"/>
        <v/>
      </c>
      <c r="T129" s="578" t="str">
        <f t="shared" si="189"/>
        <v/>
      </c>
      <c r="U129" s="572" t="str">
        <f t="shared" si="190"/>
        <v/>
      </c>
      <c r="V129" s="579" t="str">
        <f t="shared" si="191"/>
        <v/>
      </c>
      <c r="W129" s="528" t="str">
        <f t="shared" si="192"/>
        <v/>
      </c>
      <c r="X129" s="572" t="str">
        <f t="shared" si="193"/>
        <v/>
      </c>
      <c r="Y129" s="573" t="str">
        <f t="shared" si="150"/>
        <v/>
      </c>
      <c r="Z129" s="575" t="str">
        <f t="shared" si="194"/>
        <v/>
      </c>
      <c r="AA129" s="572" t="str">
        <f t="shared" si="195"/>
        <v/>
      </c>
      <c r="AB129" s="572" t="str">
        <f t="shared" si="196"/>
        <v/>
      </c>
      <c r="AC129" s="579" t="str">
        <f t="shared" si="197"/>
        <v/>
      </c>
      <c r="AD129" s="580" t="str">
        <f t="shared" si="198"/>
        <v/>
      </c>
      <c r="AE129" s="572" t="str">
        <f t="shared" si="199"/>
        <v/>
      </c>
      <c r="AF129" s="576" t="str">
        <f t="shared" si="200"/>
        <v/>
      </c>
      <c r="AG129" s="545" t="str">
        <f t="shared" si="201"/>
        <v/>
      </c>
      <c r="AH129" s="546" t="str">
        <f t="shared" si="202"/>
        <v/>
      </c>
      <c r="AI129" s="528" t="str">
        <f t="shared" si="203"/>
        <v/>
      </c>
      <c r="AJ129" s="529" t="str">
        <f t="shared" si="204"/>
        <v/>
      </c>
      <c r="AK129" s="578" t="str">
        <f t="shared" si="205"/>
        <v/>
      </c>
      <c r="AL129" s="572" t="str">
        <f t="shared" si="206"/>
        <v/>
      </c>
      <c r="AM129" s="577" t="str">
        <f t="shared" si="207"/>
        <v/>
      </c>
      <c r="AN129" s="524" t="str">
        <f t="shared" si="151"/>
        <v/>
      </c>
      <c r="AO129" s="525" t="str">
        <f t="shared" si="181"/>
        <v/>
      </c>
      <c r="AP129" s="528" t="str">
        <f t="shared" si="208"/>
        <v/>
      </c>
      <c r="AQ129" s="529" t="str">
        <f t="shared" si="129"/>
        <v/>
      </c>
      <c r="AS129" s="598" t="str">
        <f t="shared" si="209"/>
        <v/>
      </c>
      <c r="AT129" s="602" t="str">
        <f t="shared" si="130"/>
        <v/>
      </c>
      <c r="AU129" s="515" t="str">
        <f t="shared" si="210"/>
        <v/>
      </c>
      <c r="AV129" s="164" t="str">
        <f t="shared" si="211"/>
        <v/>
      </c>
      <c r="AW129" s="545" t="str">
        <f>IF($M129="","",W129-INDEX(Assy.Model!$W$9:$W$150,MATCH('SN#.Run#'!$M129,Assy.Model!$M$9:$M$150,0)))</f>
        <v/>
      </c>
      <c r="AX129" s="628" t="str">
        <f>IF($M129="","",X129-INDEX(Assy.Model!$X$9:$X$150,MATCH('SN#.Run#'!$M129,Assy.Model!$M$9:$M$150,0)))</f>
        <v/>
      </c>
      <c r="AY129" s="629" t="str">
        <f>IF($M129="","",Y129-INDEX(Assy.Model!$Y$9:$Y$150,MATCH('SN#.Run#'!$M129,Assy.Model!$M$9:$M$150,0)))</f>
        <v/>
      </c>
      <c r="AZ129" s="60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10" t="str">
        <f>IF($M129="","",AN129-INDEX(Assy.Model!$AN$9:$AN$150,MATCH('SN#.Run#'!$M129,Assy.Model!$M$9:$M$150,0)))</f>
        <v/>
      </c>
      <c r="BB129" s="525" t="str">
        <f>IF($M129="","",AO129-INDEX(Assy.Model!$AO$9:$AO$150,MATCH('SN#.Run#'!$M129,Assy.Model!$M$9:$M$150,0)))</f>
        <v/>
      </c>
      <c r="BC129" s="619" t="str">
        <f>IF($M129="","",AP129-INDEX(Assy.Model!$AP$9:$AP$150,MATCH('SN#.Run#'!$M129,Assy.Model!$M$9:$M$150,0)))</f>
        <v/>
      </c>
      <c r="BD129" s="419"/>
      <c r="BE129" s="699"/>
      <c r="BF129" s="417"/>
      <c r="BG129" s="417"/>
      <c r="BH129" s="417"/>
      <c r="IE129" s="790" t="str">
        <f>IFERROR(IF($IU129="","",IF($IU129&lt;(((Settings!$C$19/2)*-1)*$IE$8),"Taper","Nose")),"")</f>
        <v/>
      </c>
      <c r="IF129" s="482" t="str">
        <f>IFERROR(IF((((($IW129*COS(RADIANS(180-$IY129)))*COS(RADIANS($IY129)))-(($IX129*SIN(RADIANS(180-$IY129)))*SIN(RADIANS($IY129))))+$IU129)&lt;(((Settings!$C$19+$IF$8)/2)*-1),"Gage",""),"")</f>
        <v/>
      </c>
      <c r="IG129" s="788" t="str">
        <f t="shared" si="132"/>
        <v/>
      </c>
      <c r="IH129" s="674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677" t="str" cm="1">
        <f t="array" ref="II129">IFERROR(IF($IH129&lt;1,$IH129+LARGE((IF($M$9:$M$150="",0,$M$9:$M$150)-MOD(IF($M$9:$M$150="",0,$M$9:$M$150),1)),1),$IH129),"")</f>
        <v/>
      </c>
      <c r="IJ129" s="482" t="str">
        <f t="shared" si="131"/>
        <v/>
      </c>
      <c r="IK129" s="482" t="str">
        <f t="shared" si="212"/>
        <v/>
      </c>
      <c r="IL129" s="670" t="str">
        <f t="shared" si="134"/>
        <v/>
      </c>
      <c r="IM129" s="702"/>
      <c r="IN129" s="5" t="str">
        <f t="shared" si="135"/>
        <v/>
      </c>
      <c r="IO129" s="714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670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05" t="str">
        <f t="shared" si="143"/>
        <v/>
      </c>
    </row>
    <row r="130" spans="1:259" ht="15" customHeight="1" x14ac:dyDescent="0.25">
      <c r="A130" s="82"/>
      <c r="B130" s="585" t="str">
        <f t="shared" si="144"/>
        <v/>
      </c>
      <c r="C130" s="582" t="str">
        <f t="shared" si="145"/>
        <v/>
      </c>
      <c r="D130" s="583" t="str">
        <f t="shared" si="146"/>
        <v/>
      </c>
      <c r="E130" s="588" t="str">
        <f t="shared" si="147"/>
        <v/>
      </c>
      <c r="F130" s="582" t="str">
        <f t="shared" si="148"/>
        <v/>
      </c>
      <c r="G130" s="586" t="str">
        <f t="shared" si="149"/>
        <v/>
      </c>
      <c r="H130" s="588" t="str">
        <f t="shared" si="128"/>
        <v/>
      </c>
      <c r="I130" s="490"/>
      <c r="J130" s="491" t="str">
        <v/>
      </c>
      <c r="K130" s="807" t="str">
        <f t="shared" si="133"/>
        <v/>
      </c>
      <c r="M130" s="492" t="str">
        <f t="shared" si="182"/>
        <v/>
      </c>
      <c r="N130" s="581" t="str">
        <f t="shared" si="183"/>
        <v/>
      </c>
      <c r="O130" s="582" t="str">
        <f t="shared" si="184"/>
        <v/>
      </c>
      <c r="P130" s="583" t="str">
        <f t="shared" si="185"/>
        <v/>
      </c>
      <c r="Q130" s="536" t="str">
        <f t="shared" si="186"/>
        <v/>
      </c>
      <c r="R130" s="582" t="str">
        <f t="shared" si="187"/>
        <v/>
      </c>
      <c r="S130" s="584" t="str">
        <f t="shared" si="188"/>
        <v/>
      </c>
      <c r="T130" s="585" t="str">
        <f t="shared" si="189"/>
        <v/>
      </c>
      <c r="U130" s="582" t="str">
        <f t="shared" si="190"/>
        <v/>
      </c>
      <c r="V130" s="586" t="str">
        <f t="shared" si="191"/>
        <v/>
      </c>
      <c r="W130" s="536" t="str">
        <f t="shared" si="192"/>
        <v/>
      </c>
      <c r="X130" s="582" t="str">
        <f t="shared" si="193"/>
        <v/>
      </c>
      <c r="Y130" s="587" t="str">
        <f t="shared" si="150"/>
        <v/>
      </c>
      <c r="Z130" s="581" t="str">
        <f t="shared" si="194"/>
        <v/>
      </c>
      <c r="AA130" s="582" t="str">
        <f t="shared" si="195"/>
        <v/>
      </c>
      <c r="AB130" s="582" t="str">
        <f t="shared" si="196"/>
        <v/>
      </c>
      <c r="AC130" s="586" t="str">
        <f t="shared" si="197"/>
        <v/>
      </c>
      <c r="AD130" s="588" t="str">
        <f t="shared" si="198"/>
        <v/>
      </c>
      <c r="AE130" s="582" t="str">
        <f t="shared" si="199"/>
        <v/>
      </c>
      <c r="AF130" s="583" t="str">
        <f t="shared" si="200"/>
        <v/>
      </c>
      <c r="AG130" s="547" t="str">
        <f t="shared" si="201"/>
        <v/>
      </c>
      <c r="AH130" s="548" t="str">
        <f t="shared" si="202"/>
        <v/>
      </c>
      <c r="AI130" s="536" t="str">
        <f t="shared" si="203"/>
        <v/>
      </c>
      <c r="AJ130" s="537" t="str">
        <f t="shared" si="204"/>
        <v/>
      </c>
      <c r="AK130" s="585" t="str">
        <f t="shared" si="205"/>
        <v/>
      </c>
      <c r="AL130" s="582" t="str">
        <f t="shared" si="206"/>
        <v/>
      </c>
      <c r="AM130" s="584" t="str">
        <f t="shared" si="207"/>
        <v/>
      </c>
      <c r="AN130" s="534" t="str">
        <f t="shared" si="151"/>
        <v/>
      </c>
      <c r="AO130" s="535" t="str">
        <f t="shared" si="181"/>
        <v/>
      </c>
      <c r="AP130" s="536" t="str">
        <f t="shared" si="208"/>
        <v/>
      </c>
      <c r="AQ130" s="537" t="str">
        <f t="shared" si="129"/>
        <v/>
      </c>
      <c r="AS130" s="599" t="str">
        <f t="shared" si="209"/>
        <v/>
      </c>
      <c r="AT130" s="603" t="str">
        <f t="shared" si="130"/>
        <v/>
      </c>
      <c r="AU130" s="515" t="str">
        <f t="shared" si="210"/>
        <v/>
      </c>
      <c r="AV130" s="492" t="str">
        <f t="shared" si="211"/>
        <v/>
      </c>
      <c r="AW130" s="547" t="str">
        <f>IF($M130="","",W130-INDEX(Assy.Model!$W$9:$W$150,MATCH('SN#.Run#'!$M130,Assy.Model!$M$9:$M$150,0)))</f>
        <v/>
      </c>
      <c r="AX130" s="630" t="str">
        <f>IF($M130="","",X130-INDEX(Assy.Model!$X$9:$X$150,MATCH('SN#.Run#'!$M130,Assy.Model!$M$9:$M$150,0)))</f>
        <v/>
      </c>
      <c r="AY130" s="631" t="str">
        <f>IF($M130="","",Y130-INDEX(Assy.Model!$Y$9:$Y$150,MATCH('SN#.Run#'!$M130,Assy.Model!$M$9:$M$150,0)))</f>
        <v/>
      </c>
      <c r="AZ130" s="60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11" t="str">
        <f>IF($M130="","",AN130-INDEX(Assy.Model!$AN$9:$AN$150,MATCH('SN#.Run#'!$M130,Assy.Model!$M$9:$M$150,0)))</f>
        <v/>
      </c>
      <c r="BB130" s="535" t="str">
        <f>IF($M130="","",AO130-INDEX(Assy.Model!$AO$9:$AO$150,MATCH('SN#.Run#'!$M130,Assy.Model!$M$9:$M$150,0)))</f>
        <v/>
      </c>
      <c r="BC130" s="620" t="str">
        <f>IF($M130="","",AP130-INDEX(Assy.Model!$AP$9:$AP$150,MATCH('SN#.Run#'!$M130,Assy.Model!$M$9:$M$150,0)))</f>
        <v/>
      </c>
      <c r="BD130" s="419"/>
      <c r="BE130" s="699"/>
      <c r="BF130" s="417"/>
      <c r="BG130" s="417"/>
      <c r="BH130" s="417"/>
      <c r="IE130" s="790" t="str">
        <f>IFERROR(IF($IU130="","",IF($IU130&lt;(((Settings!$C$19/2)*-1)*$IE$8),"Taper","Nose")),"")</f>
        <v/>
      </c>
      <c r="IF130" s="482" t="str">
        <f>IFERROR(IF((((($IW130*COS(RADIANS(180-$IY130)))*COS(RADIANS($IY130)))-(($IX130*SIN(RADIANS(180-$IY130)))*SIN(RADIANS($IY130))))+$IU130)&lt;(((Settings!$C$19+$IF$8)/2)*-1),"Gage",""),"")</f>
        <v/>
      </c>
      <c r="IG130" s="788" t="str">
        <f t="shared" si="132"/>
        <v/>
      </c>
      <c r="IH130" s="674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677" t="str" cm="1">
        <f t="array" ref="II130">IFERROR(IF($IH130&lt;1,$IH130+LARGE((IF($M$9:$M$150="",0,$M$9:$M$150)-MOD(IF($M$9:$M$150="",0,$M$9:$M$150),1)),1),$IH130),"")</f>
        <v/>
      </c>
      <c r="IJ130" s="482" t="str">
        <f t="shared" si="131"/>
        <v/>
      </c>
      <c r="IK130" s="482" t="str">
        <f t="shared" si="212"/>
        <v/>
      </c>
      <c r="IL130" s="670" t="str">
        <f t="shared" si="134"/>
        <v/>
      </c>
      <c r="IM130" s="702"/>
      <c r="IN130" s="5" t="str">
        <f t="shared" si="135"/>
        <v/>
      </c>
      <c r="IO130" s="714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670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05" t="str">
        <f t="shared" si="143"/>
        <v/>
      </c>
    </row>
    <row r="131" spans="1:259" ht="15" customHeight="1" x14ac:dyDescent="0.25">
      <c r="A131" s="82"/>
      <c r="B131" s="585" t="str">
        <f t="shared" si="144"/>
        <v/>
      </c>
      <c r="C131" s="582" t="str">
        <f t="shared" si="145"/>
        <v/>
      </c>
      <c r="D131" s="583" t="str">
        <f t="shared" si="146"/>
        <v/>
      </c>
      <c r="E131" s="588" t="str">
        <f t="shared" si="147"/>
        <v/>
      </c>
      <c r="F131" s="582" t="str">
        <f t="shared" si="148"/>
        <v/>
      </c>
      <c r="G131" s="586" t="str">
        <f t="shared" si="149"/>
        <v/>
      </c>
      <c r="H131" s="588" t="str">
        <f t="shared" si="128"/>
        <v/>
      </c>
      <c r="I131" s="490"/>
      <c r="J131" s="491" t="str">
        <v/>
      </c>
      <c r="K131" s="807" t="str">
        <f t="shared" si="133"/>
        <v/>
      </c>
      <c r="M131" s="492" t="str">
        <f t="shared" si="182"/>
        <v/>
      </c>
      <c r="N131" s="581" t="str">
        <f t="shared" si="183"/>
        <v/>
      </c>
      <c r="O131" s="582" t="str">
        <f t="shared" si="184"/>
        <v/>
      </c>
      <c r="P131" s="583" t="str">
        <f t="shared" si="185"/>
        <v/>
      </c>
      <c r="Q131" s="536" t="str">
        <f t="shared" si="186"/>
        <v/>
      </c>
      <c r="R131" s="582" t="str">
        <f t="shared" si="187"/>
        <v/>
      </c>
      <c r="S131" s="584" t="str">
        <f t="shared" si="188"/>
        <v/>
      </c>
      <c r="T131" s="585" t="str">
        <f t="shared" si="189"/>
        <v/>
      </c>
      <c r="U131" s="582" t="str">
        <f t="shared" si="190"/>
        <v/>
      </c>
      <c r="V131" s="586" t="str">
        <f t="shared" si="191"/>
        <v/>
      </c>
      <c r="W131" s="536" t="str">
        <f t="shared" si="192"/>
        <v/>
      </c>
      <c r="X131" s="582" t="str">
        <f t="shared" si="193"/>
        <v/>
      </c>
      <c r="Y131" s="587" t="str">
        <f t="shared" si="150"/>
        <v/>
      </c>
      <c r="Z131" s="581" t="str">
        <f t="shared" si="194"/>
        <v/>
      </c>
      <c r="AA131" s="582" t="str">
        <f t="shared" si="195"/>
        <v/>
      </c>
      <c r="AB131" s="582" t="str">
        <f t="shared" si="196"/>
        <v/>
      </c>
      <c r="AC131" s="586" t="str">
        <f t="shared" si="197"/>
        <v/>
      </c>
      <c r="AD131" s="588" t="str">
        <f t="shared" si="198"/>
        <v/>
      </c>
      <c r="AE131" s="582" t="str">
        <f t="shared" si="199"/>
        <v/>
      </c>
      <c r="AF131" s="583" t="str">
        <f t="shared" si="200"/>
        <v/>
      </c>
      <c r="AG131" s="547" t="str">
        <f t="shared" si="201"/>
        <v/>
      </c>
      <c r="AH131" s="548" t="str">
        <f t="shared" si="202"/>
        <v/>
      </c>
      <c r="AI131" s="536" t="str">
        <f t="shared" si="203"/>
        <v/>
      </c>
      <c r="AJ131" s="537" t="str">
        <f t="shared" si="204"/>
        <v/>
      </c>
      <c r="AK131" s="585" t="str">
        <f t="shared" si="205"/>
        <v/>
      </c>
      <c r="AL131" s="582" t="str">
        <f t="shared" si="206"/>
        <v/>
      </c>
      <c r="AM131" s="584" t="str">
        <f t="shared" si="207"/>
        <v/>
      </c>
      <c r="AN131" s="534" t="str">
        <f t="shared" si="151"/>
        <v/>
      </c>
      <c r="AO131" s="535" t="str">
        <f t="shared" si="181"/>
        <v/>
      </c>
      <c r="AP131" s="536" t="str">
        <f t="shared" si="208"/>
        <v/>
      </c>
      <c r="AQ131" s="537" t="str">
        <f t="shared" si="129"/>
        <v/>
      </c>
      <c r="AS131" s="599" t="str">
        <f t="shared" si="209"/>
        <v/>
      </c>
      <c r="AT131" s="603" t="str">
        <f t="shared" si="130"/>
        <v/>
      </c>
      <c r="AU131" s="515" t="str">
        <f t="shared" si="210"/>
        <v/>
      </c>
      <c r="AV131" s="492" t="str">
        <f t="shared" si="211"/>
        <v/>
      </c>
      <c r="AW131" s="547" t="str">
        <f>IF($M131="","",W131-INDEX(Assy.Model!$W$9:$W$150,MATCH('SN#.Run#'!$M131,Assy.Model!$M$9:$M$150,0)))</f>
        <v/>
      </c>
      <c r="AX131" s="630" t="str">
        <f>IF($M131="","",X131-INDEX(Assy.Model!$X$9:$X$150,MATCH('SN#.Run#'!$M131,Assy.Model!$M$9:$M$150,0)))</f>
        <v/>
      </c>
      <c r="AY131" s="631" t="str">
        <f>IF($M131="","",Y131-INDEX(Assy.Model!$Y$9:$Y$150,MATCH('SN#.Run#'!$M131,Assy.Model!$M$9:$M$150,0)))</f>
        <v/>
      </c>
      <c r="AZ131" s="60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11" t="str">
        <f>IF($M131="","",AN131-INDEX(Assy.Model!$AN$9:$AN$150,MATCH('SN#.Run#'!$M131,Assy.Model!$M$9:$M$150,0)))</f>
        <v/>
      </c>
      <c r="BB131" s="535" t="str">
        <f>IF($M131="","",AO131-INDEX(Assy.Model!$AO$9:$AO$150,MATCH('SN#.Run#'!$M131,Assy.Model!$M$9:$M$150,0)))</f>
        <v/>
      </c>
      <c r="BC131" s="620" t="str">
        <f>IF($M131="","",AP131-INDEX(Assy.Model!$AP$9:$AP$150,MATCH('SN#.Run#'!$M131,Assy.Model!$M$9:$M$150,0)))</f>
        <v/>
      </c>
      <c r="BD131" s="419"/>
      <c r="BE131" s="699"/>
      <c r="BF131" s="417"/>
      <c r="BG131" s="417"/>
      <c r="BH131" s="417"/>
      <c r="IE131" s="790" t="str">
        <f>IFERROR(IF($IU131="","",IF($IU131&lt;(((Settings!$C$19/2)*-1)*$IE$8),"Taper","Nose")),"")</f>
        <v/>
      </c>
      <c r="IF131" s="482" t="str">
        <f>IFERROR(IF((((($IW131*COS(RADIANS(180-$IY131)))*COS(RADIANS($IY131)))-(($IX131*SIN(RADIANS(180-$IY131)))*SIN(RADIANS($IY131))))+$IU131)&lt;(((Settings!$C$19+$IF$8)/2)*-1),"Gage",""),"")</f>
        <v/>
      </c>
      <c r="IG131" s="788" t="str">
        <f t="shared" si="132"/>
        <v/>
      </c>
      <c r="IH131" s="674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677" t="str" cm="1">
        <f t="array" ref="II131">IFERROR(IF($IH131&lt;1,$IH131+LARGE((IF($M$9:$M$150="",0,$M$9:$M$150)-MOD(IF($M$9:$M$150="",0,$M$9:$M$150),1)),1),$IH131),"")</f>
        <v/>
      </c>
      <c r="IJ131" s="482" t="str">
        <f t="shared" si="131"/>
        <v/>
      </c>
      <c r="IK131" s="482" t="str">
        <f t="shared" si="212"/>
        <v/>
      </c>
      <c r="IL131" s="670" t="str">
        <f t="shared" si="134"/>
        <v/>
      </c>
      <c r="IM131" s="702"/>
      <c r="IN131" s="5" t="str">
        <f t="shared" si="135"/>
        <v/>
      </c>
      <c r="IO131" s="714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670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05" t="str">
        <f t="shared" si="143"/>
        <v/>
      </c>
    </row>
    <row r="132" spans="1:259" ht="15" customHeight="1" x14ac:dyDescent="0.25">
      <c r="A132" s="82"/>
      <c r="B132" s="585" t="str">
        <f t="shared" si="144"/>
        <v/>
      </c>
      <c r="C132" s="582" t="str">
        <f t="shared" si="145"/>
        <v/>
      </c>
      <c r="D132" s="583" t="str">
        <f t="shared" si="146"/>
        <v/>
      </c>
      <c r="E132" s="588" t="str">
        <f t="shared" si="147"/>
        <v/>
      </c>
      <c r="F132" s="582" t="str">
        <f t="shared" si="148"/>
        <v/>
      </c>
      <c r="G132" s="586" t="str">
        <f t="shared" si="149"/>
        <v/>
      </c>
      <c r="H132" s="588" t="str">
        <f t="shared" si="128"/>
        <v/>
      </c>
      <c r="I132" s="490"/>
      <c r="J132" s="491" t="str">
        <v/>
      </c>
      <c r="K132" s="807" t="str">
        <f t="shared" si="133"/>
        <v/>
      </c>
      <c r="M132" s="492" t="str">
        <f t="shared" si="182"/>
        <v/>
      </c>
      <c r="N132" s="581" t="str">
        <f t="shared" si="183"/>
        <v/>
      </c>
      <c r="O132" s="582" t="str">
        <f t="shared" si="184"/>
        <v/>
      </c>
      <c r="P132" s="583" t="str">
        <f t="shared" si="185"/>
        <v/>
      </c>
      <c r="Q132" s="536" t="str">
        <f t="shared" si="186"/>
        <v/>
      </c>
      <c r="R132" s="582" t="str">
        <f t="shared" si="187"/>
        <v/>
      </c>
      <c r="S132" s="584" t="str">
        <f t="shared" si="188"/>
        <v/>
      </c>
      <c r="T132" s="585" t="str">
        <f t="shared" si="189"/>
        <v/>
      </c>
      <c r="U132" s="582" t="str">
        <f t="shared" si="190"/>
        <v/>
      </c>
      <c r="V132" s="586" t="str">
        <f t="shared" si="191"/>
        <v/>
      </c>
      <c r="W132" s="536" t="str">
        <f t="shared" si="192"/>
        <v/>
      </c>
      <c r="X132" s="582" t="str">
        <f t="shared" si="193"/>
        <v/>
      </c>
      <c r="Y132" s="587" t="str">
        <f t="shared" si="150"/>
        <v/>
      </c>
      <c r="Z132" s="581" t="str">
        <f t="shared" si="194"/>
        <v/>
      </c>
      <c r="AA132" s="582" t="str">
        <f t="shared" si="195"/>
        <v/>
      </c>
      <c r="AB132" s="582" t="str">
        <f t="shared" si="196"/>
        <v/>
      </c>
      <c r="AC132" s="586" t="str">
        <f t="shared" si="197"/>
        <v/>
      </c>
      <c r="AD132" s="588" t="str">
        <f t="shared" si="198"/>
        <v/>
      </c>
      <c r="AE132" s="582" t="str">
        <f t="shared" si="199"/>
        <v/>
      </c>
      <c r="AF132" s="583" t="str">
        <f t="shared" si="200"/>
        <v/>
      </c>
      <c r="AG132" s="547" t="str">
        <f t="shared" si="201"/>
        <v/>
      </c>
      <c r="AH132" s="548" t="str">
        <f t="shared" si="202"/>
        <v/>
      </c>
      <c r="AI132" s="536" t="str">
        <f t="shared" si="203"/>
        <v/>
      </c>
      <c r="AJ132" s="537" t="str">
        <f t="shared" si="204"/>
        <v/>
      </c>
      <c r="AK132" s="585" t="str">
        <f t="shared" si="205"/>
        <v/>
      </c>
      <c r="AL132" s="582" t="str">
        <f t="shared" si="206"/>
        <v/>
      </c>
      <c r="AM132" s="584" t="str">
        <f t="shared" si="207"/>
        <v/>
      </c>
      <c r="AN132" s="534" t="str">
        <f t="shared" si="151"/>
        <v/>
      </c>
      <c r="AO132" s="535" t="str">
        <f t="shared" si="181"/>
        <v/>
      </c>
      <c r="AP132" s="536" t="str">
        <f t="shared" si="208"/>
        <v/>
      </c>
      <c r="AQ132" s="537" t="str">
        <f t="shared" si="129"/>
        <v/>
      </c>
      <c r="AS132" s="599" t="str">
        <f t="shared" si="209"/>
        <v/>
      </c>
      <c r="AT132" s="603" t="str">
        <f t="shared" si="130"/>
        <v/>
      </c>
      <c r="AU132" s="515" t="str">
        <f t="shared" si="210"/>
        <v/>
      </c>
      <c r="AV132" s="492" t="str">
        <f t="shared" si="211"/>
        <v/>
      </c>
      <c r="AW132" s="547" t="str">
        <f>IF($M132="","",W132-INDEX(Assy.Model!$W$9:$W$150,MATCH('SN#.Run#'!$M132,Assy.Model!$M$9:$M$150,0)))</f>
        <v/>
      </c>
      <c r="AX132" s="630" t="str">
        <f>IF($M132="","",X132-INDEX(Assy.Model!$X$9:$X$150,MATCH('SN#.Run#'!$M132,Assy.Model!$M$9:$M$150,0)))</f>
        <v/>
      </c>
      <c r="AY132" s="631" t="str">
        <f>IF($M132="","",Y132-INDEX(Assy.Model!$Y$9:$Y$150,MATCH('SN#.Run#'!$M132,Assy.Model!$M$9:$M$150,0)))</f>
        <v/>
      </c>
      <c r="AZ132" s="60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11" t="str">
        <f>IF($M132="","",AN132-INDEX(Assy.Model!$AN$9:$AN$150,MATCH('SN#.Run#'!$M132,Assy.Model!$M$9:$M$150,0)))</f>
        <v/>
      </c>
      <c r="BB132" s="535" t="str">
        <f>IF($M132="","",AO132-INDEX(Assy.Model!$AO$9:$AO$150,MATCH('SN#.Run#'!$M132,Assy.Model!$M$9:$M$150,0)))</f>
        <v/>
      </c>
      <c r="BC132" s="620" t="str">
        <f>IF($M132="","",AP132-INDEX(Assy.Model!$AP$9:$AP$150,MATCH('SN#.Run#'!$M132,Assy.Model!$M$9:$M$150,0)))</f>
        <v/>
      </c>
      <c r="BD132" s="419"/>
      <c r="BE132" s="699"/>
      <c r="BF132" s="417"/>
      <c r="BG132" s="417"/>
      <c r="BH132" s="417"/>
      <c r="IE132" s="790" t="str">
        <f>IFERROR(IF($IU132="","",IF($IU132&lt;(((Settings!$C$19/2)*-1)*$IE$8),"Taper","Nose")),"")</f>
        <v/>
      </c>
      <c r="IF132" s="482" t="str">
        <f>IFERROR(IF((((($IW132*COS(RADIANS(180-$IY132)))*COS(RADIANS($IY132)))-(($IX132*SIN(RADIANS(180-$IY132)))*SIN(RADIANS($IY132))))+$IU132)&lt;(((Settings!$C$19+$IF$8)/2)*-1),"Gage",""),"")</f>
        <v/>
      </c>
      <c r="IG132" s="788" t="str">
        <f t="shared" si="132"/>
        <v/>
      </c>
      <c r="IH132" s="674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677" t="str" cm="1">
        <f t="array" ref="II132">IFERROR(IF($IH132&lt;1,$IH132+LARGE((IF($M$9:$M$150="",0,$M$9:$M$150)-MOD(IF($M$9:$M$150="",0,$M$9:$M$150),1)),1),$IH132),"")</f>
        <v/>
      </c>
      <c r="IJ132" s="482" t="str">
        <f t="shared" si="131"/>
        <v/>
      </c>
      <c r="IK132" s="482" t="str">
        <f t="shared" si="212"/>
        <v/>
      </c>
      <c r="IL132" s="670" t="str">
        <f t="shared" si="134"/>
        <v/>
      </c>
      <c r="IM132" s="702"/>
      <c r="IN132" s="5" t="str">
        <f t="shared" si="135"/>
        <v/>
      </c>
      <c r="IO132" s="714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670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05" t="str">
        <f t="shared" si="143"/>
        <v/>
      </c>
    </row>
    <row r="133" spans="1:259" ht="15" customHeight="1" x14ac:dyDescent="0.25">
      <c r="A133" s="82"/>
      <c r="B133" s="585" t="str">
        <f t="shared" si="144"/>
        <v/>
      </c>
      <c r="C133" s="582" t="str">
        <f t="shared" si="145"/>
        <v/>
      </c>
      <c r="D133" s="583" t="str">
        <f t="shared" si="146"/>
        <v/>
      </c>
      <c r="E133" s="588" t="str">
        <f t="shared" si="147"/>
        <v/>
      </c>
      <c r="F133" s="582" t="str">
        <f t="shared" si="148"/>
        <v/>
      </c>
      <c r="G133" s="586" t="str">
        <f t="shared" si="149"/>
        <v/>
      </c>
      <c r="H133" s="588" t="str">
        <f t="shared" si="128"/>
        <v/>
      </c>
      <c r="I133" s="490"/>
      <c r="J133" s="491" t="str">
        <v/>
      </c>
      <c r="K133" s="807" t="str">
        <f t="shared" si="133"/>
        <v/>
      </c>
      <c r="M133" s="492" t="str">
        <f t="shared" si="182"/>
        <v/>
      </c>
      <c r="N133" s="581" t="str">
        <f t="shared" si="183"/>
        <v/>
      </c>
      <c r="O133" s="582" t="str">
        <f t="shared" si="184"/>
        <v/>
      </c>
      <c r="P133" s="583" t="str">
        <f t="shared" si="185"/>
        <v/>
      </c>
      <c r="Q133" s="536" t="str">
        <f t="shared" si="186"/>
        <v/>
      </c>
      <c r="R133" s="582" t="str">
        <f t="shared" si="187"/>
        <v/>
      </c>
      <c r="S133" s="584" t="str">
        <f t="shared" si="188"/>
        <v/>
      </c>
      <c r="T133" s="585" t="str">
        <f t="shared" si="189"/>
        <v/>
      </c>
      <c r="U133" s="582" t="str">
        <f t="shared" si="190"/>
        <v/>
      </c>
      <c r="V133" s="586" t="str">
        <f t="shared" si="191"/>
        <v/>
      </c>
      <c r="W133" s="536" t="str">
        <f t="shared" si="192"/>
        <v/>
      </c>
      <c r="X133" s="582" t="str">
        <f t="shared" si="193"/>
        <v/>
      </c>
      <c r="Y133" s="587" t="str">
        <f t="shared" si="150"/>
        <v/>
      </c>
      <c r="Z133" s="581" t="str">
        <f t="shared" si="194"/>
        <v/>
      </c>
      <c r="AA133" s="582" t="str">
        <f t="shared" si="195"/>
        <v/>
      </c>
      <c r="AB133" s="582" t="str">
        <f t="shared" si="196"/>
        <v/>
      </c>
      <c r="AC133" s="586" t="str">
        <f t="shared" si="197"/>
        <v/>
      </c>
      <c r="AD133" s="588" t="str">
        <f t="shared" si="198"/>
        <v/>
      </c>
      <c r="AE133" s="582" t="str">
        <f t="shared" si="199"/>
        <v/>
      </c>
      <c r="AF133" s="583" t="str">
        <f t="shared" si="200"/>
        <v/>
      </c>
      <c r="AG133" s="547" t="str">
        <f t="shared" si="201"/>
        <v/>
      </c>
      <c r="AH133" s="548" t="str">
        <f t="shared" si="202"/>
        <v/>
      </c>
      <c r="AI133" s="536" t="str">
        <f t="shared" si="203"/>
        <v/>
      </c>
      <c r="AJ133" s="537" t="str">
        <f t="shared" si="204"/>
        <v/>
      </c>
      <c r="AK133" s="585" t="str">
        <f t="shared" si="205"/>
        <v/>
      </c>
      <c r="AL133" s="582" t="str">
        <f t="shared" si="206"/>
        <v/>
      </c>
      <c r="AM133" s="584" t="str">
        <f t="shared" si="207"/>
        <v/>
      </c>
      <c r="AN133" s="534" t="str">
        <f t="shared" si="151"/>
        <v/>
      </c>
      <c r="AO133" s="535" t="str">
        <f t="shared" si="181"/>
        <v/>
      </c>
      <c r="AP133" s="536" t="str">
        <f t="shared" si="208"/>
        <v/>
      </c>
      <c r="AQ133" s="537" t="str">
        <f t="shared" si="129"/>
        <v/>
      </c>
      <c r="AS133" s="599" t="str">
        <f t="shared" si="209"/>
        <v/>
      </c>
      <c r="AT133" s="603" t="str">
        <f t="shared" si="130"/>
        <v/>
      </c>
      <c r="AU133" s="515" t="str">
        <f t="shared" si="210"/>
        <v/>
      </c>
      <c r="AV133" s="492" t="str">
        <f t="shared" si="211"/>
        <v/>
      </c>
      <c r="AW133" s="547" t="str">
        <f>IF($M133="","",W133-INDEX(Assy.Model!$W$9:$W$150,MATCH('SN#.Run#'!$M133,Assy.Model!$M$9:$M$150,0)))</f>
        <v/>
      </c>
      <c r="AX133" s="630" t="str">
        <f>IF($M133="","",X133-INDEX(Assy.Model!$X$9:$X$150,MATCH('SN#.Run#'!$M133,Assy.Model!$M$9:$M$150,0)))</f>
        <v/>
      </c>
      <c r="AY133" s="631" t="str">
        <f>IF($M133="","",Y133-INDEX(Assy.Model!$Y$9:$Y$150,MATCH('SN#.Run#'!$M133,Assy.Model!$M$9:$M$150,0)))</f>
        <v/>
      </c>
      <c r="AZ133" s="60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11" t="str">
        <f>IF($M133="","",AN133-INDEX(Assy.Model!$AN$9:$AN$150,MATCH('SN#.Run#'!$M133,Assy.Model!$M$9:$M$150,0)))</f>
        <v/>
      </c>
      <c r="BB133" s="535" t="str">
        <f>IF($M133="","",AO133-INDEX(Assy.Model!$AO$9:$AO$150,MATCH('SN#.Run#'!$M133,Assy.Model!$M$9:$M$150,0)))</f>
        <v/>
      </c>
      <c r="BC133" s="620" t="str">
        <f>IF($M133="","",AP133-INDEX(Assy.Model!$AP$9:$AP$150,MATCH('SN#.Run#'!$M133,Assy.Model!$M$9:$M$150,0)))</f>
        <v/>
      </c>
      <c r="BD133" s="419"/>
      <c r="BE133" s="699"/>
      <c r="BF133" s="417"/>
      <c r="BG133" s="417"/>
      <c r="BH133" s="417"/>
      <c r="IE133" s="790" t="str">
        <f>IFERROR(IF($IU133="","",IF($IU133&lt;(((Settings!$C$19/2)*-1)*$IE$8),"Taper","Nose")),"")</f>
        <v/>
      </c>
      <c r="IF133" s="482" t="str">
        <f>IFERROR(IF((((($IW133*COS(RADIANS(180-$IY133)))*COS(RADIANS($IY133)))-(($IX133*SIN(RADIANS(180-$IY133)))*SIN(RADIANS($IY133))))+$IU133)&lt;(((Settings!$C$19+$IF$8)/2)*-1),"Gage",""),"")</f>
        <v/>
      </c>
      <c r="IG133" s="788" t="str">
        <f t="shared" si="132"/>
        <v/>
      </c>
      <c r="IH133" s="674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677" t="str" cm="1">
        <f t="array" ref="II133">IFERROR(IF($IH133&lt;1,$IH133+LARGE((IF($M$9:$M$150="",0,$M$9:$M$150)-MOD(IF($M$9:$M$150="",0,$M$9:$M$150),1)),1),$IH133),"")</f>
        <v/>
      </c>
      <c r="IJ133" s="482" t="str">
        <f t="shared" si="131"/>
        <v/>
      </c>
      <c r="IK133" s="482" t="str">
        <f t="shared" si="212"/>
        <v/>
      </c>
      <c r="IL133" s="670" t="str">
        <f t="shared" si="134"/>
        <v/>
      </c>
      <c r="IM133" s="702"/>
      <c r="IN133" s="5" t="str">
        <f t="shared" si="135"/>
        <v/>
      </c>
      <c r="IO133" s="714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670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05" t="str">
        <f t="shared" si="143"/>
        <v/>
      </c>
    </row>
    <row r="134" spans="1:259" ht="15" customHeight="1" x14ac:dyDescent="0.25">
      <c r="A134" s="82"/>
      <c r="B134" s="585" t="str">
        <f t="shared" si="144"/>
        <v/>
      </c>
      <c r="C134" s="582" t="str">
        <f t="shared" si="145"/>
        <v/>
      </c>
      <c r="D134" s="583" t="str">
        <f t="shared" si="146"/>
        <v/>
      </c>
      <c r="E134" s="588" t="str">
        <f t="shared" si="147"/>
        <v/>
      </c>
      <c r="F134" s="582" t="str">
        <f t="shared" si="148"/>
        <v/>
      </c>
      <c r="G134" s="586" t="str">
        <f t="shared" si="149"/>
        <v/>
      </c>
      <c r="H134" s="588" t="str">
        <f t="shared" si="128"/>
        <v/>
      </c>
      <c r="I134" s="490"/>
      <c r="J134" s="491" t="str">
        <v/>
      </c>
      <c r="K134" s="807" t="str">
        <f t="shared" si="133"/>
        <v/>
      </c>
      <c r="M134" s="492" t="str">
        <f t="shared" si="182"/>
        <v/>
      </c>
      <c r="N134" s="581" t="str">
        <f t="shared" si="183"/>
        <v/>
      </c>
      <c r="O134" s="582" t="str">
        <f t="shared" si="184"/>
        <v/>
      </c>
      <c r="P134" s="583" t="str">
        <f t="shared" si="185"/>
        <v/>
      </c>
      <c r="Q134" s="536" t="str">
        <f t="shared" si="186"/>
        <v/>
      </c>
      <c r="R134" s="582" t="str">
        <f t="shared" si="187"/>
        <v/>
      </c>
      <c r="S134" s="584" t="str">
        <f t="shared" si="188"/>
        <v/>
      </c>
      <c r="T134" s="585" t="str">
        <f t="shared" si="189"/>
        <v/>
      </c>
      <c r="U134" s="582" t="str">
        <f t="shared" si="190"/>
        <v/>
      </c>
      <c r="V134" s="586" t="str">
        <f t="shared" si="191"/>
        <v/>
      </c>
      <c r="W134" s="536" t="str">
        <f t="shared" si="192"/>
        <v/>
      </c>
      <c r="X134" s="582" t="str">
        <f t="shared" si="193"/>
        <v/>
      </c>
      <c r="Y134" s="587" t="str">
        <f t="shared" si="150"/>
        <v/>
      </c>
      <c r="Z134" s="581" t="str">
        <f t="shared" si="194"/>
        <v/>
      </c>
      <c r="AA134" s="582" t="str">
        <f t="shared" si="195"/>
        <v/>
      </c>
      <c r="AB134" s="582" t="str">
        <f t="shared" si="196"/>
        <v/>
      </c>
      <c r="AC134" s="586" t="str">
        <f t="shared" si="197"/>
        <v/>
      </c>
      <c r="AD134" s="588" t="str">
        <f t="shared" si="198"/>
        <v/>
      </c>
      <c r="AE134" s="582" t="str">
        <f t="shared" si="199"/>
        <v/>
      </c>
      <c r="AF134" s="583" t="str">
        <f t="shared" si="200"/>
        <v/>
      </c>
      <c r="AG134" s="547" t="str">
        <f t="shared" si="201"/>
        <v/>
      </c>
      <c r="AH134" s="548" t="str">
        <f t="shared" si="202"/>
        <v/>
      </c>
      <c r="AI134" s="536" t="str">
        <f t="shared" si="203"/>
        <v/>
      </c>
      <c r="AJ134" s="537" t="str">
        <f t="shared" si="204"/>
        <v/>
      </c>
      <c r="AK134" s="585" t="str">
        <f t="shared" si="205"/>
        <v/>
      </c>
      <c r="AL134" s="582" t="str">
        <f t="shared" si="206"/>
        <v/>
      </c>
      <c r="AM134" s="584" t="str">
        <f t="shared" si="207"/>
        <v/>
      </c>
      <c r="AN134" s="534" t="str">
        <f t="shared" si="151"/>
        <v/>
      </c>
      <c r="AO134" s="535" t="str">
        <f t="shared" si="181"/>
        <v/>
      </c>
      <c r="AP134" s="536" t="str">
        <f t="shared" si="208"/>
        <v/>
      </c>
      <c r="AQ134" s="537" t="str">
        <f t="shared" si="129"/>
        <v/>
      </c>
      <c r="AS134" s="599" t="str">
        <f t="shared" si="209"/>
        <v/>
      </c>
      <c r="AT134" s="603" t="str">
        <f t="shared" si="130"/>
        <v/>
      </c>
      <c r="AU134" s="515" t="str">
        <f t="shared" si="210"/>
        <v/>
      </c>
      <c r="AV134" s="492" t="str">
        <f t="shared" si="211"/>
        <v/>
      </c>
      <c r="AW134" s="547" t="str">
        <f>IF($M134="","",W134-INDEX(Assy.Model!$W$9:$W$150,MATCH('SN#.Run#'!$M134,Assy.Model!$M$9:$M$150,0)))</f>
        <v/>
      </c>
      <c r="AX134" s="630" t="str">
        <f>IF($M134="","",X134-INDEX(Assy.Model!$X$9:$X$150,MATCH('SN#.Run#'!$M134,Assy.Model!$M$9:$M$150,0)))</f>
        <v/>
      </c>
      <c r="AY134" s="631" t="str">
        <f>IF($M134="","",Y134-INDEX(Assy.Model!$Y$9:$Y$150,MATCH('SN#.Run#'!$M134,Assy.Model!$M$9:$M$150,0)))</f>
        <v/>
      </c>
      <c r="AZ134" s="60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11" t="str">
        <f>IF($M134="","",AN134-INDEX(Assy.Model!$AN$9:$AN$150,MATCH('SN#.Run#'!$M134,Assy.Model!$M$9:$M$150,0)))</f>
        <v/>
      </c>
      <c r="BB134" s="535" t="str">
        <f>IF($M134="","",AO134-INDEX(Assy.Model!$AO$9:$AO$150,MATCH('SN#.Run#'!$M134,Assy.Model!$M$9:$M$150,0)))</f>
        <v/>
      </c>
      <c r="BC134" s="620" t="str">
        <f>IF($M134="","",AP134-INDEX(Assy.Model!$AP$9:$AP$150,MATCH('SN#.Run#'!$M134,Assy.Model!$M$9:$M$150,0)))</f>
        <v/>
      </c>
      <c r="BD134" s="419"/>
      <c r="BE134" s="699"/>
      <c r="BF134" s="417"/>
      <c r="BG134" s="417"/>
      <c r="BH134" s="417"/>
      <c r="IE134" s="790" t="str">
        <f>IFERROR(IF($IU134="","",IF($IU134&lt;(((Settings!$C$19/2)*-1)*$IE$8),"Taper","Nose")),"")</f>
        <v/>
      </c>
      <c r="IF134" s="482" t="str">
        <f>IFERROR(IF((((($IW134*COS(RADIANS(180-$IY134)))*COS(RADIANS($IY134)))-(($IX134*SIN(RADIANS(180-$IY134)))*SIN(RADIANS($IY134))))+$IU134)&lt;(((Settings!$C$19+$IF$8)/2)*-1),"Gage",""),"")</f>
        <v/>
      </c>
      <c r="IG134" s="788" t="str">
        <f t="shared" si="132"/>
        <v/>
      </c>
      <c r="IH134" s="674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677" t="str" cm="1">
        <f t="array" ref="II134">IFERROR(IF($IH134&lt;1,$IH134+LARGE((IF($M$9:$M$150="",0,$M$9:$M$150)-MOD(IF($M$9:$M$150="",0,$M$9:$M$150),1)),1),$IH134),"")</f>
        <v/>
      </c>
      <c r="IJ134" s="482" t="str">
        <f t="shared" si="131"/>
        <v/>
      </c>
      <c r="IK134" s="482" t="str">
        <f t="shared" si="212"/>
        <v/>
      </c>
      <c r="IL134" s="670" t="str">
        <f t="shared" si="134"/>
        <v/>
      </c>
      <c r="IM134" s="702"/>
      <c r="IN134" s="5" t="str">
        <f t="shared" si="135"/>
        <v/>
      </c>
      <c r="IO134" s="714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670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05" t="str">
        <f t="shared" si="143"/>
        <v/>
      </c>
    </row>
    <row r="135" spans="1:259" ht="15" customHeight="1" x14ac:dyDescent="0.25">
      <c r="A135" s="82"/>
      <c r="B135" s="585" t="str">
        <f t="shared" si="144"/>
        <v/>
      </c>
      <c r="C135" s="582" t="str">
        <f t="shared" si="145"/>
        <v/>
      </c>
      <c r="D135" s="583" t="str">
        <f t="shared" si="146"/>
        <v/>
      </c>
      <c r="E135" s="588" t="str">
        <f t="shared" si="147"/>
        <v/>
      </c>
      <c r="F135" s="582" t="str">
        <f t="shared" si="148"/>
        <v/>
      </c>
      <c r="G135" s="586" t="str">
        <f t="shared" si="149"/>
        <v/>
      </c>
      <c r="H135" s="588" t="str">
        <f t="shared" si="128"/>
        <v/>
      </c>
      <c r="I135" s="490"/>
      <c r="J135" s="491" t="str">
        <v/>
      </c>
      <c r="K135" s="807" t="str">
        <f t="shared" si="133"/>
        <v/>
      </c>
      <c r="M135" s="492" t="str">
        <f t="shared" si="182"/>
        <v/>
      </c>
      <c r="N135" s="581" t="str">
        <f t="shared" si="183"/>
        <v/>
      </c>
      <c r="O135" s="582" t="str">
        <f t="shared" si="184"/>
        <v/>
      </c>
      <c r="P135" s="583" t="str">
        <f t="shared" si="185"/>
        <v/>
      </c>
      <c r="Q135" s="536" t="str">
        <f t="shared" si="186"/>
        <v/>
      </c>
      <c r="R135" s="582" t="str">
        <f t="shared" si="187"/>
        <v/>
      </c>
      <c r="S135" s="584" t="str">
        <f t="shared" si="188"/>
        <v/>
      </c>
      <c r="T135" s="585" t="str">
        <f t="shared" si="189"/>
        <v/>
      </c>
      <c r="U135" s="582" t="str">
        <f t="shared" si="190"/>
        <v/>
      </c>
      <c r="V135" s="586" t="str">
        <f t="shared" si="191"/>
        <v/>
      </c>
      <c r="W135" s="536" t="str">
        <f t="shared" si="192"/>
        <v/>
      </c>
      <c r="X135" s="582" t="str">
        <f t="shared" si="193"/>
        <v/>
      </c>
      <c r="Y135" s="587" t="str">
        <f t="shared" si="150"/>
        <v/>
      </c>
      <c r="Z135" s="581" t="str">
        <f t="shared" si="194"/>
        <v/>
      </c>
      <c r="AA135" s="582" t="str">
        <f t="shared" si="195"/>
        <v/>
      </c>
      <c r="AB135" s="582" t="str">
        <f t="shared" si="196"/>
        <v/>
      </c>
      <c r="AC135" s="586" t="str">
        <f t="shared" si="197"/>
        <v/>
      </c>
      <c r="AD135" s="588" t="str">
        <f t="shared" si="198"/>
        <v/>
      </c>
      <c r="AE135" s="582" t="str">
        <f t="shared" si="199"/>
        <v/>
      </c>
      <c r="AF135" s="583" t="str">
        <f t="shared" si="200"/>
        <v/>
      </c>
      <c r="AG135" s="547" t="str">
        <f t="shared" si="201"/>
        <v/>
      </c>
      <c r="AH135" s="548" t="str">
        <f t="shared" si="202"/>
        <v/>
      </c>
      <c r="AI135" s="536" t="str">
        <f t="shared" si="203"/>
        <v/>
      </c>
      <c r="AJ135" s="537" t="str">
        <f t="shared" si="204"/>
        <v/>
      </c>
      <c r="AK135" s="585" t="str">
        <f t="shared" si="205"/>
        <v/>
      </c>
      <c r="AL135" s="582" t="str">
        <f t="shared" si="206"/>
        <v/>
      </c>
      <c r="AM135" s="584" t="str">
        <f t="shared" si="207"/>
        <v/>
      </c>
      <c r="AN135" s="534" t="str">
        <f t="shared" si="151"/>
        <v/>
      </c>
      <c r="AO135" s="535" t="str">
        <f t="shared" si="181"/>
        <v/>
      </c>
      <c r="AP135" s="536" t="str">
        <f t="shared" si="208"/>
        <v/>
      </c>
      <c r="AQ135" s="537" t="str">
        <f t="shared" si="129"/>
        <v/>
      </c>
      <c r="AS135" s="599" t="str">
        <f t="shared" si="209"/>
        <v/>
      </c>
      <c r="AT135" s="603" t="str">
        <f t="shared" si="130"/>
        <v/>
      </c>
      <c r="AU135" s="515" t="str">
        <f t="shared" si="210"/>
        <v/>
      </c>
      <c r="AV135" s="492" t="str">
        <f t="shared" si="211"/>
        <v/>
      </c>
      <c r="AW135" s="547" t="str">
        <f>IF($M135="","",W135-INDEX(Assy.Model!$W$9:$W$150,MATCH('SN#.Run#'!$M135,Assy.Model!$M$9:$M$150,0)))</f>
        <v/>
      </c>
      <c r="AX135" s="630" t="str">
        <f>IF($M135="","",X135-INDEX(Assy.Model!$X$9:$X$150,MATCH('SN#.Run#'!$M135,Assy.Model!$M$9:$M$150,0)))</f>
        <v/>
      </c>
      <c r="AY135" s="631" t="str">
        <f>IF($M135="","",Y135-INDEX(Assy.Model!$Y$9:$Y$150,MATCH('SN#.Run#'!$M135,Assy.Model!$M$9:$M$150,0)))</f>
        <v/>
      </c>
      <c r="AZ135" s="60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11" t="str">
        <f>IF($M135="","",AN135-INDEX(Assy.Model!$AN$9:$AN$150,MATCH('SN#.Run#'!$M135,Assy.Model!$M$9:$M$150,0)))</f>
        <v/>
      </c>
      <c r="BB135" s="535" t="str">
        <f>IF($M135="","",AO135-INDEX(Assy.Model!$AO$9:$AO$150,MATCH('SN#.Run#'!$M135,Assy.Model!$M$9:$M$150,0)))</f>
        <v/>
      </c>
      <c r="BC135" s="620" t="str">
        <f>IF($M135="","",AP135-INDEX(Assy.Model!$AP$9:$AP$150,MATCH('SN#.Run#'!$M135,Assy.Model!$M$9:$M$150,0)))</f>
        <v/>
      </c>
      <c r="BD135" s="419"/>
      <c r="BE135" s="699"/>
      <c r="BF135" s="417"/>
      <c r="BG135" s="417"/>
      <c r="BH135" s="417"/>
      <c r="IE135" s="790" t="str">
        <f>IFERROR(IF($IU135="","",IF($IU135&lt;(((Settings!$C$19/2)*-1)*$IE$8),"Taper","Nose")),"")</f>
        <v/>
      </c>
      <c r="IF135" s="482" t="str">
        <f>IFERROR(IF((((($IW135*COS(RADIANS(180-$IY135)))*COS(RADIANS($IY135)))-(($IX135*SIN(RADIANS(180-$IY135)))*SIN(RADIANS($IY135))))+$IU135)&lt;(((Settings!$C$19+$IF$8)/2)*-1),"Gage",""),"")</f>
        <v/>
      </c>
      <c r="IG135" s="788" t="str">
        <f t="shared" si="132"/>
        <v/>
      </c>
      <c r="IH135" s="674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677" t="str" cm="1">
        <f t="array" ref="II135">IFERROR(IF($IH135&lt;1,$IH135+LARGE((IF($M$9:$M$150="",0,$M$9:$M$150)-MOD(IF($M$9:$M$150="",0,$M$9:$M$150),1)),1),$IH135),"")</f>
        <v/>
      </c>
      <c r="IJ135" s="482" t="str">
        <f t="shared" si="131"/>
        <v/>
      </c>
      <c r="IK135" s="482" t="str">
        <f t="shared" si="212"/>
        <v/>
      </c>
      <c r="IL135" s="670" t="str">
        <f t="shared" si="134"/>
        <v/>
      </c>
      <c r="IM135" s="702"/>
      <c r="IN135" s="5" t="str">
        <f t="shared" si="135"/>
        <v/>
      </c>
      <c r="IO135" s="714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670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05" t="str">
        <f t="shared" si="143"/>
        <v/>
      </c>
    </row>
    <row r="136" spans="1:259" ht="15" customHeight="1" x14ac:dyDescent="0.25">
      <c r="A136" s="82"/>
      <c r="B136" s="585" t="str">
        <f t="shared" si="144"/>
        <v/>
      </c>
      <c r="C136" s="582" t="str">
        <f t="shared" si="145"/>
        <v/>
      </c>
      <c r="D136" s="583" t="str">
        <f t="shared" si="146"/>
        <v/>
      </c>
      <c r="E136" s="588" t="str">
        <f t="shared" si="147"/>
        <v/>
      </c>
      <c r="F136" s="582" t="str">
        <f t="shared" si="148"/>
        <v/>
      </c>
      <c r="G136" s="586" t="str">
        <f t="shared" si="149"/>
        <v/>
      </c>
      <c r="H136" s="588" t="str">
        <f t="shared" si="128"/>
        <v/>
      </c>
      <c r="I136" s="490"/>
      <c r="J136" s="491" t="str">
        <v/>
      </c>
      <c r="K136" s="807" t="str">
        <f t="shared" si="133"/>
        <v/>
      </c>
      <c r="M136" s="492" t="str">
        <f t="shared" si="182"/>
        <v/>
      </c>
      <c r="N136" s="581" t="str">
        <f t="shared" si="183"/>
        <v/>
      </c>
      <c r="O136" s="582" t="str">
        <f t="shared" si="184"/>
        <v/>
      </c>
      <c r="P136" s="583" t="str">
        <f t="shared" si="185"/>
        <v/>
      </c>
      <c r="Q136" s="536" t="str">
        <f t="shared" si="186"/>
        <v/>
      </c>
      <c r="R136" s="582" t="str">
        <f t="shared" si="187"/>
        <v/>
      </c>
      <c r="S136" s="584" t="str">
        <f t="shared" si="188"/>
        <v/>
      </c>
      <c r="T136" s="585" t="str">
        <f t="shared" si="189"/>
        <v/>
      </c>
      <c r="U136" s="582" t="str">
        <f t="shared" si="190"/>
        <v/>
      </c>
      <c r="V136" s="586" t="str">
        <f t="shared" si="191"/>
        <v/>
      </c>
      <c r="W136" s="536" t="str">
        <f t="shared" si="192"/>
        <v/>
      </c>
      <c r="X136" s="582" t="str">
        <f t="shared" si="193"/>
        <v/>
      </c>
      <c r="Y136" s="587" t="str">
        <f t="shared" si="150"/>
        <v/>
      </c>
      <c r="Z136" s="581" t="str">
        <f t="shared" si="194"/>
        <v/>
      </c>
      <c r="AA136" s="582" t="str">
        <f t="shared" si="195"/>
        <v/>
      </c>
      <c r="AB136" s="582" t="str">
        <f t="shared" si="196"/>
        <v/>
      </c>
      <c r="AC136" s="586" t="str">
        <f t="shared" si="197"/>
        <v/>
      </c>
      <c r="AD136" s="588" t="str">
        <f t="shared" si="198"/>
        <v/>
      </c>
      <c r="AE136" s="582" t="str">
        <f t="shared" si="199"/>
        <v/>
      </c>
      <c r="AF136" s="583" t="str">
        <f t="shared" si="200"/>
        <v/>
      </c>
      <c r="AG136" s="547" t="str">
        <f t="shared" si="201"/>
        <v/>
      </c>
      <c r="AH136" s="548" t="str">
        <f t="shared" si="202"/>
        <v/>
      </c>
      <c r="AI136" s="536" t="str">
        <f t="shared" si="203"/>
        <v/>
      </c>
      <c r="AJ136" s="537" t="str">
        <f t="shared" si="204"/>
        <v/>
      </c>
      <c r="AK136" s="585" t="str">
        <f t="shared" si="205"/>
        <v/>
      </c>
      <c r="AL136" s="582" t="str">
        <f t="shared" si="206"/>
        <v/>
      </c>
      <c r="AM136" s="584" t="str">
        <f t="shared" si="207"/>
        <v/>
      </c>
      <c r="AN136" s="534" t="str">
        <f t="shared" si="151"/>
        <v/>
      </c>
      <c r="AO136" s="535" t="str">
        <f t="shared" si="181"/>
        <v/>
      </c>
      <c r="AP136" s="536" t="str">
        <f t="shared" si="208"/>
        <v/>
      </c>
      <c r="AQ136" s="537" t="str">
        <f t="shared" si="129"/>
        <v/>
      </c>
      <c r="AS136" s="599" t="str">
        <f t="shared" si="209"/>
        <v/>
      </c>
      <c r="AT136" s="603" t="str">
        <f t="shared" si="130"/>
        <v/>
      </c>
      <c r="AU136" s="515" t="str">
        <f t="shared" si="210"/>
        <v/>
      </c>
      <c r="AV136" s="492" t="str">
        <f t="shared" si="211"/>
        <v/>
      </c>
      <c r="AW136" s="547" t="str">
        <f>IF($M136="","",W136-INDEX(Assy.Model!$W$9:$W$150,MATCH('SN#.Run#'!$M136,Assy.Model!$M$9:$M$150,0)))</f>
        <v/>
      </c>
      <c r="AX136" s="630" t="str">
        <f>IF($M136="","",X136-INDEX(Assy.Model!$X$9:$X$150,MATCH('SN#.Run#'!$M136,Assy.Model!$M$9:$M$150,0)))</f>
        <v/>
      </c>
      <c r="AY136" s="631" t="str">
        <f>IF($M136="","",Y136-INDEX(Assy.Model!$Y$9:$Y$150,MATCH('SN#.Run#'!$M136,Assy.Model!$M$9:$M$150,0)))</f>
        <v/>
      </c>
      <c r="AZ136" s="60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11" t="str">
        <f>IF($M136="","",AN136-INDEX(Assy.Model!$AN$9:$AN$150,MATCH('SN#.Run#'!$M136,Assy.Model!$M$9:$M$150,0)))</f>
        <v/>
      </c>
      <c r="BB136" s="535" t="str">
        <f>IF($M136="","",AO136-INDEX(Assy.Model!$AO$9:$AO$150,MATCH('SN#.Run#'!$M136,Assy.Model!$M$9:$M$150,0)))</f>
        <v/>
      </c>
      <c r="BC136" s="620" t="str">
        <f>IF($M136="","",AP136-INDEX(Assy.Model!$AP$9:$AP$150,MATCH('SN#.Run#'!$M136,Assy.Model!$M$9:$M$150,0)))</f>
        <v/>
      </c>
      <c r="BD136" s="419"/>
      <c r="BE136" s="699"/>
      <c r="BF136" s="417"/>
      <c r="BG136" s="417"/>
      <c r="BH136" s="417"/>
      <c r="IE136" s="790" t="str">
        <f>IFERROR(IF($IU136="","",IF($IU136&lt;(((Settings!$C$19/2)*-1)*$IE$8),"Taper","Nose")),"")</f>
        <v/>
      </c>
      <c r="IF136" s="482" t="str">
        <f>IFERROR(IF((((($IW136*COS(RADIANS(180-$IY136)))*COS(RADIANS($IY136)))-(($IX136*SIN(RADIANS(180-$IY136)))*SIN(RADIANS($IY136))))+$IU136)&lt;(((Settings!$C$19+$IF$8)/2)*-1),"Gage",""),"")</f>
        <v/>
      </c>
      <c r="IG136" s="788" t="str">
        <f t="shared" si="132"/>
        <v/>
      </c>
      <c r="IH136" s="674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677" t="str" cm="1">
        <f t="array" ref="II136">IFERROR(IF($IH136&lt;1,$IH136+LARGE((IF($M$9:$M$150="",0,$M$9:$M$150)-MOD(IF($M$9:$M$150="",0,$M$9:$M$150),1)),1),$IH136),"")</f>
        <v/>
      </c>
      <c r="IJ136" s="482" t="str">
        <f t="shared" si="131"/>
        <v/>
      </c>
      <c r="IK136" s="482" t="str">
        <f t="shared" si="212"/>
        <v/>
      </c>
      <c r="IL136" s="670" t="str">
        <f t="shared" si="134"/>
        <v/>
      </c>
      <c r="IM136" s="702"/>
      <c r="IN136" s="5" t="str">
        <f t="shared" si="135"/>
        <v/>
      </c>
      <c r="IO136" s="714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670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05" t="str">
        <f t="shared" si="143"/>
        <v/>
      </c>
    </row>
    <row r="137" spans="1:259" ht="15" customHeight="1" x14ac:dyDescent="0.25">
      <c r="A137" s="82"/>
      <c r="B137" s="585" t="str">
        <f t="shared" ref="B137:B150" si="213">INDEX(O$164:O$305,MATCH($M137,$M$164:$M$305,0))</f>
        <v/>
      </c>
      <c r="C137" s="582" t="str">
        <f t="shared" ref="C137:C150" si="214">INDEX(P$164:P$305,MATCH($M137,$M$164:$M$305,0))</f>
        <v/>
      </c>
      <c r="D137" s="583" t="str">
        <f t="shared" ref="D137:D150" si="215">INDEX(Q$164:Q$305,MATCH($M137,$M$164:$M$305,0))</f>
        <v/>
      </c>
      <c r="E137" s="588" t="str">
        <f t="shared" ref="E137:E150" si="216">INDEX(R$164:R$305,MATCH($M137,$M$164:$M$305,0))</f>
        <v/>
      </c>
      <c r="F137" s="582" t="str">
        <f t="shared" ref="F137:F150" si="217">INDEX(S$164:S$305,MATCH($M137,$M$164:$M$305,0))</f>
        <v/>
      </c>
      <c r="G137" s="586" t="str">
        <f t="shared" ref="G137:G150" si="218">INDEX(T$164:T$305,MATCH($M137,$M$164:$M$305,0))</f>
        <v/>
      </c>
      <c r="H137" s="588" t="str">
        <f t="shared" si="128"/>
        <v/>
      </c>
      <c r="I137" s="490"/>
      <c r="J137" s="491" t="str">
        <v/>
      </c>
      <c r="K137" s="807" t="str">
        <f t="shared" si="133"/>
        <v/>
      </c>
      <c r="M137" s="492" t="str">
        <f t="shared" si="182"/>
        <v/>
      </c>
      <c r="N137" s="581" t="str">
        <f t="shared" si="183"/>
        <v/>
      </c>
      <c r="O137" s="582" t="str">
        <f t="shared" si="184"/>
        <v/>
      </c>
      <c r="P137" s="583" t="str">
        <f t="shared" si="185"/>
        <v/>
      </c>
      <c r="Q137" s="536" t="str">
        <f t="shared" si="186"/>
        <v/>
      </c>
      <c r="R137" s="582" t="str">
        <f t="shared" si="187"/>
        <v/>
      </c>
      <c r="S137" s="584" t="str">
        <f t="shared" si="188"/>
        <v/>
      </c>
      <c r="T137" s="585" t="str">
        <f t="shared" si="189"/>
        <v/>
      </c>
      <c r="U137" s="582" t="str">
        <f t="shared" si="190"/>
        <v/>
      </c>
      <c r="V137" s="586" t="str">
        <f t="shared" si="191"/>
        <v/>
      </c>
      <c r="W137" s="536" t="str">
        <f t="shared" si="192"/>
        <v/>
      </c>
      <c r="X137" s="582" t="str">
        <f t="shared" si="193"/>
        <v/>
      </c>
      <c r="Y137" s="587" t="str">
        <f t="shared" ref="Y137:Y150" si="219">IF(M137="","",(S137-$S$8)+$X$1)</f>
        <v/>
      </c>
      <c r="Z137" s="581" t="str">
        <f t="shared" si="194"/>
        <v/>
      </c>
      <c r="AA137" s="582" t="str">
        <f t="shared" si="195"/>
        <v/>
      </c>
      <c r="AB137" s="582" t="str">
        <f t="shared" si="196"/>
        <v/>
      </c>
      <c r="AC137" s="586" t="str">
        <f t="shared" si="197"/>
        <v/>
      </c>
      <c r="AD137" s="588" t="str">
        <f t="shared" si="198"/>
        <v/>
      </c>
      <c r="AE137" s="582" t="str">
        <f t="shared" si="199"/>
        <v/>
      </c>
      <c r="AF137" s="583" t="str">
        <f t="shared" si="200"/>
        <v/>
      </c>
      <c r="AG137" s="547" t="str">
        <f t="shared" si="201"/>
        <v/>
      </c>
      <c r="AH137" s="548" t="str">
        <f t="shared" si="202"/>
        <v/>
      </c>
      <c r="AI137" s="536" t="str">
        <f t="shared" si="203"/>
        <v/>
      </c>
      <c r="AJ137" s="537" t="str">
        <f t="shared" si="204"/>
        <v/>
      </c>
      <c r="AK137" s="585" t="str">
        <f t="shared" si="205"/>
        <v/>
      </c>
      <c r="AL137" s="582" t="str">
        <f t="shared" si="206"/>
        <v/>
      </c>
      <c r="AM137" s="584" t="str">
        <f t="shared" si="207"/>
        <v/>
      </c>
      <c r="AN137" s="534" t="str">
        <f t="shared" si="151"/>
        <v/>
      </c>
      <c r="AO137" s="535" t="str">
        <f t="shared" si="181"/>
        <v/>
      </c>
      <c r="AP137" s="536" t="str">
        <f t="shared" si="208"/>
        <v/>
      </c>
      <c r="AQ137" s="537" t="str">
        <f t="shared" si="129"/>
        <v/>
      </c>
      <c r="AS137" s="599" t="str">
        <f t="shared" si="209"/>
        <v/>
      </c>
      <c r="AT137" s="603" t="str">
        <f t="shared" si="130"/>
        <v/>
      </c>
      <c r="AU137" s="515" t="str">
        <f t="shared" si="210"/>
        <v/>
      </c>
      <c r="AV137" s="492" t="str">
        <f t="shared" si="211"/>
        <v/>
      </c>
      <c r="AW137" s="547" t="str">
        <f>IF($M137="","",W137-INDEX(Assy.Model!$W$9:$W$150,MATCH('SN#.Run#'!$M137,Assy.Model!$M$9:$M$150,0)))</f>
        <v/>
      </c>
      <c r="AX137" s="630" t="str">
        <f>IF($M137="","",X137-INDEX(Assy.Model!$X$9:$X$150,MATCH('SN#.Run#'!$M137,Assy.Model!$M$9:$M$150,0)))</f>
        <v/>
      </c>
      <c r="AY137" s="631" t="str">
        <f>IF($M137="","",Y137-INDEX(Assy.Model!$Y$9:$Y$150,MATCH('SN#.Run#'!$M137,Assy.Model!$M$9:$M$150,0)))</f>
        <v/>
      </c>
      <c r="AZ137" s="60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11" t="str">
        <f>IF($M137="","",AN137-INDEX(Assy.Model!$AN$9:$AN$150,MATCH('SN#.Run#'!$M137,Assy.Model!$M$9:$M$150,0)))</f>
        <v/>
      </c>
      <c r="BB137" s="535" t="str">
        <f>IF($M137="","",AO137-INDEX(Assy.Model!$AO$9:$AO$150,MATCH('SN#.Run#'!$M137,Assy.Model!$M$9:$M$150,0)))</f>
        <v/>
      </c>
      <c r="BC137" s="620" t="str">
        <f>IF($M137="","",AP137-INDEX(Assy.Model!$AP$9:$AP$150,MATCH('SN#.Run#'!$M137,Assy.Model!$M$9:$M$150,0)))</f>
        <v/>
      </c>
      <c r="BD137" s="419"/>
      <c r="BE137" s="699"/>
      <c r="BF137" s="417"/>
      <c r="BG137" s="417"/>
      <c r="BH137" s="417"/>
      <c r="IE137" s="790" t="str">
        <f>IFERROR(IF($IU137="","",IF($IU137&lt;(((Settings!$C$19/2)*-1)*$IE$8),"Taper","Nose")),"")</f>
        <v/>
      </c>
      <c r="IF137" s="482" t="str">
        <f>IFERROR(IF((((($IW137*COS(RADIANS(180-$IY137)))*COS(RADIANS($IY137)))-(($IX137*SIN(RADIANS(180-$IY137)))*SIN(RADIANS($IY137))))+$IU137)&lt;(((Settings!$C$19+$IF$8)/2)*-1),"Gage",""),"")</f>
        <v/>
      </c>
      <c r="IG137" s="788" t="str">
        <f t="shared" si="132"/>
        <v/>
      </c>
      <c r="IH137" s="674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677" t="str" cm="1">
        <f t="array" ref="II137">IFERROR(IF($IH137&lt;1,$IH137+LARGE((IF($M$9:$M$150="",0,$M$9:$M$150)-MOD(IF($M$9:$M$150="",0,$M$9:$M$150),1)),1),$IH137),"")</f>
        <v/>
      </c>
      <c r="IJ137" s="482" t="str">
        <f t="shared" si="131"/>
        <v/>
      </c>
      <c r="IK137" s="482" t="str">
        <f t="shared" si="212"/>
        <v/>
      </c>
      <c r="IL137" s="670" t="str">
        <f t="shared" si="134"/>
        <v/>
      </c>
      <c r="IM137" s="702"/>
      <c r="IN137" s="5" t="str">
        <f t="shared" si="135"/>
        <v/>
      </c>
      <c r="IO137" s="714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670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05" t="str">
        <f t="shared" si="143"/>
        <v/>
      </c>
    </row>
    <row r="138" spans="1:259" ht="15" customHeight="1" x14ac:dyDescent="0.25">
      <c r="A138" s="82"/>
      <c r="B138" s="585" t="str">
        <f t="shared" si="213"/>
        <v/>
      </c>
      <c r="C138" s="582" t="str">
        <f t="shared" si="214"/>
        <v/>
      </c>
      <c r="D138" s="583" t="str">
        <f t="shared" si="215"/>
        <v/>
      </c>
      <c r="E138" s="588" t="str">
        <f t="shared" si="216"/>
        <v/>
      </c>
      <c r="F138" s="582" t="str">
        <f t="shared" si="217"/>
        <v/>
      </c>
      <c r="G138" s="586" t="str">
        <f t="shared" si="218"/>
        <v/>
      </c>
      <c r="H138" s="588" t="str">
        <f t="shared" ref="H138:H150" si="222">IF(INDEX(H$164:H$305,MATCH($M138,$M$164:$M$305,0))=0,"",INDEX(H$164:H$305,MATCH($M138,$M$164:$M$305,0)))</f>
        <v/>
      </c>
      <c r="I138" s="490"/>
      <c r="J138" s="491" t="str">
        <v/>
      </c>
      <c r="K138" s="807" t="str">
        <f t="shared" si="133"/>
        <v/>
      </c>
      <c r="M138" s="492" t="str">
        <f t="shared" si="182"/>
        <v/>
      </c>
      <c r="N138" s="581" t="str">
        <f t="shared" si="183"/>
        <v/>
      </c>
      <c r="O138" s="582" t="str">
        <f t="shared" si="184"/>
        <v/>
      </c>
      <c r="P138" s="583" t="str">
        <f t="shared" si="185"/>
        <v/>
      </c>
      <c r="Q138" s="536" t="str">
        <f t="shared" si="186"/>
        <v/>
      </c>
      <c r="R138" s="582" t="str">
        <f t="shared" si="187"/>
        <v/>
      </c>
      <c r="S138" s="584" t="str">
        <f t="shared" si="188"/>
        <v/>
      </c>
      <c r="T138" s="585" t="str">
        <f t="shared" si="189"/>
        <v/>
      </c>
      <c r="U138" s="582" t="str">
        <f t="shared" si="190"/>
        <v/>
      </c>
      <c r="V138" s="586" t="str">
        <f t="shared" si="191"/>
        <v/>
      </c>
      <c r="W138" s="536" t="str">
        <f t="shared" si="192"/>
        <v/>
      </c>
      <c r="X138" s="582" t="str">
        <f t="shared" si="193"/>
        <v/>
      </c>
      <c r="Y138" s="587" t="str">
        <f t="shared" si="219"/>
        <v/>
      </c>
      <c r="Z138" s="581" t="str">
        <f t="shared" si="194"/>
        <v/>
      </c>
      <c r="AA138" s="582" t="str">
        <f t="shared" si="195"/>
        <v/>
      </c>
      <c r="AB138" s="582" t="str">
        <f t="shared" si="196"/>
        <v/>
      </c>
      <c r="AC138" s="586" t="str">
        <f t="shared" si="197"/>
        <v/>
      </c>
      <c r="AD138" s="588" t="str">
        <f t="shared" si="198"/>
        <v/>
      </c>
      <c r="AE138" s="582" t="str">
        <f t="shared" si="199"/>
        <v/>
      </c>
      <c r="AF138" s="583" t="str">
        <f t="shared" si="200"/>
        <v/>
      </c>
      <c r="AG138" s="547" t="str">
        <f t="shared" si="201"/>
        <v/>
      </c>
      <c r="AH138" s="548" t="str">
        <f t="shared" si="202"/>
        <v/>
      </c>
      <c r="AI138" s="536" t="str">
        <f t="shared" si="203"/>
        <v/>
      </c>
      <c r="AJ138" s="537" t="str">
        <f t="shared" si="204"/>
        <v/>
      </c>
      <c r="AK138" s="585" t="str">
        <f t="shared" si="205"/>
        <v/>
      </c>
      <c r="AL138" s="582" t="str">
        <f t="shared" si="206"/>
        <v/>
      </c>
      <c r="AM138" s="584" t="str">
        <f t="shared" si="207"/>
        <v/>
      </c>
      <c r="AN138" s="534" t="str">
        <f t="shared" si="151"/>
        <v/>
      </c>
      <c r="AO138" s="535" t="str">
        <f t="shared" si="181"/>
        <v/>
      </c>
      <c r="AP138" s="536" t="str">
        <f t="shared" si="208"/>
        <v/>
      </c>
      <c r="AQ138" s="537" t="str">
        <f t="shared" ref="AQ138:AQ150" si="223">IF(M138="","",DEGREES(ATAN(($AS$5*SIN(RADIANS(90)))/(($X138*2*PI())-($AS$5*COS(RADIANS(90)))))))</f>
        <v/>
      </c>
      <c r="AS138" s="599" t="str">
        <f t="shared" si="209"/>
        <v/>
      </c>
      <c r="AT138" s="603" t="str">
        <f t="shared" ref="AT138:AT150" si="224">IF($M138="","",$Y138+((($AS138-$AS$9)*$AS$6)*-1)-IF($AS138&lt;30,$AS$5,0))</f>
        <v/>
      </c>
      <c r="AU138" s="515" t="str">
        <f t="shared" si="210"/>
        <v/>
      </c>
      <c r="AV138" s="492" t="str">
        <f t="shared" si="211"/>
        <v/>
      </c>
      <c r="AW138" s="547" t="str">
        <f>IF($M138="","",W138-INDEX(Assy.Model!$W$9:$W$150,MATCH('SN#.Run#'!$M138,Assy.Model!$M$9:$M$150,0)))</f>
        <v/>
      </c>
      <c r="AX138" s="630" t="str">
        <f>IF($M138="","",X138-INDEX(Assy.Model!$X$9:$X$150,MATCH('SN#.Run#'!$M138,Assy.Model!$M$9:$M$150,0)))</f>
        <v/>
      </c>
      <c r="AY138" s="631" t="str">
        <f>IF($M138="","",Y138-INDEX(Assy.Model!$Y$9:$Y$150,MATCH('SN#.Run#'!$M138,Assy.Model!$M$9:$M$150,0)))</f>
        <v/>
      </c>
      <c r="AZ138" s="60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11" t="str">
        <f>IF($M138="","",AN138-INDEX(Assy.Model!$AN$9:$AN$150,MATCH('SN#.Run#'!$M138,Assy.Model!$M$9:$M$150,0)))</f>
        <v/>
      </c>
      <c r="BB138" s="535" t="str">
        <f>IF($M138="","",AO138-INDEX(Assy.Model!$AO$9:$AO$150,MATCH('SN#.Run#'!$M138,Assy.Model!$M$9:$M$150,0)))</f>
        <v/>
      </c>
      <c r="BC138" s="620" t="str">
        <f>IF($M138="","",AP138-INDEX(Assy.Model!$AP$9:$AP$150,MATCH('SN#.Run#'!$M138,Assy.Model!$M$9:$M$150,0)))</f>
        <v/>
      </c>
      <c r="BD138" s="419"/>
      <c r="BE138" s="699"/>
      <c r="BF138" s="417"/>
      <c r="BG138" s="417"/>
      <c r="BH138" s="417"/>
      <c r="IE138" s="790" t="str">
        <f>IFERROR(IF($IU138="","",IF($IU138&lt;(((Settings!$C$19/2)*-1)*$IE$8),"Taper","Nose")),"")</f>
        <v/>
      </c>
      <c r="IF138" s="482" t="str">
        <f>IFERROR(IF((((($IW138*COS(RADIANS(180-$IY138)))*COS(RADIANS($IY138)))-(($IX138*SIN(RADIANS(180-$IY138)))*SIN(RADIANS($IY138))))+$IU138)&lt;(((Settings!$C$19+$IF$8)/2)*-1),"Gage",""),"")</f>
        <v/>
      </c>
      <c r="IG138" s="788" t="str">
        <f t="shared" si="132"/>
        <v/>
      </c>
      <c r="IH138" s="674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677" t="str" cm="1">
        <f t="array" ref="II138">IFERROR(IF($IH138&lt;1,$IH138+LARGE((IF($M$9:$M$150="",0,$M$9:$M$150)-MOD(IF($M$9:$M$150="",0,$M$9:$M$150),1)),1),$IH138),"")</f>
        <v/>
      </c>
      <c r="IJ138" s="482" t="str">
        <f t="shared" ref="IJ138:IJ150" si="225">IF(ISNUMBER($II138),INDEX($K$9:$K$150,MATCH($II138,$M$9:$M$150,0)),$K138)</f>
        <v/>
      </c>
      <c r="IK138" s="482" t="str">
        <f t="shared" si="212"/>
        <v/>
      </c>
      <c r="IL138" s="670" t="str">
        <f t="shared" si="134"/>
        <v/>
      </c>
      <c r="IM138" s="702"/>
      <c r="IN138" s="5" t="str">
        <f t="shared" si="135"/>
        <v/>
      </c>
      <c r="IO138" s="714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670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05" t="str">
        <f t="shared" si="143"/>
        <v/>
      </c>
    </row>
    <row r="139" spans="1:259" ht="15" customHeight="1" x14ac:dyDescent="0.25">
      <c r="A139" s="82"/>
      <c r="B139" s="585" t="str">
        <f t="shared" si="213"/>
        <v/>
      </c>
      <c r="C139" s="582" t="str">
        <f t="shared" si="214"/>
        <v/>
      </c>
      <c r="D139" s="583" t="str">
        <f t="shared" si="215"/>
        <v/>
      </c>
      <c r="E139" s="588" t="str">
        <f t="shared" si="216"/>
        <v/>
      </c>
      <c r="F139" s="582" t="str">
        <f t="shared" si="217"/>
        <v/>
      </c>
      <c r="G139" s="586" t="str">
        <f t="shared" si="218"/>
        <v/>
      </c>
      <c r="H139" s="588" t="str">
        <f t="shared" si="222"/>
        <v/>
      </c>
      <c r="I139" s="490"/>
      <c r="J139" s="491" t="str">
        <v/>
      </c>
      <c r="K139" s="807" t="str">
        <f t="shared" si="133"/>
        <v/>
      </c>
      <c r="M139" s="492" t="str">
        <f t="shared" si="182"/>
        <v/>
      </c>
      <c r="N139" s="581" t="str">
        <f t="shared" si="183"/>
        <v/>
      </c>
      <c r="O139" s="582" t="str">
        <f t="shared" si="184"/>
        <v/>
      </c>
      <c r="P139" s="583" t="str">
        <f t="shared" si="185"/>
        <v/>
      </c>
      <c r="Q139" s="536" t="str">
        <f t="shared" si="186"/>
        <v/>
      </c>
      <c r="R139" s="582" t="str">
        <f t="shared" si="187"/>
        <v/>
      </c>
      <c r="S139" s="584" t="str">
        <f t="shared" si="188"/>
        <v/>
      </c>
      <c r="T139" s="585" t="str">
        <f t="shared" si="189"/>
        <v/>
      </c>
      <c r="U139" s="582" t="str">
        <f t="shared" si="190"/>
        <v/>
      </c>
      <c r="V139" s="586" t="str">
        <f t="shared" si="191"/>
        <v/>
      </c>
      <c r="W139" s="536" t="str">
        <f t="shared" si="192"/>
        <v/>
      </c>
      <c r="X139" s="582" t="str">
        <f t="shared" si="193"/>
        <v/>
      </c>
      <c r="Y139" s="587" t="str">
        <f t="shared" si="219"/>
        <v/>
      </c>
      <c r="Z139" s="581" t="str">
        <f t="shared" si="194"/>
        <v/>
      </c>
      <c r="AA139" s="582" t="str">
        <f t="shared" si="195"/>
        <v/>
      </c>
      <c r="AB139" s="582" t="str">
        <f t="shared" si="196"/>
        <v/>
      </c>
      <c r="AC139" s="586" t="str">
        <f t="shared" si="197"/>
        <v/>
      </c>
      <c r="AD139" s="588" t="str">
        <f t="shared" si="198"/>
        <v/>
      </c>
      <c r="AE139" s="582" t="str">
        <f t="shared" si="199"/>
        <v/>
      </c>
      <c r="AF139" s="583" t="str">
        <f t="shared" si="200"/>
        <v/>
      </c>
      <c r="AG139" s="547" t="str">
        <f t="shared" si="201"/>
        <v/>
      </c>
      <c r="AH139" s="548" t="str">
        <f t="shared" si="202"/>
        <v/>
      </c>
      <c r="AI139" s="536" t="str">
        <f t="shared" si="203"/>
        <v/>
      </c>
      <c r="AJ139" s="537" t="str">
        <f t="shared" si="204"/>
        <v/>
      </c>
      <c r="AK139" s="585" t="str">
        <f t="shared" si="205"/>
        <v/>
      </c>
      <c r="AL139" s="582" t="str">
        <f t="shared" si="206"/>
        <v/>
      </c>
      <c r="AM139" s="584" t="str">
        <f t="shared" si="207"/>
        <v/>
      </c>
      <c r="AN139" s="534" t="str">
        <f t="shared" si="151"/>
        <v/>
      </c>
      <c r="AO139" s="535" t="str">
        <f t="shared" si="181"/>
        <v/>
      </c>
      <c r="AP139" s="536" t="str">
        <f t="shared" si="208"/>
        <v/>
      </c>
      <c r="AQ139" s="537" t="str">
        <f t="shared" si="223"/>
        <v/>
      </c>
      <c r="AS139" s="599" t="str">
        <f t="shared" si="209"/>
        <v/>
      </c>
      <c r="AT139" s="603" t="str">
        <f t="shared" si="224"/>
        <v/>
      </c>
      <c r="AU139" s="515" t="str">
        <f t="shared" si="210"/>
        <v/>
      </c>
      <c r="AV139" s="492" t="str">
        <f t="shared" si="211"/>
        <v/>
      </c>
      <c r="AW139" s="547" t="str">
        <f>IF($M139="","",W139-INDEX(Assy.Model!$W$9:$W$150,MATCH('SN#.Run#'!$M139,Assy.Model!$M$9:$M$150,0)))</f>
        <v/>
      </c>
      <c r="AX139" s="630" t="str">
        <f>IF($M139="","",X139-INDEX(Assy.Model!$X$9:$X$150,MATCH('SN#.Run#'!$M139,Assy.Model!$M$9:$M$150,0)))</f>
        <v/>
      </c>
      <c r="AY139" s="631" t="str">
        <f>IF($M139="","",Y139-INDEX(Assy.Model!$Y$9:$Y$150,MATCH('SN#.Run#'!$M139,Assy.Model!$M$9:$M$150,0)))</f>
        <v/>
      </c>
      <c r="AZ139" s="60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11" t="str">
        <f>IF($M139="","",AN139-INDEX(Assy.Model!$AN$9:$AN$150,MATCH('SN#.Run#'!$M139,Assy.Model!$M$9:$M$150,0)))</f>
        <v/>
      </c>
      <c r="BB139" s="535" t="str">
        <f>IF($M139="","",AO139-INDEX(Assy.Model!$AO$9:$AO$150,MATCH('SN#.Run#'!$M139,Assy.Model!$M$9:$M$150,0)))</f>
        <v/>
      </c>
      <c r="BC139" s="620" t="str">
        <f>IF($M139="","",AP139-INDEX(Assy.Model!$AP$9:$AP$150,MATCH('SN#.Run#'!$M139,Assy.Model!$M$9:$M$150,0)))</f>
        <v/>
      </c>
      <c r="BD139" s="419"/>
      <c r="BE139" s="699"/>
      <c r="BF139" s="417"/>
      <c r="BG139" s="417"/>
      <c r="BH139" s="417"/>
      <c r="IE139" s="790" t="str">
        <f>IFERROR(IF($IU139="","",IF($IU139&lt;(((Settings!$C$19/2)*-1)*$IE$8),"Taper","Nose")),"")</f>
        <v/>
      </c>
      <c r="IF139" s="482" t="str">
        <f>IFERROR(IF((((($IW139*COS(RADIANS(180-$IY139)))*COS(RADIANS($IY139)))-(($IX139*SIN(RADIANS(180-$IY139)))*SIN(RADIANS($IY139))))+$IU139)&lt;(((Settings!$C$19+$IF$8)/2)*-1),"Gage",""),"")</f>
        <v/>
      </c>
      <c r="IG139" s="788" t="str">
        <f t="shared" ref="IG139:IG150" si="226">$M139</f>
        <v/>
      </c>
      <c r="IH139" s="674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677" t="str" cm="1">
        <f t="array" ref="II139">IFERROR(IF($IH139&lt;1,$IH139+LARGE((IF($M$9:$M$150="",0,$M$9:$M$150)-MOD(IF($M$9:$M$150="",0,$M$9:$M$150),1)),1),$IH139),"")</f>
        <v/>
      </c>
      <c r="IJ139" s="482" t="str">
        <f t="shared" si="225"/>
        <v/>
      </c>
      <c r="IK139" s="482" t="str">
        <f t="shared" si="212"/>
        <v/>
      </c>
      <c r="IL139" s="670" t="str">
        <f t="shared" si="134"/>
        <v/>
      </c>
      <c r="IM139" s="702"/>
      <c r="IN139" s="5" t="str">
        <f t="shared" si="135"/>
        <v/>
      </c>
      <c r="IO139" s="714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670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05" t="str">
        <f t="shared" si="143"/>
        <v/>
      </c>
    </row>
    <row r="140" spans="1:259" ht="15" customHeight="1" x14ac:dyDescent="0.25">
      <c r="A140" s="82"/>
      <c r="B140" s="585" t="str">
        <f t="shared" si="213"/>
        <v/>
      </c>
      <c r="C140" s="582" t="str">
        <f t="shared" si="214"/>
        <v/>
      </c>
      <c r="D140" s="583" t="str">
        <f t="shared" si="215"/>
        <v/>
      </c>
      <c r="E140" s="588" t="str">
        <f t="shared" si="216"/>
        <v/>
      </c>
      <c r="F140" s="582" t="str">
        <f t="shared" si="217"/>
        <v/>
      </c>
      <c r="G140" s="586" t="str">
        <f t="shared" si="218"/>
        <v/>
      </c>
      <c r="H140" s="588" t="str">
        <f t="shared" si="222"/>
        <v/>
      </c>
      <c r="I140" s="490"/>
      <c r="J140" s="491" t="str">
        <v/>
      </c>
      <c r="K140" s="807" t="str">
        <f t="shared" ref="K140:K150" si="227">IF(INDEX(N$164:N$305,MATCH($M140,$M$164:$M$305,0))=0,"",INDEX(N$164:N$305,MATCH($M140,$M$164:$M$305,0)))</f>
        <v/>
      </c>
      <c r="M140" s="492" t="str">
        <f t="shared" si="182"/>
        <v/>
      </c>
      <c r="N140" s="581" t="str">
        <f t="shared" si="183"/>
        <v/>
      </c>
      <c r="O140" s="582" t="str">
        <f t="shared" si="184"/>
        <v/>
      </c>
      <c r="P140" s="583" t="str">
        <f t="shared" si="185"/>
        <v/>
      </c>
      <c r="Q140" s="536" t="str">
        <f t="shared" si="186"/>
        <v/>
      </c>
      <c r="R140" s="582" t="str">
        <f t="shared" si="187"/>
        <v/>
      </c>
      <c r="S140" s="584" t="str">
        <f t="shared" si="188"/>
        <v/>
      </c>
      <c r="T140" s="585" t="str">
        <f t="shared" si="189"/>
        <v/>
      </c>
      <c r="U140" s="582" t="str">
        <f t="shared" si="190"/>
        <v/>
      </c>
      <c r="V140" s="586" t="str">
        <f t="shared" si="191"/>
        <v/>
      </c>
      <c r="W140" s="536" t="str">
        <f t="shared" si="192"/>
        <v/>
      </c>
      <c r="X140" s="582" t="str">
        <f t="shared" si="193"/>
        <v/>
      </c>
      <c r="Y140" s="587" t="str">
        <f t="shared" si="219"/>
        <v/>
      </c>
      <c r="Z140" s="581" t="str">
        <f t="shared" si="194"/>
        <v/>
      </c>
      <c r="AA140" s="582" t="str">
        <f t="shared" si="195"/>
        <v/>
      </c>
      <c r="AB140" s="582" t="str">
        <f t="shared" si="196"/>
        <v/>
      </c>
      <c r="AC140" s="586" t="str">
        <f t="shared" si="197"/>
        <v/>
      </c>
      <c r="AD140" s="588" t="str">
        <f t="shared" si="198"/>
        <v/>
      </c>
      <c r="AE140" s="582" t="str">
        <f t="shared" si="199"/>
        <v/>
      </c>
      <c r="AF140" s="583" t="str">
        <f t="shared" si="200"/>
        <v/>
      </c>
      <c r="AG140" s="547" t="str">
        <f t="shared" si="201"/>
        <v/>
      </c>
      <c r="AH140" s="548" t="str">
        <f t="shared" si="202"/>
        <v/>
      </c>
      <c r="AI140" s="536" t="str">
        <f t="shared" si="203"/>
        <v/>
      </c>
      <c r="AJ140" s="537" t="str">
        <f t="shared" si="204"/>
        <v/>
      </c>
      <c r="AK140" s="585" t="str">
        <f t="shared" si="205"/>
        <v/>
      </c>
      <c r="AL140" s="582" t="str">
        <f t="shared" si="206"/>
        <v/>
      </c>
      <c r="AM140" s="584" t="str">
        <f t="shared" si="207"/>
        <v/>
      </c>
      <c r="AN140" s="534" t="str">
        <f t="shared" si="151"/>
        <v/>
      </c>
      <c r="AO140" s="535" t="str">
        <f t="shared" si="181"/>
        <v/>
      </c>
      <c r="AP140" s="536" t="str">
        <f t="shared" si="208"/>
        <v/>
      </c>
      <c r="AQ140" s="537" t="str">
        <f t="shared" si="223"/>
        <v/>
      </c>
      <c r="AS140" s="599" t="str">
        <f t="shared" si="209"/>
        <v/>
      </c>
      <c r="AT140" s="603" t="str">
        <f t="shared" si="224"/>
        <v/>
      </c>
      <c r="AU140" s="515" t="str">
        <f t="shared" si="210"/>
        <v/>
      </c>
      <c r="AV140" s="492" t="str">
        <f t="shared" si="211"/>
        <v/>
      </c>
      <c r="AW140" s="547" t="str">
        <f>IF($M140="","",W140-INDEX(Assy.Model!$W$9:$W$150,MATCH('SN#.Run#'!$M140,Assy.Model!$M$9:$M$150,0)))</f>
        <v/>
      </c>
      <c r="AX140" s="630" t="str">
        <f>IF($M140="","",X140-INDEX(Assy.Model!$X$9:$X$150,MATCH('SN#.Run#'!$M140,Assy.Model!$M$9:$M$150,0)))</f>
        <v/>
      </c>
      <c r="AY140" s="631" t="str">
        <f>IF($M140="","",Y140-INDEX(Assy.Model!$Y$9:$Y$150,MATCH('SN#.Run#'!$M140,Assy.Model!$M$9:$M$150,0)))</f>
        <v/>
      </c>
      <c r="AZ140" s="60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11" t="str">
        <f>IF($M140="","",AN140-INDEX(Assy.Model!$AN$9:$AN$150,MATCH('SN#.Run#'!$M140,Assy.Model!$M$9:$M$150,0)))</f>
        <v/>
      </c>
      <c r="BB140" s="535" t="str">
        <f>IF($M140="","",AO140-INDEX(Assy.Model!$AO$9:$AO$150,MATCH('SN#.Run#'!$M140,Assy.Model!$M$9:$M$150,0)))</f>
        <v/>
      </c>
      <c r="BC140" s="620" t="str">
        <f>IF($M140="","",AP140-INDEX(Assy.Model!$AP$9:$AP$150,MATCH('SN#.Run#'!$M140,Assy.Model!$M$9:$M$150,0)))</f>
        <v/>
      </c>
      <c r="BD140" s="419"/>
      <c r="BE140" s="699"/>
      <c r="BF140" s="417"/>
      <c r="BG140" s="417"/>
      <c r="BH140" s="417"/>
      <c r="IE140" s="790" t="str">
        <f>IFERROR(IF($IU140="","",IF($IU140&lt;(((Settings!$C$19/2)*-1)*$IE$8),"Taper","Nose")),"")</f>
        <v/>
      </c>
      <c r="IF140" s="482" t="str">
        <f>IFERROR(IF((((($IW140*COS(RADIANS(180-$IY140)))*COS(RADIANS($IY140)))-(($IX140*SIN(RADIANS(180-$IY140)))*SIN(RADIANS($IY140))))+$IU140)&lt;(((Settings!$C$19+$IF$8)/2)*-1),"Gage",""),"")</f>
        <v/>
      </c>
      <c r="IG140" s="788" t="str">
        <f t="shared" si="226"/>
        <v/>
      </c>
      <c r="IH140" s="674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677" t="str" cm="1">
        <f t="array" ref="II140">IFERROR(IF($IH140&lt;1,$IH140+LARGE((IF($M$9:$M$150="",0,$M$9:$M$150)-MOD(IF($M$9:$M$150="",0,$M$9:$M$150),1)),1),$IH140),"")</f>
        <v/>
      </c>
      <c r="IJ140" s="482" t="str">
        <f t="shared" si="225"/>
        <v/>
      </c>
      <c r="IK140" s="482" t="str">
        <f t="shared" si="212"/>
        <v/>
      </c>
      <c r="IL140" s="670" t="str">
        <f t="shared" si="134"/>
        <v/>
      </c>
      <c r="IM140" s="702"/>
      <c r="IN140" s="5" t="str">
        <f t="shared" si="135"/>
        <v/>
      </c>
      <c r="IO140" s="714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670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05" t="str">
        <f t="shared" si="143"/>
        <v/>
      </c>
    </row>
    <row r="141" spans="1:259" ht="15" customHeight="1" x14ac:dyDescent="0.25">
      <c r="A141" s="82"/>
      <c r="B141" s="585" t="str">
        <f t="shared" si="213"/>
        <v/>
      </c>
      <c r="C141" s="582" t="str">
        <f t="shared" si="214"/>
        <v/>
      </c>
      <c r="D141" s="583" t="str">
        <f t="shared" si="215"/>
        <v/>
      </c>
      <c r="E141" s="588" t="str">
        <f t="shared" si="216"/>
        <v/>
      </c>
      <c r="F141" s="582" t="str">
        <f t="shared" si="217"/>
        <v/>
      </c>
      <c r="G141" s="586" t="str">
        <f t="shared" si="218"/>
        <v/>
      </c>
      <c r="H141" s="588" t="str">
        <f t="shared" si="222"/>
        <v/>
      </c>
      <c r="I141" s="490"/>
      <c r="J141" s="491" t="str">
        <v/>
      </c>
      <c r="K141" s="807" t="str">
        <f t="shared" si="227"/>
        <v/>
      </c>
      <c r="M141" s="492" t="str">
        <f t="shared" si="182"/>
        <v/>
      </c>
      <c r="N141" s="581" t="str">
        <f t="shared" si="183"/>
        <v/>
      </c>
      <c r="O141" s="582" t="str">
        <f t="shared" si="184"/>
        <v/>
      </c>
      <c r="P141" s="583" t="str">
        <f t="shared" si="185"/>
        <v/>
      </c>
      <c r="Q141" s="536" t="str">
        <f t="shared" si="186"/>
        <v/>
      </c>
      <c r="R141" s="582" t="str">
        <f t="shared" si="187"/>
        <v/>
      </c>
      <c r="S141" s="584" t="str">
        <f t="shared" si="188"/>
        <v/>
      </c>
      <c r="T141" s="585" t="str">
        <f t="shared" si="189"/>
        <v/>
      </c>
      <c r="U141" s="582" t="str">
        <f t="shared" si="190"/>
        <v/>
      </c>
      <c r="V141" s="586" t="str">
        <f t="shared" si="191"/>
        <v/>
      </c>
      <c r="W141" s="536" t="str">
        <f t="shared" si="192"/>
        <v/>
      </c>
      <c r="X141" s="582" t="str">
        <f t="shared" si="193"/>
        <v/>
      </c>
      <c r="Y141" s="587" t="str">
        <f t="shared" si="219"/>
        <v/>
      </c>
      <c r="Z141" s="581" t="str">
        <f t="shared" si="194"/>
        <v/>
      </c>
      <c r="AA141" s="582" t="str">
        <f t="shared" si="195"/>
        <v/>
      </c>
      <c r="AB141" s="582" t="str">
        <f t="shared" si="196"/>
        <v/>
      </c>
      <c r="AC141" s="586" t="str">
        <f t="shared" si="197"/>
        <v/>
      </c>
      <c r="AD141" s="588" t="str">
        <f t="shared" si="198"/>
        <v/>
      </c>
      <c r="AE141" s="582" t="str">
        <f t="shared" si="199"/>
        <v/>
      </c>
      <c r="AF141" s="583" t="str">
        <f t="shared" si="200"/>
        <v/>
      </c>
      <c r="AG141" s="547" t="str">
        <f t="shared" si="201"/>
        <v/>
      </c>
      <c r="AH141" s="548" t="str">
        <f t="shared" si="202"/>
        <v/>
      </c>
      <c r="AI141" s="536" t="str">
        <f t="shared" si="203"/>
        <v/>
      </c>
      <c r="AJ141" s="537" t="str">
        <f t="shared" si="204"/>
        <v/>
      </c>
      <c r="AK141" s="585" t="str">
        <f t="shared" si="205"/>
        <v/>
      </c>
      <c r="AL141" s="582" t="str">
        <f t="shared" si="206"/>
        <v/>
      </c>
      <c r="AM141" s="584" t="str">
        <f t="shared" si="207"/>
        <v/>
      </c>
      <c r="AN141" s="534" t="str">
        <f t="shared" si="151"/>
        <v/>
      </c>
      <c r="AO141" s="535" t="str">
        <f t="shared" si="181"/>
        <v/>
      </c>
      <c r="AP141" s="536" t="str">
        <f t="shared" si="208"/>
        <v/>
      </c>
      <c r="AQ141" s="537" t="str">
        <f t="shared" si="223"/>
        <v/>
      </c>
      <c r="AS141" s="599" t="str">
        <f t="shared" si="209"/>
        <v/>
      </c>
      <c r="AT141" s="603" t="str">
        <f t="shared" si="224"/>
        <v/>
      </c>
      <c r="AU141" s="515" t="str">
        <f t="shared" si="210"/>
        <v/>
      </c>
      <c r="AV141" s="492" t="str">
        <f t="shared" si="211"/>
        <v/>
      </c>
      <c r="AW141" s="547" t="str">
        <f>IF($M141="","",W141-INDEX(Assy.Model!$W$9:$W$150,MATCH('SN#.Run#'!$M141,Assy.Model!$M$9:$M$150,0)))</f>
        <v/>
      </c>
      <c r="AX141" s="630" t="str">
        <f>IF($M141="","",X141-INDEX(Assy.Model!$X$9:$X$150,MATCH('SN#.Run#'!$M141,Assy.Model!$M$9:$M$150,0)))</f>
        <v/>
      </c>
      <c r="AY141" s="631" t="str">
        <f>IF($M141="","",Y141-INDEX(Assy.Model!$Y$9:$Y$150,MATCH('SN#.Run#'!$M141,Assy.Model!$M$9:$M$150,0)))</f>
        <v/>
      </c>
      <c r="AZ141" s="60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11" t="str">
        <f>IF($M141="","",AN141-INDEX(Assy.Model!$AN$9:$AN$150,MATCH('SN#.Run#'!$M141,Assy.Model!$M$9:$M$150,0)))</f>
        <v/>
      </c>
      <c r="BB141" s="535" t="str">
        <f>IF($M141="","",AO141-INDEX(Assy.Model!$AO$9:$AO$150,MATCH('SN#.Run#'!$M141,Assy.Model!$M$9:$M$150,0)))</f>
        <v/>
      </c>
      <c r="BC141" s="620" t="str">
        <f>IF($M141="","",AP141-INDEX(Assy.Model!$AP$9:$AP$150,MATCH('SN#.Run#'!$M141,Assy.Model!$M$9:$M$150,0)))</f>
        <v/>
      </c>
      <c r="BD141" s="419"/>
      <c r="BE141" s="699"/>
      <c r="BF141" s="417"/>
      <c r="BG141" s="417"/>
      <c r="BH141" s="417"/>
      <c r="IE141" s="790" t="str">
        <f>IFERROR(IF($IU141="","",IF($IU141&lt;(((Settings!$C$19/2)*-1)*$IE$8),"Taper","Nose")),"")</f>
        <v/>
      </c>
      <c r="IF141" s="482" t="str">
        <f>IFERROR(IF((((($IW141*COS(RADIANS(180-$IY141)))*COS(RADIANS($IY141)))-(($IX141*SIN(RADIANS(180-$IY141)))*SIN(RADIANS($IY141))))+$IU141)&lt;(((Settings!$C$19+$IF$8)/2)*-1),"Gage",""),"")</f>
        <v/>
      </c>
      <c r="IG141" s="788" t="str">
        <f t="shared" si="226"/>
        <v/>
      </c>
      <c r="IH141" s="674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677" t="str" cm="1">
        <f t="array" ref="II141">IFERROR(IF($IH141&lt;1,$IH141+LARGE((IF($M$9:$M$150="",0,$M$9:$M$150)-MOD(IF($M$9:$M$150="",0,$M$9:$M$150),1)),1),$IH141),"")</f>
        <v/>
      </c>
      <c r="IJ141" s="482" t="str">
        <f t="shared" si="225"/>
        <v/>
      </c>
      <c r="IK141" s="482" t="str">
        <f t="shared" si="212"/>
        <v/>
      </c>
      <c r="IL141" s="670" t="str">
        <f t="shared" si="134"/>
        <v/>
      </c>
      <c r="IM141" s="702"/>
      <c r="IN141" s="5" t="str">
        <f t="shared" si="135"/>
        <v/>
      </c>
      <c r="IO141" s="714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670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05" t="str">
        <f t="shared" si="143"/>
        <v/>
      </c>
    </row>
    <row r="142" spans="1:259" ht="15" customHeight="1" x14ac:dyDescent="0.25">
      <c r="A142" s="82"/>
      <c r="B142" s="585" t="str">
        <f t="shared" si="213"/>
        <v/>
      </c>
      <c r="C142" s="582" t="str">
        <f t="shared" si="214"/>
        <v/>
      </c>
      <c r="D142" s="583" t="str">
        <f t="shared" si="215"/>
        <v/>
      </c>
      <c r="E142" s="588" t="str">
        <f t="shared" si="216"/>
        <v/>
      </c>
      <c r="F142" s="582" t="str">
        <f t="shared" si="217"/>
        <v/>
      </c>
      <c r="G142" s="586" t="str">
        <f t="shared" si="218"/>
        <v/>
      </c>
      <c r="H142" s="588" t="str">
        <f t="shared" si="222"/>
        <v/>
      </c>
      <c r="I142" s="490"/>
      <c r="J142" s="491" t="str">
        <v/>
      </c>
      <c r="K142" s="807" t="str">
        <f t="shared" si="227"/>
        <v/>
      </c>
      <c r="M142" s="492" t="str">
        <f t="shared" si="182"/>
        <v/>
      </c>
      <c r="N142" s="581" t="str">
        <f t="shared" si="183"/>
        <v/>
      </c>
      <c r="O142" s="582" t="str">
        <f t="shared" si="184"/>
        <v/>
      </c>
      <c r="P142" s="583" t="str">
        <f t="shared" si="185"/>
        <v/>
      </c>
      <c r="Q142" s="536" t="str">
        <f t="shared" si="186"/>
        <v/>
      </c>
      <c r="R142" s="582" t="str">
        <f t="shared" si="187"/>
        <v/>
      </c>
      <c r="S142" s="584" t="str">
        <f t="shared" si="188"/>
        <v/>
      </c>
      <c r="T142" s="585" t="str">
        <f t="shared" si="189"/>
        <v/>
      </c>
      <c r="U142" s="582" t="str">
        <f t="shared" si="190"/>
        <v/>
      </c>
      <c r="V142" s="586" t="str">
        <f t="shared" si="191"/>
        <v/>
      </c>
      <c r="W142" s="536" t="str">
        <f t="shared" si="192"/>
        <v/>
      </c>
      <c r="X142" s="582" t="str">
        <f t="shared" si="193"/>
        <v/>
      </c>
      <c r="Y142" s="587" t="str">
        <f t="shared" si="219"/>
        <v/>
      </c>
      <c r="Z142" s="581" t="str">
        <f t="shared" si="194"/>
        <v/>
      </c>
      <c r="AA142" s="582" t="str">
        <f t="shared" si="195"/>
        <v/>
      </c>
      <c r="AB142" s="582" t="str">
        <f t="shared" si="196"/>
        <v/>
      </c>
      <c r="AC142" s="586" t="str">
        <f t="shared" si="197"/>
        <v/>
      </c>
      <c r="AD142" s="588" t="str">
        <f t="shared" si="198"/>
        <v/>
      </c>
      <c r="AE142" s="582" t="str">
        <f t="shared" si="199"/>
        <v/>
      </c>
      <c r="AF142" s="583" t="str">
        <f t="shared" si="200"/>
        <v/>
      </c>
      <c r="AG142" s="547" t="str">
        <f t="shared" si="201"/>
        <v/>
      </c>
      <c r="AH142" s="548" t="str">
        <f t="shared" si="202"/>
        <v/>
      </c>
      <c r="AI142" s="536" t="str">
        <f t="shared" si="203"/>
        <v/>
      </c>
      <c r="AJ142" s="537" t="str">
        <f t="shared" si="204"/>
        <v/>
      </c>
      <c r="AK142" s="585" t="str">
        <f t="shared" si="205"/>
        <v/>
      </c>
      <c r="AL142" s="582" t="str">
        <f t="shared" si="206"/>
        <v/>
      </c>
      <c r="AM142" s="584" t="str">
        <f t="shared" si="207"/>
        <v/>
      </c>
      <c r="AN142" s="534" t="str">
        <f t="shared" si="151"/>
        <v/>
      </c>
      <c r="AO142" s="535" t="str">
        <f t="shared" si="181"/>
        <v/>
      </c>
      <c r="AP142" s="536" t="str">
        <f t="shared" si="208"/>
        <v/>
      </c>
      <c r="AQ142" s="537" t="str">
        <f t="shared" si="223"/>
        <v/>
      </c>
      <c r="AS142" s="599" t="str">
        <f t="shared" si="209"/>
        <v/>
      </c>
      <c r="AT142" s="603" t="str">
        <f t="shared" si="224"/>
        <v/>
      </c>
      <c r="AU142" s="515" t="str">
        <f t="shared" si="210"/>
        <v/>
      </c>
      <c r="AV142" s="492" t="str">
        <f t="shared" si="211"/>
        <v/>
      </c>
      <c r="AW142" s="547" t="str">
        <f>IF($M142="","",W142-INDEX(Assy.Model!$W$9:$W$150,MATCH('SN#.Run#'!$M142,Assy.Model!$M$9:$M$150,0)))</f>
        <v/>
      </c>
      <c r="AX142" s="630" t="str">
        <f>IF($M142="","",X142-INDEX(Assy.Model!$X$9:$X$150,MATCH('SN#.Run#'!$M142,Assy.Model!$M$9:$M$150,0)))</f>
        <v/>
      </c>
      <c r="AY142" s="631" t="str">
        <f>IF($M142="","",Y142-INDEX(Assy.Model!$Y$9:$Y$150,MATCH('SN#.Run#'!$M142,Assy.Model!$M$9:$M$150,0)))</f>
        <v/>
      </c>
      <c r="AZ142" s="60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11" t="str">
        <f>IF($M142="","",AN142-INDEX(Assy.Model!$AN$9:$AN$150,MATCH('SN#.Run#'!$M142,Assy.Model!$M$9:$M$150,0)))</f>
        <v/>
      </c>
      <c r="BB142" s="535" t="str">
        <f>IF($M142="","",AO142-INDEX(Assy.Model!$AO$9:$AO$150,MATCH('SN#.Run#'!$M142,Assy.Model!$M$9:$M$150,0)))</f>
        <v/>
      </c>
      <c r="BC142" s="620" t="str">
        <f>IF($M142="","",AP142-INDEX(Assy.Model!$AP$9:$AP$150,MATCH('SN#.Run#'!$M142,Assy.Model!$M$9:$M$150,0)))</f>
        <v/>
      </c>
      <c r="BD142" s="419"/>
      <c r="BE142" s="699"/>
      <c r="BF142" s="417"/>
      <c r="BG142" s="417"/>
      <c r="BH142" s="417"/>
      <c r="IE142" s="790" t="str">
        <f>IFERROR(IF($IU142="","",IF($IU142&lt;(((Settings!$C$19/2)*-1)*$IE$8),"Taper","Nose")),"")</f>
        <v/>
      </c>
      <c r="IF142" s="482" t="str">
        <f>IFERROR(IF((((($IW142*COS(RADIANS(180-$IY142)))*COS(RADIANS($IY142)))-(($IX142*SIN(RADIANS(180-$IY142)))*SIN(RADIANS($IY142))))+$IU142)&lt;(((Settings!$C$19+$IF$8)/2)*-1),"Gage",""),"")</f>
        <v/>
      </c>
      <c r="IG142" s="788" t="str">
        <f t="shared" si="226"/>
        <v/>
      </c>
      <c r="IH142" s="674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677" t="str" cm="1">
        <f t="array" ref="II142">IFERROR(IF($IH142&lt;1,$IH142+LARGE((IF($M$9:$M$150="",0,$M$9:$M$150)-MOD(IF($M$9:$M$150="",0,$M$9:$M$150),1)),1),$IH142),"")</f>
        <v/>
      </c>
      <c r="IJ142" s="482" t="str">
        <f t="shared" si="225"/>
        <v/>
      </c>
      <c r="IK142" s="482" t="str">
        <f t="shared" si="212"/>
        <v/>
      </c>
      <c r="IL142" s="670" t="str">
        <f t="shared" si="134"/>
        <v/>
      </c>
      <c r="IM142" s="702"/>
      <c r="IN142" s="5" t="str">
        <f t="shared" si="135"/>
        <v/>
      </c>
      <c r="IO142" s="714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670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05" t="str">
        <f t="shared" si="143"/>
        <v/>
      </c>
    </row>
    <row r="143" spans="1:259" ht="15" customHeight="1" x14ac:dyDescent="0.25">
      <c r="A143" s="82"/>
      <c r="B143" s="585" t="str">
        <f t="shared" si="213"/>
        <v/>
      </c>
      <c r="C143" s="582" t="str">
        <f t="shared" si="214"/>
        <v/>
      </c>
      <c r="D143" s="583" t="str">
        <f t="shared" si="215"/>
        <v/>
      </c>
      <c r="E143" s="588" t="str">
        <f t="shared" si="216"/>
        <v/>
      </c>
      <c r="F143" s="582" t="str">
        <f t="shared" si="217"/>
        <v/>
      </c>
      <c r="G143" s="586" t="str">
        <f t="shared" si="218"/>
        <v/>
      </c>
      <c r="H143" s="588" t="str">
        <f t="shared" si="222"/>
        <v/>
      </c>
      <c r="I143" s="490"/>
      <c r="J143" s="491" t="str">
        <v/>
      </c>
      <c r="K143" s="807" t="str">
        <f t="shared" si="227"/>
        <v/>
      </c>
      <c r="M143" s="492" t="str">
        <f t="shared" si="182"/>
        <v/>
      </c>
      <c r="N143" s="581" t="str">
        <f t="shared" si="183"/>
        <v/>
      </c>
      <c r="O143" s="582" t="str">
        <f t="shared" si="184"/>
        <v/>
      </c>
      <c r="P143" s="583" t="str">
        <f t="shared" si="185"/>
        <v/>
      </c>
      <c r="Q143" s="536" t="str">
        <f t="shared" si="186"/>
        <v/>
      </c>
      <c r="R143" s="582" t="str">
        <f t="shared" si="187"/>
        <v/>
      </c>
      <c r="S143" s="584" t="str">
        <f t="shared" si="188"/>
        <v/>
      </c>
      <c r="T143" s="585" t="str">
        <f t="shared" si="189"/>
        <v/>
      </c>
      <c r="U143" s="582" t="str">
        <f t="shared" si="190"/>
        <v/>
      </c>
      <c r="V143" s="586" t="str">
        <f t="shared" si="191"/>
        <v/>
      </c>
      <c r="W143" s="536" t="str">
        <f t="shared" si="192"/>
        <v/>
      </c>
      <c r="X143" s="582" t="str">
        <f t="shared" si="193"/>
        <v/>
      </c>
      <c r="Y143" s="587" t="str">
        <f t="shared" si="219"/>
        <v/>
      </c>
      <c r="Z143" s="581" t="str">
        <f t="shared" si="194"/>
        <v/>
      </c>
      <c r="AA143" s="582" t="str">
        <f t="shared" si="195"/>
        <v/>
      </c>
      <c r="AB143" s="582" t="str">
        <f t="shared" si="196"/>
        <v/>
      </c>
      <c r="AC143" s="586" t="str">
        <f t="shared" si="197"/>
        <v/>
      </c>
      <c r="AD143" s="588" t="str">
        <f t="shared" si="198"/>
        <v/>
      </c>
      <c r="AE143" s="582" t="str">
        <f t="shared" si="199"/>
        <v/>
      </c>
      <c r="AF143" s="583" t="str">
        <f t="shared" si="200"/>
        <v/>
      </c>
      <c r="AG143" s="547" t="str">
        <f t="shared" si="201"/>
        <v/>
      </c>
      <c r="AH143" s="548" t="str">
        <f t="shared" si="202"/>
        <v/>
      </c>
      <c r="AI143" s="536" t="str">
        <f t="shared" si="203"/>
        <v/>
      </c>
      <c r="AJ143" s="537" t="str">
        <f t="shared" si="204"/>
        <v/>
      </c>
      <c r="AK143" s="585" t="str">
        <f t="shared" si="205"/>
        <v/>
      </c>
      <c r="AL143" s="582" t="str">
        <f t="shared" si="206"/>
        <v/>
      </c>
      <c r="AM143" s="584" t="str">
        <f t="shared" si="207"/>
        <v/>
      </c>
      <c r="AN143" s="534" t="str">
        <f t="shared" si="151"/>
        <v/>
      </c>
      <c r="AO143" s="535" t="str">
        <f t="shared" si="181"/>
        <v/>
      </c>
      <c r="AP143" s="536" t="str">
        <f t="shared" si="208"/>
        <v/>
      </c>
      <c r="AQ143" s="537" t="str">
        <f t="shared" si="223"/>
        <v/>
      </c>
      <c r="AS143" s="599" t="str">
        <f t="shared" si="209"/>
        <v/>
      </c>
      <c r="AT143" s="603" t="str">
        <f t="shared" si="224"/>
        <v/>
      </c>
      <c r="AU143" s="515" t="str">
        <f t="shared" si="210"/>
        <v/>
      </c>
      <c r="AV143" s="492" t="str">
        <f t="shared" si="211"/>
        <v/>
      </c>
      <c r="AW143" s="547" t="str">
        <f>IF($M143="","",W143-INDEX(Assy.Model!$W$9:$W$150,MATCH('SN#.Run#'!$M143,Assy.Model!$M$9:$M$150,0)))</f>
        <v/>
      </c>
      <c r="AX143" s="630" t="str">
        <f>IF($M143="","",X143-INDEX(Assy.Model!$X$9:$X$150,MATCH('SN#.Run#'!$M143,Assy.Model!$M$9:$M$150,0)))</f>
        <v/>
      </c>
      <c r="AY143" s="631" t="str">
        <f>IF($M143="","",Y143-INDEX(Assy.Model!$Y$9:$Y$150,MATCH('SN#.Run#'!$M143,Assy.Model!$M$9:$M$150,0)))</f>
        <v/>
      </c>
      <c r="AZ143" s="60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11" t="str">
        <f>IF($M143="","",AN143-INDEX(Assy.Model!$AN$9:$AN$150,MATCH('SN#.Run#'!$M143,Assy.Model!$M$9:$M$150,0)))</f>
        <v/>
      </c>
      <c r="BB143" s="535" t="str">
        <f>IF($M143="","",AO143-INDEX(Assy.Model!$AO$9:$AO$150,MATCH('SN#.Run#'!$M143,Assy.Model!$M$9:$M$150,0)))</f>
        <v/>
      </c>
      <c r="BC143" s="620" t="str">
        <f>IF($M143="","",AP143-INDEX(Assy.Model!$AP$9:$AP$150,MATCH('SN#.Run#'!$M143,Assy.Model!$M$9:$M$150,0)))</f>
        <v/>
      </c>
      <c r="BD143" s="419"/>
      <c r="BE143" s="699"/>
      <c r="BF143" s="417"/>
      <c r="BG143" s="417"/>
      <c r="BH143" s="417"/>
      <c r="IE143" s="790" t="str">
        <f>IFERROR(IF($IU143="","",IF($IU143&lt;(((Settings!$C$19/2)*-1)*$IE$8),"Taper","Nose")),"")</f>
        <v/>
      </c>
      <c r="IF143" s="482" t="str">
        <f>IFERROR(IF((((($IW143*COS(RADIANS(180-$IY143)))*COS(RADIANS($IY143)))-(($IX143*SIN(RADIANS(180-$IY143)))*SIN(RADIANS($IY143))))+$IU143)&lt;(((Settings!$C$19+$IF$8)/2)*-1),"Gage",""),"")</f>
        <v/>
      </c>
      <c r="IG143" s="788" t="str">
        <f t="shared" si="226"/>
        <v/>
      </c>
      <c r="IH143" s="674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677" t="str" cm="1">
        <f t="array" ref="II143">IFERROR(IF($IH143&lt;1,$IH143+LARGE((IF($M$9:$M$150="",0,$M$9:$M$150)-MOD(IF($M$9:$M$150="",0,$M$9:$M$150),1)),1),$IH143),"")</f>
        <v/>
      </c>
      <c r="IJ143" s="482" t="str">
        <f t="shared" si="225"/>
        <v/>
      </c>
      <c r="IK143" s="482" t="str">
        <f t="shared" si="212"/>
        <v/>
      </c>
      <c r="IL143" s="670" t="str">
        <f t="shared" si="134"/>
        <v/>
      </c>
      <c r="IM143" s="702"/>
      <c r="IN143" s="5" t="str">
        <f t="shared" si="135"/>
        <v/>
      </c>
      <c r="IO143" s="714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670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05" t="str">
        <f t="shared" si="143"/>
        <v/>
      </c>
    </row>
    <row r="144" spans="1:259" ht="15" customHeight="1" x14ac:dyDescent="0.25">
      <c r="A144" s="82"/>
      <c r="B144" s="585" t="str">
        <f t="shared" si="213"/>
        <v/>
      </c>
      <c r="C144" s="582" t="str">
        <f t="shared" si="214"/>
        <v/>
      </c>
      <c r="D144" s="583" t="str">
        <f t="shared" si="215"/>
        <v/>
      </c>
      <c r="E144" s="588" t="str">
        <f t="shared" si="216"/>
        <v/>
      </c>
      <c r="F144" s="582" t="str">
        <f t="shared" si="217"/>
        <v/>
      </c>
      <c r="G144" s="586" t="str">
        <f t="shared" si="218"/>
        <v/>
      </c>
      <c r="H144" s="588" t="str">
        <f t="shared" si="222"/>
        <v/>
      </c>
      <c r="I144" s="490"/>
      <c r="J144" s="491" t="str">
        <v/>
      </c>
      <c r="K144" s="807" t="str">
        <f t="shared" si="227"/>
        <v/>
      </c>
      <c r="M144" s="492" t="str">
        <f t="shared" si="182"/>
        <v/>
      </c>
      <c r="N144" s="581" t="str">
        <f t="shared" si="183"/>
        <v/>
      </c>
      <c r="O144" s="582" t="str">
        <f t="shared" si="184"/>
        <v/>
      </c>
      <c r="P144" s="583" t="str">
        <f t="shared" si="185"/>
        <v/>
      </c>
      <c r="Q144" s="536" t="str">
        <f t="shared" si="186"/>
        <v/>
      </c>
      <c r="R144" s="582" t="str">
        <f t="shared" si="187"/>
        <v/>
      </c>
      <c r="S144" s="584" t="str">
        <f t="shared" si="188"/>
        <v/>
      </c>
      <c r="T144" s="585" t="str">
        <f t="shared" si="189"/>
        <v/>
      </c>
      <c r="U144" s="582" t="str">
        <f t="shared" si="190"/>
        <v/>
      </c>
      <c r="V144" s="586" t="str">
        <f t="shared" si="191"/>
        <v/>
      </c>
      <c r="W144" s="536" t="str">
        <f t="shared" si="192"/>
        <v/>
      </c>
      <c r="X144" s="582" t="str">
        <f t="shared" si="193"/>
        <v/>
      </c>
      <c r="Y144" s="587" t="str">
        <f t="shared" si="219"/>
        <v/>
      </c>
      <c r="Z144" s="581" t="str">
        <f t="shared" si="194"/>
        <v/>
      </c>
      <c r="AA144" s="582" t="str">
        <f t="shared" si="195"/>
        <v/>
      </c>
      <c r="AB144" s="582" t="str">
        <f t="shared" si="196"/>
        <v/>
      </c>
      <c r="AC144" s="586" t="str">
        <f t="shared" si="197"/>
        <v/>
      </c>
      <c r="AD144" s="588" t="str">
        <f t="shared" si="198"/>
        <v/>
      </c>
      <c r="AE144" s="582" t="str">
        <f t="shared" si="199"/>
        <v/>
      </c>
      <c r="AF144" s="583" t="str">
        <f t="shared" si="200"/>
        <v/>
      </c>
      <c r="AG144" s="547" t="str">
        <f t="shared" si="201"/>
        <v/>
      </c>
      <c r="AH144" s="548" t="str">
        <f t="shared" si="202"/>
        <v/>
      </c>
      <c r="AI144" s="536" t="str">
        <f t="shared" si="203"/>
        <v/>
      </c>
      <c r="AJ144" s="537" t="str">
        <f t="shared" si="204"/>
        <v/>
      </c>
      <c r="AK144" s="585" t="str">
        <f t="shared" si="205"/>
        <v/>
      </c>
      <c r="AL144" s="582" t="str">
        <f t="shared" si="206"/>
        <v/>
      </c>
      <c r="AM144" s="584" t="str">
        <f t="shared" si="207"/>
        <v/>
      </c>
      <c r="AN144" s="534" t="str">
        <f t="shared" si="151"/>
        <v/>
      </c>
      <c r="AO144" s="535" t="str">
        <f t="shared" si="181"/>
        <v/>
      </c>
      <c r="AP144" s="536" t="str">
        <f t="shared" si="208"/>
        <v/>
      </c>
      <c r="AQ144" s="537" t="str">
        <f t="shared" si="223"/>
        <v/>
      </c>
      <c r="AS144" s="599" t="str">
        <f t="shared" si="209"/>
        <v/>
      </c>
      <c r="AT144" s="603" t="str">
        <f t="shared" si="224"/>
        <v/>
      </c>
      <c r="AU144" s="515" t="str">
        <f t="shared" si="210"/>
        <v/>
      </c>
      <c r="AV144" s="492" t="str">
        <f t="shared" si="211"/>
        <v/>
      </c>
      <c r="AW144" s="547" t="str">
        <f>IF($M144="","",W144-INDEX(Assy.Model!$W$9:$W$150,MATCH('SN#.Run#'!$M144,Assy.Model!$M$9:$M$150,0)))</f>
        <v/>
      </c>
      <c r="AX144" s="630" t="str">
        <f>IF($M144="","",X144-INDEX(Assy.Model!$X$9:$X$150,MATCH('SN#.Run#'!$M144,Assy.Model!$M$9:$M$150,0)))</f>
        <v/>
      </c>
      <c r="AY144" s="631" t="str">
        <f>IF($M144="","",Y144-INDEX(Assy.Model!$Y$9:$Y$150,MATCH('SN#.Run#'!$M144,Assy.Model!$M$9:$M$150,0)))</f>
        <v/>
      </c>
      <c r="AZ144" s="60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11" t="str">
        <f>IF($M144="","",AN144-INDEX(Assy.Model!$AN$9:$AN$150,MATCH('SN#.Run#'!$M144,Assy.Model!$M$9:$M$150,0)))</f>
        <v/>
      </c>
      <c r="BB144" s="535" t="str">
        <f>IF($M144="","",AO144-INDEX(Assy.Model!$AO$9:$AO$150,MATCH('SN#.Run#'!$M144,Assy.Model!$M$9:$M$150,0)))</f>
        <v/>
      </c>
      <c r="BC144" s="620" t="str">
        <f>IF($M144="","",AP144-INDEX(Assy.Model!$AP$9:$AP$150,MATCH('SN#.Run#'!$M144,Assy.Model!$M$9:$M$150,0)))</f>
        <v/>
      </c>
      <c r="BD144" s="419"/>
      <c r="BE144" s="699"/>
      <c r="BF144" s="417"/>
      <c r="BG144" s="417"/>
      <c r="BH144" s="417"/>
      <c r="IE144" s="790" t="str">
        <f>IFERROR(IF($IU144="","",IF($IU144&lt;(((Settings!$C$19/2)*-1)*$IE$8),"Taper","Nose")),"")</f>
        <v/>
      </c>
      <c r="IF144" s="482" t="str">
        <f>IFERROR(IF((((($IW144*COS(RADIANS(180-$IY144)))*COS(RADIANS($IY144)))-(($IX144*SIN(RADIANS(180-$IY144)))*SIN(RADIANS($IY144))))+$IU144)&lt;(((Settings!$C$19+$IF$8)/2)*-1),"Gage",""),"")</f>
        <v/>
      </c>
      <c r="IG144" s="788" t="str">
        <f t="shared" si="226"/>
        <v/>
      </c>
      <c r="IH144" s="674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677" t="str" cm="1">
        <f t="array" ref="II144">IFERROR(IF($IH144&lt;1,$IH144+LARGE((IF($M$9:$M$150="",0,$M$9:$M$150)-MOD(IF($M$9:$M$150="",0,$M$9:$M$150),1)),1),$IH144),"")</f>
        <v/>
      </c>
      <c r="IJ144" s="482" t="str">
        <f t="shared" si="225"/>
        <v/>
      </c>
      <c r="IK144" s="482" t="str">
        <f t="shared" si="212"/>
        <v/>
      </c>
      <c r="IL144" s="670" t="str">
        <f t="shared" si="134"/>
        <v/>
      </c>
      <c r="IM144" s="702"/>
      <c r="IN144" s="5" t="str">
        <f t="shared" si="135"/>
        <v/>
      </c>
      <c r="IO144" s="714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670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05" t="str">
        <f t="shared" si="143"/>
        <v/>
      </c>
    </row>
    <row r="145" spans="1:259" ht="15" customHeight="1" x14ac:dyDescent="0.25">
      <c r="A145" s="82"/>
      <c r="B145" s="585" t="str">
        <f t="shared" si="213"/>
        <v/>
      </c>
      <c r="C145" s="582" t="str">
        <f t="shared" si="214"/>
        <v/>
      </c>
      <c r="D145" s="583" t="str">
        <f t="shared" si="215"/>
        <v/>
      </c>
      <c r="E145" s="588" t="str">
        <f t="shared" si="216"/>
        <v/>
      </c>
      <c r="F145" s="582" t="str">
        <f t="shared" si="217"/>
        <v/>
      </c>
      <c r="G145" s="586" t="str">
        <f t="shared" si="218"/>
        <v/>
      </c>
      <c r="H145" s="588" t="str">
        <f t="shared" si="222"/>
        <v/>
      </c>
      <c r="I145" s="490"/>
      <c r="J145" s="491" t="str">
        <v/>
      </c>
      <c r="K145" s="807" t="str">
        <f t="shared" si="227"/>
        <v/>
      </c>
      <c r="M145" s="492" t="str">
        <f t="shared" si="182"/>
        <v/>
      </c>
      <c r="N145" s="581" t="str">
        <f t="shared" si="183"/>
        <v/>
      </c>
      <c r="O145" s="582" t="str">
        <f t="shared" si="184"/>
        <v/>
      </c>
      <c r="P145" s="583" t="str">
        <f t="shared" si="185"/>
        <v/>
      </c>
      <c r="Q145" s="536" t="str">
        <f t="shared" si="186"/>
        <v/>
      </c>
      <c r="R145" s="582" t="str">
        <f t="shared" si="187"/>
        <v/>
      </c>
      <c r="S145" s="584" t="str">
        <f t="shared" si="188"/>
        <v/>
      </c>
      <c r="T145" s="585" t="str">
        <f t="shared" si="189"/>
        <v/>
      </c>
      <c r="U145" s="582" t="str">
        <f t="shared" si="190"/>
        <v/>
      </c>
      <c r="V145" s="586" t="str">
        <f t="shared" si="191"/>
        <v/>
      </c>
      <c r="W145" s="536" t="str">
        <f t="shared" si="192"/>
        <v/>
      </c>
      <c r="X145" s="582" t="str">
        <f t="shared" si="193"/>
        <v/>
      </c>
      <c r="Y145" s="587" t="str">
        <f t="shared" si="219"/>
        <v/>
      </c>
      <c r="Z145" s="581" t="str">
        <f t="shared" si="194"/>
        <v/>
      </c>
      <c r="AA145" s="582" t="str">
        <f t="shared" si="195"/>
        <v/>
      </c>
      <c r="AB145" s="582" t="str">
        <f t="shared" si="196"/>
        <v/>
      </c>
      <c r="AC145" s="586" t="str">
        <f t="shared" si="197"/>
        <v/>
      </c>
      <c r="AD145" s="588" t="str">
        <f t="shared" si="198"/>
        <v/>
      </c>
      <c r="AE145" s="582" t="str">
        <f t="shared" si="199"/>
        <v/>
      </c>
      <c r="AF145" s="583" t="str">
        <f t="shared" si="200"/>
        <v/>
      </c>
      <c r="AG145" s="547" t="str">
        <f t="shared" si="201"/>
        <v/>
      </c>
      <c r="AH145" s="548" t="str">
        <f t="shared" si="202"/>
        <v/>
      </c>
      <c r="AI145" s="536" t="str">
        <f t="shared" si="203"/>
        <v/>
      </c>
      <c r="AJ145" s="537" t="str">
        <f t="shared" si="204"/>
        <v/>
      </c>
      <c r="AK145" s="585" t="str">
        <f t="shared" si="205"/>
        <v/>
      </c>
      <c r="AL145" s="582" t="str">
        <f t="shared" si="206"/>
        <v/>
      </c>
      <c r="AM145" s="584" t="str">
        <f t="shared" si="207"/>
        <v/>
      </c>
      <c r="AN145" s="534" t="str">
        <f t="shared" si="151"/>
        <v/>
      </c>
      <c r="AO145" s="535" t="str">
        <f t="shared" si="181"/>
        <v/>
      </c>
      <c r="AP145" s="536" t="str">
        <f t="shared" si="208"/>
        <v/>
      </c>
      <c r="AQ145" s="537" t="str">
        <f t="shared" si="223"/>
        <v/>
      </c>
      <c r="AS145" s="599" t="str">
        <f t="shared" si="209"/>
        <v/>
      </c>
      <c r="AT145" s="603" t="str">
        <f t="shared" si="224"/>
        <v/>
      </c>
      <c r="AU145" s="515" t="str">
        <f t="shared" si="210"/>
        <v/>
      </c>
      <c r="AV145" s="492" t="str">
        <f t="shared" si="211"/>
        <v/>
      </c>
      <c r="AW145" s="547" t="str">
        <f>IF($M145="","",W145-INDEX(Assy.Model!$W$9:$W$150,MATCH('SN#.Run#'!$M145,Assy.Model!$M$9:$M$150,0)))</f>
        <v/>
      </c>
      <c r="AX145" s="630" t="str">
        <f>IF($M145="","",X145-INDEX(Assy.Model!$X$9:$X$150,MATCH('SN#.Run#'!$M145,Assy.Model!$M$9:$M$150,0)))</f>
        <v/>
      </c>
      <c r="AY145" s="631" t="str">
        <f>IF($M145="","",Y145-INDEX(Assy.Model!$Y$9:$Y$150,MATCH('SN#.Run#'!$M145,Assy.Model!$M$9:$M$150,0)))</f>
        <v/>
      </c>
      <c r="AZ145" s="60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11" t="str">
        <f>IF($M145="","",AN145-INDEX(Assy.Model!$AN$9:$AN$150,MATCH('SN#.Run#'!$M145,Assy.Model!$M$9:$M$150,0)))</f>
        <v/>
      </c>
      <c r="BB145" s="535" t="str">
        <f>IF($M145="","",AO145-INDEX(Assy.Model!$AO$9:$AO$150,MATCH('SN#.Run#'!$M145,Assy.Model!$M$9:$M$150,0)))</f>
        <v/>
      </c>
      <c r="BC145" s="620" t="str">
        <f>IF($M145="","",AP145-INDEX(Assy.Model!$AP$9:$AP$150,MATCH('SN#.Run#'!$M145,Assy.Model!$M$9:$M$150,0)))</f>
        <v/>
      </c>
      <c r="BD145" s="419"/>
      <c r="BE145" s="699"/>
      <c r="BF145" s="417"/>
      <c r="BG145" s="417"/>
      <c r="BH145" s="417"/>
      <c r="IE145" s="790" t="str">
        <f>IFERROR(IF($IU145="","",IF($IU145&lt;(((Settings!$C$19/2)*-1)*$IE$8),"Taper","Nose")),"")</f>
        <v/>
      </c>
      <c r="IF145" s="482" t="str">
        <f>IFERROR(IF((((($IW145*COS(RADIANS(180-$IY145)))*COS(RADIANS($IY145)))-(($IX145*SIN(RADIANS(180-$IY145)))*SIN(RADIANS($IY145))))+$IU145)&lt;(((Settings!$C$19+$IF$8)/2)*-1),"Gage",""),"")</f>
        <v/>
      </c>
      <c r="IG145" s="788" t="str">
        <f t="shared" si="226"/>
        <v/>
      </c>
      <c r="IH145" s="674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677" t="str" cm="1">
        <f t="array" ref="II145">IFERROR(IF($IH145&lt;1,$IH145+LARGE((IF($M$9:$M$150="",0,$M$9:$M$150)-MOD(IF($M$9:$M$150="",0,$M$9:$M$150),1)),1),$IH145),"")</f>
        <v/>
      </c>
      <c r="IJ145" s="482" t="str">
        <f t="shared" si="225"/>
        <v/>
      </c>
      <c r="IK145" s="482" t="str">
        <f t="shared" si="212"/>
        <v/>
      </c>
      <c r="IL145" s="670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02"/>
      <c r="IN145" s="5" t="str">
        <f t="shared" ref="IN145:IN150" si="229">IF(ISNUMBER($II145),(($IO145*12)/60)/$AS$3,"")</f>
        <v/>
      </c>
      <c r="IO145" s="714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670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05" t="str">
        <f t="shared" ref="IY145:IY150" si="237">IF(ISNUMBER($II145),(-1*$AN145),"")</f>
        <v/>
      </c>
    </row>
    <row r="146" spans="1:259" ht="15" customHeight="1" x14ac:dyDescent="0.25">
      <c r="A146" s="82"/>
      <c r="B146" s="585" t="str">
        <f t="shared" si="213"/>
        <v/>
      </c>
      <c r="C146" s="582" t="str">
        <f t="shared" si="214"/>
        <v/>
      </c>
      <c r="D146" s="583" t="str">
        <f t="shared" si="215"/>
        <v/>
      </c>
      <c r="E146" s="588" t="str">
        <f t="shared" si="216"/>
        <v/>
      </c>
      <c r="F146" s="582" t="str">
        <f t="shared" si="217"/>
        <v/>
      </c>
      <c r="G146" s="586" t="str">
        <f t="shared" si="218"/>
        <v/>
      </c>
      <c r="H146" s="588" t="str">
        <f t="shared" si="222"/>
        <v/>
      </c>
      <c r="I146" s="490"/>
      <c r="J146" s="491" t="str">
        <v/>
      </c>
      <c r="K146" s="807" t="str">
        <f t="shared" si="227"/>
        <v/>
      </c>
      <c r="M146" s="492" t="str">
        <f t="shared" si="182"/>
        <v/>
      </c>
      <c r="N146" s="581" t="str">
        <f t="shared" si="183"/>
        <v/>
      </c>
      <c r="O146" s="582" t="str">
        <f t="shared" si="184"/>
        <v/>
      </c>
      <c r="P146" s="583" t="str">
        <f t="shared" si="185"/>
        <v/>
      </c>
      <c r="Q146" s="536" t="str">
        <f t="shared" si="186"/>
        <v/>
      </c>
      <c r="R146" s="582" t="str">
        <f t="shared" si="187"/>
        <v/>
      </c>
      <c r="S146" s="584" t="str">
        <f t="shared" si="188"/>
        <v/>
      </c>
      <c r="T146" s="585" t="str">
        <f t="shared" si="189"/>
        <v/>
      </c>
      <c r="U146" s="582" t="str">
        <f t="shared" si="190"/>
        <v/>
      </c>
      <c r="V146" s="586" t="str">
        <f t="shared" si="191"/>
        <v/>
      </c>
      <c r="W146" s="536" t="str">
        <f t="shared" si="192"/>
        <v/>
      </c>
      <c r="X146" s="582" t="str">
        <f t="shared" si="193"/>
        <v/>
      </c>
      <c r="Y146" s="587" t="str">
        <f t="shared" si="219"/>
        <v/>
      </c>
      <c r="Z146" s="581" t="str">
        <f t="shared" si="194"/>
        <v/>
      </c>
      <c r="AA146" s="582" t="str">
        <f t="shared" si="195"/>
        <v/>
      </c>
      <c r="AB146" s="582" t="str">
        <f t="shared" si="196"/>
        <v/>
      </c>
      <c r="AC146" s="586" t="str">
        <f t="shared" si="197"/>
        <v/>
      </c>
      <c r="AD146" s="588" t="str">
        <f t="shared" si="198"/>
        <v/>
      </c>
      <c r="AE146" s="582" t="str">
        <f t="shared" si="199"/>
        <v/>
      </c>
      <c r="AF146" s="583" t="str">
        <f t="shared" si="200"/>
        <v/>
      </c>
      <c r="AG146" s="547" t="str">
        <f t="shared" si="201"/>
        <v/>
      </c>
      <c r="AH146" s="548" t="str">
        <f t="shared" si="202"/>
        <v/>
      </c>
      <c r="AI146" s="536" t="str">
        <f t="shared" si="203"/>
        <v/>
      </c>
      <c r="AJ146" s="537" t="str">
        <f t="shared" si="204"/>
        <v/>
      </c>
      <c r="AK146" s="585" t="str">
        <f t="shared" si="205"/>
        <v/>
      </c>
      <c r="AL146" s="582" t="str">
        <f t="shared" si="206"/>
        <v/>
      </c>
      <c r="AM146" s="584" t="str">
        <f t="shared" si="207"/>
        <v/>
      </c>
      <c r="AN146" s="534" t="str">
        <f t="shared" si="151"/>
        <v/>
      </c>
      <c r="AO146" s="535" t="str">
        <f t="shared" si="181"/>
        <v/>
      </c>
      <c r="AP146" s="536" t="str">
        <f t="shared" si="208"/>
        <v/>
      </c>
      <c r="AQ146" s="537" t="str">
        <f t="shared" si="223"/>
        <v/>
      </c>
      <c r="AS146" s="599" t="str">
        <f t="shared" si="209"/>
        <v/>
      </c>
      <c r="AT146" s="603" t="str">
        <f t="shared" si="224"/>
        <v/>
      </c>
      <c r="AU146" s="515" t="str">
        <f t="shared" si="210"/>
        <v/>
      </c>
      <c r="AV146" s="492" t="str">
        <f t="shared" si="211"/>
        <v/>
      </c>
      <c r="AW146" s="547" t="str">
        <f>IF($M146="","",W146-INDEX(Assy.Model!$W$9:$W$150,MATCH('SN#.Run#'!$M146,Assy.Model!$M$9:$M$150,0)))</f>
        <v/>
      </c>
      <c r="AX146" s="630" t="str">
        <f>IF($M146="","",X146-INDEX(Assy.Model!$X$9:$X$150,MATCH('SN#.Run#'!$M146,Assy.Model!$M$9:$M$150,0)))</f>
        <v/>
      </c>
      <c r="AY146" s="631" t="str">
        <f>IF($M146="","",Y146-INDEX(Assy.Model!$Y$9:$Y$150,MATCH('SN#.Run#'!$M146,Assy.Model!$M$9:$M$150,0)))</f>
        <v/>
      </c>
      <c r="AZ146" s="60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11" t="str">
        <f>IF($M146="","",AN146-INDEX(Assy.Model!$AN$9:$AN$150,MATCH('SN#.Run#'!$M146,Assy.Model!$M$9:$M$150,0)))</f>
        <v/>
      </c>
      <c r="BB146" s="535" t="str">
        <f>IF($M146="","",AO146-INDEX(Assy.Model!$AO$9:$AO$150,MATCH('SN#.Run#'!$M146,Assy.Model!$M$9:$M$150,0)))</f>
        <v/>
      </c>
      <c r="BC146" s="620" t="str">
        <f>IF($M146="","",AP146-INDEX(Assy.Model!$AP$9:$AP$150,MATCH('SN#.Run#'!$M146,Assy.Model!$M$9:$M$150,0)))</f>
        <v/>
      </c>
      <c r="BD146" s="419"/>
      <c r="BE146" s="699"/>
      <c r="BF146" s="417"/>
      <c r="BG146" s="417"/>
      <c r="BH146" s="417"/>
      <c r="IE146" s="790" t="str">
        <f>IFERROR(IF($IU146="","",IF($IU146&lt;(((Settings!$C$19/2)*-1)*$IE$8),"Taper","Nose")),"")</f>
        <v/>
      </c>
      <c r="IF146" s="482" t="str">
        <f>IFERROR(IF((((($IW146*COS(RADIANS(180-$IY146)))*COS(RADIANS($IY146)))-(($IX146*SIN(RADIANS(180-$IY146)))*SIN(RADIANS($IY146))))+$IU146)&lt;(((Settings!$C$19+$IF$8)/2)*-1),"Gage",""),"")</f>
        <v/>
      </c>
      <c r="IG146" s="788" t="str">
        <f t="shared" si="226"/>
        <v/>
      </c>
      <c r="IH146" s="674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677" t="str" cm="1">
        <f t="array" ref="II146">IFERROR(IF($IH146&lt;1,$IH146+LARGE((IF($M$9:$M$150="",0,$M$9:$M$150)-MOD(IF($M$9:$M$150="",0,$M$9:$M$150),1)),1),$IH146),"")</f>
        <v/>
      </c>
      <c r="IJ146" s="482" t="str">
        <f t="shared" si="225"/>
        <v/>
      </c>
      <c r="IK146" s="482" t="str">
        <f t="shared" si="212"/>
        <v/>
      </c>
      <c r="IL146" s="670" t="str">
        <f t="shared" si="228"/>
        <v/>
      </c>
      <c r="IM146" s="702"/>
      <c r="IN146" s="5" t="str">
        <f t="shared" si="229"/>
        <v/>
      </c>
      <c r="IO146" s="714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670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05" t="str">
        <f t="shared" si="237"/>
        <v/>
      </c>
    </row>
    <row r="147" spans="1:259" ht="15" customHeight="1" x14ac:dyDescent="0.25">
      <c r="A147" s="82"/>
      <c r="B147" s="585" t="str">
        <f t="shared" si="213"/>
        <v/>
      </c>
      <c r="C147" s="582" t="str">
        <f t="shared" si="214"/>
        <v/>
      </c>
      <c r="D147" s="583" t="str">
        <f t="shared" si="215"/>
        <v/>
      </c>
      <c r="E147" s="588" t="str">
        <f t="shared" si="216"/>
        <v/>
      </c>
      <c r="F147" s="582" t="str">
        <f t="shared" si="217"/>
        <v/>
      </c>
      <c r="G147" s="586" t="str">
        <f t="shared" si="218"/>
        <v/>
      </c>
      <c r="H147" s="588" t="str">
        <f t="shared" si="222"/>
        <v/>
      </c>
      <c r="I147" s="490"/>
      <c r="J147" s="491" t="str">
        <v/>
      </c>
      <c r="K147" s="807" t="str">
        <f t="shared" si="227"/>
        <v/>
      </c>
      <c r="M147" s="492" t="str">
        <f t="shared" si="182"/>
        <v/>
      </c>
      <c r="N147" s="581" t="str">
        <f t="shared" si="183"/>
        <v/>
      </c>
      <c r="O147" s="582" t="str">
        <f t="shared" si="184"/>
        <v/>
      </c>
      <c r="P147" s="583" t="str">
        <f t="shared" si="185"/>
        <v/>
      </c>
      <c r="Q147" s="536" t="str">
        <f t="shared" si="186"/>
        <v/>
      </c>
      <c r="R147" s="582" t="str">
        <f t="shared" si="187"/>
        <v/>
      </c>
      <c r="S147" s="584" t="str">
        <f t="shared" si="188"/>
        <v/>
      </c>
      <c r="T147" s="585" t="str">
        <f t="shared" si="189"/>
        <v/>
      </c>
      <c r="U147" s="582" t="str">
        <f t="shared" si="190"/>
        <v/>
      </c>
      <c r="V147" s="586" t="str">
        <f t="shared" si="191"/>
        <v/>
      </c>
      <c r="W147" s="536" t="str">
        <f t="shared" si="192"/>
        <v/>
      </c>
      <c r="X147" s="582" t="str">
        <f t="shared" si="193"/>
        <v/>
      </c>
      <c r="Y147" s="587" t="str">
        <f t="shared" si="219"/>
        <v/>
      </c>
      <c r="Z147" s="581" t="str">
        <f t="shared" si="194"/>
        <v/>
      </c>
      <c r="AA147" s="582" t="str">
        <f t="shared" si="195"/>
        <v/>
      </c>
      <c r="AB147" s="582" t="str">
        <f t="shared" si="196"/>
        <v/>
      </c>
      <c r="AC147" s="586" t="str">
        <f t="shared" si="197"/>
        <v/>
      </c>
      <c r="AD147" s="588" t="str">
        <f t="shared" si="198"/>
        <v/>
      </c>
      <c r="AE147" s="582" t="str">
        <f t="shared" si="199"/>
        <v/>
      </c>
      <c r="AF147" s="583" t="str">
        <f t="shared" si="200"/>
        <v/>
      </c>
      <c r="AG147" s="547" t="str">
        <f t="shared" si="201"/>
        <v/>
      </c>
      <c r="AH147" s="548" t="str">
        <f t="shared" si="202"/>
        <v/>
      </c>
      <c r="AI147" s="536" t="str">
        <f t="shared" si="203"/>
        <v/>
      </c>
      <c r="AJ147" s="537" t="str">
        <f t="shared" si="204"/>
        <v/>
      </c>
      <c r="AK147" s="585" t="str">
        <f t="shared" si="205"/>
        <v/>
      </c>
      <c r="AL147" s="582" t="str">
        <f t="shared" si="206"/>
        <v/>
      </c>
      <c r="AM147" s="584" t="str">
        <f t="shared" si="207"/>
        <v/>
      </c>
      <c r="AN147" s="534" t="str">
        <f t="shared" si="151"/>
        <v/>
      </c>
      <c r="AO147" s="535" t="str">
        <f t="shared" si="181"/>
        <v/>
      </c>
      <c r="AP147" s="536" t="str">
        <f t="shared" si="208"/>
        <v/>
      </c>
      <c r="AQ147" s="537" t="str">
        <f t="shared" si="223"/>
        <v/>
      </c>
      <c r="AS147" s="599" t="str">
        <f t="shared" si="209"/>
        <v/>
      </c>
      <c r="AT147" s="603" t="str">
        <f t="shared" si="224"/>
        <v/>
      </c>
      <c r="AU147" s="515" t="str">
        <f t="shared" si="210"/>
        <v/>
      </c>
      <c r="AV147" s="492" t="str">
        <f t="shared" si="211"/>
        <v/>
      </c>
      <c r="AW147" s="547" t="str">
        <f>IF($M147="","",W147-INDEX(Assy.Model!$W$9:$W$150,MATCH('SN#.Run#'!$M147,Assy.Model!$M$9:$M$150,0)))</f>
        <v/>
      </c>
      <c r="AX147" s="630" t="str">
        <f>IF($M147="","",X147-INDEX(Assy.Model!$X$9:$X$150,MATCH('SN#.Run#'!$M147,Assy.Model!$M$9:$M$150,0)))</f>
        <v/>
      </c>
      <c r="AY147" s="631" t="str">
        <f>IF($M147="","",Y147-INDEX(Assy.Model!$Y$9:$Y$150,MATCH('SN#.Run#'!$M147,Assy.Model!$M$9:$M$150,0)))</f>
        <v/>
      </c>
      <c r="AZ147" s="60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11" t="str">
        <f>IF($M147="","",AN147-INDEX(Assy.Model!$AN$9:$AN$150,MATCH('SN#.Run#'!$M147,Assy.Model!$M$9:$M$150,0)))</f>
        <v/>
      </c>
      <c r="BB147" s="535" t="str">
        <f>IF($M147="","",AO147-INDEX(Assy.Model!$AO$9:$AO$150,MATCH('SN#.Run#'!$M147,Assy.Model!$M$9:$M$150,0)))</f>
        <v/>
      </c>
      <c r="BC147" s="620" t="str">
        <f>IF($M147="","",AP147-INDEX(Assy.Model!$AP$9:$AP$150,MATCH('SN#.Run#'!$M147,Assy.Model!$M$9:$M$150,0)))</f>
        <v/>
      </c>
      <c r="BD147" s="419"/>
      <c r="BE147" s="699"/>
      <c r="BF147" s="417"/>
      <c r="BG147" s="417"/>
      <c r="BH147" s="417"/>
      <c r="IE147" s="790" t="str">
        <f>IFERROR(IF($IU147="","",IF($IU147&lt;(((Settings!$C$19/2)*-1)*$IE$8),"Taper","Nose")),"")</f>
        <v/>
      </c>
      <c r="IF147" s="482" t="str">
        <f>IFERROR(IF((((($IW147*COS(RADIANS(180-$IY147)))*COS(RADIANS($IY147)))-(($IX147*SIN(RADIANS(180-$IY147)))*SIN(RADIANS($IY147))))+$IU147)&lt;(((Settings!$C$19+$IF$8)/2)*-1),"Gage",""),"")</f>
        <v/>
      </c>
      <c r="IG147" s="788" t="str">
        <f t="shared" si="226"/>
        <v/>
      </c>
      <c r="IH147" s="674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677" t="str" cm="1">
        <f t="array" ref="II147">IFERROR(IF($IH147&lt;1,$IH147+LARGE((IF($M$9:$M$150="",0,$M$9:$M$150)-MOD(IF($M$9:$M$150="",0,$M$9:$M$150),1)),1),$IH147),"")</f>
        <v/>
      </c>
      <c r="IJ147" s="482" t="str">
        <f t="shared" si="225"/>
        <v/>
      </c>
      <c r="IK147" s="482" t="str">
        <f t="shared" si="212"/>
        <v/>
      </c>
      <c r="IL147" s="670" t="str">
        <f t="shared" si="228"/>
        <v/>
      </c>
      <c r="IM147" s="702"/>
      <c r="IN147" s="5" t="str">
        <f t="shared" si="229"/>
        <v/>
      </c>
      <c r="IO147" s="714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670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05" t="str">
        <f t="shared" si="237"/>
        <v/>
      </c>
    </row>
    <row r="148" spans="1:259" ht="15" customHeight="1" x14ac:dyDescent="0.25">
      <c r="A148" s="82"/>
      <c r="B148" s="585" t="str">
        <f t="shared" si="213"/>
        <v/>
      </c>
      <c r="C148" s="582" t="str">
        <f t="shared" si="214"/>
        <v/>
      </c>
      <c r="D148" s="583" t="str">
        <f t="shared" si="215"/>
        <v/>
      </c>
      <c r="E148" s="588" t="str">
        <f t="shared" si="216"/>
        <v/>
      </c>
      <c r="F148" s="582" t="str">
        <f t="shared" si="217"/>
        <v/>
      </c>
      <c r="G148" s="586" t="str">
        <f t="shared" si="218"/>
        <v/>
      </c>
      <c r="H148" s="588" t="str">
        <f t="shared" si="222"/>
        <v/>
      </c>
      <c r="I148" s="490"/>
      <c r="J148" s="491" t="str">
        <v/>
      </c>
      <c r="K148" s="807" t="str">
        <f t="shared" si="227"/>
        <v/>
      </c>
      <c r="M148" s="492" t="str">
        <f t="shared" si="182"/>
        <v/>
      </c>
      <c r="N148" s="581" t="str">
        <f t="shared" si="183"/>
        <v/>
      </c>
      <c r="O148" s="582" t="str">
        <f t="shared" si="184"/>
        <v/>
      </c>
      <c r="P148" s="583" t="str">
        <f t="shared" si="185"/>
        <v/>
      </c>
      <c r="Q148" s="536" t="str">
        <f t="shared" si="186"/>
        <v/>
      </c>
      <c r="R148" s="582" t="str">
        <f t="shared" si="187"/>
        <v/>
      </c>
      <c r="S148" s="584" t="str">
        <f t="shared" si="188"/>
        <v/>
      </c>
      <c r="T148" s="585" t="str">
        <f t="shared" si="189"/>
        <v/>
      </c>
      <c r="U148" s="582" t="str">
        <f t="shared" si="190"/>
        <v/>
      </c>
      <c r="V148" s="586" t="str">
        <f t="shared" si="191"/>
        <v/>
      </c>
      <c r="W148" s="536" t="str">
        <f t="shared" si="192"/>
        <v/>
      </c>
      <c r="X148" s="582" t="str">
        <f t="shared" si="193"/>
        <v/>
      </c>
      <c r="Y148" s="587" t="str">
        <f t="shared" si="219"/>
        <v/>
      </c>
      <c r="Z148" s="581" t="str">
        <f t="shared" si="194"/>
        <v/>
      </c>
      <c r="AA148" s="582" t="str">
        <f t="shared" si="195"/>
        <v/>
      </c>
      <c r="AB148" s="582" t="str">
        <f t="shared" si="196"/>
        <v/>
      </c>
      <c r="AC148" s="586" t="str">
        <f t="shared" si="197"/>
        <v/>
      </c>
      <c r="AD148" s="588" t="str">
        <f t="shared" si="198"/>
        <v/>
      </c>
      <c r="AE148" s="582" t="str">
        <f t="shared" si="199"/>
        <v/>
      </c>
      <c r="AF148" s="583" t="str">
        <f t="shared" si="200"/>
        <v/>
      </c>
      <c r="AG148" s="547" t="str">
        <f t="shared" si="201"/>
        <v/>
      </c>
      <c r="AH148" s="548" t="str">
        <f t="shared" si="202"/>
        <v/>
      </c>
      <c r="AI148" s="536" t="str">
        <f t="shared" si="203"/>
        <v/>
      </c>
      <c r="AJ148" s="537" t="str">
        <f t="shared" si="204"/>
        <v/>
      </c>
      <c r="AK148" s="585" t="str">
        <f t="shared" si="205"/>
        <v/>
      </c>
      <c r="AL148" s="582" t="str">
        <f t="shared" si="206"/>
        <v/>
      </c>
      <c r="AM148" s="584" t="str">
        <f t="shared" si="207"/>
        <v/>
      </c>
      <c r="AN148" s="534" t="str">
        <f t="shared" si="151"/>
        <v/>
      </c>
      <c r="AO148" s="535" t="str">
        <f t="shared" si="181"/>
        <v/>
      </c>
      <c r="AP148" s="536" t="str">
        <f t="shared" si="208"/>
        <v/>
      </c>
      <c r="AQ148" s="537" t="str">
        <f t="shared" si="223"/>
        <v/>
      </c>
      <c r="AS148" s="599" t="str">
        <f t="shared" si="209"/>
        <v/>
      </c>
      <c r="AT148" s="603" t="str">
        <f t="shared" si="224"/>
        <v/>
      </c>
      <c r="AU148" s="515" t="str">
        <f t="shared" si="210"/>
        <v/>
      </c>
      <c r="AV148" s="492" t="str">
        <f t="shared" si="211"/>
        <v/>
      </c>
      <c r="AW148" s="547" t="str">
        <f>IF($M148="","",W148-INDEX(Assy.Model!$W$9:$W$150,MATCH('SN#.Run#'!$M148,Assy.Model!$M$9:$M$150,0)))</f>
        <v/>
      </c>
      <c r="AX148" s="630" t="str">
        <f>IF($M148="","",X148-INDEX(Assy.Model!$X$9:$X$150,MATCH('SN#.Run#'!$M148,Assy.Model!$M$9:$M$150,0)))</f>
        <v/>
      </c>
      <c r="AY148" s="631" t="str">
        <f>IF($M148="","",Y148-INDEX(Assy.Model!$Y$9:$Y$150,MATCH('SN#.Run#'!$M148,Assy.Model!$M$9:$M$150,0)))</f>
        <v/>
      </c>
      <c r="AZ148" s="60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11" t="str">
        <f>IF($M148="","",AN148-INDEX(Assy.Model!$AN$9:$AN$150,MATCH('SN#.Run#'!$M148,Assy.Model!$M$9:$M$150,0)))</f>
        <v/>
      </c>
      <c r="BB148" s="535" t="str">
        <f>IF($M148="","",AO148-INDEX(Assy.Model!$AO$9:$AO$150,MATCH('SN#.Run#'!$M148,Assy.Model!$M$9:$M$150,0)))</f>
        <v/>
      </c>
      <c r="BC148" s="620" t="str">
        <f>IF($M148="","",AP148-INDEX(Assy.Model!$AP$9:$AP$150,MATCH('SN#.Run#'!$M148,Assy.Model!$M$9:$M$150,0)))</f>
        <v/>
      </c>
      <c r="BD148" s="419"/>
      <c r="BE148" s="699"/>
      <c r="BF148" s="417"/>
      <c r="BG148" s="417"/>
      <c r="BH148" s="417"/>
      <c r="IE148" s="790" t="str">
        <f>IFERROR(IF($IU148="","",IF($IU148&lt;(((Settings!$C$19/2)*-1)*$IE$8),"Taper","Nose")),"")</f>
        <v/>
      </c>
      <c r="IF148" s="482" t="str">
        <f>IFERROR(IF((((($IW148*COS(RADIANS(180-$IY148)))*COS(RADIANS($IY148)))-(($IX148*SIN(RADIANS(180-$IY148)))*SIN(RADIANS($IY148))))+$IU148)&lt;(((Settings!$C$19+$IF$8)/2)*-1),"Gage",""),"")</f>
        <v/>
      </c>
      <c r="IG148" s="788" t="str">
        <f t="shared" si="226"/>
        <v/>
      </c>
      <c r="IH148" s="674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677" t="str" cm="1">
        <f t="array" ref="II148">IFERROR(IF($IH148&lt;1,$IH148+LARGE((IF($M$9:$M$150="",0,$M$9:$M$150)-MOD(IF($M$9:$M$150="",0,$M$9:$M$150),1)),1),$IH148),"")</f>
        <v/>
      </c>
      <c r="IJ148" s="482" t="str">
        <f t="shared" si="225"/>
        <v/>
      </c>
      <c r="IK148" s="482" t="str">
        <f t="shared" si="212"/>
        <v/>
      </c>
      <c r="IL148" s="670" t="str">
        <f t="shared" si="228"/>
        <v/>
      </c>
      <c r="IM148" s="702"/>
      <c r="IN148" s="5" t="str">
        <f t="shared" si="229"/>
        <v/>
      </c>
      <c r="IO148" s="714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670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05" t="str">
        <f t="shared" si="237"/>
        <v/>
      </c>
    </row>
    <row r="149" spans="1:259" ht="15" customHeight="1" x14ac:dyDescent="0.25">
      <c r="A149" s="82"/>
      <c r="B149" s="585" t="str">
        <f t="shared" si="213"/>
        <v/>
      </c>
      <c r="C149" s="582" t="str">
        <f t="shared" si="214"/>
        <v/>
      </c>
      <c r="D149" s="583" t="str">
        <f t="shared" si="215"/>
        <v/>
      </c>
      <c r="E149" s="588" t="str">
        <f t="shared" si="216"/>
        <v/>
      </c>
      <c r="F149" s="582" t="str">
        <f t="shared" si="217"/>
        <v/>
      </c>
      <c r="G149" s="586" t="str">
        <f t="shared" si="218"/>
        <v/>
      </c>
      <c r="H149" s="588" t="str">
        <f t="shared" si="222"/>
        <v/>
      </c>
      <c r="I149" s="490"/>
      <c r="J149" s="491" t="str">
        <v/>
      </c>
      <c r="K149" s="807" t="str">
        <f t="shared" si="227"/>
        <v/>
      </c>
      <c r="M149" s="492" t="str">
        <f t="shared" si="182"/>
        <v/>
      </c>
      <c r="N149" s="581" t="str">
        <f t="shared" si="183"/>
        <v/>
      </c>
      <c r="O149" s="582" t="str">
        <f t="shared" si="184"/>
        <v/>
      </c>
      <c r="P149" s="583" t="str">
        <f t="shared" si="185"/>
        <v/>
      </c>
      <c r="Q149" s="536" t="str">
        <f t="shared" si="186"/>
        <v/>
      </c>
      <c r="R149" s="582" t="str">
        <f t="shared" si="187"/>
        <v/>
      </c>
      <c r="S149" s="584" t="str">
        <f t="shared" si="188"/>
        <v/>
      </c>
      <c r="T149" s="585" t="str">
        <f t="shared" si="189"/>
        <v/>
      </c>
      <c r="U149" s="582" t="str">
        <f t="shared" si="190"/>
        <v/>
      </c>
      <c r="V149" s="586" t="str">
        <f t="shared" si="191"/>
        <v/>
      </c>
      <c r="W149" s="536" t="str">
        <f t="shared" si="192"/>
        <v/>
      </c>
      <c r="X149" s="582" t="str">
        <f t="shared" si="193"/>
        <v/>
      </c>
      <c r="Y149" s="587" t="str">
        <f t="shared" si="219"/>
        <v/>
      </c>
      <c r="Z149" s="581" t="str">
        <f t="shared" si="194"/>
        <v/>
      </c>
      <c r="AA149" s="582" t="str">
        <f t="shared" si="195"/>
        <v/>
      </c>
      <c r="AB149" s="582" t="str">
        <f t="shared" si="196"/>
        <v/>
      </c>
      <c r="AC149" s="586" t="str">
        <f t="shared" si="197"/>
        <v/>
      </c>
      <c r="AD149" s="588" t="str">
        <f t="shared" si="198"/>
        <v/>
      </c>
      <c r="AE149" s="582" t="str">
        <f t="shared" si="199"/>
        <v/>
      </c>
      <c r="AF149" s="583" t="str">
        <f t="shared" si="200"/>
        <v/>
      </c>
      <c r="AG149" s="547" t="str">
        <f t="shared" si="201"/>
        <v/>
      </c>
      <c r="AH149" s="548" t="str">
        <f t="shared" si="202"/>
        <v/>
      </c>
      <c r="AI149" s="536" t="str">
        <f t="shared" si="203"/>
        <v/>
      </c>
      <c r="AJ149" s="537" t="str">
        <f t="shared" si="204"/>
        <v/>
      </c>
      <c r="AK149" s="585" t="str">
        <f t="shared" si="205"/>
        <v/>
      </c>
      <c r="AL149" s="582" t="str">
        <f t="shared" si="206"/>
        <v/>
      </c>
      <c r="AM149" s="584" t="str">
        <f t="shared" si="207"/>
        <v/>
      </c>
      <c r="AN149" s="534" t="str">
        <f t="shared" si="151"/>
        <v/>
      </c>
      <c r="AO149" s="535" t="str">
        <f t="shared" si="181"/>
        <v/>
      </c>
      <c r="AP149" s="536" t="str">
        <f t="shared" si="208"/>
        <v/>
      </c>
      <c r="AQ149" s="537" t="str">
        <f t="shared" si="223"/>
        <v/>
      </c>
      <c r="AS149" s="599" t="str">
        <f t="shared" si="209"/>
        <v/>
      </c>
      <c r="AT149" s="603" t="str">
        <f t="shared" si="224"/>
        <v/>
      </c>
      <c r="AU149" s="515" t="str">
        <f t="shared" si="210"/>
        <v/>
      </c>
      <c r="AV149" s="492" t="str">
        <f t="shared" si="211"/>
        <v/>
      </c>
      <c r="AW149" s="547" t="str">
        <f>IF($M149="","",W149-INDEX(Assy.Model!$W$9:$W$150,MATCH('SN#.Run#'!$M149,Assy.Model!$M$9:$M$150,0)))</f>
        <v/>
      </c>
      <c r="AX149" s="630" t="str">
        <f>IF($M149="","",X149-INDEX(Assy.Model!$X$9:$X$150,MATCH('SN#.Run#'!$M149,Assy.Model!$M$9:$M$150,0)))</f>
        <v/>
      </c>
      <c r="AY149" s="631" t="str">
        <f>IF($M149="","",Y149-INDEX(Assy.Model!$Y$9:$Y$150,MATCH('SN#.Run#'!$M149,Assy.Model!$M$9:$M$150,0)))</f>
        <v/>
      </c>
      <c r="AZ149" s="60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11" t="str">
        <f>IF($M149="","",AN149-INDEX(Assy.Model!$AN$9:$AN$150,MATCH('SN#.Run#'!$M149,Assy.Model!$M$9:$M$150,0)))</f>
        <v/>
      </c>
      <c r="BB149" s="535" t="str">
        <f>IF($M149="","",AO149-INDEX(Assy.Model!$AO$9:$AO$150,MATCH('SN#.Run#'!$M149,Assy.Model!$M$9:$M$150,0)))</f>
        <v/>
      </c>
      <c r="BC149" s="620" t="str">
        <f>IF($M149="","",AP149-INDEX(Assy.Model!$AP$9:$AP$150,MATCH('SN#.Run#'!$M149,Assy.Model!$M$9:$M$150,0)))</f>
        <v/>
      </c>
      <c r="BD149" s="419"/>
      <c r="BE149" s="699"/>
      <c r="BF149" s="417"/>
      <c r="BG149" s="417"/>
      <c r="BH149" s="417"/>
      <c r="IE149" s="790" t="str">
        <f>IFERROR(IF($IU149="","",IF($IU149&lt;(((Settings!$C$19/2)*-1)*$IE$8),"Taper","Nose")),"")</f>
        <v/>
      </c>
      <c r="IF149" s="482" t="str">
        <f>IFERROR(IF((((($IW149*COS(RADIANS(180-$IY149)))*COS(RADIANS($IY149)))-(($IX149*SIN(RADIANS(180-$IY149)))*SIN(RADIANS($IY149))))+$IU149)&lt;(((Settings!$C$19+$IF$8)/2)*-1),"Gage",""),"")</f>
        <v/>
      </c>
      <c r="IG149" s="788" t="str">
        <f t="shared" si="226"/>
        <v/>
      </c>
      <c r="IH149" s="674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677" t="str" cm="1">
        <f t="array" ref="II149">IFERROR(IF($IH149&lt;1,$IH149+LARGE((IF($M$9:$M$150="",0,$M$9:$M$150)-MOD(IF($M$9:$M$150="",0,$M$9:$M$150),1)),1),$IH149),"")</f>
        <v/>
      </c>
      <c r="IJ149" s="482" t="str">
        <f t="shared" si="225"/>
        <v/>
      </c>
      <c r="IK149" s="482" t="str">
        <f t="shared" si="212"/>
        <v/>
      </c>
      <c r="IL149" s="670" t="str">
        <f t="shared" si="228"/>
        <v/>
      </c>
      <c r="IM149" s="702"/>
      <c r="IN149" s="5" t="str">
        <f t="shared" si="229"/>
        <v/>
      </c>
      <c r="IO149" s="714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670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05" t="str">
        <f t="shared" si="237"/>
        <v/>
      </c>
    </row>
    <row r="150" spans="1:259" ht="15" customHeight="1" thickBot="1" x14ac:dyDescent="0.3">
      <c r="A150" s="82"/>
      <c r="B150" s="593" t="str">
        <f t="shared" si="213"/>
        <v/>
      </c>
      <c r="C150" s="590" t="str">
        <f t="shared" si="214"/>
        <v/>
      </c>
      <c r="D150" s="591" t="str">
        <f t="shared" si="215"/>
        <v/>
      </c>
      <c r="E150" s="596" t="str">
        <f t="shared" si="216"/>
        <v/>
      </c>
      <c r="F150" s="590" t="str">
        <f t="shared" si="217"/>
        <v/>
      </c>
      <c r="G150" s="594" t="str">
        <f t="shared" si="218"/>
        <v/>
      </c>
      <c r="H150" s="596" t="str">
        <f t="shared" si="222"/>
        <v/>
      </c>
      <c r="I150" s="484"/>
      <c r="J150" s="485" t="str">
        <v/>
      </c>
      <c r="K150" s="808" t="str">
        <f t="shared" si="227"/>
        <v/>
      </c>
      <c r="M150" s="165" t="str">
        <f t="shared" si="182"/>
        <v/>
      </c>
      <c r="N150" s="589" t="str">
        <f t="shared" si="183"/>
        <v/>
      </c>
      <c r="O150" s="590" t="str">
        <f t="shared" si="184"/>
        <v/>
      </c>
      <c r="P150" s="591" t="str">
        <f t="shared" si="185"/>
        <v/>
      </c>
      <c r="Q150" s="540" t="str">
        <f t="shared" si="186"/>
        <v/>
      </c>
      <c r="R150" s="590" t="str">
        <f t="shared" si="187"/>
        <v/>
      </c>
      <c r="S150" s="592" t="str">
        <f t="shared" si="188"/>
        <v/>
      </c>
      <c r="T150" s="593" t="str">
        <f t="shared" si="189"/>
        <v/>
      </c>
      <c r="U150" s="590" t="str">
        <f t="shared" si="190"/>
        <v/>
      </c>
      <c r="V150" s="594" t="str">
        <f t="shared" si="191"/>
        <v/>
      </c>
      <c r="W150" s="540" t="str">
        <f t="shared" si="192"/>
        <v/>
      </c>
      <c r="X150" s="590" t="str">
        <f t="shared" si="193"/>
        <v/>
      </c>
      <c r="Y150" s="595" t="str">
        <f t="shared" si="219"/>
        <v/>
      </c>
      <c r="Z150" s="589" t="str">
        <f t="shared" si="194"/>
        <v/>
      </c>
      <c r="AA150" s="590" t="str">
        <f t="shared" si="195"/>
        <v/>
      </c>
      <c r="AB150" s="590" t="str">
        <f t="shared" si="196"/>
        <v/>
      </c>
      <c r="AC150" s="594" t="str">
        <f t="shared" si="197"/>
        <v/>
      </c>
      <c r="AD150" s="596" t="str">
        <f t="shared" si="198"/>
        <v/>
      </c>
      <c r="AE150" s="590" t="str">
        <f t="shared" si="199"/>
        <v/>
      </c>
      <c r="AF150" s="591" t="str">
        <f t="shared" si="200"/>
        <v/>
      </c>
      <c r="AG150" s="549" t="str">
        <f t="shared" si="201"/>
        <v/>
      </c>
      <c r="AH150" s="550" t="str">
        <f t="shared" si="202"/>
        <v/>
      </c>
      <c r="AI150" s="540" t="str">
        <f t="shared" si="203"/>
        <v/>
      </c>
      <c r="AJ150" s="541" t="str">
        <f t="shared" si="204"/>
        <v/>
      </c>
      <c r="AK150" s="593" t="str">
        <f t="shared" si="205"/>
        <v/>
      </c>
      <c r="AL150" s="590" t="str">
        <f t="shared" si="206"/>
        <v/>
      </c>
      <c r="AM150" s="592" t="str">
        <f t="shared" si="207"/>
        <v/>
      </c>
      <c r="AN150" s="538" t="str">
        <f t="shared" si="151"/>
        <v/>
      </c>
      <c r="AO150" s="539" t="str">
        <f t="shared" si="181"/>
        <v/>
      </c>
      <c r="AP150" s="540" t="str">
        <f t="shared" si="208"/>
        <v/>
      </c>
      <c r="AQ150" s="541" t="str">
        <f t="shared" si="223"/>
        <v/>
      </c>
      <c r="AS150" s="600" t="str">
        <f t="shared" si="209"/>
        <v/>
      </c>
      <c r="AT150" s="604" t="str">
        <f t="shared" si="224"/>
        <v/>
      </c>
      <c r="AU150" s="515" t="str">
        <f t="shared" si="210"/>
        <v/>
      </c>
      <c r="AV150" s="165" t="str">
        <f t="shared" si="211"/>
        <v/>
      </c>
      <c r="AW150" s="549" t="str">
        <f>IF($M150="","",W150-INDEX(Assy.Model!$W$9:$W$150,MATCH('SN#.Run#'!$M150,Assy.Model!$M$9:$M$150,0)))</f>
        <v/>
      </c>
      <c r="AX150" s="632" t="str">
        <f>IF($M150="","",X150-INDEX(Assy.Model!$X$9:$X$150,MATCH('SN#.Run#'!$M150,Assy.Model!$M$9:$M$150,0)))</f>
        <v/>
      </c>
      <c r="AY150" s="633" t="str">
        <f>IF($M150="","",Y150-INDEX(Assy.Model!$Y$9:$Y$150,MATCH('SN#.Run#'!$M150,Assy.Model!$M$9:$M$150,0)))</f>
        <v/>
      </c>
      <c r="AZ150" s="60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12" t="str">
        <f>IF($M150="","",AN150-INDEX(Assy.Model!$AN$9:$AN$150,MATCH('SN#.Run#'!$M150,Assy.Model!$M$9:$M$150,0)))</f>
        <v/>
      </c>
      <c r="BB150" s="539" t="str">
        <f>IF($M150="","",AO150-INDEX(Assy.Model!$AO$9:$AO$150,MATCH('SN#.Run#'!$M150,Assy.Model!$M$9:$M$150,0)))</f>
        <v/>
      </c>
      <c r="BC150" s="621" t="str">
        <f>IF($M150="","",AP150-INDEX(Assy.Model!$AP$9:$AP$150,MATCH('SN#.Run#'!$M150,Assy.Model!$M$9:$M$150,0)))</f>
        <v/>
      </c>
      <c r="BD150" s="419"/>
      <c r="BE150" s="699"/>
      <c r="BF150" s="417"/>
      <c r="BG150" s="417"/>
      <c r="BH150" s="417"/>
      <c r="IE150" s="791" t="str">
        <f>IFERROR(IF($IU150="","",IF($IU150&lt;(((Settings!$C$19/2)*-1)*$IE$8),"Taper","Nose")),"")</f>
        <v/>
      </c>
      <c r="IF150" s="782" t="str">
        <f>IFERROR(IF((((($IW150*COS(RADIANS(180-$IY150)))*COS(RADIANS($IY150)))-(($IX150*SIN(RADIANS(180-$IY150)))*SIN(RADIANS($IY150))))+$IU150)&lt;(((Settings!$C$19+$IF$8)/2)*-1),"Gage",""),"")</f>
        <v/>
      </c>
      <c r="IG150" s="789" t="str">
        <f t="shared" si="226"/>
        <v/>
      </c>
      <c r="IH150" s="675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678" t="str" cm="1">
        <f t="array" ref="II150">IFERROR(IF($IH150&lt;1,$IH150+LARGE((IF($M$9:$M$150="",0,$M$9:$M$150)-MOD(IF($M$9:$M$150="",0,$M$9:$M$150),1)),1),$IH150),"")</f>
        <v/>
      </c>
      <c r="IJ150" s="782" t="str">
        <f t="shared" si="225"/>
        <v/>
      </c>
      <c r="IK150" s="782" t="str">
        <f t="shared" si="212"/>
        <v/>
      </c>
      <c r="IL150" s="671" t="str">
        <f t="shared" si="228"/>
        <v/>
      </c>
      <c r="IM150" s="703"/>
      <c r="IN150" s="175" t="str">
        <f t="shared" si="229"/>
        <v/>
      </c>
      <c r="IO150" s="715"/>
      <c r="IP150" s="711" t="str">
        <f t="shared" si="230"/>
        <v/>
      </c>
      <c r="IQ150" s="175" t="str">
        <f t="shared" si="231"/>
        <v/>
      </c>
      <c r="IR150" s="175" t="str">
        <f t="shared" si="220"/>
        <v/>
      </c>
      <c r="IS150" s="175" t="str">
        <f t="shared" si="232"/>
        <v/>
      </c>
      <c r="IT150" s="671" t="str">
        <f t="shared" si="233"/>
        <v/>
      </c>
      <c r="IU150" s="711" t="str">
        <f t="shared" si="234"/>
        <v/>
      </c>
      <c r="IV150" s="175" t="str">
        <f t="shared" si="235"/>
        <v/>
      </c>
      <c r="IW150" s="175" t="str">
        <f t="shared" si="221"/>
        <v/>
      </c>
      <c r="IX150" s="175" t="str">
        <f t="shared" si="236"/>
        <v/>
      </c>
      <c r="IY150" s="706" t="str">
        <f t="shared" si="237"/>
        <v/>
      </c>
    </row>
    <row r="151" spans="1:259" ht="15" customHeight="1" x14ac:dyDescent="0.25">
      <c r="AQ151" s="162"/>
      <c r="BD151" s="417"/>
      <c r="BF151" s="417"/>
      <c r="BG151" s="417"/>
      <c r="BH151" s="417"/>
      <c r="IF151" s="31"/>
      <c r="IG151" s="31"/>
    </row>
    <row r="152" spans="1:259" ht="15" customHeight="1" x14ac:dyDescent="0.25">
      <c r="AQ152" s="162"/>
      <c r="AV152" s="380"/>
      <c r="AW152" s="1412" t="str">
        <f>$W$6</f>
        <v>Projected XY</v>
      </c>
      <c r="AX152" s="1413"/>
      <c r="AY152" s="1399" t="str">
        <f>$Y$6</f>
        <v>Z</v>
      </c>
      <c r="AZ152" s="1397" t="s">
        <v>104</v>
      </c>
      <c r="BA152" s="171" t="str">
        <f>$AN$6</f>
        <v>&lt;X°</v>
      </c>
      <c r="BB152" s="385" t="str">
        <f>$AO$6</f>
        <v>&lt;Y°</v>
      </c>
      <c r="BC152" s="376" t="str">
        <f>$AP$6</f>
        <v>Projection</v>
      </c>
      <c r="BD152" s="417"/>
    </row>
    <row r="153" spans="1:259" ht="15" customHeight="1" thickBot="1" x14ac:dyDescent="0.3">
      <c r="AQ153" s="162"/>
      <c r="AV153" s="381"/>
      <c r="AW153" s="377" t="str">
        <f>$W$7</f>
        <v>&lt; θ°</v>
      </c>
      <c r="AX153" s="378" t="str">
        <f>$X$7</f>
        <v>r</v>
      </c>
      <c r="AY153" s="1400"/>
      <c r="AZ153" s="1398"/>
      <c r="BA153" s="379" t="str">
        <f>$AN$7</f>
        <v>Tilt</v>
      </c>
      <c r="BB153" s="386" t="str">
        <f>$AO$7</f>
        <v>Back Rake</v>
      </c>
      <c r="BC153" s="387" t="str">
        <f>$AP$7</f>
        <v>Side Rake</v>
      </c>
      <c r="BD153" s="417"/>
    </row>
    <row r="154" spans="1:259" ht="15" customHeight="1" x14ac:dyDescent="0.25">
      <c r="AQ154" s="162"/>
      <c r="AV154" s="382" t="s">
        <v>101</v>
      </c>
      <c r="AW154" s="605">
        <f t="shared" ref="AW154:BC154" si="238">MIN(AW9:AW150)</f>
        <v>0</v>
      </c>
      <c r="AX154" s="634">
        <f t="shared" si="238"/>
        <v>0</v>
      </c>
      <c r="AY154" s="635">
        <f t="shared" si="238"/>
        <v>0</v>
      </c>
      <c r="AZ154" s="601">
        <f t="shared" si="238"/>
        <v>0</v>
      </c>
      <c r="BA154" s="613">
        <f t="shared" si="238"/>
        <v>0</v>
      </c>
      <c r="BB154" s="614">
        <f t="shared" si="238"/>
        <v>0</v>
      </c>
      <c r="BC154" s="622">
        <f t="shared" si="238"/>
        <v>0</v>
      </c>
      <c r="BD154" s="417"/>
    </row>
    <row r="155" spans="1:259" ht="15" customHeight="1" x14ac:dyDescent="0.25">
      <c r="AQ155" s="162"/>
      <c r="AV155" s="383" t="s">
        <v>102</v>
      </c>
      <c r="AW155" s="606">
        <f t="shared" ref="AW155:BC155" si="239">MAX(AW9:AW150)</f>
        <v>0</v>
      </c>
      <c r="AX155" s="628">
        <f t="shared" si="239"/>
        <v>0</v>
      </c>
      <c r="AY155" s="629">
        <f t="shared" si="239"/>
        <v>0</v>
      </c>
      <c r="AZ155" s="602">
        <f t="shared" si="239"/>
        <v>0</v>
      </c>
      <c r="BA155" s="610">
        <f t="shared" si="239"/>
        <v>0</v>
      </c>
      <c r="BB155" s="615">
        <f t="shared" si="239"/>
        <v>0</v>
      </c>
      <c r="BC155" s="623">
        <f t="shared" si="239"/>
        <v>0</v>
      </c>
      <c r="BD155" s="417"/>
    </row>
    <row r="156" spans="1:259" ht="15" customHeight="1" thickBot="1" x14ac:dyDescent="0.3">
      <c r="O156" s="31"/>
      <c r="P156" s="162"/>
      <c r="Q156" s="162"/>
      <c r="AQ156" s="162"/>
      <c r="AV156" s="383" t="s">
        <v>100</v>
      </c>
      <c r="AW156" s="606">
        <f t="shared" ref="AW156:BC156" si="240">AW155-AW154</f>
        <v>0</v>
      </c>
      <c r="AX156" s="628">
        <f t="shared" si="240"/>
        <v>0</v>
      </c>
      <c r="AY156" s="629">
        <f t="shared" si="240"/>
        <v>0</v>
      </c>
      <c r="AZ156" s="602">
        <f>AZ155-AZ154</f>
        <v>0</v>
      </c>
      <c r="BA156" s="610">
        <f t="shared" si="240"/>
        <v>0</v>
      </c>
      <c r="BB156" s="615">
        <f t="shared" si="240"/>
        <v>0</v>
      </c>
      <c r="BC156" s="623">
        <f t="shared" si="240"/>
        <v>0</v>
      </c>
      <c r="BD156" s="417"/>
    </row>
    <row r="157" spans="1:259" ht="15" customHeight="1" x14ac:dyDescent="0.25">
      <c r="B157" s="1147" t="s">
        <v>42</v>
      </c>
      <c r="C157" s="1148"/>
      <c r="D157" s="1148"/>
      <c r="E157" s="1148"/>
      <c r="F157" s="1148"/>
      <c r="G157" s="1148"/>
      <c r="H157" s="1148"/>
      <c r="I157" s="1148"/>
      <c r="J157" s="1148"/>
      <c r="K157" s="1149"/>
      <c r="AQ157" s="162"/>
      <c r="AV157" s="384" t="s">
        <v>99</v>
      </c>
      <c r="AW157" s="607" t="str">
        <f>IFERROR(AVERAGE(AW9:AW150),"")</f>
        <v/>
      </c>
      <c r="AX157" s="636" t="str">
        <f t="shared" ref="AX157:BC157" si="241">IFERROR(AVERAGE(AX9:AX150),"")</f>
        <v/>
      </c>
      <c r="AY157" s="637" t="str">
        <f t="shared" si="241"/>
        <v/>
      </c>
      <c r="AZ157" s="638" t="str">
        <f t="shared" si="241"/>
        <v/>
      </c>
      <c r="BA157" s="616" t="str">
        <f t="shared" si="241"/>
        <v/>
      </c>
      <c r="BB157" s="617" t="str">
        <f t="shared" si="241"/>
        <v/>
      </c>
      <c r="BC157" s="624" t="str">
        <f t="shared" si="241"/>
        <v/>
      </c>
      <c r="BD157" s="417"/>
    </row>
    <row r="158" spans="1:259" ht="15" customHeight="1" x14ac:dyDescent="0.25">
      <c r="B158" s="1150"/>
      <c r="C158" s="1111"/>
      <c r="D158" s="1111"/>
      <c r="E158" s="1111"/>
      <c r="F158" s="1111"/>
      <c r="G158" s="1111"/>
      <c r="H158" s="1111"/>
      <c r="I158" s="1111"/>
      <c r="J158" s="1111"/>
      <c r="K158" s="1151"/>
      <c r="AQ158" s="162"/>
      <c r="AV158" s="74" t="s">
        <v>284</v>
      </c>
      <c r="AZ158" s="639">
        <f>SUM(AZ9:AZ150)</f>
        <v>0</v>
      </c>
      <c r="BD158" s="417"/>
    </row>
    <row r="159" spans="1:259" ht="15" customHeight="1" x14ac:dyDescent="0.25">
      <c r="B159" s="1152"/>
      <c r="C159" s="1153"/>
      <c r="D159" s="1153"/>
      <c r="E159" s="1153"/>
      <c r="F159" s="1153"/>
      <c r="G159" s="1153"/>
      <c r="H159" s="1153"/>
      <c r="I159" s="1153"/>
      <c r="J159" s="1153"/>
      <c r="K159" s="1154"/>
      <c r="AQ159" s="162"/>
      <c r="BD159" s="417"/>
    </row>
    <row r="160" spans="1:259" ht="15" customHeight="1" x14ac:dyDescent="0.25">
      <c r="B160" s="1141" t="str">
        <f>CONCATENATE(B162," ; ",E162," ; ",H163)</f>
        <v>Absolute-Point ; Incremental-Vector Point ; Radius</v>
      </c>
      <c r="C160" s="1142"/>
      <c r="D160" s="1142"/>
      <c r="E160" s="1142"/>
      <c r="F160" s="1142"/>
      <c r="G160" s="1142"/>
      <c r="H160" s="1142"/>
      <c r="I160" s="1142"/>
      <c r="J160" s="1142"/>
      <c r="K160" s="1143"/>
      <c r="AQ160" s="162"/>
      <c r="BD160" s="417"/>
    </row>
    <row r="161" spans="2:56" ht="15" customHeight="1" x14ac:dyDescent="0.25">
      <c r="B161" s="1144"/>
      <c r="C161" s="1145"/>
      <c r="D161" s="1145"/>
      <c r="E161" s="1145"/>
      <c r="F161" s="1145"/>
      <c r="G161" s="1145"/>
      <c r="H161" s="1145"/>
      <c r="I161" s="1145"/>
      <c r="J161" s="1145"/>
      <c r="K161" s="1146"/>
      <c r="AQ161" s="162"/>
      <c r="BD161" s="417"/>
    </row>
    <row r="162" spans="2:56" ht="15" customHeight="1" x14ac:dyDescent="0.25">
      <c r="B162" s="1161" t="s">
        <v>40</v>
      </c>
      <c r="C162" s="1162"/>
      <c r="D162" s="1163"/>
      <c r="E162" s="1164" t="s">
        <v>41</v>
      </c>
      <c r="F162" s="1162"/>
      <c r="G162" s="1165"/>
      <c r="H162" s="1003" t="s">
        <v>305</v>
      </c>
      <c r="I162" s="1023"/>
      <c r="J162" s="1004"/>
      <c r="K162" s="488"/>
      <c r="M162" s="1363" t="s">
        <v>304</v>
      </c>
      <c r="N162" s="1409"/>
      <c r="O162" s="1390" t="s">
        <v>283</v>
      </c>
      <c r="P162" s="1391"/>
      <c r="Q162" s="1392"/>
      <c r="R162" s="1393" t="s">
        <v>41</v>
      </c>
      <c r="S162" s="1391"/>
      <c r="T162" s="1392"/>
      <c r="AQ162" s="162"/>
      <c r="BD162" s="417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487" t="s">
        <v>30</v>
      </c>
      <c r="M163" s="1410"/>
      <c r="N163" s="1411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2"/>
      <c r="BD163" s="417"/>
    </row>
    <row r="164" spans="2:56" ht="15" customHeight="1" thickTop="1" x14ac:dyDescent="0.25">
      <c r="B164" s="645"/>
      <c r="C164" s="646"/>
      <c r="D164" s="647"/>
      <c r="E164" s="648"/>
      <c r="F164" s="646"/>
      <c r="G164" s="649"/>
      <c r="H164" s="648"/>
      <c r="I164" s="516"/>
      <c r="J164" s="816"/>
      <c r="K164" s="517"/>
      <c r="L164" s="162" t="str">
        <f t="shared" ref="L164:L186" si="242">IF(ISNUMBER($J164),INDEX($AZ$9:$AZ$150,MATCH($M164,$AV$9:$AV$150,0)),"")</f>
        <v/>
      </c>
      <c r="M164" s="511">
        <f>Assy.Model!$M9</f>
        <v>1.101</v>
      </c>
      <c r="N164" s="809">
        <f>Assy.Model!K9</f>
        <v>1313</v>
      </c>
      <c r="O164" s="566" t="str">
        <f t="shared" ref="O164:O195" si="243">IF(ISBLANK($J164),"",(($BM$3*$B164)+($BN$3*$C164)+($BO$3*$D164))+$BP$3)</f>
        <v/>
      </c>
      <c r="P164" s="567" t="str">
        <f t="shared" ref="P164:P195" si="244">IF(ISBLANK($J164),"",(($BM$4*$B164)+($BN$4*$C164)+($BO$4*$D164))+$BP$4)</f>
        <v/>
      </c>
      <c r="Q164" s="571" t="str">
        <f t="shared" ref="Q164:Q195" si="245">IF(ISBLANK($J164),"",(($BM$5*$B164)+($BN$5*$C164)+($BO$5*$D164))+$BP$5)</f>
        <v/>
      </c>
      <c r="R164" s="574" t="str">
        <f t="shared" ref="R164:R195" si="246">IF(ISBLANK($J164),"",(($BM$3*$E164)+($BN$3*$F164)+($BO$3*$G164)))</f>
        <v/>
      </c>
      <c r="S164" s="567" t="str">
        <f t="shared" ref="S164:S195" si="247">IF(ISBLANK($J164),"",(($BM$4*$E164)+($BN$4*$F164)+($BO$4*$G164)))</f>
        <v/>
      </c>
      <c r="T164" s="571" t="str">
        <f t="shared" ref="T164:T195" si="248">IF(ISBLANK($J164),"",(($BM$5*$E164)+($BN$5*$F164)+($BO$5*$G164)))</f>
        <v/>
      </c>
      <c r="AQ164" s="162"/>
      <c r="BD164" s="417"/>
    </row>
    <row r="165" spans="2:56" ht="15" customHeight="1" x14ac:dyDescent="0.25">
      <c r="B165" s="650"/>
      <c r="C165" s="651"/>
      <c r="D165" s="652"/>
      <c r="E165" s="653"/>
      <c r="F165" s="651"/>
      <c r="G165" s="654"/>
      <c r="H165" s="653"/>
      <c r="I165" s="518"/>
      <c r="J165" s="817"/>
      <c r="K165" s="519"/>
      <c r="L165" s="162" t="str">
        <f t="shared" si="242"/>
        <v/>
      </c>
      <c r="M165" s="512">
        <f>Assy.Model!$M10</f>
        <v>1.1040000000000001</v>
      </c>
      <c r="N165" s="810">
        <f>Assy.Model!K10</f>
        <v>1313</v>
      </c>
      <c r="O165" s="575" t="str">
        <f t="shared" si="243"/>
        <v/>
      </c>
      <c r="P165" s="572" t="str">
        <f t="shared" si="244"/>
        <v/>
      </c>
      <c r="Q165" s="579" t="str">
        <f t="shared" si="245"/>
        <v/>
      </c>
      <c r="R165" s="580" t="str">
        <f t="shared" si="246"/>
        <v/>
      </c>
      <c r="S165" s="572" t="str">
        <f t="shared" si="247"/>
        <v/>
      </c>
      <c r="T165" s="579" t="str">
        <f t="shared" si="248"/>
        <v/>
      </c>
      <c r="AQ165" s="162"/>
      <c r="BD165" s="417"/>
    </row>
    <row r="166" spans="2:56" ht="15" customHeight="1" x14ac:dyDescent="0.25">
      <c r="B166" s="650"/>
      <c r="C166" s="651"/>
      <c r="D166" s="652"/>
      <c r="E166" s="653"/>
      <c r="F166" s="651"/>
      <c r="G166" s="654"/>
      <c r="H166" s="653"/>
      <c r="I166" s="518"/>
      <c r="J166" s="817"/>
      <c r="K166" s="519"/>
      <c r="L166" s="162" t="str">
        <f t="shared" si="242"/>
        <v/>
      </c>
      <c r="M166" s="512">
        <f>Assy.Model!$M11</f>
        <v>1.1080000000000001</v>
      </c>
      <c r="N166" s="810">
        <f>Assy.Model!K11</f>
        <v>1313</v>
      </c>
      <c r="O166" s="575" t="str">
        <f t="shared" si="243"/>
        <v/>
      </c>
      <c r="P166" s="572" t="str">
        <f t="shared" si="244"/>
        <v/>
      </c>
      <c r="Q166" s="579" t="str">
        <f t="shared" si="245"/>
        <v/>
      </c>
      <c r="R166" s="580" t="str">
        <f t="shared" si="246"/>
        <v/>
      </c>
      <c r="S166" s="572" t="str">
        <f t="shared" si="247"/>
        <v/>
      </c>
      <c r="T166" s="579" t="str">
        <f t="shared" si="248"/>
        <v/>
      </c>
      <c r="AQ166" s="162"/>
      <c r="BD166" s="417"/>
    </row>
    <row r="167" spans="2:56" ht="15" customHeight="1" x14ac:dyDescent="0.25">
      <c r="B167" s="650"/>
      <c r="C167" s="651"/>
      <c r="D167" s="652"/>
      <c r="E167" s="653"/>
      <c r="F167" s="651"/>
      <c r="G167" s="654"/>
      <c r="H167" s="653"/>
      <c r="I167" s="518"/>
      <c r="J167" s="817"/>
      <c r="K167" s="519"/>
      <c r="L167" s="162" t="str">
        <f t="shared" si="242"/>
        <v/>
      </c>
      <c r="M167" s="512">
        <f>Assy.Model!$M12</f>
        <v>1.1140000000000001</v>
      </c>
      <c r="N167" s="810">
        <f>Assy.Model!K12</f>
        <v>1313</v>
      </c>
      <c r="O167" s="575" t="str">
        <f t="shared" si="243"/>
        <v/>
      </c>
      <c r="P167" s="572" t="str">
        <f t="shared" si="244"/>
        <v/>
      </c>
      <c r="Q167" s="579" t="str">
        <f t="shared" si="245"/>
        <v/>
      </c>
      <c r="R167" s="580" t="str">
        <f t="shared" si="246"/>
        <v/>
      </c>
      <c r="S167" s="572" t="str">
        <f t="shared" si="247"/>
        <v/>
      </c>
      <c r="T167" s="579" t="str">
        <f t="shared" si="248"/>
        <v/>
      </c>
      <c r="AQ167" s="162"/>
      <c r="BD167" s="417"/>
    </row>
    <row r="168" spans="2:56" ht="15" customHeight="1" x14ac:dyDescent="0.25">
      <c r="B168" s="650"/>
      <c r="C168" s="651"/>
      <c r="D168" s="652"/>
      <c r="E168" s="653"/>
      <c r="F168" s="651"/>
      <c r="G168" s="654"/>
      <c r="H168" s="653"/>
      <c r="I168" s="518"/>
      <c r="J168" s="817"/>
      <c r="K168" s="519"/>
      <c r="L168" s="162" t="str">
        <f t="shared" si="242"/>
        <v/>
      </c>
      <c r="M168" s="512">
        <f>Assy.Model!$M13</f>
        <v>1.1220000000000001</v>
      </c>
      <c r="N168" s="810">
        <f>Assy.Model!K13</f>
        <v>1313</v>
      </c>
      <c r="O168" s="575" t="str">
        <f t="shared" si="243"/>
        <v/>
      </c>
      <c r="P168" s="572" t="str">
        <f t="shared" si="244"/>
        <v/>
      </c>
      <c r="Q168" s="579" t="str">
        <f t="shared" si="245"/>
        <v/>
      </c>
      <c r="R168" s="580" t="str">
        <f t="shared" si="246"/>
        <v/>
      </c>
      <c r="S168" s="572" t="str">
        <f t="shared" si="247"/>
        <v/>
      </c>
      <c r="T168" s="579" t="str">
        <f t="shared" si="248"/>
        <v/>
      </c>
      <c r="AQ168" s="162"/>
      <c r="BD168" s="417"/>
    </row>
    <row r="169" spans="2:56" ht="15" customHeight="1" x14ac:dyDescent="0.25">
      <c r="B169" s="650"/>
      <c r="C169" s="651"/>
      <c r="D169" s="652"/>
      <c r="E169" s="653"/>
      <c r="F169" s="651"/>
      <c r="G169" s="654"/>
      <c r="H169" s="653"/>
      <c r="I169" s="518"/>
      <c r="J169" s="817"/>
      <c r="K169" s="519"/>
      <c r="L169" s="162" t="str">
        <f t="shared" si="242"/>
        <v/>
      </c>
      <c r="M169" s="512">
        <f>Assy.Model!$M14</f>
        <v>1.1299999999999999</v>
      </c>
      <c r="N169" s="810">
        <f>Assy.Model!K14</f>
        <v>1313</v>
      </c>
      <c r="O169" s="575" t="str">
        <f t="shared" si="243"/>
        <v/>
      </c>
      <c r="P169" s="572" t="str">
        <f t="shared" si="244"/>
        <v/>
      </c>
      <c r="Q169" s="579" t="str">
        <f t="shared" si="245"/>
        <v/>
      </c>
      <c r="R169" s="580" t="str">
        <f t="shared" si="246"/>
        <v/>
      </c>
      <c r="S169" s="572" t="str">
        <f t="shared" si="247"/>
        <v/>
      </c>
      <c r="T169" s="579" t="str">
        <f t="shared" si="248"/>
        <v/>
      </c>
      <c r="AQ169" s="162"/>
      <c r="BD169" s="417"/>
    </row>
    <row r="170" spans="2:56" ht="15" customHeight="1" x14ac:dyDescent="0.25">
      <c r="B170" s="650"/>
      <c r="C170" s="651"/>
      <c r="D170" s="652"/>
      <c r="E170" s="653"/>
      <c r="F170" s="651"/>
      <c r="G170" s="654"/>
      <c r="H170" s="653"/>
      <c r="I170" s="518"/>
      <c r="J170" s="817"/>
      <c r="K170" s="519"/>
      <c r="L170" s="162" t="str">
        <f t="shared" si="242"/>
        <v/>
      </c>
      <c r="M170" s="512">
        <f>Assy.Model!$M15</f>
        <v>1.1379999999999999</v>
      </c>
      <c r="N170" s="810">
        <f>Assy.Model!K15</f>
        <v>1313</v>
      </c>
      <c r="O170" s="575" t="str">
        <f t="shared" si="243"/>
        <v/>
      </c>
      <c r="P170" s="572" t="str">
        <f t="shared" si="244"/>
        <v/>
      </c>
      <c r="Q170" s="579" t="str">
        <f t="shared" si="245"/>
        <v/>
      </c>
      <c r="R170" s="580" t="str">
        <f t="shared" si="246"/>
        <v/>
      </c>
      <c r="S170" s="572" t="str">
        <f t="shared" si="247"/>
        <v/>
      </c>
      <c r="T170" s="579" t="str">
        <f t="shared" si="248"/>
        <v/>
      </c>
      <c r="AQ170" s="162"/>
      <c r="BD170" s="417"/>
    </row>
    <row r="171" spans="2:56" ht="15" customHeight="1" x14ac:dyDescent="0.25">
      <c r="B171" s="650"/>
      <c r="C171" s="651"/>
      <c r="D171" s="652"/>
      <c r="E171" s="653"/>
      <c r="F171" s="651"/>
      <c r="G171" s="654"/>
      <c r="H171" s="653"/>
      <c r="I171" s="518"/>
      <c r="J171" s="817"/>
      <c r="K171" s="519"/>
      <c r="L171" s="162" t="str">
        <f t="shared" si="242"/>
        <v/>
      </c>
      <c r="M171" s="512">
        <f>Assy.Model!$M16</f>
        <v>1.1459999999999999</v>
      </c>
      <c r="N171" s="810">
        <f>Assy.Model!K16</f>
        <v>1313</v>
      </c>
      <c r="O171" s="575" t="str">
        <f t="shared" si="243"/>
        <v/>
      </c>
      <c r="P171" s="572" t="str">
        <f t="shared" si="244"/>
        <v/>
      </c>
      <c r="Q171" s="579" t="str">
        <f t="shared" si="245"/>
        <v/>
      </c>
      <c r="R171" s="580" t="str">
        <f t="shared" si="246"/>
        <v/>
      </c>
      <c r="S171" s="572" t="str">
        <f t="shared" si="247"/>
        <v/>
      </c>
      <c r="T171" s="579" t="str">
        <f t="shared" si="248"/>
        <v/>
      </c>
      <c r="AQ171" s="162"/>
      <c r="BD171" s="417"/>
    </row>
    <row r="172" spans="2:56" ht="15" customHeight="1" x14ac:dyDescent="0.25">
      <c r="B172" s="650"/>
      <c r="C172" s="651"/>
      <c r="D172" s="652"/>
      <c r="E172" s="653"/>
      <c r="F172" s="651"/>
      <c r="G172" s="654"/>
      <c r="H172" s="653"/>
      <c r="I172" s="518"/>
      <c r="J172" s="817"/>
      <c r="K172" s="519"/>
      <c r="L172" s="162" t="str">
        <f t="shared" si="242"/>
        <v/>
      </c>
      <c r="M172" s="512">
        <f>Assy.Model!$M17</f>
        <v>2.113</v>
      </c>
      <c r="N172" s="810">
        <f>Assy.Model!K17</f>
        <v>1313</v>
      </c>
      <c r="O172" s="575" t="str">
        <f t="shared" si="243"/>
        <v/>
      </c>
      <c r="P172" s="572" t="str">
        <f t="shared" si="244"/>
        <v/>
      </c>
      <c r="Q172" s="579" t="str">
        <f t="shared" si="245"/>
        <v/>
      </c>
      <c r="R172" s="580" t="str">
        <f t="shared" si="246"/>
        <v/>
      </c>
      <c r="S172" s="572" t="str">
        <f t="shared" si="247"/>
        <v/>
      </c>
      <c r="T172" s="579" t="str">
        <f t="shared" si="248"/>
        <v/>
      </c>
      <c r="AQ172" s="162"/>
    </row>
    <row r="173" spans="2:56" ht="15" customHeight="1" x14ac:dyDescent="0.25">
      <c r="B173" s="650"/>
      <c r="C173" s="651"/>
      <c r="D173" s="652"/>
      <c r="E173" s="653"/>
      <c r="F173" s="651"/>
      <c r="G173" s="654"/>
      <c r="H173" s="653"/>
      <c r="I173" s="518"/>
      <c r="J173" s="817"/>
      <c r="K173" s="519"/>
      <c r="L173" s="162" t="str">
        <f t="shared" si="242"/>
        <v/>
      </c>
      <c r="M173" s="512">
        <f>Assy.Model!$M18</f>
        <v>2.121</v>
      </c>
      <c r="N173" s="810">
        <f>Assy.Model!K18</f>
        <v>1313</v>
      </c>
      <c r="O173" s="575" t="str">
        <f t="shared" si="243"/>
        <v/>
      </c>
      <c r="P173" s="572" t="str">
        <f t="shared" si="244"/>
        <v/>
      </c>
      <c r="Q173" s="579" t="str">
        <f t="shared" si="245"/>
        <v/>
      </c>
      <c r="R173" s="580" t="str">
        <f t="shared" si="246"/>
        <v/>
      </c>
      <c r="S173" s="572" t="str">
        <f t="shared" si="247"/>
        <v/>
      </c>
      <c r="T173" s="579" t="str">
        <f t="shared" si="248"/>
        <v/>
      </c>
      <c r="AQ173" s="162"/>
    </row>
    <row r="174" spans="2:56" ht="15" customHeight="1" x14ac:dyDescent="0.25">
      <c r="B174" s="650"/>
      <c r="C174" s="651"/>
      <c r="D174" s="652"/>
      <c r="E174" s="653"/>
      <c r="F174" s="651"/>
      <c r="G174" s="654"/>
      <c r="H174" s="653"/>
      <c r="I174" s="518"/>
      <c r="J174" s="817"/>
      <c r="K174" s="519"/>
      <c r="L174" s="162" t="str">
        <f t="shared" si="242"/>
        <v/>
      </c>
      <c r="M174" s="512">
        <f>Assy.Model!$M19</f>
        <v>2.129</v>
      </c>
      <c r="N174" s="810">
        <f>Assy.Model!K19</f>
        <v>1313</v>
      </c>
      <c r="O174" s="575" t="str">
        <f t="shared" si="243"/>
        <v/>
      </c>
      <c r="P174" s="572" t="str">
        <f t="shared" si="244"/>
        <v/>
      </c>
      <c r="Q174" s="579" t="str">
        <f t="shared" si="245"/>
        <v/>
      </c>
      <c r="R174" s="580" t="str">
        <f t="shared" si="246"/>
        <v/>
      </c>
      <c r="S174" s="572" t="str">
        <f t="shared" si="247"/>
        <v/>
      </c>
      <c r="T174" s="579" t="str">
        <f t="shared" si="248"/>
        <v/>
      </c>
      <c r="AQ174" s="162"/>
    </row>
    <row r="175" spans="2:56" ht="15" customHeight="1" x14ac:dyDescent="0.25">
      <c r="B175" s="650"/>
      <c r="C175" s="651"/>
      <c r="D175" s="652"/>
      <c r="E175" s="653"/>
      <c r="F175" s="651"/>
      <c r="G175" s="654"/>
      <c r="H175" s="653"/>
      <c r="I175" s="518"/>
      <c r="J175" s="817"/>
      <c r="K175" s="519"/>
      <c r="L175" s="162" t="str">
        <f t="shared" si="242"/>
        <v/>
      </c>
      <c r="M175" s="512">
        <f>Assy.Model!$M20</f>
        <v>2.137</v>
      </c>
      <c r="N175" s="810">
        <f>Assy.Model!K20</f>
        <v>1313</v>
      </c>
      <c r="O175" s="575" t="str">
        <f t="shared" si="243"/>
        <v/>
      </c>
      <c r="P175" s="572" t="str">
        <f t="shared" si="244"/>
        <v/>
      </c>
      <c r="Q175" s="579" t="str">
        <f t="shared" si="245"/>
        <v/>
      </c>
      <c r="R175" s="580" t="str">
        <f t="shared" si="246"/>
        <v/>
      </c>
      <c r="S175" s="572" t="str">
        <f t="shared" si="247"/>
        <v/>
      </c>
      <c r="T175" s="579" t="str">
        <f t="shared" si="248"/>
        <v/>
      </c>
      <c r="AQ175" s="162"/>
    </row>
    <row r="176" spans="2:56" ht="15" customHeight="1" x14ac:dyDescent="0.25">
      <c r="B176" s="650"/>
      <c r="C176" s="651"/>
      <c r="D176" s="652"/>
      <c r="E176" s="653"/>
      <c r="F176" s="651"/>
      <c r="G176" s="654"/>
      <c r="H176" s="653"/>
      <c r="I176" s="518"/>
      <c r="J176" s="817"/>
      <c r="K176" s="519"/>
      <c r="L176" s="162" t="str">
        <f t="shared" si="242"/>
        <v/>
      </c>
      <c r="M176" s="512">
        <f>Assy.Model!$M21</f>
        <v>2.145</v>
      </c>
      <c r="N176" s="810">
        <f>Assy.Model!K21</f>
        <v>1313</v>
      </c>
      <c r="O176" s="575" t="str">
        <f t="shared" si="243"/>
        <v/>
      </c>
      <c r="P176" s="572" t="str">
        <f t="shared" si="244"/>
        <v/>
      </c>
      <c r="Q176" s="579" t="str">
        <f t="shared" si="245"/>
        <v/>
      </c>
      <c r="R176" s="580" t="str">
        <f t="shared" si="246"/>
        <v/>
      </c>
      <c r="S176" s="572" t="str">
        <f t="shared" si="247"/>
        <v/>
      </c>
      <c r="T176" s="579" t="str">
        <f t="shared" si="248"/>
        <v/>
      </c>
      <c r="AQ176" s="162"/>
    </row>
    <row r="177" spans="2:43" ht="15" customHeight="1" x14ac:dyDescent="0.25">
      <c r="B177" s="650"/>
      <c r="C177" s="651"/>
      <c r="D177" s="652"/>
      <c r="E177" s="653"/>
      <c r="F177" s="651"/>
      <c r="G177" s="654"/>
      <c r="H177" s="653"/>
      <c r="I177" s="518"/>
      <c r="J177" s="817"/>
      <c r="K177" s="519"/>
      <c r="L177" s="162" t="str">
        <f t="shared" si="242"/>
        <v/>
      </c>
      <c r="M177" s="512">
        <f>Assy.Model!$M22</f>
        <v>3.1030000000000002</v>
      </c>
      <c r="N177" s="810">
        <f>Assy.Model!K22</f>
        <v>1313</v>
      </c>
      <c r="O177" s="575" t="str">
        <f t="shared" si="243"/>
        <v/>
      </c>
      <c r="P177" s="572" t="str">
        <f t="shared" si="244"/>
        <v/>
      </c>
      <c r="Q177" s="579" t="str">
        <f t="shared" si="245"/>
        <v/>
      </c>
      <c r="R177" s="580" t="str">
        <f t="shared" si="246"/>
        <v/>
      </c>
      <c r="S177" s="572" t="str">
        <f t="shared" si="247"/>
        <v/>
      </c>
      <c r="T177" s="579" t="str">
        <f t="shared" si="248"/>
        <v/>
      </c>
      <c r="AQ177" s="162"/>
    </row>
    <row r="178" spans="2:43" ht="15" customHeight="1" x14ac:dyDescent="0.25">
      <c r="B178" s="650"/>
      <c r="C178" s="651"/>
      <c r="D178" s="652"/>
      <c r="E178" s="653"/>
      <c r="F178" s="651"/>
      <c r="G178" s="654"/>
      <c r="H178" s="653"/>
      <c r="I178" s="518"/>
      <c r="J178" s="817"/>
      <c r="K178" s="519"/>
      <c r="L178" s="162" t="str">
        <f t="shared" si="242"/>
        <v/>
      </c>
      <c r="M178" s="512">
        <f>Assy.Model!$M23</f>
        <v>3.1070000000000002</v>
      </c>
      <c r="N178" s="810">
        <f>Assy.Model!K23</f>
        <v>1313</v>
      </c>
      <c r="O178" s="575" t="str">
        <f t="shared" si="243"/>
        <v/>
      </c>
      <c r="P178" s="572" t="str">
        <f t="shared" si="244"/>
        <v/>
      </c>
      <c r="Q178" s="579" t="str">
        <f t="shared" si="245"/>
        <v/>
      </c>
      <c r="R178" s="580" t="str">
        <f t="shared" si="246"/>
        <v/>
      </c>
      <c r="S178" s="572" t="str">
        <f t="shared" si="247"/>
        <v/>
      </c>
      <c r="T178" s="579" t="str">
        <f t="shared" si="248"/>
        <v/>
      </c>
      <c r="AQ178" s="162"/>
    </row>
    <row r="179" spans="2:43" ht="15" customHeight="1" x14ac:dyDescent="0.25">
      <c r="B179" s="650"/>
      <c r="C179" s="651"/>
      <c r="D179" s="652"/>
      <c r="E179" s="653"/>
      <c r="F179" s="651"/>
      <c r="G179" s="654"/>
      <c r="H179" s="653"/>
      <c r="I179" s="518"/>
      <c r="J179" s="817"/>
      <c r="K179" s="519"/>
      <c r="L179" s="162" t="str">
        <f t="shared" si="242"/>
        <v/>
      </c>
      <c r="M179" s="512">
        <f>Assy.Model!$M24</f>
        <v>3.1120000000000001</v>
      </c>
      <c r="N179" s="810">
        <f>Assy.Model!K24</f>
        <v>1313</v>
      </c>
      <c r="O179" s="575" t="str">
        <f t="shared" si="243"/>
        <v/>
      </c>
      <c r="P179" s="572" t="str">
        <f t="shared" si="244"/>
        <v/>
      </c>
      <c r="Q179" s="579" t="str">
        <f t="shared" si="245"/>
        <v/>
      </c>
      <c r="R179" s="580" t="str">
        <f t="shared" si="246"/>
        <v/>
      </c>
      <c r="S179" s="572" t="str">
        <f t="shared" si="247"/>
        <v/>
      </c>
      <c r="T179" s="579" t="str">
        <f t="shared" si="248"/>
        <v/>
      </c>
      <c r="AQ179" s="162"/>
    </row>
    <row r="180" spans="2:43" ht="15" customHeight="1" x14ac:dyDescent="0.25">
      <c r="B180" s="650"/>
      <c r="C180" s="651"/>
      <c r="D180" s="652"/>
      <c r="E180" s="653"/>
      <c r="F180" s="651"/>
      <c r="G180" s="654"/>
      <c r="H180" s="653"/>
      <c r="I180" s="518"/>
      <c r="J180" s="817"/>
      <c r="K180" s="519"/>
      <c r="L180" s="162" t="str">
        <f t="shared" si="242"/>
        <v/>
      </c>
      <c r="M180" s="512">
        <f>Assy.Model!$M25</f>
        <v>3.12</v>
      </c>
      <c r="N180" s="810">
        <f>Assy.Model!K25</f>
        <v>1313</v>
      </c>
      <c r="O180" s="575" t="str">
        <f t="shared" si="243"/>
        <v/>
      </c>
      <c r="P180" s="572" t="str">
        <f t="shared" si="244"/>
        <v/>
      </c>
      <c r="Q180" s="579" t="str">
        <f t="shared" si="245"/>
        <v/>
      </c>
      <c r="R180" s="580" t="str">
        <f t="shared" si="246"/>
        <v/>
      </c>
      <c r="S180" s="572" t="str">
        <f t="shared" si="247"/>
        <v/>
      </c>
      <c r="T180" s="579" t="str">
        <f t="shared" si="248"/>
        <v/>
      </c>
      <c r="AQ180" s="162"/>
    </row>
    <row r="181" spans="2:43" ht="15" customHeight="1" x14ac:dyDescent="0.25">
      <c r="B181" s="650"/>
      <c r="C181" s="651"/>
      <c r="D181" s="652"/>
      <c r="E181" s="653"/>
      <c r="F181" s="651"/>
      <c r="G181" s="654"/>
      <c r="H181" s="653"/>
      <c r="I181" s="518"/>
      <c r="J181" s="817"/>
      <c r="K181" s="519"/>
      <c r="L181" s="162" t="str">
        <f t="shared" si="242"/>
        <v/>
      </c>
      <c r="M181" s="512">
        <f>Assy.Model!$M26</f>
        <v>3.1280000000000001</v>
      </c>
      <c r="N181" s="810">
        <f>Assy.Model!K26</f>
        <v>1313</v>
      </c>
      <c r="O181" s="575" t="str">
        <f t="shared" si="243"/>
        <v/>
      </c>
      <c r="P181" s="572" t="str">
        <f t="shared" si="244"/>
        <v/>
      </c>
      <c r="Q181" s="579" t="str">
        <f t="shared" si="245"/>
        <v/>
      </c>
      <c r="R181" s="580" t="str">
        <f t="shared" si="246"/>
        <v/>
      </c>
      <c r="S181" s="572" t="str">
        <f t="shared" si="247"/>
        <v/>
      </c>
      <c r="T181" s="579" t="str">
        <f t="shared" si="248"/>
        <v/>
      </c>
      <c r="AQ181" s="162"/>
    </row>
    <row r="182" spans="2:43" ht="15" customHeight="1" x14ac:dyDescent="0.25">
      <c r="B182" s="650"/>
      <c r="C182" s="651"/>
      <c r="D182" s="652"/>
      <c r="E182" s="653"/>
      <c r="F182" s="651"/>
      <c r="G182" s="654"/>
      <c r="H182" s="653"/>
      <c r="I182" s="518"/>
      <c r="J182" s="817"/>
      <c r="K182" s="519"/>
      <c r="L182" s="162" t="str">
        <f t="shared" si="242"/>
        <v/>
      </c>
      <c r="M182" s="512">
        <f>Assy.Model!$M27</f>
        <v>3.1360000000000001</v>
      </c>
      <c r="N182" s="810">
        <f>Assy.Model!K27</f>
        <v>1313</v>
      </c>
      <c r="O182" s="575" t="str">
        <f t="shared" si="243"/>
        <v/>
      </c>
      <c r="P182" s="572" t="str">
        <f t="shared" si="244"/>
        <v/>
      </c>
      <c r="Q182" s="579" t="str">
        <f t="shared" si="245"/>
        <v/>
      </c>
      <c r="R182" s="580" t="str">
        <f t="shared" si="246"/>
        <v/>
      </c>
      <c r="S182" s="572" t="str">
        <f t="shared" si="247"/>
        <v/>
      </c>
      <c r="T182" s="579" t="str">
        <f t="shared" si="248"/>
        <v/>
      </c>
      <c r="AQ182" s="162"/>
    </row>
    <row r="183" spans="2:43" ht="15" customHeight="1" x14ac:dyDescent="0.25">
      <c r="B183" s="650"/>
      <c r="C183" s="651"/>
      <c r="D183" s="652"/>
      <c r="E183" s="653"/>
      <c r="F183" s="651"/>
      <c r="G183" s="654"/>
      <c r="H183" s="653"/>
      <c r="I183" s="518"/>
      <c r="J183" s="817"/>
      <c r="K183" s="519"/>
      <c r="L183" s="162" t="str">
        <f t="shared" si="242"/>
        <v/>
      </c>
      <c r="M183" s="512">
        <f>Assy.Model!$M28</f>
        <v>3.1440000000000001</v>
      </c>
      <c r="N183" s="810">
        <f>Assy.Model!K28</f>
        <v>1313</v>
      </c>
      <c r="O183" s="575" t="str">
        <f t="shared" si="243"/>
        <v/>
      </c>
      <c r="P183" s="572" t="str">
        <f t="shared" si="244"/>
        <v/>
      </c>
      <c r="Q183" s="579" t="str">
        <f t="shared" si="245"/>
        <v/>
      </c>
      <c r="R183" s="580" t="str">
        <f t="shared" si="246"/>
        <v/>
      </c>
      <c r="S183" s="572" t="str">
        <f t="shared" si="247"/>
        <v/>
      </c>
      <c r="T183" s="579" t="str">
        <f t="shared" si="248"/>
        <v/>
      </c>
      <c r="AQ183" s="162"/>
    </row>
    <row r="184" spans="2:43" ht="15" customHeight="1" x14ac:dyDescent="0.25">
      <c r="B184" s="650"/>
      <c r="C184" s="651"/>
      <c r="D184" s="652"/>
      <c r="E184" s="653"/>
      <c r="F184" s="651"/>
      <c r="G184" s="654"/>
      <c r="H184" s="653"/>
      <c r="I184" s="518"/>
      <c r="J184" s="817"/>
      <c r="K184" s="519"/>
      <c r="L184" s="162" t="str">
        <f t="shared" si="242"/>
        <v/>
      </c>
      <c r="M184" s="512">
        <f>Assy.Model!$M29</f>
        <v>4.1189999999999998</v>
      </c>
      <c r="N184" s="810">
        <f>Assy.Model!K29</f>
        <v>1313</v>
      </c>
      <c r="O184" s="575" t="str">
        <f t="shared" si="243"/>
        <v/>
      </c>
      <c r="P184" s="572" t="str">
        <f t="shared" si="244"/>
        <v/>
      </c>
      <c r="Q184" s="579" t="str">
        <f t="shared" si="245"/>
        <v/>
      </c>
      <c r="R184" s="580" t="str">
        <f t="shared" si="246"/>
        <v/>
      </c>
      <c r="S184" s="572" t="str">
        <f t="shared" si="247"/>
        <v/>
      </c>
      <c r="T184" s="579" t="str">
        <f t="shared" si="248"/>
        <v/>
      </c>
      <c r="AQ184" s="162"/>
    </row>
    <row r="185" spans="2:43" ht="15" customHeight="1" x14ac:dyDescent="0.25">
      <c r="B185" s="650"/>
      <c r="C185" s="651"/>
      <c r="D185" s="652"/>
      <c r="E185" s="653"/>
      <c r="F185" s="651"/>
      <c r="G185" s="654"/>
      <c r="H185" s="653"/>
      <c r="I185" s="518"/>
      <c r="J185" s="817"/>
      <c r="K185" s="519"/>
      <c r="L185" s="162" t="str">
        <f t="shared" si="242"/>
        <v/>
      </c>
      <c r="M185" s="512">
        <f>Assy.Model!$M30</f>
        <v>4.1269999999999998</v>
      </c>
      <c r="N185" s="810">
        <f>Assy.Model!K30</f>
        <v>1313</v>
      </c>
      <c r="O185" s="575" t="str">
        <f t="shared" si="243"/>
        <v/>
      </c>
      <c r="P185" s="572" t="str">
        <f t="shared" si="244"/>
        <v/>
      </c>
      <c r="Q185" s="579" t="str">
        <f t="shared" si="245"/>
        <v/>
      </c>
      <c r="R185" s="580" t="str">
        <f t="shared" si="246"/>
        <v/>
      </c>
      <c r="S185" s="572" t="str">
        <f t="shared" si="247"/>
        <v/>
      </c>
      <c r="T185" s="579" t="str">
        <f t="shared" si="248"/>
        <v/>
      </c>
      <c r="AQ185" s="162"/>
    </row>
    <row r="186" spans="2:43" ht="15" customHeight="1" x14ac:dyDescent="0.25">
      <c r="B186" s="650"/>
      <c r="C186" s="651"/>
      <c r="D186" s="652"/>
      <c r="E186" s="653"/>
      <c r="F186" s="651"/>
      <c r="G186" s="654"/>
      <c r="H186" s="653"/>
      <c r="I186" s="518"/>
      <c r="J186" s="817"/>
      <c r="K186" s="519"/>
      <c r="L186" s="162" t="str">
        <f t="shared" si="242"/>
        <v/>
      </c>
      <c r="M186" s="512">
        <f>Assy.Model!$M31</f>
        <v>4.1349999999999998</v>
      </c>
      <c r="N186" s="810">
        <f>Assy.Model!K31</f>
        <v>1313</v>
      </c>
      <c r="O186" s="575" t="str">
        <f t="shared" si="243"/>
        <v/>
      </c>
      <c r="P186" s="572" t="str">
        <f t="shared" si="244"/>
        <v/>
      </c>
      <c r="Q186" s="579" t="str">
        <f t="shared" si="245"/>
        <v/>
      </c>
      <c r="R186" s="580" t="str">
        <f t="shared" si="246"/>
        <v/>
      </c>
      <c r="S186" s="572" t="str">
        <f t="shared" si="247"/>
        <v/>
      </c>
      <c r="T186" s="579" t="str">
        <f t="shared" si="248"/>
        <v/>
      </c>
      <c r="AQ186" s="162"/>
    </row>
    <row r="187" spans="2:43" ht="15" customHeight="1" x14ac:dyDescent="0.25">
      <c r="B187" s="650"/>
      <c r="C187" s="651"/>
      <c r="D187" s="652"/>
      <c r="E187" s="653"/>
      <c r="F187" s="651"/>
      <c r="G187" s="654"/>
      <c r="H187" s="653"/>
      <c r="I187" s="518"/>
      <c r="J187" s="817"/>
      <c r="K187" s="519"/>
      <c r="L187" s="162" t="str">
        <f>IF(ISNUMBER($J187),INDEX($AZ$9:$AZ$150,MATCH($M187,$AV$9:$AV$150,0)),"")</f>
        <v/>
      </c>
      <c r="M187" s="512">
        <f>Assy.Model!$M32</f>
        <v>4.1429999999999998</v>
      </c>
      <c r="N187" s="810">
        <f>Assy.Model!K32</f>
        <v>1313</v>
      </c>
      <c r="O187" s="575" t="str">
        <f t="shared" si="243"/>
        <v/>
      </c>
      <c r="P187" s="572" t="str">
        <f t="shared" si="244"/>
        <v/>
      </c>
      <c r="Q187" s="579" t="str">
        <f t="shared" si="245"/>
        <v/>
      </c>
      <c r="R187" s="580" t="str">
        <f t="shared" si="246"/>
        <v/>
      </c>
      <c r="S187" s="572" t="str">
        <f t="shared" si="247"/>
        <v/>
      </c>
      <c r="T187" s="579" t="str">
        <f t="shared" si="248"/>
        <v/>
      </c>
      <c r="AQ187" s="162"/>
    </row>
    <row r="188" spans="2:43" ht="15" customHeight="1" x14ac:dyDescent="0.25">
      <c r="B188" s="650"/>
      <c r="C188" s="651"/>
      <c r="D188" s="652"/>
      <c r="E188" s="653"/>
      <c r="F188" s="651"/>
      <c r="G188" s="654"/>
      <c r="H188" s="653"/>
      <c r="I188" s="518"/>
      <c r="J188" s="817"/>
      <c r="K188" s="519"/>
      <c r="L188" s="162" t="str">
        <f t="shared" ref="L188:L251" si="249">IF(ISNUMBER($J188),INDEX($AZ$9:$AZ$150,MATCH($M188,$AV$9:$AV$150,0)),"")</f>
        <v/>
      </c>
      <c r="M188" s="512">
        <f>Assy.Model!$M33</f>
        <v>5.1020000000000003</v>
      </c>
      <c r="N188" s="810">
        <f>Assy.Model!K33</f>
        <v>1313</v>
      </c>
      <c r="O188" s="575" t="str">
        <f t="shared" si="243"/>
        <v/>
      </c>
      <c r="P188" s="572" t="str">
        <f t="shared" si="244"/>
        <v/>
      </c>
      <c r="Q188" s="579" t="str">
        <f t="shared" si="245"/>
        <v/>
      </c>
      <c r="R188" s="580" t="str">
        <f t="shared" si="246"/>
        <v/>
      </c>
      <c r="S188" s="572" t="str">
        <f t="shared" si="247"/>
        <v/>
      </c>
      <c r="T188" s="579" t="str">
        <f t="shared" si="248"/>
        <v/>
      </c>
      <c r="AQ188" s="162"/>
    </row>
    <row r="189" spans="2:43" ht="15" customHeight="1" x14ac:dyDescent="0.25">
      <c r="B189" s="650"/>
      <c r="C189" s="651"/>
      <c r="D189" s="652"/>
      <c r="E189" s="653"/>
      <c r="F189" s="651"/>
      <c r="G189" s="654"/>
      <c r="H189" s="653"/>
      <c r="I189" s="518"/>
      <c r="J189" s="817"/>
      <c r="K189" s="519"/>
      <c r="L189" s="162" t="str">
        <f t="shared" si="249"/>
        <v/>
      </c>
      <c r="M189" s="512">
        <f>Assy.Model!$M34</f>
        <v>5.1059999999999999</v>
      </c>
      <c r="N189" s="810">
        <f>Assy.Model!K34</f>
        <v>1313</v>
      </c>
      <c r="O189" s="575" t="str">
        <f t="shared" si="243"/>
        <v/>
      </c>
      <c r="P189" s="572" t="str">
        <f t="shared" si="244"/>
        <v/>
      </c>
      <c r="Q189" s="579" t="str">
        <f t="shared" si="245"/>
        <v/>
      </c>
      <c r="R189" s="580" t="str">
        <f t="shared" si="246"/>
        <v/>
      </c>
      <c r="S189" s="572" t="str">
        <f t="shared" si="247"/>
        <v/>
      </c>
      <c r="T189" s="579" t="str">
        <f t="shared" si="248"/>
        <v/>
      </c>
      <c r="AQ189" s="162"/>
    </row>
    <row r="190" spans="2:43" ht="15" customHeight="1" x14ac:dyDescent="0.25">
      <c r="B190" s="650"/>
      <c r="C190" s="651"/>
      <c r="D190" s="652"/>
      <c r="E190" s="653"/>
      <c r="F190" s="651"/>
      <c r="G190" s="654"/>
      <c r="H190" s="653"/>
      <c r="I190" s="518"/>
      <c r="J190" s="817"/>
      <c r="K190" s="519"/>
      <c r="L190" s="162" t="str">
        <f t="shared" si="249"/>
        <v/>
      </c>
      <c r="M190" s="512">
        <f>Assy.Model!$M35</f>
        <v>5.1109999999999998</v>
      </c>
      <c r="N190" s="810">
        <f>Assy.Model!K35</f>
        <v>1313</v>
      </c>
      <c r="O190" s="575" t="str">
        <f t="shared" si="243"/>
        <v/>
      </c>
      <c r="P190" s="572" t="str">
        <f t="shared" si="244"/>
        <v/>
      </c>
      <c r="Q190" s="579" t="str">
        <f t="shared" si="245"/>
        <v/>
      </c>
      <c r="R190" s="580" t="str">
        <f t="shared" si="246"/>
        <v/>
      </c>
      <c r="S190" s="572" t="str">
        <f t="shared" si="247"/>
        <v/>
      </c>
      <c r="T190" s="579" t="str">
        <f t="shared" si="248"/>
        <v/>
      </c>
      <c r="AQ190" s="162"/>
    </row>
    <row r="191" spans="2:43" ht="15" customHeight="1" x14ac:dyDescent="0.25">
      <c r="B191" s="650"/>
      <c r="C191" s="651"/>
      <c r="D191" s="652"/>
      <c r="E191" s="653"/>
      <c r="F191" s="651"/>
      <c r="G191" s="654"/>
      <c r="H191" s="653"/>
      <c r="I191" s="518"/>
      <c r="J191" s="817"/>
      <c r="K191" s="519"/>
      <c r="L191" s="162" t="str">
        <f t="shared" si="249"/>
        <v/>
      </c>
      <c r="M191" s="512">
        <f>Assy.Model!$M36</f>
        <v>5.1180000000000003</v>
      </c>
      <c r="N191" s="810">
        <f>Assy.Model!K36</f>
        <v>1313</v>
      </c>
      <c r="O191" s="575" t="str">
        <f t="shared" si="243"/>
        <v/>
      </c>
      <c r="P191" s="572" t="str">
        <f t="shared" si="244"/>
        <v/>
      </c>
      <c r="Q191" s="579" t="str">
        <f t="shared" si="245"/>
        <v/>
      </c>
      <c r="R191" s="580" t="str">
        <f t="shared" si="246"/>
        <v/>
      </c>
      <c r="S191" s="572" t="str">
        <f t="shared" si="247"/>
        <v/>
      </c>
      <c r="T191" s="579" t="str">
        <f t="shared" si="248"/>
        <v/>
      </c>
      <c r="AQ191" s="162"/>
    </row>
    <row r="192" spans="2:43" ht="15" customHeight="1" x14ac:dyDescent="0.25">
      <c r="B192" s="650"/>
      <c r="C192" s="651"/>
      <c r="D192" s="652"/>
      <c r="E192" s="653"/>
      <c r="F192" s="651"/>
      <c r="G192" s="654"/>
      <c r="H192" s="653"/>
      <c r="I192" s="518"/>
      <c r="J192" s="817"/>
      <c r="K192" s="519"/>
      <c r="L192" s="162" t="str">
        <f t="shared" si="249"/>
        <v/>
      </c>
      <c r="M192" s="512">
        <f>Assy.Model!$M37</f>
        <v>5.1260000000000003</v>
      </c>
      <c r="N192" s="810">
        <f>Assy.Model!K37</f>
        <v>1313</v>
      </c>
      <c r="O192" s="575" t="str">
        <f t="shared" si="243"/>
        <v/>
      </c>
      <c r="P192" s="572" t="str">
        <f t="shared" si="244"/>
        <v/>
      </c>
      <c r="Q192" s="579" t="str">
        <f t="shared" si="245"/>
        <v/>
      </c>
      <c r="R192" s="580" t="str">
        <f t="shared" si="246"/>
        <v/>
      </c>
      <c r="S192" s="572" t="str">
        <f t="shared" si="247"/>
        <v/>
      </c>
      <c r="T192" s="579" t="str">
        <f t="shared" si="248"/>
        <v/>
      </c>
      <c r="AQ192" s="162"/>
    </row>
    <row r="193" spans="2:43" ht="15" customHeight="1" x14ac:dyDescent="0.25">
      <c r="B193" s="650"/>
      <c r="C193" s="651"/>
      <c r="D193" s="652"/>
      <c r="E193" s="653"/>
      <c r="F193" s="651"/>
      <c r="G193" s="654"/>
      <c r="H193" s="653"/>
      <c r="I193" s="518"/>
      <c r="J193" s="817"/>
      <c r="K193" s="519"/>
      <c r="L193" s="162" t="str">
        <f t="shared" si="249"/>
        <v/>
      </c>
      <c r="M193" s="512">
        <f>Assy.Model!$M38</f>
        <v>5.1340000000000003</v>
      </c>
      <c r="N193" s="810">
        <f>Assy.Model!K38</f>
        <v>1313</v>
      </c>
      <c r="O193" s="575" t="str">
        <f t="shared" si="243"/>
        <v/>
      </c>
      <c r="P193" s="572" t="str">
        <f t="shared" si="244"/>
        <v/>
      </c>
      <c r="Q193" s="579" t="str">
        <f t="shared" si="245"/>
        <v/>
      </c>
      <c r="R193" s="580" t="str">
        <f t="shared" si="246"/>
        <v/>
      </c>
      <c r="S193" s="572" t="str">
        <f t="shared" si="247"/>
        <v/>
      </c>
      <c r="T193" s="579" t="str">
        <f t="shared" si="248"/>
        <v/>
      </c>
      <c r="AQ193" s="162"/>
    </row>
    <row r="194" spans="2:43" ht="15" customHeight="1" x14ac:dyDescent="0.25">
      <c r="B194" s="650"/>
      <c r="C194" s="651"/>
      <c r="D194" s="652"/>
      <c r="E194" s="653"/>
      <c r="F194" s="651"/>
      <c r="G194" s="654"/>
      <c r="H194" s="653"/>
      <c r="I194" s="518"/>
      <c r="J194" s="817"/>
      <c r="K194" s="519"/>
      <c r="L194" s="162" t="str">
        <f t="shared" si="249"/>
        <v/>
      </c>
      <c r="M194" s="512">
        <f>Assy.Model!$M39</f>
        <v>5.1420000000000003</v>
      </c>
      <c r="N194" s="810">
        <f>Assy.Model!K39</f>
        <v>1313</v>
      </c>
      <c r="O194" s="575" t="str">
        <f t="shared" si="243"/>
        <v/>
      </c>
      <c r="P194" s="572" t="str">
        <f t="shared" si="244"/>
        <v/>
      </c>
      <c r="Q194" s="579" t="str">
        <f t="shared" si="245"/>
        <v/>
      </c>
      <c r="R194" s="580" t="str">
        <f t="shared" si="246"/>
        <v/>
      </c>
      <c r="S194" s="572" t="str">
        <f t="shared" si="247"/>
        <v/>
      </c>
      <c r="T194" s="579" t="str">
        <f t="shared" si="248"/>
        <v/>
      </c>
      <c r="AQ194" s="162"/>
    </row>
    <row r="195" spans="2:43" ht="15" customHeight="1" x14ac:dyDescent="0.25">
      <c r="B195" s="650"/>
      <c r="C195" s="651"/>
      <c r="D195" s="652"/>
      <c r="E195" s="653"/>
      <c r="F195" s="651"/>
      <c r="G195" s="654"/>
      <c r="H195" s="653"/>
      <c r="I195" s="518"/>
      <c r="J195" s="817"/>
      <c r="K195" s="519"/>
      <c r="L195" s="162" t="str">
        <f t="shared" si="249"/>
        <v/>
      </c>
      <c r="M195" s="512">
        <f>Assy.Model!$M40</f>
        <v>6.11</v>
      </c>
      <c r="N195" s="810">
        <f>Assy.Model!K40</f>
        <v>1313</v>
      </c>
      <c r="O195" s="575" t="str">
        <f t="shared" si="243"/>
        <v/>
      </c>
      <c r="P195" s="572" t="str">
        <f t="shared" si="244"/>
        <v/>
      </c>
      <c r="Q195" s="579" t="str">
        <f t="shared" si="245"/>
        <v/>
      </c>
      <c r="R195" s="580" t="str">
        <f t="shared" si="246"/>
        <v/>
      </c>
      <c r="S195" s="572" t="str">
        <f t="shared" si="247"/>
        <v/>
      </c>
      <c r="T195" s="579" t="str">
        <f t="shared" si="248"/>
        <v/>
      </c>
      <c r="AQ195" s="162"/>
    </row>
    <row r="196" spans="2:43" ht="15" customHeight="1" x14ac:dyDescent="0.25">
      <c r="B196" s="650"/>
      <c r="C196" s="651"/>
      <c r="D196" s="652"/>
      <c r="E196" s="653"/>
      <c r="F196" s="651"/>
      <c r="G196" s="654"/>
      <c r="H196" s="653"/>
      <c r="I196" s="518"/>
      <c r="J196" s="817"/>
      <c r="K196" s="519"/>
      <c r="L196" s="162" t="str">
        <f t="shared" si="249"/>
        <v/>
      </c>
      <c r="M196" s="512">
        <f>Assy.Model!$M41</f>
        <v>6.117</v>
      </c>
      <c r="N196" s="810">
        <f>Assy.Model!K41</f>
        <v>1313</v>
      </c>
      <c r="O196" s="575" t="str">
        <f t="shared" ref="O196:O227" si="250">IF(ISBLANK($J196),"",(($BM$3*$B196)+($BN$3*$C196)+($BO$3*$D196))+$BP$3)</f>
        <v/>
      </c>
      <c r="P196" s="572" t="str">
        <f t="shared" ref="P196:P227" si="251">IF(ISBLANK($J196),"",(($BM$4*$B196)+($BN$4*$C196)+($BO$4*$D196))+$BP$4)</f>
        <v/>
      </c>
      <c r="Q196" s="579" t="str">
        <f t="shared" ref="Q196:Q227" si="252">IF(ISBLANK($J196),"",(($BM$5*$B196)+($BN$5*$C196)+($BO$5*$D196))+$BP$5)</f>
        <v/>
      </c>
      <c r="R196" s="580" t="str">
        <f t="shared" ref="R196:R227" si="253">IF(ISBLANK($J196),"",(($BM$3*$E196)+($BN$3*$F196)+($BO$3*$G196)))</f>
        <v/>
      </c>
      <c r="S196" s="572" t="str">
        <f t="shared" ref="S196:S227" si="254">IF(ISBLANK($J196),"",(($BM$4*$E196)+($BN$4*$F196)+($BO$4*$G196)))</f>
        <v/>
      </c>
      <c r="T196" s="579" t="str">
        <f t="shared" ref="T196:T227" si="255">IF(ISBLANK($J196),"",(($BM$5*$E196)+($BN$5*$F196)+($BO$5*$G196)))</f>
        <v/>
      </c>
      <c r="AQ196" s="162"/>
    </row>
    <row r="197" spans="2:43" ht="15" customHeight="1" x14ac:dyDescent="0.25">
      <c r="B197" s="650"/>
      <c r="C197" s="651"/>
      <c r="D197" s="652"/>
      <c r="E197" s="653"/>
      <c r="F197" s="651"/>
      <c r="G197" s="654"/>
      <c r="H197" s="653"/>
      <c r="I197" s="518"/>
      <c r="J197" s="817"/>
      <c r="K197" s="519"/>
      <c r="L197" s="162" t="str">
        <f t="shared" si="249"/>
        <v/>
      </c>
      <c r="M197" s="512">
        <f>Assy.Model!$M42</f>
        <v>6.125</v>
      </c>
      <c r="N197" s="810">
        <f>Assy.Model!K42</f>
        <v>1313</v>
      </c>
      <c r="O197" s="575" t="str">
        <f t="shared" si="250"/>
        <v/>
      </c>
      <c r="P197" s="572" t="str">
        <f t="shared" si="251"/>
        <v/>
      </c>
      <c r="Q197" s="579" t="str">
        <f t="shared" si="252"/>
        <v/>
      </c>
      <c r="R197" s="580" t="str">
        <f t="shared" si="253"/>
        <v/>
      </c>
      <c r="S197" s="572" t="str">
        <f t="shared" si="254"/>
        <v/>
      </c>
      <c r="T197" s="579" t="str">
        <f t="shared" si="255"/>
        <v/>
      </c>
      <c r="AQ197" s="162"/>
    </row>
    <row r="198" spans="2:43" ht="15" customHeight="1" x14ac:dyDescent="0.25">
      <c r="B198" s="650"/>
      <c r="C198" s="651"/>
      <c r="D198" s="652"/>
      <c r="E198" s="653"/>
      <c r="F198" s="651"/>
      <c r="G198" s="654"/>
      <c r="H198" s="653"/>
      <c r="I198" s="518"/>
      <c r="J198" s="817"/>
      <c r="K198" s="519"/>
      <c r="L198" s="162" t="str">
        <f t="shared" si="249"/>
        <v/>
      </c>
      <c r="M198" s="512">
        <f>Assy.Model!$M43</f>
        <v>6.133</v>
      </c>
      <c r="N198" s="810">
        <f>Assy.Model!K43</f>
        <v>1313</v>
      </c>
      <c r="O198" s="575" t="str">
        <f t="shared" si="250"/>
        <v/>
      </c>
      <c r="P198" s="572" t="str">
        <f t="shared" si="251"/>
        <v/>
      </c>
      <c r="Q198" s="579" t="str">
        <f t="shared" si="252"/>
        <v/>
      </c>
      <c r="R198" s="580" t="str">
        <f t="shared" si="253"/>
        <v/>
      </c>
      <c r="S198" s="572" t="str">
        <f t="shared" si="254"/>
        <v/>
      </c>
      <c r="T198" s="579" t="str">
        <f t="shared" si="255"/>
        <v/>
      </c>
      <c r="AQ198" s="162"/>
    </row>
    <row r="199" spans="2:43" ht="15" customHeight="1" x14ac:dyDescent="0.25">
      <c r="B199" s="650"/>
      <c r="C199" s="651"/>
      <c r="D199" s="652"/>
      <c r="E199" s="653"/>
      <c r="F199" s="651"/>
      <c r="G199" s="654"/>
      <c r="H199" s="653"/>
      <c r="I199" s="518"/>
      <c r="J199" s="817"/>
      <c r="K199" s="519"/>
      <c r="L199" s="162" t="str">
        <f t="shared" si="249"/>
        <v/>
      </c>
      <c r="M199" s="512">
        <f>Assy.Model!$M44</f>
        <v>6.141</v>
      </c>
      <c r="N199" s="810">
        <f>Assy.Model!K44</f>
        <v>1313</v>
      </c>
      <c r="O199" s="575" t="str">
        <f t="shared" si="250"/>
        <v/>
      </c>
      <c r="P199" s="572" t="str">
        <f t="shared" si="251"/>
        <v/>
      </c>
      <c r="Q199" s="579" t="str">
        <f t="shared" si="252"/>
        <v/>
      </c>
      <c r="R199" s="580" t="str">
        <f t="shared" si="253"/>
        <v/>
      </c>
      <c r="S199" s="572" t="str">
        <f t="shared" si="254"/>
        <v/>
      </c>
      <c r="T199" s="579" t="str">
        <f t="shared" si="255"/>
        <v/>
      </c>
      <c r="AQ199" s="162"/>
    </row>
    <row r="200" spans="2:43" ht="15" customHeight="1" x14ac:dyDescent="0.25">
      <c r="B200" s="650"/>
      <c r="C200" s="651"/>
      <c r="D200" s="652"/>
      <c r="E200" s="653"/>
      <c r="F200" s="651"/>
      <c r="G200" s="654"/>
      <c r="H200" s="653"/>
      <c r="I200" s="518"/>
      <c r="J200" s="817"/>
      <c r="K200" s="519"/>
      <c r="L200" s="162" t="str">
        <f t="shared" si="249"/>
        <v/>
      </c>
      <c r="M200" s="512">
        <f>Assy.Model!$M45</f>
        <v>7.1050000000000004</v>
      </c>
      <c r="N200" s="810">
        <f>Assy.Model!K45</f>
        <v>1313</v>
      </c>
      <c r="O200" s="575" t="str">
        <f t="shared" si="250"/>
        <v/>
      </c>
      <c r="P200" s="572" t="str">
        <f t="shared" si="251"/>
        <v/>
      </c>
      <c r="Q200" s="579" t="str">
        <f t="shared" si="252"/>
        <v/>
      </c>
      <c r="R200" s="580" t="str">
        <f t="shared" si="253"/>
        <v/>
      </c>
      <c r="S200" s="572" t="str">
        <f t="shared" si="254"/>
        <v/>
      </c>
      <c r="T200" s="579" t="str">
        <f t="shared" si="255"/>
        <v/>
      </c>
      <c r="AQ200" s="162"/>
    </row>
    <row r="201" spans="2:43" ht="15" customHeight="1" x14ac:dyDescent="0.25">
      <c r="B201" s="650"/>
      <c r="C201" s="651"/>
      <c r="D201" s="652"/>
      <c r="E201" s="653"/>
      <c r="F201" s="651"/>
      <c r="G201" s="654"/>
      <c r="H201" s="653"/>
      <c r="I201" s="518"/>
      <c r="J201" s="817"/>
      <c r="K201" s="519"/>
      <c r="L201" s="162" t="str">
        <f t="shared" si="249"/>
        <v/>
      </c>
      <c r="M201" s="512">
        <f>Assy.Model!$M46</f>
        <v>7.109</v>
      </c>
      <c r="N201" s="810">
        <f>Assy.Model!K46</f>
        <v>1313</v>
      </c>
      <c r="O201" s="575" t="str">
        <f t="shared" si="250"/>
        <v/>
      </c>
      <c r="P201" s="572" t="str">
        <f t="shared" si="251"/>
        <v/>
      </c>
      <c r="Q201" s="579" t="str">
        <f t="shared" si="252"/>
        <v/>
      </c>
      <c r="R201" s="580" t="str">
        <f t="shared" si="253"/>
        <v/>
      </c>
      <c r="S201" s="572" t="str">
        <f t="shared" si="254"/>
        <v/>
      </c>
      <c r="T201" s="579" t="str">
        <f t="shared" si="255"/>
        <v/>
      </c>
      <c r="AQ201" s="162"/>
    </row>
    <row r="202" spans="2:43" ht="15" customHeight="1" x14ac:dyDescent="0.25">
      <c r="B202" s="650"/>
      <c r="C202" s="651"/>
      <c r="D202" s="652"/>
      <c r="E202" s="653"/>
      <c r="F202" s="651"/>
      <c r="G202" s="654"/>
      <c r="H202" s="653"/>
      <c r="I202" s="518"/>
      <c r="J202" s="817"/>
      <c r="K202" s="519"/>
      <c r="L202" s="162" t="str">
        <f t="shared" si="249"/>
        <v/>
      </c>
      <c r="M202" s="512">
        <f>Assy.Model!$M47</f>
        <v>7.1159999999999997</v>
      </c>
      <c r="N202" s="810">
        <f>Assy.Model!K47</f>
        <v>1313</v>
      </c>
      <c r="O202" s="575" t="str">
        <f t="shared" si="250"/>
        <v/>
      </c>
      <c r="P202" s="572" t="str">
        <f t="shared" si="251"/>
        <v/>
      </c>
      <c r="Q202" s="579" t="str">
        <f t="shared" si="252"/>
        <v/>
      </c>
      <c r="R202" s="580" t="str">
        <f t="shared" si="253"/>
        <v/>
      </c>
      <c r="S202" s="572" t="str">
        <f t="shared" si="254"/>
        <v/>
      </c>
      <c r="T202" s="579" t="str">
        <f t="shared" si="255"/>
        <v/>
      </c>
    </row>
    <row r="203" spans="2:43" ht="15" customHeight="1" x14ac:dyDescent="0.25">
      <c r="B203" s="650"/>
      <c r="C203" s="651"/>
      <c r="D203" s="652"/>
      <c r="E203" s="653"/>
      <c r="F203" s="651"/>
      <c r="G203" s="654"/>
      <c r="H203" s="653"/>
      <c r="I203" s="518"/>
      <c r="J203" s="817"/>
      <c r="K203" s="519"/>
      <c r="L203" s="162" t="str">
        <f t="shared" si="249"/>
        <v/>
      </c>
      <c r="M203" s="512">
        <f>Assy.Model!$M48</f>
        <v>7.1239999999999997</v>
      </c>
      <c r="N203" s="810">
        <f>Assy.Model!K48</f>
        <v>1313</v>
      </c>
      <c r="O203" s="575" t="str">
        <f t="shared" si="250"/>
        <v/>
      </c>
      <c r="P203" s="572" t="str">
        <f t="shared" si="251"/>
        <v/>
      </c>
      <c r="Q203" s="579" t="str">
        <f t="shared" si="252"/>
        <v/>
      </c>
      <c r="R203" s="580" t="str">
        <f t="shared" si="253"/>
        <v/>
      </c>
      <c r="S203" s="572" t="str">
        <f t="shared" si="254"/>
        <v/>
      </c>
      <c r="T203" s="579" t="str">
        <f t="shared" si="255"/>
        <v/>
      </c>
    </row>
    <row r="204" spans="2:43" ht="15" customHeight="1" x14ac:dyDescent="0.25">
      <c r="B204" s="650"/>
      <c r="C204" s="651"/>
      <c r="D204" s="652"/>
      <c r="E204" s="653"/>
      <c r="F204" s="651"/>
      <c r="G204" s="654"/>
      <c r="H204" s="653"/>
      <c r="I204" s="518"/>
      <c r="J204" s="817"/>
      <c r="K204" s="519"/>
      <c r="L204" s="162" t="str">
        <f t="shared" si="249"/>
        <v/>
      </c>
      <c r="M204" s="512">
        <f>Assy.Model!$M49</f>
        <v>7.1319999999999997</v>
      </c>
      <c r="N204" s="810">
        <f>Assy.Model!K49</f>
        <v>1313</v>
      </c>
      <c r="O204" s="575" t="str">
        <f t="shared" si="250"/>
        <v/>
      </c>
      <c r="P204" s="572" t="str">
        <f t="shared" si="251"/>
        <v/>
      </c>
      <c r="Q204" s="579" t="str">
        <f t="shared" si="252"/>
        <v/>
      </c>
      <c r="R204" s="580" t="str">
        <f t="shared" si="253"/>
        <v/>
      </c>
      <c r="S204" s="572" t="str">
        <f t="shared" si="254"/>
        <v/>
      </c>
      <c r="T204" s="579" t="str">
        <f t="shared" si="255"/>
        <v/>
      </c>
    </row>
    <row r="205" spans="2:43" ht="15" customHeight="1" x14ac:dyDescent="0.25">
      <c r="B205" s="650"/>
      <c r="C205" s="651"/>
      <c r="D205" s="652"/>
      <c r="E205" s="653"/>
      <c r="F205" s="651"/>
      <c r="G205" s="654"/>
      <c r="H205" s="653"/>
      <c r="I205" s="518"/>
      <c r="J205" s="817"/>
      <c r="K205" s="519"/>
      <c r="L205" s="162" t="str">
        <f t="shared" si="249"/>
        <v/>
      </c>
      <c r="M205" s="512">
        <f>Assy.Model!$M50</f>
        <v>7.14</v>
      </c>
      <c r="N205" s="810">
        <f>Assy.Model!K50</f>
        <v>1313</v>
      </c>
      <c r="O205" s="575" t="str">
        <f t="shared" si="250"/>
        <v/>
      </c>
      <c r="P205" s="572" t="str">
        <f t="shared" si="251"/>
        <v/>
      </c>
      <c r="Q205" s="579" t="str">
        <f t="shared" si="252"/>
        <v/>
      </c>
      <c r="R205" s="580" t="str">
        <f t="shared" si="253"/>
        <v/>
      </c>
      <c r="S205" s="572" t="str">
        <f t="shared" si="254"/>
        <v/>
      </c>
      <c r="T205" s="579" t="str">
        <f t="shared" si="255"/>
        <v/>
      </c>
    </row>
    <row r="206" spans="2:43" ht="15" customHeight="1" x14ac:dyDescent="0.25">
      <c r="B206" s="650"/>
      <c r="C206" s="651"/>
      <c r="D206" s="652"/>
      <c r="E206" s="653"/>
      <c r="F206" s="651"/>
      <c r="G206" s="654"/>
      <c r="H206" s="653"/>
      <c r="I206" s="518"/>
      <c r="J206" s="817"/>
      <c r="K206" s="519"/>
      <c r="L206" s="162" t="str">
        <f t="shared" si="249"/>
        <v/>
      </c>
      <c r="M206" s="512">
        <f>Assy.Model!$M51</f>
        <v>8.1150000000000002</v>
      </c>
      <c r="N206" s="810">
        <f>Assy.Model!K51</f>
        <v>1313</v>
      </c>
      <c r="O206" s="575" t="str">
        <f t="shared" si="250"/>
        <v/>
      </c>
      <c r="P206" s="572" t="str">
        <f t="shared" si="251"/>
        <v/>
      </c>
      <c r="Q206" s="579" t="str">
        <f t="shared" si="252"/>
        <v/>
      </c>
      <c r="R206" s="580" t="str">
        <f t="shared" si="253"/>
        <v/>
      </c>
      <c r="S206" s="572" t="str">
        <f t="shared" si="254"/>
        <v/>
      </c>
      <c r="T206" s="579" t="str">
        <f t="shared" si="255"/>
        <v/>
      </c>
    </row>
    <row r="207" spans="2:43" ht="15" customHeight="1" x14ac:dyDescent="0.25">
      <c r="B207" s="650"/>
      <c r="C207" s="651"/>
      <c r="D207" s="652"/>
      <c r="E207" s="653"/>
      <c r="F207" s="651"/>
      <c r="G207" s="654"/>
      <c r="H207" s="653"/>
      <c r="I207" s="518"/>
      <c r="J207" s="817"/>
      <c r="K207" s="519"/>
      <c r="L207" s="162" t="str">
        <f t="shared" si="249"/>
        <v/>
      </c>
      <c r="M207" s="512">
        <f>Assy.Model!$M52</f>
        <v>8.1229999999999993</v>
      </c>
      <c r="N207" s="810">
        <f>Assy.Model!K52</f>
        <v>1313</v>
      </c>
      <c r="O207" s="575" t="str">
        <f t="shared" si="250"/>
        <v/>
      </c>
      <c r="P207" s="572" t="str">
        <f t="shared" si="251"/>
        <v/>
      </c>
      <c r="Q207" s="579" t="str">
        <f t="shared" si="252"/>
        <v/>
      </c>
      <c r="R207" s="580" t="str">
        <f t="shared" si="253"/>
        <v/>
      </c>
      <c r="S207" s="572" t="str">
        <f t="shared" si="254"/>
        <v/>
      </c>
      <c r="T207" s="579" t="str">
        <f t="shared" si="255"/>
        <v/>
      </c>
    </row>
    <row r="208" spans="2:43" ht="15" customHeight="1" x14ac:dyDescent="0.25">
      <c r="B208" s="650"/>
      <c r="C208" s="651"/>
      <c r="D208" s="652"/>
      <c r="E208" s="653"/>
      <c r="F208" s="651"/>
      <c r="G208" s="654"/>
      <c r="H208" s="653"/>
      <c r="I208" s="518"/>
      <c r="J208" s="817"/>
      <c r="K208" s="519"/>
      <c r="L208" s="162" t="str">
        <f t="shared" si="249"/>
        <v/>
      </c>
      <c r="M208" s="512">
        <f>Assy.Model!$M53</f>
        <v>8.1310000000000002</v>
      </c>
      <c r="N208" s="810">
        <f>Assy.Model!K53</f>
        <v>1313</v>
      </c>
      <c r="O208" s="575" t="str">
        <f t="shared" si="250"/>
        <v/>
      </c>
      <c r="P208" s="572" t="str">
        <f t="shared" si="251"/>
        <v/>
      </c>
      <c r="Q208" s="579" t="str">
        <f t="shared" si="252"/>
        <v/>
      </c>
      <c r="R208" s="580" t="str">
        <f t="shared" si="253"/>
        <v/>
      </c>
      <c r="S208" s="572" t="str">
        <f t="shared" si="254"/>
        <v/>
      </c>
      <c r="T208" s="579" t="str">
        <f t="shared" si="255"/>
        <v/>
      </c>
    </row>
    <row r="209" spans="2:20" ht="15" customHeight="1" x14ac:dyDescent="0.25">
      <c r="B209" s="650"/>
      <c r="C209" s="651"/>
      <c r="D209" s="652"/>
      <c r="E209" s="653"/>
      <c r="F209" s="651"/>
      <c r="G209" s="654"/>
      <c r="H209" s="653"/>
      <c r="I209" s="518"/>
      <c r="J209" s="817"/>
      <c r="K209" s="519"/>
      <c r="L209" s="162" t="str">
        <f t="shared" si="249"/>
        <v/>
      </c>
      <c r="M209" s="512">
        <f>Assy.Model!$M54</f>
        <v>8.1389999999999993</v>
      </c>
      <c r="N209" s="810">
        <f>Assy.Model!K54</f>
        <v>1313</v>
      </c>
      <c r="O209" s="575" t="str">
        <f t="shared" si="250"/>
        <v/>
      </c>
      <c r="P209" s="572" t="str">
        <f t="shared" si="251"/>
        <v/>
      </c>
      <c r="Q209" s="579" t="str">
        <f t="shared" si="252"/>
        <v/>
      </c>
      <c r="R209" s="580" t="str">
        <f t="shared" si="253"/>
        <v/>
      </c>
      <c r="S209" s="572" t="str">
        <f t="shared" si="254"/>
        <v/>
      </c>
      <c r="T209" s="579" t="str">
        <f t="shared" si="255"/>
        <v/>
      </c>
    </row>
    <row r="210" spans="2:20" ht="15" customHeight="1" x14ac:dyDescent="0.25">
      <c r="B210" s="650"/>
      <c r="C210" s="651"/>
      <c r="D210" s="652"/>
      <c r="E210" s="653"/>
      <c r="F210" s="651"/>
      <c r="G210" s="654"/>
      <c r="H210" s="653"/>
      <c r="I210" s="518"/>
      <c r="J210" s="817"/>
      <c r="K210" s="519"/>
      <c r="L210" s="162" t="str">
        <f t="shared" si="249"/>
        <v/>
      </c>
      <c r="M210" s="512" t="str">
        <f>Assy.Model!$M55</f>
        <v/>
      </c>
      <c r="N210" s="810" t="str">
        <f>Assy.Model!K55</f>
        <v/>
      </c>
      <c r="O210" s="575" t="str">
        <f t="shared" si="250"/>
        <v/>
      </c>
      <c r="P210" s="572" t="str">
        <f t="shared" si="251"/>
        <v/>
      </c>
      <c r="Q210" s="579" t="str">
        <f t="shared" si="252"/>
        <v/>
      </c>
      <c r="R210" s="580" t="str">
        <f t="shared" si="253"/>
        <v/>
      </c>
      <c r="S210" s="572" t="str">
        <f t="shared" si="254"/>
        <v/>
      </c>
      <c r="T210" s="579" t="str">
        <f t="shared" si="255"/>
        <v/>
      </c>
    </row>
    <row r="211" spans="2:20" ht="15" customHeight="1" x14ac:dyDescent="0.25">
      <c r="B211" s="650"/>
      <c r="C211" s="651"/>
      <c r="D211" s="652"/>
      <c r="E211" s="653"/>
      <c r="F211" s="651"/>
      <c r="G211" s="654"/>
      <c r="H211" s="653"/>
      <c r="I211" s="518"/>
      <c r="J211" s="817"/>
      <c r="K211" s="519"/>
      <c r="L211" s="162" t="str">
        <f t="shared" si="249"/>
        <v/>
      </c>
      <c r="M211" s="512" t="str">
        <f>Assy.Model!$M56</f>
        <v/>
      </c>
      <c r="N211" s="810" t="str">
        <f>Assy.Model!K56</f>
        <v/>
      </c>
      <c r="O211" s="575" t="str">
        <f t="shared" si="250"/>
        <v/>
      </c>
      <c r="P211" s="572" t="str">
        <f t="shared" si="251"/>
        <v/>
      </c>
      <c r="Q211" s="579" t="str">
        <f t="shared" si="252"/>
        <v/>
      </c>
      <c r="R211" s="580" t="str">
        <f t="shared" si="253"/>
        <v/>
      </c>
      <c r="S211" s="572" t="str">
        <f t="shared" si="254"/>
        <v/>
      </c>
      <c r="T211" s="579" t="str">
        <f t="shared" si="255"/>
        <v/>
      </c>
    </row>
    <row r="212" spans="2:20" ht="15" customHeight="1" x14ac:dyDescent="0.25">
      <c r="B212" s="650"/>
      <c r="C212" s="651"/>
      <c r="D212" s="652"/>
      <c r="E212" s="653"/>
      <c r="F212" s="651"/>
      <c r="G212" s="654"/>
      <c r="H212" s="653"/>
      <c r="I212" s="518"/>
      <c r="J212" s="817"/>
      <c r="K212" s="519"/>
      <c r="L212" s="162" t="str">
        <f t="shared" si="249"/>
        <v/>
      </c>
      <c r="M212" s="512" t="str">
        <f>Assy.Model!$M57</f>
        <v/>
      </c>
      <c r="N212" s="810" t="str">
        <f>Assy.Model!K57</f>
        <v/>
      </c>
      <c r="O212" s="575" t="str">
        <f t="shared" si="250"/>
        <v/>
      </c>
      <c r="P212" s="572" t="str">
        <f t="shared" si="251"/>
        <v/>
      </c>
      <c r="Q212" s="579" t="str">
        <f t="shared" si="252"/>
        <v/>
      </c>
      <c r="R212" s="580" t="str">
        <f t="shared" si="253"/>
        <v/>
      </c>
      <c r="S212" s="572" t="str">
        <f t="shared" si="254"/>
        <v/>
      </c>
      <c r="T212" s="579" t="str">
        <f t="shared" si="255"/>
        <v/>
      </c>
    </row>
    <row r="213" spans="2:20" ht="15" customHeight="1" x14ac:dyDescent="0.25">
      <c r="B213" s="650"/>
      <c r="C213" s="651"/>
      <c r="D213" s="652"/>
      <c r="E213" s="653"/>
      <c r="F213" s="651"/>
      <c r="G213" s="654"/>
      <c r="H213" s="653"/>
      <c r="I213" s="518"/>
      <c r="J213" s="817"/>
      <c r="K213" s="519"/>
      <c r="L213" s="162" t="str">
        <f t="shared" si="249"/>
        <v/>
      </c>
      <c r="M213" s="512" t="str">
        <f>Assy.Model!$M58</f>
        <v/>
      </c>
      <c r="N213" s="810" t="str">
        <f>Assy.Model!K58</f>
        <v/>
      </c>
      <c r="O213" s="575" t="str">
        <f t="shared" si="250"/>
        <v/>
      </c>
      <c r="P213" s="572" t="str">
        <f t="shared" si="251"/>
        <v/>
      </c>
      <c r="Q213" s="579" t="str">
        <f t="shared" si="252"/>
        <v/>
      </c>
      <c r="R213" s="580" t="str">
        <f t="shared" si="253"/>
        <v/>
      </c>
      <c r="S213" s="572" t="str">
        <f t="shared" si="254"/>
        <v/>
      </c>
      <c r="T213" s="579" t="str">
        <f t="shared" si="255"/>
        <v/>
      </c>
    </row>
    <row r="214" spans="2:20" ht="15" customHeight="1" x14ac:dyDescent="0.25">
      <c r="B214" s="650"/>
      <c r="C214" s="651"/>
      <c r="D214" s="652"/>
      <c r="E214" s="653"/>
      <c r="F214" s="651"/>
      <c r="G214" s="654"/>
      <c r="H214" s="653"/>
      <c r="I214" s="518"/>
      <c r="J214" s="817"/>
      <c r="K214" s="519"/>
      <c r="L214" s="162" t="str">
        <f t="shared" si="249"/>
        <v/>
      </c>
      <c r="M214" s="512" t="str">
        <f>Assy.Model!$M59</f>
        <v/>
      </c>
      <c r="N214" s="810" t="str">
        <f>Assy.Model!K59</f>
        <v/>
      </c>
      <c r="O214" s="575" t="str">
        <f t="shared" si="250"/>
        <v/>
      </c>
      <c r="P214" s="572" t="str">
        <f t="shared" si="251"/>
        <v/>
      </c>
      <c r="Q214" s="579" t="str">
        <f t="shared" si="252"/>
        <v/>
      </c>
      <c r="R214" s="580" t="str">
        <f t="shared" si="253"/>
        <v/>
      </c>
      <c r="S214" s="572" t="str">
        <f t="shared" si="254"/>
        <v/>
      </c>
      <c r="T214" s="579" t="str">
        <f t="shared" si="255"/>
        <v/>
      </c>
    </row>
    <row r="215" spans="2:20" ht="15" customHeight="1" x14ac:dyDescent="0.25">
      <c r="B215" s="650"/>
      <c r="C215" s="651"/>
      <c r="D215" s="652"/>
      <c r="E215" s="653"/>
      <c r="F215" s="651"/>
      <c r="G215" s="654"/>
      <c r="H215" s="653"/>
      <c r="I215" s="518"/>
      <c r="J215" s="817"/>
      <c r="K215" s="519"/>
      <c r="L215" s="162" t="str">
        <f t="shared" si="249"/>
        <v/>
      </c>
      <c r="M215" s="512" t="str">
        <f>Assy.Model!$M60</f>
        <v/>
      </c>
      <c r="N215" s="810" t="str">
        <f>Assy.Model!K60</f>
        <v/>
      </c>
      <c r="O215" s="575" t="str">
        <f t="shared" si="250"/>
        <v/>
      </c>
      <c r="P215" s="572" t="str">
        <f t="shared" si="251"/>
        <v/>
      </c>
      <c r="Q215" s="579" t="str">
        <f t="shared" si="252"/>
        <v/>
      </c>
      <c r="R215" s="580" t="str">
        <f t="shared" si="253"/>
        <v/>
      </c>
      <c r="S215" s="572" t="str">
        <f t="shared" si="254"/>
        <v/>
      </c>
      <c r="T215" s="579" t="str">
        <f t="shared" si="255"/>
        <v/>
      </c>
    </row>
    <row r="216" spans="2:20" ht="15" customHeight="1" x14ac:dyDescent="0.25">
      <c r="B216" s="650"/>
      <c r="C216" s="651"/>
      <c r="D216" s="652"/>
      <c r="E216" s="653"/>
      <c r="F216" s="651"/>
      <c r="G216" s="654"/>
      <c r="H216" s="653"/>
      <c r="I216" s="518"/>
      <c r="J216" s="817"/>
      <c r="K216" s="519"/>
      <c r="L216" s="162" t="str">
        <f t="shared" si="249"/>
        <v/>
      </c>
      <c r="M216" s="512" t="str">
        <f>Assy.Model!$M61</f>
        <v/>
      </c>
      <c r="N216" s="810" t="str">
        <f>Assy.Model!K61</f>
        <v/>
      </c>
      <c r="O216" s="575" t="str">
        <f t="shared" si="250"/>
        <v/>
      </c>
      <c r="P216" s="572" t="str">
        <f t="shared" si="251"/>
        <v/>
      </c>
      <c r="Q216" s="579" t="str">
        <f t="shared" si="252"/>
        <v/>
      </c>
      <c r="R216" s="580" t="str">
        <f t="shared" si="253"/>
        <v/>
      </c>
      <c r="S216" s="572" t="str">
        <f t="shared" si="254"/>
        <v/>
      </c>
      <c r="T216" s="579" t="str">
        <f t="shared" si="255"/>
        <v/>
      </c>
    </row>
    <row r="217" spans="2:20" ht="15" customHeight="1" x14ac:dyDescent="0.25">
      <c r="B217" s="650"/>
      <c r="C217" s="651"/>
      <c r="D217" s="652"/>
      <c r="E217" s="653"/>
      <c r="F217" s="651"/>
      <c r="G217" s="654"/>
      <c r="H217" s="653"/>
      <c r="I217" s="518"/>
      <c r="J217" s="817"/>
      <c r="K217" s="519"/>
      <c r="L217" s="162" t="str">
        <f t="shared" si="249"/>
        <v/>
      </c>
      <c r="M217" s="512" t="str">
        <f>Assy.Model!$M62</f>
        <v/>
      </c>
      <c r="N217" s="810" t="str">
        <f>Assy.Model!K62</f>
        <v/>
      </c>
      <c r="O217" s="575" t="str">
        <f t="shared" si="250"/>
        <v/>
      </c>
      <c r="P217" s="572" t="str">
        <f t="shared" si="251"/>
        <v/>
      </c>
      <c r="Q217" s="579" t="str">
        <f t="shared" si="252"/>
        <v/>
      </c>
      <c r="R217" s="580" t="str">
        <f t="shared" si="253"/>
        <v/>
      </c>
      <c r="S217" s="572" t="str">
        <f t="shared" si="254"/>
        <v/>
      </c>
      <c r="T217" s="579" t="str">
        <f t="shared" si="255"/>
        <v/>
      </c>
    </row>
    <row r="218" spans="2:20" ht="15" customHeight="1" x14ac:dyDescent="0.25">
      <c r="B218" s="650"/>
      <c r="C218" s="651"/>
      <c r="D218" s="652"/>
      <c r="E218" s="653"/>
      <c r="F218" s="651"/>
      <c r="G218" s="654"/>
      <c r="H218" s="653"/>
      <c r="I218" s="518"/>
      <c r="J218" s="817"/>
      <c r="K218" s="519"/>
      <c r="L218" s="162" t="str">
        <f t="shared" si="249"/>
        <v/>
      </c>
      <c r="M218" s="512" t="str">
        <f>Assy.Model!$M63</f>
        <v/>
      </c>
      <c r="N218" s="810" t="str">
        <f>Assy.Model!K63</f>
        <v/>
      </c>
      <c r="O218" s="575" t="str">
        <f t="shared" si="250"/>
        <v/>
      </c>
      <c r="P218" s="572" t="str">
        <f t="shared" si="251"/>
        <v/>
      </c>
      <c r="Q218" s="579" t="str">
        <f t="shared" si="252"/>
        <v/>
      </c>
      <c r="R218" s="580" t="str">
        <f t="shared" si="253"/>
        <v/>
      </c>
      <c r="S218" s="572" t="str">
        <f t="shared" si="254"/>
        <v/>
      </c>
      <c r="T218" s="579" t="str">
        <f t="shared" si="255"/>
        <v/>
      </c>
    </row>
    <row r="219" spans="2:20" ht="15" customHeight="1" x14ac:dyDescent="0.25">
      <c r="B219" s="650"/>
      <c r="C219" s="651"/>
      <c r="D219" s="652"/>
      <c r="E219" s="653"/>
      <c r="F219" s="651"/>
      <c r="G219" s="654"/>
      <c r="H219" s="653"/>
      <c r="I219" s="518"/>
      <c r="J219" s="817"/>
      <c r="K219" s="519"/>
      <c r="L219" s="162" t="str">
        <f t="shared" si="249"/>
        <v/>
      </c>
      <c r="M219" s="512" t="str">
        <f>Assy.Model!$M64</f>
        <v/>
      </c>
      <c r="N219" s="810" t="str">
        <f>Assy.Model!K64</f>
        <v/>
      </c>
      <c r="O219" s="575" t="str">
        <f t="shared" si="250"/>
        <v/>
      </c>
      <c r="P219" s="572" t="str">
        <f t="shared" si="251"/>
        <v/>
      </c>
      <c r="Q219" s="579" t="str">
        <f t="shared" si="252"/>
        <v/>
      </c>
      <c r="R219" s="580" t="str">
        <f t="shared" si="253"/>
        <v/>
      </c>
      <c r="S219" s="572" t="str">
        <f t="shared" si="254"/>
        <v/>
      </c>
      <c r="T219" s="579" t="str">
        <f t="shared" si="255"/>
        <v/>
      </c>
    </row>
    <row r="220" spans="2:20" ht="15" customHeight="1" x14ac:dyDescent="0.25">
      <c r="B220" s="650"/>
      <c r="C220" s="651"/>
      <c r="D220" s="652"/>
      <c r="E220" s="653"/>
      <c r="F220" s="651"/>
      <c r="G220" s="654"/>
      <c r="H220" s="653"/>
      <c r="I220" s="518"/>
      <c r="J220" s="817"/>
      <c r="K220" s="519"/>
      <c r="L220" s="162" t="str">
        <f t="shared" si="249"/>
        <v/>
      </c>
      <c r="M220" s="512" t="str">
        <f>Assy.Model!$M65</f>
        <v/>
      </c>
      <c r="N220" s="810" t="str">
        <f>Assy.Model!K65</f>
        <v/>
      </c>
      <c r="O220" s="575" t="str">
        <f t="shared" si="250"/>
        <v/>
      </c>
      <c r="P220" s="572" t="str">
        <f t="shared" si="251"/>
        <v/>
      </c>
      <c r="Q220" s="579" t="str">
        <f t="shared" si="252"/>
        <v/>
      </c>
      <c r="R220" s="580" t="str">
        <f t="shared" si="253"/>
        <v/>
      </c>
      <c r="S220" s="572" t="str">
        <f t="shared" si="254"/>
        <v/>
      </c>
      <c r="T220" s="579" t="str">
        <f t="shared" si="255"/>
        <v/>
      </c>
    </row>
    <row r="221" spans="2:20" ht="15" customHeight="1" x14ac:dyDescent="0.25">
      <c r="B221" s="650"/>
      <c r="C221" s="651"/>
      <c r="D221" s="652"/>
      <c r="E221" s="653"/>
      <c r="F221" s="651"/>
      <c r="G221" s="654"/>
      <c r="H221" s="653"/>
      <c r="I221" s="518"/>
      <c r="J221" s="817"/>
      <c r="K221" s="519"/>
      <c r="L221" s="162" t="str">
        <f t="shared" si="249"/>
        <v/>
      </c>
      <c r="M221" s="512" t="str">
        <f>Assy.Model!$M66</f>
        <v/>
      </c>
      <c r="N221" s="810" t="str">
        <f>Assy.Model!K66</f>
        <v/>
      </c>
      <c r="O221" s="575" t="str">
        <f t="shared" si="250"/>
        <v/>
      </c>
      <c r="P221" s="572" t="str">
        <f t="shared" si="251"/>
        <v/>
      </c>
      <c r="Q221" s="579" t="str">
        <f t="shared" si="252"/>
        <v/>
      </c>
      <c r="R221" s="580" t="str">
        <f t="shared" si="253"/>
        <v/>
      </c>
      <c r="S221" s="572" t="str">
        <f t="shared" si="254"/>
        <v/>
      </c>
      <c r="T221" s="579" t="str">
        <f t="shared" si="255"/>
        <v/>
      </c>
    </row>
    <row r="222" spans="2:20" ht="15" customHeight="1" x14ac:dyDescent="0.25">
      <c r="B222" s="650"/>
      <c r="C222" s="651"/>
      <c r="D222" s="652"/>
      <c r="E222" s="653"/>
      <c r="F222" s="651"/>
      <c r="G222" s="654"/>
      <c r="H222" s="653"/>
      <c r="I222" s="518"/>
      <c r="J222" s="817"/>
      <c r="K222" s="519"/>
      <c r="L222" s="162" t="str">
        <f t="shared" si="249"/>
        <v/>
      </c>
      <c r="M222" s="512" t="str">
        <f>Assy.Model!$M67</f>
        <v/>
      </c>
      <c r="N222" s="810" t="str">
        <f>Assy.Model!K67</f>
        <v/>
      </c>
      <c r="O222" s="575" t="str">
        <f t="shared" si="250"/>
        <v/>
      </c>
      <c r="P222" s="572" t="str">
        <f t="shared" si="251"/>
        <v/>
      </c>
      <c r="Q222" s="579" t="str">
        <f t="shared" si="252"/>
        <v/>
      </c>
      <c r="R222" s="580" t="str">
        <f t="shared" si="253"/>
        <v/>
      </c>
      <c r="S222" s="572" t="str">
        <f t="shared" si="254"/>
        <v/>
      </c>
      <c r="T222" s="579" t="str">
        <f t="shared" si="255"/>
        <v/>
      </c>
    </row>
    <row r="223" spans="2:20" ht="15" customHeight="1" x14ac:dyDescent="0.25">
      <c r="B223" s="650"/>
      <c r="C223" s="651"/>
      <c r="D223" s="652"/>
      <c r="E223" s="653"/>
      <c r="F223" s="651"/>
      <c r="G223" s="654"/>
      <c r="H223" s="653"/>
      <c r="I223" s="518"/>
      <c r="J223" s="817"/>
      <c r="K223" s="519"/>
      <c r="L223" s="162" t="str">
        <f t="shared" si="249"/>
        <v/>
      </c>
      <c r="M223" s="512" t="str">
        <f>Assy.Model!$M68</f>
        <v/>
      </c>
      <c r="N223" s="810" t="str">
        <f>Assy.Model!K68</f>
        <v/>
      </c>
      <c r="O223" s="575" t="str">
        <f t="shared" si="250"/>
        <v/>
      </c>
      <c r="P223" s="572" t="str">
        <f t="shared" si="251"/>
        <v/>
      </c>
      <c r="Q223" s="579" t="str">
        <f t="shared" si="252"/>
        <v/>
      </c>
      <c r="R223" s="580" t="str">
        <f t="shared" si="253"/>
        <v/>
      </c>
      <c r="S223" s="572" t="str">
        <f t="shared" si="254"/>
        <v/>
      </c>
      <c r="T223" s="579" t="str">
        <f t="shared" si="255"/>
        <v/>
      </c>
    </row>
    <row r="224" spans="2:20" ht="15" customHeight="1" x14ac:dyDescent="0.25">
      <c r="B224" s="650"/>
      <c r="C224" s="651"/>
      <c r="D224" s="652"/>
      <c r="E224" s="653"/>
      <c r="F224" s="651"/>
      <c r="G224" s="654"/>
      <c r="H224" s="653"/>
      <c r="I224" s="518"/>
      <c r="J224" s="817"/>
      <c r="K224" s="519"/>
      <c r="L224" s="162" t="str">
        <f t="shared" si="249"/>
        <v/>
      </c>
      <c r="M224" s="512" t="str">
        <f>Assy.Model!$M69</f>
        <v/>
      </c>
      <c r="N224" s="810" t="str">
        <f>Assy.Model!K69</f>
        <v/>
      </c>
      <c r="O224" s="575" t="str">
        <f t="shared" si="250"/>
        <v/>
      </c>
      <c r="P224" s="572" t="str">
        <f t="shared" si="251"/>
        <v/>
      </c>
      <c r="Q224" s="579" t="str">
        <f t="shared" si="252"/>
        <v/>
      </c>
      <c r="R224" s="580" t="str">
        <f t="shared" si="253"/>
        <v/>
      </c>
      <c r="S224" s="572" t="str">
        <f t="shared" si="254"/>
        <v/>
      </c>
      <c r="T224" s="579" t="str">
        <f t="shared" si="255"/>
        <v/>
      </c>
    </row>
    <row r="225" spans="2:20" ht="15" customHeight="1" x14ac:dyDescent="0.25">
      <c r="B225" s="650"/>
      <c r="C225" s="651"/>
      <c r="D225" s="652"/>
      <c r="E225" s="653"/>
      <c r="F225" s="651"/>
      <c r="G225" s="654"/>
      <c r="H225" s="653"/>
      <c r="I225" s="518"/>
      <c r="J225" s="817"/>
      <c r="K225" s="519"/>
      <c r="L225" s="162" t="str">
        <f t="shared" si="249"/>
        <v/>
      </c>
      <c r="M225" s="512" t="str">
        <f>Assy.Model!$M70</f>
        <v/>
      </c>
      <c r="N225" s="810" t="str">
        <f>Assy.Model!K70</f>
        <v/>
      </c>
      <c r="O225" s="575" t="str">
        <f t="shared" si="250"/>
        <v/>
      </c>
      <c r="P225" s="572" t="str">
        <f t="shared" si="251"/>
        <v/>
      </c>
      <c r="Q225" s="579" t="str">
        <f t="shared" si="252"/>
        <v/>
      </c>
      <c r="R225" s="580" t="str">
        <f t="shared" si="253"/>
        <v/>
      </c>
      <c r="S225" s="572" t="str">
        <f t="shared" si="254"/>
        <v/>
      </c>
      <c r="T225" s="579" t="str">
        <f t="shared" si="255"/>
        <v/>
      </c>
    </row>
    <row r="226" spans="2:20" ht="15" customHeight="1" x14ac:dyDescent="0.25">
      <c r="B226" s="650"/>
      <c r="C226" s="651"/>
      <c r="D226" s="652"/>
      <c r="E226" s="653"/>
      <c r="F226" s="651"/>
      <c r="G226" s="654"/>
      <c r="H226" s="653"/>
      <c r="I226" s="518"/>
      <c r="J226" s="817"/>
      <c r="K226" s="519"/>
      <c r="L226" s="162" t="str">
        <f t="shared" si="249"/>
        <v/>
      </c>
      <c r="M226" s="512" t="str">
        <f>Assy.Model!$M71</f>
        <v/>
      </c>
      <c r="N226" s="810" t="str">
        <f>Assy.Model!K71</f>
        <v/>
      </c>
      <c r="O226" s="575" t="str">
        <f t="shared" si="250"/>
        <v/>
      </c>
      <c r="P226" s="572" t="str">
        <f t="shared" si="251"/>
        <v/>
      </c>
      <c r="Q226" s="579" t="str">
        <f t="shared" si="252"/>
        <v/>
      </c>
      <c r="R226" s="580" t="str">
        <f t="shared" si="253"/>
        <v/>
      </c>
      <c r="S226" s="572" t="str">
        <f t="shared" si="254"/>
        <v/>
      </c>
      <c r="T226" s="579" t="str">
        <f t="shared" si="255"/>
        <v/>
      </c>
    </row>
    <row r="227" spans="2:20" ht="15" customHeight="1" x14ac:dyDescent="0.25">
      <c r="B227" s="650"/>
      <c r="C227" s="651"/>
      <c r="D227" s="652"/>
      <c r="E227" s="653"/>
      <c r="F227" s="651"/>
      <c r="G227" s="654"/>
      <c r="H227" s="653"/>
      <c r="I227" s="518"/>
      <c r="J227" s="817"/>
      <c r="K227" s="519"/>
      <c r="L227" s="162" t="str">
        <f t="shared" si="249"/>
        <v/>
      </c>
      <c r="M227" s="512" t="str">
        <f>Assy.Model!$M72</f>
        <v/>
      </c>
      <c r="N227" s="810" t="str">
        <f>Assy.Model!K72</f>
        <v/>
      </c>
      <c r="O227" s="575" t="str">
        <f t="shared" si="250"/>
        <v/>
      </c>
      <c r="P227" s="572" t="str">
        <f t="shared" si="251"/>
        <v/>
      </c>
      <c r="Q227" s="579" t="str">
        <f t="shared" si="252"/>
        <v/>
      </c>
      <c r="R227" s="580" t="str">
        <f t="shared" si="253"/>
        <v/>
      </c>
      <c r="S227" s="572" t="str">
        <f t="shared" si="254"/>
        <v/>
      </c>
      <c r="T227" s="579" t="str">
        <f t="shared" si="255"/>
        <v/>
      </c>
    </row>
    <row r="228" spans="2:20" ht="15" customHeight="1" x14ac:dyDescent="0.25">
      <c r="B228" s="650"/>
      <c r="C228" s="651"/>
      <c r="D228" s="652"/>
      <c r="E228" s="653"/>
      <c r="F228" s="651"/>
      <c r="G228" s="654"/>
      <c r="H228" s="653"/>
      <c r="I228" s="518"/>
      <c r="J228" s="817"/>
      <c r="K228" s="519"/>
      <c r="L228" s="162" t="str">
        <f t="shared" si="249"/>
        <v/>
      </c>
      <c r="M228" s="512" t="str">
        <f>Assy.Model!$M73</f>
        <v/>
      </c>
      <c r="N228" s="810" t="str">
        <f>Assy.Model!K73</f>
        <v/>
      </c>
      <c r="O228" s="575" t="str">
        <f t="shared" ref="O228:O259" si="256">IF(ISBLANK($J228),"",(($BM$3*$B228)+($BN$3*$C228)+($BO$3*$D228))+$BP$3)</f>
        <v/>
      </c>
      <c r="P228" s="572" t="str">
        <f t="shared" ref="P228:P259" si="257">IF(ISBLANK($J228),"",(($BM$4*$B228)+($BN$4*$C228)+($BO$4*$D228))+$BP$4)</f>
        <v/>
      </c>
      <c r="Q228" s="579" t="str">
        <f t="shared" ref="Q228:Q259" si="258">IF(ISBLANK($J228),"",(($BM$5*$B228)+($BN$5*$C228)+($BO$5*$D228))+$BP$5)</f>
        <v/>
      </c>
      <c r="R228" s="580" t="str">
        <f t="shared" ref="R228:R259" si="259">IF(ISBLANK($J228),"",(($BM$3*$E228)+($BN$3*$F228)+($BO$3*$G228)))</f>
        <v/>
      </c>
      <c r="S228" s="572" t="str">
        <f t="shared" ref="S228:S259" si="260">IF(ISBLANK($J228),"",(($BM$4*$E228)+($BN$4*$F228)+($BO$4*$G228)))</f>
        <v/>
      </c>
      <c r="T228" s="579" t="str">
        <f t="shared" ref="T228:T259" si="261">IF(ISBLANK($J228),"",(($BM$5*$E228)+($BN$5*$F228)+($BO$5*$G228)))</f>
        <v/>
      </c>
    </row>
    <row r="229" spans="2:20" ht="15" customHeight="1" x14ac:dyDescent="0.25">
      <c r="B229" s="650"/>
      <c r="C229" s="651"/>
      <c r="D229" s="652"/>
      <c r="E229" s="653"/>
      <c r="F229" s="651"/>
      <c r="G229" s="654"/>
      <c r="H229" s="653"/>
      <c r="I229" s="518"/>
      <c r="J229" s="817"/>
      <c r="K229" s="519"/>
      <c r="L229" s="162" t="str">
        <f t="shared" si="249"/>
        <v/>
      </c>
      <c r="M229" s="512" t="str">
        <f>Assy.Model!$M74</f>
        <v/>
      </c>
      <c r="N229" s="810" t="str">
        <f>Assy.Model!K74</f>
        <v/>
      </c>
      <c r="O229" s="575" t="str">
        <f t="shared" si="256"/>
        <v/>
      </c>
      <c r="P229" s="572" t="str">
        <f t="shared" si="257"/>
        <v/>
      </c>
      <c r="Q229" s="579" t="str">
        <f t="shared" si="258"/>
        <v/>
      </c>
      <c r="R229" s="580" t="str">
        <f t="shared" si="259"/>
        <v/>
      </c>
      <c r="S229" s="572" t="str">
        <f t="shared" si="260"/>
        <v/>
      </c>
      <c r="T229" s="579" t="str">
        <f t="shared" si="261"/>
        <v/>
      </c>
    </row>
    <row r="230" spans="2:20" ht="15" customHeight="1" x14ac:dyDescent="0.25">
      <c r="B230" s="650"/>
      <c r="C230" s="651"/>
      <c r="D230" s="652"/>
      <c r="E230" s="653"/>
      <c r="F230" s="651"/>
      <c r="G230" s="654"/>
      <c r="H230" s="653"/>
      <c r="I230" s="518"/>
      <c r="J230" s="817"/>
      <c r="K230" s="519"/>
      <c r="L230" s="162" t="str">
        <f t="shared" si="249"/>
        <v/>
      </c>
      <c r="M230" s="512" t="str">
        <f>Assy.Model!$M75</f>
        <v/>
      </c>
      <c r="N230" s="810" t="str">
        <f>Assy.Model!K75</f>
        <v/>
      </c>
      <c r="O230" s="575" t="str">
        <f t="shared" si="256"/>
        <v/>
      </c>
      <c r="P230" s="572" t="str">
        <f t="shared" si="257"/>
        <v/>
      </c>
      <c r="Q230" s="579" t="str">
        <f t="shared" si="258"/>
        <v/>
      </c>
      <c r="R230" s="580" t="str">
        <f t="shared" si="259"/>
        <v/>
      </c>
      <c r="S230" s="572" t="str">
        <f t="shared" si="260"/>
        <v/>
      </c>
      <c r="T230" s="579" t="str">
        <f t="shared" si="261"/>
        <v/>
      </c>
    </row>
    <row r="231" spans="2:20" ht="15" customHeight="1" x14ac:dyDescent="0.25">
      <c r="B231" s="650"/>
      <c r="C231" s="651"/>
      <c r="D231" s="652"/>
      <c r="E231" s="653"/>
      <c r="F231" s="651"/>
      <c r="G231" s="654"/>
      <c r="H231" s="653"/>
      <c r="I231" s="518"/>
      <c r="J231" s="817"/>
      <c r="K231" s="519"/>
      <c r="L231" s="162" t="str">
        <f t="shared" si="249"/>
        <v/>
      </c>
      <c r="M231" s="512" t="str">
        <f>Assy.Model!$M76</f>
        <v/>
      </c>
      <c r="N231" s="810" t="str">
        <f>Assy.Model!K76</f>
        <v/>
      </c>
      <c r="O231" s="575" t="str">
        <f t="shared" si="256"/>
        <v/>
      </c>
      <c r="P231" s="572" t="str">
        <f t="shared" si="257"/>
        <v/>
      </c>
      <c r="Q231" s="579" t="str">
        <f t="shared" si="258"/>
        <v/>
      </c>
      <c r="R231" s="580" t="str">
        <f t="shared" si="259"/>
        <v/>
      </c>
      <c r="S231" s="572" t="str">
        <f t="shared" si="260"/>
        <v/>
      </c>
      <c r="T231" s="579" t="str">
        <f t="shared" si="261"/>
        <v/>
      </c>
    </row>
    <row r="232" spans="2:20" ht="15" customHeight="1" x14ac:dyDescent="0.25">
      <c r="B232" s="650"/>
      <c r="C232" s="651"/>
      <c r="D232" s="652"/>
      <c r="E232" s="653"/>
      <c r="F232" s="651"/>
      <c r="G232" s="654"/>
      <c r="H232" s="653"/>
      <c r="I232" s="518"/>
      <c r="J232" s="817"/>
      <c r="K232" s="519"/>
      <c r="L232" s="162" t="str">
        <f t="shared" si="249"/>
        <v/>
      </c>
      <c r="M232" s="512" t="str">
        <f>Assy.Model!$M77</f>
        <v/>
      </c>
      <c r="N232" s="810" t="str">
        <f>Assy.Model!K77</f>
        <v/>
      </c>
      <c r="O232" s="575" t="str">
        <f t="shared" si="256"/>
        <v/>
      </c>
      <c r="P232" s="572" t="str">
        <f t="shared" si="257"/>
        <v/>
      </c>
      <c r="Q232" s="579" t="str">
        <f t="shared" si="258"/>
        <v/>
      </c>
      <c r="R232" s="580" t="str">
        <f t="shared" si="259"/>
        <v/>
      </c>
      <c r="S232" s="572" t="str">
        <f t="shared" si="260"/>
        <v/>
      </c>
      <c r="T232" s="579" t="str">
        <f t="shared" si="261"/>
        <v/>
      </c>
    </row>
    <row r="233" spans="2:20" ht="15" customHeight="1" x14ac:dyDescent="0.25">
      <c r="B233" s="650"/>
      <c r="C233" s="651"/>
      <c r="D233" s="652"/>
      <c r="E233" s="653"/>
      <c r="F233" s="651"/>
      <c r="G233" s="654"/>
      <c r="H233" s="653"/>
      <c r="I233" s="518"/>
      <c r="J233" s="817"/>
      <c r="K233" s="519"/>
      <c r="L233" s="162" t="str">
        <f t="shared" si="249"/>
        <v/>
      </c>
      <c r="M233" s="512" t="str">
        <f>Assy.Model!$M78</f>
        <v/>
      </c>
      <c r="N233" s="810" t="str">
        <f>Assy.Model!K78</f>
        <v/>
      </c>
      <c r="O233" s="575" t="str">
        <f t="shared" si="256"/>
        <v/>
      </c>
      <c r="P233" s="572" t="str">
        <f t="shared" si="257"/>
        <v/>
      </c>
      <c r="Q233" s="579" t="str">
        <f t="shared" si="258"/>
        <v/>
      </c>
      <c r="R233" s="580" t="str">
        <f t="shared" si="259"/>
        <v/>
      </c>
      <c r="S233" s="572" t="str">
        <f t="shared" si="260"/>
        <v/>
      </c>
      <c r="T233" s="579" t="str">
        <f t="shared" si="261"/>
        <v/>
      </c>
    </row>
    <row r="234" spans="2:20" ht="15" customHeight="1" x14ac:dyDescent="0.25">
      <c r="B234" s="650"/>
      <c r="C234" s="651"/>
      <c r="D234" s="652"/>
      <c r="E234" s="653"/>
      <c r="F234" s="651"/>
      <c r="G234" s="654"/>
      <c r="H234" s="653"/>
      <c r="I234" s="518"/>
      <c r="J234" s="817"/>
      <c r="K234" s="519"/>
      <c r="L234" s="162" t="str">
        <f t="shared" si="249"/>
        <v/>
      </c>
      <c r="M234" s="512" t="str">
        <f>Assy.Model!$M79</f>
        <v/>
      </c>
      <c r="N234" s="810" t="str">
        <f>Assy.Model!K79</f>
        <v/>
      </c>
      <c r="O234" s="575" t="str">
        <f t="shared" si="256"/>
        <v/>
      </c>
      <c r="P234" s="572" t="str">
        <f t="shared" si="257"/>
        <v/>
      </c>
      <c r="Q234" s="579" t="str">
        <f t="shared" si="258"/>
        <v/>
      </c>
      <c r="R234" s="580" t="str">
        <f t="shared" si="259"/>
        <v/>
      </c>
      <c r="S234" s="572" t="str">
        <f t="shared" si="260"/>
        <v/>
      </c>
      <c r="T234" s="579" t="str">
        <f t="shared" si="261"/>
        <v/>
      </c>
    </row>
    <row r="235" spans="2:20" ht="15" customHeight="1" x14ac:dyDescent="0.25">
      <c r="B235" s="650"/>
      <c r="C235" s="651"/>
      <c r="D235" s="652"/>
      <c r="E235" s="653"/>
      <c r="F235" s="651"/>
      <c r="G235" s="654"/>
      <c r="H235" s="653"/>
      <c r="I235" s="518"/>
      <c r="J235" s="817"/>
      <c r="K235" s="519"/>
      <c r="L235" s="162" t="str">
        <f t="shared" si="249"/>
        <v/>
      </c>
      <c r="M235" s="512" t="str">
        <f>Assy.Model!$M80</f>
        <v/>
      </c>
      <c r="N235" s="810" t="str">
        <f>Assy.Model!K80</f>
        <v/>
      </c>
      <c r="O235" s="575" t="str">
        <f t="shared" si="256"/>
        <v/>
      </c>
      <c r="P235" s="572" t="str">
        <f t="shared" si="257"/>
        <v/>
      </c>
      <c r="Q235" s="579" t="str">
        <f t="shared" si="258"/>
        <v/>
      </c>
      <c r="R235" s="580" t="str">
        <f t="shared" si="259"/>
        <v/>
      </c>
      <c r="S235" s="572" t="str">
        <f t="shared" si="260"/>
        <v/>
      </c>
      <c r="T235" s="579" t="str">
        <f t="shared" si="261"/>
        <v/>
      </c>
    </row>
    <row r="236" spans="2:20" ht="15" customHeight="1" x14ac:dyDescent="0.25">
      <c r="B236" s="650"/>
      <c r="C236" s="651"/>
      <c r="D236" s="652"/>
      <c r="E236" s="653"/>
      <c r="F236" s="651"/>
      <c r="G236" s="654"/>
      <c r="H236" s="653"/>
      <c r="I236" s="518"/>
      <c r="J236" s="817"/>
      <c r="K236" s="519"/>
      <c r="L236" s="162" t="str">
        <f t="shared" si="249"/>
        <v/>
      </c>
      <c r="M236" s="512" t="str">
        <f>Assy.Model!$M81</f>
        <v/>
      </c>
      <c r="N236" s="810" t="str">
        <f>Assy.Model!K81</f>
        <v/>
      </c>
      <c r="O236" s="575" t="str">
        <f t="shared" si="256"/>
        <v/>
      </c>
      <c r="P236" s="572" t="str">
        <f t="shared" si="257"/>
        <v/>
      </c>
      <c r="Q236" s="579" t="str">
        <f t="shared" si="258"/>
        <v/>
      </c>
      <c r="R236" s="580" t="str">
        <f t="shared" si="259"/>
        <v/>
      </c>
      <c r="S236" s="572" t="str">
        <f t="shared" si="260"/>
        <v/>
      </c>
      <c r="T236" s="579" t="str">
        <f t="shared" si="261"/>
        <v/>
      </c>
    </row>
    <row r="237" spans="2:20" ht="15" customHeight="1" x14ac:dyDescent="0.25">
      <c r="B237" s="650"/>
      <c r="C237" s="651"/>
      <c r="D237" s="652"/>
      <c r="E237" s="653"/>
      <c r="F237" s="651"/>
      <c r="G237" s="654"/>
      <c r="H237" s="653"/>
      <c r="I237" s="518"/>
      <c r="J237" s="817"/>
      <c r="K237" s="519"/>
      <c r="L237" s="162" t="str">
        <f t="shared" si="249"/>
        <v/>
      </c>
      <c r="M237" s="512" t="str">
        <f>Assy.Model!$M82</f>
        <v/>
      </c>
      <c r="N237" s="810" t="str">
        <f>Assy.Model!K82</f>
        <v/>
      </c>
      <c r="O237" s="575" t="str">
        <f t="shared" si="256"/>
        <v/>
      </c>
      <c r="P237" s="572" t="str">
        <f t="shared" si="257"/>
        <v/>
      </c>
      <c r="Q237" s="579" t="str">
        <f t="shared" si="258"/>
        <v/>
      </c>
      <c r="R237" s="580" t="str">
        <f t="shared" si="259"/>
        <v/>
      </c>
      <c r="S237" s="572" t="str">
        <f t="shared" si="260"/>
        <v/>
      </c>
      <c r="T237" s="579" t="str">
        <f t="shared" si="261"/>
        <v/>
      </c>
    </row>
    <row r="238" spans="2:20" ht="15" customHeight="1" x14ac:dyDescent="0.25">
      <c r="B238" s="650"/>
      <c r="C238" s="651"/>
      <c r="D238" s="652"/>
      <c r="E238" s="653"/>
      <c r="F238" s="651"/>
      <c r="G238" s="654"/>
      <c r="H238" s="653"/>
      <c r="I238" s="518"/>
      <c r="J238" s="817"/>
      <c r="K238" s="519"/>
      <c r="L238" s="162" t="str">
        <f t="shared" si="249"/>
        <v/>
      </c>
      <c r="M238" s="512" t="str">
        <f>Assy.Model!$M83</f>
        <v/>
      </c>
      <c r="N238" s="810" t="str">
        <f>Assy.Model!K83</f>
        <v/>
      </c>
      <c r="O238" s="575" t="str">
        <f t="shared" si="256"/>
        <v/>
      </c>
      <c r="P238" s="572" t="str">
        <f t="shared" si="257"/>
        <v/>
      </c>
      <c r="Q238" s="579" t="str">
        <f t="shared" si="258"/>
        <v/>
      </c>
      <c r="R238" s="580" t="str">
        <f t="shared" si="259"/>
        <v/>
      </c>
      <c r="S238" s="572" t="str">
        <f t="shared" si="260"/>
        <v/>
      </c>
      <c r="T238" s="579" t="str">
        <f t="shared" si="261"/>
        <v/>
      </c>
    </row>
    <row r="239" spans="2:20" ht="15" customHeight="1" x14ac:dyDescent="0.25">
      <c r="B239" s="650"/>
      <c r="C239" s="651"/>
      <c r="D239" s="652"/>
      <c r="E239" s="653"/>
      <c r="F239" s="651"/>
      <c r="G239" s="654"/>
      <c r="H239" s="653"/>
      <c r="I239" s="518"/>
      <c r="J239" s="817"/>
      <c r="K239" s="519"/>
      <c r="L239" s="162" t="str">
        <f t="shared" si="249"/>
        <v/>
      </c>
      <c r="M239" s="512" t="str">
        <f>Assy.Model!$M84</f>
        <v/>
      </c>
      <c r="N239" s="810" t="str">
        <f>Assy.Model!K84</f>
        <v/>
      </c>
      <c r="O239" s="575" t="str">
        <f t="shared" si="256"/>
        <v/>
      </c>
      <c r="P239" s="572" t="str">
        <f t="shared" si="257"/>
        <v/>
      </c>
      <c r="Q239" s="579" t="str">
        <f t="shared" si="258"/>
        <v/>
      </c>
      <c r="R239" s="580" t="str">
        <f t="shared" si="259"/>
        <v/>
      </c>
      <c r="S239" s="572" t="str">
        <f t="shared" si="260"/>
        <v/>
      </c>
      <c r="T239" s="579" t="str">
        <f t="shared" si="261"/>
        <v/>
      </c>
    </row>
    <row r="240" spans="2:20" ht="15" customHeight="1" x14ac:dyDescent="0.25">
      <c r="B240" s="650"/>
      <c r="C240" s="651"/>
      <c r="D240" s="652"/>
      <c r="E240" s="653"/>
      <c r="F240" s="651"/>
      <c r="G240" s="654"/>
      <c r="H240" s="653"/>
      <c r="I240" s="518"/>
      <c r="J240" s="817"/>
      <c r="K240" s="519"/>
      <c r="L240" s="162" t="str">
        <f t="shared" si="249"/>
        <v/>
      </c>
      <c r="M240" s="512" t="str">
        <f>Assy.Model!$M85</f>
        <v/>
      </c>
      <c r="N240" s="810" t="str">
        <f>Assy.Model!K85</f>
        <v/>
      </c>
      <c r="O240" s="575" t="str">
        <f t="shared" si="256"/>
        <v/>
      </c>
      <c r="P240" s="572" t="str">
        <f t="shared" si="257"/>
        <v/>
      </c>
      <c r="Q240" s="579" t="str">
        <f t="shared" si="258"/>
        <v/>
      </c>
      <c r="R240" s="580" t="str">
        <f t="shared" si="259"/>
        <v/>
      </c>
      <c r="S240" s="572" t="str">
        <f t="shared" si="260"/>
        <v/>
      </c>
      <c r="T240" s="579" t="str">
        <f t="shared" si="261"/>
        <v/>
      </c>
    </row>
    <row r="241" spans="2:20" ht="15" customHeight="1" x14ac:dyDescent="0.25">
      <c r="B241" s="650"/>
      <c r="C241" s="651"/>
      <c r="D241" s="652"/>
      <c r="E241" s="653"/>
      <c r="F241" s="651"/>
      <c r="G241" s="654"/>
      <c r="H241" s="653"/>
      <c r="I241" s="518"/>
      <c r="J241" s="817"/>
      <c r="K241" s="519"/>
      <c r="L241" s="162" t="str">
        <f t="shared" si="249"/>
        <v/>
      </c>
      <c r="M241" s="512" t="str">
        <f>Assy.Model!$M86</f>
        <v/>
      </c>
      <c r="N241" s="810" t="str">
        <f>Assy.Model!K86</f>
        <v/>
      </c>
      <c r="O241" s="575" t="str">
        <f t="shared" si="256"/>
        <v/>
      </c>
      <c r="P241" s="572" t="str">
        <f t="shared" si="257"/>
        <v/>
      </c>
      <c r="Q241" s="579" t="str">
        <f t="shared" si="258"/>
        <v/>
      </c>
      <c r="R241" s="580" t="str">
        <f t="shared" si="259"/>
        <v/>
      </c>
      <c r="S241" s="572" t="str">
        <f t="shared" si="260"/>
        <v/>
      </c>
      <c r="T241" s="579" t="str">
        <f t="shared" si="261"/>
        <v/>
      </c>
    </row>
    <row r="242" spans="2:20" x14ac:dyDescent="0.25">
      <c r="B242" s="650"/>
      <c r="C242" s="651"/>
      <c r="D242" s="652"/>
      <c r="E242" s="653"/>
      <c r="F242" s="651"/>
      <c r="G242" s="654"/>
      <c r="H242" s="653"/>
      <c r="I242" s="518"/>
      <c r="J242" s="817"/>
      <c r="K242" s="519"/>
      <c r="L242" s="162" t="str">
        <f t="shared" si="249"/>
        <v/>
      </c>
      <c r="M242" s="512" t="str">
        <f>Assy.Model!$M87</f>
        <v/>
      </c>
      <c r="N242" s="810" t="str">
        <f>Assy.Model!K87</f>
        <v/>
      </c>
      <c r="O242" s="575" t="str">
        <f t="shared" si="256"/>
        <v/>
      </c>
      <c r="P242" s="572" t="str">
        <f t="shared" si="257"/>
        <v/>
      </c>
      <c r="Q242" s="579" t="str">
        <f t="shared" si="258"/>
        <v/>
      </c>
      <c r="R242" s="580" t="str">
        <f t="shared" si="259"/>
        <v/>
      </c>
      <c r="S242" s="572" t="str">
        <f t="shared" si="260"/>
        <v/>
      </c>
      <c r="T242" s="579" t="str">
        <f t="shared" si="261"/>
        <v/>
      </c>
    </row>
    <row r="243" spans="2:20" x14ac:dyDescent="0.25">
      <c r="B243" s="650"/>
      <c r="C243" s="651"/>
      <c r="D243" s="652"/>
      <c r="E243" s="653"/>
      <c r="F243" s="651"/>
      <c r="G243" s="654"/>
      <c r="H243" s="653"/>
      <c r="I243" s="518"/>
      <c r="J243" s="817"/>
      <c r="K243" s="519"/>
      <c r="L243" s="162" t="str">
        <f t="shared" si="249"/>
        <v/>
      </c>
      <c r="M243" s="512" t="str">
        <f>Assy.Model!$M88</f>
        <v/>
      </c>
      <c r="N243" s="810" t="str">
        <f>Assy.Model!K88</f>
        <v/>
      </c>
      <c r="O243" s="575" t="str">
        <f t="shared" si="256"/>
        <v/>
      </c>
      <c r="P243" s="572" t="str">
        <f t="shared" si="257"/>
        <v/>
      </c>
      <c r="Q243" s="579" t="str">
        <f t="shared" si="258"/>
        <v/>
      </c>
      <c r="R243" s="580" t="str">
        <f t="shared" si="259"/>
        <v/>
      </c>
      <c r="S243" s="572" t="str">
        <f t="shared" si="260"/>
        <v/>
      </c>
      <c r="T243" s="579" t="str">
        <f t="shared" si="261"/>
        <v/>
      </c>
    </row>
    <row r="244" spans="2:20" x14ac:dyDescent="0.25">
      <c r="B244" s="650"/>
      <c r="C244" s="651"/>
      <c r="D244" s="652"/>
      <c r="E244" s="653"/>
      <c r="F244" s="651"/>
      <c r="G244" s="654"/>
      <c r="H244" s="653"/>
      <c r="I244" s="518"/>
      <c r="J244" s="817"/>
      <c r="K244" s="519"/>
      <c r="L244" s="162" t="str">
        <f t="shared" si="249"/>
        <v/>
      </c>
      <c r="M244" s="512" t="str">
        <f>Assy.Model!$M89</f>
        <v/>
      </c>
      <c r="N244" s="810" t="str">
        <f>Assy.Model!K89</f>
        <v/>
      </c>
      <c r="O244" s="575" t="str">
        <f t="shared" si="256"/>
        <v/>
      </c>
      <c r="P244" s="572" t="str">
        <f t="shared" si="257"/>
        <v/>
      </c>
      <c r="Q244" s="579" t="str">
        <f t="shared" si="258"/>
        <v/>
      </c>
      <c r="R244" s="580" t="str">
        <f t="shared" si="259"/>
        <v/>
      </c>
      <c r="S244" s="572" t="str">
        <f t="shared" si="260"/>
        <v/>
      </c>
      <c r="T244" s="579" t="str">
        <f t="shared" si="261"/>
        <v/>
      </c>
    </row>
    <row r="245" spans="2:20" x14ac:dyDescent="0.25">
      <c r="B245" s="650"/>
      <c r="C245" s="651"/>
      <c r="D245" s="652"/>
      <c r="E245" s="653"/>
      <c r="F245" s="651"/>
      <c r="G245" s="654"/>
      <c r="H245" s="653"/>
      <c r="I245" s="518"/>
      <c r="J245" s="817"/>
      <c r="K245" s="519"/>
      <c r="L245" s="162" t="str">
        <f t="shared" si="249"/>
        <v/>
      </c>
      <c r="M245" s="512" t="str">
        <f>Assy.Model!$M90</f>
        <v/>
      </c>
      <c r="N245" s="810" t="str">
        <f>Assy.Model!K90</f>
        <v/>
      </c>
      <c r="O245" s="575" t="str">
        <f t="shared" si="256"/>
        <v/>
      </c>
      <c r="P245" s="572" t="str">
        <f t="shared" si="257"/>
        <v/>
      </c>
      <c r="Q245" s="579" t="str">
        <f t="shared" si="258"/>
        <v/>
      </c>
      <c r="R245" s="580" t="str">
        <f t="shared" si="259"/>
        <v/>
      </c>
      <c r="S245" s="572" t="str">
        <f t="shared" si="260"/>
        <v/>
      </c>
      <c r="T245" s="579" t="str">
        <f t="shared" si="261"/>
        <v/>
      </c>
    </row>
    <row r="246" spans="2:20" x14ac:dyDescent="0.25">
      <c r="B246" s="650"/>
      <c r="C246" s="651"/>
      <c r="D246" s="652"/>
      <c r="E246" s="653"/>
      <c r="F246" s="651"/>
      <c r="G246" s="654"/>
      <c r="H246" s="653"/>
      <c r="I246" s="518"/>
      <c r="J246" s="817"/>
      <c r="K246" s="519"/>
      <c r="L246" s="162" t="str">
        <f t="shared" si="249"/>
        <v/>
      </c>
      <c r="M246" s="512" t="str">
        <f>Assy.Model!$M91</f>
        <v/>
      </c>
      <c r="N246" s="810" t="str">
        <f>Assy.Model!K91</f>
        <v/>
      </c>
      <c r="O246" s="575" t="str">
        <f t="shared" si="256"/>
        <v/>
      </c>
      <c r="P246" s="572" t="str">
        <f t="shared" si="257"/>
        <v/>
      </c>
      <c r="Q246" s="579" t="str">
        <f t="shared" si="258"/>
        <v/>
      </c>
      <c r="R246" s="580" t="str">
        <f t="shared" si="259"/>
        <v/>
      </c>
      <c r="S246" s="572" t="str">
        <f t="shared" si="260"/>
        <v/>
      </c>
      <c r="T246" s="579" t="str">
        <f t="shared" si="261"/>
        <v/>
      </c>
    </row>
    <row r="247" spans="2:20" x14ac:dyDescent="0.25">
      <c r="B247" s="650"/>
      <c r="C247" s="651"/>
      <c r="D247" s="652"/>
      <c r="E247" s="653"/>
      <c r="F247" s="651"/>
      <c r="G247" s="654"/>
      <c r="H247" s="653"/>
      <c r="I247" s="518"/>
      <c r="J247" s="817"/>
      <c r="K247" s="519"/>
      <c r="L247" s="162" t="str">
        <f t="shared" si="249"/>
        <v/>
      </c>
      <c r="M247" s="512" t="str">
        <f>Assy.Model!$M92</f>
        <v/>
      </c>
      <c r="N247" s="810" t="str">
        <f>Assy.Model!K92</f>
        <v/>
      </c>
      <c r="O247" s="575" t="str">
        <f t="shared" si="256"/>
        <v/>
      </c>
      <c r="P247" s="572" t="str">
        <f t="shared" si="257"/>
        <v/>
      </c>
      <c r="Q247" s="579" t="str">
        <f t="shared" si="258"/>
        <v/>
      </c>
      <c r="R247" s="580" t="str">
        <f t="shared" si="259"/>
        <v/>
      </c>
      <c r="S247" s="572" t="str">
        <f t="shared" si="260"/>
        <v/>
      </c>
      <c r="T247" s="579" t="str">
        <f t="shared" si="261"/>
        <v/>
      </c>
    </row>
    <row r="248" spans="2:20" x14ac:dyDescent="0.25">
      <c r="B248" s="650"/>
      <c r="C248" s="651"/>
      <c r="D248" s="652"/>
      <c r="E248" s="653"/>
      <c r="F248" s="651"/>
      <c r="G248" s="654"/>
      <c r="H248" s="653"/>
      <c r="I248" s="518"/>
      <c r="J248" s="817"/>
      <c r="K248" s="519"/>
      <c r="L248" s="162" t="str">
        <f t="shared" si="249"/>
        <v/>
      </c>
      <c r="M248" s="512" t="str">
        <f>Assy.Model!$M93</f>
        <v/>
      </c>
      <c r="N248" s="810" t="str">
        <f>Assy.Model!K93</f>
        <v/>
      </c>
      <c r="O248" s="575" t="str">
        <f t="shared" si="256"/>
        <v/>
      </c>
      <c r="P248" s="572" t="str">
        <f t="shared" si="257"/>
        <v/>
      </c>
      <c r="Q248" s="579" t="str">
        <f t="shared" si="258"/>
        <v/>
      </c>
      <c r="R248" s="580" t="str">
        <f t="shared" si="259"/>
        <v/>
      </c>
      <c r="S248" s="572" t="str">
        <f t="shared" si="260"/>
        <v/>
      </c>
      <c r="T248" s="579" t="str">
        <f t="shared" si="261"/>
        <v/>
      </c>
    </row>
    <row r="249" spans="2:20" x14ac:dyDescent="0.25">
      <c r="B249" s="650"/>
      <c r="C249" s="651"/>
      <c r="D249" s="652"/>
      <c r="E249" s="653"/>
      <c r="F249" s="651"/>
      <c r="G249" s="654"/>
      <c r="H249" s="653"/>
      <c r="I249" s="518"/>
      <c r="J249" s="817"/>
      <c r="K249" s="519"/>
      <c r="L249" s="162" t="str">
        <f t="shared" si="249"/>
        <v/>
      </c>
      <c r="M249" s="512" t="str">
        <f>Assy.Model!$M94</f>
        <v/>
      </c>
      <c r="N249" s="810" t="str">
        <f>Assy.Model!K94</f>
        <v/>
      </c>
      <c r="O249" s="575" t="str">
        <f t="shared" si="256"/>
        <v/>
      </c>
      <c r="P249" s="572" t="str">
        <f t="shared" si="257"/>
        <v/>
      </c>
      <c r="Q249" s="579" t="str">
        <f t="shared" si="258"/>
        <v/>
      </c>
      <c r="R249" s="580" t="str">
        <f t="shared" si="259"/>
        <v/>
      </c>
      <c r="S249" s="572" t="str">
        <f t="shared" si="260"/>
        <v/>
      </c>
      <c r="T249" s="579" t="str">
        <f t="shared" si="261"/>
        <v/>
      </c>
    </row>
    <row r="250" spans="2:20" x14ac:dyDescent="0.25">
      <c r="B250" s="650"/>
      <c r="C250" s="651"/>
      <c r="D250" s="652"/>
      <c r="E250" s="653"/>
      <c r="F250" s="651"/>
      <c r="G250" s="654"/>
      <c r="H250" s="653"/>
      <c r="I250" s="518"/>
      <c r="J250" s="817"/>
      <c r="K250" s="519"/>
      <c r="L250" s="162" t="str">
        <f t="shared" si="249"/>
        <v/>
      </c>
      <c r="M250" s="512" t="str">
        <f>Assy.Model!$M95</f>
        <v/>
      </c>
      <c r="N250" s="810" t="str">
        <f>Assy.Model!K95</f>
        <v/>
      </c>
      <c r="O250" s="575" t="str">
        <f t="shared" si="256"/>
        <v/>
      </c>
      <c r="P250" s="572" t="str">
        <f t="shared" si="257"/>
        <v/>
      </c>
      <c r="Q250" s="579" t="str">
        <f t="shared" si="258"/>
        <v/>
      </c>
      <c r="R250" s="580" t="str">
        <f t="shared" si="259"/>
        <v/>
      </c>
      <c r="S250" s="572" t="str">
        <f t="shared" si="260"/>
        <v/>
      </c>
      <c r="T250" s="579" t="str">
        <f t="shared" si="261"/>
        <v/>
      </c>
    </row>
    <row r="251" spans="2:20" x14ac:dyDescent="0.25">
      <c r="B251" s="650"/>
      <c r="C251" s="651"/>
      <c r="D251" s="652"/>
      <c r="E251" s="653"/>
      <c r="F251" s="651"/>
      <c r="G251" s="654"/>
      <c r="H251" s="653"/>
      <c r="I251" s="518"/>
      <c r="J251" s="817"/>
      <c r="K251" s="519"/>
      <c r="L251" s="162" t="str">
        <f t="shared" si="249"/>
        <v/>
      </c>
      <c r="M251" s="512" t="str">
        <f>Assy.Model!$M96</f>
        <v/>
      </c>
      <c r="N251" s="810" t="str">
        <f>Assy.Model!K96</f>
        <v/>
      </c>
      <c r="O251" s="575" t="str">
        <f t="shared" si="256"/>
        <v/>
      </c>
      <c r="P251" s="572" t="str">
        <f t="shared" si="257"/>
        <v/>
      </c>
      <c r="Q251" s="579" t="str">
        <f t="shared" si="258"/>
        <v/>
      </c>
      <c r="R251" s="580" t="str">
        <f t="shared" si="259"/>
        <v/>
      </c>
      <c r="S251" s="572" t="str">
        <f t="shared" si="260"/>
        <v/>
      </c>
      <c r="T251" s="579" t="str">
        <f t="shared" si="261"/>
        <v/>
      </c>
    </row>
    <row r="252" spans="2:20" x14ac:dyDescent="0.25">
      <c r="B252" s="650"/>
      <c r="C252" s="651"/>
      <c r="D252" s="652"/>
      <c r="E252" s="653"/>
      <c r="F252" s="651"/>
      <c r="G252" s="654"/>
      <c r="H252" s="653"/>
      <c r="I252" s="518"/>
      <c r="J252" s="817"/>
      <c r="K252" s="519"/>
      <c r="L252" s="162" t="str">
        <f t="shared" ref="L252:L305" si="262">IF(ISNUMBER($J252),INDEX($AZ$9:$AZ$150,MATCH($M252,$AV$9:$AV$150,0)),"")</f>
        <v/>
      </c>
      <c r="M252" s="512" t="str">
        <f>Assy.Model!$M97</f>
        <v/>
      </c>
      <c r="N252" s="810" t="str">
        <f>Assy.Model!K97</f>
        <v/>
      </c>
      <c r="O252" s="575" t="str">
        <f t="shared" si="256"/>
        <v/>
      </c>
      <c r="P252" s="572" t="str">
        <f t="shared" si="257"/>
        <v/>
      </c>
      <c r="Q252" s="579" t="str">
        <f t="shared" si="258"/>
        <v/>
      </c>
      <c r="R252" s="580" t="str">
        <f t="shared" si="259"/>
        <v/>
      </c>
      <c r="S252" s="572" t="str">
        <f t="shared" si="260"/>
        <v/>
      </c>
      <c r="T252" s="579" t="str">
        <f t="shared" si="261"/>
        <v/>
      </c>
    </row>
    <row r="253" spans="2:20" x14ac:dyDescent="0.25">
      <c r="B253" s="650"/>
      <c r="C253" s="651"/>
      <c r="D253" s="652"/>
      <c r="E253" s="653"/>
      <c r="F253" s="651"/>
      <c r="G253" s="654"/>
      <c r="H253" s="653"/>
      <c r="I253" s="518"/>
      <c r="J253" s="817"/>
      <c r="K253" s="519"/>
      <c r="L253" s="162" t="str">
        <f t="shared" si="262"/>
        <v/>
      </c>
      <c r="M253" s="512" t="str">
        <f>Assy.Model!$M98</f>
        <v/>
      </c>
      <c r="N253" s="810" t="str">
        <f>Assy.Model!K98</f>
        <v/>
      </c>
      <c r="O253" s="575" t="str">
        <f t="shared" si="256"/>
        <v/>
      </c>
      <c r="P253" s="572" t="str">
        <f t="shared" si="257"/>
        <v/>
      </c>
      <c r="Q253" s="579" t="str">
        <f t="shared" si="258"/>
        <v/>
      </c>
      <c r="R253" s="580" t="str">
        <f t="shared" si="259"/>
        <v/>
      </c>
      <c r="S253" s="572" t="str">
        <f t="shared" si="260"/>
        <v/>
      </c>
      <c r="T253" s="579" t="str">
        <f t="shared" si="261"/>
        <v/>
      </c>
    </row>
    <row r="254" spans="2:20" x14ac:dyDescent="0.25">
      <c r="B254" s="650"/>
      <c r="C254" s="651"/>
      <c r="D254" s="652"/>
      <c r="E254" s="653"/>
      <c r="F254" s="651"/>
      <c r="G254" s="654"/>
      <c r="H254" s="653"/>
      <c r="I254" s="518"/>
      <c r="J254" s="817"/>
      <c r="K254" s="519"/>
      <c r="L254" s="162" t="str">
        <f t="shared" si="262"/>
        <v/>
      </c>
      <c r="M254" s="512" t="str">
        <f>Assy.Model!$M99</f>
        <v/>
      </c>
      <c r="N254" s="810" t="str">
        <f>Assy.Model!K99</f>
        <v/>
      </c>
      <c r="O254" s="575" t="str">
        <f t="shared" si="256"/>
        <v/>
      </c>
      <c r="P254" s="572" t="str">
        <f t="shared" si="257"/>
        <v/>
      </c>
      <c r="Q254" s="579" t="str">
        <f t="shared" si="258"/>
        <v/>
      </c>
      <c r="R254" s="580" t="str">
        <f t="shared" si="259"/>
        <v/>
      </c>
      <c r="S254" s="572" t="str">
        <f t="shared" si="260"/>
        <v/>
      </c>
      <c r="T254" s="579" t="str">
        <f t="shared" si="261"/>
        <v/>
      </c>
    </row>
    <row r="255" spans="2:20" x14ac:dyDescent="0.25">
      <c r="B255" s="650"/>
      <c r="C255" s="651"/>
      <c r="D255" s="652"/>
      <c r="E255" s="653"/>
      <c r="F255" s="651"/>
      <c r="G255" s="654"/>
      <c r="H255" s="653"/>
      <c r="I255" s="518"/>
      <c r="J255" s="817"/>
      <c r="K255" s="519"/>
      <c r="L255" s="162" t="str">
        <f t="shared" si="262"/>
        <v/>
      </c>
      <c r="M255" s="512" t="str">
        <f>Assy.Model!$M100</f>
        <v/>
      </c>
      <c r="N255" s="810" t="str">
        <f>Assy.Model!K100</f>
        <v/>
      </c>
      <c r="O255" s="575" t="str">
        <f t="shared" si="256"/>
        <v/>
      </c>
      <c r="P255" s="572" t="str">
        <f t="shared" si="257"/>
        <v/>
      </c>
      <c r="Q255" s="579" t="str">
        <f t="shared" si="258"/>
        <v/>
      </c>
      <c r="R255" s="580" t="str">
        <f t="shared" si="259"/>
        <v/>
      </c>
      <c r="S255" s="572" t="str">
        <f t="shared" si="260"/>
        <v/>
      </c>
      <c r="T255" s="579" t="str">
        <f t="shared" si="261"/>
        <v/>
      </c>
    </row>
    <row r="256" spans="2:20" x14ac:dyDescent="0.25">
      <c r="B256" s="650"/>
      <c r="C256" s="651"/>
      <c r="D256" s="652"/>
      <c r="E256" s="653"/>
      <c r="F256" s="651"/>
      <c r="G256" s="654"/>
      <c r="H256" s="653"/>
      <c r="I256" s="518"/>
      <c r="J256" s="817"/>
      <c r="K256" s="519"/>
      <c r="L256" s="162" t="str">
        <f t="shared" si="262"/>
        <v/>
      </c>
      <c r="M256" s="512" t="str">
        <f>Assy.Model!$M101</f>
        <v/>
      </c>
      <c r="N256" s="810" t="str">
        <f>Assy.Model!K101</f>
        <v/>
      </c>
      <c r="O256" s="575" t="str">
        <f t="shared" si="256"/>
        <v/>
      </c>
      <c r="P256" s="572" t="str">
        <f t="shared" si="257"/>
        <v/>
      </c>
      <c r="Q256" s="579" t="str">
        <f t="shared" si="258"/>
        <v/>
      </c>
      <c r="R256" s="580" t="str">
        <f t="shared" si="259"/>
        <v/>
      </c>
      <c r="S256" s="572" t="str">
        <f t="shared" si="260"/>
        <v/>
      </c>
      <c r="T256" s="579" t="str">
        <f t="shared" si="261"/>
        <v/>
      </c>
    </row>
    <row r="257" spans="2:20" x14ac:dyDescent="0.25">
      <c r="B257" s="650"/>
      <c r="C257" s="651"/>
      <c r="D257" s="652"/>
      <c r="E257" s="653"/>
      <c r="F257" s="651"/>
      <c r="G257" s="654"/>
      <c r="H257" s="653"/>
      <c r="I257" s="518"/>
      <c r="J257" s="817"/>
      <c r="K257" s="519"/>
      <c r="L257" s="162" t="str">
        <f t="shared" si="262"/>
        <v/>
      </c>
      <c r="M257" s="512" t="str">
        <f>Assy.Model!$M102</f>
        <v/>
      </c>
      <c r="N257" s="810" t="str">
        <f>Assy.Model!K102</f>
        <v/>
      </c>
      <c r="O257" s="575" t="str">
        <f t="shared" si="256"/>
        <v/>
      </c>
      <c r="P257" s="572" t="str">
        <f t="shared" si="257"/>
        <v/>
      </c>
      <c r="Q257" s="579" t="str">
        <f t="shared" si="258"/>
        <v/>
      </c>
      <c r="R257" s="580" t="str">
        <f t="shared" si="259"/>
        <v/>
      </c>
      <c r="S257" s="572" t="str">
        <f t="shared" si="260"/>
        <v/>
      </c>
      <c r="T257" s="579" t="str">
        <f t="shared" si="261"/>
        <v/>
      </c>
    </row>
    <row r="258" spans="2:20" x14ac:dyDescent="0.25">
      <c r="B258" s="650"/>
      <c r="C258" s="651"/>
      <c r="D258" s="652"/>
      <c r="E258" s="653"/>
      <c r="F258" s="651"/>
      <c r="G258" s="654"/>
      <c r="H258" s="653"/>
      <c r="I258" s="518"/>
      <c r="J258" s="817"/>
      <c r="K258" s="519"/>
      <c r="L258" s="162" t="str">
        <f t="shared" si="262"/>
        <v/>
      </c>
      <c r="M258" s="512" t="str">
        <f>Assy.Model!$M103</f>
        <v/>
      </c>
      <c r="N258" s="810" t="str">
        <f>Assy.Model!K103</f>
        <v/>
      </c>
      <c r="O258" s="575" t="str">
        <f t="shared" si="256"/>
        <v/>
      </c>
      <c r="P258" s="572" t="str">
        <f t="shared" si="257"/>
        <v/>
      </c>
      <c r="Q258" s="579" t="str">
        <f t="shared" si="258"/>
        <v/>
      </c>
      <c r="R258" s="580" t="str">
        <f t="shared" si="259"/>
        <v/>
      </c>
      <c r="S258" s="572" t="str">
        <f t="shared" si="260"/>
        <v/>
      </c>
      <c r="T258" s="579" t="str">
        <f t="shared" si="261"/>
        <v/>
      </c>
    </row>
    <row r="259" spans="2:20" x14ac:dyDescent="0.25">
      <c r="B259" s="650"/>
      <c r="C259" s="651"/>
      <c r="D259" s="652"/>
      <c r="E259" s="653"/>
      <c r="F259" s="651"/>
      <c r="G259" s="654"/>
      <c r="H259" s="653"/>
      <c r="I259" s="518"/>
      <c r="J259" s="817"/>
      <c r="K259" s="519"/>
      <c r="L259" s="162" t="str">
        <f t="shared" si="262"/>
        <v/>
      </c>
      <c r="M259" s="512" t="str">
        <f>Assy.Model!$M104</f>
        <v/>
      </c>
      <c r="N259" s="810" t="str">
        <f>Assy.Model!K104</f>
        <v/>
      </c>
      <c r="O259" s="575" t="str">
        <f t="shared" si="256"/>
        <v/>
      </c>
      <c r="P259" s="572" t="str">
        <f t="shared" si="257"/>
        <v/>
      </c>
      <c r="Q259" s="579" t="str">
        <f t="shared" si="258"/>
        <v/>
      </c>
      <c r="R259" s="580" t="str">
        <f t="shared" si="259"/>
        <v/>
      </c>
      <c r="S259" s="572" t="str">
        <f t="shared" si="260"/>
        <v/>
      </c>
      <c r="T259" s="579" t="str">
        <f t="shared" si="261"/>
        <v/>
      </c>
    </row>
    <row r="260" spans="2:20" x14ac:dyDescent="0.25">
      <c r="B260" s="650"/>
      <c r="C260" s="651"/>
      <c r="D260" s="652"/>
      <c r="E260" s="653"/>
      <c r="F260" s="651"/>
      <c r="G260" s="654"/>
      <c r="H260" s="653"/>
      <c r="I260" s="518"/>
      <c r="J260" s="817"/>
      <c r="K260" s="519"/>
      <c r="L260" s="162" t="str">
        <f t="shared" si="262"/>
        <v/>
      </c>
      <c r="M260" s="512" t="str">
        <f>Assy.Model!$M105</f>
        <v/>
      </c>
      <c r="N260" s="810" t="str">
        <f>Assy.Model!K105</f>
        <v/>
      </c>
      <c r="O260" s="575" t="str">
        <f t="shared" ref="O260:O291" si="263">IF(ISBLANK($J260),"",(($BM$3*$B260)+($BN$3*$C260)+($BO$3*$D260))+$BP$3)</f>
        <v/>
      </c>
      <c r="P260" s="572" t="str">
        <f t="shared" ref="P260:P291" si="264">IF(ISBLANK($J260),"",(($BM$4*$B260)+($BN$4*$C260)+($BO$4*$D260))+$BP$4)</f>
        <v/>
      </c>
      <c r="Q260" s="579" t="str">
        <f t="shared" ref="Q260:Q291" si="265">IF(ISBLANK($J260),"",(($BM$5*$B260)+($BN$5*$C260)+($BO$5*$D260))+$BP$5)</f>
        <v/>
      </c>
      <c r="R260" s="580" t="str">
        <f t="shared" ref="R260:R291" si="266">IF(ISBLANK($J260),"",(($BM$3*$E260)+($BN$3*$F260)+($BO$3*$G260)))</f>
        <v/>
      </c>
      <c r="S260" s="572" t="str">
        <f t="shared" ref="S260:S291" si="267">IF(ISBLANK($J260),"",(($BM$4*$E260)+($BN$4*$F260)+($BO$4*$G260)))</f>
        <v/>
      </c>
      <c r="T260" s="579" t="str">
        <f t="shared" ref="T260:T291" si="268">IF(ISBLANK($J260),"",(($BM$5*$E260)+($BN$5*$F260)+($BO$5*$G260)))</f>
        <v/>
      </c>
    </row>
    <row r="261" spans="2:20" x14ac:dyDescent="0.25">
      <c r="B261" s="650"/>
      <c r="C261" s="651"/>
      <c r="D261" s="652"/>
      <c r="E261" s="653"/>
      <c r="F261" s="651"/>
      <c r="G261" s="654"/>
      <c r="H261" s="653"/>
      <c r="I261" s="518"/>
      <c r="J261" s="817"/>
      <c r="K261" s="519"/>
      <c r="L261" s="162" t="str">
        <f t="shared" si="262"/>
        <v/>
      </c>
      <c r="M261" s="512" t="str">
        <f>Assy.Model!$M106</f>
        <v/>
      </c>
      <c r="N261" s="810" t="str">
        <f>Assy.Model!K106</f>
        <v/>
      </c>
      <c r="O261" s="575" t="str">
        <f t="shared" si="263"/>
        <v/>
      </c>
      <c r="P261" s="572" t="str">
        <f t="shared" si="264"/>
        <v/>
      </c>
      <c r="Q261" s="579" t="str">
        <f t="shared" si="265"/>
        <v/>
      </c>
      <c r="R261" s="580" t="str">
        <f t="shared" si="266"/>
        <v/>
      </c>
      <c r="S261" s="572" t="str">
        <f t="shared" si="267"/>
        <v/>
      </c>
      <c r="T261" s="579" t="str">
        <f t="shared" si="268"/>
        <v/>
      </c>
    </row>
    <row r="262" spans="2:20" x14ac:dyDescent="0.25">
      <c r="B262" s="650"/>
      <c r="C262" s="651"/>
      <c r="D262" s="652"/>
      <c r="E262" s="653"/>
      <c r="F262" s="651"/>
      <c r="G262" s="654"/>
      <c r="H262" s="653"/>
      <c r="I262" s="518"/>
      <c r="J262" s="817"/>
      <c r="K262" s="519"/>
      <c r="L262" s="162" t="str">
        <f t="shared" si="262"/>
        <v/>
      </c>
      <c r="M262" s="512" t="str">
        <f>Assy.Model!$M107</f>
        <v/>
      </c>
      <c r="N262" s="810" t="str">
        <f>Assy.Model!K107</f>
        <v/>
      </c>
      <c r="O262" s="575" t="str">
        <f t="shared" si="263"/>
        <v/>
      </c>
      <c r="P262" s="572" t="str">
        <f t="shared" si="264"/>
        <v/>
      </c>
      <c r="Q262" s="579" t="str">
        <f t="shared" si="265"/>
        <v/>
      </c>
      <c r="R262" s="580" t="str">
        <f t="shared" si="266"/>
        <v/>
      </c>
      <c r="S262" s="572" t="str">
        <f t="shared" si="267"/>
        <v/>
      </c>
      <c r="T262" s="579" t="str">
        <f t="shared" si="268"/>
        <v/>
      </c>
    </row>
    <row r="263" spans="2:20" x14ac:dyDescent="0.25">
      <c r="B263" s="650"/>
      <c r="C263" s="651"/>
      <c r="D263" s="652"/>
      <c r="E263" s="653"/>
      <c r="F263" s="651"/>
      <c r="G263" s="654"/>
      <c r="H263" s="653"/>
      <c r="I263" s="518"/>
      <c r="J263" s="817"/>
      <c r="K263" s="519"/>
      <c r="L263" s="162" t="str">
        <f t="shared" si="262"/>
        <v/>
      </c>
      <c r="M263" s="512" t="str">
        <f>Assy.Model!$M108</f>
        <v/>
      </c>
      <c r="N263" s="810" t="str">
        <f>Assy.Model!K108</f>
        <v/>
      </c>
      <c r="O263" s="575" t="str">
        <f t="shared" si="263"/>
        <v/>
      </c>
      <c r="P263" s="572" t="str">
        <f t="shared" si="264"/>
        <v/>
      </c>
      <c r="Q263" s="579" t="str">
        <f t="shared" si="265"/>
        <v/>
      </c>
      <c r="R263" s="580" t="str">
        <f t="shared" si="266"/>
        <v/>
      </c>
      <c r="S263" s="572" t="str">
        <f t="shared" si="267"/>
        <v/>
      </c>
      <c r="T263" s="579" t="str">
        <f t="shared" si="268"/>
        <v/>
      </c>
    </row>
    <row r="264" spans="2:20" x14ac:dyDescent="0.25">
      <c r="B264" s="650"/>
      <c r="C264" s="651"/>
      <c r="D264" s="652"/>
      <c r="E264" s="653"/>
      <c r="F264" s="651"/>
      <c r="G264" s="654"/>
      <c r="H264" s="653"/>
      <c r="I264" s="518"/>
      <c r="J264" s="817"/>
      <c r="K264" s="519"/>
      <c r="L264" s="162" t="str">
        <f t="shared" si="262"/>
        <v/>
      </c>
      <c r="M264" s="512" t="str">
        <f>Assy.Model!$M109</f>
        <v/>
      </c>
      <c r="N264" s="810" t="str">
        <f>Assy.Model!K109</f>
        <v/>
      </c>
      <c r="O264" s="575" t="str">
        <f t="shared" si="263"/>
        <v/>
      </c>
      <c r="P264" s="572" t="str">
        <f t="shared" si="264"/>
        <v/>
      </c>
      <c r="Q264" s="579" t="str">
        <f t="shared" si="265"/>
        <v/>
      </c>
      <c r="R264" s="580" t="str">
        <f t="shared" si="266"/>
        <v/>
      </c>
      <c r="S264" s="572" t="str">
        <f t="shared" si="267"/>
        <v/>
      </c>
      <c r="T264" s="579" t="str">
        <f t="shared" si="268"/>
        <v/>
      </c>
    </row>
    <row r="265" spans="2:20" x14ac:dyDescent="0.25">
      <c r="B265" s="650"/>
      <c r="C265" s="651"/>
      <c r="D265" s="652"/>
      <c r="E265" s="653"/>
      <c r="F265" s="651"/>
      <c r="G265" s="654"/>
      <c r="H265" s="653"/>
      <c r="I265" s="518"/>
      <c r="J265" s="817"/>
      <c r="K265" s="519"/>
      <c r="L265" s="162" t="str">
        <f t="shared" si="262"/>
        <v/>
      </c>
      <c r="M265" s="512" t="str">
        <f>Assy.Model!$M110</f>
        <v/>
      </c>
      <c r="N265" s="810" t="str">
        <f>Assy.Model!K110</f>
        <v/>
      </c>
      <c r="O265" s="575" t="str">
        <f t="shared" si="263"/>
        <v/>
      </c>
      <c r="P265" s="572" t="str">
        <f t="shared" si="264"/>
        <v/>
      </c>
      <c r="Q265" s="579" t="str">
        <f t="shared" si="265"/>
        <v/>
      </c>
      <c r="R265" s="580" t="str">
        <f t="shared" si="266"/>
        <v/>
      </c>
      <c r="S265" s="572" t="str">
        <f t="shared" si="267"/>
        <v/>
      </c>
      <c r="T265" s="579" t="str">
        <f t="shared" si="268"/>
        <v/>
      </c>
    </row>
    <row r="266" spans="2:20" x14ac:dyDescent="0.25">
      <c r="B266" s="650"/>
      <c r="C266" s="651"/>
      <c r="D266" s="652"/>
      <c r="E266" s="653"/>
      <c r="F266" s="651"/>
      <c r="G266" s="654"/>
      <c r="H266" s="653"/>
      <c r="I266" s="518"/>
      <c r="J266" s="817"/>
      <c r="K266" s="519"/>
      <c r="L266" s="162" t="str">
        <f t="shared" si="262"/>
        <v/>
      </c>
      <c r="M266" s="512" t="str">
        <f>Assy.Model!$M111</f>
        <v/>
      </c>
      <c r="N266" s="810" t="str">
        <f>Assy.Model!K111</f>
        <v/>
      </c>
      <c r="O266" s="575" t="str">
        <f t="shared" si="263"/>
        <v/>
      </c>
      <c r="P266" s="572" t="str">
        <f t="shared" si="264"/>
        <v/>
      </c>
      <c r="Q266" s="579" t="str">
        <f t="shared" si="265"/>
        <v/>
      </c>
      <c r="R266" s="580" t="str">
        <f t="shared" si="266"/>
        <v/>
      </c>
      <c r="S266" s="572" t="str">
        <f t="shared" si="267"/>
        <v/>
      </c>
      <c r="T266" s="579" t="str">
        <f t="shared" si="268"/>
        <v/>
      </c>
    </row>
    <row r="267" spans="2:20" x14ac:dyDescent="0.25">
      <c r="B267" s="650"/>
      <c r="C267" s="651"/>
      <c r="D267" s="652"/>
      <c r="E267" s="653"/>
      <c r="F267" s="651"/>
      <c r="G267" s="654"/>
      <c r="H267" s="653"/>
      <c r="I267" s="518"/>
      <c r="J267" s="817"/>
      <c r="K267" s="519"/>
      <c r="L267" s="162" t="str">
        <f t="shared" si="262"/>
        <v/>
      </c>
      <c r="M267" s="512" t="str">
        <f>Assy.Model!$M112</f>
        <v/>
      </c>
      <c r="N267" s="810" t="str">
        <f>Assy.Model!K112</f>
        <v/>
      </c>
      <c r="O267" s="575" t="str">
        <f t="shared" si="263"/>
        <v/>
      </c>
      <c r="P267" s="572" t="str">
        <f t="shared" si="264"/>
        <v/>
      </c>
      <c r="Q267" s="579" t="str">
        <f t="shared" si="265"/>
        <v/>
      </c>
      <c r="R267" s="580" t="str">
        <f t="shared" si="266"/>
        <v/>
      </c>
      <c r="S267" s="572" t="str">
        <f t="shared" si="267"/>
        <v/>
      </c>
      <c r="T267" s="579" t="str">
        <f t="shared" si="268"/>
        <v/>
      </c>
    </row>
    <row r="268" spans="2:20" x14ac:dyDescent="0.25">
      <c r="B268" s="650"/>
      <c r="C268" s="651"/>
      <c r="D268" s="652"/>
      <c r="E268" s="653"/>
      <c r="F268" s="651"/>
      <c r="G268" s="654"/>
      <c r="H268" s="653"/>
      <c r="I268" s="518"/>
      <c r="J268" s="817"/>
      <c r="K268" s="519"/>
      <c r="L268" s="162" t="str">
        <f t="shared" si="262"/>
        <v/>
      </c>
      <c r="M268" s="512" t="str">
        <f>Assy.Model!$M113</f>
        <v/>
      </c>
      <c r="N268" s="810" t="str">
        <f>Assy.Model!K113</f>
        <v/>
      </c>
      <c r="O268" s="575" t="str">
        <f t="shared" si="263"/>
        <v/>
      </c>
      <c r="P268" s="572" t="str">
        <f t="shared" si="264"/>
        <v/>
      </c>
      <c r="Q268" s="579" t="str">
        <f t="shared" si="265"/>
        <v/>
      </c>
      <c r="R268" s="580" t="str">
        <f t="shared" si="266"/>
        <v/>
      </c>
      <c r="S268" s="572" t="str">
        <f t="shared" si="267"/>
        <v/>
      </c>
      <c r="T268" s="579" t="str">
        <f t="shared" si="268"/>
        <v/>
      </c>
    </row>
    <row r="269" spans="2:20" x14ac:dyDescent="0.25">
      <c r="B269" s="650"/>
      <c r="C269" s="651"/>
      <c r="D269" s="652"/>
      <c r="E269" s="653"/>
      <c r="F269" s="651"/>
      <c r="G269" s="654"/>
      <c r="H269" s="653"/>
      <c r="I269" s="518"/>
      <c r="J269" s="817"/>
      <c r="K269" s="519"/>
      <c r="L269" s="162" t="str">
        <f t="shared" si="262"/>
        <v/>
      </c>
      <c r="M269" s="512" t="str">
        <f>Assy.Model!$M114</f>
        <v/>
      </c>
      <c r="N269" s="810" t="str">
        <f>Assy.Model!K114</f>
        <v/>
      </c>
      <c r="O269" s="575" t="str">
        <f t="shared" si="263"/>
        <v/>
      </c>
      <c r="P269" s="572" t="str">
        <f t="shared" si="264"/>
        <v/>
      </c>
      <c r="Q269" s="579" t="str">
        <f t="shared" si="265"/>
        <v/>
      </c>
      <c r="R269" s="580" t="str">
        <f t="shared" si="266"/>
        <v/>
      </c>
      <c r="S269" s="572" t="str">
        <f t="shared" si="267"/>
        <v/>
      </c>
      <c r="T269" s="579" t="str">
        <f t="shared" si="268"/>
        <v/>
      </c>
    </row>
    <row r="270" spans="2:20" x14ac:dyDescent="0.25">
      <c r="B270" s="650"/>
      <c r="C270" s="651"/>
      <c r="D270" s="652"/>
      <c r="E270" s="653"/>
      <c r="F270" s="651"/>
      <c r="G270" s="654"/>
      <c r="H270" s="653"/>
      <c r="I270" s="518"/>
      <c r="J270" s="817"/>
      <c r="K270" s="519"/>
      <c r="L270" s="162" t="str">
        <f t="shared" si="262"/>
        <v/>
      </c>
      <c r="M270" s="512" t="str">
        <f>Assy.Model!$M115</f>
        <v/>
      </c>
      <c r="N270" s="810" t="str">
        <f>Assy.Model!K115</f>
        <v/>
      </c>
      <c r="O270" s="575" t="str">
        <f t="shared" si="263"/>
        <v/>
      </c>
      <c r="P270" s="572" t="str">
        <f t="shared" si="264"/>
        <v/>
      </c>
      <c r="Q270" s="579" t="str">
        <f t="shared" si="265"/>
        <v/>
      </c>
      <c r="R270" s="580" t="str">
        <f t="shared" si="266"/>
        <v/>
      </c>
      <c r="S270" s="572" t="str">
        <f t="shared" si="267"/>
        <v/>
      </c>
      <c r="T270" s="579" t="str">
        <f t="shared" si="268"/>
        <v/>
      </c>
    </row>
    <row r="271" spans="2:20" x14ac:dyDescent="0.25">
      <c r="B271" s="650"/>
      <c r="C271" s="651"/>
      <c r="D271" s="652"/>
      <c r="E271" s="653"/>
      <c r="F271" s="651"/>
      <c r="G271" s="654"/>
      <c r="H271" s="653"/>
      <c r="I271" s="518"/>
      <c r="J271" s="817"/>
      <c r="K271" s="519"/>
      <c r="L271" s="162" t="str">
        <f t="shared" si="262"/>
        <v/>
      </c>
      <c r="M271" s="512" t="str">
        <f>Assy.Model!$M116</f>
        <v/>
      </c>
      <c r="N271" s="810" t="str">
        <f>Assy.Model!K116</f>
        <v/>
      </c>
      <c r="O271" s="575" t="str">
        <f t="shared" si="263"/>
        <v/>
      </c>
      <c r="P271" s="572" t="str">
        <f t="shared" si="264"/>
        <v/>
      </c>
      <c r="Q271" s="579" t="str">
        <f t="shared" si="265"/>
        <v/>
      </c>
      <c r="R271" s="580" t="str">
        <f t="shared" si="266"/>
        <v/>
      </c>
      <c r="S271" s="572" t="str">
        <f t="shared" si="267"/>
        <v/>
      </c>
      <c r="T271" s="579" t="str">
        <f t="shared" si="268"/>
        <v/>
      </c>
    </row>
    <row r="272" spans="2:20" x14ac:dyDescent="0.25">
      <c r="B272" s="650"/>
      <c r="C272" s="651"/>
      <c r="D272" s="652"/>
      <c r="E272" s="653"/>
      <c r="F272" s="651"/>
      <c r="G272" s="654"/>
      <c r="H272" s="653"/>
      <c r="I272" s="518"/>
      <c r="J272" s="817"/>
      <c r="K272" s="519"/>
      <c r="L272" s="162" t="str">
        <f t="shared" si="262"/>
        <v/>
      </c>
      <c r="M272" s="512" t="str">
        <f>Assy.Model!$M117</f>
        <v/>
      </c>
      <c r="N272" s="810" t="str">
        <f>Assy.Model!K117</f>
        <v/>
      </c>
      <c r="O272" s="575" t="str">
        <f t="shared" si="263"/>
        <v/>
      </c>
      <c r="P272" s="572" t="str">
        <f t="shared" si="264"/>
        <v/>
      </c>
      <c r="Q272" s="579" t="str">
        <f t="shared" si="265"/>
        <v/>
      </c>
      <c r="R272" s="580" t="str">
        <f t="shared" si="266"/>
        <v/>
      </c>
      <c r="S272" s="572" t="str">
        <f t="shared" si="267"/>
        <v/>
      </c>
      <c r="T272" s="579" t="str">
        <f t="shared" si="268"/>
        <v/>
      </c>
    </row>
    <row r="273" spans="2:20" x14ac:dyDescent="0.25">
      <c r="B273" s="650"/>
      <c r="C273" s="651"/>
      <c r="D273" s="652"/>
      <c r="E273" s="653"/>
      <c r="F273" s="651"/>
      <c r="G273" s="654"/>
      <c r="H273" s="653"/>
      <c r="I273" s="518"/>
      <c r="J273" s="817"/>
      <c r="K273" s="519"/>
      <c r="L273" s="162" t="str">
        <f t="shared" si="262"/>
        <v/>
      </c>
      <c r="M273" s="512" t="str">
        <f>Assy.Model!$M118</f>
        <v/>
      </c>
      <c r="N273" s="810" t="str">
        <f>Assy.Model!K118</f>
        <v/>
      </c>
      <c r="O273" s="575" t="str">
        <f t="shared" si="263"/>
        <v/>
      </c>
      <c r="P273" s="572" t="str">
        <f t="shared" si="264"/>
        <v/>
      </c>
      <c r="Q273" s="579" t="str">
        <f t="shared" si="265"/>
        <v/>
      </c>
      <c r="R273" s="580" t="str">
        <f t="shared" si="266"/>
        <v/>
      </c>
      <c r="S273" s="572" t="str">
        <f t="shared" si="267"/>
        <v/>
      </c>
      <c r="T273" s="579" t="str">
        <f t="shared" si="268"/>
        <v/>
      </c>
    </row>
    <row r="274" spans="2:20" x14ac:dyDescent="0.25">
      <c r="B274" s="650"/>
      <c r="C274" s="651"/>
      <c r="D274" s="652"/>
      <c r="E274" s="653"/>
      <c r="F274" s="651"/>
      <c r="G274" s="654"/>
      <c r="H274" s="653"/>
      <c r="I274" s="518"/>
      <c r="J274" s="817"/>
      <c r="K274" s="519"/>
      <c r="L274" s="162" t="str">
        <f t="shared" si="262"/>
        <v/>
      </c>
      <c r="M274" s="512" t="str">
        <f>Assy.Model!$M119</f>
        <v/>
      </c>
      <c r="N274" s="810" t="str">
        <f>Assy.Model!K119</f>
        <v/>
      </c>
      <c r="O274" s="575" t="str">
        <f t="shared" si="263"/>
        <v/>
      </c>
      <c r="P274" s="572" t="str">
        <f t="shared" si="264"/>
        <v/>
      </c>
      <c r="Q274" s="579" t="str">
        <f t="shared" si="265"/>
        <v/>
      </c>
      <c r="R274" s="580" t="str">
        <f t="shared" si="266"/>
        <v/>
      </c>
      <c r="S274" s="572" t="str">
        <f t="shared" si="267"/>
        <v/>
      </c>
      <c r="T274" s="579" t="str">
        <f t="shared" si="268"/>
        <v/>
      </c>
    </row>
    <row r="275" spans="2:20" x14ac:dyDescent="0.25">
      <c r="B275" s="650"/>
      <c r="C275" s="651"/>
      <c r="D275" s="652"/>
      <c r="E275" s="653"/>
      <c r="F275" s="651"/>
      <c r="G275" s="654"/>
      <c r="H275" s="653"/>
      <c r="I275" s="518"/>
      <c r="J275" s="817"/>
      <c r="K275" s="519"/>
      <c r="L275" s="162" t="str">
        <f t="shared" si="262"/>
        <v/>
      </c>
      <c r="M275" s="512" t="str">
        <f>Assy.Model!$M120</f>
        <v/>
      </c>
      <c r="N275" s="810" t="str">
        <f>Assy.Model!K120</f>
        <v/>
      </c>
      <c r="O275" s="575" t="str">
        <f t="shared" si="263"/>
        <v/>
      </c>
      <c r="P275" s="572" t="str">
        <f t="shared" si="264"/>
        <v/>
      </c>
      <c r="Q275" s="579" t="str">
        <f t="shared" si="265"/>
        <v/>
      </c>
      <c r="R275" s="580" t="str">
        <f t="shared" si="266"/>
        <v/>
      </c>
      <c r="S275" s="572" t="str">
        <f t="shared" si="267"/>
        <v/>
      </c>
      <c r="T275" s="579" t="str">
        <f t="shared" si="268"/>
        <v/>
      </c>
    </row>
    <row r="276" spans="2:20" x14ac:dyDescent="0.25">
      <c r="B276" s="650"/>
      <c r="C276" s="651"/>
      <c r="D276" s="652"/>
      <c r="E276" s="653"/>
      <c r="F276" s="651"/>
      <c r="G276" s="654"/>
      <c r="H276" s="653"/>
      <c r="I276" s="518"/>
      <c r="J276" s="817"/>
      <c r="K276" s="519"/>
      <c r="L276" s="162" t="str">
        <f t="shared" si="262"/>
        <v/>
      </c>
      <c r="M276" s="512" t="str">
        <f>Assy.Model!$M121</f>
        <v/>
      </c>
      <c r="N276" s="810" t="str">
        <f>Assy.Model!K121</f>
        <v/>
      </c>
      <c r="O276" s="575" t="str">
        <f t="shared" si="263"/>
        <v/>
      </c>
      <c r="P276" s="572" t="str">
        <f t="shared" si="264"/>
        <v/>
      </c>
      <c r="Q276" s="579" t="str">
        <f t="shared" si="265"/>
        <v/>
      </c>
      <c r="R276" s="580" t="str">
        <f t="shared" si="266"/>
        <v/>
      </c>
      <c r="S276" s="572" t="str">
        <f t="shared" si="267"/>
        <v/>
      </c>
      <c r="T276" s="579" t="str">
        <f t="shared" si="268"/>
        <v/>
      </c>
    </row>
    <row r="277" spans="2:20" x14ac:dyDescent="0.25">
      <c r="B277" s="650"/>
      <c r="C277" s="651"/>
      <c r="D277" s="652"/>
      <c r="E277" s="653"/>
      <c r="F277" s="651"/>
      <c r="G277" s="654"/>
      <c r="H277" s="653"/>
      <c r="I277" s="518"/>
      <c r="J277" s="817"/>
      <c r="K277" s="519"/>
      <c r="L277" s="162" t="str">
        <f t="shared" si="262"/>
        <v/>
      </c>
      <c r="M277" s="512" t="str">
        <f>Assy.Model!$M122</f>
        <v/>
      </c>
      <c r="N277" s="810" t="str">
        <f>Assy.Model!K122</f>
        <v/>
      </c>
      <c r="O277" s="575" t="str">
        <f t="shared" si="263"/>
        <v/>
      </c>
      <c r="P277" s="572" t="str">
        <f t="shared" si="264"/>
        <v/>
      </c>
      <c r="Q277" s="579" t="str">
        <f t="shared" si="265"/>
        <v/>
      </c>
      <c r="R277" s="580" t="str">
        <f t="shared" si="266"/>
        <v/>
      </c>
      <c r="S277" s="572" t="str">
        <f t="shared" si="267"/>
        <v/>
      </c>
      <c r="T277" s="579" t="str">
        <f t="shared" si="268"/>
        <v/>
      </c>
    </row>
    <row r="278" spans="2:20" x14ac:dyDescent="0.25">
      <c r="B278" s="650"/>
      <c r="C278" s="651"/>
      <c r="D278" s="652"/>
      <c r="E278" s="653"/>
      <c r="F278" s="651"/>
      <c r="G278" s="654"/>
      <c r="H278" s="653"/>
      <c r="I278" s="518"/>
      <c r="J278" s="817"/>
      <c r="K278" s="519"/>
      <c r="L278" s="162" t="str">
        <f t="shared" si="262"/>
        <v/>
      </c>
      <c r="M278" s="512" t="str">
        <f>Assy.Model!$M123</f>
        <v/>
      </c>
      <c r="N278" s="810" t="str">
        <f>Assy.Model!K123</f>
        <v/>
      </c>
      <c r="O278" s="575" t="str">
        <f t="shared" si="263"/>
        <v/>
      </c>
      <c r="P278" s="572" t="str">
        <f t="shared" si="264"/>
        <v/>
      </c>
      <c r="Q278" s="579" t="str">
        <f t="shared" si="265"/>
        <v/>
      </c>
      <c r="R278" s="580" t="str">
        <f t="shared" si="266"/>
        <v/>
      </c>
      <c r="S278" s="572" t="str">
        <f t="shared" si="267"/>
        <v/>
      </c>
      <c r="T278" s="579" t="str">
        <f t="shared" si="268"/>
        <v/>
      </c>
    </row>
    <row r="279" spans="2:20" x14ac:dyDescent="0.25">
      <c r="B279" s="650"/>
      <c r="C279" s="651"/>
      <c r="D279" s="652"/>
      <c r="E279" s="653"/>
      <c r="F279" s="651"/>
      <c r="G279" s="654"/>
      <c r="H279" s="653"/>
      <c r="I279" s="518"/>
      <c r="J279" s="817"/>
      <c r="K279" s="519"/>
      <c r="L279" s="162" t="str">
        <f t="shared" si="262"/>
        <v/>
      </c>
      <c r="M279" s="512" t="str">
        <f>Assy.Model!$M124</f>
        <v/>
      </c>
      <c r="N279" s="810" t="str">
        <f>Assy.Model!K124</f>
        <v/>
      </c>
      <c r="O279" s="575" t="str">
        <f t="shared" si="263"/>
        <v/>
      </c>
      <c r="P279" s="572" t="str">
        <f t="shared" si="264"/>
        <v/>
      </c>
      <c r="Q279" s="579" t="str">
        <f t="shared" si="265"/>
        <v/>
      </c>
      <c r="R279" s="580" t="str">
        <f t="shared" si="266"/>
        <v/>
      </c>
      <c r="S279" s="572" t="str">
        <f t="shared" si="267"/>
        <v/>
      </c>
      <c r="T279" s="579" t="str">
        <f t="shared" si="268"/>
        <v/>
      </c>
    </row>
    <row r="280" spans="2:20" x14ac:dyDescent="0.25">
      <c r="B280" s="650"/>
      <c r="C280" s="651"/>
      <c r="D280" s="652"/>
      <c r="E280" s="653"/>
      <c r="F280" s="651"/>
      <c r="G280" s="654"/>
      <c r="H280" s="653"/>
      <c r="I280" s="518"/>
      <c r="J280" s="817"/>
      <c r="K280" s="519"/>
      <c r="L280" s="162" t="str">
        <f t="shared" si="262"/>
        <v/>
      </c>
      <c r="M280" s="512" t="str">
        <f>Assy.Model!$M125</f>
        <v/>
      </c>
      <c r="N280" s="810" t="str">
        <f>Assy.Model!K125</f>
        <v/>
      </c>
      <c r="O280" s="575" t="str">
        <f t="shared" si="263"/>
        <v/>
      </c>
      <c r="P280" s="572" t="str">
        <f t="shared" si="264"/>
        <v/>
      </c>
      <c r="Q280" s="579" t="str">
        <f t="shared" si="265"/>
        <v/>
      </c>
      <c r="R280" s="580" t="str">
        <f t="shared" si="266"/>
        <v/>
      </c>
      <c r="S280" s="572" t="str">
        <f t="shared" si="267"/>
        <v/>
      </c>
      <c r="T280" s="579" t="str">
        <f t="shared" si="268"/>
        <v/>
      </c>
    </row>
    <row r="281" spans="2:20" x14ac:dyDescent="0.25">
      <c r="B281" s="650"/>
      <c r="C281" s="651"/>
      <c r="D281" s="652"/>
      <c r="E281" s="653"/>
      <c r="F281" s="651"/>
      <c r="G281" s="654"/>
      <c r="H281" s="653"/>
      <c r="I281" s="518"/>
      <c r="J281" s="817"/>
      <c r="K281" s="519"/>
      <c r="L281" s="162" t="str">
        <f t="shared" si="262"/>
        <v/>
      </c>
      <c r="M281" s="512" t="str">
        <f>Assy.Model!$M126</f>
        <v/>
      </c>
      <c r="N281" s="810" t="str">
        <f>Assy.Model!K126</f>
        <v/>
      </c>
      <c r="O281" s="575" t="str">
        <f t="shared" si="263"/>
        <v/>
      </c>
      <c r="P281" s="572" t="str">
        <f t="shared" si="264"/>
        <v/>
      </c>
      <c r="Q281" s="579" t="str">
        <f t="shared" si="265"/>
        <v/>
      </c>
      <c r="R281" s="580" t="str">
        <f t="shared" si="266"/>
        <v/>
      </c>
      <c r="S281" s="572" t="str">
        <f t="shared" si="267"/>
        <v/>
      </c>
      <c r="T281" s="579" t="str">
        <f t="shared" si="268"/>
        <v/>
      </c>
    </row>
    <row r="282" spans="2:20" x14ac:dyDescent="0.25">
      <c r="B282" s="650"/>
      <c r="C282" s="651"/>
      <c r="D282" s="652"/>
      <c r="E282" s="653"/>
      <c r="F282" s="651"/>
      <c r="G282" s="654"/>
      <c r="H282" s="653"/>
      <c r="I282" s="518"/>
      <c r="J282" s="817"/>
      <c r="K282" s="519"/>
      <c r="L282" s="162" t="str">
        <f t="shared" si="262"/>
        <v/>
      </c>
      <c r="M282" s="512" t="str">
        <f>Assy.Model!$M127</f>
        <v/>
      </c>
      <c r="N282" s="810" t="str">
        <f>Assy.Model!K127</f>
        <v/>
      </c>
      <c r="O282" s="575" t="str">
        <f t="shared" si="263"/>
        <v/>
      </c>
      <c r="P282" s="572" t="str">
        <f t="shared" si="264"/>
        <v/>
      </c>
      <c r="Q282" s="579" t="str">
        <f t="shared" si="265"/>
        <v/>
      </c>
      <c r="R282" s="580" t="str">
        <f t="shared" si="266"/>
        <v/>
      </c>
      <c r="S282" s="572" t="str">
        <f t="shared" si="267"/>
        <v/>
      </c>
      <c r="T282" s="579" t="str">
        <f t="shared" si="268"/>
        <v/>
      </c>
    </row>
    <row r="283" spans="2:20" x14ac:dyDescent="0.25">
      <c r="B283" s="650"/>
      <c r="C283" s="651"/>
      <c r="D283" s="652"/>
      <c r="E283" s="653"/>
      <c r="F283" s="651"/>
      <c r="G283" s="654"/>
      <c r="H283" s="653"/>
      <c r="I283" s="518"/>
      <c r="J283" s="817"/>
      <c r="K283" s="519"/>
      <c r="L283" s="162" t="str">
        <f t="shared" si="262"/>
        <v/>
      </c>
      <c r="M283" s="512" t="str">
        <f>Assy.Model!$M128</f>
        <v/>
      </c>
      <c r="N283" s="810" t="str">
        <f>Assy.Model!K128</f>
        <v/>
      </c>
      <c r="O283" s="575" t="str">
        <f t="shared" si="263"/>
        <v/>
      </c>
      <c r="P283" s="572" t="str">
        <f t="shared" si="264"/>
        <v/>
      </c>
      <c r="Q283" s="579" t="str">
        <f t="shared" si="265"/>
        <v/>
      </c>
      <c r="R283" s="580" t="str">
        <f t="shared" si="266"/>
        <v/>
      </c>
      <c r="S283" s="572" t="str">
        <f t="shared" si="267"/>
        <v/>
      </c>
      <c r="T283" s="579" t="str">
        <f t="shared" si="268"/>
        <v/>
      </c>
    </row>
    <row r="284" spans="2:20" x14ac:dyDescent="0.25">
      <c r="B284" s="650"/>
      <c r="C284" s="651"/>
      <c r="D284" s="652"/>
      <c r="E284" s="653"/>
      <c r="F284" s="651"/>
      <c r="G284" s="654"/>
      <c r="H284" s="653"/>
      <c r="I284" s="518"/>
      <c r="J284" s="817"/>
      <c r="K284" s="519"/>
      <c r="L284" s="162" t="str">
        <f t="shared" si="262"/>
        <v/>
      </c>
      <c r="M284" s="512" t="str">
        <f>Assy.Model!$M129</f>
        <v/>
      </c>
      <c r="N284" s="810" t="str">
        <f>Assy.Model!K129</f>
        <v/>
      </c>
      <c r="O284" s="575" t="str">
        <f t="shared" si="263"/>
        <v/>
      </c>
      <c r="P284" s="572" t="str">
        <f t="shared" si="264"/>
        <v/>
      </c>
      <c r="Q284" s="579" t="str">
        <f t="shared" si="265"/>
        <v/>
      </c>
      <c r="R284" s="580" t="str">
        <f t="shared" si="266"/>
        <v/>
      </c>
      <c r="S284" s="572" t="str">
        <f t="shared" si="267"/>
        <v/>
      </c>
      <c r="T284" s="579" t="str">
        <f t="shared" si="268"/>
        <v/>
      </c>
    </row>
    <row r="285" spans="2:20" x14ac:dyDescent="0.25">
      <c r="B285" s="655"/>
      <c r="C285" s="656"/>
      <c r="D285" s="657"/>
      <c r="E285" s="658"/>
      <c r="F285" s="656"/>
      <c r="G285" s="659"/>
      <c r="H285" s="658"/>
      <c r="I285" s="520"/>
      <c r="J285" s="818"/>
      <c r="K285" s="521"/>
      <c r="L285" s="162" t="str">
        <f t="shared" si="262"/>
        <v/>
      </c>
      <c r="M285" s="513" t="str">
        <f>Assy.Model!$M130</f>
        <v/>
      </c>
      <c r="N285" s="810" t="str">
        <f>Assy.Model!K130</f>
        <v/>
      </c>
      <c r="O285" s="581" t="str">
        <f t="shared" si="263"/>
        <v/>
      </c>
      <c r="P285" s="582" t="str">
        <f t="shared" si="264"/>
        <v/>
      </c>
      <c r="Q285" s="586" t="str">
        <f t="shared" si="265"/>
        <v/>
      </c>
      <c r="R285" s="588" t="str">
        <f t="shared" si="266"/>
        <v/>
      </c>
      <c r="S285" s="582" t="str">
        <f t="shared" si="267"/>
        <v/>
      </c>
      <c r="T285" s="586" t="str">
        <f t="shared" si="268"/>
        <v/>
      </c>
    </row>
    <row r="286" spans="2:20" x14ac:dyDescent="0.25">
      <c r="B286" s="655"/>
      <c r="C286" s="656"/>
      <c r="D286" s="657"/>
      <c r="E286" s="658"/>
      <c r="F286" s="656"/>
      <c r="G286" s="659"/>
      <c r="H286" s="658"/>
      <c r="I286" s="520"/>
      <c r="J286" s="818"/>
      <c r="K286" s="521"/>
      <c r="L286" s="162" t="str">
        <f t="shared" si="262"/>
        <v/>
      </c>
      <c r="M286" s="513" t="str">
        <f>Assy.Model!$M131</f>
        <v/>
      </c>
      <c r="N286" s="810" t="str">
        <f>Assy.Model!K131</f>
        <v/>
      </c>
      <c r="O286" s="581" t="str">
        <f t="shared" si="263"/>
        <v/>
      </c>
      <c r="P286" s="582" t="str">
        <f t="shared" si="264"/>
        <v/>
      </c>
      <c r="Q286" s="586" t="str">
        <f t="shared" si="265"/>
        <v/>
      </c>
      <c r="R286" s="588" t="str">
        <f t="shared" si="266"/>
        <v/>
      </c>
      <c r="S286" s="582" t="str">
        <f t="shared" si="267"/>
        <v/>
      </c>
      <c r="T286" s="586" t="str">
        <f t="shared" si="268"/>
        <v/>
      </c>
    </row>
    <row r="287" spans="2:20" x14ac:dyDescent="0.25">
      <c r="B287" s="655"/>
      <c r="C287" s="656"/>
      <c r="D287" s="657"/>
      <c r="E287" s="658"/>
      <c r="F287" s="656"/>
      <c r="G287" s="659"/>
      <c r="H287" s="658"/>
      <c r="I287" s="520"/>
      <c r="J287" s="818"/>
      <c r="K287" s="521"/>
      <c r="L287" s="162" t="str">
        <f t="shared" si="262"/>
        <v/>
      </c>
      <c r="M287" s="513" t="str">
        <f>Assy.Model!$M132</f>
        <v/>
      </c>
      <c r="N287" s="810" t="str">
        <f>Assy.Model!K132</f>
        <v/>
      </c>
      <c r="O287" s="581" t="str">
        <f t="shared" si="263"/>
        <v/>
      </c>
      <c r="P287" s="582" t="str">
        <f t="shared" si="264"/>
        <v/>
      </c>
      <c r="Q287" s="586" t="str">
        <f t="shared" si="265"/>
        <v/>
      </c>
      <c r="R287" s="588" t="str">
        <f t="shared" si="266"/>
        <v/>
      </c>
      <c r="S287" s="582" t="str">
        <f t="shared" si="267"/>
        <v/>
      </c>
      <c r="T287" s="586" t="str">
        <f t="shared" si="268"/>
        <v/>
      </c>
    </row>
    <row r="288" spans="2:20" x14ac:dyDescent="0.25">
      <c r="B288" s="655"/>
      <c r="C288" s="656"/>
      <c r="D288" s="657"/>
      <c r="E288" s="658"/>
      <c r="F288" s="656"/>
      <c r="G288" s="659"/>
      <c r="H288" s="658"/>
      <c r="I288" s="520"/>
      <c r="J288" s="818"/>
      <c r="K288" s="521"/>
      <c r="L288" s="162" t="str">
        <f t="shared" si="262"/>
        <v/>
      </c>
      <c r="M288" s="513" t="str">
        <f>Assy.Model!$M133</f>
        <v/>
      </c>
      <c r="N288" s="810" t="str">
        <f>Assy.Model!K133</f>
        <v/>
      </c>
      <c r="O288" s="581" t="str">
        <f t="shared" si="263"/>
        <v/>
      </c>
      <c r="P288" s="582" t="str">
        <f t="shared" si="264"/>
        <v/>
      </c>
      <c r="Q288" s="586" t="str">
        <f t="shared" si="265"/>
        <v/>
      </c>
      <c r="R288" s="588" t="str">
        <f t="shared" si="266"/>
        <v/>
      </c>
      <c r="S288" s="582" t="str">
        <f t="shared" si="267"/>
        <v/>
      </c>
      <c r="T288" s="586" t="str">
        <f t="shared" si="268"/>
        <v/>
      </c>
    </row>
    <row r="289" spans="2:20" x14ac:dyDescent="0.25">
      <c r="B289" s="655"/>
      <c r="C289" s="656"/>
      <c r="D289" s="657"/>
      <c r="E289" s="658"/>
      <c r="F289" s="656"/>
      <c r="G289" s="659"/>
      <c r="H289" s="658"/>
      <c r="I289" s="520"/>
      <c r="J289" s="818"/>
      <c r="K289" s="521"/>
      <c r="L289" s="162" t="str">
        <f t="shared" si="262"/>
        <v/>
      </c>
      <c r="M289" s="513" t="str">
        <f>Assy.Model!$M134</f>
        <v/>
      </c>
      <c r="N289" s="810" t="str">
        <f>Assy.Model!K134</f>
        <v/>
      </c>
      <c r="O289" s="581" t="str">
        <f t="shared" si="263"/>
        <v/>
      </c>
      <c r="P289" s="582" t="str">
        <f t="shared" si="264"/>
        <v/>
      </c>
      <c r="Q289" s="586" t="str">
        <f t="shared" si="265"/>
        <v/>
      </c>
      <c r="R289" s="588" t="str">
        <f t="shared" si="266"/>
        <v/>
      </c>
      <c r="S289" s="582" t="str">
        <f t="shared" si="267"/>
        <v/>
      </c>
      <c r="T289" s="586" t="str">
        <f t="shared" si="268"/>
        <v/>
      </c>
    </row>
    <row r="290" spans="2:20" x14ac:dyDescent="0.25">
      <c r="B290" s="655"/>
      <c r="C290" s="656"/>
      <c r="D290" s="657"/>
      <c r="E290" s="658"/>
      <c r="F290" s="656"/>
      <c r="G290" s="659"/>
      <c r="H290" s="658"/>
      <c r="I290" s="520"/>
      <c r="J290" s="818"/>
      <c r="K290" s="521"/>
      <c r="L290" s="162" t="str">
        <f t="shared" si="262"/>
        <v/>
      </c>
      <c r="M290" s="513" t="str">
        <f>Assy.Model!$M135</f>
        <v/>
      </c>
      <c r="N290" s="810" t="str">
        <f>Assy.Model!K135</f>
        <v/>
      </c>
      <c r="O290" s="581" t="str">
        <f t="shared" si="263"/>
        <v/>
      </c>
      <c r="P290" s="582" t="str">
        <f t="shared" si="264"/>
        <v/>
      </c>
      <c r="Q290" s="586" t="str">
        <f t="shared" si="265"/>
        <v/>
      </c>
      <c r="R290" s="588" t="str">
        <f t="shared" si="266"/>
        <v/>
      </c>
      <c r="S290" s="582" t="str">
        <f t="shared" si="267"/>
        <v/>
      </c>
      <c r="T290" s="586" t="str">
        <f t="shared" si="268"/>
        <v/>
      </c>
    </row>
    <row r="291" spans="2:20" x14ac:dyDescent="0.25">
      <c r="B291" s="655"/>
      <c r="C291" s="656"/>
      <c r="D291" s="657"/>
      <c r="E291" s="658"/>
      <c r="F291" s="656"/>
      <c r="G291" s="659"/>
      <c r="H291" s="658"/>
      <c r="I291" s="520"/>
      <c r="J291" s="818"/>
      <c r="K291" s="521"/>
      <c r="L291" s="162" t="str">
        <f t="shared" si="262"/>
        <v/>
      </c>
      <c r="M291" s="513" t="str">
        <f>Assy.Model!$M136</f>
        <v/>
      </c>
      <c r="N291" s="810" t="str">
        <f>Assy.Model!K136</f>
        <v/>
      </c>
      <c r="O291" s="581" t="str">
        <f t="shared" si="263"/>
        <v/>
      </c>
      <c r="P291" s="582" t="str">
        <f t="shared" si="264"/>
        <v/>
      </c>
      <c r="Q291" s="586" t="str">
        <f t="shared" si="265"/>
        <v/>
      </c>
      <c r="R291" s="588" t="str">
        <f t="shared" si="266"/>
        <v/>
      </c>
      <c r="S291" s="582" t="str">
        <f t="shared" si="267"/>
        <v/>
      </c>
      <c r="T291" s="586" t="str">
        <f t="shared" si="268"/>
        <v/>
      </c>
    </row>
    <row r="292" spans="2:20" x14ac:dyDescent="0.25">
      <c r="B292" s="655"/>
      <c r="C292" s="656"/>
      <c r="D292" s="657"/>
      <c r="E292" s="658"/>
      <c r="F292" s="656"/>
      <c r="G292" s="659"/>
      <c r="H292" s="658"/>
      <c r="I292" s="520"/>
      <c r="J292" s="818"/>
      <c r="K292" s="521"/>
      <c r="L292" s="162" t="str">
        <f t="shared" si="262"/>
        <v/>
      </c>
      <c r="M292" s="513" t="str">
        <f>Assy.Model!$M137</f>
        <v/>
      </c>
      <c r="N292" s="810" t="str">
        <f>Assy.Model!K137</f>
        <v/>
      </c>
      <c r="O292" s="581" t="str">
        <f t="shared" ref="O292:O305" si="269">IF(ISBLANK($J292),"",(($BM$3*$B292)+($BN$3*$C292)+($BO$3*$D292))+$BP$3)</f>
        <v/>
      </c>
      <c r="P292" s="582" t="str">
        <f t="shared" ref="P292:P305" si="270">IF(ISBLANK($J292),"",(($BM$4*$B292)+($BN$4*$C292)+($BO$4*$D292))+$BP$4)</f>
        <v/>
      </c>
      <c r="Q292" s="586" t="str">
        <f t="shared" ref="Q292:Q305" si="271">IF(ISBLANK($J292),"",(($BM$5*$B292)+($BN$5*$C292)+($BO$5*$D292))+$BP$5)</f>
        <v/>
      </c>
      <c r="R292" s="588" t="str">
        <f t="shared" ref="R292:R305" si="272">IF(ISBLANK($J292),"",(($BM$3*$E292)+($BN$3*$F292)+($BO$3*$G292)))</f>
        <v/>
      </c>
      <c r="S292" s="582" t="str">
        <f t="shared" ref="S292:S305" si="273">IF(ISBLANK($J292),"",(($BM$4*$E292)+($BN$4*$F292)+($BO$4*$G292)))</f>
        <v/>
      </c>
      <c r="T292" s="586" t="str">
        <f t="shared" ref="T292:T305" si="274">IF(ISBLANK($J292),"",(($BM$5*$E292)+($BN$5*$F292)+($BO$5*$G292)))</f>
        <v/>
      </c>
    </row>
    <row r="293" spans="2:20" x14ac:dyDescent="0.25">
      <c r="B293" s="655"/>
      <c r="C293" s="656"/>
      <c r="D293" s="657"/>
      <c r="E293" s="658"/>
      <c r="F293" s="656"/>
      <c r="G293" s="659"/>
      <c r="H293" s="658"/>
      <c r="I293" s="520"/>
      <c r="J293" s="818"/>
      <c r="K293" s="521"/>
      <c r="L293" s="162" t="str">
        <f t="shared" si="262"/>
        <v/>
      </c>
      <c r="M293" s="513" t="str">
        <f>Assy.Model!$M138</f>
        <v/>
      </c>
      <c r="N293" s="810" t="str">
        <f>Assy.Model!K138</f>
        <v/>
      </c>
      <c r="O293" s="581" t="str">
        <f t="shared" si="269"/>
        <v/>
      </c>
      <c r="P293" s="582" t="str">
        <f t="shared" si="270"/>
        <v/>
      </c>
      <c r="Q293" s="586" t="str">
        <f t="shared" si="271"/>
        <v/>
      </c>
      <c r="R293" s="588" t="str">
        <f t="shared" si="272"/>
        <v/>
      </c>
      <c r="S293" s="582" t="str">
        <f t="shared" si="273"/>
        <v/>
      </c>
      <c r="T293" s="586" t="str">
        <f t="shared" si="274"/>
        <v/>
      </c>
    </row>
    <row r="294" spans="2:20" x14ac:dyDescent="0.25">
      <c r="B294" s="655"/>
      <c r="C294" s="656"/>
      <c r="D294" s="657"/>
      <c r="E294" s="658"/>
      <c r="F294" s="656"/>
      <c r="G294" s="659"/>
      <c r="H294" s="658"/>
      <c r="I294" s="520"/>
      <c r="J294" s="818"/>
      <c r="K294" s="521"/>
      <c r="L294" s="162" t="str">
        <f t="shared" si="262"/>
        <v/>
      </c>
      <c r="M294" s="513" t="str">
        <f>Assy.Model!$M139</f>
        <v/>
      </c>
      <c r="N294" s="810" t="str">
        <f>Assy.Model!K139</f>
        <v/>
      </c>
      <c r="O294" s="581" t="str">
        <f t="shared" si="269"/>
        <v/>
      </c>
      <c r="P294" s="582" t="str">
        <f t="shared" si="270"/>
        <v/>
      </c>
      <c r="Q294" s="586" t="str">
        <f t="shared" si="271"/>
        <v/>
      </c>
      <c r="R294" s="588" t="str">
        <f t="shared" si="272"/>
        <v/>
      </c>
      <c r="S294" s="582" t="str">
        <f t="shared" si="273"/>
        <v/>
      </c>
      <c r="T294" s="586" t="str">
        <f t="shared" si="274"/>
        <v/>
      </c>
    </row>
    <row r="295" spans="2:20" x14ac:dyDescent="0.25">
      <c r="B295" s="655"/>
      <c r="C295" s="656"/>
      <c r="D295" s="657"/>
      <c r="E295" s="658"/>
      <c r="F295" s="656"/>
      <c r="G295" s="659"/>
      <c r="H295" s="658"/>
      <c r="I295" s="520"/>
      <c r="J295" s="818"/>
      <c r="K295" s="521"/>
      <c r="L295" s="162" t="str">
        <f t="shared" si="262"/>
        <v/>
      </c>
      <c r="M295" s="513" t="str">
        <f>Assy.Model!$M140</f>
        <v/>
      </c>
      <c r="N295" s="810" t="str">
        <f>Assy.Model!K140</f>
        <v/>
      </c>
      <c r="O295" s="581" t="str">
        <f t="shared" si="269"/>
        <v/>
      </c>
      <c r="P295" s="582" t="str">
        <f t="shared" si="270"/>
        <v/>
      </c>
      <c r="Q295" s="586" t="str">
        <f t="shared" si="271"/>
        <v/>
      </c>
      <c r="R295" s="588" t="str">
        <f t="shared" si="272"/>
        <v/>
      </c>
      <c r="S295" s="582" t="str">
        <f t="shared" si="273"/>
        <v/>
      </c>
      <c r="T295" s="586" t="str">
        <f t="shared" si="274"/>
        <v/>
      </c>
    </row>
    <row r="296" spans="2:20" x14ac:dyDescent="0.25">
      <c r="B296" s="655"/>
      <c r="C296" s="656"/>
      <c r="D296" s="657"/>
      <c r="E296" s="658"/>
      <c r="F296" s="656"/>
      <c r="G296" s="659"/>
      <c r="H296" s="658"/>
      <c r="I296" s="520"/>
      <c r="J296" s="818"/>
      <c r="K296" s="521"/>
      <c r="L296" s="162" t="str">
        <f t="shared" si="262"/>
        <v/>
      </c>
      <c r="M296" s="513" t="str">
        <f>Assy.Model!$M141</f>
        <v/>
      </c>
      <c r="N296" s="810" t="str">
        <f>Assy.Model!K141</f>
        <v/>
      </c>
      <c r="O296" s="581" t="str">
        <f t="shared" si="269"/>
        <v/>
      </c>
      <c r="P296" s="582" t="str">
        <f t="shared" si="270"/>
        <v/>
      </c>
      <c r="Q296" s="586" t="str">
        <f t="shared" si="271"/>
        <v/>
      </c>
      <c r="R296" s="588" t="str">
        <f t="shared" si="272"/>
        <v/>
      </c>
      <c r="S296" s="582" t="str">
        <f t="shared" si="273"/>
        <v/>
      </c>
      <c r="T296" s="586" t="str">
        <f t="shared" si="274"/>
        <v/>
      </c>
    </row>
    <row r="297" spans="2:20" x14ac:dyDescent="0.25">
      <c r="B297" s="655"/>
      <c r="C297" s="656"/>
      <c r="D297" s="657"/>
      <c r="E297" s="658"/>
      <c r="F297" s="656"/>
      <c r="G297" s="659"/>
      <c r="H297" s="658"/>
      <c r="I297" s="520"/>
      <c r="J297" s="818"/>
      <c r="K297" s="521"/>
      <c r="L297" s="162" t="str">
        <f t="shared" si="262"/>
        <v/>
      </c>
      <c r="M297" s="513" t="str">
        <f>Assy.Model!$M142</f>
        <v/>
      </c>
      <c r="N297" s="810" t="str">
        <f>Assy.Model!K142</f>
        <v/>
      </c>
      <c r="O297" s="581" t="str">
        <f t="shared" si="269"/>
        <v/>
      </c>
      <c r="P297" s="582" t="str">
        <f t="shared" si="270"/>
        <v/>
      </c>
      <c r="Q297" s="586" t="str">
        <f t="shared" si="271"/>
        <v/>
      </c>
      <c r="R297" s="588" t="str">
        <f t="shared" si="272"/>
        <v/>
      </c>
      <c r="S297" s="582" t="str">
        <f t="shared" si="273"/>
        <v/>
      </c>
      <c r="T297" s="586" t="str">
        <f t="shared" si="274"/>
        <v/>
      </c>
    </row>
    <row r="298" spans="2:20" x14ac:dyDescent="0.25">
      <c r="B298" s="655"/>
      <c r="C298" s="656"/>
      <c r="D298" s="657"/>
      <c r="E298" s="658"/>
      <c r="F298" s="656"/>
      <c r="G298" s="659"/>
      <c r="H298" s="658"/>
      <c r="I298" s="520"/>
      <c r="J298" s="818"/>
      <c r="K298" s="521"/>
      <c r="L298" s="162" t="str">
        <f t="shared" si="262"/>
        <v/>
      </c>
      <c r="M298" s="513" t="str">
        <f>Assy.Model!$M143</f>
        <v/>
      </c>
      <c r="N298" s="810" t="str">
        <f>Assy.Model!K143</f>
        <v/>
      </c>
      <c r="O298" s="581" t="str">
        <f t="shared" si="269"/>
        <v/>
      </c>
      <c r="P298" s="582" t="str">
        <f t="shared" si="270"/>
        <v/>
      </c>
      <c r="Q298" s="586" t="str">
        <f t="shared" si="271"/>
        <v/>
      </c>
      <c r="R298" s="588" t="str">
        <f t="shared" si="272"/>
        <v/>
      </c>
      <c r="S298" s="582" t="str">
        <f t="shared" si="273"/>
        <v/>
      </c>
      <c r="T298" s="586" t="str">
        <f t="shared" si="274"/>
        <v/>
      </c>
    </row>
    <row r="299" spans="2:20" x14ac:dyDescent="0.25">
      <c r="B299" s="655"/>
      <c r="C299" s="656"/>
      <c r="D299" s="657"/>
      <c r="E299" s="658"/>
      <c r="F299" s="656"/>
      <c r="G299" s="659"/>
      <c r="H299" s="658"/>
      <c r="I299" s="520"/>
      <c r="J299" s="818"/>
      <c r="K299" s="521"/>
      <c r="L299" s="162" t="str">
        <f t="shared" si="262"/>
        <v/>
      </c>
      <c r="M299" s="513" t="str">
        <f>Assy.Model!$M144</f>
        <v/>
      </c>
      <c r="N299" s="810" t="str">
        <f>Assy.Model!K144</f>
        <v/>
      </c>
      <c r="O299" s="581" t="str">
        <f t="shared" si="269"/>
        <v/>
      </c>
      <c r="P299" s="582" t="str">
        <f t="shared" si="270"/>
        <v/>
      </c>
      <c r="Q299" s="586" t="str">
        <f t="shared" si="271"/>
        <v/>
      </c>
      <c r="R299" s="588" t="str">
        <f t="shared" si="272"/>
        <v/>
      </c>
      <c r="S299" s="582" t="str">
        <f t="shared" si="273"/>
        <v/>
      </c>
      <c r="T299" s="586" t="str">
        <f t="shared" si="274"/>
        <v/>
      </c>
    </row>
    <row r="300" spans="2:20" x14ac:dyDescent="0.25">
      <c r="B300" s="655"/>
      <c r="C300" s="656"/>
      <c r="D300" s="657"/>
      <c r="E300" s="658"/>
      <c r="F300" s="656"/>
      <c r="G300" s="659"/>
      <c r="H300" s="658"/>
      <c r="I300" s="520"/>
      <c r="J300" s="818"/>
      <c r="K300" s="521"/>
      <c r="L300" s="162" t="str">
        <f t="shared" si="262"/>
        <v/>
      </c>
      <c r="M300" s="513" t="str">
        <f>Assy.Model!$M145</f>
        <v/>
      </c>
      <c r="N300" s="810" t="str">
        <f>Assy.Model!K145</f>
        <v/>
      </c>
      <c r="O300" s="581" t="str">
        <f t="shared" si="269"/>
        <v/>
      </c>
      <c r="P300" s="582" t="str">
        <f t="shared" si="270"/>
        <v/>
      </c>
      <c r="Q300" s="586" t="str">
        <f t="shared" si="271"/>
        <v/>
      </c>
      <c r="R300" s="588" t="str">
        <f t="shared" si="272"/>
        <v/>
      </c>
      <c r="S300" s="582" t="str">
        <f t="shared" si="273"/>
        <v/>
      </c>
      <c r="T300" s="586" t="str">
        <f t="shared" si="274"/>
        <v/>
      </c>
    </row>
    <row r="301" spans="2:20" x14ac:dyDescent="0.25">
      <c r="B301" s="655"/>
      <c r="C301" s="656"/>
      <c r="D301" s="657"/>
      <c r="E301" s="658"/>
      <c r="F301" s="656"/>
      <c r="G301" s="659"/>
      <c r="H301" s="658"/>
      <c r="I301" s="520"/>
      <c r="J301" s="818"/>
      <c r="K301" s="521"/>
      <c r="L301" s="162" t="str">
        <f t="shared" si="262"/>
        <v/>
      </c>
      <c r="M301" s="513" t="str">
        <f>Assy.Model!$M146</f>
        <v/>
      </c>
      <c r="N301" s="810" t="str">
        <f>Assy.Model!K146</f>
        <v/>
      </c>
      <c r="O301" s="581" t="str">
        <f t="shared" si="269"/>
        <v/>
      </c>
      <c r="P301" s="582" t="str">
        <f t="shared" si="270"/>
        <v/>
      </c>
      <c r="Q301" s="586" t="str">
        <f t="shared" si="271"/>
        <v/>
      </c>
      <c r="R301" s="588" t="str">
        <f t="shared" si="272"/>
        <v/>
      </c>
      <c r="S301" s="582" t="str">
        <f t="shared" si="273"/>
        <v/>
      </c>
      <c r="T301" s="586" t="str">
        <f t="shared" si="274"/>
        <v/>
      </c>
    </row>
    <row r="302" spans="2:20" x14ac:dyDescent="0.25">
      <c r="B302" s="655"/>
      <c r="C302" s="656"/>
      <c r="D302" s="657"/>
      <c r="E302" s="658"/>
      <c r="F302" s="656"/>
      <c r="G302" s="659"/>
      <c r="H302" s="658"/>
      <c r="I302" s="520"/>
      <c r="J302" s="818"/>
      <c r="K302" s="521"/>
      <c r="L302" s="162" t="str">
        <f t="shared" si="262"/>
        <v/>
      </c>
      <c r="M302" s="513" t="str">
        <f>Assy.Model!$M147</f>
        <v/>
      </c>
      <c r="N302" s="810" t="str">
        <f>Assy.Model!K147</f>
        <v/>
      </c>
      <c r="O302" s="581" t="str">
        <f t="shared" si="269"/>
        <v/>
      </c>
      <c r="P302" s="582" t="str">
        <f t="shared" si="270"/>
        <v/>
      </c>
      <c r="Q302" s="586" t="str">
        <f t="shared" si="271"/>
        <v/>
      </c>
      <c r="R302" s="588" t="str">
        <f t="shared" si="272"/>
        <v/>
      </c>
      <c r="S302" s="582" t="str">
        <f t="shared" si="273"/>
        <v/>
      </c>
      <c r="T302" s="586" t="str">
        <f t="shared" si="274"/>
        <v/>
      </c>
    </row>
    <row r="303" spans="2:20" x14ac:dyDescent="0.25">
      <c r="B303" s="655"/>
      <c r="C303" s="656"/>
      <c r="D303" s="657"/>
      <c r="E303" s="658"/>
      <c r="F303" s="656"/>
      <c r="G303" s="659"/>
      <c r="H303" s="658"/>
      <c r="I303" s="520"/>
      <c r="J303" s="818"/>
      <c r="K303" s="521"/>
      <c r="L303" s="162" t="str">
        <f t="shared" si="262"/>
        <v/>
      </c>
      <c r="M303" s="513" t="str">
        <f>Assy.Model!$M148</f>
        <v/>
      </c>
      <c r="N303" s="810" t="str">
        <f>Assy.Model!K148</f>
        <v/>
      </c>
      <c r="O303" s="581" t="str">
        <f t="shared" si="269"/>
        <v/>
      </c>
      <c r="P303" s="582" t="str">
        <f t="shared" si="270"/>
        <v/>
      </c>
      <c r="Q303" s="586" t="str">
        <f t="shared" si="271"/>
        <v/>
      </c>
      <c r="R303" s="588" t="str">
        <f t="shared" si="272"/>
        <v/>
      </c>
      <c r="S303" s="582" t="str">
        <f t="shared" si="273"/>
        <v/>
      </c>
      <c r="T303" s="586" t="str">
        <f t="shared" si="274"/>
        <v/>
      </c>
    </row>
    <row r="304" spans="2:20" x14ac:dyDescent="0.25">
      <c r="B304" s="655"/>
      <c r="C304" s="656"/>
      <c r="D304" s="657"/>
      <c r="E304" s="658"/>
      <c r="F304" s="656"/>
      <c r="G304" s="659"/>
      <c r="H304" s="658"/>
      <c r="I304" s="520"/>
      <c r="J304" s="818"/>
      <c r="K304" s="521"/>
      <c r="L304" s="162" t="str">
        <f t="shared" si="262"/>
        <v/>
      </c>
      <c r="M304" s="513" t="str">
        <f>Assy.Model!$M149</f>
        <v/>
      </c>
      <c r="N304" s="810" t="str">
        <f>Assy.Model!K149</f>
        <v/>
      </c>
      <c r="O304" s="581" t="str">
        <f t="shared" si="269"/>
        <v/>
      </c>
      <c r="P304" s="582" t="str">
        <f t="shared" si="270"/>
        <v/>
      </c>
      <c r="Q304" s="586" t="str">
        <f t="shared" si="271"/>
        <v/>
      </c>
      <c r="R304" s="588" t="str">
        <f t="shared" si="272"/>
        <v/>
      </c>
      <c r="S304" s="582" t="str">
        <f t="shared" si="273"/>
        <v/>
      </c>
      <c r="T304" s="586" t="str">
        <f t="shared" si="274"/>
        <v/>
      </c>
    </row>
    <row r="305" spans="2:20" ht="15.75" thickBot="1" x14ac:dyDescent="0.3">
      <c r="B305" s="660"/>
      <c r="C305" s="661"/>
      <c r="D305" s="662"/>
      <c r="E305" s="663"/>
      <c r="F305" s="661"/>
      <c r="G305" s="664"/>
      <c r="H305" s="663"/>
      <c r="I305" s="522"/>
      <c r="J305" s="819"/>
      <c r="K305" s="523"/>
      <c r="L305" s="162" t="str">
        <f t="shared" si="262"/>
        <v/>
      </c>
      <c r="M305" s="514" t="str">
        <f>Assy.Model!$M150</f>
        <v/>
      </c>
      <c r="N305" s="811" t="str">
        <f>Assy.Model!K150</f>
        <v/>
      </c>
      <c r="O305" s="666" t="str">
        <f t="shared" si="269"/>
        <v/>
      </c>
      <c r="P305" s="667" t="str">
        <f t="shared" si="270"/>
        <v/>
      </c>
      <c r="Q305" s="668" t="str">
        <f t="shared" si="271"/>
        <v/>
      </c>
      <c r="R305" s="669" t="str">
        <f t="shared" si="272"/>
        <v/>
      </c>
      <c r="S305" s="667" t="str">
        <f t="shared" si="273"/>
        <v/>
      </c>
      <c r="T305" s="668" t="str">
        <f t="shared" si="274"/>
        <v/>
      </c>
    </row>
  </sheetData>
  <mergeCells count="85"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JB20:JE21"/>
    <mergeCell ref="JF21:JG21"/>
    <mergeCell ref="JB7:JE7"/>
    <mergeCell ref="JB19:JI19"/>
    <mergeCell ref="JF20:JI20"/>
    <mergeCell ref="JH21:JI21"/>
  </mergeCells>
  <conditionalFormatting sqref="AX9:AX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2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7">
      <colorScale>
        <cfvo type="min"/>
        <cfvo type="max"/>
        <color rgb="FFFCFCFF"/>
        <color rgb="FFF8696B"/>
      </colorScale>
    </cfRule>
  </conditionalFormatting>
  <conditionalFormatting sqref="M9:M150">
    <cfRule type="cellIs" dxfId="20" priority="18" stopIfTrue="1" operator="between">
      <formula>9</formula>
      <formula>9.99</formula>
    </cfRule>
    <cfRule type="cellIs" dxfId="19" priority="19" stopIfTrue="1" operator="between">
      <formula>8</formula>
      <formula>8.99</formula>
    </cfRule>
    <cfRule type="cellIs" dxfId="18" priority="20" stopIfTrue="1" operator="between">
      <formula>7</formula>
      <formula>7.99</formula>
    </cfRule>
    <cfRule type="cellIs" dxfId="17" priority="21" stopIfTrue="1" operator="between">
      <formula>6</formula>
      <formula>6.99</formula>
    </cfRule>
    <cfRule type="cellIs" dxfId="16" priority="22" stopIfTrue="1" operator="between">
      <formula>5</formula>
      <formula>5.99</formula>
    </cfRule>
    <cfRule type="cellIs" dxfId="15" priority="23" stopIfTrue="1" operator="between">
      <formula>4</formula>
      <formula>4.99</formula>
    </cfRule>
    <cfRule type="cellIs" dxfId="14" priority="24" stopIfTrue="1" operator="between">
      <formula>3</formula>
      <formula>3.99</formula>
    </cfRule>
    <cfRule type="cellIs" dxfId="13" priority="25" stopIfTrue="1" operator="between">
      <formula>2</formula>
      <formula>2.99</formula>
    </cfRule>
    <cfRule type="cellIs" dxfId="12" priority="26" stopIfTrue="1" operator="between">
      <formula>1</formula>
      <formula>1.99</formula>
    </cfRule>
  </conditionalFormatting>
  <conditionalFormatting sqref="AV9:AV150">
    <cfRule type="cellIs" dxfId="11" priority="9" stopIfTrue="1" operator="between">
      <formula>9</formula>
      <formula>9.99</formula>
    </cfRule>
    <cfRule type="cellIs" dxfId="10" priority="10" stopIfTrue="1" operator="between">
      <formula>8</formula>
      <formula>8.99</formula>
    </cfRule>
    <cfRule type="cellIs" dxfId="9" priority="11" stopIfTrue="1" operator="between">
      <formula>7</formula>
      <formula>7.99</formula>
    </cfRule>
    <cfRule type="cellIs" dxfId="8" priority="12" stopIfTrue="1" operator="between">
      <formula>6</formula>
      <formula>6.99</formula>
    </cfRule>
    <cfRule type="cellIs" dxfId="7" priority="13" stopIfTrue="1" operator="between">
      <formula>5</formula>
      <formula>5.99</formula>
    </cfRule>
    <cfRule type="cellIs" dxfId="6" priority="14" stopIfTrue="1" operator="between">
      <formula>4</formula>
      <formula>4.99</formula>
    </cfRule>
    <cfRule type="cellIs" dxfId="5" priority="15" stopIfTrue="1" operator="between">
      <formula>3</formula>
      <formula>3.99</formula>
    </cfRule>
    <cfRule type="cellIs" dxfId="4" priority="16" stopIfTrue="1" operator="between">
      <formula>2</formula>
      <formula>2.99</formula>
    </cfRule>
    <cfRule type="cellIs" dxfId="3" priority="17" stopIfTrue="1" operator="between">
      <formula>1</formula>
      <formula>1.99</formula>
    </cfRule>
  </conditionalFormatting>
  <conditionalFormatting sqref="L5">
    <cfRule type="cellIs" dxfId="2" priority="2" operator="equal">
      <formula>"Wrong CS"</formula>
    </cfRule>
  </conditionalFormatting>
  <conditionalFormatting sqref="L164:L30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980C1AB7-38DA-40FC-AF28-30E937B2393C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3" operator="containsText" id="{42DE814E-16FC-4713-8F76-2D9FCF59732D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7C933-0E24-400D-A021-A6BBF539FEBF}">
  <sheetPr codeName="Sheet2"/>
  <dimension ref="B7:E150"/>
  <sheetViews>
    <sheetView showGridLines="0" zoomScale="80" zoomScaleNormal="80" workbookViewId="0">
      <selection activeCell="A4" sqref="A4"/>
    </sheetView>
  </sheetViews>
  <sheetFormatPr defaultRowHeight="15" x14ac:dyDescent="0.25"/>
  <cols>
    <col min="2" max="5" width="10.7109375" style="31" customWidth="1"/>
  </cols>
  <sheetData>
    <row r="7" spans="2:5" x14ac:dyDescent="0.25">
      <c r="B7" s="1384" t="s">
        <v>33</v>
      </c>
      <c r="C7" s="1432" t="s">
        <v>105</v>
      </c>
      <c r="D7" s="1392"/>
      <c r="E7" s="1434" t="s">
        <v>110</v>
      </c>
    </row>
    <row r="8" spans="2:5" ht="15.75" thickBot="1" x14ac:dyDescent="0.3">
      <c r="B8" s="1433"/>
      <c r="C8" s="839" t="s">
        <v>8</v>
      </c>
      <c r="D8" s="838" t="s">
        <v>9</v>
      </c>
      <c r="E8" s="1435"/>
    </row>
    <row r="9" spans="2:5" ht="15.75" thickTop="1" x14ac:dyDescent="0.25">
      <c r="B9" s="840"/>
      <c r="C9" s="841"/>
      <c r="D9" s="842"/>
      <c r="E9" s="843"/>
    </row>
    <row r="10" spans="2:5" x14ac:dyDescent="0.25">
      <c r="B10" s="844"/>
      <c r="C10" s="845"/>
      <c r="D10" s="846"/>
      <c r="E10" s="847"/>
    </row>
    <row r="11" spans="2:5" x14ac:dyDescent="0.25">
      <c r="B11" s="844"/>
      <c r="C11" s="845"/>
      <c r="D11" s="846"/>
      <c r="E11" s="847"/>
    </row>
    <row r="12" spans="2:5" x14ac:dyDescent="0.25">
      <c r="B12" s="844"/>
      <c r="C12" s="845"/>
      <c r="D12" s="846"/>
      <c r="E12" s="847"/>
    </row>
    <row r="13" spans="2:5" x14ac:dyDescent="0.25">
      <c r="B13" s="844"/>
      <c r="C13" s="845"/>
      <c r="D13" s="846"/>
      <c r="E13" s="847"/>
    </row>
    <row r="14" spans="2:5" x14ac:dyDescent="0.25">
      <c r="B14" s="844"/>
      <c r="C14" s="845"/>
      <c r="D14" s="846"/>
      <c r="E14" s="847"/>
    </row>
    <row r="15" spans="2:5" x14ac:dyDescent="0.25">
      <c r="B15" s="844"/>
      <c r="C15" s="845"/>
      <c r="D15" s="846"/>
      <c r="E15" s="847"/>
    </row>
    <row r="16" spans="2:5" x14ac:dyDescent="0.25">
      <c r="B16" s="844"/>
      <c r="C16" s="845"/>
      <c r="D16" s="846"/>
      <c r="E16" s="847"/>
    </row>
    <row r="17" spans="2:5" x14ac:dyDescent="0.25">
      <c r="B17" s="844"/>
      <c r="C17" s="845"/>
      <c r="D17" s="846"/>
      <c r="E17" s="847"/>
    </row>
    <row r="18" spans="2:5" x14ac:dyDescent="0.25">
      <c r="B18" s="844"/>
      <c r="C18" s="845"/>
      <c r="D18" s="846"/>
      <c r="E18" s="847"/>
    </row>
    <row r="19" spans="2:5" x14ac:dyDescent="0.25">
      <c r="B19" s="844"/>
      <c r="C19" s="845"/>
      <c r="D19" s="846"/>
      <c r="E19" s="847"/>
    </row>
    <row r="20" spans="2:5" x14ac:dyDescent="0.25">
      <c r="B20" s="844"/>
      <c r="C20" s="845"/>
      <c r="D20" s="846"/>
      <c r="E20" s="847"/>
    </row>
    <row r="21" spans="2:5" x14ac:dyDescent="0.25">
      <c r="B21" s="844"/>
      <c r="C21" s="845"/>
      <c r="D21" s="846"/>
      <c r="E21" s="847"/>
    </row>
    <row r="22" spans="2:5" x14ac:dyDescent="0.25">
      <c r="B22" s="844"/>
      <c r="C22" s="845"/>
      <c r="D22" s="846"/>
      <c r="E22" s="847"/>
    </row>
    <row r="23" spans="2:5" x14ac:dyDescent="0.25">
      <c r="B23" s="844"/>
      <c r="C23" s="845"/>
      <c r="D23" s="846"/>
      <c r="E23" s="847"/>
    </row>
    <row r="24" spans="2:5" x14ac:dyDescent="0.25">
      <c r="B24" s="844"/>
      <c r="C24" s="845"/>
      <c r="D24" s="846"/>
      <c r="E24" s="847"/>
    </row>
    <row r="25" spans="2:5" x14ac:dyDescent="0.25">
      <c r="B25" s="844"/>
      <c r="C25" s="845"/>
      <c r="D25" s="846"/>
      <c r="E25" s="847"/>
    </row>
    <row r="26" spans="2:5" x14ac:dyDescent="0.25">
      <c r="B26" s="844"/>
      <c r="C26" s="845"/>
      <c r="D26" s="846"/>
      <c r="E26" s="847"/>
    </row>
    <row r="27" spans="2:5" x14ac:dyDescent="0.25">
      <c r="B27" s="844"/>
      <c r="C27" s="845"/>
      <c r="D27" s="846"/>
      <c r="E27" s="847"/>
    </row>
    <row r="28" spans="2:5" x14ac:dyDescent="0.25">
      <c r="B28" s="844"/>
      <c r="C28" s="845"/>
      <c r="D28" s="846"/>
      <c r="E28" s="847"/>
    </row>
    <row r="29" spans="2:5" x14ac:dyDescent="0.25">
      <c r="B29" s="844"/>
      <c r="C29" s="845"/>
      <c r="D29" s="846"/>
      <c r="E29" s="847"/>
    </row>
    <row r="30" spans="2:5" x14ac:dyDescent="0.25">
      <c r="B30" s="844"/>
      <c r="C30" s="845"/>
      <c r="D30" s="846"/>
      <c r="E30" s="847"/>
    </row>
    <row r="31" spans="2:5" x14ac:dyDescent="0.25">
      <c r="B31" s="844"/>
      <c r="C31" s="845"/>
      <c r="D31" s="846"/>
      <c r="E31" s="847"/>
    </row>
    <row r="32" spans="2:5" x14ac:dyDescent="0.25">
      <c r="B32" s="844"/>
      <c r="C32" s="845"/>
      <c r="D32" s="846"/>
      <c r="E32" s="847"/>
    </row>
    <row r="33" spans="2:5" x14ac:dyDescent="0.25">
      <c r="B33" s="844"/>
      <c r="C33" s="845"/>
      <c r="D33" s="846"/>
      <c r="E33" s="847"/>
    </row>
    <row r="34" spans="2:5" x14ac:dyDescent="0.25">
      <c r="B34" s="844"/>
      <c r="C34" s="845"/>
      <c r="D34" s="846"/>
      <c r="E34" s="847"/>
    </row>
    <row r="35" spans="2:5" x14ac:dyDescent="0.25">
      <c r="B35" s="844"/>
      <c r="C35" s="845"/>
      <c r="D35" s="846"/>
      <c r="E35" s="847"/>
    </row>
    <row r="36" spans="2:5" x14ac:dyDescent="0.25">
      <c r="B36" s="844"/>
      <c r="C36" s="845"/>
      <c r="D36" s="846"/>
      <c r="E36" s="847"/>
    </row>
    <row r="37" spans="2:5" x14ac:dyDescent="0.25">
      <c r="B37" s="844"/>
      <c r="C37" s="845"/>
      <c r="D37" s="846"/>
      <c r="E37" s="847"/>
    </row>
    <row r="38" spans="2:5" x14ac:dyDescent="0.25">
      <c r="B38" s="844"/>
      <c r="C38" s="845"/>
      <c r="D38" s="846"/>
      <c r="E38" s="847"/>
    </row>
    <row r="39" spans="2:5" x14ac:dyDescent="0.25">
      <c r="B39" s="844"/>
      <c r="C39" s="845"/>
      <c r="D39" s="846"/>
      <c r="E39" s="847"/>
    </row>
    <row r="40" spans="2:5" x14ac:dyDescent="0.25">
      <c r="B40" s="844"/>
      <c r="C40" s="845"/>
      <c r="D40" s="846"/>
      <c r="E40" s="847"/>
    </row>
    <row r="41" spans="2:5" x14ac:dyDescent="0.25">
      <c r="B41" s="844"/>
      <c r="C41" s="845"/>
      <c r="D41" s="846"/>
      <c r="E41" s="847"/>
    </row>
    <row r="42" spans="2:5" x14ac:dyDescent="0.25">
      <c r="B42" s="844"/>
      <c r="C42" s="845"/>
      <c r="D42" s="846"/>
      <c r="E42" s="847"/>
    </row>
    <row r="43" spans="2:5" x14ac:dyDescent="0.25">
      <c r="B43" s="844"/>
      <c r="C43" s="845"/>
      <c r="D43" s="846"/>
      <c r="E43" s="847"/>
    </row>
    <row r="44" spans="2:5" x14ac:dyDescent="0.25">
      <c r="B44" s="844"/>
      <c r="C44" s="845"/>
      <c r="D44" s="846"/>
      <c r="E44" s="847"/>
    </row>
    <row r="45" spans="2:5" x14ac:dyDescent="0.25">
      <c r="B45" s="844"/>
      <c r="C45" s="845"/>
      <c r="D45" s="846"/>
      <c r="E45" s="847"/>
    </row>
    <row r="46" spans="2:5" x14ac:dyDescent="0.25">
      <c r="B46" s="844"/>
      <c r="C46" s="845"/>
      <c r="D46" s="846"/>
      <c r="E46" s="847"/>
    </row>
    <row r="47" spans="2:5" x14ac:dyDescent="0.25">
      <c r="B47" s="844"/>
      <c r="C47" s="845"/>
      <c r="D47" s="846"/>
      <c r="E47" s="847"/>
    </row>
    <row r="48" spans="2:5" x14ac:dyDescent="0.25">
      <c r="B48" s="844"/>
      <c r="C48" s="845"/>
      <c r="D48" s="846"/>
      <c r="E48" s="847"/>
    </row>
    <row r="49" spans="2:5" x14ac:dyDescent="0.25">
      <c r="B49" s="844"/>
      <c r="C49" s="845"/>
      <c r="D49" s="846"/>
      <c r="E49" s="847"/>
    </row>
    <row r="50" spans="2:5" x14ac:dyDescent="0.25">
      <c r="B50" s="844"/>
      <c r="C50" s="845"/>
      <c r="D50" s="846"/>
      <c r="E50" s="847"/>
    </row>
    <row r="51" spans="2:5" x14ac:dyDescent="0.25">
      <c r="B51" s="844"/>
      <c r="C51" s="845"/>
      <c r="D51" s="846"/>
      <c r="E51" s="847"/>
    </row>
    <row r="52" spans="2:5" x14ac:dyDescent="0.25">
      <c r="B52" s="844"/>
      <c r="C52" s="845"/>
      <c r="D52" s="846"/>
      <c r="E52" s="847"/>
    </row>
    <row r="53" spans="2:5" x14ac:dyDescent="0.25">
      <c r="B53" s="844"/>
      <c r="C53" s="845"/>
      <c r="D53" s="846"/>
      <c r="E53" s="847"/>
    </row>
    <row r="54" spans="2:5" x14ac:dyDescent="0.25">
      <c r="B54" s="844"/>
      <c r="C54" s="845"/>
      <c r="D54" s="846"/>
      <c r="E54" s="847"/>
    </row>
    <row r="55" spans="2:5" x14ac:dyDescent="0.25">
      <c r="B55" s="844"/>
      <c r="C55" s="845"/>
      <c r="D55" s="846"/>
      <c r="E55" s="847"/>
    </row>
    <row r="56" spans="2:5" x14ac:dyDescent="0.25">
      <c r="B56" s="844"/>
      <c r="C56" s="845"/>
      <c r="D56" s="846"/>
      <c r="E56" s="847"/>
    </row>
    <row r="57" spans="2:5" x14ac:dyDescent="0.25">
      <c r="B57" s="844"/>
      <c r="C57" s="845"/>
      <c r="D57" s="846"/>
      <c r="E57" s="847"/>
    </row>
    <row r="58" spans="2:5" x14ac:dyDescent="0.25">
      <c r="B58" s="844"/>
      <c r="C58" s="845"/>
      <c r="D58" s="846"/>
      <c r="E58" s="847"/>
    </row>
    <row r="59" spans="2:5" x14ac:dyDescent="0.25">
      <c r="B59" s="844"/>
      <c r="C59" s="845"/>
      <c r="D59" s="846"/>
      <c r="E59" s="847"/>
    </row>
    <row r="60" spans="2:5" x14ac:dyDescent="0.25">
      <c r="B60" s="844"/>
      <c r="C60" s="845"/>
      <c r="D60" s="846"/>
      <c r="E60" s="847"/>
    </row>
    <row r="61" spans="2:5" x14ac:dyDescent="0.25">
      <c r="B61" s="844"/>
      <c r="C61" s="845"/>
      <c r="D61" s="846"/>
      <c r="E61" s="847"/>
    </row>
    <row r="62" spans="2:5" x14ac:dyDescent="0.25">
      <c r="B62" s="844"/>
      <c r="C62" s="845"/>
      <c r="D62" s="846"/>
      <c r="E62" s="847"/>
    </row>
    <row r="63" spans="2:5" x14ac:dyDescent="0.25">
      <c r="B63" s="844"/>
      <c r="C63" s="845"/>
      <c r="D63" s="846"/>
      <c r="E63" s="847"/>
    </row>
    <row r="64" spans="2:5" x14ac:dyDescent="0.25">
      <c r="B64" s="844"/>
      <c r="C64" s="845"/>
      <c r="D64" s="846"/>
      <c r="E64" s="847"/>
    </row>
    <row r="65" spans="2:5" x14ac:dyDescent="0.25">
      <c r="B65" s="844"/>
      <c r="C65" s="845"/>
      <c r="D65" s="846"/>
      <c r="E65" s="847"/>
    </row>
    <row r="66" spans="2:5" x14ac:dyDescent="0.25">
      <c r="B66" s="844"/>
      <c r="C66" s="845"/>
      <c r="D66" s="846"/>
      <c r="E66" s="847"/>
    </row>
    <row r="67" spans="2:5" x14ac:dyDescent="0.25">
      <c r="B67" s="844"/>
      <c r="C67" s="845"/>
      <c r="D67" s="846"/>
      <c r="E67" s="847"/>
    </row>
    <row r="68" spans="2:5" x14ac:dyDescent="0.25">
      <c r="B68" s="844"/>
      <c r="C68" s="845"/>
      <c r="D68" s="846"/>
      <c r="E68" s="847"/>
    </row>
    <row r="69" spans="2:5" x14ac:dyDescent="0.25">
      <c r="B69" s="844"/>
      <c r="C69" s="845"/>
      <c r="D69" s="846"/>
      <c r="E69" s="847"/>
    </row>
    <row r="70" spans="2:5" x14ac:dyDescent="0.25">
      <c r="B70" s="844"/>
      <c r="C70" s="845"/>
      <c r="D70" s="846"/>
      <c r="E70" s="847"/>
    </row>
    <row r="71" spans="2:5" x14ac:dyDescent="0.25">
      <c r="B71" s="844"/>
      <c r="C71" s="845"/>
      <c r="D71" s="846"/>
      <c r="E71" s="847"/>
    </row>
    <row r="72" spans="2:5" x14ac:dyDescent="0.25">
      <c r="B72" s="844"/>
      <c r="C72" s="845"/>
      <c r="D72" s="846"/>
      <c r="E72" s="847"/>
    </row>
    <row r="73" spans="2:5" x14ac:dyDescent="0.25">
      <c r="B73" s="844"/>
      <c r="C73" s="845"/>
      <c r="D73" s="846"/>
      <c r="E73" s="847"/>
    </row>
    <row r="74" spans="2:5" x14ac:dyDescent="0.25">
      <c r="B74" s="844"/>
      <c r="C74" s="845"/>
      <c r="D74" s="846"/>
      <c r="E74" s="847"/>
    </row>
    <row r="75" spans="2:5" x14ac:dyDescent="0.25">
      <c r="B75" s="844"/>
      <c r="C75" s="845"/>
      <c r="D75" s="846"/>
      <c r="E75" s="847"/>
    </row>
    <row r="76" spans="2:5" x14ac:dyDescent="0.25">
      <c r="B76" s="844"/>
      <c r="C76" s="845"/>
      <c r="D76" s="846"/>
      <c r="E76" s="847"/>
    </row>
    <row r="77" spans="2:5" x14ac:dyDescent="0.25">
      <c r="B77" s="844"/>
      <c r="C77" s="845"/>
      <c r="D77" s="846"/>
      <c r="E77" s="847"/>
    </row>
    <row r="78" spans="2:5" x14ac:dyDescent="0.25">
      <c r="B78" s="844"/>
      <c r="C78" s="845"/>
      <c r="D78" s="846"/>
      <c r="E78" s="847"/>
    </row>
    <row r="79" spans="2:5" x14ac:dyDescent="0.25">
      <c r="B79" s="844"/>
      <c r="C79" s="845"/>
      <c r="D79" s="846"/>
      <c r="E79" s="847"/>
    </row>
    <row r="80" spans="2:5" x14ac:dyDescent="0.25">
      <c r="B80" s="844"/>
      <c r="C80" s="845"/>
      <c r="D80" s="846"/>
      <c r="E80" s="847"/>
    </row>
    <row r="81" spans="2:5" x14ac:dyDescent="0.25">
      <c r="B81" s="844"/>
      <c r="C81" s="845"/>
      <c r="D81" s="846"/>
      <c r="E81" s="847"/>
    </row>
    <row r="82" spans="2:5" x14ac:dyDescent="0.25">
      <c r="B82" s="844"/>
      <c r="C82" s="845"/>
      <c r="D82" s="846"/>
      <c r="E82" s="847"/>
    </row>
    <row r="83" spans="2:5" x14ac:dyDescent="0.25">
      <c r="B83" s="844"/>
      <c r="C83" s="845"/>
      <c r="D83" s="846"/>
      <c r="E83" s="847"/>
    </row>
    <row r="84" spans="2:5" x14ac:dyDescent="0.25">
      <c r="B84" s="844"/>
      <c r="C84" s="845"/>
      <c r="D84" s="846"/>
      <c r="E84" s="847"/>
    </row>
    <row r="85" spans="2:5" x14ac:dyDescent="0.25">
      <c r="B85" s="844"/>
      <c r="C85" s="845"/>
      <c r="D85" s="846"/>
      <c r="E85" s="847"/>
    </row>
    <row r="86" spans="2:5" x14ac:dyDescent="0.25">
      <c r="B86" s="844"/>
      <c r="C86" s="845"/>
      <c r="D86" s="846"/>
      <c r="E86" s="847"/>
    </row>
    <row r="87" spans="2:5" x14ac:dyDescent="0.25">
      <c r="B87" s="844"/>
      <c r="C87" s="845"/>
      <c r="D87" s="846"/>
      <c r="E87" s="847"/>
    </row>
    <row r="88" spans="2:5" x14ac:dyDescent="0.25">
      <c r="B88" s="844"/>
      <c r="C88" s="845"/>
      <c r="D88" s="846"/>
      <c r="E88" s="847"/>
    </row>
    <row r="89" spans="2:5" x14ac:dyDescent="0.25">
      <c r="B89" s="844"/>
      <c r="C89" s="845"/>
      <c r="D89" s="846"/>
      <c r="E89" s="847"/>
    </row>
    <row r="90" spans="2:5" x14ac:dyDescent="0.25">
      <c r="B90" s="844"/>
      <c r="C90" s="845"/>
      <c r="D90" s="846"/>
      <c r="E90" s="847"/>
    </row>
    <row r="91" spans="2:5" x14ac:dyDescent="0.25">
      <c r="B91" s="844"/>
      <c r="C91" s="845"/>
      <c r="D91" s="846"/>
      <c r="E91" s="847"/>
    </row>
    <row r="92" spans="2:5" x14ac:dyDescent="0.25">
      <c r="B92" s="844"/>
      <c r="C92" s="845"/>
      <c r="D92" s="846"/>
      <c r="E92" s="847"/>
    </row>
    <row r="93" spans="2:5" x14ac:dyDescent="0.25">
      <c r="B93" s="844"/>
      <c r="C93" s="845"/>
      <c r="D93" s="846"/>
      <c r="E93" s="847"/>
    </row>
    <row r="94" spans="2:5" x14ac:dyDescent="0.25">
      <c r="B94" s="844"/>
      <c r="C94" s="845"/>
      <c r="D94" s="846"/>
      <c r="E94" s="847"/>
    </row>
    <row r="95" spans="2:5" x14ac:dyDescent="0.25">
      <c r="B95" s="844"/>
      <c r="C95" s="845"/>
      <c r="D95" s="846"/>
      <c r="E95" s="847"/>
    </row>
    <row r="96" spans="2:5" x14ac:dyDescent="0.25">
      <c r="B96" s="844"/>
      <c r="C96" s="845"/>
      <c r="D96" s="846"/>
      <c r="E96" s="847"/>
    </row>
    <row r="97" spans="2:5" x14ac:dyDescent="0.25">
      <c r="B97" s="844"/>
      <c r="C97" s="845"/>
      <c r="D97" s="846"/>
      <c r="E97" s="847"/>
    </row>
    <row r="98" spans="2:5" x14ac:dyDescent="0.25">
      <c r="B98" s="844"/>
      <c r="C98" s="845"/>
      <c r="D98" s="846"/>
      <c r="E98" s="847"/>
    </row>
    <row r="99" spans="2:5" x14ac:dyDescent="0.25">
      <c r="B99" s="844"/>
      <c r="C99" s="845"/>
      <c r="D99" s="846"/>
      <c r="E99" s="847"/>
    </row>
    <row r="100" spans="2:5" x14ac:dyDescent="0.25">
      <c r="B100" s="844"/>
      <c r="C100" s="845"/>
      <c r="D100" s="846"/>
      <c r="E100" s="847"/>
    </row>
    <row r="101" spans="2:5" x14ac:dyDescent="0.25">
      <c r="B101" s="844"/>
      <c r="C101" s="845"/>
      <c r="D101" s="846"/>
      <c r="E101" s="847"/>
    </row>
    <row r="102" spans="2:5" x14ac:dyDescent="0.25">
      <c r="B102" s="844"/>
      <c r="C102" s="845"/>
      <c r="D102" s="846"/>
      <c r="E102" s="847"/>
    </row>
    <row r="103" spans="2:5" x14ac:dyDescent="0.25">
      <c r="B103" s="844"/>
      <c r="C103" s="845"/>
      <c r="D103" s="846"/>
      <c r="E103" s="847"/>
    </row>
    <row r="104" spans="2:5" x14ac:dyDescent="0.25">
      <c r="B104" s="844"/>
      <c r="C104" s="845"/>
      <c r="D104" s="846"/>
      <c r="E104" s="847"/>
    </row>
    <row r="105" spans="2:5" x14ac:dyDescent="0.25">
      <c r="B105" s="844"/>
      <c r="C105" s="845"/>
      <c r="D105" s="846"/>
      <c r="E105" s="847"/>
    </row>
    <row r="106" spans="2:5" x14ac:dyDescent="0.25">
      <c r="B106" s="844"/>
      <c r="C106" s="845"/>
      <c r="D106" s="846"/>
      <c r="E106" s="847"/>
    </row>
    <row r="107" spans="2:5" x14ac:dyDescent="0.25">
      <c r="B107" s="844"/>
      <c r="C107" s="845"/>
      <c r="D107" s="846"/>
      <c r="E107" s="847"/>
    </row>
    <row r="108" spans="2:5" x14ac:dyDescent="0.25">
      <c r="B108" s="844"/>
      <c r="C108" s="845"/>
      <c r="D108" s="846"/>
      <c r="E108" s="847"/>
    </row>
    <row r="109" spans="2:5" x14ac:dyDescent="0.25">
      <c r="B109" s="844"/>
      <c r="C109" s="845"/>
      <c r="D109" s="846"/>
      <c r="E109" s="847"/>
    </row>
    <row r="110" spans="2:5" x14ac:dyDescent="0.25">
      <c r="B110" s="844"/>
      <c r="C110" s="845"/>
      <c r="D110" s="846"/>
      <c r="E110" s="847"/>
    </row>
    <row r="111" spans="2:5" x14ac:dyDescent="0.25">
      <c r="B111" s="844"/>
      <c r="C111" s="845"/>
      <c r="D111" s="846"/>
      <c r="E111" s="847"/>
    </row>
    <row r="112" spans="2:5" x14ac:dyDescent="0.25">
      <c r="B112" s="844"/>
      <c r="C112" s="845"/>
      <c r="D112" s="846"/>
      <c r="E112" s="847"/>
    </row>
    <row r="113" spans="2:5" x14ac:dyDescent="0.25">
      <c r="B113" s="844"/>
      <c r="C113" s="845"/>
      <c r="D113" s="846"/>
      <c r="E113" s="847"/>
    </row>
    <row r="114" spans="2:5" x14ac:dyDescent="0.25">
      <c r="B114" s="844"/>
      <c r="C114" s="845"/>
      <c r="D114" s="846"/>
      <c r="E114" s="847"/>
    </row>
    <row r="115" spans="2:5" x14ac:dyDescent="0.25">
      <c r="B115" s="844"/>
      <c r="C115" s="845"/>
      <c r="D115" s="846"/>
      <c r="E115" s="847"/>
    </row>
    <row r="116" spans="2:5" x14ac:dyDescent="0.25">
      <c r="B116" s="844"/>
      <c r="C116" s="845"/>
      <c r="D116" s="846"/>
      <c r="E116" s="847"/>
    </row>
    <row r="117" spans="2:5" x14ac:dyDescent="0.25">
      <c r="B117" s="844"/>
      <c r="C117" s="845"/>
      <c r="D117" s="846"/>
      <c r="E117" s="847"/>
    </row>
    <row r="118" spans="2:5" x14ac:dyDescent="0.25">
      <c r="B118" s="844"/>
      <c r="C118" s="845"/>
      <c r="D118" s="846"/>
      <c r="E118" s="847"/>
    </row>
    <row r="119" spans="2:5" x14ac:dyDescent="0.25">
      <c r="B119" s="844"/>
      <c r="C119" s="845"/>
      <c r="D119" s="846"/>
      <c r="E119" s="847"/>
    </row>
    <row r="120" spans="2:5" x14ac:dyDescent="0.25">
      <c r="B120" s="844"/>
      <c r="C120" s="845"/>
      <c r="D120" s="846"/>
      <c r="E120" s="847"/>
    </row>
    <row r="121" spans="2:5" x14ac:dyDescent="0.25">
      <c r="B121" s="844"/>
      <c r="C121" s="845"/>
      <c r="D121" s="846"/>
      <c r="E121" s="847"/>
    </row>
    <row r="122" spans="2:5" x14ac:dyDescent="0.25">
      <c r="B122" s="844"/>
      <c r="C122" s="845"/>
      <c r="D122" s="846"/>
      <c r="E122" s="847"/>
    </row>
    <row r="123" spans="2:5" x14ac:dyDescent="0.25">
      <c r="B123" s="844"/>
      <c r="C123" s="845"/>
      <c r="D123" s="846"/>
      <c r="E123" s="847"/>
    </row>
    <row r="124" spans="2:5" x14ac:dyDescent="0.25">
      <c r="B124" s="844"/>
      <c r="C124" s="845"/>
      <c r="D124" s="846"/>
      <c r="E124" s="847"/>
    </row>
    <row r="125" spans="2:5" x14ac:dyDescent="0.25">
      <c r="B125" s="844"/>
      <c r="C125" s="845"/>
      <c r="D125" s="846"/>
      <c r="E125" s="847"/>
    </row>
    <row r="126" spans="2:5" x14ac:dyDescent="0.25">
      <c r="B126" s="844"/>
      <c r="C126" s="845"/>
      <c r="D126" s="846"/>
      <c r="E126" s="847"/>
    </row>
    <row r="127" spans="2:5" x14ac:dyDescent="0.25">
      <c r="B127" s="844"/>
      <c r="C127" s="845"/>
      <c r="D127" s="846"/>
      <c r="E127" s="847"/>
    </row>
    <row r="128" spans="2:5" x14ac:dyDescent="0.25">
      <c r="B128" s="844"/>
      <c r="C128" s="845"/>
      <c r="D128" s="846"/>
      <c r="E128" s="847"/>
    </row>
    <row r="129" spans="2:5" x14ac:dyDescent="0.25">
      <c r="B129" s="844"/>
      <c r="C129" s="845"/>
      <c r="D129" s="846"/>
      <c r="E129" s="847"/>
    </row>
    <row r="130" spans="2:5" x14ac:dyDescent="0.25">
      <c r="B130" s="844"/>
      <c r="C130" s="845"/>
      <c r="D130" s="846"/>
      <c r="E130" s="847"/>
    </row>
    <row r="131" spans="2:5" x14ac:dyDescent="0.25">
      <c r="B131" s="844"/>
      <c r="C131" s="845"/>
      <c r="D131" s="846"/>
      <c r="E131" s="847"/>
    </row>
    <row r="132" spans="2:5" x14ac:dyDescent="0.25">
      <c r="B132" s="844"/>
      <c r="C132" s="845"/>
      <c r="D132" s="846"/>
      <c r="E132" s="847"/>
    </row>
    <row r="133" spans="2:5" x14ac:dyDescent="0.25">
      <c r="B133" s="844"/>
      <c r="C133" s="845"/>
      <c r="D133" s="846"/>
      <c r="E133" s="847"/>
    </row>
    <row r="134" spans="2:5" x14ac:dyDescent="0.25">
      <c r="B134" s="844"/>
      <c r="C134" s="845"/>
      <c r="D134" s="846"/>
      <c r="E134" s="847"/>
    </row>
    <row r="135" spans="2:5" x14ac:dyDescent="0.25">
      <c r="B135" s="844"/>
      <c r="C135" s="845"/>
      <c r="D135" s="846"/>
      <c r="E135" s="847"/>
    </row>
    <row r="136" spans="2:5" x14ac:dyDescent="0.25">
      <c r="B136" s="844"/>
      <c r="C136" s="845"/>
      <c r="D136" s="846"/>
      <c r="E136" s="847"/>
    </row>
    <row r="137" spans="2:5" x14ac:dyDescent="0.25">
      <c r="B137" s="844"/>
      <c r="C137" s="845"/>
      <c r="D137" s="846"/>
      <c r="E137" s="847"/>
    </row>
    <row r="138" spans="2:5" x14ac:dyDescent="0.25">
      <c r="B138" s="844"/>
      <c r="C138" s="845"/>
      <c r="D138" s="846"/>
      <c r="E138" s="847"/>
    </row>
    <row r="139" spans="2:5" x14ac:dyDescent="0.25">
      <c r="B139" s="844"/>
      <c r="C139" s="845"/>
      <c r="D139" s="846"/>
      <c r="E139" s="847"/>
    </row>
    <row r="140" spans="2:5" x14ac:dyDescent="0.25">
      <c r="B140" s="844"/>
      <c r="C140" s="845"/>
      <c r="D140" s="846"/>
      <c r="E140" s="847"/>
    </row>
    <row r="141" spans="2:5" x14ac:dyDescent="0.25">
      <c r="B141" s="844"/>
      <c r="C141" s="845"/>
      <c r="D141" s="846"/>
      <c r="E141" s="847"/>
    </row>
    <row r="142" spans="2:5" x14ac:dyDescent="0.25">
      <c r="B142" s="844"/>
      <c r="C142" s="845"/>
      <c r="D142" s="846"/>
      <c r="E142" s="847"/>
    </row>
    <row r="143" spans="2:5" x14ac:dyDescent="0.25">
      <c r="B143" s="844"/>
      <c r="C143" s="845"/>
      <c r="D143" s="846"/>
      <c r="E143" s="847"/>
    </row>
    <row r="144" spans="2:5" x14ac:dyDescent="0.25">
      <c r="B144" s="844"/>
      <c r="C144" s="845"/>
      <c r="D144" s="846"/>
      <c r="E144" s="847"/>
    </row>
    <row r="145" spans="2:5" x14ac:dyDescent="0.25">
      <c r="B145" s="844"/>
      <c r="C145" s="845"/>
      <c r="D145" s="846"/>
      <c r="E145" s="847"/>
    </row>
    <row r="146" spans="2:5" x14ac:dyDescent="0.25">
      <c r="B146" s="844"/>
      <c r="C146" s="845"/>
      <c r="D146" s="846"/>
      <c r="E146" s="847"/>
    </row>
    <row r="147" spans="2:5" x14ac:dyDescent="0.25">
      <c r="B147" s="844"/>
      <c r="C147" s="845"/>
      <c r="D147" s="846"/>
      <c r="E147" s="847"/>
    </row>
    <row r="148" spans="2:5" x14ac:dyDescent="0.25">
      <c r="B148" s="844"/>
      <c r="C148" s="845"/>
      <c r="D148" s="846"/>
      <c r="E148" s="847"/>
    </row>
    <row r="149" spans="2:5" x14ac:dyDescent="0.25">
      <c r="B149" s="844"/>
      <c r="C149" s="845"/>
      <c r="D149" s="846"/>
      <c r="E149" s="847"/>
    </row>
    <row r="150" spans="2:5" x14ac:dyDescent="0.25">
      <c r="B150" s="848"/>
      <c r="C150" s="849"/>
      <c r="D150" s="850"/>
      <c r="E150" s="851"/>
    </row>
  </sheetData>
  <mergeCells count="3">
    <mergeCell ref="C7:D7"/>
    <mergeCell ref="B7:B8"/>
    <mergeCell ref="E7:E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Settings</vt:lpstr>
      <vt:lpstr>Settings (2)</vt:lpstr>
      <vt:lpstr>Assy.Model</vt:lpstr>
      <vt:lpstr>Sheet1</vt:lpstr>
      <vt:lpstr>SN#.Run#</vt:lpstr>
      <vt:lpstr>MassProp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2024-04-10T13:20:31Z</dcterms:modified>
</cp:coreProperties>
</file>