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54\"/>
    </mc:Choice>
  </mc:AlternateContent>
  <xr:revisionPtr revIDLastSave="0" documentId="13_ncr:1_{0200D151-3296-42CB-A68E-DAB73DD1508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AJ32" i="4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L6" i="1" l="1" a="1"/>
  <c r="L6" i="1" s="1"/>
  <c r="L2" i="1" a="1"/>
  <c r="L2" i="1" s="1"/>
  <c r="C1" i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JA9" i="1" s="1"/>
  <c r="IK21" i="1"/>
  <c r="IJ21" i="1"/>
  <c r="IK59" i="1"/>
  <c r="IJ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U68" i="1"/>
  <c r="IE68" i="1" s="1"/>
  <c r="IV68" i="1"/>
  <c r="IL68" i="1"/>
  <c r="IX68" i="1"/>
  <c r="IQ68" i="1"/>
  <c r="IY68" i="1"/>
  <c r="IP68" i="1"/>
  <c r="IT68" i="1"/>
  <c r="IK68" i="1"/>
  <c r="IN68" i="1"/>
  <c r="IR68" i="1"/>
  <c r="IW68" i="1"/>
  <c r="IS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T20" i="1"/>
  <c r="IQ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74" i="1"/>
  <c r="IF73" i="1"/>
  <c r="IF49" i="1"/>
  <c r="IF138" i="1"/>
  <c r="IF10" i="1"/>
  <c r="IF150" i="1"/>
  <c r="IF48" i="1"/>
  <c r="IF148" i="1"/>
  <c r="IF127" i="1"/>
  <c r="IF15" i="1"/>
  <c r="IF128" i="1"/>
  <c r="IF6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31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2" i="1"/>
  <c r="IF84" i="1"/>
  <c r="IF12" i="1"/>
  <c r="IF50" i="1"/>
  <c r="IF71" i="1"/>
  <c r="IF56" i="1"/>
  <c r="IF83" i="1"/>
  <c r="IF133" i="1"/>
  <c r="IF149" i="1"/>
  <c r="IF87" i="1"/>
  <c r="IF104" i="1"/>
  <c r="IF130" i="1"/>
  <c r="IF90" i="1"/>
  <c r="IF132" i="1"/>
  <c r="IF119" i="1"/>
  <c r="IF32" i="1"/>
  <c r="IF110" i="1"/>
  <c r="IF20" i="1"/>
  <c r="IF125" i="1"/>
  <c r="IF5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0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30" i="1" l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AQ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H22" i="1" l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I29" i="1" l="1" a="1"/>
  <c r="JI29" i="1" s="1"/>
  <c r="JI30" i="1" a="1"/>
  <c r="JI30" i="1" s="1"/>
  <c r="JA9" i="7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IL45" i="1" s="1"/>
  <c r="W30" i="1"/>
  <c r="IL46" i="1" s="1"/>
  <c r="W27" i="1"/>
  <c r="W28" i="1"/>
  <c r="W25" i="1"/>
  <c r="W26" i="1"/>
  <c r="W23" i="1"/>
  <c r="W24" i="1"/>
  <c r="W21" i="1"/>
  <c r="IL21" i="1" s="1"/>
  <c r="W22" i="1"/>
  <c r="W19" i="1"/>
  <c r="W20" i="1"/>
  <c r="W17" i="1"/>
  <c r="W18" i="1"/>
  <c r="W15" i="1"/>
  <c r="W13" i="1"/>
  <c r="W14" i="1"/>
  <c r="IL23" i="1" s="1"/>
  <c r="W11" i="1"/>
  <c r="W9" i="1"/>
  <c r="W10" i="1"/>
  <c r="IL16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38" i="1" l="1"/>
  <c r="IL37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5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S64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T64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T38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5" i="1" l="1"/>
  <c r="IT37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3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AO81" i="1"/>
  <c r="IX81" i="1" s="1"/>
  <c r="IF81" i="1" s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IX78" i="1" s="1"/>
  <c r="IF78" i="1" s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AP71" i="1"/>
  <c r="AO72" i="1"/>
  <c r="IS78" i="1" s="1"/>
  <c r="AP72" i="1"/>
  <c r="AO69" i="1"/>
  <c r="IS75" i="1" s="1"/>
  <c r="AP69" i="1"/>
  <c r="AP70" i="1"/>
  <c r="AO70" i="1"/>
  <c r="IS76" i="1" s="1"/>
  <c r="AO67" i="1"/>
  <c r="AP67" i="1"/>
  <c r="AO68" i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S38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AP18" i="1"/>
  <c r="AP15" i="1"/>
  <c r="AO15" i="1"/>
  <c r="IS19" i="1" s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16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35" i="1" l="1"/>
  <c r="IS37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F23" i="1" l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<sst xmlns="http://schemas.openxmlformats.org/spreadsheetml/2006/main" count="734" uniqueCount="391">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</sst>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28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89.900000014438206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-7.2400218359058577E-2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0.29530089062748616</v>
      </c>
      <c r="D9" s="704">
        <v>-0.4046012202772804</v>
      </c>
      <c r="E9" s="705">
        <v>-0.93969263802333458</v>
      </c>
      <c r="F9" s="703">
        <v>-7.4026687011984602E-2</v>
      </c>
      <c r="G9" s="706">
        <v>0.33391285637839119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0.29530089062748616</v>
      </c>
      <c r="P9" s="625">
        <f t="shared" ref="P9:P40" si="4">IF(M9="","",D9)</f>
        <v>-0.4046012202772804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0.29530089062748616</v>
      </c>
      <c r="S9" s="626">
        <f>IF(M9="","",P9)</f>
        <v>-0.4046012202772804</v>
      </c>
      <c r="T9" s="627">
        <f>IF(M9="","",X9*COS(RADIANS(W9)))</f>
        <v>0.2953004408587534</v>
      </c>
      <c r="U9" s="624">
        <f>IF(M9="","",X9*SIN(RADIANS(W9)))</f>
        <v>5.1539694647317934E-4</v>
      </c>
      <c r="V9" s="628">
        <f>IF(M9="","",Y9)</f>
        <v>-0.4046012202772804</v>
      </c>
      <c r="W9" s="583">
        <f t="shared" ref="W9:W14" si="5">IF(M9="","",IF(Q9-$Q$8&lt;0,360+Q9-$Q$8,Q9-$Q$8))</f>
        <v>9.9999985561794347E-2</v>
      </c>
      <c r="X9" s="629">
        <f>IF(M9="","",R9)</f>
        <v>0.29530089062748616</v>
      </c>
      <c r="Y9" s="630">
        <f>IF(M9="","",S9)</f>
        <v>-0.4046012202772804</v>
      </c>
      <c r="Z9" s="623">
        <f t="shared" ref="Z9:Z40" si="6">IF(M9="","",-E9)</f>
        <v>0.93969263802333458</v>
      </c>
      <c r="AA9" s="624">
        <f t="shared" ref="AA9:AA40" si="7">IF(M9="","",-F9)</f>
        <v>7.4026687011984602E-2</v>
      </c>
      <c r="AB9" s="624">
        <f t="shared" ref="AB9:AB40" si="8">IF(M9="","",-G9)</f>
        <v>-0.33391285637839119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7.4026687011984602E-2</v>
      </c>
      <c r="AF9" s="625">
        <f>IF(M9="","",AB9*(1/SQRT(Z9^2+AA9^2+AB9^2)))</f>
        <v>-0.33391285637839119</v>
      </c>
      <c r="AG9" s="599">
        <f>IF(M9="","",DEGREES(ATAN2(-AF9,AE9)))</f>
        <v>12.49999819522356</v>
      </c>
      <c r="AH9" s="600">
        <f>IF(M9="","",DEGREES(ACOS(AD9)))</f>
        <v>19.999997112357679</v>
      </c>
      <c r="AI9" s="583">
        <f>IF(M9="","",DEGREES(-ACOS(-AF9)))</f>
        <v>-70.493557137026102</v>
      </c>
      <c r="AJ9" s="601">
        <f>IF(M9="","",DEGREES(ATAN2(-AE9,AD9)))</f>
        <v>94.504318914165438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7.4026687011984602E-2</v>
      </c>
      <c r="AM9" s="626">
        <f>IF(M9="","",AF9)</f>
        <v>-0.33391285637839119</v>
      </c>
      <c r="AN9" s="581">
        <f>IF(M9="","",DEGREES(ATAN2(-AM9,AL9)))</f>
        <v>12.49999819522356</v>
      </c>
      <c r="AO9" s="582">
        <f>IF(ROUND(IF(M9="",0,DEGREES(ACOS(AK9))),4)=90,0,IF(M9="","",DEGREES(ACOS(AK9))))</f>
        <v>19.999997112357679</v>
      </c>
      <c r="AP9" s="781">
        <f>IF(M9="","",DEGREES(ATAN2(AK9,AL9)))</f>
        <v>4.5043189141654398</v>
      </c>
      <c r="AQ9" s="584">
        <f t="shared" ref="AQ9:AQ40" si="9">IF(M9="","",DEGREES(ATAN(($AS$5*SIN(RADIANS(90)))/(($X9*2*PI())-($AS$5*COS(RADIANS(90)))))))</f>
        <v>7.6737967560026847</v>
      </c>
      <c r="AS9" s="51">
        <f>IF(M9="","",W9)</f>
        <v>9.9999985561794347E-2</v>
      </c>
      <c r="AT9" s="71">
        <f t="shared" ref="AT9:AT40" si="10">IF(M9="","",Y9+(((AS9-$AS$9)*$AS$6)*-1))</f>
        <v>-0.4046012202772804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22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0.9476028579702197</v>
      </c>
      <c r="D10" s="709">
        <v>-0.3179009587892917</v>
      </c>
      <c r="E10" s="710">
        <v>-0.97629601393762733</v>
      </c>
      <c r="F10" s="708">
        <v>-4.6846093169500232E-2</v>
      </c>
      <c r="G10" s="711">
        <v>0.21130910232229644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0.9476028579702197</v>
      </c>
      <c r="P10" s="633">
        <f t="shared" si="4"/>
        <v>-0.3179009587892917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0.9476028579702197</v>
      </c>
      <c r="S10" s="634">
        <f t="shared" ref="S10:S105" si="80">IF(M10="","",P10)</f>
        <v>-0.3179009587892917</v>
      </c>
      <c r="T10" s="635">
        <f t="shared" ref="T10:T105" si="81">IF(M10="","",X10*COS(RADIANS(W10)))</f>
        <v>0.94760141468931502</v>
      </c>
      <c r="U10" s="629">
        <f t="shared" ref="U10:U105" si="82">IF(M10="","",X10*SIN(RADIANS(W10)))</f>
        <v>1.6538779088316451E-3</v>
      </c>
      <c r="V10" s="636">
        <f>IF(M10="","",Y10)</f>
        <v>-0.3179009587892917</v>
      </c>
      <c r="W10" s="585">
        <f t="shared" si="5"/>
        <v>9.9999985561794347E-2</v>
      </c>
      <c r="X10" s="629">
        <f t="shared" ref="X10:X105" si="83">IF(M10="","",R10)</f>
        <v>0.9476028579702197</v>
      </c>
      <c r="Y10" s="630">
        <f>IF(M10="","",S10)</f>
        <v>-0.3179009587892917</v>
      </c>
      <c r="Z10" s="632">
        <f t="shared" si="6"/>
        <v>0.97629601393762733</v>
      </c>
      <c r="AA10" s="629">
        <f t="shared" si="7"/>
        <v>4.6846093169500232E-2</v>
      </c>
      <c r="AB10" s="629">
        <f t="shared" si="8"/>
        <v>-0.21130910232229644</v>
      </c>
      <c r="AC10" s="636">
        <f t="shared" ref="AC10:AC105" si="84">IF(M10="","",SQRT(Z10^2+AA10^2+AB10^2))</f>
        <v>1</v>
      </c>
      <c r="AD10" s="637">
        <f>IF(M10="","",Z10*(1/SQRT(Z10^2+AA10^2+AB10^2)))</f>
        <v>0.97629601393762733</v>
      </c>
      <c r="AE10" s="629">
        <f t="shared" ref="AE10:AE105" si="85">IF(M10="","",AA10*(1/SQRT(Z10^2+AA10^2+AB10^2)))</f>
        <v>4.6846093169500232E-2</v>
      </c>
      <c r="AF10" s="633">
        <f t="shared" ref="AF10:AF105" si="86">IF(M10="","",AB10*(1/SQRT(Z10^2+AA10^2+AB10^2)))</f>
        <v>-0.21130910232229644</v>
      </c>
      <c r="AG10" s="602">
        <f t="shared" ref="AG10:AG105" si="87">IF(M10="","",DEGREES(ATAN2(-AF10,AE10)))</f>
        <v>12.499998195223556</v>
      </c>
      <c r="AH10" s="603">
        <f t="shared" ref="AH10:AH105" si="88">IF(M10="","",DEGREES(ACOS(AD10)))</f>
        <v>12.499998195223544</v>
      </c>
      <c r="AI10" s="585">
        <f t="shared" ref="AI10:AI105" si="89">IF(M10="","",DEGREES(-ACOS(-AF10)))</f>
        <v>-77.800919983022339</v>
      </c>
      <c r="AJ10" s="586">
        <f t="shared" ref="AJ10:AJ105" si="90">IF(M10="","",DEGREES(ATAN2(-AE10,AD10)))</f>
        <v>92.747144584757805</v>
      </c>
      <c r="AK10" s="635">
        <f>IF(M10="","",(COS(RADIANS((90-$Q$8)-W10))*AD10)+(-SIN(RADIANS((90-$Q$8)-W10))*AE10))</f>
        <v>0.97629601393762733</v>
      </c>
      <c r="AL10" s="629">
        <f t="shared" ref="AL10:AL105" si="91">IF(M10="","",(SIN(RADIANS((90-$Q$8)-W10))*AD10)+(COS(RADIANS((90-$Q$8)-W10))*AE10))</f>
        <v>4.6846093169500232E-2</v>
      </c>
      <c r="AM10" s="634">
        <f t="shared" ref="AM10:AM105" si="92">IF(M10="","",AF10)</f>
        <v>-0.21130910232229644</v>
      </c>
      <c r="AN10" s="581">
        <f t="shared" ref="AN10:AN105" si="93">IF(M10="","",DEGREES(ATAN2(-AM10,AL10)))</f>
        <v>12.499998195223556</v>
      </c>
      <c r="AO10" s="582">
        <f t="shared" ref="AO10:AO54" si="94">IF(ROUND(IF(M10="",0,DEGREES(ACOS(AK10))),4)=90,0,IF(M10="","",DEGREES(ACOS(AK10))))</f>
        <v>12.499998195223544</v>
      </c>
      <c r="AP10" s="585">
        <f t="shared" ref="AP10:AP105" si="95">IF(M10="","",DEGREES(ATAN2(AK10,AL10)))</f>
        <v>2.7471445847578089</v>
      </c>
      <c r="AQ10" s="586">
        <f t="shared" si="9"/>
        <v>2.4043704194043869</v>
      </c>
      <c r="AS10" s="52">
        <f>IF($M10="","",IF(AND($W10&lt;($AS$9+180),$W10&gt;($AS$9-180)),$W10,IF($W10&gt;($AS$9+180),$W10-360,IF($W10&lt;($AS$9-180),$W10+360,"Error"))))</f>
        <v>9.9999985561794347E-2</v>
      </c>
      <c r="AT10" s="72">
        <f t="shared" si="10"/>
        <v>-0.3179009587892917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6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1.6369049369052899</v>
      </c>
      <c r="D11" s="709">
        <v>-0.16510049794310178</v>
      </c>
      <c r="E11" s="710">
        <v>-0.97629601393762733</v>
      </c>
      <c r="F11" s="708">
        <v>-4.6846093169500225E-2</v>
      </c>
      <c r="G11" s="711">
        <v>0.21130910232229644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1.6369049369052899</v>
      </c>
      <c r="P11" s="633">
        <f t="shared" si="4"/>
        <v>-0.16510049794310178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1.6369049369052899</v>
      </c>
      <c r="S11" s="634">
        <f t="shared" si="80"/>
        <v>-0.16510049794310178</v>
      </c>
      <c r="T11" s="635">
        <f t="shared" si="81"/>
        <v>1.6369024437578512</v>
      </c>
      <c r="U11" s="629">
        <f t="shared" si="82"/>
        <v>2.8569362061698187E-3</v>
      </c>
      <c r="V11" s="636">
        <f t="shared" ref="V11:V105" si="114">IF(M11="","",Y11)</f>
        <v>-0.16510049794310178</v>
      </c>
      <c r="W11" s="585">
        <f t="shared" si="5"/>
        <v>9.9999985561794347E-2</v>
      </c>
      <c r="X11" s="629">
        <f>IF(M11="","",R11)</f>
        <v>1.6369049369052899</v>
      </c>
      <c r="Y11" s="630">
        <f>IF(M11="","",S11)</f>
        <v>-0.16510049794310178</v>
      </c>
      <c r="Z11" s="632">
        <f t="shared" si="6"/>
        <v>0.97629601393762733</v>
      </c>
      <c r="AA11" s="629">
        <f t="shared" si="7"/>
        <v>4.6846093169500225E-2</v>
      </c>
      <c r="AB11" s="629">
        <f t="shared" si="8"/>
        <v>-0.21130910232229644</v>
      </c>
      <c r="AC11" s="636">
        <f t="shared" si="84"/>
        <v>1</v>
      </c>
      <c r="AD11" s="637">
        <f t="shared" ref="AD11:AD105" si="115">IF(M11="","",Z11*(1/SQRT(Z11^2+AA11^2+AB11^2)))</f>
        <v>0.97629601393762733</v>
      </c>
      <c r="AE11" s="629">
        <f t="shared" si="85"/>
        <v>4.6846093169500225E-2</v>
      </c>
      <c r="AF11" s="633">
        <f t="shared" si="86"/>
        <v>-0.21130910232229644</v>
      </c>
      <c r="AG11" s="602">
        <f>IF(M11="","",DEGREES(ATAN2(-AF11,AE11)))</f>
        <v>12.499998195223554</v>
      </c>
      <c r="AH11" s="603">
        <f t="shared" si="88"/>
        <v>12.499998195223544</v>
      </c>
      <c r="AI11" s="585">
        <f t="shared" si="89"/>
        <v>-77.800919983022339</v>
      </c>
      <c r="AJ11" s="586">
        <f t="shared" si="90"/>
        <v>92.747144584757805</v>
      </c>
      <c r="AK11" s="635">
        <f>IF(M11="","",(COS(RADIANS((90-$Q$8)-W11))*AD11)+(-SIN(RADIANS((90-$Q$8)-W11))*AE11))</f>
        <v>0.97629601393762733</v>
      </c>
      <c r="AL11" s="629">
        <f t="shared" si="91"/>
        <v>4.6846093169500225E-2</v>
      </c>
      <c r="AM11" s="634">
        <f t="shared" si="92"/>
        <v>-0.21130910232229644</v>
      </c>
      <c r="AN11" s="581">
        <f>IF(M11="","",DEGREES(ATAN2(-AM11,AL11)))</f>
        <v>12.499998195223554</v>
      </c>
      <c r="AO11" s="582">
        <f>IF(ROUND(IF(M11="",0,DEGREES(ACOS(AK11))),4)=90,0,IF(M11="","",DEGREES(ACOS(AK11))))</f>
        <v>12.499998195223544</v>
      </c>
      <c r="AP11" s="585">
        <f t="shared" si="95"/>
        <v>2.7471445847578084</v>
      </c>
      <c r="AQ11" s="586">
        <f t="shared" si="9"/>
        <v>1.3924313816361913</v>
      </c>
      <c r="AS11" s="52">
        <f t="shared" ref="AS11:AS42" si="116">IF(G11="","",IF(AND(W11&lt;(AS10+180),W11&gt;(AS10-180)),W11,IF(W11&gt;(AS10+180),W11-360,IF(W11&lt;(AS10-180),W11+360,"Error"))))</f>
        <v>9.9999985561794347E-2</v>
      </c>
      <c r="AT11" s="72">
        <f t="shared" si="10"/>
        <v>-0.16510049794310178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4.259835175269267E-3</v>
      </c>
      <c r="C12" s="708">
        <v>2.4407036437655245</v>
      </c>
      <c r="D12" s="709">
        <v>-7.2400218359058577E-2</v>
      </c>
      <c r="E12" s="710">
        <v>-0.96555418818790617</v>
      </c>
      <c r="F12" s="708">
        <v>4.8575311728644169E-2</v>
      </c>
      <c r="G12" s="711">
        <v>0.25562775428982421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4.259835175269267E-3</v>
      </c>
      <c r="O12" s="629">
        <f t="shared" si="3"/>
        <v>2.4407036437655245</v>
      </c>
      <c r="P12" s="633">
        <f t="shared" si="4"/>
        <v>-7.2400218359058577E-2</v>
      </c>
      <c r="Q12" s="585">
        <f>IF(M12="","",IF(DEGREES(ATAN2(N12,O12))&lt;0,DEGREES(ATAN2(N12,O12))+360,IF(DEGREES(ATAN2(N12,O12))&gt;360,DEGREES(ATAN2(N12,O12))-360,DEGREES(ATAN2(N12,O12)))))</f>
        <v>89.900000014438206</v>
      </c>
      <c r="R12" s="629">
        <f t="shared" si="79"/>
        <v>2.4407073611734016</v>
      </c>
      <c r="S12" s="634">
        <f t="shared" si="80"/>
        <v>-7.2400218359058577E-2</v>
      </c>
      <c r="T12" s="635">
        <f>IF(M12="","",X12*COS(RADIANS(W12)))</f>
        <v>2.4407073611734016</v>
      </c>
      <c r="U12" s="629">
        <f t="shared" si="82"/>
        <v>0</v>
      </c>
      <c r="V12" s="636">
        <f t="shared" si="114"/>
        <v>-7.2400218359058577E-2</v>
      </c>
      <c r="W12" s="585">
        <f>IF(M12="","",IF(Q12-$Q$8&lt;0,360+Q12-$Q$8,Q12-$Q$8))</f>
        <v>0</v>
      </c>
      <c r="X12" s="629">
        <f t="shared" si="83"/>
        <v>2.4407073611734016</v>
      </c>
      <c r="Y12" s="630">
        <f>IF(M12="","",S12)</f>
        <v>-7.2400218359058577E-2</v>
      </c>
      <c r="Z12" s="632">
        <f t="shared" si="6"/>
        <v>0.96555418818790617</v>
      </c>
      <c r="AA12" s="629">
        <f t="shared" si="7"/>
        <v>-4.8575311728644169E-2</v>
      </c>
      <c r="AB12" s="629">
        <f t="shared" si="8"/>
        <v>-0.25562775428982421</v>
      </c>
      <c r="AC12" s="636">
        <f t="shared" si="84"/>
        <v>1</v>
      </c>
      <c r="AD12" s="637">
        <f t="shared" si="115"/>
        <v>0.96555418818790617</v>
      </c>
      <c r="AE12" s="629">
        <f t="shared" si="85"/>
        <v>-4.8575311728644169E-2</v>
      </c>
      <c r="AF12" s="633">
        <f t="shared" si="86"/>
        <v>-0.25562775428982421</v>
      </c>
      <c r="AG12" s="602">
        <f t="shared" si="87"/>
        <v>-10.759273361321878</v>
      </c>
      <c r="AH12" s="603">
        <f t="shared" si="88"/>
        <v>15.08205173562353</v>
      </c>
      <c r="AI12" s="585">
        <f t="shared" si="89"/>
        <v>-75.189214284136909</v>
      </c>
      <c r="AJ12" s="586">
        <f t="shared" si="90"/>
        <v>87.119979426156632</v>
      </c>
      <c r="AK12" s="635">
        <f t="shared" ref="AK12:AK105" si="211">IF(M12="","",(COS(RADIANS((90-$Q$8)-W12))*AD12)+(-SIN(RADIANS((90-$Q$8)-W12))*AE12))</f>
        <v>0.96563749742277849</v>
      </c>
      <c r="AL12" s="629">
        <f>IF(M12="","",(SIN(RADIANS((90-$Q$8)-W12))*AD12)+(COS(RADIANS((90-$Q$8)-W12))*AE12))</f>
        <v>-4.6890028874111138E-2</v>
      </c>
      <c r="AM12" s="634">
        <f t="shared" si="92"/>
        <v>-0.25562775428982421</v>
      </c>
      <c r="AN12" s="581">
        <f>IF(M12="","",DEGREES(ATAN2(-AM12,AL12)))</f>
        <v>-10.394266063783185</v>
      </c>
      <c r="AO12" s="582">
        <f t="shared" si="94"/>
        <v>15.063696359725913</v>
      </c>
      <c r="AP12" s="585">
        <f t="shared" si="95"/>
        <v>-2.7800205882815745</v>
      </c>
      <c r="AQ12" s="586">
        <f t="shared" si="9"/>
        <v>0.93396068180073277</v>
      </c>
      <c r="AS12" s="52">
        <f t="shared" si="116"/>
        <v>0</v>
      </c>
      <c r="AT12" s="72">
        <f>IF(M12="","",Y12+(((AS12-$AS$9)*$AS$6)*-1))</f>
        <v>-7.2330773924640671E-2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4.4246120290555052E-2</v>
      </c>
      <c r="C13" s="708">
        <v>3.2088046388964617</v>
      </c>
      <c r="D13" s="709">
        <v>-0.42620128542307684</v>
      </c>
      <c r="E13" s="710">
        <v>-0.95528438620329781</v>
      </c>
      <c r="F13" s="708">
        <v>0.21942601849815399</v>
      </c>
      <c r="G13" s="711">
        <v>0.19820182613244619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4.4246120290555052E-2</v>
      </c>
      <c r="O13" s="629">
        <f t="shared" si="3"/>
        <v>3.2088046388964617</v>
      </c>
      <c r="P13" s="633">
        <f t="shared" si="4"/>
        <v>-0.42620128542307684</v>
      </c>
      <c r="Q13" s="585">
        <f t="shared" si="113"/>
        <v>89.21000011406187</v>
      </c>
      <c r="R13" s="629">
        <f t="shared" si="79"/>
        <v>3.2091096786747908</v>
      </c>
      <c r="S13" s="634">
        <f t="shared" si="80"/>
        <v>-0.42620128542307684</v>
      </c>
      <c r="T13" s="635">
        <f>IF(M13="","",X13*COS(RADIANS(W13)))</f>
        <v>3.2088769756078395</v>
      </c>
      <c r="U13" s="629">
        <f t="shared" si="82"/>
        <v>-3.8645635951604286E-2</v>
      </c>
      <c r="V13" s="636">
        <f t="shared" si="114"/>
        <v>-0.42620128542307684</v>
      </c>
      <c r="W13" s="585">
        <f t="shared" si="5"/>
        <v>359.31000009962366</v>
      </c>
      <c r="X13" s="629">
        <f t="shared" si="83"/>
        <v>3.2091096786747908</v>
      </c>
      <c r="Y13" s="630">
        <f>IF(M13="","",S13)</f>
        <v>-0.42620128542307684</v>
      </c>
      <c r="Z13" s="632">
        <f t="shared" si="6"/>
        <v>0.95528438620329781</v>
      </c>
      <c r="AA13" s="629">
        <f t="shared" si="7"/>
        <v>-0.21942601849815399</v>
      </c>
      <c r="AB13" s="629">
        <f t="shared" si="8"/>
        <v>-0.19820182613244619</v>
      </c>
      <c r="AC13" s="636">
        <f t="shared" si="84"/>
        <v>1</v>
      </c>
      <c r="AD13" s="637">
        <f>IF(M13="","",Z13*(1/SQRT(Z13^2+AA13^2+AB13^2)))</f>
        <v>0.95528438620329781</v>
      </c>
      <c r="AE13" s="629">
        <f t="shared" si="85"/>
        <v>-0.21942601849815399</v>
      </c>
      <c r="AF13" s="633">
        <f t="shared" si="86"/>
        <v>-0.19820182613244619</v>
      </c>
      <c r="AG13" s="602">
        <f>IF(M13="","",DEGREES(ATAN2(-AF13,AE13)))</f>
        <v>-47.909315925870523</v>
      </c>
      <c r="AH13" s="603">
        <f t="shared" si="88"/>
        <v>17.198832748137196</v>
      </c>
      <c r="AI13" s="585">
        <f t="shared" si="89"/>
        <v>-78.568173618432297</v>
      </c>
      <c r="AJ13" s="586">
        <f t="shared" si="90"/>
        <v>77.063721496988848</v>
      </c>
      <c r="AK13" s="635">
        <f t="shared" si="211"/>
        <v>0.9582189541099414</v>
      </c>
      <c r="AL13" s="629">
        <f t="shared" si="91"/>
        <v>-0.20623402265924404</v>
      </c>
      <c r="AM13" s="634">
        <f t="shared" si="92"/>
        <v>-0.19820182613244619</v>
      </c>
      <c r="AN13" s="581">
        <f t="shared" si="93"/>
        <v>-46.137758855878843</v>
      </c>
      <c r="AO13" s="582">
        <f t="shared" si="94"/>
        <v>16.620768790533234</v>
      </c>
      <c r="AP13" s="585">
        <f t="shared" si="95"/>
        <v>-12.146278617073001</v>
      </c>
      <c r="AQ13" s="586">
        <f t="shared" si="9"/>
        <v>0.71035584701007326</v>
      </c>
      <c r="AS13" s="52">
        <f t="shared" si="116"/>
        <v>-0.68999990037633552</v>
      </c>
      <c r="AT13" s="72">
        <f t="shared" si="10"/>
        <v>-0.42565267439117538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8.5059523188452266E-2</v>
      </c>
      <c r="C14" s="708">
        <v>3.6363162638777955</v>
      </c>
      <c r="D14" s="709">
        <v>-1.1557034856017125</v>
      </c>
      <c r="E14" s="710">
        <v>-0.8910108137259598</v>
      </c>
      <c r="F14" s="708">
        <v>0.42827112235725567</v>
      </c>
      <c r="G14" s="711">
        <v>0.15061067551226104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8.5059523188452266E-2</v>
      </c>
      <c r="O14" s="629">
        <f t="shared" si="3"/>
        <v>3.6363162638777955</v>
      </c>
      <c r="P14" s="633">
        <f t="shared" si="4"/>
        <v>-1.1557034856017125</v>
      </c>
      <c r="Q14" s="585">
        <f t="shared" si="113"/>
        <v>88.660000193472044</v>
      </c>
      <c r="R14" s="629">
        <f t="shared" si="79"/>
        <v>3.6373109701298865</v>
      </c>
      <c r="S14" s="634">
        <f t="shared" si="80"/>
        <v>-1.1557034856017125</v>
      </c>
      <c r="T14" s="635">
        <f t="shared" si="81"/>
        <v>3.6364591822315875</v>
      </c>
      <c r="U14" s="629">
        <f t="shared" si="82"/>
        <v>-7.871282862906534E-2</v>
      </c>
      <c r="V14" s="636">
        <f t="shared" si="114"/>
        <v>-1.1557034856017125</v>
      </c>
      <c r="W14" s="585">
        <f t="shared" si="5"/>
        <v>358.76000017903385</v>
      </c>
      <c r="X14" s="629">
        <f t="shared" si="83"/>
        <v>3.6373109701298865</v>
      </c>
      <c r="Y14" s="630">
        <f t="shared" ref="Y14:Y75" si="223">IF(M14="","",S14)</f>
        <v>-1.1557034856017125</v>
      </c>
      <c r="Z14" s="632">
        <f t="shared" si="6"/>
        <v>0.8910108137259598</v>
      </c>
      <c r="AA14" s="629">
        <f t="shared" si="7"/>
        <v>-0.42827112235725567</v>
      </c>
      <c r="AB14" s="629">
        <f t="shared" si="8"/>
        <v>-0.15061067551226104</v>
      </c>
      <c r="AC14" s="636">
        <f t="shared" si="84"/>
        <v>1</v>
      </c>
      <c r="AD14" s="637">
        <f>IF(M14="","",Z14*(1/SQRT(Z14^2+AA14^2+AB14^2)))</f>
        <v>0.8910108137259598</v>
      </c>
      <c r="AE14" s="629">
        <f t="shared" si="85"/>
        <v>-0.42827112235725567</v>
      </c>
      <c r="AF14" s="633">
        <f t="shared" si="86"/>
        <v>-0.15061067551226104</v>
      </c>
      <c r="AG14" s="602">
        <f t="shared" si="87"/>
        <v>-70.624688525570235</v>
      </c>
      <c r="AH14" s="603">
        <f t="shared" si="88"/>
        <v>26.999458634753278</v>
      </c>
      <c r="AI14" s="585">
        <f t="shared" si="89"/>
        <v>-81.337682254014567</v>
      </c>
      <c r="AJ14" s="586">
        <f t="shared" si="90"/>
        <v>64.328379551061289</v>
      </c>
      <c r="AK14" s="635">
        <f>IF(M14="","",(COS(RADIANS((90-$Q$8)-W14))*AD14)+(-SIN(RADIANS((90-$Q$8)-W14))*AE14))</f>
        <v>0.90078238501251606</v>
      </c>
      <c r="AL14" s="629">
        <f t="shared" si="91"/>
        <v>-0.40731746742915864</v>
      </c>
      <c r="AM14" s="634">
        <f t="shared" si="92"/>
        <v>-0.15061067551226104</v>
      </c>
      <c r="AN14" s="581">
        <f t="shared" si="93"/>
        <v>-69.707502513724322</v>
      </c>
      <c r="AO14" s="582">
        <f t="shared" si="94"/>
        <v>25.738900416767855</v>
      </c>
      <c r="AP14" s="585">
        <f>IF(M14="","",DEGREES(ATAN2(AK14,AL14)))</f>
        <v>-24.331620642410758</v>
      </c>
      <c r="AQ14" s="586">
        <f t="shared" si="9"/>
        <v>0.62673654365109366</v>
      </c>
      <c r="AS14" s="52">
        <f t="shared" si="116"/>
        <v>-1.2399998209661476</v>
      </c>
      <c r="AT14" s="72">
        <f t="shared" si="10"/>
        <v>-1.1547729301805125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9.8224045200838217E-2</v>
      </c>
      <c r="C15" s="708">
        <v>3.7510254939699514</v>
      </c>
      <c r="D15" s="709">
        <v>-1.9572059029330033</v>
      </c>
      <c r="E15" s="710">
        <v>-0.80385691532778314</v>
      </c>
      <c r="F15" s="708">
        <v>0.59482271281423382</v>
      </c>
      <c r="G15" s="711">
        <v>1.3008419216229392E-7</v>
      </c>
      <c r="H15" s="710">
        <v>0.26600000000000001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872" t="str">
        <f>IF($L14=$JH$22,$JH$29,IF($L14=$JI$22,$JI$29,""))</f>
        <v/>
      </c>
      <c r="M15" s="168">
        <f t="shared" si="1"/>
        <v>1.1259999999999999</v>
      </c>
      <c r="N15" s="632">
        <f t="shared" si="2"/>
        <v>9.8224045200838217E-2</v>
      </c>
      <c r="O15" s="629">
        <f t="shared" si="3"/>
        <v>3.7510254939699514</v>
      </c>
      <c r="P15" s="633">
        <f t="shared" si="4"/>
        <v>-1.9572059029330033</v>
      </c>
      <c r="Q15" s="585">
        <f t="shared" si="113"/>
        <v>88.50000021657317</v>
      </c>
      <c r="R15" s="629">
        <f t="shared" si="79"/>
        <v>3.7523113169709328</v>
      </c>
      <c r="S15" s="634">
        <f t="shared" si="80"/>
        <v>-1.9572059029330033</v>
      </c>
      <c r="T15" s="635">
        <f t="shared" si="81"/>
        <v>3.7511912140220645</v>
      </c>
      <c r="U15" s="629">
        <f t="shared" si="82"/>
        <v>-9.1677125346542432E-2</v>
      </c>
      <c r="V15" s="636">
        <f t="shared" si="114"/>
        <v>-1.9572059029330033</v>
      </c>
      <c r="W15" s="585">
        <f t="shared" ref="W15:W78" si="224">IF(M15="","",IF(Q15-$Q$8&lt;0,360+Q15-$Q$8,Q15-$Q$8))</f>
        <v>358.60000020213499</v>
      </c>
      <c r="X15" s="629">
        <f>IF(M15="","",R15)</f>
        <v>3.7523113169709328</v>
      </c>
      <c r="Y15" s="630">
        <f>IF(M15="","",S15)</f>
        <v>-1.9572059029330033</v>
      </c>
      <c r="Z15" s="632">
        <f t="shared" si="6"/>
        <v>0.80385691532778314</v>
      </c>
      <c r="AA15" s="629">
        <f t="shared" si="7"/>
        <v>-0.59482271281423382</v>
      </c>
      <c r="AB15" s="629">
        <f t="shared" si="8"/>
        <v>-1.3008419216229392E-7</v>
      </c>
      <c r="AC15" s="636">
        <f t="shared" si="84"/>
        <v>1</v>
      </c>
      <c r="AD15" s="637">
        <f t="shared" si="115"/>
        <v>0.80385691532778314</v>
      </c>
      <c r="AE15" s="629">
        <f t="shared" si="85"/>
        <v>-0.59482271281423382</v>
      </c>
      <c r="AF15" s="633">
        <f t="shared" si="86"/>
        <v>-1.3008419216229392E-7</v>
      </c>
      <c r="AG15" s="602">
        <f t="shared" si="87"/>
        <v>-89.999987469753535</v>
      </c>
      <c r="AH15" s="603">
        <f t="shared" si="88"/>
        <v>36.499994730052741</v>
      </c>
      <c r="AI15" s="585">
        <f t="shared" si="89"/>
        <v>-89.999992546724812</v>
      </c>
      <c r="AJ15" s="586">
        <f t="shared" si="90"/>
        <v>53.500005269947906</v>
      </c>
      <c r="AK15" s="635">
        <f t="shared" si="211"/>
        <v>0.81915209487729157</v>
      </c>
      <c r="AL15" s="629">
        <f t="shared" si="91"/>
        <v>-0.57357636410344504</v>
      </c>
      <c r="AM15" s="634">
        <f t="shared" si="92"/>
        <v>-1.3008419216229392E-7</v>
      </c>
      <c r="AN15" s="581">
        <f>IF(M15="","",DEGREES(ATAN2(-AM15,AL15)))</f>
        <v>-89.999987005609626</v>
      </c>
      <c r="AO15" s="582">
        <f t="shared" si="94"/>
        <v>34.999994946625989</v>
      </c>
      <c r="AP15" s="585">
        <f t="shared" si="95"/>
        <v>-34.9999949466253</v>
      </c>
      <c r="AQ15" s="586">
        <f t="shared" si="9"/>
        <v>0.60752986643570983</v>
      </c>
      <c r="AS15" s="52">
        <f t="shared" si="116"/>
        <v>-1.3999997978650072</v>
      </c>
      <c r="AT15" s="72">
        <f t="shared" si="10"/>
        <v>-1.9561642364167346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0.89098471897643883</v>
      </c>
      <c r="C16" s="708">
        <v>0.26426021337369465</v>
      </c>
      <c r="D16" s="709">
        <v>-0.3797023414739551</v>
      </c>
      <c r="E16" s="710">
        <v>-0.20750512638251031</v>
      </c>
      <c r="F16" s="708">
        <v>-6.1544420498756081E-2</v>
      </c>
      <c r="G16" s="711">
        <v>0.97629601393760224</v>
      </c>
      <c r="H16" s="710">
        <v>0.22499999999999998</v>
      </c>
      <c r="I16" s="708">
        <v>0.33200000000000002</v>
      </c>
      <c r="J16" s="570">
        <v>1.204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1.204</v>
      </c>
      <c r="N16" s="632">
        <f t="shared" si="2"/>
        <v>0.89098471897643883</v>
      </c>
      <c r="O16" s="629">
        <f t="shared" si="3"/>
        <v>0.26426021337369465</v>
      </c>
      <c r="P16" s="633">
        <f t="shared" si="4"/>
        <v>-0.3797023414739551</v>
      </c>
      <c r="Q16" s="585">
        <f>IF(M16="","",IF(DEGREES(ATAN2(N16,O16))&lt;0,DEGREES(ATAN2(N16,O16))+360,IF(DEGREES(ATAN2(N16,O16))&gt;360,DEGREES(ATAN2(N16,O16))-360,DEGREES(ATAN2(N16,O16)))))</f>
        <v>16.52001060919784</v>
      </c>
      <c r="R16" s="629">
        <f t="shared" si="79"/>
        <v>0.92934774429264866</v>
      </c>
      <c r="S16" s="634">
        <f t="shared" si="80"/>
        <v>-0.3797023414739551</v>
      </c>
      <c r="T16" s="635">
        <f t="shared" si="81"/>
        <v>0.26581487156167988</v>
      </c>
      <c r="U16" s="629">
        <f t="shared" si="82"/>
        <v>-0.8905221411500569</v>
      </c>
      <c r="V16" s="636">
        <f t="shared" si="114"/>
        <v>-0.3797023414739551</v>
      </c>
      <c r="W16" s="585">
        <f>IF(M16="","",IF(Q16-$Q$8&lt;0,360+Q16-$Q$8,Q16-$Q$8))</f>
        <v>286.62001059475961</v>
      </c>
      <c r="X16" s="629">
        <f t="shared" si="83"/>
        <v>0.92934774429264866</v>
      </c>
      <c r="Y16" s="630">
        <f t="shared" si="223"/>
        <v>-0.3797023414739551</v>
      </c>
      <c r="Z16" s="632">
        <f t="shared" si="6"/>
        <v>0.20750512638251031</v>
      </c>
      <c r="AA16" s="629">
        <f t="shared" si="7"/>
        <v>6.1544420498756081E-2</v>
      </c>
      <c r="AB16" s="629">
        <f t="shared" si="8"/>
        <v>-0.97629601393760224</v>
      </c>
      <c r="AC16" s="636">
        <f t="shared" si="84"/>
        <v>1</v>
      </c>
      <c r="AD16" s="637">
        <f t="shared" si="115"/>
        <v>0.20750512638251031</v>
      </c>
      <c r="AE16" s="629">
        <f t="shared" si="85"/>
        <v>6.1544420498756081E-2</v>
      </c>
      <c r="AF16" s="633">
        <f t="shared" si="86"/>
        <v>-0.97629601393760224</v>
      </c>
      <c r="AG16" s="602">
        <f t="shared" si="87"/>
        <v>3.6070778341366379</v>
      </c>
      <c r="AH16" s="603">
        <f t="shared" si="88"/>
        <v>78.023813786354268</v>
      </c>
      <c r="AI16" s="585">
        <f t="shared" si="89"/>
        <v>-12.499998195230186</v>
      </c>
      <c r="AJ16" s="586">
        <f t="shared" si="90"/>
        <v>106.51995057216483</v>
      </c>
      <c r="AK16" s="635">
        <f t="shared" si="211"/>
        <v>2.2679489661975305E-7</v>
      </c>
      <c r="AL16" s="629">
        <f t="shared" si="91"/>
        <v>0.21643958318546505</v>
      </c>
      <c r="AM16" s="634">
        <f t="shared" si="92"/>
        <v>-0.97629601393760224</v>
      </c>
      <c r="AN16" s="581">
        <f t="shared" si="93"/>
        <v>12.49999819522356</v>
      </c>
      <c r="AO16" s="582">
        <f t="shared" si="94"/>
        <v>0</v>
      </c>
      <c r="AP16" s="585">
        <f t="shared" si="95"/>
        <v>89.999939962967034</v>
      </c>
      <c r="AQ16" s="586">
        <f t="shared" si="9"/>
        <v>2.451542233441943</v>
      </c>
      <c r="AS16" s="52">
        <f t="shared" si="116"/>
        <v>-73.379989405240394</v>
      </c>
      <c r="AT16" s="72">
        <f t="shared" si="10"/>
        <v>-0.32867457106367581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1.204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1.1040000000000001</v>
      </c>
      <c r="II16" s="734" cm="1">
        <f t="array" ref="II16">IFERROR(IF($IH16&lt;1,$IH16+LARGE((IF($M$9:$M$150="",0,$M$9:$M$150)-MOD(IF($M$9:$M$150="",0,$M$9:$M$150),1)),1),$IH16),"")</f>
        <v>1.1040000000000001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73.479989390802189</v>
      </c>
      <c r="IM16" s="759">
        <v>9.4236039366076801E-2</v>
      </c>
      <c r="IN16" s="5">
        <f>IF(ISNUMBER($II16),(($IO16*12)/60)/$AS$3,"")</f>
        <v>0.7</v>
      </c>
      <c r="IO16" s="771">
        <v>350</v>
      </c>
      <c r="IP16" s="9">
        <f>IF(ISNUMBER($II16),(INDEX($X$9:$X$150,MATCH($II16,$M$9:$M$150,0))*-1),"")</f>
        <v>-0.9476028579702197</v>
      </c>
      <c r="IQ16" s="5">
        <f>IF(ISNUMBER($II16),INDEX($Y$9:$Y$150,MATCH($II16,$M$9:$M$150,0)),"")</f>
        <v>-0.3179009587892917</v>
      </c>
      <c r="IR16" s="5">
        <f t="shared" si="71"/>
        <v>0.314</v>
      </c>
      <c r="IS16" s="5">
        <f>IF(ISNUMBER($II16),$IR16*COS(RADIANS(INDEX($AO$9:$AO$150,MATCH($II16,$M$9:$M$150,0)))),"")</f>
        <v>0.30655694837641501</v>
      </c>
      <c r="IT16" s="727">
        <f>IF(ISNUMBER($II16),(-1*INDEX($AN$9:$AN$150,MATCH($II16,$M$9:$M$150,0))),"")</f>
        <v>-12.499998195223556</v>
      </c>
      <c r="IU16" s="9">
        <f>IF(ISNUMBER($II16),-$X16,"")</f>
        <v>-0.92934774429264866</v>
      </c>
      <c r="IV16" s="5">
        <f>IF(ISNUMBER($II16),$Y16,"")</f>
        <v>-0.3797023414739551</v>
      </c>
      <c r="IW16" s="5">
        <f t="shared" si="76"/>
        <v>0.22499999999999998</v>
      </c>
      <c r="IX16" s="5">
        <f>IF(ISNUMBER($II16),$IW16*COS(RADIANS($AO16)),"")</f>
        <v>0.22499999999999998</v>
      </c>
      <c r="IY16" s="762">
        <f>IF(ISNUMBER($II16),(-1*$AN16),"")</f>
        <v>-12.49999819522356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0.93811375207976</v>
      </c>
      <c r="C17" s="708">
        <v>1.3190791630504826</v>
      </c>
      <c r="D17" s="709">
        <v>-0.18461286419520262</v>
      </c>
      <c r="E17" s="710">
        <v>-0.12544112119088835</v>
      </c>
      <c r="F17" s="708">
        <v>-0.17638202369834086</v>
      </c>
      <c r="G17" s="711">
        <v>0.97629601393760224</v>
      </c>
      <c r="H17" s="710">
        <v>0.22499999999999998</v>
      </c>
      <c r="I17" s="708">
        <v>0.33200000000000002</v>
      </c>
      <c r="J17" s="570">
        <v>1.2070000000000001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1.2070000000000001</v>
      </c>
      <c r="N17" s="632">
        <f t="shared" si="2"/>
        <v>0.93811375207976</v>
      </c>
      <c r="O17" s="629">
        <f t="shared" si="3"/>
        <v>1.3190791630504826</v>
      </c>
      <c r="P17" s="633">
        <f t="shared" si="4"/>
        <v>-0.18461286419520262</v>
      </c>
      <c r="Q17" s="585">
        <f>IF(M17="","",IF(DEGREES(ATAN2(N17,O17))&lt;0,DEGREES(ATAN2(N17,O17))+360,IF(DEGREES(ATAN2(N17,O17))&gt;360,DEGREES(ATAN2(N17,O17))-360,DEGREES(ATAN2(N17,O17)))))</f>
        <v>54.580005114014533</v>
      </c>
      <c r="R17" s="629">
        <f>IF(M17="","",SQRT(N17^2+O17^2))</f>
        <v>1.6186498232277193</v>
      </c>
      <c r="S17" s="634">
        <f>IF(M17="","",P17)</f>
        <v>-0.18461286419520262</v>
      </c>
      <c r="T17" s="635">
        <f>IF(M17="","",X17*COS(RADIANS(W17)))</f>
        <v>1.3207144702846616</v>
      </c>
      <c r="U17" s="629">
        <f>IF(M17="","",X17*SIN(RADIANS(W17)))</f>
        <v>-0.93581009730384546</v>
      </c>
      <c r="V17" s="636">
        <f>IF(M17="","",Y17)</f>
        <v>-0.18461286419520262</v>
      </c>
      <c r="W17" s="585">
        <f t="shared" si="224"/>
        <v>324.68000509957631</v>
      </c>
      <c r="X17" s="629">
        <f>IF(M17="","",R17)</f>
        <v>1.6186498232277193</v>
      </c>
      <c r="Y17" s="630">
        <f t="shared" si="223"/>
        <v>-0.18461286419520262</v>
      </c>
      <c r="Z17" s="632">
        <f t="shared" si="6"/>
        <v>0.12544112119088835</v>
      </c>
      <c r="AA17" s="629">
        <f t="shared" si="7"/>
        <v>0.17638202369834086</v>
      </c>
      <c r="AB17" s="629">
        <f t="shared" si="8"/>
        <v>-0.97629601393760224</v>
      </c>
      <c r="AC17" s="636">
        <f>IF(M17="","",SQRT(Z17^2+AA17^2+AB17^2))</f>
        <v>1</v>
      </c>
      <c r="AD17" s="637">
        <f>IF(M17="","",Z17*(1/SQRT(Z17^2+AA17^2+AB17^2)))</f>
        <v>0.12544112119088835</v>
      </c>
      <c r="AE17" s="629">
        <f>IF(M17="","",AA17*(1/SQRT(Z17^2+AA17^2+AB17^2)))</f>
        <v>0.17638202369834086</v>
      </c>
      <c r="AF17" s="633">
        <f>IF(M17="","",AB17*(1/SQRT(Z17^2+AA17^2+AB17^2)))</f>
        <v>-0.97629601393760224</v>
      </c>
      <c r="AG17" s="602">
        <f>IF(M17="","",DEGREES(ATAN2(-AF17,AE17)))</f>
        <v>10.240847209726345</v>
      </c>
      <c r="AH17" s="603">
        <f>IF(M17="","",DEGREES(ACOS(AD17)))</f>
        <v>82.793769321098281</v>
      </c>
      <c r="AI17" s="585">
        <f>IF(M17="","",DEGREES(-ACOS(-AF17)))</f>
        <v>-12.499998195230186</v>
      </c>
      <c r="AJ17" s="586">
        <f>IF(M17="","",DEGREES(ATAN2(-AE17,AD17)))</f>
        <v>144.57994507698155</v>
      </c>
      <c r="AK17" s="635">
        <f>IF(M17="","",(COS(RADIANS((90-$Q$8)-W17))*AD17)+(-SIN(RADIANS((90-$Q$8)-W17))*AE17))</f>
        <v>2.2679489651566964E-7</v>
      </c>
      <c r="AL17" s="629">
        <f>IF(M17="","",(SIN(RADIANS((90-$Q$8)-W17))*AD17)+(COS(RADIANS((90-$Q$8)-W17))*AE17))</f>
        <v>0.21643958318546491</v>
      </c>
      <c r="AM17" s="634">
        <f>IF(M17="","",AF17)</f>
        <v>-0.97629601393760224</v>
      </c>
      <c r="AN17" s="581">
        <f>IF(M17="","",DEGREES(ATAN2(-AM17,AL17)))</f>
        <v>12.499998195223553</v>
      </c>
      <c r="AO17" s="582">
        <f t="shared" si="94"/>
        <v>0</v>
      </c>
      <c r="AP17" s="585">
        <f>IF(M17="","",DEGREES(ATAN2(AK17,AL17)))</f>
        <v>89.999939962967062</v>
      </c>
      <c r="AQ17" s="586">
        <f t="shared" si="9"/>
        <v>1.4081289189411408</v>
      </c>
      <c r="AS17" s="52">
        <f t="shared" si="116"/>
        <v>-35.319994900423694</v>
      </c>
      <c r="AT17" s="72">
        <f t="shared" si="10"/>
        <v>-0.16001564552437936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1.2070000000000001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I17" s="734" cm="1">
        <f t="array" ref="II17">IFERROR(IF($IH17&lt;1,$IH17+LARGE((IF($M$9:$M$150="",0,$M$9:$M$150)-MOD(IF($M$9:$M$150="",0,$M$9:$M$150),1)),1),$IH17),"")</f>
        <v>1.107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35.419994885985489</v>
      </c>
      <c r="IM17" s="759">
        <v>7.6320624620060007E-2</v>
      </c>
      <c r="IN17" s="5">
        <f t="shared" ref="IN17:IN80" si="226">IF(ISNUMBER($II17),(($IO17*12)/60)/$AS$3,"")</f>
        <v>1</v>
      </c>
      <c r="IO17" s="771">
        <v>500</v>
      </c>
      <c r="IP17" s="9">
        <f t="shared" ref="IP17:IP80" si="227">IF(ISNUMBER($II17),(INDEX($X$9:$X$150,MATCH($II17,$M$9:$M$150,0))*-1),"")</f>
        <v>-1.6369049369052899</v>
      </c>
      <c r="IQ17" s="5">
        <f t="shared" ref="IQ17:IQ80" si="228">IF(ISNUMBER($II17),INDEX($Y$9:$Y$150,MATCH($II17,$M$9:$M$150,0)),"")</f>
        <v>-0.16510049794310178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0.30655694837641501</v>
      </c>
      <c r="IT17" s="727">
        <f t="shared" ref="IT17:IT80" si="230">IF(ISNUMBER($II17),(-1*INDEX($AN$9:$AN$150,MATCH($II17,$M$9:$M$150,0))),"")</f>
        <v>-12.499998195223554</v>
      </c>
      <c r="IU17" s="9">
        <f t="shared" ref="IU17:IU80" si="231">IF(ISNUMBER($II17),-$X17,"")</f>
        <v>-1.6186498232277193</v>
      </c>
      <c r="IV17" s="5">
        <f t="shared" ref="IV17:IV80" si="232">IF(ISNUMBER($II17),$Y17,"")</f>
        <v>-0.18461286419520262</v>
      </c>
      <c r="IW17" s="5">
        <f t="shared" si="76"/>
        <v>0.22499999999999998</v>
      </c>
      <c r="IX17" s="5">
        <f t="shared" ref="IX17:IX80" si="233">IF(ISNUMBER($II17),$IW17*COS(RADIANS($AO17)),"")</f>
        <v>0.22499999999999998</v>
      </c>
      <c r="IY17" s="762">
        <f t="shared" ref="IY17:IY80" si="234">IF(ISNUMBER($II17),(-1*$AN17),"")</f>
        <v>-12.499998195223553</v>
      </c>
    </row>
    <row r="18" spans="1:269" ht="15" customHeight="1" x14ac:dyDescent="0.25">
      <c r="A18" s="79"/>
      <c r="B18" s="707">
        <v>2.1329515477621999</v>
      </c>
      <c r="C18" s="708">
        <v>0.77506459143943851</v>
      </c>
      <c r="D18" s="709">
        <v>-6.0900183674953971E-2</v>
      </c>
      <c r="E18" s="710">
        <v>-0.31987542331770963</v>
      </c>
      <c r="F18" s="708">
        <v>0.9160580013728854</v>
      </c>
      <c r="G18" s="711">
        <v>0.2419038066629601</v>
      </c>
      <c r="H18" s="710">
        <v>0.314</v>
      </c>
      <c r="I18" s="708">
        <v>0.52</v>
      </c>
      <c r="J18" s="570">
        <v>2.11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</v>
      </c>
      <c r="N18" s="632">
        <f t="shared" si="2"/>
        <v>2.1329515477621999</v>
      </c>
      <c r="O18" s="629">
        <f t="shared" si="3"/>
        <v>0.77506459143943851</v>
      </c>
      <c r="P18" s="633">
        <f t="shared" si="4"/>
        <v>-6.0900183674953971E-2</v>
      </c>
      <c r="Q18" s="585">
        <f t="shared" si="113"/>
        <v>19.969958133517967</v>
      </c>
      <c r="R18" s="629">
        <f>IF(M18="","",SQRT(N18^2+O18^2))</f>
        <v>2.2694068445310438</v>
      </c>
      <c r="S18" s="634">
        <f>IF(M18="","",P18)</f>
        <v>-6.0900183674953971E-2</v>
      </c>
      <c r="T18" s="635">
        <f>IF(M18="","",X18*COS(RADIANS(W18)))</f>
        <v>0.77878611125110464</v>
      </c>
      <c r="U18" s="629">
        <f>IF(M18="","",X18*SIN(RADIANS(W18)))</f>
        <v>-2.1315955570714467</v>
      </c>
      <c r="V18" s="636">
        <f>IF(M18="","",Y18)</f>
        <v>-6.0900183674953971E-2</v>
      </c>
      <c r="W18" s="585">
        <f t="shared" si="224"/>
        <v>290.06995811907979</v>
      </c>
      <c r="X18" s="629">
        <f>IF(M18="","",R18)</f>
        <v>2.2694068445310438</v>
      </c>
      <c r="Y18" s="630">
        <f t="shared" si="223"/>
        <v>-6.0900183674953971E-2</v>
      </c>
      <c r="Z18" s="632">
        <f t="shared" si="6"/>
        <v>0.31987542331770963</v>
      </c>
      <c r="AA18" s="629">
        <f t="shared" si="7"/>
        <v>-0.9160580013728854</v>
      </c>
      <c r="AB18" s="629">
        <f t="shared" si="8"/>
        <v>-0.2419038066629601</v>
      </c>
      <c r="AC18" s="636">
        <f>IF(M18="","",SQRT(Z18^2+AA18^2+AB18^2))</f>
        <v>1</v>
      </c>
      <c r="AD18" s="637">
        <f>IF(M18="","",Z18*(1/SQRT(Z18^2+AA18^2+AB18^2)))</f>
        <v>0.31987542331770963</v>
      </c>
      <c r="AE18" s="629">
        <f>IF(M18="","",AA18*(1/SQRT(Z18^2+AA18^2+AB18^2)))</f>
        <v>-0.9160580013728854</v>
      </c>
      <c r="AF18" s="633">
        <f>IF(M18="","",AB18*(1/SQRT(Z18^2+AA18^2+AB18^2)))</f>
        <v>-0.2419038066629601</v>
      </c>
      <c r="AG18" s="602">
        <f>IF(M18="","",DEGREES(ATAN2(-AF18,AE18)))</f>
        <v>-75.207551415826515</v>
      </c>
      <c r="AH18" s="603">
        <f>IF(M18="","",DEGREES(ACOS(AD18)))</f>
        <v>71.344608815169977</v>
      </c>
      <c r="AI18" s="585">
        <f>IF(M18="","",DEGREES(-ACOS(-AF18)))</f>
        <v>-76.001068145816291</v>
      </c>
      <c r="AJ18" s="586">
        <f>IF(M18="","",DEGREES(ATAN2(-AE18,AD18)))</f>
        <v>19.248530934738856</v>
      </c>
      <c r="AK18" s="635">
        <f>IF(M18="","",(COS(RADIANS((90-$Q$8)-W18))*AD18)+(-SIN(RADIANS((90-$Q$8)-W18))*AE18))</f>
        <v>0.97022332133156752</v>
      </c>
      <c r="AL18" s="629">
        <f>IF(M18="","",(SIN(RADIANS((90-$Q$8)-W18))*AD18)+(COS(RADIANS((90-$Q$8)-W18))*AE18))</f>
        <v>-1.221699907141921E-2</v>
      </c>
      <c r="AM18" s="634">
        <f>IF(M18="","",AF18)</f>
        <v>-0.2419038066629601</v>
      </c>
      <c r="AN18" s="581">
        <f>IF(M18="","",DEGREES(ATAN2(-AM18,AL18)))</f>
        <v>-2.8911833878988675</v>
      </c>
      <c r="AO18" s="582">
        <f t="shared" si="94"/>
        <v>14.017137807481635</v>
      </c>
      <c r="AP18" s="585">
        <f>IF(M18="","",DEGREES(ATAN2(AK18,AL18)))</f>
        <v>-0.7214271987791574</v>
      </c>
      <c r="AQ18" s="586">
        <f t="shared" si="9"/>
        <v>1.0044444384207194</v>
      </c>
      <c r="AS18" s="52">
        <f t="shared" si="116"/>
        <v>-69.930041880920214</v>
      </c>
      <c r="AT18" s="72">
        <f t="shared" si="10"/>
        <v>-1.2268210156563687E-2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2.9011315279897607</v>
      </c>
      <c r="C19" s="708">
        <v>1.0193713228710282</v>
      </c>
      <c r="D19" s="709">
        <v>-0.31890096180530086</v>
      </c>
      <c r="E19" s="710">
        <v>-0.15668350739190484</v>
      </c>
      <c r="F19" s="708">
        <v>0.96625770486116813</v>
      </c>
      <c r="G19" s="711">
        <v>0.20444149849724436</v>
      </c>
      <c r="H19" s="710">
        <v>0.314</v>
      </c>
      <c r="I19" s="708">
        <v>0.52</v>
      </c>
      <c r="J19" s="570">
        <v>2.1150000000000002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2.1150000000000002</v>
      </c>
      <c r="N19" s="632">
        <f t="shared" si="2"/>
        <v>2.9011315279897607</v>
      </c>
      <c r="O19" s="629">
        <f t="shared" si="3"/>
        <v>1.0193713228710282</v>
      </c>
      <c r="P19" s="633">
        <f t="shared" si="4"/>
        <v>-0.31890096180530086</v>
      </c>
      <c r="Q19" s="585">
        <f t="shared" si="113"/>
        <v>19.359958221591054</v>
      </c>
      <c r="R19" s="629">
        <f>IF(M19="","",SQRT(N19^2+O19^2))</f>
        <v>3.0750092742279711</v>
      </c>
      <c r="S19" s="634">
        <f>IF(M19="","",P19)</f>
        <v>-0.31890096180530086</v>
      </c>
      <c r="T19" s="635">
        <f>IF(M19="","",X19*COS(RADIANS(W19)))</f>
        <v>1.0244331966984961</v>
      </c>
      <c r="U19" s="629">
        <f>IF(M19="","",X19*SIN(RADIANS(W19)))</f>
        <v>-2.8993479718878405</v>
      </c>
      <c r="V19" s="636">
        <f>IF(M19="","",Y19)</f>
        <v>-0.31890096180530086</v>
      </c>
      <c r="W19" s="585">
        <f t="shared" si="224"/>
        <v>289.45995820715285</v>
      </c>
      <c r="X19" s="629">
        <f>IF(M19="","",R19)</f>
        <v>3.0750092742279711</v>
      </c>
      <c r="Y19" s="630">
        <f t="shared" si="223"/>
        <v>-0.31890096180530086</v>
      </c>
      <c r="Z19" s="632">
        <f t="shared" si="6"/>
        <v>0.15668350739190484</v>
      </c>
      <c r="AA19" s="629">
        <f t="shared" si="7"/>
        <v>-0.96625770486116813</v>
      </c>
      <c r="AB19" s="629">
        <f t="shared" si="8"/>
        <v>-0.20444149849724436</v>
      </c>
      <c r="AC19" s="636">
        <f>IF(M19="","",SQRT(Z19^2+AA19^2+AB19^2))</f>
        <v>1</v>
      </c>
      <c r="AD19" s="637">
        <f>IF(M19="","",Z19*(1/SQRT(Z19^2+AA19^2+AB19^2)))</f>
        <v>0.15668350739190484</v>
      </c>
      <c r="AE19" s="629">
        <f>IF(M19="","",AA19*(1/SQRT(Z19^2+AA19^2+AB19^2)))</f>
        <v>-0.96625770486116813</v>
      </c>
      <c r="AF19" s="633">
        <f>IF(M19="","",AB19*(1/SQRT(Z19^2+AA19^2+AB19^2)))</f>
        <v>-0.20444149849724436</v>
      </c>
      <c r="AG19" s="602">
        <f>IF(M19="","",DEGREES(ATAN2(-AF19,AE19)))</f>
        <v>-78.053505442108687</v>
      </c>
      <c r="AH19" s="603">
        <f>IF(M19="","",DEGREES(ACOS(AD19)))</f>
        <v>80.985552769863986</v>
      </c>
      <c r="AI19" s="585">
        <f>IF(M19="","",DEGREES(-ACOS(-AF19)))</f>
        <v>-78.203193137541064</v>
      </c>
      <c r="AJ19" s="586">
        <f>IF(M19="","",DEGREES(ATAN2(-AE19,AD19)))</f>
        <v>9.2106260727842706</v>
      </c>
      <c r="AK19" s="635">
        <f>IF(M19="","",(COS(RADIANS((90-$Q$8)-W19))*AD19)+(-SIN(RADIANS((90-$Q$8)-W19))*AE19))</f>
        <v>0.96356111533413691</v>
      </c>
      <c r="AL19" s="629">
        <f>IF(M19="","",(SIN(RADIANS((90-$Q$8)-W19))*AD19)+(COS(RADIANS((90-$Q$8)-W19))*AE19))</f>
        <v>-0.172492465656433</v>
      </c>
      <c r="AM19" s="634">
        <f>IF(M19="","",AF19)</f>
        <v>-0.20444149849724436</v>
      </c>
      <c r="AN19" s="581">
        <f>IF(M19="","",DEGREES(ATAN2(-AM19,AL19)))</f>
        <v>-40.155173098915689</v>
      </c>
      <c r="AO19" s="582">
        <f t="shared" si="94"/>
        <v>15.514859059452535</v>
      </c>
      <c r="AP19" s="585">
        <f>IF(M19="","",DEGREES(ATAN2(AK19,AL19)))</f>
        <v>-10.149332148806797</v>
      </c>
      <c r="AQ19" s="586">
        <f t="shared" si="9"/>
        <v>0.74133090719762784</v>
      </c>
      <c r="AS19" s="52">
        <f t="shared" si="116"/>
        <v>-70.540041792847148</v>
      </c>
      <c r="AT19" s="72">
        <f t="shared" si="10"/>
        <v>-0.26984537723696134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2.1150000000000002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3.3985669977895392</v>
      </c>
      <c r="C20" s="708">
        <v>1.1523324183084442</v>
      </c>
      <c r="D20" s="709">
        <v>-0.99100298886501437</v>
      </c>
      <c r="E20" s="710">
        <v>4.6076246631151313E-2</v>
      </c>
      <c r="F20" s="708">
        <v>0.98558662387184592</v>
      </c>
      <c r="G20" s="711">
        <v>0.1627758776394154</v>
      </c>
      <c r="H20" s="710">
        <v>0.314</v>
      </c>
      <c r="I20" s="708">
        <v>0.52</v>
      </c>
      <c r="J20" s="570">
        <v>2.12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350</v>
      </c>
      <c r="M20" s="168">
        <f t="shared" si="1"/>
        <v>2.12</v>
      </c>
      <c r="N20" s="632">
        <f t="shared" si="2"/>
        <v>3.3985669977895392</v>
      </c>
      <c r="O20" s="629">
        <f t="shared" si="3"/>
        <v>1.1523324183084442</v>
      </c>
      <c r="P20" s="633">
        <f t="shared" si="4"/>
        <v>-0.99100298886501437</v>
      </c>
      <c r="Q20" s="585">
        <f t="shared" si="113"/>
        <v>18.729958312551787</v>
      </c>
      <c r="R20" s="629">
        <f>IF(M20="","",SQRT(N20^2+O20^2))</f>
        <v>3.5886108232502432</v>
      </c>
      <c r="S20" s="634">
        <f>IF(M20="","",P20)</f>
        <v>-0.99100298886501437</v>
      </c>
      <c r="T20" s="635">
        <f>IF(M20="","",X20*COS(RADIANS(W20)))</f>
        <v>1.1582622777349858</v>
      </c>
      <c r="U20" s="629">
        <f>IF(M20="","",X20*SIN(RADIANS(W20)))</f>
        <v>-3.396550623312562</v>
      </c>
      <c r="V20" s="636">
        <f>IF(M20="","",Y20)</f>
        <v>-0.99100298886501437</v>
      </c>
      <c r="W20" s="585">
        <f t="shared" si="224"/>
        <v>288.82995829811358</v>
      </c>
      <c r="X20" s="629">
        <f>IF(M20="","",R20)</f>
        <v>3.5886108232502432</v>
      </c>
      <c r="Y20" s="630">
        <f t="shared" si="223"/>
        <v>-0.99100298886501437</v>
      </c>
      <c r="Z20" s="632">
        <f t="shared" si="6"/>
        <v>-4.6076246631151313E-2</v>
      </c>
      <c r="AA20" s="629">
        <f t="shared" si="7"/>
        <v>-0.98558662387184592</v>
      </c>
      <c r="AB20" s="629">
        <f t="shared" si="8"/>
        <v>-0.1627758776394154</v>
      </c>
      <c r="AC20" s="636">
        <f>IF(M20="","",SQRT(Z20^2+AA20^2+AB20^2))</f>
        <v>1</v>
      </c>
      <c r="AD20" s="637">
        <f>IF(M20="","",Z20*(1/SQRT(Z20^2+AA20^2+AB20^2)))</f>
        <v>-4.6076246631151313E-2</v>
      </c>
      <c r="AE20" s="629">
        <f>IF(M20="","",AA20*(1/SQRT(Z20^2+AA20^2+AB20^2)))</f>
        <v>-0.98558662387184592</v>
      </c>
      <c r="AF20" s="633">
        <f>IF(M20="","",AB20*(1/SQRT(Z20^2+AA20^2+AB20^2)))</f>
        <v>-0.1627758776394154</v>
      </c>
      <c r="AG20" s="602">
        <f>IF(M20="","",DEGREES(ATAN2(-AF20,AE20)))</f>
        <v>-80.621895016438586</v>
      </c>
      <c r="AH20" s="603">
        <f>IF(M20="","",DEGREES(ACOS(AD20)))</f>
        <v>92.640909481305727</v>
      </c>
      <c r="AI20" s="585">
        <f>IF(M20="","",DEGREES(-ACOS(-AF20)))</f>
        <v>-80.631945025874913</v>
      </c>
      <c r="AJ20" s="586">
        <f>IF(M20="","",DEGREES(ATAN2(-AE20,AD20)))</f>
        <v>-2.6766330220147445</v>
      </c>
      <c r="AK20" s="635">
        <f>IF(M20="","",(COS(RADIANS((90-$Q$8)-W20))*AD20)+(-SIN(RADIANS((90-$Q$8)-W20))*AE20))</f>
        <v>0.9185969677427861</v>
      </c>
      <c r="AL20" s="629">
        <f>IF(M20="","",(SIN(RADIANS((90-$Q$8)-W20))*AD20)+(COS(RADIANS((90-$Q$8)-W20))*AE20))</f>
        <v>-0.36011612642656954</v>
      </c>
      <c r="AM20" s="634">
        <f>IF(M20="","",AF20)</f>
        <v>-0.1627758776394154</v>
      </c>
      <c r="AN20" s="581">
        <f>IF(M20="","",DEGREES(ATAN2(-AM20,AL20)))</f>
        <v>-65.676583941899452</v>
      </c>
      <c r="AO20" s="582">
        <f t="shared" si="94"/>
        <v>23.278177523966534</v>
      </c>
      <c r="AP20" s="585">
        <f>IF(M20="","",DEGREES(ATAN2(AK20,AL20)))</f>
        <v>-21.40659133456651</v>
      </c>
      <c r="AQ20" s="586">
        <f t="shared" si="9"/>
        <v>0.63524113743229826</v>
      </c>
      <c r="AS20" s="52">
        <f t="shared" si="116"/>
        <v>-71.170041701886419</v>
      </c>
      <c r="AT20" s="72">
        <f t="shared" si="10"/>
        <v>-0.94150990435984205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3.5584064491698526</v>
      </c>
      <c r="C21" s="708">
        <v>1.1906232661822702</v>
      </c>
      <c r="D21" s="709">
        <v>-1.7895053971482779</v>
      </c>
      <c r="E21" s="710">
        <v>0.28401595720329137</v>
      </c>
      <c r="F21" s="708">
        <v>0.95881955343739278</v>
      </c>
      <c r="G21" s="711">
        <v>1.3008419217492839E-7</v>
      </c>
      <c r="H21" s="710">
        <v>0.26600000000000001</v>
      </c>
      <c r="I21" s="708">
        <v>0.52</v>
      </c>
      <c r="J21" s="570">
        <v>2.125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2.125</v>
      </c>
      <c r="N21" s="632">
        <f t="shared" si="2"/>
        <v>3.5584064491698526</v>
      </c>
      <c r="O21" s="629">
        <f t="shared" si="3"/>
        <v>1.1906232661822702</v>
      </c>
      <c r="P21" s="633">
        <f t="shared" si="4"/>
        <v>-1.7895053971482779</v>
      </c>
      <c r="Q21" s="585">
        <f t="shared" si="113"/>
        <v>18.499958345759676</v>
      </c>
      <c r="R21" s="629">
        <f>IF(M21="","",SQRT(N21^2+O21^2))</f>
        <v>3.7523113169709328</v>
      </c>
      <c r="S21" s="634">
        <f>IF(M21="","",P21)</f>
        <v>-1.7895053971482779</v>
      </c>
      <c r="T21" s="635">
        <f>IF(M21="","",X21*COS(RADIANS(W21)))</f>
        <v>1.1968320395767531</v>
      </c>
      <c r="U21" s="629">
        <f>IF(M21="","",X21*SIN(RADIANS(W21)))</f>
        <v>-3.5563230011503011</v>
      </c>
      <c r="V21" s="636">
        <f>IF(M21="","",Y21)</f>
        <v>-1.7895053971482779</v>
      </c>
      <c r="W21" s="585">
        <f t="shared" si="224"/>
        <v>288.59995833132149</v>
      </c>
      <c r="X21" s="629">
        <f>IF(M21="","",R21)</f>
        <v>3.7523113169709328</v>
      </c>
      <c r="Y21" s="630">
        <f t="shared" si="223"/>
        <v>-1.7895053971482779</v>
      </c>
      <c r="Z21" s="632">
        <f t="shared" si="6"/>
        <v>-0.28401595720329137</v>
      </c>
      <c r="AA21" s="629">
        <f t="shared" si="7"/>
        <v>-0.95881955343739278</v>
      </c>
      <c r="AB21" s="629">
        <f t="shared" si="8"/>
        <v>-1.3008419217492839E-7</v>
      </c>
      <c r="AC21" s="636">
        <f>IF(M21="","",SQRT(Z21^2+AA21^2+AB21^2))</f>
        <v>1</v>
      </c>
      <c r="AD21" s="637">
        <f>IF(M21="","",Z21*(1/SQRT(Z21^2+AA21^2+AB21^2)))</f>
        <v>-0.28401595720329137</v>
      </c>
      <c r="AE21" s="629">
        <f>IF(M21="","",AA21*(1/SQRT(Z21^2+AA21^2+AB21^2)))</f>
        <v>-0.95881955343739278</v>
      </c>
      <c r="AF21" s="633">
        <f>IF(M21="","",AB21*(1/SQRT(Z21^2+AA21^2+AB21^2)))</f>
        <v>-1.3008419217492839E-7</v>
      </c>
      <c r="AG21" s="602">
        <f>IF(M21="","",DEGREES(ATAN2(-AF21,AE21)))</f>
        <v>-89.999992226613273</v>
      </c>
      <c r="AH21" s="603">
        <f>IF(M21="","",DEGREES(ACOS(AD21)))</f>
        <v>106.50003660086544</v>
      </c>
      <c r="AI21" s="585">
        <f>IF(M21="","",DEGREES(-ACOS(-AF21)))</f>
        <v>-89.999992546724812</v>
      </c>
      <c r="AJ21" s="586">
        <f>IF(M21="","",DEGREES(ATAN2(-AE21,AD21)))</f>
        <v>-16.500036600865592</v>
      </c>
      <c r="AK21" s="635">
        <f>IF(M21="","",(COS(RADIANS((90-$Q$8)-W21))*AD21)+(-SIN(RADIANS((90-$Q$8)-W21))*AE21))</f>
        <v>0.81915209487729201</v>
      </c>
      <c r="AL21" s="629">
        <f>IF(M21="","",(SIN(RADIANS((90-$Q$8)-W21))*AD21)+(COS(RADIANS((90-$Q$8)-W21))*AE21))</f>
        <v>-0.57357636410344459</v>
      </c>
      <c r="AM21" s="634">
        <f>IF(M21="","",AF21)</f>
        <v>-1.3008419217492839E-7</v>
      </c>
      <c r="AN21" s="581">
        <f>IF(M21="","",DEGREES(ATAN2(-AM21,AL21)))</f>
        <v>-89.999987005609626</v>
      </c>
      <c r="AO21" s="582">
        <f>IF(ROUND(IF(M21="",0,DEGREES(ACOS(AK21))),4)=90,0,IF(M21="","",DEGREES(ACOS(AK21))))</f>
        <v>34.999994946625954</v>
      </c>
      <c r="AP21" s="585">
        <f>IF(M21="","",DEGREES(ATAN2(AK21,AL21)))</f>
        <v>-34.999994946625264</v>
      </c>
      <c r="AQ21" s="586">
        <f t="shared" si="9"/>
        <v>0.60752986643570983</v>
      </c>
      <c r="AS21" s="52">
        <f t="shared" si="116"/>
        <v>-71.400041668678512</v>
      </c>
      <c r="AT21" s="72">
        <f t="shared" si="10"/>
        <v>-1.7398525904439444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2.125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0.41136994254456943</v>
      </c>
      <c r="C22" s="708">
        <v>-0.58749784093218693</v>
      </c>
      <c r="D22" s="709">
        <v>-0.36570110295452657</v>
      </c>
      <c r="E22" s="710">
        <v>0.75910945438804911</v>
      </c>
      <c r="F22" s="708">
        <v>0.59991970243810999</v>
      </c>
      <c r="G22" s="711">
        <v>0.25268396641901947</v>
      </c>
      <c r="H22" s="710">
        <v>0.314</v>
      </c>
      <c r="I22" s="708">
        <v>0.52</v>
      </c>
      <c r="J22" s="570">
        <v>3.1030000000000002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2" t="str">
        <f>IF($L21=$JH$22,$JH$30,IF($L21=$JI$22,$JI$30,""))</f>
        <v/>
      </c>
      <c r="M22" s="168">
        <f t="shared" si="1"/>
        <v>3.1030000000000002</v>
      </c>
      <c r="N22" s="632">
        <f t="shared" si="2"/>
        <v>0.41136994254456943</v>
      </c>
      <c r="O22" s="629">
        <f t="shared" si="3"/>
        <v>-0.58749784093218693</v>
      </c>
      <c r="P22" s="633">
        <f t="shared" si="4"/>
        <v>-0.36570110295452657</v>
      </c>
      <c r="Q22" s="585">
        <f t="shared" si="113"/>
        <v>304.99996895784517</v>
      </c>
      <c r="R22" s="629">
        <f t="shared" si="79"/>
        <v>0.7172021630817238</v>
      </c>
      <c r="S22" s="634">
        <f t="shared" si="80"/>
        <v>-0.36570110295452657</v>
      </c>
      <c r="T22" s="635">
        <f t="shared" si="81"/>
        <v>-0.58677897059635198</v>
      </c>
      <c r="U22" s="629">
        <f t="shared" si="82"/>
        <v>-0.41239469249129423</v>
      </c>
      <c r="V22" s="636">
        <f t="shared" si="114"/>
        <v>-0.36570110295452657</v>
      </c>
      <c r="W22" s="585">
        <f t="shared" si="224"/>
        <v>215.09996894340696</v>
      </c>
      <c r="X22" s="629">
        <f t="shared" si="83"/>
        <v>0.7172021630817238</v>
      </c>
      <c r="Y22" s="630">
        <f t="shared" si="223"/>
        <v>-0.36570110295452657</v>
      </c>
      <c r="Z22" s="632">
        <f t="shared" si="6"/>
        <v>-0.75910945438804911</v>
      </c>
      <c r="AA22" s="629">
        <f t="shared" si="7"/>
        <v>-0.59991970243810999</v>
      </c>
      <c r="AB22" s="629">
        <f t="shared" si="8"/>
        <v>-0.25268396641901947</v>
      </c>
      <c r="AC22" s="636">
        <f t="shared" si="84"/>
        <v>1</v>
      </c>
      <c r="AD22" s="637">
        <f t="shared" si="115"/>
        <v>-0.75910945438804911</v>
      </c>
      <c r="AE22" s="629">
        <f t="shared" si="85"/>
        <v>-0.59991970243810999</v>
      </c>
      <c r="AF22" s="633">
        <f t="shared" si="86"/>
        <v>-0.25268396641901947</v>
      </c>
      <c r="AG22" s="602">
        <f t="shared" si="87"/>
        <v>-67.159353563717403</v>
      </c>
      <c r="AH22" s="603">
        <f t="shared" si="88"/>
        <v>139.38575213102033</v>
      </c>
      <c r="AI22" s="585">
        <f t="shared" si="89"/>
        <v>-75.363607485266854</v>
      </c>
      <c r="AJ22" s="586">
        <f t="shared" si="90"/>
        <v>-51.680891473696043</v>
      </c>
      <c r="AK22" s="635">
        <f t="shared" si="211"/>
        <v>0.96592583607220739</v>
      </c>
      <c r="AL22" s="629">
        <f t="shared" si="91"/>
        <v>5.6018678339987693E-2</v>
      </c>
      <c r="AM22" s="634">
        <f t="shared" si="92"/>
        <v>-0.25268396641901947</v>
      </c>
      <c r="AN22" s="581">
        <f t="shared" si="93"/>
        <v>12.499998195223574</v>
      </c>
      <c r="AO22" s="582">
        <f t="shared" si="94"/>
        <v>14.999997834268255</v>
      </c>
      <c r="AP22" s="585">
        <f t="shared" si="95"/>
        <v>3.3191395684587937</v>
      </c>
      <c r="AQ22" s="586">
        <f t="shared" si="9"/>
        <v>3.1753837745557369</v>
      </c>
      <c r="AS22" s="52">
        <f t="shared" si="116"/>
        <v>-144.90003105659304</v>
      </c>
      <c r="AT22" s="72">
        <f t="shared" si="10"/>
        <v>-0.26500663695303017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3.1030000000000002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0.80708121326612337</v>
      </c>
      <c r="C23" s="708">
        <v>-1.1526327551250422</v>
      </c>
      <c r="D23" s="709">
        <v>-0.21600065145796479</v>
      </c>
      <c r="E23" s="710">
        <v>0.77286538465210952</v>
      </c>
      <c r="F23" s="708">
        <v>0.5983540427558689</v>
      </c>
      <c r="G23" s="711">
        <v>0.21130910232229635</v>
      </c>
      <c r="H23" s="710">
        <v>0.314</v>
      </c>
      <c r="I23" s="708">
        <v>0.52</v>
      </c>
      <c r="J23" s="570">
        <v>3.1059999999999999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3.1059999999999999</v>
      </c>
      <c r="N23" s="632">
        <f t="shared" si="2"/>
        <v>0.80708121326612337</v>
      </c>
      <c r="O23" s="629">
        <f t="shared" si="3"/>
        <v>-1.1526327551250422</v>
      </c>
      <c r="P23" s="633">
        <f t="shared" si="4"/>
        <v>-0.21600065145796479</v>
      </c>
      <c r="Q23" s="585">
        <f t="shared" si="113"/>
        <v>304.99996895784517</v>
      </c>
      <c r="R23" s="629">
        <f t="shared" si="79"/>
        <v>1.4071042438263994</v>
      </c>
      <c r="S23" s="634">
        <f t="shared" si="80"/>
        <v>-0.21600065145796479</v>
      </c>
      <c r="T23" s="635">
        <f t="shared" si="81"/>
        <v>-1.1512223780341981</v>
      </c>
      <c r="U23" s="629">
        <f t="shared" si="82"/>
        <v>-0.8090917063643337</v>
      </c>
      <c r="V23" s="636">
        <f t="shared" si="114"/>
        <v>-0.21600065145796479</v>
      </c>
      <c r="W23" s="585">
        <f t="shared" si="224"/>
        <v>215.09996894340696</v>
      </c>
      <c r="X23" s="629">
        <f t="shared" si="83"/>
        <v>1.4071042438263994</v>
      </c>
      <c r="Y23" s="630">
        <f t="shared" si="223"/>
        <v>-0.21600065145796479</v>
      </c>
      <c r="Z23" s="632">
        <f t="shared" si="6"/>
        <v>-0.77286538465210952</v>
      </c>
      <c r="AA23" s="629">
        <f t="shared" si="7"/>
        <v>-0.5983540427558689</v>
      </c>
      <c r="AB23" s="629">
        <f t="shared" si="8"/>
        <v>-0.21130910232229635</v>
      </c>
      <c r="AC23" s="636">
        <f t="shared" si="84"/>
        <v>1</v>
      </c>
      <c r="AD23" s="637">
        <f t="shared" si="115"/>
        <v>-0.77286538465210952</v>
      </c>
      <c r="AE23" s="629">
        <f t="shared" si="85"/>
        <v>-0.5983540427558689</v>
      </c>
      <c r="AF23" s="633">
        <f t="shared" si="86"/>
        <v>-0.21130910232229635</v>
      </c>
      <c r="AG23" s="602">
        <f t="shared" si="87"/>
        <v>-70.54929480197282</v>
      </c>
      <c r="AH23" s="603">
        <f t="shared" si="88"/>
        <v>140.61189981835983</v>
      </c>
      <c r="AI23" s="585">
        <f t="shared" si="89"/>
        <v>-77.800919983022339</v>
      </c>
      <c r="AJ23" s="586">
        <f t="shared" si="90"/>
        <v>-52.252886457397025</v>
      </c>
      <c r="AK23" s="635">
        <f t="shared" si="211"/>
        <v>0.97629601393762733</v>
      </c>
      <c r="AL23" s="629">
        <f t="shared" si="91"/>
        <v>4.6846093169500336E-2</v>
      </c>
      <c r="AM23" s="634">
        <f t="shared" si="92"/>
        <v>-0.21130910232229635</v>
      </c>
      <c r="AN23" s="581">
        <f t="shared" si="93"/>
        <v>12.499998195223588</v>
      </c>
      <c r="AO23" s="582">
        <f t="shared" si="94"/>
        <v>12.499998195223544</v>
      </c>
      <c r="AP23" s="585">
        <f t="shared" si="95"/>
        <v>2.7471445847578151</v>
      </c>
      <c r="AQ23" s="586">
        <f t="shared" si="9"/>
        <v>1.6197231422051024</v>
      </c>
      <c r="AS23" s="52">
        <f t="shared" si="116"/>
        <v>-144.90003105659304</v>
      </c>
      <c r="AT23" s="72">
        <f t="shared" si="10"/>
        <v>-0.11530618545646838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3.1059999999999999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350</v>
      </c>
      <c r="JI23" s="801"/>
    </row>
    <row r="24" spans="1:269" ht="15" customHeight="1" x14ac:dyDescent="0.25">
      <c r="A24" s="79"/>
      <c r="B24" s="707">
        <v>1.2033087039378867</v>
      </c>
      <c r="C24" s="708">
        <v>-1.7185049086609525</v>
      </c>
      <c r="D24" s="709">
        <v>-7.0400212327040385E-2</v>
      </c>
      <c r="E24" s="710">
        <v>0.78691213994963261</v>
      </c>
      <c r="F24" s="708">
        <v>0.57493539441549579</v>
      </c>
      <c r="G24" s="711">
        <v>0.2240950161163523</v>
      </c>
      <c r="H24" s="710">
        <v>0.314</v>
      </c>
      <c r="I24" s="708">
        <v>0.52</v>
      </c>
      <c r="J24" s="570">
        <v>3.109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3.109</v>
      </c>
      <c r="N24" s="632">
        <f t="shared" si="2"/>
        <v>1.2033087039378867</v>
      </c>
      <c r="O24" s="629">
        <f t="shared" si="3"/>
        <v>-1.7185049086609525</v>
      </c>
      <c r="P24" s="633">
        <f t="shared" si="4"/>
        <v>-7.0400212327040385E-2</v>
      </c>
      <c r="Q24" s="585">
        <f t="shared" si="113"/>
        <v>304.99996895784517</v>
      </c>
      <c r="R24" s="629">
        <f t="shared" si="79"/>
        <v>2.0979063272854832</v>
      </c>
      <c r="S24" s="634">
        <f t="shared" si="80"/>
        <v>-7.0400212327040385E-2</v>
      </c>
      <c r="T24" s="635">
        <f t="shared" si="81"/>
        <v>-1.716402122719028</v>
      </c>
      <c r="U24" s="629">
        <f t="shared" si="82"/>
        <v>-1.2063062261258872</v>
      </c>
      <c r="V24" s="636">
        <f t="shared" si="114"/>
        <v>-7.0400212327040385E-2</v>
      </c>
      <c r="W24" s="585">
        <f t="shared" si="224"/>
        <v>215.09996894340696</v>
      </c>
      <c r="X24" s="629">
        <f t="shared" si="83"/>
        <v>2.0979063272854832</v>
      </c>
      <c r="Y24" s="630">
        <f t="shared" si="223"/>
        <v>-7.0400212327040385E-2</v>
      </c>
      <c r="Z24" s="632">
        <f t="shared" si="6"/>
        <v>-0.78691213994963261</v>
      </c>
      <c r="AA24" s="629">
        <f t="shared" si="7"/>
        <v>-0.57493539441549579</v>
      </c>
      <c r="AB24" s="629">
        <f t="shared" si="8"/>
        <v>-0.2240950161163523</v>
      </c>
      <c r="AC24" s="636">
        <f t="shared" si="84"/>
        <v>1</v>
      </c>
      <c r="AD24" s="637">
        <f t="shared" si="115"/>
        <v>-0.78691213994963261</v>
      </c>
      <c r="AE24" s="629">
        <f t="shared" si="85"/>
        <v>-0.57493539441549579</v>
      </c>
      <c r="AF24" s="633">
        <f t="shared" si="86"/>
        <v>-0.2240950161163523</v>
      </c>
      <c r="AG24" s="602">
        <f t="shared" si="87"/>
        <v>-68.705443806806301</v>
      </c>
      <c r="AH24" s="603">
        <f t="shared" si="88"/>
        <v>141.89787530717521</v>
      </c>
      <c r="AI24" s="585">
        <f t="shared" si="89"/>
        <v>-77.050332427558459</v>
      </c>
      <c r="AJ24" s="586">
        <f t="shared" si="90"/>
        <v>-53.847310554019067</v>
      </c>
      <c r="AK24" s="635">
        <f>IF(M24="","",(COS(RADIANS((90-$Q$8)-W24))*AD24)+(-SIN(RADIANS((90-$Q$8)-W24))*AE24))</f>
        <v>0.97437007215446536</v>
      </c>
      <c r="AL24" s="629">
        <f t="shared" si="91"/>
        <v>1.9605770617694418E-2</v>
      </c>
      <c r="AM24" s="634">
        <f t="shared" si="92"/>
        <v>-0.2240950161163523</v>
      </c>
      <c r="AN24" s="581">
        <f t="shared" si="93"/>
        <v>4.9999992780894482</v>
      </c>
      <c r="AO24" s="582">
        <f t="shared" si="94"/>
        <v>12.999998123032517</v>
      </c>
      <c r="AP24" s="585">
        <f t="shared" si="95"/>
        <v>1.15272048813577</v>
      </c>
      <c r="AQ24" s="586">
        <f t="shared" si="9"/>
        <v>1.0865372382180924</v>
      </c>
      <c r="AS24" s="52">
        <f t="shared" si="116"/>
        <v>-144.90003105659304</v>
      </c>
      <c r="AT24" s="72">
        <f t="shared" si="10"/>
        <v>3.0294253674456026E-2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1.65979339693753</v>
      </c>
      <c r="C25" s="708">
        <v>-2.413212140479676</v>
      </c>
      <c r="D25" s="709">
        <v>-0.2287006897612803</v>
      </c>
      <c r="E25" s="710">
        <v>0.87619504549880567</v>
      </c>
      <c r="F25" s="708">
        <v>0.42755631535665034</v>
      </c>
      <c r="G25" s="711">
        <v>0.22243614688712454</v>
      </c>
      <c r="H25" s="710">
        <v>0.314</v>
      </c>
      <c r="I25" s="708">
        <v>0.52</v>
      </c>
      <c r="J25" s="570">
        <v>3.1139999999999999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3.1139999999999999</v>
      </c>
      <c r="N25" s="632">
        <f t="shared" si="2"/>
        <v>1.65979339693753</v>
      </c>
      <c r="O25" s="629">
        <f t="shared" si="3"/>
        <v>-2.413212140479676</v>
      </c>
      <c r="P25" s="633">
        <f t="shared" si="4"/>
        <v>-0.2287006897612803</v>
      </c>
      <c r="Q25" s="585">
        <f t="shared" si="113"/>
        <v>304.51996902714859</v>
      </c>
      <c r="R25" s="629">
        <f>IF(M25="","",SQRT(N25^2+O25^2))</f>
        <v>2.9289088335890425</v>
      </c>
      <c r="S25" s="634">
        <f>IF(M25="","",P25)</f>
        <v>-0.2287006897612803</v>
      </c>
      <c r="T25" s="635">
        <f>IF(M25="","",X25*COS(RADIANS(W25)))</f>
        <v>-2.4103115808704438</v>
      </c>
      <c r="U25" s="629">
        <f>IF(M25="","",X25*SIN(RADIANS(W25)))</f>
        <v>-1.6640027159225876</v>
      </c>
      <c r="V25" s="636">
        <f>IF(M25="","",Y25)</f>
        <v>-0.2287006897612803</v>
      </c>
      <c r="W25" s="585">
        <f t="shared" si="224"/>
        <v>214.61996901271038</v>
      </c>
      <c r="X25" s="629">
        <f>IF(M25="","",R25)</f>
        <v>2.9289088335890425</v>
      </c>
      <c r="Y25" s="630">
        <f t="shared" si="223"/>
        <v>-0.2287006897612803</v>
      </c>
      <c r="Z25" s="632">
        <f t="shared" si="6"/>
        <v>-0.87619504549880567</v>
      </c>
      <c r="AA25" s="629">
        <f t="shared" si="7"/>
        <v>-0.42755631535665034</v>
      </c>
      <c r="AB25" s="629">
        <f t="shared" si="8"/>
        <v>-0.22243614688712454</v>
      </c>
      <c r="AC25" s="636">
        <f>IF(M25="","",SQRT(Z25^2+AA25^2+AB25^2))</f>
        <v>1</v>
      </c>
      <c r="AD25" s="637">
        <f>IF(M25="","",Z25*(1/SQRT(Z25^2+AA25^2+AB25^2)))</f>
        <v>-0.87619504549880567</v>
      </c>
      <c r="AE25" s="629">
        <f>IF(M25="","",AA25*(1/SQRT(Z25^2+AA25^2+AB25^2)))</f>
        <v>-0.42755631535665034</v>
      </c>
      <c r="AF25" s="633">
        <f>IF(M25="","",AB25*(1/SQRT(Z25^2+AA25^2+AB25^2)))</f>
        <v>-0.22243614688712454</v>
      </c>
      <c r="AG25" s="602">
        <f>IF(M25="","",DEGREES(ATAN2(-AF25,AE25)))</f>
        <v>-62.514297142730072</v>
      </c>
      <c r="AH25" s="603">
        <f>IF(M25="","",DEGREES(ACOS(AD25)))</f>
        <v>151.18672591153967</v>
      </c>
      <c r="AI25" s="585">
        <f>IF(M25="","",DEGREES(-ACOS(-AF25)))</f>
        <v>-77.147839965642021</v>
      </c>
      <c r="AJ25" s="586">
        <f>IF(M25="","",DEGREES(ATAN2(-AE25,AD25)))</f>
        <v>-63.989043055959442</v>
      </c>
      <c r="AK25" s="635">
        <f>IF(M25="","",(COS(RADIANS((90-$Q$8)-W25))*AD25)+(-SIN(RADIANS((90-$Q$8)-W25))*AE25))</f>
        <v>0.96421562797950167</v>
      </c>
      <c r="AL25" s="629">
        <f>IF(M25="","",(SIN(RADIANS((90-$Q$8)-W25))*AD25)+(COS(RADIANS((90-$Q$8)-W25))*AE25))</f>
        <v>-0.14425804420587696</v>
      </c>
      <c r="AM25" s="634">
        <f>IF(M25="","",AF25)</f>
        <v>-0.22243614688712454</v>
      </c>
      <c r="AN25" s="581">
        <f>IF(M25="","",DEGREES(ATAN2(-AM25,AL25)))</f>
        <v>-32.964896179717755</v>
      </c>
      <c r="AO25" s="582">
        <f>IF(ROUND(IF(M25="",0,DEGREES(ACOS(AK25))),4)=90,0,IF(M25="","",DEGREES(ACOS(AK25))))</f>
        <v>15.37403944722319</v>
      </c>
      <c r="AP25" s="585">
        <f>IF(M25="","",DEGREES(ATAN2(AK25,AL25)))</f>
        <v>-8.5090120831080274</v>
      </c>
      <c r="AQ25" s="586">
        <f t="shared" si="9"/>
        <v>0.77830568910909903</v>
      </c>
      <c r="AS25" s="52">
        <f t="shared" si="116"/>
        <v>-145.38003098728962</v>
      </c>
      <c r="AT25" s="72">
        <f t="shared" si="10"/>
        <v>-0.12767289047457792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3.1139999999999999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1.9593527969297697</v>
      </c>
      <c r="C26" s="708">
        <v>-2.9246407401823888</v>
      </c>
      <c r="D26" s="709">
        <v>-0.83350251384358154</v>
      </c>
      <c r="E26" s="710">
        <v>0.95064212123101077</v>
      </c>
      <c r="F26" s="708">
        <v>0.26054299781983742</v>
      </c>
      <c r="G26" s="711">
        <v>0.16851380842072464</v>
      </c>
      <c r="H26" s="710">
        <v>0.314</v>
      </c>
      <c r="I26" s="708">
        <v>0.52</v>
      </c>
      <c r="J26" s="570">
        <v>3.1190000000000002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3.1190000000000002</v>
      </c>
      <c r="N26" s="632">
        <f t="shared" si="2"/>
        <v>1.9593527969297697</v>
      </c>
      <c r="O26" s="629">
        <f t="shared" si="3"/>
        <v>-2.9246407401823888</v>
      </c>
      <c r="P26" s="633">
        <f t="shared" si="4"/>
        <v>-0.83350251384358154</v>
      </c>
      <c r="Q26" s="585">
        <f t="shared" si="113"/>
        <v>303.81996912821609</v>
      </c>
      <c r="R26" s="629">
        <f>IF(M26="","",SQRT(N26^2+O26^2))</f>
        <v>3.5203106172568215</v>
      </c>
      <c r="S26" s="634">
        <f>IF(M26="","",P26)</f>
        <v>-0.83350251384358154</v>
      </c>
      <c r="T26" s="635">
        <f>IF(M26="","",X26*COS(RADIANS(W26)))</f>
        <v>-2.9212165721806862</v>
      </c>
      <c r="U26" s="629">
        <f>IF(M26="","",X26*SIN(RADIANS(W26)))</f>
        <v>-1.9644542703733334</v>
      </c>
      <c r="V26" s="636">
        <f>IF(M26="","",Y26)</f>
        <v>-0.83350251384358154</v>
      </c>
      <c r="W26" s="585">
        <f t="shared" si="224"/>
        <v>213.91996911377788</v>
      </c>
      <c r="X26" s="629">
        <f>IF(M26="","",R26)</f>
        <v>3.5203106172568215</v>
      </c>
      <c r="Y26" s="630">
        <f t="shared" si="223"/>
        <v>-0.83350251384358154</v>
      </c>
      <c r="Z26" s="632">
        <f t="shared" si="6"/>
        <v>-0.95064212123101077</v>
      </c>
      <c r="AA26" s="629">
        <f t="shared" si="7"/>
        <v>-0.26054299781983742</v>
      </c>
      <c r="AB26" s="629">
        <f t="shared" si="8"/>
        <v>-0.16851380842072464</v>
      </c>
      <c r="AC26" s="636">
        <f>IF(M26="","",SQRT(Z26^2+AA26^2+AB26^2))</f>
        <v>1</v>
      </c>
      <c r="AD26" s="637">
        <f>IF(M26="","",Z26*(1/SQRT(Z26^2+AA26^2+AB26^2)))</f>
        <v>-0.95064212123101077</v>
      </c>
      <c r="AE26" s="629">
        <f>IF(M26="","",AA26*(1/SQRT(Z26^2+AA26^2+AB26^2)))</f>
        <v>-0.26054299781983742</v>
      </c>
      <c r="AF26" s="633">
        <f>IF(M26="","",AB26*(1/SQRT(Z26^2+AA26^2+AB26^2)))</f>
        <v>-0.16851380842072464</v>
      </c>
      <c r="AG26" s="602">
        <f>IF(M26="","",DEGREES(ATAN2(-AF26,AE26)))</f>
        <v>-57.106048950182824</v>
      </c>
      <c r="AH26" s="603">
        <f>IF(M26="","",DEGREES(ACOS(AD26)))</f>
        <v>161.92332363404552</v>
      </c>
      <c r="AI26" s="585">
        <f>IF(M26="","",DEGREES(-ACOS(-AF26)))</f>
        <v>-80.298580026001787</v>
      </c>
      <c r="AJ26" s="586">
        <f>IF(M26="","",DEGREES(ATAN2(-AE26,AD26)))</f>
        <v>-74.673270547203316</v>
      </c>
      <c r="AK26" s="635">
        <f>IF(M26="","",(COS(RADIANS((90-$Q$8)-W26))*AD26)+(-SIN(RADIANS((90-$Q$8)-W26))*AE26))</f>
        <v>0.93479885338888224</v>
      </c>
      <c r="AL26" s="629">
        <f>IF(M26="","",(SIN(RADIANS((90-$Q$8)-W26))*AD26)+(COS(RADIANS((90-$Q$8)-W26))*AE26))</f>
        <v>-0.31265668084078213</v>
      </c>
      <c r="AM26" s="634">
        <f>IF(M26="","",AF26)</f>
        <v>-0.16851380842072464</v>
      </c>
      <c r="AN26" s="581">
        <f>IF(M26="","",DEGREES(ATAN2(-AM26,AL26)))</f>
        <v>-61.67648882346316</v>
      </c>
      <c r="AO26" s="582">
        <f t="shared" si="94"/>
        <v>20.804327406945728</v>
      </c>
      <c r="AP26" s="585">
        <f>IF(M26="","",DEGREES(ATAN2(AK26,AL26)))</f>
        <v>-18.493239675419382</v>
      </c>
      <c r="AQ26" s="586">
        <f t="shared" si="9"/>
        <v>0.64756489113201587</v>
      </c>
      <c r="AS26" s="52">
        <f t="shared" si="116"/>
        <v>-146.08003088622212</v>
      </c>
      <c r="AT26" s="72">
        <f t="shared" si="10"/>
        <v>-0.73198860351595385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3.1190000000000002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2.0710377128146824</v>
      </c>
      <c r="C27" s="708">
        <v>-3.1290003214393352</v>
      </c>
      <c r="D27" s="709">
        <v>-1.6218048913635521</v>
      </c>
      <c r="E27" s="710">
        <v>0.9996573132007982</v>
      </c>
      <c r="F27" s="708">
        <v>-2.6177397963597967E-2</v>
      </c>
      <c r="G27" s="711">
        <v>1.3008419225933396E-7</v>
      </c>
      <c r="H27" s="710">
        <v>0.26600000000000001</v>
      </c>
      <c r="I27" s="708">
        <v>0.52</v>
      </c>
      <c r="J27" s="570">
        <v>3.1240000000000001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3.1240000000000001</v>
      </c>
      <c r="N27" s="632">
        <f t="shared" si="2"/>
        <v>2.0710377128146824</v>
      </c>
      <c r="O27" s="629">
        <f t="shared" si="3"/>
        <v>-3.1290003214393352</v>
      </c>
      <c r="P27" s="633">
        <f t="shared" si="4"/>
        <v>-1.6218048913635521</v>
      </c>
      <c r="Q27" s="585">
        <f t="shared" si="113"/>
        <v>303.49996917441831</v>
      </c>
      <c r="R27" s="629">
        <f t="shared" si="79"/>
        <v>3.7523113169709323</v>
      </c>
      <c r="S27" s="634">
        <f t="shared" si="80"/>
        <v>-1.6218048913635521</v>
      </c>
      <c r="T27" s="635">
        <f t="shared" si="81"/>
        <v>-3.125380915356768</v>
      </c>
      <c r="U27" s="629">
        <f t="shared" si="82"/>
        <v>-2.076495690674995</v>
      </c>
      <c r="V27" s="636">
        <f t="shared" si="114"/>
        <v>-1.6218048913635521</v>
      </c>
      <c r="W27" s="585">
        <f t="shared" si="224"/>
        <v>213.59996915998011</v>
      </c>
      <c r="X27" s="629">
        <f t="shared" si="83"/>
        <v>3.7523113169709323</v>
      </c>
      <c r="Y27" s="630">
        <f t="shared" si="223"/>
        <v>-1.6218048913635521</v>
      </c>
      <c r="Z27" s="632">
        <f t="shared" si="6"/>
        <v>-0.9996573132007982</v>
      </c>
      <c r="AA27" s="629">
        <f t="shared" si="7"/>
        <v>2.6177397963597967E-2</v>
      </c>
      <c r="AB27" s="629">
        <f t="shared" si="8"/>
        <v>-1.3008419225933396E-7</v>
      </c>
      <c r="AC27" s="636">
        <f t="shared" si="84"/>
        <v>1</v>
      </c>
      <c r="AD27" s="637">
        <f t="shared" si="115"/>
        <v>-0.9996573132007982</v>
      </c>
      <c r="AE27" s="629">
        <f t="shared" si="85"/>
        <v>2.6177397963597967E-2</v>
      </c>
      <c r="AF27" s="633">
        <f t="shared" si="86"/>
        <v>-1.3008419225933396E-7</v>
      </c>
      <c r="AG27" s="602">
        <f t="shared" si="87"/>
        <v>89.999715278225594</v>
      </c>
      <c r="AH27" s="603">
        <f t="shared" si="88"/>
        <v>178.49997422777486</v>
      </c>
      <c r="AI27" s="585">
        <f t="shared" si="89"/>
        <v>-89.999992546724798</v>
      </c>
      <c r="AJ27" s="586">
        <f t="shared" si="90"/>
        <v>-91.500025772206911</v>
      </c>
      <c r="AK27" s="635">
        <f t="shared" si="211"/>
        <v>0.81915209487729235</v>
      </c>
      <c r="AL27" s="629">
        <f t="shared" si="91"/>
        <v>-0.57357636410344404</v>
      </c>
      <c r="AM27" s="634">
        <f t="shared" si="92"/>
        <v>-1.3008419225933396E-7</v>
      </c>
      <c r="AN27" s="581">
        <f t="shared" si="93"/>
        <v>-89.999987005609611</v>
      </c>
      <c r="AO27" s="582">
        <f t="shared" si="94"/>
        <v>34.999994946625911</v>
      </c>
      <c r="AP27" s="585">
        <f t="shared" si="95"/>
        <v>-34.999994946625236</v>
      </c>
      <c r="AQ27" s="586">
        <f t="shared" si="9"/>
        <v>0.60752986643570994</v>
      </c>
      <c r="AS27" s="52">
        <f t="shared" si="116"/>
        <v>-146.40003084001989</v>
      </c>
      <c r="AT27" s="72">
        <f t="shared" si="10"/>
        <v>-1.5200687588457871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3.1240000000000001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-0.16468654248160478</v>
      </c>
      <c r="C28" s="708">
        <v>-1.3790504882130359</v>
      </c>
      <c r="D28" s="709">
        <v>-0.24261303912373028</v>
      </c>
      <c r="E28" s="710">
        <v>2.5665134245911374E-2</v>
      </c>
      <c r="F28" s="708">
        <v>0.21491252651646106</v>
      </c>
      <c r="G28" s="711">
        <v>0.97629601393760224</v>
      </c>
      <c r="H28" s="710">
        <v>0.22499999999999998</v>
      </c>
      <c r="I28" s="708">
        <v>0.33200000000000002</v>
      </c>
      <c r="J28" s="570">
        <v>3.206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Inactive</v>
      </c>
      <c r="L28" s="843"/>
      <c r="M28" s="168">
        <f t="shared" si="1"/>
        <v>3.206</v>
      </c>
      <c r="N28" s="632">
        <f t="shared" si="2"/>
        <v>-0.16468654248160478</v>
      </c>
      <c r="O28" s="629">
        <f t="shared" si="3"/>
        <v>-1.3790504882130359</v>
      </c>
      <c r="P28" s="633">
        <f t="shared" si="4"/>
        <v>-0.24261303912373028</v>
      </c>
      <c r="Q28" s="585">
        <f t="shared" si="113"/>
        <v>263.18997499446141</v>
      </c>
      <c r="R28" s="629">
        <f t="shared" si="79"/>
        <v>1.3888491301488286</v>
      </c>
      <c r="S28" s="634">
        <f t="shared" si="80"/>
        <v>-0.24261303912373028</v>
      </c>
      <c r="T28" s="635">
        <f t="shared" si="81"/>
        <v>-1.379335819852743</v>
      </c>
      <c r="U28" s="629">
        <f t="shared" si="82"/>
        <v>0.1622793960622208</v>
      </c>
      <c r="V28" s="636">
        <f t="shared" si="114"/>
        <v>-0.24261303912373028</v>
      </c>
      <c r="W28" s="585">
        <f t="shared" si="224"/>
        <v>173.2899749800232</v>
      </c>
      <c r="X28" s="629">
        <f t="shared" si="83"/>
        <v>1.3888491301488286</v>
      </c>
      <c r="Y28" s="630">
        <f t="shared" si="223"/>
        <v>-0.24261303912373028</v>
      </c>
      <c r="Z28" s="632">
        <f t="shared" si="6"/>
        <v>-2.5665134245911374E-2</v>
      </c>
      <c r="AA28" s="629">
        <f t="shared" si="7"/>
        <v>-0.21491252651646106</v>
      </c>
      <c r="AB28" s="629">
        <f t="shared" si="8"/>
        <v>-0.97629601393760224</v>
      </c>
      <c r="AC28" s="636">
        <f t="shared" si="84"/>
        <v>1</v>
      </c>
      <c r="AD28" s="637">
        <f t="shared" si="115"/>
        <v>-2.5665134245911374E-2</v>
      </c>
      <c r="AE28" s="629">
        <f t="shared" si="85"/>
        <v>-0.21491252651646106</v>
      </c>
      <c r="AF28" s="633">
        <f t="shared" si="86"/>
        <v>-0.97629601393760224</v>
      </c>
      <c r="AG28" s="602">
        <f t="shared" si="87"/>
        <v>-12.414550068648154</v>
      </c>
      <c r="AH28" s="603">
        <f t="shared" si="88"/>
        <v>91.470665357398488</v>
      </c>
      <c r="AI28" s="585">
        <f t="shared" si="89"/>
        <v>-12.499998195230186</v>
      </c>
      <c r="AJ28" s="586">
        <f t="shared" si="90"/>
        <v>-6.8100850425715871</v>
      </c>
      <c r="AK28" s="635">
        <f t="shared" si="211"/>
        <v>2.2679489666832531E-7</v>
      </c>
      <c r="AL28" s="629">
        <f t="shared" si="91"/>
        <v>0.21643958318546494</v>
      </c>
      <c r="AM28" s="634">
        <f t="shared" si="92"/>
        <v>-0.97629601393760224</v>
      </c>
      <c r="AN28" s="581">
        <f t="shared" si="93"/>
        <v>12.499998195223554</v>
      </c>
      <c r="AO28" s="582">
        <f t="shared" si="94"/>
        <v>0</v>
      </c>
      <c r="AP28" s="585">
        <f t="shared" si="95"/>
        <v>89.999939962967019</v>
      </c>
      <c r="AQ28" s="586">
        <f t="shared" si="9"/>
        <v>1.6410013120262434</v>
      </c>
      <c r="AS28" s="52">
        <f t="shared" si="116"/>
        <v>-186.7100250199768</v>
      </c>
      <c r="AT28" s="72">
        <f t="shared" si="10"/>
        <v>-0.11288385509210624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3.206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3.1059999999999999</v>
      </c>
      <c r="II28" s="734" cm="1">
        <f t="array" ref="II28">IFERROR(IF($IH28&lt;1,$IH28+LARGE((IF($M$9:$M$150="",0,$M$9:$M$150)-MOD(IF($M$9:$M$150="",0,$M$9:$M$150),1)),1),$IH28),"")</f>
        <v>3.1059999999999999</v>
      </c>
      <c r="IJ28" s="533">
        <f t="shared" si="112"/>
        <v>1613</v>
      </c>
      <c r="IK28" s="533" t="str">
        <f t="shared" si="66"/>
        <v>Inactive</v>
      </c>
      <c r="IL28" s="727">
        <f t="shared" si="225"/>
        <v>41.809993963383761</v>
      </c>
      <c r="IM28" s="759">
        <v>7.8997626328413506E-2</v>
      </c>
      <c r="IN28" s="5">
        <f t="shared" si="226"/>
        <v>0.9</v>
      </c>
      <c r="IO28" s="771">
        <v>450</v>
      </c>
      <c r="IP28" s="9">
        <f t="shared" si="227"/>
        <v>-1.4071042438263994</v>
      </c>
      <c r="IQ28" s="5">
        <f t="shared" si="228"/>
        <v>-0.21600065145796479</v>
      </c>
      <c r="IR28" s="5">
        <f t="shared" si="71"/>
        <v>0.314</v>
      </c>
      <c r="IS28" s="5">
        <f t="shared" si="229"/>
        <v>0.30655694837641501</v>
      </c>
      <c r="IT28" s="727">
        <f t="shared" si="230"/>
        <v>-12.499998195223588</v>
      </c>
      <c r="IU28" s="9">
        <f t="shared" si="231"/>
        <v>-1.3888491301488286</v>
      </c>
      <c r="IV28" s="5">
        <f t="shared" si="232"/>
        <v>-0.24261303912373028</v>
      </c>
      <c r="IW28" s="5">
        <f t="shared" si="76"/>
        <v>0.22499999999999998</v>
      </c>
      <c r="IX28" s="5">
        <f t="shared" si="233"/>
        <v>0.22499999999999998</v>
      </c>
      <c r="IY28" s="762">
        <f t="shared" si="234"/>
        <v>-12.499998195223554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0.27287809976252597</v>
      </c>
      <c r="C29" s="708">
        <v>-2.0727225162967411</v>
      </c>
      <c r="D29" s="709">
        <v>-8.0033810129291671E-2</v>
      </c>
      <c r="E29" s="710">
        <v>-1.1375839910122944E-2</v>
      </c>
      <c r="F29" s="708">
        <v>8.6410135819639952E-2</v>
      </c>
      <c r="G29" s="711">
        <v>0.99619469918985759</v>
      </c>
      <c r="H29" s="710">
        <v>0.22499999999999998</v>
      </c>
      <c r="I29" s="708">
        <v>0.33200000000000002</v>
      </c>
      <c r="J29" s="570">
        <v>3.2090000000000001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843"/>
      <c r="M29" s="168">
        <f t="shared" si="1"/>
        <v>3.2090000000000001</v>
      </c>
      <c r="N29" s="632">
        <f t="shared" si="2"/>
        <v>0.27287809976252597</v>
      </c>
      <c r="O29" s="629">
        <f t="shared" si="3"/>
        <v>-2.0727225162967411</v>
      </c>
      <c r="P29" s="633">
        <f t="shared" si="4"/>
        <v>-8.0033810129291671E-2</v>
      </c>
      <c r="Q29" s="585">
        <f t="shared" si="113"/>
        <v>277.49997292835337</v>
      </c>
      <c r="R29" s="629">
        <f>IF(M29="","",SQRT(N29^2+O29^2))</f>
        <v>2.0906078271386774</v>
      </c>
      <c r="S29" s="634">
        <f>IF(M29="","",P29)</f>
        <v>-8.0033810129291671E-2</v>
      </c>
      <c r="T29" s="635">
        <f>IF(M29="","",X29*COS(RADIANS(W29)))</f>
        <v>-2.0722430975423456</v>
      </c>
      <c r="U29" s="629">
        <f>IF(M29="","",X29*SIN(RADIANS(W29)))</f>
        <v>-0.27649526502565425</v>
      </c>
      <c r="V29" s="636">
        <f>IF(M29="","",Y29)</f>
        <v>-8.0033810129291671E-2</v>
      </c>
      <c r="W29" s="585">
        <f t="shared" si="224"/>
        <v>187.59997291391517</v>
      </c>
      <c r="X29" s="629">
        <f>IF(M29="","",R29)</f>
        <v>2.0906078271386774</v>
      </c>
      <c r="Y29" s="630">
        <f t="shared" si="223"/>
        <v>-8.0033810129291671E-2</v>
      </c>
      <c r="Z29" s="632">
        <f t="shared" si="6"/>
        <v>1.1375839910122944E-2</v>
      </c>
      <c r="AA29" s="629">
        <f t="shared" si="7"/>
        <v>-8.6410135819639952E-2</v>
      </c>
      <c r="AB29" s="629">
        <f t="shared" si="8"/>
        <v>-0.99619469918985759</v>
      </c>
      <c r="AC29" s="636">
        <f>IF(M29="","",SQRT(Z29^2+AA29^2+AB29^2))</f>
        <v>1</v>
      </c>
      <c r="AD29" s="637">
        <f>IF(M29="","",Z29*(1/SQRT(Z29^2+AA29^2+AB29^2)))</f>
        <v>1.1375839910122944E-2</v>
      </c>
      <c r="AE29" s="629">
        <f>IF(M29="","",AA29*(1/SQRT(Z29^2+AA29^2+AB29^2)))</f>
        <v>-8.6410135819639952E-2</v>
      </c>
      <c r="AF29" s="633">
        <f>IF(M29="","",AB29*(1/SQRT(Z29^2+AA29^2+AB29^2)))</f>
        <v>-0.99619469918985759</v>
      </c>
      <c r="AG29" s="602">
        <f>IF(M29="","",DEGREES(ATAN2(-AF29,AE29)))</f>
        <v>-4.9574396694946889</v>
      </c>
      <c r="AH29" s="603">
        <f>IF(M29="","",DEGREES(ACOS(AD29)))</f>
        <v>89.34819832597114</v>
      </c>
      <c r="AI29" s="585">
        <f>IF(M29="","",DEGREES(-ACOS(-AF29)))</f>
        <v>-4.9999992781061904</v>
      </c>
      <c r="AJ29" s="586">
        <f>IF(M29="","",DEGREES(ATAN2(-AE29,AD29)))</f>
        <v>7.4998238344226662</v>
      </c>
      <c r="AK29" s="635">
        <f>IF(M29="","",(COS(RADIANS((90-$Q$8)-W29))*AD29)+(-SIN(RADIANS((90-$Q$8)-W29))*AE29))</f>
        <v>2.2679489675506148E-7</v>
      </c>
      <c r="AL29" s="629">
        <f>IF(M29="","",(SIN(RADIANS((90-$Q$8)-W29))*AD29)+(COS(RADIANS((90-$Q$8)-W29))*AE29))</f>
        <v>8.7155730195885198E-2</v>
      </c>
      <c r="AM29" s="634">
        <f>IF(M29="","",AF29)</f>
        <v>-0.99619469918985759</v>
      </c>
      <c r="AN29" s="581">
        <f>IF(M29="","",DEGREES(ATAN2(-AM29,AL29)))</f>
        <v>4.9999992780894242</v>
      </c>
      <c r="AO29" s="582">
        <f t="shared" si="94"/>
        <v>0</v>
      </c>
      <c r="AP29" s="585">
        <f>IF(M29="","",DEGREES(ATAN2(AK29,AL29)))</f>
        <v>89.999850906069284</v>
      </c>
      <c r="AQ29" s="586">
        <f t="shared" si="9"/>
        <v>1.0903295234323656</v>
      </c>
      <c r="AS29" s="52">
        <f t="shared" si="116"/>
        <v>-172.40002708608483</v>
      </c>
      <c r="AT29" s="72">
        <f t="shared" si="10"/>
        <v>3.97578753371296E-2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3.2090000000000001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3.109</v>
      </c>
      <c r="II29" s="734" cm="1">
        <f t="array" ref="II29">IFERROR(IF($IH29&lt;1,$IH29+LARGE((IF($M$9:$M$150="",0,$M$9:$M$150)-MOD(IF($M$9:$M$150="",0,$M$9:$M$150),1)),1),$IH29),"")</f>
        <v>3.109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27.499996029491797</v>
      </c>
      <c r="IM29" s="759">
        <v>8.4557036692975499E-2</v>
      </c>
      <c r="IN29" s="5">
        <f t="shared" si="226"/>
        <v>1.18</v>
      </c>
      <c r="IO29" s="771">
        <v>590</v>
      </c>
      <c r="IP29" s="9">
        <f t="shared" si="227"/>
        <v>-2.0979063272854832</v>
      </c>
      <c r="IQ29" s="5">
        <f t="shared" si="228"/>
        <v>-7.0400212327040385E-2</v>
      </c>
      <c r="IR29" s="5">
        <f t="shared" si="71"/>
        <v>0.314</v>
      </c>
      <c r="IS29" s="5">
        <f t="shared" si="229"/>
        <v>0.30595220265650214</v>
      </c>
      <c r="IT29" s="727">
        <f t="shared" si="230"/>
        <v>-4.9999992780894482</v>
      </c>
      <c r="IU29" s="9">
        <f t="shared" si="231"/>
        <v>-2.0906078271386774</v>
      </c>
      <c r="IV29" s="5">
        <f t="shared" si="232"/>
        <v>-8.0033810129291671E-2</v>
      </c>
      <c r="IW29" s="5">
        <f t="shared" si="76"/>
        <v>0.22499999999999998</v>
      </c>
      <c r="IX29" s="5">
        <f t="shared" si="233"/>
        <v>0.22499999999999998</v>
      </c>
      <c r="IY29" s="762">
        <f t="shared" si="234"/>
        <v>-4.9999992780894242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-0.34407931452132273</v>
      </c>
      <c r="C30" s="708">
        <v>-0.3440790804151046</v>
      </c>
      <c r="D30" s="709">
        <v>-0.41290124531015582</v>
      </c>
      <c r="E30" s="710">
        <v>0.7204013011985575</v>
      </c>
      <c r="F30" s="708">
        <v>-0.62835819528077685</v>
      </c>
      <c r="G30" s="711">
        <v>0.29357783236291934</v>
      </c>
      <c r="H30" s="710">
        <v>0.314</v>
      </c>
      <c r="I30" s="708">
        <v>0.52</v>
      </c>
      <c r="J30" s="570">
        <v>4.1020000000000003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843"/>
      <c r="M30" s="168">
        <f t="shared" si="1"/>
        <v>4.1020000000000003</v>
      </c>
      <c r="N30" s="632">
        <f t="shared" si="2"/>
        <v>-0.34407931452132273</v>
      </c>
      <c r="O30" s="629">
        <f t="shared" si="3"/>
        <v>-0.3440790804151046</v>
      </c>
      <c r="P30" s="633">
        <f t="shared" si="4"/>
        <v>-0.41290124531015582</v>
      </c>
      <c r="Q30" s="585">
        <f t="shared" si="113"/>
        <v>224.99998050841441</v>
      </c>
      <c r="R30" s="629">
        <f>IF(M30="","",SQRT(N30^2+O30^2))</f>
        <v>0.48660146759002626</v>
      </c>
      <c r="S30" s="634">
        <f>IF(M30="","",P30)</f>
        <v>-0.41290124531015582</v>
      </c>
      <c r="T30" s="635">
        <f>IF(M30="","",X30*COS(RADIANS(W30)))</f>
        <v>-0.34467908765402766</v>
      </c>
      <c r="U30" s="629">
        <f>IF(M30="","",X30*SIN(RADIANS(W30)))</f>
        <v>0.34347825956638722</v>
      </c>
      <c r="V30" s="636">
        <f>IF(M30="","",Y30)</f>
        <v>-0.41290124531015582</v>
      </c>
      <c r="W30" s="585">
        <f t="shared" si="224"/>
        <v>135.0999804939762</v>
      </c>
      <c r="X30" s="629">
        <f>IF(M30="","",R30)</f>
        <v>0.48660146759002626</v>
      </c>
      <c r="Y30" s="630">
        <f t="shared" si="223"/>
        <v>-0.41290124531015582</v>
      </c>
      <c r="Z30" s="632">
        <f t="shared" si="6"/>
        <v>-0.7204013011985575</v>
      </c>
      <c r="AA30" s="629">
        <f t="shared" si="7"/>
        <v>0.62835819528077685</v>
      </c>
      <c r="AB30" s="629">
        <f t="shared" si="8"/>
        <v>-0.29357783236291934</v>
      </c>
      <c r="AC30" s="636">
        <f>IF(M30="","",SQRT(Z30^2+AA30^2+AB30^2))</f>
        <v>1</v>
      </c>
      <c r="AD30" s="637">
        <f>IF(M30="","",Z30*(1/SQRT(Z30^2+AA30^2+AB30^2)))</f>
        <v>-0.7204013011985575</v>
      </c>
      <c r="AE30" s="629">
        <f>IF(M30="","",AA30*(1/SQRT(Z30^2+AA30^2+AB30^2)))</f>
        <v>0.62835819528077685</v>
      </c>
      <c r="AF30" s="633">
        <f>IF(M30="","",AB30*(1/SQRT(Z30^2+AA30^2+AB30^2)))</f>
        <v>-0.29357783236291934</v>
      </c>
      <c r="AG30" s="602">
        <f>IF(M30="","",DEGREES(ATAN2(-AF30,AE30)))</f>
        <v>64.957353714208011</v>
      </c>
      <c r="AH30" s="603">
        <f>IF(M30="","",DEGREES(ACOS(AD30)))</f>
        <v>136.0876225520027</v>
      </c>
      <c r="AI30" s="585">
        <f>IF(M30="","",DEGREES(-ACOS(-AF30)))</f>
        <v>-72.927722444134986</v>
      </c>
      <c r="AJ30" s="586">
        <f>IF(M30="","",DEGREES(ATAN2(-AE30,AD30)))</f>
        <v>-131.09602922734501</v>
      </c>
      <c r="AK30" s="635">
        <f>IF(M30="","",(COS(RADIANS((90-$Q$8)-W30))*AD30)+(-SIN(RADIANS((90-$Q$8)-W30))*AE30))</f>
        <v>0.95371696400905337</v>
      </c>
      <c r="AL30" s="629">
        <f>IF(M30="","",(SIN(RADIANS((90-$Q$8)-W30))*AD30)+(COS(RADIANS((90-$Q$8)-W30))*AE30))</f>
        <v>6.5084628803148636E-2</v>
      </c>
      <c r="AM30" s="634">
        <f>IF(M30="","",AF30)</f>
        <v>-0.29357783236291934</v>
      </c>
      <c r="AN30" s="581">
        <f>IF(M30="","",DEGREES(ATAN2(-AM30,AL30)))</f>
        <v>12.499998195223537</v>
      </c>
      <c r="AO30" s="582">
        <f>IF(ROUND(IF(M30="",0,DEGREES(ACOS(AK30))),4)=90,0,IF(M30="","",DEGREES(ACOS(AK30))))</f>
        <v>17.49999747331298</v>
      </c>
      <c r="AP30" s="585">
        <f>IF(M30="","",DEGREES(ATAN2(AK30,AL30)))</f>
        <v>3.9039902642405711</v>
      </c>
      <c r="AQ30" s="586">
        <f t="shared" si="9"/>
        <v>4.6745976649150025</v>
      </c>
      <c r="AS30" s="52">
        <f t="shared" si="116"/>
        <v>-224.9000195060238</v>
      </c>
      <c r="AT30" s="72">
        <f t="shared" si="10"/>
        <v>-0.25665123177433247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4.1020000000000003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350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-0.83255031836704763</v>
      </c>
      <c r="C31" s="708">
        <v>-0.83254975191275016</v>
      </c>
      <c r="D31" s="709">
        <v>-0.26700080527442871</v>
      </c>
      <c r="E31" s="710">
        <v>0.72347049847157163</v>
      </c>
      <c r="F31" s="708">
        <v>-0.65722058786760551</v>
      </c>
      <c r="G31" s="711">
        <v>0.21130910232229641</v>
      </c>
      <c r="H31" s="710">
        <v>0.314</v>
      </c>
      <c r="I31" s="708">
        <v>0.52</v>
      </c>
      <c r="J31" s="570">
        <v>4.1050000000000004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4.1050000000000004</v>
      </c>
      <c r="N31" s="632">
        <f t="shared" si="2"/>
        <v>-0.83255031836704763</v>
      </c>
      <c r="O31" s="629">
        <f t="shared" si="3"/>
        <v>-0.83254975191275016</v>
      </c>
      <c r="P31" s="633">
        <f t="shared" si="4"/>
        <v>-0.26700080527442871</v>
      </c>
      <c r="Q31" s="585">
        <f t="shared" si="113"/>
        <v>224.99998050841441</v>
      </c>
      <c r="R31" s="629">
        <f>IF(M31="","",SQRT(N31^2+O31^2))</f>
        <v>1.1774035510491099</v>
      </c>
      <c r="S31" s="634">
        <f>IF(M31="","",P31)</f>
        <v>-0.26700080527442871</v>
      </c>
      <c r="T31" s="635">
        <f>IF(M31="","",X31*COS(RADIANS(W31)))</f>
        <v>-0.83400155734453785</v>
      </c>
      <c r="U31" s="629">
        <f>IF(M31="","",X31*SIN(RADIANS(W31)))</f>
        <v>0.83109597783284894</v>
      </c>
      <c r="V31" s="636">
        <f>IF(M31="","",Y31)</f>
        <v>-0.26700080527442871</v>
      </c>
      <c r="W31" s="585">
        <f t="shared" si="224"/>
        <v>135.0999804939762</v>
      </c>
      <c r="X31" s="629">
        <f>IF(M31="","",R31)</f>
        <v>1.1774035510491099</v>
      </c>
      <c r="Y31" s="630">
        <f t="shared" si="223"/>
        <v>-0.26700080527442871</v>
      </c>
      <c r="Z31" s="632">
        <f t="shared" si="6"/>
        <v>-0.72347049847157163</v>
      </c>
      <c r="AA31" s="629">
        <f t="shared" si="7"/>
        <v>0.65722058786760551</v>
      </c>
      <c r="AB31" s="629">
        <f t="shared" si="8"/>
        <v>-0.21130910232229641</v>
      </c>
      <c r="AC31" s="636">
        <f>IF(M31="","",SQRT(Z31^2+AA31^2+AB31^2))</f>
        <v>1</v>
      </c>
      <c r="AD31" s="637">
        <f>IF(M31="","",Z31*(1/SQRT(Z31^2+AA31^2+AB31^2)))</f>
        <v>-0.72347049847157163</v>
      </c>
      <c r="AE31" s="629">
        <f>IF(M31="","",AA31*(1/SQRT(Z31^2+AA31^2+AB31^2)))</f>
        <v>0.65722058786760551</v>
      </c>
      <c r="AF31" s="633">
        <f>IF(M31="","",AB31*(1/SQRT(Z31^2+AA31^2+AB31^2)))</f>
        <v>-0.21130910232229641</v>
      </c>
      <c r="AG31" s="602">
        <f>IF(M31="","",DEGREES(ATAN2(-AF31,AE31)))</f>
        <v>72.176399710771832</v>
      </c>
      <c r="AH31" s="603">
        <f>IF(M31="","",DEGREES(ACOS(AD31)))</f>
        <v>136.34175961304587</v>
      </c>
      <c r="AI31" s="585">
        <f>IF(M31="","",DEGREES(-ACOS(-AF31)))</f>
        <v>-77.800919983022339</v>
      </c>
      <c r="AJ31" s="586">
        <f>IF(M31="","",DEGREES(ATAN2(-AE31,AD31)))</f>
        <v>-132.25287490682777</v>
      </c>
      <c r="AK31" s="635">
        <f>IF(M31="","",(COS(RADIANS((90-$Q$8)-W31))*AD31)+(-SIN(RADIANS((90-$Q$8)-W31))*AE31))</f>
        <v>0.97629601393762733</v>
      </c>
      <c r="AL31" s="629">
        <f>IF(M31="","",(SIN(RADIANS((90-$Q$8)-W31))*AD31)+(COS(RADIANS((90-$Q$8)-W31))*AE31))</f>
        <v>4.6846093169500058E-2</v>
      </c>
      <c r="AM31" s="634">
        <f>IF(M31="","",AF31)</f>
        <v>-0.21130910232229641</v>
      </c>
      <c r="AN31" s="581">
        <f>IF(M31="","",DEGREES(ATAN2(-AM31,AL31)))</f>
        <v>12.499998195223514</v>
      </c>
      <c r="AO31" s="582">
        <f t="shared" si="94"/>
        <v>12.499998195223544</v>
      </c>
      <c r="AP31" s="585">
        <f>IF(M31="","",DEGREES(ATAN2(AK31,AL31)))</f>
        <v>2.7471445847577991</v>
      </c>
      <c r="AQ31" s="586">
        <f t="shared" si="9"/>
        <v>1.9354956090922042</v>
      </c>
      <c r="AS31" s="52">
        <f t="shared" si="116"/>
        <v>-224.9000195060238</v>
      </c>
      <c r="AT31" s="72">
        <f t="shared" si="10"/>
        <v>-0.11075079173860539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4.1050000000000004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-1.3198899475657648</v>
      </c>
      <c r="C32" s="708">
        <v>-1.3198890495331574</v>
      </c>
      <c r="D32" s="709">
        <v>-0.11420034442823879</v>
      </c>
      <c r="E32" s="710">
        <v>0.72347049847157174</v>
      </c>
      <c r="F32" s="708">
        <v>-0.65722058786760551</v>
      </c>
      <c r="G32" s="711">
        <v>0.21130910232229638</v>
      </c>
      <c r="H32" s="710">
        <v>0.314</v>
      </c>
      <c r="I32" s="708">
        <v>0.52</v>
      </c>
      <c r="J32" s="570">
        <v>4.1079999999999997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4.1079999999999997</v>
      </c>
      <c r="N32" s="632">
        <f t="shared" si="2"/>
        <v>-1.3198899475657648</v>
      </c>
      <c r="O32" s="629">
        <f t="shared" si="3"/>
        <v>-1.3198890495331574</v>
      </c>
      <c r="P32" s="633">
        <f t="shared" si="4"/>
        <v>-0.11420034442823879</v>
      </c>
      <c r="Q32" s="585">
        <f t="shared" si="113"/>
        <v>224.99998050841441</v>
      </c>
      <c r="R32" s="629">
        <f t="shared" si="79"/>
        <v>1.8666056296825795</v>
      </c>
      <c r="S32" s="634">
        <f t="shared" si="80"/>
        <v>-0.11420034442823879</v>
      </c>
      <c r="T32" s="635">
        <f t="shared" si="81"/>
        <v>-1.3221906802610113</v>
      </c>
      <c r="U32" s="629">
        <f t="shared" si="82"/>
        <v>1.3175842977941195</v>
      </c>
      <c r="V32" s="636">
        <f t="shared" si="114"/>
        <v>-0.11420034442823879</v>
      </c>
      <c r="W32" s="585">
        <f t="shared" si="224"/>
        <v>135.0999804939762</v>
      </c>
      <c r="X32" s="629">
        <f t="shared" si="83"/>
        <v>1.8666056296825795</v>
      </c>
      <c r="Y32" s="630">
        <f t="shared" si="223"/>
        <v>-0.11420034442823879</v>
      </c>
      <c r="Z32" s="632">
        <f t="shared" si="6"/>
        <v>-0.72347049847157174</v>
      </c>
      <c r="AA32" s="629">
        <f t="shared" si="7"/>
        <v>0.65722058786760551</v>
      </c>
      <c r="AB32" s="629">
        <f t="shared" si="8"/>
        <v>-0.21130910232229638</v>
      </c>
      <c r="AC32" s="636">
        <f t="shared" si="84"/>
        <v>1</v>
      </c>
      <c r="AD32" s="637">
        <f t="shared" si="115"/>
        <v>-0.72347049847157174</v>
      </c>
      <c r="AE32" s="629">
        <f t="shared" si="85"/>
        <v>0.65722058786760551</v>
      </c>
      <c r="AF32" s="633">
        <f t="shared" si="86"/>
        <v>-0.21130910232229638</v>
      </c>
      <c r="AG32" s="602">
        <f t="shared" si="87"/>
        <v>72.176399710771832</v>
      </c>
      <c r="AH32" s="603">
        <f t="shared" si="88"/>
        <v>136.34175961304589</v>
      </c>
      <c r="AI32" s="585">
        <f t="shared" si="89"/>
        <v>-77.800919983022339</v>
      </c>
      <c r="AJ32" s="586">
        <f t="shared" si="90"/>
        <v>-132.25287490682777</v>
      </c>
      <c r="AK32" s="635">
        <f t="shared" si="211"/>
        <v>0.97629601393762733</v>
      </c>
      <c r="AL32" s="629">
        <f t="shared" si="91"/>
        <v>4.6846093169500169E-2</v>
      </c>
      <c r="AM32" s="634">
        <f t="shared" si="92"/>
        <v>-0.21130910232229638</v>
      </c>
      <c r="AN32" s="581">
        <f t="shared" si="93"/>
        <v>12.499998195223544</v>
      </c>
      <c r="AO32" s="582">
        <f t="shared" si="94"/>
        <v>12.499998195223544</v>
      </c>
      <c r="AP32" s="585">
        <f t="shared" si="95"/>
        <v>2.7471445847578058</v>
      </c>
      <c r="AQ32" s="586">
        <f t="shared" si="9"/>
        <v>1.2211371302263185</v>
      </c>
      <c r="AS32" s="52">
        <f t="shared" si="116"/>
        <v>-224.9000195060238</v>
      </c>
      <c r="AT32" s="72">
        <f t="shared" si="10"/>
        <v>4.2049669107584536E-2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4.1079999999999997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-1.9724147861361967</v>
      </c>
      <c r="C33" s="708">
        <v>-1.9491421946282088</v>
      </c>
      <c r="D33" s="709">
        <v>-0.15680047291022631</v>
      </c>
      <c r="E33" s="710">
        <v>0.597359240456944</v>
      </c>
      <c r="F33" s="708">
        <v>-0.76609275621919237</v>
      </c>
      <c r="G33" s="711">
        <v>0.23719997198394482</v>
      </c>
      <c r="H33" s="710">
        <v>0.314</v>
      </c>
      <c r="I33" s="708">
        <v>0.52</v>
      </c>
      <c r="J33" s="570">
        <v>4.1130000000000004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4.1130000000000004</v>
      </c>
      <c r="N33" s="632">
        <f t="shared" si="2"/>
        <v>-1.9724147861361967</v>
      </c>
      <c r="O33" s="629">
        <f t="shared" si="3"/>
        <v>-1.9491421946282088</v>
      </c>
      <c r="P33" s="633">
        <f t="shared" si="4"/>
        <v>-0.15680047291022631</v>
      </c>
      <c r="Q33" s="585">
        <f t="shared" si="113"/>
        <v>224.6599805575043</v>
      </c>
      <c r="R33" s="629">
        <f t="shared" si="79"/>
        <v>2.7730083633932243</v>
      </c>
      <c r="S33" s="634">
        <f t="shared" si="80"/>
        <v>-0.15680047291022631</v>
      </c>
      <c r="T33" s="635">
        <f t="shared" si="81"/>
        <v>-1.952581736895012</v>
      </c>
      <c r="U33" s="629">
        <f t="shared" si="82"/>
        <v>1.9690098893080312</v>
      </c>
      <c r="V33" s="636">
        <f t="shared" si="114"/>
        <v>-0.15680047291022631</v>
      </c>
      <c r="W33" s="585">
        <f t="shared" si="224"/>
        <v>134.75998054306609</v>
      </c>
      <c r="X33" s="629">
        <f t="shared" si="83"/>
        <v>2.7730083633932243</v>
      </c>
      <c r="Y33" s="630">
        <f t="shared" si="223"/>
        <v>-0.15680047291022631</v>
      </c>
      <c r="Z33" s="632">
        <f t="shared" si="6"/>
        <v>-0.597359240456944</v>
      </c>
      <c r="AA33" s="629">
        <f t="shared" si="7"/>
        <v>0.76609275621919237</v>
      </c>
      <c r="AB33" s="629">
        <f t="shared" si="8"/>
        <v>-0.23719997198394482</v>
      </c>
      <c r="AC33" s="636">
        <f t="shared" si="84"/>
        <v>1</v>
      </c>
      <c r="AD33" s="637">
        <f t="shared" si="115"/>
        <v>-0.597359240456944</v>
      </c>
      <c r="AE33" s="629">
        <f t="shared" si="85"/>
        <v>0.76609275621919237</v>
      </c>
      <c r="AF33" s="633">
        <f t="shared" si="86"/>
        <v>-0.23719997198394482</v>
      </c>
      <c r="AG33" s="602">
        <f t="shared" si="87"/>
        <v>72.796270248721697</v>
      </c>
      <c r="AH33" s="603">
        <f t="shared" si="88"/>
        <v>126.6810003720969</v>
      </c>
      <c r="AI33" s="585">
        <f t="shared" si="89"/>
        <v>-76.27866084253526</v>
      </c>
      <c r="AJ33" s="586">
        <f t="shared" si="90"/>
        <v>-142.05474969072628</v>
      </c>
      <c r="AK33" s="635">
        <f t="shared" si="211"/>
        <v>0.96479722750294261</v>
      </c>
      <c r="AL33" s="629">
        <f t="shared" si="91"/>
        <v>-0.1135890975994216</v>
      </c>
      <c r="AM33" s="634">
        <f t="shared" si="92"/>
        <v>-0.23719997198394482</v>
      </c>
      <c r="AN33" s="581">
        <f t="shared" si="93"/>
        <v>-25.588587537019354</v>
      </c>
      <c r="AO33" s="582">
        <f t="shared" si="94"/>
        <v>15.247842545344149</v>
      </c>
      <c r="AP33" s="585">
        <f t="shared" si="95"/>
        <v>-6.7147302482306088</v>
      </c>
      <c r="AQ33" s="586">
        <f t="shared" si="9"/>
        <v>0.82205673447434546</v>
      </c>
      <c r="AS33" s="52">
        <f t="shared" si="116"/>
        <v>-225.24001945693391</v>
      </c>
      <c r="AT33" s="72">
        <f t="shared" si="10"/>
        <v>-3.143482973820555E-4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4.1130000000000004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-2.4727015642347467</v>
      </c>
      <c r="C34" s="708">
        <v>-2.3820272125208022</v>
      </c>
      <c r="D34" s="709">
        <v>-0.68540206717263474</v>
      </c>
      <c r="E34" s="710">
        <v>0.46161788156906619</v>
      </c>
      <c r="F34" s="708">
        <v>-0.86981886132967567</v>
      </c>
      <c r="G34" s="711">
        <v>0.17413810579776656</v>
      </c>
      <c r="H34" s="710">
        <v>0.314</v>
      </c>
      <c r="I34" s="708">
        <v>0.52</v>
      </c>
      <c r="J34" s="570">
        <v>4.1180000000000003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4.1180000000000003</v>
      </c>
      <c r="N34" s="632">
        <f t="shared" si="2"/>
        <v>-2.4727015642347467</v>
      </c>
      <c r="O34" s="629">
        <f t="shared" si="3"/>
        <v>-2.3820272125208022</v>
      </c>
      <c r="P34" s="633">
        <f t="shared" si="4"/>
        <v>-0.68540206717263474</v>
      </c>
      <c r="Q34" s="585">
        <f t="shared" si="113"/>
        <v>223.92998066290329</v>
      </c>
      <c r="R34" s="629">
        <f>IF(M34="","",SQRT(N34^2+O34^2))</f>
        <v>3.4334103551656314</v>
      </c>
      <c r="S34" s="634">
        <f>IF(M34="","",P34)</f>
        <v>-0.68540206717263474</v>
      </c>
      <c r="T34" s="635">
        <f>IF(M34="","",X34*COS(RADIANS(W34)))</f>
        <v>-2.3863392600452089</v>
      </c>
      <c r="U34" s="629">
        <f>IF(M34="","",X34*SIN(RADIANS(W34)))</f>
        <v>2.4685403790348404</v>
      </c>
      <c r="V34" s="636">
        <f>IF(M34="","",Y34)</f>
        <v>-0.68540206717263474</v>
      </c>
      <c r="W34" s="585">
        <f t="shared" si="224"/>
        <v>134.02998064846508</v>
      </c>
      <c r="X34" s="629">
        <f>IF(M34="","",R34)</f>
        <v>3.4334103551656314</v>
      </c>
      <c r="Y34" s="630">
        <f t="shared" si="223"/>
        <v>-0.68540206717263474</v>
      </c>
      <c r="Z34" s="632">
        <f t="shared" si="6"/>
        <v>-0.46161788156906619</v>
      </c>
      <c r="AA34" s="629">
        <f t="shared" si="7"/>
        <v>0.86981886132967567</v>
      </c>
      <c r="AB34" s="629">
        <f t="shared" si="8"/>
        <v>-0.17413810579776656</v>
      </c>
      <c r="AC34" s="636">
        <f>IF(M34="","",SQRT(Z34^2+AA34^2+AB34^2))</f>
        <v>1</v>
      </c>
      <c r="AD34" s="637">
        <f>IF(M34="","",Z34*(1/SQRT(Z34^2+AA34^2+AB34^2)))</f>
        <v>-0.46161788156906619</v>
      </c>
      <c r="AE34" s="629">
        <f>IF(M34="","",AA34*(1/SQRT(Z34^2+AA34^2+AB34^2)))</f>
        <v>0.86981886132967567</v>
      </c>
      <c r="AF34" s="633">
        <f>IF(M34="","",AB34*(1/SQRT(Z34^2+AA34^2+AB34^2)))</f>
        <v>-0.17413810579776656</v>
      </c>
      <c r="AG34" s="602">
        <f>IF(M34="","",DEGREES(ATAN2(-AF34,AE34)))</f>
        <v>78.679026112929222</v>
      </c>
      <c r="AH34" s="603">
        <f>IF(M34="","",DEGREES(ACOS(AD34)))</f>
        <v>117.49155581292386</v>
      </c>
      <c r="AI34" s="585">
        <f>IF(M34="","",DEGREES(-ACOS(-AF34)))</f>
        <v>-79.971494896815301</v>
      </c>
      <c r="AJ34" s="586">
        <f>IF(M34="","",DEGREES(ATAN2(-AE34,AD34)))</f>
        <v>-152.04485015341837</v>
      </c>
      <c r="AK34" s="635">
        <f>IF(M34="","",(COS(RADIANS((90-$Q$8)-W34))*AD34)+(-SIN(RADIANS((90-$Q$8)-W34))*AE34))</f>
        <v>0.94669395104614384</v>
      </c>
      <c r="AL34" s="629">
        <f>IF(M34="","",(SIN(RADIANS((90-$Q$8)-W34))*AD34)+(COS(RADIANS((90-$Q$8)-W34))*AE34))</f>
        <v>-0.27101011634588007</v>
      </c>
      <c r="AM34" s="634">
        <f>IF(M34="","",AF34)</f>
        <v>-0.17413810579776656</v>
      </c>
      <c r="AN34" s="581">
        <f>IF(M34="","",DEGREES(ATAN2(-AM34,AL34)))</f>
        <v>-57.277144346167816</v>
      </c>
      <c r="AO34" s="582">
        <f t="shared" si="94"/>
        <v>18.792052758014446</v>
      </c>
      <c r="AP34" s="585">
        <f>IF(M34="","",DEGREES(ATAN2(AK34,AL34)))</f>
        <v>-15.974830816321671</v>
      </c>
      <c r="AQ34" s="586">
        <f t="shared" si="9"/>
        <v>0.66395343121894268</v>
      </c>
      <c r="AS34" s="52">
        <f t="shared" si="116"/>
        <v>-225.97001935153492</v>
      </c>
      <c r="AT34" s="72">
        <f t="shared" si="10"/>
        <v>-0.52840899818853981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4.1180000000000003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-2.6595948040990844</v>
      </c>
      <c r="C35" s="708">
        <v>-2.5335814777747978</v>
      </c>
      <c r="D35" s="709">
        <v>-1.4966045137592134</v>
      </c>
      <c r="E35" s="710">
        <v>0.23297671339465822</v>
      </c>
      <c r="F35" s="708">
        <v>-0.96650276912500221</v>
      </c>
      <c r="G35" s="711">
        <v>0.10767659118641355</v>
      </c>
      <c r="H35" s="710">
        <v>0.314</v>
      </c>
      <c r="I35" s="708">
        <v>0.52</v>
      </c>
      <c r="J35" s="570">
        <v>4.1230000000000002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4.1230000000000002</v>
      </c>
      <c r="N35" s="632">
        <f t="shared" si="2"/>
        <v>-2.6595948040990844</v>
      </c>
      <c r="O35" s="629">
        <f t="shared" si="3"/>
        <v>-2.5335814777747978</v>
      </c>
      <c r="P35" s="633">
        <f t="shared" si="4"/>
        <v>-1.4966045137592134</v>
      </c>
      <c r="Q35" s="585">
        <f t="shared" si="113"/>
        <v>223.60998070910554</v>
      </c>
      <c r="R35" s="629">
        <f>IF(M35="","",SQRT(N35^2+O35^2))</f>
        <v>3.6732110784046124</v>
      </c>
      <c r="S35" s="634">
        <f>IF(M35="","",P35)</f>
        <v>-1.4966045137592134</v>
      </c>
      <c r="T35" s="635">
        <f>IF(M35="","",X35*COS(RADIANS(W35)))</f>
        <v>-2.5382194844948169</v>
      </c>
      <c r="U35" s="629">
        <f>IF(M35="","",X35*SIN(RADIANS(W35)))</f>
        <v>2.6551688223247201</v>
      </c>
      <c r="V35" s="636">
        <f>IF(M35="","",Y35)</f>
        <v>-1.4966045137592134</v>
      </c>
      <c r="W35" s="585">
        <f t="shared" si="224"/>
        <v>133.70998069466734</v>
      </c>
      <c r="X35" s="629">
        <f>IF(M35="","",R35)</f>
        <v>3.6732110784046124</v>
      </c>
      <c r="Y35" s="630">
        <f t="shared" si="223"/>
        <v>-1.4966045137592134</v>
      </c>
      <c r="Z35" s="632">
        <f t="shared" si="6"/>
        <v>-0.23297671339465822</v>
      </c>
      <c r="AA35" s="629">
        <f t="shared" si="7"/>
        <v>0.96650276912500221</v>
      </c>
      <c r="AB35" s="629">
        <f t="shared" si="8"/>
        <v>-0.10767659118641355</v>
      </c>
      <c r="AC35" s="636">
        <f>IF(M35="","",SQRT(Z35^2+AA35^2+AB35^2))</f>
        <v>1</v>
      </c>
      <c r="AD35" s="637">
        <f>IF(M35="","",Z35*(1/SQRT(Z35^2+AA35^2+AB35^2)))</f>
        <v>-0.23297671339465822</v>
      </c>
      <c r="AE35" s="629">
        <f>IF(M35="","",AA35*(1/SQRT(Z35^2+AA35^2+AB35^2)))</f>
        <v>0.96650276912500221</v>
      </c>
      <c r="AF35" s="633">
        <f>IF(M35="","",AB35*(1/SQRT(Z35^2+AA35^2+AB35^2)))</f>
        <v>-0.10767659118641355</v>
      </c>
      <c r="AG35" s="602">
        <f>IF(M35="","",DEGREES(ATAN2(-AF35,AE35)))</f>
        <v>83.642979376965485</v>
      </c>
      <c r="AH35" s="603">
        <f>IF(M35="","",DEGREES(ACOS(AD35)))</f>
        <v>103.47238690682832</v>
      </c>
      <c r="AI35" s="585">
        <f>IF(M35="","",DEGREES(-ACOS(-AF35)))</f>
        <v>-83.818601519924286</v>
      </c>
      <c r="AJ35" s="586">
        <f>IF(M35="","",DEGREES(ATAN2(-AE35,AD35)))</f>
        <v>-166.44732783922299</v>
      </c>
      <c r="AK35" s="635">
        <f>IF(M35="","",(COS(RADIANS((90-$Q$8)-W35))*AD35)+(-SIN(RADIANS((90-$Q$8)-W35))*AE35))</f>
        <v>0.86049267555149767</v>
      </c>
      <c r="AL35" s="629">
        <f>IF(M35="","",(SIN(RADIANS((90-$Q$8)-W35))*AD35)+(COS(RADIANS((90-$Q$8)-W35))*AE35))</f>
        <v>-0.49795392059175414</v>
      </c>
      <c r="AM35" s="634">
        <f>IF(M35="","",AF35)</f>
        <v>-0.10767659118641355</v>
      </c>
      <c r="AN35" s="581">
        <f>IF(M35="","",DEGREES(ATAN2(-AM35,AL35)))</f>
        <v>-77.798335460854531</v>
      </c>
      <c r="AO35" s="582">
        <f t="shared" si="94"/>
        <v>30.628054445305981</v>
      </c>
      <c r="AP35" s="585">
        <f>IF(M35="","",DEGREES(ATAN2(AK35,AL35)))</f>
        <v>-30.057308548328511</v>
      </c>
      <c r="AQ35" s="586">
        <f t="shared" si="9"/>
        <v>0.62061161895438322</v>
      </c>
      <c r="AS35" s="52">
        <f t="shared" si="116"/>
        <v>-226.29001930533266</v>
      </c>
      <c r="AT35" s="72">
        <f t="shared" si="10"/>
        <v>-1.3393892225849813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4.1230000000000002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-2.721831330316542</v>
      </c>
      <c r="C36" s="708">
        <v>-2.5829197488066518</v>
      </c>
      <c r="D36" s="709">
        <v>-2.2927069148040551</v>
      </c>
      <c r="E36" s="710">
        <v>0.14780916564162311</v>
      </c>
      <c r="F36" s="708">
        <v>-0.98901590005030271</v>
      </c>
      <c r="G36" s="711">
        <v>1.3008419236165141E-7</v>
      </c>
      <c r="H36" s="710">
        <v>0.26600000000000001</v>
      </c>
      <c r="I36" s="708">
        <v>0.52</v>
      </c>
      <c r="J36" s="570">
        <v>4.1280000000000001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4.1280000000000001</v>
      </c>
      <c r="N36" s="632">
        <f t="shared" si="2"/>
        <v>-2.721831330316542</v>
      </c>
      <c r="O36" s="629">
        <f t="shared" si="3"/>
        <v>-2.5829197488066518</v>
      </c>
      <c r="P36" s="633">
        <f t="shared" si="4"/>
        <v>-2.2927069148040551</v>
      </c>
      <c r="Q36" s="585">
        <f t="shared" si="113"/>
        <v>223.49998072498758</v>
      </c>
      <c r="R36" s="629">
        <f>IF(M36="","",SQRT(N36^2+O36^2))</f>
        <v>3.7523113169709323</v>
      </c>
      <c r="S36" s="634">
        <f>IF(M36="","",P36)</f>
        <v>-2.2927069148040551</v>
      </c>
      <c r="T36" s="635">
        <f>IF(M36="","",X36*COS(RADIANS(W36)))</f>
        <v>-2.5876663035391467</v>
      </c>
      <c r="U36" s="629">
        <f>IF(M36="","",X36*SIN(RADIANS(W36)))</f>
        <v>2.7173191422790555</v>
      </c>
      <c r="V36" s="636">
        <f>IF(M36="","",Y36)</f>
        <v>-2.2927069148040551</v>
      </c>
      <c r="W36" s="585">
        <f t="shared" si="224"/>
        <v>133.59998071054937</v>
      </c>
      <c r="X36" s="629">
        <f>IF(M36="","",R36)</f>
        <v>3.7523113169709323</v>
      </c>
      <c r="Y36" s="630">
        <f t="shared" si="223"/>
        <v>-2.2927069148040551</v>
      </c>
      <c r="Z36" s="632">
        <f t="shared" si="6"/>
        <v>-0.14780916564162311</v>
      </c>
      <c r="AA36" s="629">
        <f t="shared" si="7"/>
        <v>0.98901590005030271</v>
      </c>
      <c r="AB36" s="629">
        <f t="shared" si="8"/>
        <v>-1.3008419236165141E-7</v>
      </c>
      <c r="AC36" s="636">
        <f>IF(M36="","",SQRT(Z36^2+AA36^2+AB36^2))</f>
        <v>1</v>
      </c>
      <c r="AD36" s="637">
        <f>IF(M36="","",Z36*(1/SQRT(Z36^2+AA36^2+AB36^2)))</f>
        <v>-0.14780916564162311</v>
      </c>
      <c r="AE36" s="629">
        <f>IF(M36="","",AA36*(1/SQRT(Z36^2+AA36^2+AB36^2)))</f>
        <v>0.98901590005030271</v>
      </c>
      <c r="AF36" s="633">
        <f>IF(M36="","",AB36*(1/SQRT(Z36^2+AA36^2+AB36^2)))</f>
        <v>-1.3008419236165141E-7</v>
      </c>
      <c r="AG36" s="602">
        <f>IF(M36="","",DEGREES(ATAN2(-AF36,AE36)))</f>
        <v>89.999992463948047</v>
      </c>
      <c r="AH36" s="603">
        <f>IF(M36="","",DEGREES(ACOS(AD36)))</f>
        <v>98.499985778362245</v>
      </c>
      <c r="AI36" s="585">
        <f>IF(M36="","",DEGREES(-ACOS(-AF36)))</f>
        <v>-89.999992546724798</v>
      </c>
      <c r="AJ36" s="586">
        <f>IF(M36="","",DEGREES(ATAN2(-AE36,AD36)))</f>
        <v>-171.50001422163768</v>
      </c>
      <c r="AK36" s="635">
        <f>IF(M36="","",(COS(RADIANS((90-$Q$8)-W36))*AD36)+(-SIN(RADIANS((90-$Q$8)-W36))*AE36))</f>
        <v>0.81915209487729201</v>
      </c>
      <c r="AL36" s="629">
        <f>IF(M36="","",(SIN(RADIANS((90-$Q$8)-W36))*AD36)+(COS(RADIANS((90-$Q$8)-W36))*AE36))</f>
        <v>-0.57357636410344459</v>
      </c>
      <c r="AM36" s="634">
        <f>IF(M36="","",AF36)</f>
        <v>-1.3008419236165141E-7</v>
      </c>
      <c r="AN36" s="581">
        <f>IF(M36="","",DEGREES(ATAN2(-AM36,AL36)))</f>
        <v>-89.999987005609597</v>
      </c>
      <c r="AO36" s="582">
        <f t="shared" si="94"/>
        <v>34.999994946625954</v>
      </c>
      <c r="AP36" s="585">
        <f>IF(M36="","",DEGREES(ATAN2(AK36,AL36)))</f>
        <v>-34.999994946625264</v>
      </c>
      <c r="AQ36" s="586">
        <f t="shared" si="9"/>
        <v>0.60752986643570994</v>
      </c>
      <c r="AS36" s="52">
        <f t="shared" si="116"/>
        <v>-226.40001928945063</v>
      </c>
      <c r="AT36" s="72">
        <f t="shared" si="10"/>
        <v>-2.1354152347519633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4.1280000000000001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-1.1508982906506395</v>
      </c>
      <c r="C37" s="708">
        <v>0.13805152819986113</v>
      </c>
      <c r="D37" s="709">
        <v>-0.30475767099638446</v>
      </c>
      <c r="E37" s="710">
        <v>0.21489906467264899</v>
      </c>
      <c r="F37" s="708">
        <v>-2.5777609904136863E-2</v>
      </c>
      <c r="G37" s="711">
        <v>0.97629601393760224</v>
      </c>
      <c r="H37" s="710">
        <v>0.22499999999999998</v>
      </c>
      <c r="I37" s="708">
        <v>0.33200000000000002</v>
      </c>
      <c r="J37" s="570">
        <v>4.2050000000000001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4.2050000000000001</v>
      </c>
      <c r="N37" s="632">
        <f t="shared" si="2"/>
        <v>-1.1508982906506395</v>
      </c>
      <c r="O37" s="629">
        <f t="shared" si="3"/>
        <v>0.13805152819986113</v>
      </c>
      <c r="P37" s="633">
        <f t="shared" si="4"/>
        <v>-0.30475767099638446</v>
      </c>
      <c r="Q37" s="585">
        <f t="shared" si="113"/>
        <v>173.15998799318325</v>
      </c>
      <c r="R37" s="629">
        <f t="shared" si="79"/>
        <v>1.1591484373715391</v>
      </c>
      <c r="S37" s="634">
        <f t="shared" si="80"/>
        <v>-0.30475767099638446</v>
      </c>
      <c r="T37" s="635">
        <f t="shared" si="81"/>
        <v>0.13604262279255691</v>
      </c>
      <c r="U37" s="629">
        <f t="shared" si="82"/>
        <v>1.1511374829465866</v>
      </c>
      <c r="V37" s="636">
        <f t="shared" si="114"/>
        <v>-0.30475767099638446</v>
      </c>
      <c r="W37" s="585">
        <f t="shared" si="224"/>
        <v>83.259987978745045</v>
      </c>
      <c r="X37" s="629">
        <f t="shared" si="83"/>
        <v>1.1591484373715391</v>
      </c>
      <c r="Y37" s="630">
        <f t="shared" si="223"/>
        <v>-0.30475767099638446</v>
      </c>
      <c r="Z37" s="632">
        <f t="shared" si="6"/>
        <v>-0.21489906467264899</v>
      </c>
      <c r="AA37" s="629">
        <f t="shared" si="7"/>
        <v>2.5777609904136863E-2</v>
      </c>
      <c r="AB37" s="629">
        <f t="shared" si="8"/>
        <v>-0.97629601393760224</v>
      </c>
      <c r="AC37" s="636">
        <f t="shared" si="84"/>
        <v>1</v>
      </c>
      <c r="AD37" s="637">
        <f t="shared" si="115"/>
        <v>-0.21489906467264899</v>
      </c>
      <c r="AE37" s="629">
        <f t="shared" si="85"/>
        <v>2.5777609904136863E-2</v>
      </c>
      <c r="AF37" s="633">
        <f t="shared" si="86"/>
        <v>-0.97629601393760224</v>
      </c>
      <c r="AG37" s="602">
        <f t="shared" si="87"/>
        <v>1.5124564280005177</v>
      </c>
      <c r="AH37" s="603">
        <f t="shared" si="88"/>
        <v>102.40960572054354</v>
      </c>
      <c r="AI37" s="585">
        <f t="shared" si="89"/>
        <v>-12.499998195230186</v>
      </c>
      <c r="AJ37" s="586">
        <f t="shared" si="90"/>
        <v>-96.840072043849716</v>
      </c>
      <c r="AK37" s="635">
        <f t="shared" si="211"/>
        <v>2.2679489664750863E-7</v>
      </c>
      <c r="AL37" s="629">
        <f t="shared" si="91"/>
        <v>0.21643958318546494</v>
      </c>
      <c r="AM37" s="634">
        <f t="shared" si="92"/>
        <v>-0.97629601393760224</v>
      </c>
      <c r="AN37" s="581">
        <f t="shared" si="93"/>
        <v>12.499998195223554</v>
      </c>
      <c r="AO37" s="582">
        <f t="shared" si="94"/>
        <v>0</v>
      </c>
      <c r="AP37" s="585">
        <f t="shared" si="95"/>
        <v>89.999939962967019</v>
      </c>
      <c r="AQ37" s="586">
        <f t="shared" si="9"/>
        <v>1.9659534694315237</v>
      </c>
      <c r="AS37" s="52">
        <f t="shared" si="116"/>
        <v>-276.74001202125498</v>
      </c>
      <c r="AT37" s="72">
        <f t="shared" si="10"/>
        <v>-0.11250766265831724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4.2050000000000001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4.1050000000000004</v>
      </c>
      <c r="II37" s="734" cm="1">
        <f t="array" ref="II37">IFERROR(IF($IH37&lt;1,$IH37+LARGE((IF($M$9:$M$150="",0,$M$9:$M$150)-MOD(IF($M$9:$M$150="",0,$M$9:$M$150),1)),1),$IH37),"")</f>
        <v>4.1050000000000004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51.83999251523116</v>
      </c>
      <c r="IM37" s="759">
        <v>8.3468732574424206E-2</v>
      </c>
      <c r="IN37" s="5">
        <f t="shared" si="226"/>
        <v>0.82</v>
      </c>
      <c r="IO37" s="771">
        <v>410</v>
      </c>
      <c r="IP37" s="9">
        <f t="shared" si="227"/>
        <v>-1.1774035510491099</v>
      </c>
      <c r="IQ37" s="5">
        <f t="shared" si="228"/>
        <v>-0.26700080527442871</v>
      </c>
      <c r="IR37" s="5">
        <f t="shared" si="71"/>
        <v>0.314</v>
      </c>
      <c r="IS37" s="5">
        <f t="shared" si="229"/>
        <v>0.30655694837641501</v>
      </c>
      <c r="IT37" s="727">
        <f t="shared" si="230"/>
        <v>-12.499998195223514</v>
      </c>
      <c r="IU37" s="9">
        <f t="shared" si="231"/>
        <v>-1.1591484373715391</v>
      </c>
      <c r="IV37" s="5">
        <f t="shared" si="232"/>
        <v>-0.30475767099638446</v>
      </c>
      <c r="IW37" s="5">
        <f t="shared" si="76"/>
        <v>0.22499999999999998</v>
      </c>
      <c r="IX37" s="5">
        <f t="shared" si="233"/>
        <v>0.22499999999999998</v>
      </c>
      <c r="IY37" s="762">
        <f t="shared" si="234"/>
        <v>-12.499998195223554</v>
      </c>
    </row>
    <row r="38" spans="1:267" ht="15" customHeight="1" x14ac:dyDescent="0.25">
      <c r="A38" s="79"/>
      <c r="B38" s="707">
        <v>-1.7927421203554446</v>
      </c>
      <c r="C38" s="708">
        <v>-0.44997257685268455</v>
      </c>
      <c r="D38" s="709">
        <v>-0.12870158445567187</v>
      </c>
      <c r="E38" s="710">
        <v>0.20992796332748817</v>
      </c>
      <c r="F38" s="708">
        <v>5.2691018045982335E-2</v>
      </c>
      <c r="G38" s="711">
        <v>0.97629601393760224</v>
      </c>
      <c r="H38" s="710">
        <v>0.22499999999999998</v>
      </c>
      <c r="I38" s="708">
        <v>0.33200000000000002</v>
      </c>
      <c r="J38" s="570">
        <v>4.2080000000000002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Inactive</v>
      </c>
      <c r="L38" s="320"/>
      <c r="M38" s="168">
        <f t="shared" si="1"/>
        <v>4.2080000000000002</v>
      </c>
      <c r="N38" s="632">
        <f t="shared" si="2"/>
        <v>-1.7927421203554446</v>
      </c>
      <c r="O38" s="629">
        <f t="shared" si="3"/>
        <v>-0.44997257685268455</v>
      </c>
      <c r="P38" s="633">
        <f t="shared" si="4"/>
        <v>-0.12870158445567187</v>
      </c>
      <c r="Q38" s="585">
        <f t="shared" si="113"/>
        <v>194.08998497126561</v>
      </c>
      <c r="R38" s="629">
        <f t="shared" si="79"/>
        <v>1.8483505160050082</v>
      </c>
      <c r="S38" s="634">
        <f t="shared" si="80"/>
        <v>-0.12870158445567187</v>
      </c>
      <c r="T38" s="635">
        <f t="shared" si="81"/>
        <v>-0.45310081472926722</v>
      </c>
      <c r="U38" s="629">
        <f t="shared" si="82"/>
        <v>1.7919540400656637</v>
      </c>
      <c r="V38" s="636">
        <f t="shared" si="114"/>
        <v>-0.12870158445567187</v>
      </c>
      <c r="W38" s="585">
        <f t="shared" si="224"/>
        <v>104.1899849568274</v>
      </c>
      <c r="X38" s="629">
        <f t="shared" si="83"/>
        <v>1.8483505160050082</v>
      </c>
      <c r="Y38" s="630">
        <f t="shared" si="223"/>
        <v>-0.12870158445567187</v>
      </c>
      <c r="Z38" s="632">
        <f t="shared" si="6"/>
        <v>-0.20992796332748817</v>
      </c>
      <c r="AA38" s="629">
        <f t="shared" si="7"/>
        <v>-5.2691018045982335E-2</v>
      </c>
      <c r="AB38" s="629">
        <f t="shared" si="8"/>
        <v>-0.97629601393760224</v>
      </c>
      <c r="AC38" s="636">
        <f t="shared" si="84"/>
        <v>1</v>
      </c>
      <c r="AD38" s="637">
        <f t="shared" si="115"/>
        <v>-0.20992796332748817</v>
      </c>
      <c r="AE38" s="629">
        <f t="shared" si="85"/>
        <v>-5.2691018045982335E-2</v>
      </c>
      <c r="AF38" s="633">
        <f t="shared" si="86"/>
        <v>-0.97629601393760224</v>
      </c>
      <c r="AG38" s="602">
        <f t="shared" si="87"/>
        <v>-3.0892749775132642</v>
      </c>
      <c r="AH38" s="603">
        <f t="shared" si="88"/>
        <v>102.11813074657958</v>
      </c>
      <c r="AI38" s="585">
        <f t="shared" si="89"/>
        <v>-12.499998195230186</v>
      </c>
      <c r="AJ38" s="586">
        <f t="shared" si="90"/>
        <v>-75.910075065767401</v>
      </c>
      <c r="AK38" s="635">
        <f t="shared" si="211"/>
        <v>2.2679489677934761E-7</v>
      </c>
      <c r="AL38" s="629">
        <f t="shared" si="91"/>
        <v>0.21643958318546497</v>
      </c>
      <c r="AM38" s="634">
        <f t="shared" si="92"/>
        <v>-0.97629601393760224</v>
      </c>
      <c r="AN38" s="581">
        <f t="shared" si="93"/>
        <v>12.499998195223556</v>
      </c>
      <c r="AO38" s="582">
        <f t="shared" si="94"/>
        <v>0</v>
      </c>
      <c r="AP38" s="585">
        <f t="shared" si="95"/>
        <v>89.999939962966991</v>
      </c>
      <c r="AQ38" s="586">
        <f t="shared" si="9"/>
        <v>1.2331939055371264</v>
      </c>
      <c r="AS38" s="52">
        <f t="shared" si="116"/>
        <v>-255.8100150431726</v>
      </c>
      <c r="AT38" s="72">
        <f t="shared" si="10"/>
        <v>4.9013703758727017E-2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4.2080000000000002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4.1079999999999997</v>
      </c>
      <c r="II38" s="734" cm="1">
        <f t="array" ref="II38">IFERROR(IF($IH38&lt;1,$IH38+LARGE((IF($M$9:$M$150="",0,$M$9:$M$150)-MOD(IF($M$9:$M$150="",0,$M$9:$M$150),1)),1),$IH38),"")</f>
        <v>4.1079999999999997</v>
      </c>
      <c r="IJ38" s="533">
        <f t="shared" si="112"/>
        <v>1613</v>
      </c>
      <c r="IK38" s="533" t="str">
        <f t="shared" si="66"/>
        <v>Inactive</v>
      </c>
      <c r="IL38" s="727">
        <f t="shared" si="225"/>
        <v>30.909995537148802</v>
      </c>
      <c r="IM38" s="759">
        <v>7.4523361523646706E-2</v>
      </c>
      <c r="IN38" s="5">
        <f t="shared" si="226"/>
        <v>1.08</v>
      </c>
      <c r="IO38" s="771">
        <v>540</v>
      </c>
      <c r="IP38" s="9">
        <f t="shared" si="227"/>
        <v>-1.8666056296825795</v>
      </c>
      <c r="IQ38" s="5">
        <f t="shared" si="228"/>
        <v>-0.11420034442823879</v>
      </c>
      <c r="IR38" s="5">
        <f t="shared" si="71"/>
        <v>0.314</v>
      </c>
      <c r="IS38" s="5">
        <f t="shared" si="229"/>
        <v>0.30655694837641501</v>
      </c>
      <c r="IT38" s="727">
        <f t="shared" si="230"/>
        <v>-12.499998195223544</v>
      </c>
      <c r="IU38" s="9">
        <f t="shared" si="231"/>
        <v>-1.8483505160050082</v>
      </c>
      <c r="IV38" s="5">
        <f t="shared" si="232"/>
        <v>-0.12870158445567187</v>
      </c>
      <c r="IW38" s="5">
        <f t="shared" si="76"/>
        <v>0.22499999999999998</v>
      </c>
      <c r="IX38" s="5">
        <f t="shared" si="233"/>
        <v>0.22499999999999998</v>
      </c>
      <c r="IY38" s="762">
        <f t="shared" si="234"/>
        <v>-12.499998195223556</v>
      </c>
    </row>
    <row r="39" spans="1:267" ht="15" customHeight="1" x14ac:dyDescent="0.25">
      <c r="A39" s="79"/>
      <c r="B39" s="707">
        <v>-2.361062650247328</v>
      </c>
      <c r="C39" s="708">
        <v>1.1110322198253386</v>
      </c>
      <c r="D39" s="709">
        <v>-0.10450031517295055</v>
      </c>
      <c r="E39" s="710">
        <v>-0.48413383570601776</v>
      </c>
      <c r="F39" s="708">
        <v>-0.83899912199654869</v>
      </c>
      <c r="G39" s="711">
        <v>0.24838458570048047</v>
      </c>
      <c r="H39" s="710">
        <v>0.314</v>
      </c>
      <c r="I39" s="708">
        <v>0.52</v>
      </c>
      <c r="J39" s="570">
        <v>5.1120000000000001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5.1120000000000001</v>
      </c>
      <c r="N39" s="632">
        <f t="shared" si="2"/>
        <v>-2.361062650247328</v>
      </c>
      <c r="O39" s="629">
        <f t="shared" si="3"/>
        <v>1.1110322198253386</v>
      </c>
      <c r="P39" s="633">
        <f t="shared" si="4"/>
        <v>-0.10450031517295055</v>
      </c>
      <c r="Q39" s="585">
        <f t="shared" si="113"/>
        <v>154.79999064403893</v>
      </c>
      <c r="R39" s="629">
        <f t="shared" si="79"/>
        <v>2.6094078699741359</v>
      </c>
      <c r="S39" s="634">
        <f t="shared" si="80"/>
        <v>-0.10450031517295055</v>
      </c>
      <c r="T39" s="635">
        <f t="shared" si="81"/>
        <v>1.1069096986052491</v>
      </c>
      <c r="U39" s="629">
        <f t="shared" si="82"/>
        <v>2.3629981699139324</v>
      </c>
      <c r="V39" s="636">
        <f t="shared" si="114"/>
        <v>-0.10450031517295055</v>
      </c>
      <c r="W39" s="585">
        <f t="shared" si="224"/>
        <v>64.899990629600723</v>
      </c>
      <c r="X39" s="629">
        <f t="shared" si="83"/>
        <v>2.6094078699741359</v>
      </c>
      <c r="Y39" s="630">
        <f t="shared" si="223"/>
        <v>-0.10450031517295055</v>
      </c>
      <c r="Z39" s="632">
        <f t="shared" si="6"/>
        <v>0.48413383570601776</v>
      </c>
      <c r="AA39" s="629">
        <f t="shared" si="7"/>
        <v>0.83899912199654869</v>
      </c>
      <c r="AB39" s="629">
        <f t="shared" si="8"/>
        <v>-0.24838458570048047</v>
      </c>
      <c r="AC39" s="636">
        <f t="shared" si="84"/>
        <v>1</v>
      </c>
      <c r="AD39" s="637">
        <f t="shared" si="115"/>
        <v>0.48413383570601776</v>
      </c>
      <c r="AE39" s="629">
        <f t="shared" si="85"/>
        <v>0.83899912199654869</v>
      </c>
      <c r="AF39" s="633">
        <f t="shared" si="86"/>
        <v>-0.24838458570048047</v>
      </c>
      <c r="AG39" s="602">
        <f t="shared" si="87"/>
        <v>73.50868166272727</v>
      </c>
      <c r="AH39" s="603">
        <f t="shared" si="88"/>
        <v>61.044260742624196</v>
      </c>
      <c r="AI39" s="585">
        <f t="shared" si="89"/>
        <v>-75.61805913895401</v>
      </c>
      <c r="AJ39" s="586">
        <f t="shared" si="90"/>
        <v>150.01344824181515</v>
      </c>
      <c r="AK39" s="635">
        <f t="shared" si="211"/>
        <v>0.96528327736603758</v>
      </c>
      <c r="AL39" s="629">
        <f t="shared" si="91"/>
        <v>-8.0828782150185685E-2</v>
      </c>
      <c r="AM39" s="634">
        <f t="shared" si="92"/>
        <v>-0.24838458570048047</v>
      </c>
      <c r="AN39" s="581">
        <f t="shared" si="93"/>
        <v>-18.025813695323109</v>
      </c>
      <c r="AO39" s="582">
        <f t="shared" si="94"/>
        <v>15.141590773472734</v>
      </c>
      <c r="AP39" s="585">
        <f t="shared" si="95"/>
        <v>-4.7865424022237653</v>
      </c>
      <c r="AQ39" s="586">
        <f t="shared" si="9"/>
        <v>0.87358898490596049</v>
      </c>
      <c r="AS39" s="52">
        <f t="shared" si="116"/>
        <v>-295.10000937039928</v>
      </c>
      <c r="AT39" s="72">
        <f t="shared" si="10"/>
        <v>0.10049969132424463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5.1120000000000001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-2.9939647914744132</v>
      </c>
      <c r="C40" s="708">
        <v>1.4557295386876958</v>
      </c>
      <c r="D40" s="709">
        <v>-0.54900165578899396</v>
      </c>
      <c r="E40" s="710">
        <v>-0.63173892825497346</v>
      </c>
      <c r="F40" s="708">
        <v>-0.75204483512008236</v>
      </c>
      <c r="G40" s="711">
        <v>0.18797471238564409</v>
      </c>
      <c r="H40" s="710">
        <v>0.314</v>
      </c>
      <c r="I40" s="708">
        <v>0.52</v>
      </c>
      <c r="J40" s="570">
        <v>5.117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5.117</v>
      </c>
      <c r="N40" s="632">
        <f t="shared" si="2"/>
        <v>-2.9939647914744132</v>
      </c>
      <c r="O40" s="629">
        <f t="shared" si="3"/>
        <v>1.4557295386876958</v>
      </c>
      <c r="P40" s="633">
        <f t="shared" si="4"/>
        <v>-0.54900165578899396</v>
      </c>
      <c r="Q40" s="585">
        <f t="shared" si="113"/>
        <v>154.06999074943786</v>
      </c>
      <c r="R40" s="629">
        <f t="shared" si="79"/>
        <v>3.3291100405958827</v>
      </c>
      <c r="S40" s="634">
        <f t="shared" si="80"/>
        <v>-0.54900165578899396</v>
      </c>
      <c r="T40" s="635">
        <f t="shared" si="81"/>
        <v>1.4505018705634183</v>
      </c>
      <c r="U40" s="629">
        <f t="shared" si="82"/>
        <v>2.9965009570978522</v>
      </c>
      <c r="V40" s="636">
        <f t="shared" si="114"/>
        <v>-0.54900165578899396</v>
      </c>
      <c r="W40" s="585">
        <f t="shared" si="224"/>
        <v>64.169990734999658</v>
      </c>
      <c r="X40" s="629">
        <f t="shared" si="83"/>
        <v>3.3291100405958827</v>
      </c>
      <c r="Y40" s="630">
        <f t="shared" si="223"/>
        <v>-0.54900165578899396</v>
      </c>
      <c r="Z40" s="632">
        <f t="shared" si="6"/>
        <v>0.63173892825497346</v>
      </c>
      <c r="AA40" s="629">
        <f t="shared" si="7"/>
        <v>0.75204483512008236</v>
      </c>
      <c r="AB40" s="629">
        <f t="shared" si="8"/>
        <v>-0.18797471238564409</v>
      </c>
      <c r="AC40" s="636">
        <f t="shared" si="84"/>
        <v>1</v>
      </c>
      <c r="AD40" s="637">
        <f t="shared" si="115"/>
        <v>0.63173892825497346</v>
      </c>
      <c r="AE40" s="629">
        <f t="shared" si="85"/>
        <v>0.75204483512008236</v>
      </c>
      <c r="AF40" s="633">
        <f t="shared" si="86"/>
        <v>-0.18797471238564409</v>
      </c>
      <c r="AG40" s="602">
        <f t="shared" si="87"/>
        <v>75.966373539050252</v>
      </c>
      <c r="AH40" s="603">
        <f t="shared" si="88"/>
        <v>50.821465649989491</v>
      </c>
      <c r="AI40" s="585">
        <f t="shared" si="89"/>
        <v>-79.165385735411178</v>
      </c>
      <c r="AJ40" s="586">
        <f t="shared" si="90"/>
        <v>139.96879078658367</v>
      </c>
      <c r="AK40" s="635">
        <f t="shared" si="211"/>
        <v>0.95257793761354725</v>
      </c>
      <c r="AL40" s="629">
        <f t="shared" si="91"/>
        <v>-0.23929224867399068</v>
      </c>
      <c r="AM40" s="634">
        <f t="shared" si="92"/>
        <v>-0.18797471238564409</v>
      </c>
      <c r="AN40" s="581">
        <f t="shared" si="93"/>
        <v>-51.848788323254375</v>
      </c>
      <c r="AO40" s="582">
        <f t="shared" si="94"/>
        <v>17.715737232949557</v>
      </c>
      <c r="AP40" s="585">
        <f t="shared" si="95"/>
        <v>-14.101199962854194</v>
      </c>
      <c r="AQ40" s="586">
        <f t="shared" si="9"/>
        <v>0.68475300141455853</v>
      </c>
      <c r="AS40" s="52">
        <f t="shared" si="116"/>
        <v>-295.83000926500034</v>
      </c>
      <c r="AT40" s="72">
        <f t="shared" si="10"/>
        <v>-0.34349470492054801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5.117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-3.2839889849943349</v>
      </c>
      <c r="C41" s="708">
        <v>1.6287583893680866</v>
      </c>
      <c r="D41" s="709">
        <v>-1.3251039965136535</v>
      </c>
      <c r="E41" s="710">
        <v>-0.79792040492681904</v>
      </c>
      <c r="F41" s="708">
        <v>-0.58810328043799565</v>
      </c>
      <c r="G41" s="711">
        <v>0.1321270560464039</v>
      </c>
      <c r="H41" s="710">
        <v>0.314</v>
      </c>
      <c r="I41" s="708">
        <v>0.52</v>
      </c>
      <c r="J41" s="570">
        <v>5.1219999999999999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5.1219999999999999</v>
      </c>
      <c r="N41" s="632">
        <f t="shared" ref="N41:N72" si="240">IF(M41="","",B41)</f>
        <v>-3.2839889849943349</v>
      </c>
      <c r="O41" s="629">
        <f t="shared" ref="O41:O72" si="241">IF(M41="","",C41)</f>
        <v>1.6287583893680866</v>
      </c>
      <c r="P41" s="633">
        <f t="shared" ref="P41:P72" si="242">IF(M41="","",D41)</f>
        <v>-1.3251039965136535</v>
      </c>
      <c r="Q41" s="585">
        <f t="shared" si="113"/>
        <v>153.61999081440979</v>
      </c>
      <c r="R41" s="629">
        <f t="shared" si="79"/>
        <v>3.6657110557845449</v>
      </c>
      <c r="S41" s="634">
        <f t="shared" si="80"/>
        <v>-1.3251039965136535</v>
      </c>
      <c r="T41" s="635">
        <f t="shared" si="81"/>
        <v>1.623024270327281</v>
      </c>
      <c r="U41" s="629">
        <f t="shared" si="82"/>
        <v>3.2868267010035135</v>
      </c>
      <c r="V41" s="636">
        <f t="shared" si="114"/>
        <v>-1.3251039965136535</v>
      </c>
      <c r="W41" s="585">
        <f t="shared" si="224"/>
        <v>63.719990799971583</v>
      </c>
      <c r="X41" s="629">
        <f t="shared" si="83"/>
        <v>3.6657110557845449</v>
      </c>
      <c r="Y41" s="630">
        <f t="shared" si="223"/>
        <v>-1.3251039965136535</v>
      </c>
      <c r="Z41" s="632">
        <f t="shared" ref="Z41:Z72" si="243">IF(M41="","",-E41)</f>
        <v>0.79792040492681904</v>
      </c>
      <c r="AA41" s="629">
        <f t="shared" ref="AA41:AA72" si="244">IF(M41="","",-F41)</f>
        <v>0.58810328043799565</v>
      </c>
      <c r="AB41" s="629">
        <f t="shared" ref="AB41:AB72" si="245">IF(M41="","",-G41)</f>
        <v>-0.1321270560464039</v>
      </c>
      <c r="AC41" s="636">
        <f t="shared" si="84"/>
        <v>1</v>
      </c>
      <c r="AD41" s="637">
        <f t="shared" si="115"/>
        <v>0.79792040492681904</v>
      </c>
      <c r="AE41" s="629">
        <f t="shared" si="85"/>
        <v>0.58810328043799565</v>
      </c>
      <c r="AF41" s="633">
        <f t="shared" si="86"/>
        <v>-0.1321270560464039</v>
      </c>
      <c r="AG41" s="602">
        <f t="shared" si="87"/>
        <v>77.33780981255255</v>
      </c>
      <c r="AH41" s="603">
        <f t="shared" si="88"/>
        <v>37.068027982487692</v>
      </c>
      <c r="AI41" s="585">
        <f t="shared" si="89"/>
        <v>-82.407475911783152</v>
      </c>
      <c r="AJ41" s="586">
        <f t="shared" si="90"/>
        <v>126.3918870853378</v>
      </c>
      <c r="AK41" s="635">
        <f t="shared" si="211"/>
        <v>0.88139632376956534</v>
      </c>
      <c r="AL41" s="629">
        <f t="shared" si="91"/>
        <v>-0.45352283460263187</v>
      </c>
      <c r="AM41" s="634">
        <f t="shared" si="92"/>
        <v>-0.1321270560464039</v>
      </c>
      <c r="AN41" s="581">
        <f t="shared" si="93"/>
        <v>-73.757312319146152</v>
      </c>
      <c r="AO41" s="582">
        <f t="shared" si="94"/>
        <v>28.188737438000324</v>
      </c>
      <c r="AP41" s="585">
        <f t="shared" si="95"/>
        <v>-27.228103729071975</v>
      </c>
      <c r="AQ41" s="586">
        <f t="shared" ref="AQ41:AQ72" si="246">IF(M41="","",DEGREES(ATAN(($AS$5*SIN(RADIANS(90)))/(($X41*2*PI())-($AS$5*COS(RADIANS(90)))))))</f>
        <v>0.62188128694770484</v>
      </c>
      <c r="AS41" s="52">
        <f t="shared" si="116"/>
        <v>-296.28000920002842</v>
      </c>
      <c r="AT41" s="72">
        <f t="shared" ref="AT41:AT72" si="247">IF(M41="","",Y41+(((AS41-$AS$9)*$AS$6)*-1))</f>
        <v>-1.1192845456903271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5.1219999999999999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-3.3580720650742388</v>
      </c>
      <c r="C42" s="708">
        <v>1.6742736410862387</v>
      </c>
      <c r="D42" s="709">
        <v>-2.1250064090193299</v>
      </c>
      <c r="E42" s="710">
        <v>-0.87881714693072099</v>
      </c>
      <c r="F42" s="708">
        <v>-0.47715869714438897</v>
      </c>
      <c r="G42" s="711">
        <v>1.3008419265157927E-7</v>
      </c>
      <c r="H42" s="710">
        <v>0.26600000000000001</v>
      </c>
      <c r="I42" s="708">
        <v>0.52</v>
      </c>
      <c r="J42" s="570">
        <v>5.1269999999999998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5.1269999999999998</v>
      </c>
      <c r="N42" s="632">
        <f t="shared" si="240"/>
        <v>-3.3580720650742388</v>
      </c>
      <c r="O42" s="629">
        <f t="shared" si="241"/>
        <v>1.6742736410862387</v>
      </c>
      <c r="P42" s="633">
        <f t="shared" si="242"/>
        <v>-2.1250064090193299</v>
      </c>
      <c r="Q42" s="585">
        <f t="shared" si="113"/>
        <v>153.49999083173566</v>
      </c>
      <c r="R42" s="629">
        <f t="shared" ref="R42:R47" si="385">IF(M42="","",SQRT(N42^2+O42^2))</f>
        <v>3.7523113169709328</v>
      </c>
      <c r="S42" s="634">
        <f t="shared" ref="S42:S47" si="386">IF(M42="","",P42)</f>
        <v>-2.1250064090193299</v>
      </c>
      <c r="T42" s="635">
        <f t="shared" ref="T42:T47" si="387">IF(M42="","",X42*COS(RADIANS(W42)))</f>
        <v>1.6684101534393487</v>
      </c>
      <c r="U42" s="629">
        <f t="shared" ref="U42:U47" si="388">IF(M42="","",X42*SIN(RADIANS(W42)))</f>
        <v>3.3609891072969318</v>
      </c>
      <c r="V42" s="636">
        <f t="shared" ref="V42:V47" si="389">IF(M42="","",Y42)</f>
        <v>-2.1250064090193299</v>
      </c>
      <c r="W42" s="585">
        <f t="shared" si="224"/>
        <v>63.599990817297453</v>
      </c>
      <c r="X42" s="629">
        <f t="shared" ref="X42:X47" si="390">IF(M42="","",R42)</f>
        <v>3.7523113169709328</v>
      </c>
      <c r="Y42" s="630">
        <f t="shared" si="223"/>
        <v>-2.1250064090193299</v>
      </c>
      <c r="Z42" s="632">
        <f t="shared" si="243"/>
        <v>0.87881714693072099</v>
      </c>
      <c r="AA42" s="629">
        <f t="shared" si="244"/>
        <v>0.47715869714438897</v>
      </c>
      <c r="AB42" s="629">
        <f t="shared" si="245"/>
        <v>-1.3008419265157927E-7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0.87881714693072099</v>
      </c>
      <c r="AE42" s="629">
        <f t="shared" ref="AE42:AE47" si="393">IF(M42="","",AA42*(1/SQRT(Z42^2+AA42^2+AB42^2)))</f>
        <v>0.47715869714438897</v>
      </c>
      <c r="AF42" s="633">
        <f t="shared" ref="AF42:AF47" si="394">IF(M42="","",AB42*(1/SQRT(Z42^2+AA42^2+AB42^2)))</f>
        <v>-1.3008419265157927E-7</v>
      </c>
      <c r="AG42" s="602">
        <f t="shared" ref="AG42:AG47" si="395">IF(M42="","",DEGREES(ATAN2(-AF42,AE42)))</f>
        <v>89.999984379881866</v>
      </c>
      <c r="AH42" s="603">
        <f t="shared" ref="AH42:AH47" si="396">IF(M42="","",DEGREES(ACOS(AD42)))</f>
        <v>28.499995885111282</v>
      </c>
      <c r="AI42" s="585">
        <f t="shared" ref="AI42:AI47" si="397">IF(M42="","",DEGREES(-ACOS(-AF42)))</f>
        <v>-89.999992546724769</v>
      </c>
      <c r="AJ42" s="586">
        <f t="shared" ref="AJ42:AJ47" si="398">IF(M42="","",DEGREES(ATAN2(-AE42,AD42)))</f>
        <v>118.49999588511039</v>
      </c>
      <c r="AK42" s="635">
        <f t="shared" ref="AK42:AK47" si="399">IF(M42="","",(COS(RADIANS((90-$Q$8)-W42))*AD42)+(-SIN(RADIANS((90-$Q$8)-W42))*AE42))</f>
        <v>0.81915209487729201</v>
      </c>
      <c r="AL42" s="629">
        <f t="shared" ref="AL42:AL47" si="400">IF(M42="","",(SIN(RADIANS((90-$Q$8)-W42))*AD42)+(COS(RADIANS((90-$Q$8)-W42))*AE42))</f>
        <v>-0.57357636410344448</v>
      </c>
      <c r="AM42" s="634">
        <f t="shared" ref="AM42:AM47" si="401">IF(M42="","",AF42)</f>
        <v>-1.3008419265157927E-7</v>
      </c>
      <c r="AN42" s="581">
        <f t="shared" ref="AN42:AN47" si="402">IF(M42="","",DEGREES(ATAN2(-AM42,AL42)))</f>
        <v>-89.999987005609569</v>
      </c>
      <c r="AO42" s="582">
        <f t="shared" si="94"/>
        <v>34.999994946625954</v>
      </c>
      <c r="AP42" s="585">
        <f t="shared" ref="AP42:AP47" si="403">IF(M42="","",DEGREES(ATAN2(AK42,AL42)))</f>
        <v>-34.999994946625264</v>
      </c>
      <c r="AQ42" s="586">
        <f t="shared" si="246"/>
        <v>0.60752986643570983</v>
      </c>
      <c r="AS42" s="52">
        <f t="shared" si="116"/>
        <v>-296.40000918270255</v>
      </c>
      <c r="AT42" s="72">
        <f t="shared" si="247"/>
        <v>-1.919103624874702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5.1269999999999998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7.4026687011984602E-2</v>
      </c>
      <c r="G154" s="170">
        <f t="shared" si="929"/>
        <v>-0.33391285637839119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0.97629601393762733</v>
      </c>
      <c r="F155" s="170">
        <f t="shared" si="929"/>
        <v>4.6846093169500232E-2</v>
      </c>
      <c r="G155" s="170">
        <f t="shared" si="929"/>
        <v>-0.21130910232229644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0.97629601393762733</v>
      </c>
      <c r="F156" s="170">
        <f t="shared" si="929"/>
        <v>4.6846093169500225E-2</v>
      </c>
      <c r="G156" s="170">
        <f t="shared" si="929"/>
        <v>-0.21130910232229644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0.96555418818790617</v>
      </c>
      <c r="F157" s="170">
        <f t="shared" si="929"/>
        <v>-4.8575311728644169E-2</v>
      </c>
      <c r="G157" s="170">
        <f t="shared" si="929"/>
        <v>-0.25562775428982421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0.95528438620329781</v>
      </c>
      <c r="F158" s="170">
        <f t="shared" si="929"/>
        <v>-0.21942601849815399</v>
      </c>
      <c r="G158" s="170">
        <f t="shared" si="929"/>
        <v>-0.19820182613244619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0.8910108137259598</v>
      </c>
      <c r="F159" s="170">
        <f t="shared" si="929"/>
        <v>-0.42827112235725567</v>
      </c>
      <c r="G159" s="170">
        <f t="shared" si="929"/>
        <v>-0.15061067551226104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0.80385691532778314</v>
      </c>
      <c r="F160" s="170">
        <f t="shared" si="929"/>
        <v>-0.59482271281423382</v>
      </c>
      <c r="G160" s="170">
        <f t="shared" si="929"/>
        <v>-1.3008419216229392E-7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0.20750512638251031</v>
      </c>
      <c r="F161" s="170">
        <f t="shared" si="929"/>
        <v>6.1544420498756081E-2</v>
      </c>
      <c r="G161" s="170">
        <f t="shared" si="929"/>
        <v>-0.97629601393760224</v>
      </c>
      <c r="H161" s="139"/>
      <c r="I161" s="86"/>
      <c r="J161" s="79">
        <f t="shared" si="930"/>
        <v>1.204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0.12544112119088835</v>
      </c>
      <c r="F162" s="170">
        <f t="shared" si="929"/>
        <v>0.17638202369834086</v>
      </c>
      <c r="G162" s="170">
        <f t="shared" si="929"/>
        <v>-0.97629601393760224</v>
      </c>
      <c r="H162" s="139"/>
      <c r="I162" s="86"/>
      <c r="J162" s="79">
        <f t="shared" si="930"/>
        <v>1.2070000000000001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0.31987542331770963</v>
      </c>
      <c r="F163" s="170">
        <f t="shared" si="929"/>
        <v>-0.9160580013728854</v>
      </c>
      <c r="G163" s="170">
        <f t="shared" si="929"/>
        <v>-0.2419038066629601</v>
      </c>
      <c r="H163" s="139"/>
      <c r="I163" s="86"/>
      <c r="J163" s="79">
        <f t="shared" si="930"/>
        <v>2.11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0.15668350739190484</v>
      </c>
      <c r="F164" s="170">
        <f t="shared" si="929"/>
        <v>-0.96625770486116813</v>
      </c>
      <c r="G164" s="170">
        <f t="shared" si="929"/>
        <v>-0.20444149849724436</v>
      </c>
      <c r="H164" s="139"/>
      <c r="I164" s="86"/>
      <c r="J164" s="79">
        <f t="shared" si="930"/>
        <v>2.1150000000000002</v>
      </c>
    </row>
    <row r="165" spans="5:16" x14ac:dyDescent="0.25">
      <c r="E165" s="170">
        <f t="shared" si="929"/>
        <v>-4.6076246631151313E-2</v>
      </c>
      <c r="F165" s="170">
        <f t="shared" si="929"/>
        <v>-0.98558662387184592</v>
      </c>
      <c r="G165" s="170">
        <f t="shared" si="929"/>
        <v>-0.1627758776394154</v>
      </c>
      <c r="H165" s="139"/>
      <c r="I165" s="86"/>
      <c r="J165" s="79">
        <f t="shared" si="930"/>
        <v>2.12</v>
      </c>
    </row>
    <row r="166" spans="5:16" x14ac:dyDescent="0.25">
      <c r="E166" s="170">
        <f t="shared" si="929"/>
        <v>-0.28401595720329137</v>
      </c>
      <c r="F166" s="170">
        <f t="shared" si="929"/>
        <v>-0.95881955343739278</v>
      </c>
      <c r="G166" s="170">
        <f t="shared" si="929"/>
        <v>-1.3008419217492839E-7</v>
      </c>
      <c r="H166" s="139"/>
      <c r="I166" s="86"/>
      <c r="J166" s="79">
        <f t="shared" si="930"/>
        <v>2.125</v>
      </c>
    </row>
    <row r="167" spans="5:16" x14ac:dyDescent="0.25">
      <c r="E167" s="170">
        <f t="shared" si="929"/>
        <v>-0.75910945438804911</v>
      </c>
      <c r="F167" s="170">
        <f t="shared" si="929"/>
        <v>-0.59991970243810999</v>
      </c>
      <c r="G167" s="170">
        <f t="shared" si="929"/>
        <v>-0.25268396641901947</v>
      </c>
      <c r="H167" s="139"/>
      <c r="I167" s="86"/>
      <c r="J167" s="79">
        <f t="shared" si="930"/>
        <v>3.1030000000000002</v>
      </c>
    </row>
    <row r="168" spans="5:16" x14ac:dyDescent="0.25">
      <c r="E168" s="170">
        <f t="shared" si="929"/>
        <v>-0.77286538465210952</v>
      </c>
      <c r="F168" s="170">
        <f t="shared" si="929"/>
        <v>-0.5983540427558689</v>
      </c>
      <c r="G168" s="170">
        <f t="shared" si="929"/>
        <v>-0.21130910232229635</v>
      </c>
      <c r="H168" s="139"/>
      <c r="I168" s="86"/>
      <c r="J168" s="79">
        <f t="shared" si="930"/>
        <v>3.1059999999999999</v>
      </c>
    </row>
    <row r="169" spans="5:16" x14ac:dyDescent="0.25">
      <c r="E169" s="170">
        <f t="shared" si="929"/>
        <v>-0.78691213994963261</v>
      </c>
      <c r="F169" s="170">
        <f t="shared" si="929"/>
        <v>-0.57493539441549579</v>
      </c>
      <c r="G169" s="170">
        <f t="shared" si="929"/>
        <v>-0.2240950161163523</v>
      </c>
      <c r="H169" s="139"/>
      <c r="I169" s="86"/>
      <c r="J169" s="79">
        <f t="shared" si="930"/>
        <v>3.109</v>
      </c>
    </row>
    <row r="170" spans="5:16" x14ac:dyDescent="0.25">
      <c r="E170" s="170">
        <f t="shared" si="929"/>
        <v>-0.87619504549880567</v>
      </c>
      <c r="F170" s="170">
        <f t="shared" si="929"/>
        <v>-0.42755631535665034</v>
      </c>
      <c r="G170" s="170">
        <f t="shared" si="929"/>
        <v>-0.22243614688712454</v>
      </c>
      <c r="H170" s="139"/>
      <c r="I170" s="86"/>
      <c r="J170" s="79">
        <f t="shared" si="930"/>
        <v>3.1139999999999999</v>
      </c>
    </row>
    <row r="171" spans="5:16" x14ac:dyDescent="0.25">
      <c r="E171" s="170">
        <f t="shared" si="929"/>
        <v>-0.95064212123101077</v>
      </c>
      <c r="F171" s="170">
        <f t="shared" si="929"/>
        <v>-0.26054299781983742</v>
      </c>
      <c r="G171" s="170">
        <f t="shared" si="929"/>
        <v>-0.16851380842072464</v>
      </c>
      <c r="H171" s="139"/>
      <c r="I171" s="86"/>
      <c r="J171" s="79">
        <f t="shared" si="930"/>
        <v>3.1190000000000002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-0.9996573132007982</v>
      </c>
      <c r="F172" s="170">
        <f t="shared" si="929"/>
        <v>2.6177397963597967E-2</v>
      </c>
      <c r="G172" s="170">
        <f t="shared" si="929"/>
        <v>-1.3008419225933396E-7</v>
      </c>
      <c r="H172" s="139"/>
      <c r="I172" s="86"/>
      <c r="J172" s="79">
        <f t="shared" si="930"/>
        <v>3.1240000000000001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-2.5665134245911374E-2</v>
      </c>
      <c r="F173" s="170">
        <f t="shared" si="929"/>
        <v>-0.21491252651646106</v>
      </c>
      <c r="G173" s="170">
        <f t="shared" si="929"/>
        <v>-0.97629601393760224</v>
      </c>
      <c r="H173" s="139"/>
      <c r="I173" s="86"/>
      <c r="J173" s="79">
        <f t="shared" si="930"/>
        <v>3.206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1.1375839910122944E-2</v>
      </c>
      <c r="F174" s="170">
        <f t="shared" si="933"/>
        <v>-8.6410135819639952E-2</v>
      </c>
      <c r="G174" s="170">
        <f t="shared" si="933"/>
        <v>-0.99619469918985759</v>
      </c>
      <c r="H174" s="139"/>
      <c r="I174" s="86"/>
      <c r="J174" s="79">
        <f t="shared" si="930"/>
        <v>3.2090000000000001</v>
      </c>
    </row>
    <row r="175" spans="5:16" x14ac:dyDescent="0.25">
      <c r="E175" s="170">
        <f t="shared" si="933"/>
        <v>-0.7204013011985575</v>
      </c>
      <c r="F175" s="170">
        <f t="shared" si="933"/>
        <v>0.62835819528077685</v>
      </c>
      <c r="G175" s="170">
        <f t="shared" si="933"/>
        <v>-0.29357783236291934</v>
      </c>
      <c r="H175" s="139"/>
      <c r="I175" s="86"/>
      <c r="J175" s="79">
        <f t="shared" si="930"/>
        <v>4.1020000000000003</v>
      </c>
    </row>
    <row r="176" spans="5:16" x14ac:dyDescent="0.25">
      <c r="E176" s="170">
        <f t="shared" si="933"/>
        <v>-0.72347049847157163</v>
      </c>
      <c r="F176" s="170">
        <f t="shared" si="933"/>
        <v>0.65722058786760551</v>
      </c>
      <c r="G176" s="170">
        <f t="shared" si="933"/>
        <v>-0.21130910232229641</v>
      </c>
      <c r="H176" s="139"/>
      <c r="I176" s="86"/>
      <c r="J176" s="79">
        <f t="shared" si="930"/>
        <v>4.1050000000000004</v>
      </c>
    </row>
    <row r="177" spans="5:10" x14ac:dyDescent="0.25">
      <c r="E177" s="170">
        <f t="shared" si="933"/>
        <v>-0.72347049847157174</v>
      </c>
      <c r="F177" s="170">
        <f t="shared" si="933"/>
        <v>0.65722058786760551</v>
      </c>
      <c r="G177" s="170">
        <f t="shared" si="933"/>
        <v>-0.21130910232229638</v>
      </c>
      <c r="H177" s="139"/>
      <c r="I177" s="86"/>
      <c r="J177" s="79">
        <f t="shared" si="930"/>
        <v>4.1079999999999997</v>
      </c>
    </row>
    <row r="178" spans="5:10" x14ac:dyDescent="0.25">
      <c r="E178" s="170">
        <f t="shared" si="933"/>
        <v>-0.597359240456944</v>
      </c>
      <c r="F178" s="170">
        <f t="shared" si="933"/>
        <v>0.76609275621919237</v>
      </c>
      <c r="G178" s="170">
        <f t="shared" si="933"/>
        <v>-0.23719997198394482</v>
      </c>
      <c r="H178" s="139"/>
      <c r="I178" s="86"/>
      <c r="J178" s="79">
        <f t="shared" si="930"/>
        <v>4.1130000000000004</v>
      </c>
    </row>
    <row r="179" spans="5:10" x14ac:dyDescent="0.25">
      <c r="E179" s="170">
        <f t="shared" si="933"/>
        <v>-0.46161788156906619</v>
      </c>
      <c r="F179" s="170">
        <f t="shared" si="933"/>
        <v>0.86981886132967567</v>
      </c>
      <c r="G179" s="170">
        <f t="shared" si="933"/>
        <v>-0.17413810579776656</v>
      </c>
      <c r="H179" s="139"/>
      <c r="I179" s="86"/>
      <c r="J179" s="79">
        <f t="shared" si="930"/>
        <v>4.1180000000000003</v>
      </c>
    </row>
    <row r="180" spans="5:10" x14ac:dyDescent="0.25">
      <c r="E180" s="170">
        <f t="shared" si="933"/>
        <v>-0.23297671339465822</v>
      </c>
      <c r="F180" s="170">
        <f t="shared" si="933"/>
        <v>0.96650276912500221</v>
      </c>
      <c r="G180" s="170">
        <f t="shared" si="933"/>
        <v>-0.10767659118641355</v>
      </c>
      <c r="H180" s="139"/>
      <c r="I180" s="86"/>
      <c r="J180" s="79">
        <f t="shared" si="930"/>
        <v>4.1230000000000002</v>
      </c>
    </row>
    <row r="181" spans="5:10" x14ac:dyDescent="0.25">
      <c r="E181" s="170">
        <f t="shared" si="933"/>
        <v>-0.14780916564162311</v>
      </c>
      <c r="F181" s="170">
        <f t="shared" si="933"/>
        <v>0.98901590005030271</v>
      </c>
      <c r="G181" s="170">
        <f t="shared" si="933"/>
        <v>-1.3008419236165141E-7</v>
      </c>
      <c r="H181" s="139"/>
      <c r="I181" s="86"/>
      <c r="J181" s="79">
        <f t="shared" si="930"/>
        <v>4.1280000000000001</v>
      </c>
    </row>
    <row r="182" spans="5:10" x14ac:dyDescent="0.25">
      <c r="E182" s="170">
        <f t="shared" si="933"/>
        <v>-0.21489906467264899</v>
      </c>
      <c r="F182" s="170">
        <f t="shared" si="933"/>
        <v>2.5777609904136863E-2</v>
      </c>
      <c r="G182" s="170">
        <f t="shared" si="933"/>
        <v>-0.97629601393760224</v>
      </c>
      <c r="H182" s="139"/>
      <c r="I182" s="86"/>
      <c r="J182" s="79">
        <f t="shared" si="930"/>
        <v>4.2050000000000001</v>
      </c>
    </row>
    <row r="183" spans="5:10" x14ac:dyDescent="0.25">
      <c r="E183" s="170">
        <f t="shared" si="933"/>
        <v>-0.20992796332748817</v>
      </c>
      <c r="F183" s="170">
        <f t="shared" si="933"/>
        <v>-5.2691018045982335E-2</v>
      </c>
      <c r="G183" s="170">
        <f t="shared" si="933"/>
        <v>-0.97629601393760224</v>
      </c>
      <c r="H183" s="139"/>
      <c r="I183" s="86"/>
      <c r="J183" s="79">
        <f t="shared" si="930"/>
        <v>4.2080000000000002</v>
      </c>
    </row>
    <row r="184" spans="5:10" x14ac:dyDescent="0.25">
      <c r="E184" s="170">
        <f t="shared" si="933"/>
        <v>0.48413383570601776</v>
      </c>
      <c r="F184" s="170">
        <f t="shared" si="933"/>
        <v>0.83899912199654869</v>
      </c>
      <c r="G184" s="170">
        <f t="shared" si="933"/>
        <v>-0.24838458570048047</v>
      </c>
      <c r="H184" s="139"/>
      <c r="I184" s="86"/>
      <c r="J184" s="79">
        <f t="shared" si="930"/>
        <v>5.1120000000000001</v>
      </c>
    </row>
    <row r="185" spans="5:10" x14ac:dyDescent="0.25">
      <c r="E185" s="170">
        <f t="shared" si="933"/>
        <v>0.63173892825497346</v>
      </c>
      <c r="F185" s="170">
        <f t="shared" si="933"/>
        <v>0.75204483512008236</v>
      </c>
      <c r="G185" s="170">
        <f t="shared" si="933"/>
        <v>-0.18797471238564409</v>
      </c>
      <c r="H185" s="139"/>
      <c r="I185" s="86"/>
      <c r="J185" s="79">
        <f t="shared" si="930"/>
        <v>5.117</v>
      </c>
    </row>
    <row r="186" spans="5:10" x14ac:dyDescent="0.25">
      <c r="E186" s="170">
        <f t="shared" si="933"/>
        <v>0.79792040492681904</v>
      </c>
      <c r="F186" s="170">
        <f t="shared" si="933"/>
        <v>0.58810328043799565</v>
      </c>
      <c r="G186" s="170">
        <f t="shared" si="933"/>
        <v>-0.1321270560464039</v>
      </c>
      <c r="H186" s="139"/>
      <c r="I186" s="86"/>
      <c r="J186" s="79">
        <f t="shared" si="930"/>
        <v>5.1219999999999999</v>
      </c>
    </row>
    <row r="187" spans="5:10" x14ac:dyDescent="0.25">
      <c r="E187" s="170">
        <f t="shared" si="933"/>
        <v>0.87881714693072099</v>
      </c>
      <c r="F187" s="170">
        <f t="shared" si="933"/>
        <v>0.47715869714438897</v>
      </c>
      <c r="G187" s="170">
        <f t="shared" si="933"/>
        <v>-1.3008419265157927E-7</v>
      </c>
      <c r="H187" s="139"/>
      <c r="I187" s="86"/>
      <c r="J187" s="79">
        <f t="shared" si="930"/>
        <v>5.1269999999999998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A37CBBD8-F856-40C8-9D49-5955F814FAAB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D4F00EB0-20B9-42D1-A07F-F9BC5E5A230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1.204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1.2070000000000001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2.1150000000000002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2.125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3.1030000000000002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3.1059999999999999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3.1139999999999999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3.1190000000000002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3.1240000000000001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3.206</v>
      </c>
      <c r="N183" s="869" t="str">
        <f>Assy.Model!K28</f>
        <v>Inactive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3.2090000000000001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4.1020000000000003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4.1050000000000004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4.1079999999999997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4.1130000000000004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4.1180000000000003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4.1230000000000002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4.1280000000000001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4.2050000000000001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4.2080000000000002</v>
      </c>
      <c r="N193" s="869" t="str">
        <f>Assy.Model!K38</f>
        <v>Inactive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5.1120000000000001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5.117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5.1219999999999999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5.1269999999999998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2023-03-30T13:14:17Z</dcterms:modified>
</cp:coreProperties>
</file>