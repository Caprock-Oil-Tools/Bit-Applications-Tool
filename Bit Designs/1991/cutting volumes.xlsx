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4915" windowHeight="12330"/>
  </bookViews>
  <sheets>
    <sheet name="Area per cutter" sheetId="2" r:id="rId1"/>
    <sheet name="Sheet1" sheetId="1" r:id="rId2"/>
  </sheets>
  <definedNames>
    <definedName name="_xlnm.Print_Area" localSheetId="0">'Area per cutter'!$A$1:$K$71</definedName>
  </definedNames>
  <calcPr calcId="125725"/>
</workbook>
</file>

<file path=xl/calcChain.xml><?xml version="1.0" encoding="utf-8"?>
<calcChain xmlns="http://schemas.openxmlformats.org/spreadsheetml/2006/main">
  <c r="E42" i="2"/>
  <c r="F42" s="1"/>
  <c r="G42" s="1"/>
  <c r="B42"/>
  <c r="F41"/>
  <c r="G41" s="1"/>
  <c r="E41"/>
  <c r="B41"/>
  <c r="B40"/>
  <c r="E40" s="1"/>
  <c r="F40" s="1"/>
  <c r="G40" s="1"/>
  <c r="B39"/>
  <c r="E39" s="1"/>
  <c r="F39" s="1"/>
  <c r="G39" s="1"/>
  <c r="E38"/>
  <c r="F38" s="1"/>
  <c r="G38" s="1"/>
  <c r="B38"/>
  <c r="F37"/>
  <c r="G37" s="1"/>
  <c r="E37"/>
  <c r="B37"/>
  <c r="B36"/>
  <c r="E36" s="1"/>
  <c r="F36" s="1"/>
  <c r="G36" s="1"/>
  <c r="B35"/>
  <c r="E35" s="1"/>
  <c r="F35" s="1"/>
  <c r="G35" s="1"/>
  <c r="E34"/>
  <c r="F34" s="1"/>
  <c r="G34" s="1"/>
  <c r="B34"/>
  <c r="F33"/>
  <c r="G33" s="1"/>
  <c r="E33"/>
  <c r="D33"/>
  <c r="B33"/>
  <c r="D32"/>
  <c r="B32"/>
  <c r="E32" s="1"/>
  <c r="F32" s="1"/>
  <c r="G32" s="1"/>
  <c r="F31"/>
  <c r="G31" s="1"/>
  <c r="E31"/>
  <c r="D31"/>
  <c r="B31"/>
  <c r="D30"/>
  <c r="B30"/>
  <c r="E30" s="1"/>
  <c r="F30" s="1"/>
  <c r="G30" s="1"/>
  <c r="F29"/>
  <c r="G29" s="1"/>
  <c r="E29"/>
  <c r="D29"/>
  <c r="B29"/>
  <c r="D28"/>
  <c r="B28"/>
  <c r="E28" s="1"/>
  <c r="F28" s="1"/>
  <c r="G28" s="1"/>
  <c r="F27"/>
  <c r="G27" s="1"/>
  <c r="E27"/>
  <c r="D27"/>
  <c r="A27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S22"/>
  <c r="Q22"/>
  <c r="Q23" s="1"/>
  <c r="B22"/>
  <c r="E22" s="1"/>
  <c r="F22" s="1"/>
  <c r="G22" s="1"/>
  <c r="Q21"/>
  <c r="S21" s="1"/>
  <c r="B21"/>
  <c r="E21" s="1"/>
  <c r="F21" s="1"/>
  <c r="G21" s="1"/>
  <c r="Q20"/>
  <c r="S20" s="1"/>
  <c r="E20"/>
  <c r="F20" s="1"/>
  <c r="G20" s="1"/>
  <c r="B20"/>
  <c r="S19"/>
  <c r="Q19"/>
  <c r="F19"/>
  <c r="G19" s="1"/>
  <c r="E19"/>
  <c r="B19"/>
  <c r="S18"/>
  <c r="Q18"/>
  <c r="B18"/>
  <c r="E18" s="1"/>
  <c r="F18" s="1"/>
  <c r="G18" s="1"/>
  <c r="Q17"/>
  <c r="S17" s="1"/>
  <c r="B17"/>
  <c r="E17" s="1"/>
  <c r="F17" s="1"/>
  <c r="G17" s="1"/>
  <c r="Q16"/>
  <c r="S16" s="1"/>
  <c r="E16"/>
  <c r="F16" s="1"/>
  <c r="G16" s="1"/>
  <c r="B16"/>
  <c r="S15"/>
  <c r="Q15"/>
  <c r="F15"/>
  <c r="G15" s="1"/>
  <c r="E15"/>
  <c r="B15"/>
  <c r="S14"/>
  <c r="Q14"/>
  <c r="B14"/>
  <c r="E14" s="1"/>
  <c r="F14" s="1"/>
  <c r="G14" s="1"/>
  <c r="Q13"/>
  <c r="S13" s="1"/>
  <c r="B13"/>
  <c r="E13" s="1"/>
  <c r="F13" s="1"/>
  <c r="G13" s="1"/>
  <c r="Q12"/>
  <c r="S12" s="1"/>
  <c r="E12"/>
  <c r="F12" s="1"/>
  <c r="G12" s="1"/>
  <c r="B12"/>
  <c r="S11"/>
  <c r="Q11"/>
  <c r="F11"/>
  <c r="G11" s="1"/>
  <c r="E11"/>
  <c r="B11"/>
  <c r="S10"/>
  <c r="Q10"/>
  <c r="B10"/>
  <c r="E10" s="1"/>
  <c r="F10" s="1"/>
  <c r="G10" s="1"/>
  <c r="A10"/>
  <c r="A11" s="1"/>
  <c r="A12" s="1"/>
  <c r="A13" s="1"/>
  <c r="A14" s="1"/>
  <c r="A15" s="1"/>
  <c r="A16" s="1"/>
  <c r="A17" s="1"/>
  <c r="A18" s="1"/>
  <c r="A19" s="1"/>
  <c r="A20" s="1"/>
  <c r="A21" s="1"/>
  <c r="A22" s="1"/>
  <c r="Q9"/>
  <c r="S9" s="1"/>
  <c r="N9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B9"/>
  <c r="E9" s="1"/>
  <c r="F9" s="1"/>
  <c r="G9" s="1"/>
  <c r="A9"/>
  <c r="Q8"/>
  <c r="S8" s="1"/>
  <c r="N8"/>
  <c r="E8"/>
  <c r="F8" s="1"/>
  <c r="G8" s="1"/>
  <c r="B8"/>
  <c r="A8"/>
  <c r="S7"/>
  <c r="Q7"/>
  <c r="E7"/>
  <c r="F7" s="1"/>
  <c r="G7" s="1"/>
  <c r="G23" s="1"/>
  <c r="G43" l="1"/>
  <c r="S23"/>
  <c r="T8" s="1"/>
  <c r="T20" l="1"/>
  <c r="T7"/>
  <c r="T19"/>
  <c r="T11"/>
  <c r="T16"/>
  <c r="T13"/>
  <c r="T12"/>
  <c r="T23"/>
  <c r="T22"/>
  <c r="T18"/>
  <c r="T14"/>
  <c r="T10"/>
  <c r="T9"/>
  <c r="T15"/>
  <c r="T21"/>
  <c r="T17"/>
</calcChain>
</file>

<file path=xl/sharedStrings.xml><?xml version="1.0" encoding="utf-8"?>
<sst xmlns="http://schemas.openxmlformats.org/spreadsheetml/2006/main" count="46" uniqueCount="21">
  <si>
    <t>CDG-38311r1  1991_8.500_419-SR6</t>
  </si>
  <si>
    <t>Before:</t>
  </si>
  <si>
    <t>Volume Per Cutter</t>
  </si>
  <si>
    <t>Bit Dia.</t>
  </si>
  <si>
    <t>Position</t>
  </si>
  <si>
    <t>Min. Dia. Exposed</t>
  </si>
  <si>
    <t>Max. Dia. Exposed</t>
  </si>
  <si>
    <t># of Blades</t>
  </si>
  <si>
    <t>Area Per Cutter</t>
  </si>
  <si>
    <t>% Area per Cutter</t>
  </si>
  <si>
    <t>% Area per Position</t>
  </si>
  <si>
    <t>Cutter</t>
  </si>
  <si>
    <t>Radius</t>
  </si>
  <si>
    <t>Boundary Area</t>
  </si>
  <si>
    <t>Volume per Cutter</t>
  </si>
  <si>
    <t>Redundant?</t>
  </si>
  <si>
    <t>Volume per Cutter Redundant</t>
  </si>
  <si>
    <t>Percent</t>
  </si>
  <si>
    <t>no</t>
  </si>
  <si>
    <t>Total:</t>
  </si>
  <si>
    <t>After: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</si>
</sst>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sz val="10"/>
      <color indexed="12"/>
      <name val="Arial"/>
      <family val="2"/>
    </font>
    <font>
      <sz val="10"/>
      <color rgb="FF0070C0"/>
      <name val="Arial"/>
      <family val="2"/>
    </font>
    <font>
      <b/>
      <sz val="2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3" fillId="0" borderId="0" xfId="1" applyFont="1" applyAlignment="1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" fillId="0" borderId="4" xfId="1" applyBorder="1" applyAlignment="1">
      <alignment horizontal="right"/>
    </xf>
    <xf numFmtId="164" fontId="1" fillId="0" borderId="4" xfId="1" applyNumberFormat="1" applyBorder="1" applyAlignment="1">
      <alignment horizontal="center"/>
    </xf>
    <xf numFmtId="0" fontId="1" fillId="0" borderId="4" xfId="1" applyBorder="1"/>
    <xf numFmtId="0" fontId="2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1" fillId="0" borderId="7" xfId="1" applyFont="1" applyBorder="1" applyAlignment="1">
      <alignment horizontal="center"/>
    </xf>
    <xf numFmtId="0" fontId="1" fillId="0" borderId="8" xfId="1" applyFont="1" applyBorder="1" applyAlignment="1">
      <alignment horizontal="center"/>
    </xf>
    <xf numFmtId="0" fontId="1" fillId="0" borderId="9" xfId="1" applyFont="1" applyBorder="1" applyAlignment="1">
      <alignment horizontal="center"/>
    </xf>
    <xf numFmtId="0" fontId="1" fillId="0" borderId="10" xfId="1" applyFont="1" applyFill="1" applyBorder="1" applyAlignment="1">
      <alignment horizontal="center"/>
    </xf>
    <xf numFmtId="0" fontId="1" fillId="0" borderId="11" xfId="1" applyBorder="1"/>
    <xf numFmtId="0" fontId="1" fillId="0" borderId="12" xfId="1" applyBorder="1"/>
    <xf numFmtId="0" fontId="1" fillId="0" borderId="13" xfId="1" applyFont="1" applyFill="1" applyBorder="1" applyAlignment="1">
      <alignment horizontal="center"/>
    </xf>
    <xf numFmtId="0" fontId="1" fillId="0" borderId="14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14" xfId="1" applyFont="1" applyBorder="1" applyAlignment="1">
      <alignment horizontal="center"/>
    </xf>
    <xf numFmtId="0" fontId="1" fillId="0" borderId="15" xfId="1" applyFont="1" applyBorder="1" applyAlignment="1">
      <alignment horizontal="center"/>
    </xf>
    <xf numFmtId="0" fontId="4" fillId="0" borderId="16" xfId="1" applyFont="1" applyBorder="1" applyAlignment="1">
      <alignment horizontal="center"/>
    </xf>
    <xf numFmtId="165" fontId="1" fillId="0" borderId="17" xfId="1" applyNumberFormat="1" applyBorder="1" applyAlignment="1">
      <alignment horizontal="center"/>
    </xf>
    <xf numFmtId="0" fontId="4" fillId="0" borderId="17" xfId="1" applyFont="1" applyBorder="1" applyAlignment="1">
      <alignment horizontal="center"/>
    </xf>
    <xf numFmtId="164" fontId="4" fillId="0" borderId="18" xfId="1" applyNumberFormat="1" applyFont="1" applyBorder="1" applyAlignment="1">
      <alignment horizontal="center"/>
    </xf>
    <xf numFmtId="2" fontId="4" fillId="0" borderId="19" xfId="1" applyNumberFormat="1" applyFont="1" applyBorder="1" applyAlignment="1">
      <alignment horizontal="center"/>
    </xf>
    <xf numFmtId="2" fontId="4" fillId="0" borderId="20" xfId="1" applyNumberFormat="1" applyFont="1" applyBorder="1" applyAlignment="1">
      <alignment horizontal="center"/>
    </xf>
    <xf numFmtId="0" fontId="1" fillId="0" borderId="7" xfId="1" applyBorder="1" applyAlignment="1">
      <alignment horizontal="center"/>
    </xf>
    <xf numFmtId="165" fontId="1" fillId="0" borderId="8" xfId="1" applyNumberFormat="1" applyBorder="1" applyAlignment="1">
      <alignment horizontal="center"/>
    </xf>
    <xf numFmtId="165" fontId="5" fillId="0" borderId="8" xfId="1" applyNumberFormat="1" applyFont="1" applyBorder="1" applyAlignment="1">
      <alignment horizontal="center"/>
    </xf>
    <xf numFmtId="164" fontId="5" fillId="0" borderId="8" xfId="1" applyNumberFormat="1" applyFont="1" applyBorder="1" applyAlignment="1">
      <alignment horizontal="center"/>
    </xf>
    <xf numFmtId="2" fontId="5" fillId="0" borderId="21" xfId="1" applyNumberFormat="1" applyFont="1" applyBorder="1" applyAlignment="1">
      <alignment horizontal="center"/>
    </xf>
    <xf numFmtId="0" fontId="4" fillId="2" borderId="22" xfId="1" applyFont="1" applyFill="1" applyBorder="1" applyAlignment="1">
      <alignment horizontal="center"/>
    </xf>
    <xf numFmtId="165" fontId="4" fillId="2" borderId="23" xfId="1" applyNumberFormat="1" applyFont="1" applyFill="1" applyBorder="1" applyAlignment="1">
      <alignment horizontal="center"/>
    </xf>
    <xf numFmtId="165" fontId="1" fillId="2" borderId="23" xfId="1" applyNumberFormat="1" applyFill="1" applyBorder="1" applyAlignment="1">
      <alignment horizontal="center"/>
    </xf>
    <xf numFmtId="0" fontId="4" fillId="2" borderId="23" xfId="1" applyFont="1" applyFill="1" applyBorder="1" applyAlignment="1">
      <alignment horizontal="center"/>
    </xf>
    <xf numFmtId="164" fontId="4" fillId="2" borderId="23" xfId="1" applyNumberFormat="1" applyFont="1" applyFill="1" applyBorder="1" applyAlignment="1">
      <alignment horizontal="center"/>
    </xf>
    <xf numFmtId="2" fontId="4" fillId="2" borderId="23" xfId="1" applyNumberFormat="1" applyFont="1" applyFill="1" applyBorder="1" applyAlignment="1">
      <alignment horizontal="center"/>
    </xf>
    <xf numFmtId="2" fontId="4" fillId="2" borderId="24" xfId="1" applyNumberFormat="1" applyFont="1" applyFill="1" applyBorder="1" applyAlignment="1">
      <alignment horizontal="center"/>
    </xf>
    <xf numFmtId="0" fontId="1" fillId="0" borderId="25" xfId="1" applyBorder="1" applyAlignment="1">
      <alignment horizontal="center"/>
    </xf>
    <xf numFmtId="165" fontId="1" fillId="0" borderId="26" xfId="1" applyNumberFormat="1" applyBorder="1" applyAlignment="1">
      <alignment horizontal="center"/>
    </xf>
    <xf numFmtId="165" fontId="5" fillId="0" borderId="26" xfId="1" applyNumberFormat="1" applyFont="1" applyBorder="1" applyAlignment="1">
      <alignment horizontal="center"/>
    </xf>
    <xf numFmtId="164" fontId="5" fillId="0" borderId="26" xfId="1" applyNumberFormat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165" fontId="4" fillId="0" borderId="23" xfId="1" applyNumberFormat="1" applyFont="1" applyBorder="1" applyAlignment="1">
      <alignment horizontal="center"/>
    </xf>
    <xf numFmtId="165" fontId="1" fillId="0" borderId="23" xfId="1" applyNumberFormat="1" applyBorder="1" applyAlignment="1">
      <alignment horizontal="center"/>
    </xf>
    <xf numFmtId="0" fontId="4" fillId="0" borderId="23" xfId="1" applyFont="1" applyBorder="1" applyAlignment="1">
      <alignment horizontal="center"/>
    </xf>
    <xf numFmtId="164" fontId="4" fillId="0" borderId="23" xfId="1" applyNumberFormat="1" applyFont="1" applyBorder="1" applyAlignment="1">
      <alignment horizontal="center"/>
    </xf>
    <xf numFmtId="2" fontId="4" fillId="0" borderId="24" xfId="1" applyNumberFormat="1" applyFont="1" applyBorder="1" applyAlignment="1">
      <alignment horizontal="center"/>
    </xf>
    <xf numFmtId="0" fontId="4" fillId="2" borderId="27" xfId="1" applyFont="1" applyFill="1" applyBorder="1" applyAlignment="1">
      <alignment horizontal="center"/>
    </xf>
    <xf numFmtId="165" fontId="4" fillId="2" borderId="28" xfId="1" applyNumberFormat="1" applyFont="1" applyFill="1" applyBorder="1" applyAlignment="1">
      <alignment horizontal="center"/>
    </xf>
    <xf numFmtId="165" fontId="1" fillId="2" borderId="28" xfId="1" applyNumberFormat="1" applyFill="1" applyBorder="1" applyAlignment="1">
      <alignment horizontal="center"/>
    </xf>
    <xf numFmtId="0" fontId="4" fillId="2" borderId="28" xfId="1" applyFont="1" applyFill="1" applyBorder="1" applyAlignment="1">
      <alignment horizontal="center"/>
    </xf>
    <xf numFmtId="164" fontId="4" fillId="2" borderId="28" xfId="1" applyNumberFormat="1" applyFont="1" applyFill="1" applyBorder="1" applyAlignment="1">
      <alignment horizontal="center"/>
    </xf>
    <xf numFmtId="0" fontId="1" fillId="0" borderId="29" xfId="1" applyBorder="1" applyAlignment="1">
      <alignment horizontal="center"/>
    </xf>
    <xf numFmtId="165" fontId="1" fillId="0" borderId="30" xfId="1" applyNumberFormat="1" applyBorder="1" applyAlignment="1">
      <alignment horizontal="center"/>
    </xf>
    <xf numFmtId="165" fontId="1" fillId="0" borderId="31" xfId="1" applyNumberFormat="1" applyBorder="1" applyAlignment="1">
      <alignment horizontal="center"/>
    </xf>
    <xf numFmtId="165" fontId="5" fillId="0" borderId="31" xfId="1" applyNumberFormat="1" applyFont="1" applyBorder="1" applyAlignment="1">
      <alignment horizontal="center"/>
    </xf>
    <xf numFmtId="164" fontId="5" fillId="0" borderId="31" xfId="1" applyNumberFormat="1" applyFont="1" applyBorder="1" applyAlignment="1">
      <alignment horizontal="center"/>
    </xf>
    <xf numFmtId="2" fontId="5" fillId="0" borderId="32" xfId="1" applyNumberFormat="1" applyFont="1" applyBorder="1" applyAlignment="1">
      <alignment horizontal="center"/>
    </xf>
    <xf numFmtId="0" fontId="1" fillId="0" borderId="0" xfId="1" applyBorder="1"/>
    <xf numFmtId="0" fontId="1" fillId="0" borderId="29" xfId="1" applyBorder="1" applyAlignment="1">
      <alignment horizontal="right"/>
    </xf>
    <xf numFmtId="2" fontId="4" fillId="0" borderId="6" xfId="1" applyNumberFormat="1" applyFont="1" applyBorder="1" applyAlignment="1">
      <alignment horizontal="center"/>
    </xf>
    <xf numFmtId="0" fontId="1" fillId="0" borderId="29" xfId="1" applyFont="1" applyBorder="1" applyAlignment="1">
      <alignment horizontal="right"/>
    </xf>
    <xf numFmtId="165" fontId="5" fillId="0" borderId="30" xfId="1" applyNumberFormat="1" applyFont="1" applyBorder="1" applyAlignment="1">
      <alignment horizontal="center"/>
    </xf>
    <xf numFmtId="164" fontId="5" fillId="0" borderId="30" xfId="1" applyNumberFormat="1" applyFont="1" applyBorder="1" applyAlignment="1">
      <alignment horizontal="center"/>
    </xf>
    <xf numFmtId="2" fontId="5" fillId="0" borderId="6" xfId="1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2" fontId="4" fillId="2" borderId="33" xfId="1" applyNumberFormat="1" applyFont="1" applyFill="1" applyBorder="1" applyAlignment="1">
      <alignment horizontal="center"/>
    </xf>
    <xf numFmtId="2" fontId="4" fillId="0" borderId="33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Area Per Cutter Analysis</a:t>
            </a:r>
          </a:p>
        </c:rich>
      </c:tx>
      <c:layout>
        <c:manualLayout>
          <c:xMode val="edge"/>
          <c:yMode val="edge"/>
          <c:x val="0.40816363793035187"/>
          <c:y val="3.070175438596491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8.5520003416548473E-2"/>
          <c:y val="0.16228104929295439"/>
          <c:w val="0.79836594959791496"/>
          <c:h val="0.68201900446092989"/>
        </c:manualLayout>
      </c:layout>
      <c:barChart>
        <c:barDir val="col"/>
        <c:grouping val="clustered"/>
        <c:ser>
          <c:idx val="0"/>
          <c:order val="0"/>
          <c:tx>
            <c:v>Before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'Area per cutter'!$E$7:$E$22</c:f>
              <c:numCache>
                <c:formatCode>0.000</c:formatCode>
                <c:ptCount val="16"/>
                <c:pt idx="0">
                  <c:v>0.71660278207097561</c:v>
                </c:pt>
                <c:pt idx="1">
                  <c:v>1.6432638529422974</c:v>
                </c:pt>
                <c:pt idx="2">
                  <c:v>2.8729219848106866</c:v>
                </c:pt>
                <c:pt idx="3">
                  <c:v>4.1457854037183228</c:v>
                </c:pt>
                <c:pt idx="4">
                  <c:v>3.7262585030587108</c:v>
                </c:pt>
                <c:pt idx="5">
                  <c:v>3.1006001473361025</c:v>
                </c:pt>
                <c:pt idx="6">
                  <c:v>4.0054537271388284</c:v>
                </c:pt>
                <c:pt idx="7">
                  <c:v>5.1350814754657605</c:v>
                </c:pt>
                <c:pt idx="8">
                  <c:v>5.7414375403495299</c:v>
                </c:pt>
                <c:pt idx="9">
                  <c:v>6.1797802562255733</c:v>
                </c:pt>
                <c:pt idx="10">
                  <c:v>5.9064353688168296</c:v>
                </c:pt>
                <c:pt idx="11">
                  <c:v>5.1161274615884906</c:v>
                </c:pt>
                <c:pt idx="12">
                  <c:v>4.096221784475631</c:v>
                </c:pt>
                <c:pt idx="13">
                  <c:v>2.6155561801158811</c:v>
                </c:pt>
                <c:pt idx="14">
                  <c:v>1.3489665845693324</c:v>
                </c:pt>
                <c:pt idx="15">
                  <c:v>0.39452422136675835</c:v>
                </c:pt>
              </c:numCache>
            </c:numRef>
          </c:val>
        </c:ser>
        <c:ser>
          <c:idx val="1"/>
          <c:order val="1"/>
          <c:tx>
            <c:v>After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val>
            <c:numRef>
              <c:f>'Area per cutter'!$E$27:$E$42</c:f>
              <c:numCache>
                <c:formatCode>0.000</c:formatCode>
                <c:ptCount val="16"/>
                <c:pt idx="0">
                  <c:v>0.71660278207097561</c:v>
                </c:pt>
                <c:pt idx="1">
                  <c:v>1.6432638529422974</c:v>
                </c:pt>
                <c:pt idx="2">
                  <c:v>2.8729219848106866</c:v>
                </c:pt>
                <c:pt idx="3">
                  <c:v>4.1457854037183228</c:v>
                </c:pt>
                <c:pt idx="4">
                  <c:v>3.7262585030587108</c:v>
                </c:pt>
                <c:pt idx="5">
                  <c:v>3.1006001473361025</c:v>
                </c:pt>
                <c:pt idx="6">
                  <c:v>4.0054537271388284</c:v>
                </c:pt>
                <c:pt idx="7">
                  <c:v>5.1350814754657605</c:v>
                </c:pt>
                <c:pt idx="8">
                  <c:v>5.7414375403495299</c:v>
                </c:pt>
                <c:pt idx="9">
                  <c:v>6.1797802562255733</c:v>
                </c:pt>
                <c:pt idx="10">
                  <c:v>5.9064353688168296</c:v>
                </c:pt>
                <c:pt idx="11">
                  <c:v>5.1161274615884906</c:v>
                </c:pt>
                <c:pt idx="12">
                  <c:v>4.096221784475631</c:v>
                </c:pt>
                <c:pt idx="13">
                  <c:v>2.6155561801158811</c:v>
                </c:pt>
                <c:pt idx="14">
                  <c:v>1.3489665845693324</c:v>
                </c:pt>
                <c:pt idx="15">
                  <c:v>0.39452422136675835</c:v>
                </c:pt>
              </c:numCache>
            </c:numRef>
          </c:val>
        </c:ser>
        <c:axId val="94939392"/>
        <c:axId val="110858624"/>
      </c:barChart>
      <c:catAx>
        <c:axId val="949393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Cutter Position</a:t>
                </a:r>
              </a:p>
            </c:rich>
          </c:tx>
          <c:layout>
            <c:manualLayout>
              <c:xMode val="edge"/>
              <c:yMode val="edge"/>
              <c:x val="0.45481088155906002"/>
              <c:y val="0.91447575631993372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858624"/>
        <c:crosses val="autoZero"/>
        <c:auto val="1"/>
        <c:lblAlgn val="ctr"/>
        <c:lblOffset val="100"/>
        <c:tickLblSkip val="1"/>
        <c:tickMarkSkip val="1"/>
      </c:catAx>
      <c:valAx>
        <c:axId val="11085862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Square In.</a:t>
                </a:r>
              </a:p>
            </c:rich>
          </c:tx>
          <c:layout>
            <c:manualLayout>
              <c:xMode val="edge"/>
              <c:yMode val="edge"/>
              <c:x val="1.5549050157550181E-2"/>
              <c:y val="0.4210535525164617"/>
            </c:manualLayout>
          </c:layout>
          <c:spPr>
            <a:noFill/>
            <a:ln w="25400">
              <a:noFill/>
            </a:ln>
          </c:spPr>
        </c:title>
        <c:numFmt formatCode="0.0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939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818627485228922"/>
          <c:y val="0.38962080397845034"/>
          <c:w val="6.404013162950907E-2"/>
          <c:h val="0.13377216005893997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spPr>
            <a:ln>
              <a:solidFill>
                <a:schemeClr val="tx1"/>
              </a:solidFill>
            </a:ln>
          </c:spPr>
          <c:val>
            <c:numRef>
              <c:f>'Area per cutter'!$T$7:$T$22</c:f>
              <c:numCache>
                <c:formatCode>0.00</c:formatCode>
                <c:ptCount val="16"/>
                <c:pt idx="0">
                  <c:v>0</c:v>
                </c:pt>
                <c:pt idx="1">
                  <c:v>0.93174277849436804</c:v>
                </c:pt>
                <c:pt idx="2">
                  <c:v>2.6252390720979188</c:v>
                </c:pt>
                <c:pt idx="3">
                  <c:v>5.2344978391349013</c:v>
                </c:pt>
                <c:pt idx="4">
                  <c:v>4.5235076133259327</c:v>
                </c:pt>
                <c:pt idx="5">
                  <c:v>2.0715880134275935</c:v>
                </c:pt>
                <c:pt idx="6">
                  <c:v>3.2977553234478556</c:v>
                </c:pt>
                <c:pt idx="7">
                  <c:v>5.0952512228398641</c:v>
                </c:pt>
                <c:pt idx="8">
                  <c:v>6.751071629290367</c:v>
                </c:pt>
                <c:pt idx="9">
                  <c:v>9.2146789415589883</c:v>
                </c:pt>
                <c:pt idx="10">
                  <c:v>10.279377747399943</c:v>
                </c:pt>
                <c:pt idx="11">
                  <c:v>11.212434748601483</c:v>
                </c:pt>
                <c:pt idx="12">
                  <c:v>11.87219015387241</c:v>
                </c:pt>
                <c:pt idx="13">
                  <c:v>12.343524609087645</c:v>
                </c:pt>
                <c:pt idx="14">
                  <c:v>10.479856228606064</c:v>
                </c:pt>
                <c:pt idx="15">
                  <c:v>4.0672840788146729</c:v>
                </c:pt>
              </c:numCache>
            </c:numRef>
          </c:val>
        </c:ser>
        <c:axId val="120025088"/>
        <c:axId val="120026624"/>
      </c:barChart>
      <c:catAx>
        <c:axId val="120025088"/>
        <c:scaling>
          <c:orientation val="minMax"/>
        </c:scaling>
        <c:axPos val="b"/>
        <c:numFmt formatCode="General" sourceLinked="1"/>
        <c:tickLblPos val="nextTo"/>
        <c:crossAx val="120026624"/>
        <c:crosses val="autoZero"/>
        <c:auto val="1"/>
        <c:lblAlgn val="ctr"/>
        <c:lblOffset val="100"/>
      </c:catAx>
      <c:valAx>
        <c:axId val="120026624"/>
        <c:scaling>
          <c:orientation val="minMax"/>
        </c:scaling>
        <c:axPos val="l"/>
        <c:majorGridlines/>
        <c:numFmt formatCode="0.00" sourceLinked="1"/>
        <c:tickLblPos val="nextTo"/>
        <c:crossAx val="120025088"/>
        <c:crosses val="autoZero"/>
        <c:crossBetween val="between"/>
      </c:valAx>
      <c:spPr>
        <a:solidFill>
          <a:schemeClr val="bg1">
            <a:lumMod val="85000"/>
          </a:schemeClr>
        </a:solidFill>
      </c:spPr>
    </c:plotArea>
    <c:legend>
      <c:legendPos val="r"/>
      <c:layout/>
      <c:spPr>
        <a:noFill/>
        <a:ln w="25400">
          <a:noFill/>
        </a:ln>
      </c:spPr>
    </c:legend>
    <c:plotVisOnly val="1"/>
    <c:dispBlanksAs val="gap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43</xdr:row>
      <xdr:rowOff>66675</xdr:rowOff>
    </xdr:from>
    <xdr:to>
      <xdr:col>12</xdr:col>
      <xdr:colOff>323850</xdr:colOff>
      <xdr:row>70</xdr:row>
      <xdr:rowOff>38100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95250</xdr:colOff>
      <xdr:row>25</xdr:row>
      <xdr:rowOff>0</xdr:rowOff>
    </xdr:from>
    <xdr:to>
      <xdr:col>21</xdr:col>
      <xdr:colOff>19050</xdr:colOff>
      <xdr:row>41</xdr:row>
      <xdr:rowOff>133350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2</xdr:row>
      <xdr:rowOff>142875</xdr:rowOff>
    </xdr:from>
    <xdr:to>
      <xdr:col>11</xdr:col>
      <xdr:colOff>9525</xdr:colOff>
      <xdr:row>27</xdr:row>
      <xdr:rowOff>19050</xdr:rowOff>
    </xdr:to>
    <xdr:sp macro="" textlink="">
      <xdr:nvSpPr>
        <xdr:cNvPr id="2" name="TextBox 1"/>
        <xdr:cNvSpPr txBox="1"/>
      </xdr:nvSpPr>
      <xdr:spPr>
        <a:xfrm>
          <a:off x="781050" y="523875"/>
          <a:ext cx="5934075" cy="4638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.xls format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This is a graph of volume cut (in</a:t>
          </a:r>
          <a:r>
            <a:rPr lang="en-US" sz="1100" baseline="30000">
              <a:solidFill>
                <a:schemeClr val="dk1"/>
              </a:solidFill>
              <a:latin typeface="+mn-lt"/>
              <a:ea typeface="+mn-ea"/>
              <a:cs typeface="+mn-cs"/>
            </a:rPr>
            <a:t>3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) versus radial position (in).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zoomScale="55" zoomScaleNormal="55" workbookViewId="0">
      <selection activeCell="J11" sqref="J11"/>
    </sheetView>
  </sheetViews>
  <sheetFormatPr defaultRowHeight="12.75"/>
  <cols>
    <col min="1" max="1" width="8.7109375" style="1" customWidth="1"/>
    <col min="2" max="3" width="17.7109375" style="1" customWidth="1"/>
    <col min="4" max="4" width="10.7109375" style="1" customWidth="1"/>
    <col min="5" max="5" width="15.7109375" style="1" customWidth="1"/>
    <col min="6" max="7" width="17.7109375" style="1" customWidth="1"/>
    <col min="8" max="10" width="10.7109375" style="1" customWidth="1"/>
    <col min="11" max="13" width="9.140625" style="1"/>
    <col min="14" max="14" width="6" style="1" bestFit="1" customWidth="1"/>
    <col min="15" max="15" width="6.7109375" style="1" bestFit="1" customWidth="1"/>
    <col min="16" max="16" width="13.42578125" style="1" bestFit="1" customWidth="1"/>
    <col min="17" max="17" width="16.140625" style="1" bestFit="1" customWidth="1"/>
    <col min="18" max="18" width="10.85546875" style="1" bestFit="1" customWidth="1"/>
    <col min="19" max="20" width="26" style="1" bestFit="1" customWidth="1"/>
    <col min="21" max="21" width="8.5703125" style="1" bestFit="1" customWidth="1"/>
    <col min="22" max="256" width="9.140625" style="1"/>
    <col min="257" max="257" width="8.7109375" style="1" customWidth="1"/>
    <col min="258" max="259" width="17.7109375" style="1" customWidth="1"/>
    <col min="260" max="260" width="10.7109375" style="1" customWidth="1"/>
    <col min="261" max="261" width="15.7109375" style="1" customWidth="1"/>
    <col min="262" max="263" width="17.7109375" style="1" customWidth="1"/>
    <col min="264" max="266" width="10.7109375" style="1" customWidth="1"/>
    <col min="267" max="269" width="9.140625" style="1"/>
    <col min="270" max="270" width="6" style="1" bestFit="1" customWidth="1"/>
    <col min="271" max="271" width="6.7109375" style="1" bestFit="1" customWidth="1"/>
    <col min="272" max="272" width="13.42578125" style="1" bestFit="1" customWidth="1"/>
    <col min="273" max="273" width="16.140625" style="1" bestFit="1" customWidth="1"/>
    <col min="274" max="274" width="10.85546875" style="1" bestFit="1" customWidth="1"/>
    <col min="275" max="276" width="26" style="1" bestFit="1" customWidth="1"/>
    <col min="277" max="277" width="8.5703125" style="1" bestFit="1" customWidth="1"/>
    <col min="278" max="512" width="9.140625" style="1"/>
    <col min="513" max="513" width="8.7109375" style="1" customWidth="1"/>
    <col min="514" max="515" width="17.7109375" style="1" customWidth="1"/>
    <col min="516" max="516" width="10.7109375" style="1" customWidth="1"/>
    <col min="517" max="517" width="15.7109375" style="1" customWidth="1"/>
    <col min="518" max="519" width="17.7109375" style="1" customWidth="1"/>
    <col min="520" max="522" width="10.7109375" style="1" customWidth="1"/>
    <col min="523" max="525" width="9.140625" style="1"/>
    <col min="526" max="526" width="6" style="1" bestFit="1" customWidth="1"/>
    <col min="527" max="527" width="6.7109375" style="1" bestFit="1" customWidth="1"/>
    <col min="528" max="528" width="13.42578125" style="1" bestFit="1" customWidth="1"/>
    <col min="529" max="529" width="16.140625" style="1" bestFit="1" customWidth="1"/>
    <col min="530" max="530" width="10.85546875" style="1" bestFit="1" customWidth="1"/>
    <col min="531" max="532" width="26" style="1" bestFit="1" customWidth="1"/>
    <col min="533" max="533" width="8.5703125" style="1" bestFit="1" customWidth="1"/>
    <col min="534" max="768" width="9.140625" style="1"/>
    <col min="769" max="769" width="8.7109375" style="1" customWidth="1"/>
    <col min="770" max="771" width="17.7109375" style="1" customWidth="1"/>
    <col min="772" max="772" width="10.7109375" style="1" customWidth="1"/>
    <col min="773" max="773" width="15.7109375" style="1" customWidth="1"/>
    <col min="774" max="775" width="17.7109375" style="1" customWidth="1"/>
    <col min="776" max="778" width="10.7109375" style="1" customWidth="1"/>
    <col min="779" max="781" width="9.140625" style="1"/>
    <col min="782" max="782" width="6" style="1" bestFit="1" customWidth="1"/>
    <col min="783" max="783" width="6.7109375" style="1" bestFit="1" customWidth="1"/>
    <col min="784" max="784" width="13.42578125" style="1" bestFit="1" customWidth="1"/>
    <col min="785" max="785" width="16.140625" style="1" bestFit="1" customWidth="1"/>
    <col min="786" max="786" width="10.85546875" style="1" bestFit="1" customWidth="1"/>
    <col min="787" max="788" width="26" style="1" bestFit="1" customWidth="1"/>
    <col min="789" max="789" width="8.5703125" style="1" bestFit="1" customWidth="1"/>
    <col min="790" max="1024" width="9.140625" style="1"/>
    <col min="1025" max="1025" width="8.7109375" style="1" customWidth="1"/>
    <col min="1026" max="1027" width="17.7109375" style="1" customWidth="1"/>
    <col min="1028" max="1028" width="10.7109375" style="1" customWidth="1"/>
    <col min="1029" max="1029" width="15.7109375" style="1" customWidth="1"/>
    <col min="1030" max="1031" width="17.7109375" style="1" customWidth="1"/>
    <col min="1032" max="1034" width="10.7109375" style="1" customWidth="1"/>
    <col min="1035" max="1037" width="9.140625" style="1"/>
    <col min="1038" max="1038" width="6" style="1" bestFit="1" customWidth="1"/>
    <col min="1039" max="1039" width="6.7109375" style="1" bestFit="1" customWidth="1"/>
    <col min="1040" max="1040" width="13.42578125" style="1" bestFit="1" customWidth="1"/>
    <col min="1041" max="1041" width="16.140625" style="1" bestFit="1" customWidth="1"/>
    <col min="1042" max="1042" width="10.85546875" style="1" bestFit="1" customWidth="1"/>
    <col min="1043" max="1044" width="26" style="1" bestFit="1" customWidth="1"/>
    <col min="1045" max="1045" width="8.5703125" style="1" bestFit="1" customWidth="1"/>
    <col min="1046" max="1280" width="9.140625" style="1"/>
    <col min="1281" max="1281" width="8.7109375" style="1" customWidth="1"/>
    <col min="1282" max="1283" width="17.7109375" style="1" customWidth="1"/>
    <col min="1284" max="1284" width="10.7109375" style="1" customWidth="1"/>
    <col min="1285" max="1285" width="15.7109375" style="1" customWidth="1"/>
    <col min="1286" max="1287" width="17.7109375" style="1" customWidth="1"/>
    <col min="1288" max="1290" width="10.7109375" style="1" customWidth="1"/>
    <col min="1291" max="1293" width="9.140625" style="1"/>
    <col min="1294" max="1294" width="6" style="1" bestFit="1" customWidth="1"/>
    <col min="1295" max="1295" width="6.7109375" style="1" bestFit="1" customWidth="1"/>
    <col min="1296" max="1296" width="13.42578125" style="1" bestFit="1" customWidth="1"/>
    <col min="1297" max="1297" width="16.140625" style="1" bestFit="1" customWidth="1"/>
    <col min="1298" max="1298" width="10.85546875" style="1" bestFit="1" customWidth="1"/>
    <col min="1299" max="1300" width="26" style="1" bestFit="1" customWidth="1"/>
    <col min="1301" max="1301" width="8.5703125" style="1" bestFit="1" customWidth="1"/>
    <col min="1302" max="1536" width="9.140625" style="1"/>
    <col min="1537" max="1537" width="8.7109375" style="1" customWidth="1"/>
    <col min="1538" max="1539" width="17.7109375" style="1" customWidth="1"/>
    <col min="1540" max="1540" width="10.7109375" style="1" customWidth="1"/>
    <col min="1541" max="1541" width="15.7109375" style="1" customWidth="1"/>
    <col min="1542" max="1543" width="17.7109375" style="1" customWidth="1"/>
    <col min="1544" max="1546" width="10.7109375" style="1" customWidth="1"/>
    <col min="1547" max="1549" width="9.140625" style="1"/>
    <col min="1550" max="1550" width="6" style="1" bestFit="1" customWidth="1"/>
    <col min="1551" max="1551" width="6.7109375" style="1" bestFit="1" customWidth="1"/>
    <col min="1552" max="1552" width="13.42578125" style="1" bestFit="1" customWidth="1"/>
    <col min="1553" max="1553" width="16.140625" style="1" bestFit="1" customWidth="1"/>
    <col min="1554" max="1554" width="10.85546875" style="1" bestFit="1" customWidth="1"/>
    <col min="1555" max="1556" width="26" style="1" bestFit="1" customWidth="1"/>
    <col min="1557" max="1557" width="8.5703125" style="1" bestFit="1" customWidth="1"/>
    <col min="1558" max="1792" width="9.140625" style="1"/>
    <col min="1793" max="1793" width="8.7109375" style="1" customWidth="1"/>
    <col min="1794" max="1795" width="17.7109375" style="1" customWidth="1"/>
    <col min="1796" max="1796" width="10.7109375" style="1" customWidth="1"/>
    <col min="1797" max="1797" width="15.7109375" style="1" customWidth="1"/>
    <col min="1798" max="1799" width="17.7109375" style="1" customWidth="1"/>
    <col min="1800" max="1802" width="10.7109375" style="1" customWidth="1"/>
    <col min="1803" max="1805" width="9.140625" style="1"/>
    <col min="1806" max="1806" width="6" style="1" bestFit="1" customWidth="1"/>
    <col min="1807" max="1807" width="6.7109375" style="1" bestFit="1" customWidth="1"/>
    <col min="1808" max="1808" width="13.42578125" style="1" bestFit="1" customWidth="1"/>
    <col min="1809" max="1809" width="16.140625" style="1" bestFit="1" customWidth="1"/>
    <col min="1810" max="1810" width="10.85546875" style="1" bestFit="1" customWidth="1"/>
    <col min="1811" max="1812" width="26" style="1" bestFit="1" customWidth="1"/>
    <col min="1813" max="1813" width="8.5703125" style="1" bestFit="1" customWidth="1"/>
    <col min="1814" max="2048" width="9.140625" style="1"/>
    <col min="2049" max="2049" width="8.7109375" style="1" customWidth="1"/>
    <col min="2050" max="2051" width="17.7109375" style="1" customWidth="1"/>
    <col min="2052" max="2052" width="10.7109375" style="1" customWidth="1"/>
    <col min="2053" max="2053" width="15.7109375" style="1" customWidth="1"/>
    <col min="2054" max="2055" width="17.7109375" style="1" customWidth="1"/>
    <col min="2056" max="2058" width="10.7109375" style="1" customWidth="1"/>
    <col min="2059" max="2061" width="9.140625" style="1"/>
    <col min="2062" max="2062" width="6" style="1" bestFit="1" customWidth="1"/>
    <col min="2063" max="2063" width="6.7109375" style="1" bestFit="1" customWidth="1"/>
    <col min="2064" max="2064" width="13.42578125" style="1" bestFit="1" customWidth="1"/>
    <col min="2065" max="2065" width="16.140625" style="1" bestFit="1" customWidth="1"/>
    <col min="2066" max="2066" width="10.85546875" style="1" bestFit="1" customWidth="1"/>
    <col min="2067" max="2068" width="26" style="1" bestFit="1" customWidth="1"/>
    <col min="2069" max="2069" width="8.5703125" style="1" bestFit="1" customWidth="1"/>
    <col min="2070" max="2304" width="9.140625" style="1"/>
    <col min="2305" max="2305" width="8.7109375" style="1" customWidth="1"/>
    <col min="2306" max="2307" width="17.7109375" style="1" customWidth="1"/>
    <col min="2308" max="2308" width="10.7109375" style="1" customWidth="1"/>
    <col min="2309" max="2309" width="15.7109375" style="1" customWidth="1"/>
    <col min="2310" max="2311" width="17.7109375" style="1" customWidth="1"/>
    <col min="2312" max="2314" width="10.7109375" style="1" customWidth="1"/>
    <col min="2315" max="2317" width="9.140625" style="1"/>
    <col min="2318" max="2318" width="6" style="1" bestFit="1" customWidth="1"/>
    <col min="2319" max="2319" width="6.7109375" style="1" bestFit="1" customWidth="1"/>
    <col min="2320" max="2320" width="13.42578125" style="1" bestFit="1" customWidth="1"/>
    <col min="2321" max="2321" width="16.140625" style="1" bestFit="1" customWidth="1"/>
    <col min="2322" max="2322" width="10.85546875" style="1" bestFit="1" customWidth="1"/>
    <col min="2323" max="2324" width="26" style="1" bestFit="1" customWidth="1"/>
    <col min="2325" max="2325" width="8.5703125" style="1" bestFit="1" customWidth="1"/>
    <col min="2326" max="2560" width="9.140625" style="1"/>
    <col min="2561" max="2561" width="8.7109375" style="1" customWidth="1"/>
    <col min="2562" max="2563" width="17.7109375" style="1" customWidth="1"/>
    <col min="2564" max="2564" width="10.7109375" style="1" customWidth="1"/>
    <col min="2565" max="2565" width="15.7109375" style="1" customWidth="1"/>
    <col min="2566" max="2567" width="17.7109375" style="1" customWidth="1"/>
    <col min="2568" max="2570" width="10.7109375" style="1" customWidth="1"/>
    <col min="2571" max="2573" width="9.140625" style="1"/>
    <col min="2574" max="2574" width="6" style="1" bestFit="1" customWidth="1"/>
    <col min="2575" max="2575" width="6.7109375" style="1" bestFit="1" customWidth="1"/>
    <col min="2576" max="2576" width="13.42578125" style="1" bestFit="1" customWidth="1"/>
    <col min="2577" max="2577" width="16.140625" style="1" bestFit="1" customWidth="1"/>
    <col min="2578" max="2578" width="10.85546875" style="1" bestFit="1" customWidth="1"/>
    <col min="2579" max="2580" width="26" style="1" bestFit="1" customWidth="1"/>
    <col min="2581" max="2581" width="8.5703125" style="1" bestFit="1" customWidth="1"/>
    <col min="2582" max="2816" width="9.140625" style="1"/>
    <col min="2817" max="2817" width="8.7109375" style="1" customWidth="1"/>
    <col min="2818" max="2819" width="17.7109375" style="1" customWidth="1"/>
    <col min="2820" max="2820" width="10.7109375" style="1" customWidth="1"/>
    <col min="2821" max="2821" width="15.7109375" style="1" customWidth="1"/>
    <col min="2822" max="2823" width="17.7109375" style="1" customWidth="1"/>
    <col min="2824" max="2826" width="10.7109375" style="1" customWidth="1"/>
    <col min="2827" max="2829" width="9.140625" style="1"/>
    <col min="2830" max="2830" width="6" style="1" bestFit="1" customWidth="1"/>
    <col min="2831" max="2831" width="6.7109375" style="1" bestFit="1" customWidth="1"/>
    <col min="2832" max="2832" width="13.42578125" style="1" bestFit="1" customWidth="1"/>
    <col min="2833" max="2833" width="16.140625" style="1" bestFit="1" customWidth="1"/>
    <col min="2834" max="2834" width="10.85546875" style="1" bestFit="1" customWidth="1"/>
    <col min="2835" max="2836" width="26" style="1" bestFit="1" customWidth="1"/>
    <col min="2837" max="2837" width="8.5703125" style="1" bestFit="1" customWidth="1"/>
    <col min="2838" max="3072" width="9.140625" style="1"/>
    <col min="3073" max="3073" width="8.7109375" style="1" customWidth="1"/>
    <col min="3074" max="3075" width="17.7109375" style="1" customWidth="1"/>
    <col min="3076" max="3076" width="10.7109375" style="1" customWidth="1"/>
    <col min="3077" max="3077" width="15.7109375" style="1" customWidth="1"/>
    <col min="3078" max="3079" width="17.7109375" style="1" customWidth="1"/>
    <col min="3080" max="3082" width="10.7109375" style="1" customWidth="1"/>
    <col min="3083" max="3085" width="9.140625" style="1"/>
    <col min="3086" max="3086" width="6" style="1" bestFit="1" customWidth="1"/>
    <col min="3087" max="3087" width="6.7109375" style="1" bestFit="1" customWidth="1"/>
    <col min="3088" max="3088" width="13.42578125" style="1" bestFit="1" customWidth="1"/>
    <col min="3089" max="3089" width="16.140625" style="1" bestFit="1" customWidth="1"/>
    <col min="3090" max="3090" width="10.85546875" style="1" bestFit="1" customWidth="1"/>
    <col min="3091" max="3092" width="26" style="1" bestFit="1" customWidth="1"/>
    <col min="3093" max="3093" width="8.5703125" style="1" bestFit="1" customWidth="1"/>
    <col min="3094" max="3328" width="9.140625" style="1"/>
    <col min="3329" max="3329" width="8.7109375" style="1" customWidth="1"/>
    <col min="3330" max="3331" width="17.7109375" style="1" customWidth="1"/>
    <col min="3332" max="3332" width="10.7109375" style="1" customWidth="1"/>
    <col min="3333" max="3333" width="15.7109375" style="1" customWidth="1"/>
    <col min="3334" max="3335" width="17.7109375" style="1" customWidth="1"/>
    <col min="3336" max="3338" width="10.7109375" style="1" customWidth="1"/>
    <col min="3339" max="3341" width="9.140625" style="1"/>
    <col min="3342" max="3342" width="6" style="1" bestFit="1" customWidth="1"/>
    <col min="3343" max="3343" width="6.7109375" style="1" bestFit="1" customWidth="1"/>
    <col min="3344" max="3344" width="13.42578125" style="1" bestFit="1" customWidth="1"/>
    <col min="3345" max="3345" width="16.140625" style="1" bestFit="1" customWidth="1"/>
    <col min="3346" max="3346" width="10.85546875" style="1" bestFit="1" customWidth="1"/>
    <col min="3347" max="3348" width="26" style="1" bestFit="1" customWidth="1"/>
    <col min="3349" max="3349" width="8.5703125" style="1" bestFit="1" customWidth="1"/>
    <col min="3350" max="3584" width="9.140625" style="1"/>
    <col min="3585" max="3585" width="8.7109375" style="1" customWidth="1"/>
    <col min="3586" max="3587" width="17.7109375" style="1" customWidth="1"/>
    <col min="3588" max="3588" width="10.7109375" style="1" customWidth="1"/>
    <col min="3589" max="3589" width="15.7109375" style="1" customWidth="1"/>
    <col min="3590" max="3591" width="17.7109375" style="1" customWidth="1"/>
    <col min="3592" max="3594" width="10.7109375" style="1" customWidth="1"/>
    <col min="3595" max="3597" width="9.140625" style="1"/>
    <col min="3598" max="3598" width="6" style="1" bestFit="1" customWidth="1"/>
    <col min="3599" max="3599" width="6.7109375" style="1" bestFit="1" customWidth="1"/>
    <col min="3600" max="3600" width="13.42578125" style="1" bestFit="1" customWidth="1"/>
    <col min="3601" max="3601" width="16.140625" style="1" bestFit="1" customWidth="1"/>
    <col min="3602" max="3602" width="10.85546875" style="1" bestFit="1" customWidth="1"/>
    <col min="3603" max="3604" width="26" style="1" bestFit="1" customWidth="1"/>
    <col min="3605" max="3605" width="8.5703125" style="1" bestFit="1" customWidth="1"/>
    <col min="3606" max="3840" width="9.140625" style="1"/>
    <col min="3841" max="3841" width="8.7109375" style="1" customWidth="1"/>
    <col min="3842" max="3843" width="17.7109375" style="1" customWidth="1"/>
    <col min="3844" max="3844" width="10.7109375" style="1" customWidth="1"/>
    <col min="3845" max="3845" width="15.7109375" style="1" customWidth="1"/>
    <col min="3846" max="3847" width="17.7109375" style="1" customWidth="1"/>
    <col min="3848" max="3850" width="10.7109375" style="1" customWidth="1"/>
    <col min="3851" max="3853" width="9.140625" style="1"/>
    <col min="3854" max="3854" width="6" style="1" bestFit="1" customWidth="1"/>
    <col min="3855" max="3855" width="6.7109375" style="1" bestFit="1" customWidth="1"/>
    <col min="3856" max="3856" width="13.42578125" style="1" bestFit="1" customWidth="1"/>
    <col min="3857" max="3857" width="16.140625" style="1" bestFit="1" customWidth="1"/>
    <col min="3858" max="3858" width="10.85546875" style="1" bestFit="1" customWidth="1"/>
    <col min="3859" max="3860" width="26" style="1" bestFit="1" customWidth="1"/>
    <col min="3861" max="3861" width="8.5703125" style="1" bestFit="1" customWidth="1"/>
    <col min="3862" max="4096" width="9.140625" style="1"/>
    <col min="4097" max="4097" width="8.7109375" style="1" customWidth="1"/>
    <col min="4098" max="4099" width="17.7109375" style="1" customWidth="1"/>
    <col min="4100" max="4100" width="10.7109375" style="1" customWidth="1"/>
    <col min="4101" max="4101" width="15.7109375" style="1" customWidth="1"/>
    <col min="4102" max="4103" width="17.7109375" style="1" customWidth="1"/>
    <col min="4104" max="4106" width="10.7109375" style="1" customWidth="1"/>
    <col min="4107" max="4109" width="9.140625" style="1"/>
    <col min="4110" max="4110" width="6" style="1" bestFit="1" customWidth="1"/>
    <col min="4111" max="4111" width="6.7109375" style="1" bestFit="1" customWidth="1"/>
    <col min="4112" max="4112" width="13.42578125" style="1" bestFit="1" customWidth="1"/>
    <col min="4113" max="4113" width="16.140625" style="1" bestFit="1" customWidth="1"/>
    <col min="4114" max="4114" width="10.85546875" style="1" bestFit="1" customWidth="1"/>
    <col min="4115" max="4116" width="26" style="1" bestFit="1" customWidth="1"/>
    <col min="4117" max="4117" width="8.5703125" style="1" bestFit="1" customWidth="1"/>
    <col min="4118" max="4352" width="9.140625" style="1"/>
    <col min="4353" max="4353" width="8.7109375" style="1" customWidth="1"/>
    <col min="4354" max="4355" width="17.7109375" style="1" customWidth="1"/>
    <col min="4356" max="4356" width="10.7109375" style="1" customWidth="1"/>
    <col min="4357" max="4357" width="15.7109375" style="1" customWidth="1"/>
    <col min="4358" max="4359" width="17.7109375" style="1" customWidth="1"/>
    <col min="4360" max="4362" width="10.7109375" style="1" customWidth="1"/>
    <col min="4363" max="4365" width="9.140625" style="1"/>
    <col min="4366" max="4366" width="6" style="1" bestFit="1" customWidth="1"/>
    <col min="4367" max="4367" width="6.7109375" style="1" bestFit="1" customWidth="1"/>
    <col min="4368" max="4368" width="13.42578125" style="1" bestFit="1" customWidth="1"/>
    <col min="4369" max="4369" width="16.140625" style="1" bestFit="1" customWidth="1"/>
    <col min="4370" max="4370" width="10.85546875" style="1" bestFit="1" customWidth="1"/>
    <col min="4371" max="4372" width="26" style="1" bestFit="1" customWidth="1"/>
    <col min="4373" max="4373" width="8.5703125" style="1" bestFit="1" customWidth="1"/>
    <col min="4374" max="4608" width="9.140625" style="1"/>
    <col min="4609" max="4609" width="8.7109375" style="1" customWidth="1"/>
    <col min="4610" max="4611" width="17.7109375" style="1" customWidth="1"/>
    <col min="4612" max="4612" width="10.7109375" style="1" customWidth="1"/>
    <col min="4613" max="4613" width="15.7109375" style="1" customWidth="1"/>
    <col min="4614" max="4615" width="17.7109375" style="1" customWidth="1"/>
    <col min="4616" max="4618" width="10.7109375" style="1" customWidth="1"/>
    <col min="4619" max="4621" width="9.140625" style="1"/>
    <col min="4622" max="4622" width="6" style="1" bestFit="1" customWidth="1"/>
    <col min="4623" max="4623" width="6.7109375" style="1" bestFit="1" customWidth="1"/>
    <col min="4624" max="4624" width="13.42578125" style="1" bestFit="1" customWidth="1"/>
    <col min="4625" max="4625" width="16.140625" style="1" bestFit="1" customWidth="1"/>
    <col min="4626" max="4626" width="10.85546875" style="1" bestFit="1" customWidth="1"/>
    <col min="4627" max="4628" width="26" style="1" bestFit="1" customWidth="1"/>
    <col min="4629" max="4629" width="8.5703125" style="1" bestFit="1" customWidth="1"/>
    <col min="4630" max="4864" width="9.140625" style="1"/>
    <col min="4865" max="4865" width="8.7109375" style="1" customWidth="1"/>
    <col min="4866" max="4867" width="17.7109375" style="1" customWidth="1"/>
    <col min="4868" max="4868" width="10.7109375" style="1" customWidth="1"/>
    <col min="4869" max="4869" width="15.7109375" style="1" customWidth="1"/>
    <col min="4870" max="4871" width="17.7109375" style="1" customWidth="1"/>
    <col min="4872" max="4874" width="10.7109375" style="1" customWidth="1"/>
    <col min="4875" max="4877" width="9.140625" style="1"/>
    <col min="4878" max="4878" width="6" style="1" bestFit="1" customWidth="1"/>
    <col min="4879" max="4879" width="6.7109375" style="1" bestFit="1" customWidth="1"/>
    <col min="4880" max="4880" width="13.42578125" style="1" bestFit="1" customWidth="1"/>
    <col min="4881" max="4881" width="16.140625" style="1" bestFit="1" customWidth="1"/>
    <col min="4882" max="4882" width="10.85546875" style="1" bestFit="1" customWidth="1"/>
    <col min="4883" max="4884" width="26" style="1" bestFit="1" customWidth="1"/>
    <col min="4885" max="4885" width="8.5703125" style="1" bestFit="1" customWidth="1"/>
    <col min="4886" max="5120" width="9.140625" style="1"/>
    <col min="5121" max="5121" width="8.7109375" style="1" customWidth="1"/>
    <col min="5122" max="5123" width="17.7109375" style="1" customWidth="1"/>
    <col min="5124" max="5124" width="10.7109375" style="1" customWidth="1"/>
    <col min="5125" max="5125" width="15.7109375" style="1" customWidth="1"/>
    <col min="5126" max="5127" width="17.7109375" style="1" customWidth="1"/>
    <col min="5128" max="5130" width="10.7109375" style="1" customWidth="1"/>
    <col min="5131" max="5133" width="9.140625" style="1"/>
    <col min="5134" max="5134" width="6" style="1" bestFit="1" customWidth="1"/>
    <col min="5135" max="5135" width="6.7109375" style="1" bestFit="1" customWidth="1"/>
    <col min="5136" max="5136" width="13.42578125" style="1" bestFit="1" customWidth="1"/>
    <col min="5137" max="5137" width="16.140625" style="1" bestFit="1" customWidth="1"/>
    <col min="5138" max="5138" width="10.85546875" style="1" bestFit="1" customWidth="1"/>
    <col min="5139" max="5140" width="26" style="1" bestFit="1" customWidth="1"/>
    <col min="5141" max="5141" width="8.5703125" style="1" bestFit="1" customWidth="1"/>
    <col min="5142" max="5376" width="9.140625" style="1"/>
    <col min="5377" max="5377" width="8.7109375" style="1" customWidth="1"/>
    <col min="5378" max="5379" width="17.7109375" style="1" customWidth="1"/>
    <col min="5380" max="5380" width="10.7109375" style="1" customWidth="1"/>
    <col min="5381" max="5381" width="15.7109375" style="1" customWidth="1"/>
    <col min="5382" max="5383" width="17.7109375" style="1" customWidth="1"/>
    <col min="5384" max="5386" width="10.7109375" style="1" customWidth="1"/>
    <col min="5387" max="5389" width="9.140625" style="1"/>
    <col min="5390" max="5390" width="6" style="1" bestFit="1" customWidth="1"/>
    <col min="5391" max="5391" width="6.7109375" style="1" bestFit="1" customWidth="1"/>
    <col min="5392" max="5392" width="13.42578125" style="1" bestFit="1" customWidth="1"/>
    <col min="5393" max="5393" width="16.140625" style="1" bestFit="1" customWidth="1"/>
    <col min="5394" max="5394" width="10.85546875" style="1" bestFit="1" customWidth="1"/>
    <col min="5395" max="5396" width="26" style="1" bestFit="1" customWidth="1"/>
    <col min="5397" max="5397" width="8.5703125" style="1" bestFit="1" customWidth="1"/>
    <col min="5398" max="5632" width="9.140625" style="1"/>
    <col min="5633" max="5633" width="8.7109375" style="1" customWidth="1"/>
    <col min="5634" max="5635" width="17.7109375" style="1" customWidth="1"/>
    <col min="5636" max="5636" width="10.7109375" style="1" customWidth="1"/>
    <col min="5637" max="5637" width="15.7109375" style="1" customWidth="1"/>
    <col min="5638" max="5639" width="17.7109375" style="1" customWidth="1"/>
    <col min="5640" max="5642" width="10.7109375" style="1" customWidth="1"/>
    <col min="5643" max="5645" width="9.140625" style="1"/>
    <col min="5646" max="5646" width="6" style="1" bestFit="1" customWidth="1"/>
    <col min="5647" max="5647" width="6.7109375" style="1" bestFit="1" customWidth="1"/>
    <col min="5648" max="5648" width="13.42578125" style="1" bestFit="1" customWidth="1"/>
    <col min="5649" max="5649" width="16.140625" style="1" bestFit="1" customWidth="1"/>
    <col min="5650" max="5650" width="10.85546875" style="1" bestFit="1" customWidth="1"/>
    <col min="5651" max="5652" width="26" style="1" bestFit="1" customWidth="1"/>
    <col min="5653" max="5653" width="8.5703125" style="1" bestFit="1" customWidth="1"/>
    <col min="5654" max="5888" width="9.140625" style="1"/>
    <col min="5889" max="5889" width="8.7109375" style="1" customWidth="1"/>
    <col min="5890" max="5891" width="17.7109375" style="1" customWidth="1"/>
    <col min="5892" max="5892" width="10.7109375" style="1" customWidth="1"/>
    <col min="5893" max="5893" width="15.7109375" style="1" customWidth="1"/>
    <col min="5894" max="5895" width="17.7109375" style="1" customWidth="1"/>
    <col min="5896" max="5898" width="10.7109375" style="1" customWidth="1"/>
    <col min="5899" max="5901" width="9.140625" style="1"/>
    <col min="5902" max="5902" width="6" style="1" bestFit="1" customWidth="1"/>
    <col min="5903" max="5903" width="6.7109375" style="1" bestFit="1" customWidth="1"/>
    <col min="5904" max="5904" width="13.42578125" style="1" bestFit="1" customWidth="1"/>
    <col min="5905" max="5905" width="16.140625" style="1" bestFit="1" customWidth="1"/>
    <col min="5906" max="5906" width="10.85546875" style="1" bestFit="1" customWidth="1"/>
    <col min="5907" max="5908" width="26" style="1" bestFit="1" customWidth="1"/>
    <col min="5909" max="5909" width="8.5703125" style="1" bestFit="1" customWidth="1"/>
    <col min="5910" max="6144" width="9.140625" style="1"/>
    <col min="6145" max="6145" width="8.7109375" style="1" customWidth="1"/>
    <col min="6146" max="6147" width="17.7109375" style="1" customWidth="1"/>
    <col min="6148" max="6148" width="10.7109375" style="1" customWidth="1"/>
    <col min="6149" max="6149" width="15.7109375" style="1" customWidth="1"/>
    <col min="6150" max="6151" width="17.7109375" style="1" customWidth="1"/>
    <col min="6152" max="6154" width="10.7109375" style="1" customWidth="1"/>
    <col min="6155" max="6157" width="9.140625" style="1"/>
    <col min="6158" max="6158" width="6" style="1" bestFit="1" customWidth="1"/>
    <col min="6159" max="6159" width="6.7109375" style="1" bestFit="1" customWidth="1"/>
    <col min="6160" max="6160" width="13.42578125" style="1" bestFit="1" customWidth="1"/>
    <col min="6161" max="6161" width="16.140625" style="1" bestFit="1" customWidth="1"/>
    <col min="6162" max="6162" width="10.85546875" style="1" bestFit="1" customWidth="1"/>
    <col min="6163" max="6164" width="26" style="1" bestFit="1" customWidth="1"/>
    <col min="6165" max="6165" width="8.5703125" style="1" bestFit="1" customWidth="1"/>
    <col min="6166" max="6400" width="9.140625" style="1"/>
    <col min="6401" max="6401" width="8.7109375" style="1" customWidth="1"/>
    <col min="6402" max="6403" width="17.7109375" style="1" customWidth="1"/>
    <col min="6404" max="6404" width="10.7109375" style="1" customWidth="1"/>
    <col min="6405" max="6405" width="15.7109375" style="1" customWidth="1"/>
    <col min="6406" max="6407" width="17.7109375" style="1" customWidth="1"/>
    <col min="6408" max="6410" width="10.7109375" style="1" customWidth="1"/>
    <col min="6411" max="6413" width="9.140625" style="1"/>
    <col min="6414" max="6414" width="6" style="1" bestFit="1" customWidth="1"/>
    <col min="6415" max="6415" width="6.7109375" style="1" bestFit="1" customWidth="1"/>
    <col min="6416" max="6416" width="13.42578125" style="1" bestFit="1" customWidth="1"/>
    <col min="6417" max="6417" width="16.140625" style="1" bestFit="1" customWidth="1"/>
    <col min="6418" max="6418" width="10.85546875" style="1" bestFit="1" customWidth="1"/>
    <col min="6419" max="6420" width="26" style="1" bestFit="1" customWidth="1"/>
    <col min="6421" max="6421" width="8.5703125" style="1" bestFit="1" customWidth="1"/>
    <col min="6422" max="6656" width="9.140625" style="1"/>
    <col min="6657" max="6657" width="8.7109375" style="1" customWidth="1"/>
    <col min="6658" max="6659" width="17.7109375" style="1" customWidth="1"/>
    <col min="6660" max="6660" width="10.7109375" style="1" customWidth="1"/>
    <col min="6661" max="6661" width="15.7109375" style="1" customWidth="1"/>
    <col min="6662" max="6663" width="17.7109375" style="1" customWidth="1"/>
    <col min="6664" max="6666" width="10.7109375" style="1" customWidth="1"/>
    <col min="6667" max="6669" width="9.140625" style="1"/>
    <col min="6670" max="6670" width="6" style="1" bestFit="1" customWidth="1"/>
    <col min="6671" max="6671" width="6.7109375" style="1" bestFit="1" customWidth="1"/>
    <col min="6672" max="6672" width="13.42578125" style="1" bestFit="1" customWidth="1"/>
    <col min="6673" max="6673" width="16.140625" style="1" bestFit="1" customWidth="1"/>
    <col min="6674" max="6674" width="10.85546875" style="1" bestFit="1" customWidth="1"/>
    <col min="6675" max="6676" width="26" style="1" bestFit="1" customWidth="1"/>
    <col min="6677" max="6677" width="8.5703125" style="1" bestFit="1" customWidth="1"/>
    <col min="6678" max="6912" width="9.140625" style="1"/>
    <col min="6913" max="6913" width="8.7109375" style="1" customWidth="1"/>
    <col min="6914" max="6915" width="17.7109375" style="1" customWidth="1"/>
    <col min="6916" max="6916" width="10.7109375" style="1" customWidth="1"/>
    <col min="6917" max="6917" width="15.7109375" style="1" customWidth="1"/>
    <col min="6918" max="6919" width="17.7109375" style="1" customWidth="1"/>
    <col min="6920" max="6922" width="10.7109375" style="1" customWidth="1"/>
    <col min="6923" max="6925" width="9.140625" style="1"/>
    <col min="6926" max="6926" width="6" style="1" bestFit="1" customWidth="1"/>
    <col min="6927" max="6927" width="6.7109375" style="1" bestFit="1" customWidth="1"/>
    <col min="6928" max="6928" width="13.42578125" style="1" bestFit="1" customWidth="1"/>
    <col min="6929" max="6929" width="16.140625" style="1" bestFit="1" customWidth="1"/>
    <col min="6930" max="6930" width="10.85546875" style="1" bestFit="1" customWidth="1"/>
    <col min="6931" max="6932" width="26" style="1" bestFit="1" customWidth="1"/>
    <col min="6933" max="6933" width="8.5703125" style="1" bestFit="1" customWidth="1"/>
    <col min="6934" max="7168" width="9.140625" style="1"/>
    <col min="7169" max="7169" width="8.7109375" style="1" customWidth="1"/>
    <col min="7170" max="7171" width="17.7109375" style="1" customWidth="1"/>
    <col min="7172" max="7172" width="10.7109375" style="1" customWidth="1"/>
    <col min="7173" max="7173" width="15.7109375" style="1" customWidth="1"/>
    <col min="7174" max="7175" width="17.7109375" style="1" customWidth="1"/>
    <col min="7176" max="7178" width="10.7109375" style="1" customWidth="1"/>
    <col min="7179" max="7181" width="9.140625" style="1"/>
    <col min="7182" max="7182" width="6" style="1" bestFit="1" customWidth="1"/>
    <col min="7183" max="7183" width="6.7109375" style="1" bestFit="1" customWidth="1"/>
    <col min="7184" max="7184" width="13.42578125" style="1" bestFit="1" customWidth="1"/>
    <col min="7185" max="7185" width="16.140625" style="1" bestFit="1" customWidth="1"/>
    <col min="7186" max="7186" width="10.85546875" style="1" bestFit="1" customWidth="1"/>
    <col min="7187" max="7188" width="26" style="1" bestFit="1" customWidth="1"/>
    <col min="7189" max="7189" width="8.5703125" style="1" bestFit="1" customWidth="1"/>
    <col min="7190" max="7424" width="9.140625" style="1"/>
    <col min="7425" max="7425" width="8.7109375" style="1" customWidth="1"/>
    <col min="7426" max="7427" width="17.7109375" style="1" customWidth="1"/>
    <col min="7428" max="7428" width="10.7109375" style="1" customWidth="1"/>
    <col min="7429" max="7429" width="15.7109375" style="1" customWidth="1"/>
    <col min="7430" max="7431" width="17.7109375" style="1" customWidth="1"/>
    <col min="7432" max="7434" width="10.7109375" style="1" customWidth="1"/>
    <col min="7435" max="7437" width="9.140625" style="1"/>
    <col min="7438" max="7438" width="6" style="1" bestFit="1" customWidth="1"/>
    <col min="7439" max="7439" width="6.7109375" style="1" bestFit="1" customWidth="1"/>
    <col min="7440" max="7440" width="13.42578125" style="1" bestFit="1" customWidth="1"/>
    <col min="7441" max="7441" width="16.140625" style="1" bestFit="1" customWidth="1"/>
    <col min="7442" max="7442" width="10.85546875" style="1" bestFit="1" customWidth="1"/>
    <col min="7443" max="7444" width="26" style="1" bestFit="1" customWidth="1"/>
    <col min="7445" max="7445" width="8.5703125" style="1" bestFit="1" customWidth="1"/>
    <col min="7446" max="7680" width="9.140625" style="1"/>
    <col min="7681" max="7681" width="8.7109375" style="1" customWidth="1"/>
    <col min="7682" max="7683" width="17.7109375" style="1" customWidth="1"/>
    <col min="7684" max="7684" width="10.7109375" style="1" customWidth="1"/>
    <col min="7685" max="7685" width="15.7109375" style="1" customWidth="1"/>
    <col min="7686" max="7687" width="17.7109375" style="1" customWidth="1"/>
    <col min="7688" max="7690" width="10.7109375" style="1" customWidth="1"/>
    <col min="7691" max="7693" width="9.140625" style="1"/>
    <col min="7694" max="7694" width="6" style="1" bestFit="1" customWidth="1"/>
    <col min="7695" max="7695" width="6.7109375" style="1" bestFit="1" customWidth="1"/>
    <col min="7696" max="7696" width="13.42578125" style="1" bestFit="1" customWidth="1"/>
    <col min="7697" max="7697" width="16.140625" style="1" bestFit="1" customWidth="1"/>
    <col min="7698" max="7698" width="10.85546875" style="1" bestFit="1" customWidth="1"/>
    <col min="7699" max="7700" width="26" style="1" bestFit="1" customWidth="1"/>
    <col min="7701" max="7701" width="8.5703125" style="1" bestFit="1" customWidth="1"/>
    <col min="7702" max="7936" width="9.140625" style="1"/>
    <col min="7937" max="7937" width="8.7109375" style="1" customWidth="1"/>
    <col min="7938" max="7939" width="17.7109375" style="1" customWidth="1"/>
    <col min="7940" max="7940" width="10.7109375" style="1" customWidth="1"/>
    <col min="7941" max="7941" width="15.7109375" style="1" customWidth="1"/>
    <col min="7942" max="7943" width="17.7109375" style="1" customWidth="1"/>
    <col min="7944" max="7946" width="10.7109375" style="1" customWidth="1"/>
    <col min="7947" max="7949" width="9.140625" style="1"/>
    <col min="7950" max="7950" width="6" style="1" bestFit="1" customWidth="1"/>
    <col min="7951" max="7951" width="6.7109375" style="1" bestFit="1" customWidth="1"/>
    <col min="7952" max="7952" width="13.42578125" style="1" bestFit="1" customWidth="1"/>
    <col min="7953" max="7953" width="16.140625" style="1" bestFit="1" customWidth="1"/>
    <col min="7954" max="7954" width="10.85546875" style="1" bestFit="1" customWidth="1"/>
    <col min="7955" max="7956" width="26" style="1" bestFit="1" customWidth="1"/>
    <col min="7957" max="7957" width="8.5703125" style="1" bestFit="1" customWidth="1"/>
    <col min="7958" max="8192" width="9.140625" style="1"/>
    <col min="8193" max="8193" width="8.7109375" style="1" customWidth="1"/>
    <col min="8194" max="8195" width="17.7109375" style="1" customWidth="1"/>
    <col min="8196" max="8196" width="10.7109375" style="1" customWidth="1"/>
    <col min="8197" max="8197" width="15.7109375" style="1" customWidth="1"/>
    <col min="8198" max="8199" width="17.7109375" style="1" customWidth="1"/>
    <col min="8200" max="8202" width="10.7109375" style="1" customWidth="1"/>
    <col min="8203" max="8205" width="9.140625" style="1"/>
    <col min="8206" max="8206" width="6" style="1" bestFit="1" customWidth="1"/>
    <col min="8207" max="8207" width="6.7109375" style="1" bestFit="1" customWidth="1"/>
    <col min="8208" max="8208" width="13.42578125" style="1" bestFit="1" customWidth="1"/>
    <col min="8209" max="8209" width="16.140625" style="1" bestFit="1" customWidth="1"/>
    <col min="8210" max="8210" width="10.85546875" style="1" bestFit="1" customWidth="1"/>
    <col min="8211" max="8212" width="26" style="1" bestFit="1" customWidth="1"/>
    <col min="8213" max="8213" width="8.5703125" style="1" bestFit="1" customWidth="1"/>
    <col min="8214" max="8448" width="9.140625" style="1"/>
    <col min="8449" max="8449" width="8.7109375" style="1" customWidth="1"/>
    <col min="8450" max="8451" width="17.7109375" style="1" customWidth="1"/>
    <col min="8452" max="8452" width="10.7109375" style="1" customWidth="1"/>
    <col min="8453" max="8453" width="15.7109375" style="1" customWidth="1"/>
    <col min="8454" max="8455" width="17.7109375" style="1" customWidth="1"/>
    <col min="8456" max="8458" width="10.7109375" style="1" customWidth="1"/>
    <col min="8459" max="8461" width="9.140625" style="1"/>
    <col min="8462" max="8462" width="6" style="1" bestFit="1" customWidth="1"/>
    <col min="8463" max="8463" width="6.7109375" style="1" bestFit="1" customWidth="1"/>
    <col min="8464" max="8464" width="13.42578125" style="1" bestFit="1" customWidth="1"/>
    <col min="8465" max="8465" width="16.140625" style="1" bestFit="1" customWidth="1"/>
    <col min="8466" max="8466" width="10.85546875" style="1" bestFit="1" customWidth="1"/>
    <col min="8467" max="8468" width="26" style="1" bestFit="1" customWidth="1"/>
    <col min="8469" max="8469" width="8.5703125" style="1" bestFit="1" customWidth="1"/>
    <col min="8470" max="8704" width="9.140625" style="1"/>
    <col min="8705" max="8705" width="8.7109375" style="1" customWidth="1"/>
    <col min="8706" max="8707" width="17.7109375" style="1" customWidth="1"/>
    <col min="8708" max="8708" width="10.7109375" style="1" customWidth="1"/>
    <col min="8709" max="8709" width="15.7109375" style="1" customWidth="1"/>
    <col min="8710" max="8711" width="17.7109375" style="1" customWidth="1"/>
    <col min="8712" max="8714" width="10.7109375" style="1" customWidth="1"/>
    <col min="8715" max="8717" width="9.140625" style="1"/>
    <col min="8718" max="8718" width="6" style="1" bestFit="1" customWidth="1"/>
    <col min="8719" max="8719" width="6.7109375" style="1" bestFit="1" customWidth="1"/>
    <col min="8720" max="8720" width="13.42578125" style="1" bestFit="1" customWidth="1"/>
    <col min="8721" max="8721" width="16.140625" style="1" bestFit="1" customWidth="1"/>
    <col min="8722" max="8722" width="10.85546875" style="1" bestFit="1" customWidth="1"/>
    <col min="8723" max="8724" width="26" style="1" bestFit="1" customWidth="1"/>
    <col min="8725" max="8725" width="8.5703125" style="1" bestFit="1" customWidth="1"/>
    <col min="8726" max="8960" width="9.140625" style="1"/>
    <col min="8961" max="8961" width="8.7109375" style="1" customWidth="1"/>
    <col min="8962" max="8963" width="17.7109375" style="1" customWidth="1"/>
    <col min="8964" max="8964" width="10.7109375" style="1" customWidth="1"/>
    <col min="8965" max="8965" width="15.7109375" style="1" customWidth="1"/>
    <col min="8966" max="8967" width="17.7109375" style="1" customWidth="1"/>
    <col min="8968" max="8970" width="10.7109375" style="1" customWidth="1"/>
    <col min="8971" max="8973" width="9.140625" style="1"/>
    <col min="8974" max="8974" width="6" style="1" bestFit="1" customWidth="1"/>
    <col min="8975" max="8975" width="6.7109375" style="1" bestFit="1" customWidth="1"/>
    <col min="8976" max="8976" width="13.42578125" style="1" bestFit="1" customWidth="1"/>
    <col min="8977" max="8977" width="16.140625" style="1" bestFit="1" customWidth="1"/>
    <col min="8978" max="8978" width="10.85546875" style="1" bestFit="1" customWidth="1"/>
    <col min="8979" max="8980" width="26" style="1" bestFit="1" customWidth="1"/>
    <col min="8981" max="8981" width="8.5703125" style="1" bestFit="1" customWidth="1"/>
    <col min="8982" max="9216" width="9.140625" style="1"/>
    <col min="9217" max="9217" width="8.7109375" style="1" customWidth="1"/>
    <col min="9218" max="9219" width="17.7109375" style="1" customWidth="1"/>
    <col min="9220" max="9220" width="10.7109375" style="1" customWidth="1"/>
    <col min="9221" max="9221" width="15.7109375" style="1" customWidth="1"/>
    <col min="9222" max="9223" width="17.7109375" style="1" customWidth="1"/>
    <col min="9224" max="9226" width="10.7109375" style="1" customWidth="1"/>
    <col min="9227" max="9229" width="9.140625" style="1"/>
    <col min="9230" max="9230" width="6" style="1" bestFit="1" customWidth="1"/>
    <col min="9231" max="9231" width="6.7109375" style="1" bestFit="1" customWidth="1"/>
    <col min="9232" max="9232" width="13.42578125" style="1" bestFit="1" customWidth="1"/>
    <col min="9233" max="9233" width="16.140625" style="1" bestFit="1" customWidth="1"/>
    <col min="9234" max="9234" width="10.85546875" style="1" bestFit="1" customWidth="1"/>
    <col min="9235" max="9236" width="26" style="1" bestFit="1" customWidth="1"/>
    <col min="9237" max="9237" width="8.5703125" style="1" bestFit="1" customWidth="1"/>
    <col min="9238" max="9472" width="9.140625" style="1"/>
    <col min="9473" max="9473" width="8.7109375" style="1" customWidth="1"/>
    <col min="9474" max="9475" width="17.7109375" style="1" customWidth="1"/>
    <col min="9476" max="9476" width="10.7109375" style="1" customWidth="1"/>
    <col min="9477" max="9477" width="15.7109375" style="1" customWidth="1"/>
    <col min="9478" max="9479" width="17.7109375" style="1" customWidth="1"/>
    <col min="9480" max="9482" width="10.7109375" style="1" customWidth="1"/>
    <col min="9483" max="9485" width="9.140625" style="1"/>
    <col min="9486" max="9486" width="6" style="1" bestFit="1" customWidth="1"/>
    <col min="9487" max="9487" width="6.7109375" style="1" bestFit="1" customWidth="1"/>
    <col min="9488" max="9488" width="13.42578125" style="1" bestFit="1" customWidth="1"/>
    <col min="9489" max="9489" width="16.140625" style="1" bestFit="1" customWidth="1"/>
    <col min="9490" max="9490" width="10.85546875" style="1" bestFit="1" customWidth="1"/>
    <col min="9491" max="9492" width="26" style="1" bestFit="1" customWidth="1"/>
    <col min="9493" max="9493" width="8.5703125" style="1" bestFit="1" customWidth="1"/>
    <col min="9494" max="9728" width="9.140625" style="1"/>
    <col min="9729" max="9729" width="8.7109375" style="1" customWidth="1"/>
    <col min="9730" max="9731" width="17.7109375" style="1" customWidth="1"/>
    <col min="9732" max="9732" width="10.7109375" style="1" customWidth="1"/>
    <col min="9733" max="9733" width="15.7109375" style="1" customWidth="1"/>
    <col min="9734" max="9735" width="17.7109375" style="1" customWidth="1"/>
    <col min="9736" max="9738" width="10.7109375" style="1" customWidth="1"/>
    <col min="9739" max="9741" width="9.140625" style="1"/>
    <col min="9742" max="9742" width="6" style="1" bestFit="1" customWidth="1"/>
    <col min="9743" max="9743" width="6.7109375" style="1" bestFit="1" customWidth="1"/>
    <col min="9744" max="9744" width="13.42578125" style="1" bestFit="1" customWidth="1"/>
    <col min="9745" max="9745" width="16.140625" style="1" bestFit="1" customWidth="1"/>
    <col min="9746" max="9746" width="10.85546875" style="1" bestFit="1" customWidth="1"/>
    <col min="9747" max="9748" width="26" style="1" bestFit="1" customWidth="1"/>
    <col min="9749" max="9749" width="8.5703125" style="1" bestFit="1" customWidth="1"/>
    <col min="9750" max="9984" width="9.140625" style="1"/>
    <col min="9985" max="9985" width="8.7109375" style="1" customWidth="1"/>
    <col min="9986" max="9987" width="17.7109375" style="1" customWidth="1"/>
    <col min="9988" max="9988" width="10.7109375" style="1" customWidth="1"/>
    <col min="9989" max="9989" width="15.7109375" style="1" customWidth="1"/>
    <col min="9990" max="9991" width="17.7109375" style="1" customWidth="1"/>
    <col min="9992" max="9994" width="10.7109375" style="1" customWidth="1"/>
    <col min="9995" max="9997" width="9.140625" style="1"/>
    <col min="9998" max="9998" width="6" style="1" bestFit="1" customWidth="1"/>
    <col min="9999" max="9999" width="6.7109375" style="1" bestFit="1" customWidth="1"/>
    <col min="10000" max="10000" width="13.42578125" style="1" bestFit="1" customWidth="1"/>
    <col min="10001" max="10001" width="16.140625" style="1" bestFit="1" customWidth="1"/>
    <col min="10002" max="10002" width="10.85546875" style="1" bestFit="1" customWidth="1"/>
    <col min="10003" max="10004" width="26" style="1" bestFit="1" customWidth="1"/>
    <col min="10005" max="10005" width="8.5703125" style="1" bestFit="1" customWidth="1"/>
    <col min="10006" max="10240" width="9.140625" style="1"/>
    <col min="10241" max="10241" width="8.7109375" style="1" customWidth="1"/>
    <col min="10242" max="10243" width="17.7109375" style="1" customWidth="1"/>
    <col min="10244" max="10244" width="10.7109375" style="1" customWidth="1"/>
    <col min="10245" max="10245" width="15.7109375" style="1" customWidth="1"/>
    <col min="10246" max="10247" width="17.7109375" style="1" customWidth="1"/>
    <col min="10248" max="10250" width="10.7109375" style="1" customWidth="1"/>
    <col min="10251" max="10253" width="9.140625" style="1"/>
    <col min="10254" max="10254" width="6" style="1" bestFit="1" customWidth="1"/>
    <col min="10255" max="10255" width="6.7109375" style="1" bestFit="1" customWidth="1"/>
    <col min="10256" max="10256" width="13.42578125" style="1" bestFit="1" customWidth="1"/>
    <col min="10257" max="10257" width="16.140625" style="1" bestFit="1" customWidth="1"/>
    <col min="10258" max="10258" width="10.85546875" style="1" bestFit="1" customWidth="1"/>
    <col min="10259" max="10260" width="26" style="1" bestFit="1" customWidth="1"/>
    <col min="10261" max="10261" width="8.5703125" style="1" bestFit="1" customWidth="1"/>
    <col min="10262" max="10496" width="9.140625" style="1"/>
    <col min="10497" max="10497" width="8.7109375" style="1" customWidth="1"/>
    <col min="10498" max="10499" width="17.7109375" style="1" customWidth="1"/>
    <col min="10500" max="10500" width="10.7109375" style="1" customWidth="1"/>
    <col min="10501" max="10501" width="15.7109375" style="1" customWidth="1"/>
    <col min="10502" max="10503" width="17.7109375" style="1" customWidth="1"/>
    <col min="10504" max="10506" width="10.7109375" style="1" customWidth="1"/>
    <col min="10507" max="10509" width="9.140625" style="1"/>
    <col min="10510" max="10510" width="6" style="1" bestFit="1" customWidth="1"/>
    <col min="10511" max="10511" width="6.7109375" style="1" bestFit="1" customWidth="1"/>
    <col min="10512" max="10512" width="13.42578125" style="1" bestFit="1" customWidth="1"/>
    <col min="10513" max="10513" width="16.140625" style="1" bestFit="1" customWidth="1"/>
    <col min="10514" max="10514" width="10.85546875" style="1" bestFit="1" customWidth="1"/>
    <col min="10515" max="10516" width="26" style="1" bestFit="1" customWidth="1"/>
    <col min="10517" max="10517" width="8.5703125" style="1" bestFit="1" customWidth="1"/>
    <col min="10518" max="10752" width="9.140625" style="1"/>
    <col min="10753" max="10753" width="8.7109375" style="1" customWidth="1"/>
    <col min="10754" max="10755" width="17.7109375" style="1" customWidth="1"/>
    <col min="10756" max="10756" width="10.7109375" style="1" customWidth="1"/>
    <col min="10757" max="10757" width="15.7109375" style="1" customWidth="1"/>
    <col min="10758" max="10759" width="17.7109375" style="1" customWidth="1"/>
    <col min="10760" max="10762" width="10.7109375" style="1" customWidth="1"/>
    <col min="10763" max="10765" width="9.140625" style="1"/>
    <col min="10766" max="10766" width="6" style="1" bestFit="1" customWidth="1"/>
    <col min="10767" max="10767" width="6.7109375" style="1" bestFit="1" customWidth="1"/>
    <col min="10768" max="10768" width="13.42578125" style="1" bestFit="1" customWidth="1"/>
    <col min="10769" max="10769" width="16.140625" style="1" bestFit="1" customWidth="1"/>
    <col min="10770" max="10770" width="10.85546875" style="1" bestFit="1" customWidth="1"/>
    <col min="10771" max="10772" width="26" style="1" bestFit="1" customWidth="1"/>
    <col min="10773" max="10773" width="8.5703125" style="1" bestFit="1" customWidth="1"/>
    <col min="10774" max="11008" width="9.140625" style="1"/>
    <col min="11009" max="11009" width="8.7109375" style="1" customWidth="1"/>
    <col min="11010" max="11011" width="17.7109375" style="1" customWidth="1"/>
    <col min="11012" max="11012" width="10.7109375" style="1" customWidth="1"/>
    <col min="11013" max="11013" width="15.7109375" style="1" customWidth="1"/>
    <col min="11014" max="11015" width="17.7109375" style="1" customWidth="1"/>
    <col min="11016" max="11018" width="10.7109375" style="1" customWidth="1"/>
    <col min="11019" max="11021" width="9.140625" style="1"/>
    <col min="11022" max="11022" width="6" style="1" bestFit="1" customWidth="1"/>
    <col min="11023" max="11023" width="6.7109375" style="1" bestFit="1" customWidth="1"/>
    <col min="11024" max="11024" width="13.42578125" style="1" bestFit="1" customWidth="1"/>
    <col min="11025" max="11025" width="16.140625" style="1" bestFit="1" customWidth="1"/>
    <col min="11026" max="11026" width="10.85546875" style="1" bestFit="1" customWidth="1"/>
    <col min="11027" max="11028" width="26" style="1" bestFit="1" customWidth="1"/>
    <col min="11029" max="11029" width="8.5703125" style="1" bestFit="1" customWidth="1"/>
    <col min="11030" max="11264" width="9.140625" style="1"/>
    <col min="11265" max="11265" width="8.7109375" style="1" customWidth="1"/>
    <col min="11266" max="11267" width="17.7109375" style="1" customWidth="1"/>
    <col min="11268" max="11268" width="10.7109375" style="1" customWidth="1"/>
    <col min="11269" max="11269" width="15.7109375" style="1" customWidth="1"/>
    <col min="11270" max="11271" width="17.7109375" style="1" customWidth="1"/>
    <col min="11272" max="11274" width="10.7109375" style="1" customWidth="1"/>
    <col min="11275" max="11277" width="9.140625" style="1"/>
    <col min="11278" max="11278" width="6" style="1" bestFit="1" customWidth="1"/>
    <col min="11279" max="11279" width="6.7109375" style="1" bestFit="1" customWidth="1"/>
    <col min="11280" max="11280" width="13.42578125" style="1" bestFit="1" customWidth="1"/>
    <col min="11281" max="11281" width="16.140625" style="1" bestFit="1" customWidth="1"/>
    <col min="11282" max="11282" width="10.85546875" style="1" bestFit="1" customWidth="1"/>
    <col min="11283" max="11284" width="26" style="1" bestFit="1" customWidth="1"/>
    <col min="11285" max="11285" width="8.5703125" style="1" bestFit="1" customWidth="1"/>
    <col min="11286" max="11520" width="9.140625" style="1"/>
    <col min="11521" max="11521" width="8.7109375" style="1" customWidth="1"/>
    <col min="11522" max="11523" width="17.7109375" style="1" customWidth="1"/>
    <col min="11524" max="11524" width="10.7109375" style="1" customWidth="1"/>
    <col min="11525" max="11525" width="15.7109375" style="1" customWidth="1"/>
    <col min="11526" max="11527" width="17.7109375" style="1" customWidth="1"/>
    <col min="11528" max="11530" width="10.7109375" style="1" customWidth="1"/>
    <col min="11531" max="11533" width="9.140625" style="1"/>
    <col min="11534" max="11534" width="6" style="1" bestFit="1" customWidth="1"/>
    <col min="11535" max="11535" width="6.7109375" style="1" bestFit="1" customWidth="1"/>
    <col min="11536" max="11536" width="13.42578125" style="1" bestFit="1" customWidth="1"/>
    <col min="11537" max="11537" width="16.140625" style="1" bestFit="1" customWidth="1"/>
    <col min="11538" max="11538" width="10.85546875" style="1" bestFit="1" customWidth="1"/>
    <col min="11539" max="11540" width="26" style="1" bestFit="1" customWidth="1"/>
    <col min="11541" max="11541" width="8.5703125" style="1" bestFit="1" customWidth="1"/>
    <col min="11542" max="11776" width="9.140625" style="1"/>
    <col min="11777" max="11777" width="8.7109375" style="1" customWidth="1"/>
    <col min="11778" max="11779" width="17.7109375" style="1" customWidth="1"/>
    <col min="11780" max="11780" width="10.7109375" style="1" customWidth="1"/>
    <col min="11781" max="11781" width="15.7109375" style="1" customWidth="1"/>
    <col min="11782" max="11783" width="17.7109375" style="1" customWidth="1"/>
    <col min="11784" max="11786" width="10.7109375" style="1" customWidth="1"/>
    <col min="11787" max="11789" width="9.140625" style="1"/>
    <col min="11790" max="11790" width="6" style="1" bestFit="1" customWidth="1"/>
    <col min="11791" max="11791" width="6.7109375" style="1" bestFit="1" customWidth="1"/>
    <col min="11792" max="11792" width="13.42578125" style="1" bestFit="1" customWidth="1"/>
    <col min="11793" max="11793" width="16.140625" style="1" bestFit="1" customWidth="1"/>
    <col min="11794" max="11794" width="10.85546875" style="1" bestFit="1" customWidth="1"/>
    <col min="11795" max="11796" width="26" style="1" bestFit="1" customWidth="1"/>
    <col min="11797" max="11797" width="8.5703125" style="1" bestFit="1" customWidth="1"/>
    <col min="11798" max="12032" width="9.140625" style="1"/>
    <col min="12033" max="12033" width="8.7109375" style="1" customWidth="1"/>
    <col min="12034" max="12035" width="17.7109375" style="1" customWidth="1"/>
    <col min="12036" max="12036" width="10.7109375" style="1" customWidth="1"/>
    <col min="12037" max="12037" width="15.7109375" style="1" customWidth="1"/>
    <col min="12038" max="12039" width="17.7109375" style="1" customWidth="1"/>
    <col min="12040" max="12042" width="10.7109375" style="1" customWidth="1"/>
    <col min="12043" max="12045" width="9.140625" style="1"/>
    <col min="12046" max="12046" width="6" style="1" bestFit="1" customWidth="1"/>
    <col min="12047" max="12047" width="6.7109375" style="1" bestFit="1" customWidth="1"/>
    <col min="12048" max="12048" width="13.42578125" style="1" bestFit="1" customWidth="1"/>
    <col min="12049" max="12049" width="16.140625" style="1" bestFit="1" customWidth="1"/>
    <col min="12050" max="12050" width="10.85546875" style="1" bestFit="1" customWidth="1"/>
    <col min="12051" max="12052" width="26" style="1" bestFit="1" customWidth="1"/>
    <col min="12053" max="12053" width="8.5703125" style="1" bestFit="1" customWidth="1"/>
    <col min="12054" max="12288" width="9.140625" style="1"/>
    <col min="12289" max="12289" width="8.7109375" style="1" customWidth="1"/>
    <col min="12290" max="12291" width="17.7109375" style="1" customWidth="1"/>
    <col min="12292" max="12292" width="10.7109375" style="1" customWidth="1"/>
    <col min="12293" max="12293" width="15.7109375" style="1" customWidth="1"/>
    <col min="12294" max="12295" width="17.7109375" style="1" customWidth="1"/>
    <col min="12296" max="12298" width="10.7109375" style="1" customWidth="1"/>
    <col min="12299" max="12301" width="9.140625" style="1"/>
    <col min="12302" max="12302" width="6" style="1" bestFit="1" customWidth="1"/>
    <col min="12303" max="12303" width="6.7109375" style="1" bestFit="1" customWidth="1"/>
    <col min="12304" max="12304" width="13.42578125" style="1" bestFit="1" customWidth="1"/>
    <col min="12305" max="12305" width="16.140625" style="1" bestFit="1" customWidth="1"/>
    <col min="12306" max="12306" width="10.85546875" style="1" bestFit="1" customWidth="1"/>
    <col min="12307" max="12308" width="26" style="1" bestFit="1" customWidth="1"/>
    <col min="12309" max="12309" width="8.5703125" style="1" bestFit="1" customWidth="1"/>
    <col min="12310" max="12544" width="9.140625" style="1"/>
    <col min="12545" max="12545" width="8.7109375" style="1" customWidth="1"/>
    <col min="12546" max="12547" width="17.7109375" style="1" customWidth="1"/>
    <col min="12548" max="12548" width="10.7109375" style="1" customWidth="1"/>
    <col min="12549" max="12549" width="15.7109375" style="1" customWidth="1"/>
    <col min="12550" max="12551" width="17.7109375" style="1" customWidth="1"/>
    <col min="12552" max="12554" width="10.7109375" style="1" customWidth="1"/>
    <col min="12555" max="12557" width="9.140625" style="1"/>
    <col min="12558" max="12558" width="6" style="1" bestFit="1" customWidth="1"/>
    <col min="12559" max="12559" width="6.7109375" style="1" bestFit="1" customWidth="1"/>
    <col min="12560" max="12560" width="13.42578125" style="1" bestFit="1" customWidth="1"/>
    <col min="12561" max="12561" width="16.140625" style="1" bestFit="1" customWidth="1"/>
    <col min="12562" max="12562" width="10.85546875" style="1" bestFit="1" customWidth="1"/>
    <col min="12563" max="12564" width="26" style="1" bestFit="1" customWidth="1"/>
    <col min="12565" max="12565" width="8.5703125" style="1" bestFit="1" customWidth="1"/>
    <col min="12566" max="12800" width="9.140625" style="1"/>
    <col min="12801" max="12801" width="8.7109375" style="1" customWidth="1"/>
    <col min="12802" max="12803" width="17.7109375" style="1" customWidth="1"/>
    <col min="12804" max="12804" width="10.7109375" style="1" customWidth="1"/>
    <col min="12805" max="12805" width="15.7109375" style="1" customWidth="1"/>
    <col min="12806" max="12807" width="17.7109375" style="1" customWidth="1"/>
    <col min="12808" max="12810" width="10.7109375" style="1" customWidth="1"/>
    <col min="12811" max="12813" width="9.140625" style="1"/>
    <col min="12814" max="12814" width="6" style="1" bestFit="1" customWidth="1"/>
    <col min="12815" max="12815" width="6.7109375" style="1" bestFit="1" customWidth="1"/>
    <col min="12816" max="12816" width="13.42578125" style="1" bestFit="1" customWidth="1"/>
    <col min="12817" max="12817" width="16.140625" style="1" bestFit="1" customWidth="1"/>
    <col min="12818" max="12818" width="10.85546875" style="1" bestFit="1" customWidth="1"/>
    <col min="12819" max="12820" width="26" style="1" bestFit="1" customWidth="1"/>
    <col min="12821" max="12821" width="8.5703125" style="1" bestFit="1" customWidth="1"/>
    <col min="12822" max="13056" width="9.140625" style="1"/>
    <col min="13057" max="13057" width="8.7109375" style="1" customWidth="1"/>
    <col min="13058" max="13059" width="17.7109375" style="1" customWidth="1"/>
    <col min="13060" max="13060" width="10.7109375" style="1" customWidth="1"/>
    <col min="13061" max="13061" width="15.7109375" style="1" customWidth="1"/>
    <col min="13062" max="13063" width="17.7109375" style="1" customWidth="1"/>
    <col min="13064" max="13066" width="10.7109375" style="1" customWidth="1"/>
    <col min="13067" max="13069" width="9.140625" style="1"/>
    <col min="13070" max="13070" width="6" style="1" bestFit="1" customWidth="1"/>
    <col min="13071" max="13071" width="6.7109375" style="1" bestFit="1" customWidth="1"/>
    <col min="13072" max="13072" width="13.42578125" style="1" bestFit="1" customWidth="1"/>
    <col min="13073" max="13073" width="16.140625" style="1" bestFit="1" customWidth="1"/>
    <col min="13074" max="13074" width="10.85546875" style="1" bestFit="1" customWidth="1"/>
    <col min="13075" max="13076" width="26" style="1" bestFit="1" customWidth="1"/>
    <col min="13077" max="13077" width="8.5703125" style="1" bestFit="1" customWidth="1"/>
    <col min="13078" max="13312" width="9.140625" style="1"/>
    <col min="13313" max="13313" width="8.7109375" style="1" customWidth="1"/>
    <col min="13314" max="13315" width="17.7109375" style="1" customWidth="1"/>
    <col min="13316" max="13316" width="10.7109375" style="1" customWidth="1"/>
    <col min="13317" max="13317" width="15.7109375" style="1" customWidth="1"/>
    <col min="13318" max="13319" width="17.7109375" style="1" customWidth="1"/>
    <col min="13320" max="13322" width="10.7109375" style="1" customWidth="1"/>
    <col min="13323" max="13325" width="9.140625" style="1"/>
    <col min="13326" max="13326" width="6" style="1" bestFit="1" customWidth="1"/>
    <col min="13327" max="13327" width="6.7109375" style="1" bestFit="1" customWidth="1"/>
    <col min="13328" max="13328" width="13.42578125" style="1" bestFit="1" customWidth="1"/>
    <col min="13329" max="13329" width="16.140625" style="1" bestFit="1" customWidth="1"/>
    <col min="13330" max="13330" width="10.85546875" style="1" bestFit="1" customWidth="1"/>
    <col min="13331" max="13332" width="26" style="1" bestFit="1" customWidth="1"/>
    <col min="13333" max="13333" width="8.5703125" style="1" bestFit="1" customWidth="1"/>
    <col min="13334" max="13568" width="9.140625" style="1"/>
    <col min="13569" max="13569" width="8.7109375" style="1" customWidth="1"/>
    <col min="13570" max="13571" width="17.7109375" style="1" customWidth="1"/>
    <col min="13572" max="13572" width="10.7109375" style="1" customWidth="1"/>
    <col min="13573" max="13573" width="15.7109375" style="1" customWidth="1"/>
    <col min="13574" max="13575" width="17.7109375" style="1" customWidth="1"/>
    <col min="13576" max="13578" width="10.7109375" style="1" customWidth="1"/>
    <col min="13579" max="13581" width="9.140625" style="1"/>
    <col min="13582" max="13582" width="6" style="1" bestFit="1" customWidth="1"/>
    <col min="13583" max="13583" width="6.7109375" style="1" bestFit="1" customWidth="1"/>
    <col min="13584" max="13584" width="13.42578125" style="1" bestFit="1" customWidth="1"/>
    <col min="13585" max="13585" width="16.140625" style="1" bestFit="1" customWidth="1"/>
    <col min="13586" max="13586" width="10.85546875" style="1" bestFit="1" customWidth="1"/>
    <col min="13587" max="13588" width="26" style="1" bestFit="1" customWidth="1"/>
    <col min="13589" max="13589" width="8.5703125" style="1" bestFit="1" customWidth="1"/>
    <col min="13590" max="13824" width="9.140625" style="1"/>
    <col min="13825" max="13825" width="8.7109375" style="1" customWidth="1"/>
    <col min="13826" max="13827" width="17.7109375" style="1" customWidth="1"/>
    <col min="13828" max="13828" width="10.7109375" style="1" customWidth="1"/>
    <col min="13829" max="13829" width="15.7109375" style="1" customWidth="1"/>
    <col min="13830" max="13831" width="17.7109375" style="1" customWidth="1"/>
    <col min="13832" max="13834" width="10.7109375" style="1" customWidth="1"/>
    <col min="13835" max="13837" width="9.140625" style="1"/>
    <col min="13838" max="13838" width="6" style="1" bestFit="1" customWidth="1"/>
    <col min="13839" max="13839" width="6.7109375" style="1" bestFit="1" customWidth="1"/>
    <col min="13840" max="13840" width="13.42578125" style="1" bestFit="1" customWidth="1"/>
    <col min="13841" max="13841" width="16.140625" style="1" bestFit="1" customWidth="1"/>
    <col min="13842" max="13842" width="10.85546875" style="1" bestFit="1" customWidth="1"/>
    <col min="13843" max="13844" width="26" style="1" bestFit="1" customWidth="1"/>
    <col min="13845" max="13845" width="8.5703125" style="1" bestFit="1" customWidth="1"/>
    <col min="13846" max="14080" width="9.140625" style="1"/>
    <col min="14081" max="14081" width="8.7109375" style="1" customWidth="1"/>
    <col min="14082" max="14083" width="17.7109375" style="1" customWidth="1"/>
    <col min="14084" max="14084" width="10.7109375" style="1" customWidth="1"/>
    <col min="14085" max="14085" width="15.7109375" style="1" customWidth="1"/>
    <col min="14086" max="14087" width="17.7109375" style="1" customWidth="1"/>
    <col min="14088" max="14090" width="10.7109375" style="1" customWidth="1"/>
    <col min="14091" max="14093" width="9.140625" style="1"/>
    <col min="14094" max="14094" width="6" style="1" bestFit="1" customWidth="1"/>
    <col min="14095" max="14095" width="6.7109375" style="1" bestFit="1" customWidth="1"/>
    <col min="14096" max="14096" width="13.42578125" style="1" bestFit="1" customWidth="1"/>
    <col min="14097" max="14097" width="16.140625" style="1" bestFit="1" customWidth="1"/>
    <col min="14098" max="14098" width="10.85546875" style="1" bestFit="1" customWidth="1"/>
    <col min="14099" max="14100" width="26" style="1" bestFit="1" customWidth="1"/>
    <col min="14101" max="14101" width="8.5703125" style="1" bestFit="1" customWidth="1"/>
    <col min="14102" max="14336" width="9.140625" style="1"/>
    <col min="14337" max="14337" width="8.7109375" style="1" customWidth="1"/>
    <col min="14338" max="14339" width="17.7109375" style="1" customWidth="1"/>
    <col min="14340" max="14340" width="10.7109375" style="1" customWidth="1"/>
    <col min="14341" max="14341" width="15.7109375" style="1" customWidth="1"/>
    <col min="14342" max="14343" width="17.7109375" style="1" customWidth="1"/>
    <col min="14344" max="14346" width="10.7109375" style="1" customWidth="1"/>
    <col min="14347" max="14349" width="9.140625" style="1"/>
    <col min="14350" max="14350" width="6" style="1" bestFit="1" customWidth="1"/>
    <col min="14351" max="14351" width="6.7109375" style="1" bestFit="1" customWidth="1"/>
    <col min="14352" max="14352" width="13.42578125" style="1" bestFit="1" customWidth="1"/>
    <col min="14353" max="14353" width="16.140625" style="1" bestFit="1" customWidth="1"/>
    <col min="14354" max="14354" width="10.85546875" style="1" bestFit="1" customWidth="1"/>
    <col min="14355" max="14356" width="26" style="1" bestFit="1" customWidth="1"/>
    <col min="14357" max="14357" width="8.5703125" style="1" bestFit="1" customWidth="1"/>
    <col min="14358" max="14592" width="9.140625" style="1"/>
    <col min="14593" max="14593" width="8.7109375" style="1" customWidth="1"/>
    <col min="14594" max="14595" width="17.7109375" style="1" customWidth="1"/>
    <col min="14596" max="14596" width="10.7109375" style="1" customWidth="1"/>
    <col min="14597" max="14597" width="15.7109375" style="1" customWidth="1"/>
    <col min="14598" max="14599" width="17.7109375" style="1" customWidth="1"/>
    <col min="14600" max="14602" width="10.7109375" style="1" customWidth="1"/>
    <col min="14603" max="14605" width="9.140625" style="1"/>
    <col min="14606" max="14606" width="6" style="1" bestFit="1" customWidth="1"/>
    <col min="14607" max="14607" width="6.7109375" style="1" bestFit="1" customWidth="1"/>
    <col min="14608" max="14608" width="13.42578125" style="1" bestFit="1" customWidth="1"/>
    <col min="14609" max="14609" width="16.140625" style="1" bestFit="1" customWidth="1"/>
    <col min="14610" max="14610" width="10.85546875" style="1" bestFit="1" customWidth="1"/>
    <col min="14611" max="14612" width="26" style="1" bestFit="1" customWidth="1"/>
    <col min="14613" max="14613" width="8.5703125" style="1" bestFit="1" customWidth="1"/>
    <col min="14614" max="14848" width="9.140625" style="1"/>
    <col min="14849" max="14849" width="8.7109375" style="1" customWidth="1"/>
    <col min="14850" max="14851" width="17.7109375" style="1" customWidth="1"/>
    <col min="14852" max="14852" width="10.7109375" style="1" customWidth="1"/>
    <col min="14853" max="14853" width="15.7109375" style="1" customWidth="1"/>
    <col min="14854" max="14855" width="17.7109375" style="1" customWidth="1"/>
    <col min="14856" max="14858" width="10.7109375" style="1" customWidth="1"/>
    <col min="14859" max="14861" width="9.140625" style="1"/>
    <col min="14862" max="14862" width="6" style="1" bestFit="1" customWidth="1"/>
    <col min="14863" max="14863" width="6.7109375" style="1" bestFit="1" customWidth="1"/>
    <col min="14864" max="14864" width="13.42578125" style="1" bestFit="1" customWidth="1"/>
    <col min="14865" max="14865" width="16.140625" style="1" bestFit="1" customWidth="1"/>
    <col min="14866" max="14866" width="10.85546875" style="1" bestFit="1" customWidth="1"/>
    <col min="14867" max="14868" width="26" style="1" bestFit="1" customWidth="1"/>
    <col min="14869" max="14869" width="8.5703125" style="1" bestFit="1" customWidth="1"/>
    <col min="14870" max="15104" width="9.140625" style="1"/>
    <col min="15105" max="15105" width="8.7109375" style="1" customWidth="1"/>
    <col min="15106" max="15107" width="17.7109375" style="1" customWidth="1"/>
    <col min="15108" max="15108" width="10.7109375" style="1" customWidth="1"/>
    <col min="15109" max="15109" width="15.7109375" style="1" customWidth="1"/>
    <col min="15110" max="15111" width="17.7109375" style="1" customWidth="1"/>
    <col min="15112" max="15114" width="10.7109375" style="1" customWidth="1"/>
    <col min="15115" max="15117" width="9.140625" style="1"/>
    <col min="15118" max="15118" width="6" style="1" bestFit="1" customWidth="1"/>
    <col min="15119" max="15119" width="6.7109375" style="1" bestFit="1" customWidth="1"/>
    <col min="15120" max="15120" width="13.42578125" style="1" bestFit="1" customWidth="1"/>
    <col min="15121" max="15121" width="16.140625" style="1" bestFit="1" customWidth="1"/>
    <col min="15122" max="15122" width="10.85546875" style="1" bestFit="1" customWidth="1"/>
    <col min="15123" max="15124" width="26" style="1" bestFit="1" customWidth="1"/>
    <col min="15125" max="15125" width="8.5703125" style="1" bestFit="1" customWidth="1"/>
    <col min="15126" max="15360" width="9.140625" style="1"/>
    <col min="15361" max="15361" width="8.7109375" style="1" customWidth="1"/>
    <col min="15362" max="15363" width="17.7109375" style="1" customWidth="1"/>
    <col min="15364" max="15364" width="10.7109375" style="1" customWidth="1"/>
    <col min="15365" max="15365" width="15.7109375" style="1" customWidth="1"/>
    <col min="15366" max="15367" width="17.7109375" style="1" customWidth="1"/>
    <col min="15368" max="15370" width="10.7109375" style="1" customWidth="1"/>
    <col min="15371" max="15373" width="9.140625" style="1"/>
    <col min="15374" max="15374" width="6" style="1" bestFit="1" customWidth="1"/>
    <col min="15375" max="15375" width="6.7109375" style="1" bestFit="1" customWidth="1"/>
    <col min="15376" max="15376" width="13.42578125" style="1" bestFit="1" customWidth="1"/>
    <col min="15377" max="15377" width="16.140625" style="1" bestFit="1" customWidth="1"/>
    <col min="15378" max="15378" width="10.85546875" style="1" bestFit="1" customWidth="1"/>
    <col min="15379" max="15380" width="26" style="1" bestFit="1" customWidth="1"/>
    <col min="15381" max="15381" width="8.5703125" style="1" bestFit="1" customWidth="1"/>
    <col min="15382" max="15616" width="9.140625" style="1"/>
    <col min="15617" max="15617" width="8.7109375" style="1" customWidth="1"/>
    <col min="15618" max="15619" width="17.7109375" style="1" customWidth="1"/>
    <col min="15620" max="15620" width="10.7109375" style="1" customWidth="1"/>
    <col min="15621" max="15621" width="15.7109375" style="1" customWidth="1"/>
    <col min="15622" max="15623" width="17.7109375" style="1" customWidth="1"/>
    <col min="15624" max="15626" width="10.7109375" style="1" customWidth="1"/>
    <col min="15627" max="15629" width="9.140625" style="1"/>
    <col min="15630" max="15630" width="6" style="1" bestFit="1" customWidth="1"/>
    <col min="15631" max="15631" width="6.7109375" style="1" bestFit="1" customWidth="1"/>
    <col min="15632" max="15632" width="13.42578125" style="1" bestFit="1" customWidth="1"/>
    <col min="15633" max="15633" width="16.140625" style="1" bestFit="1" customWidth="1"/>
    <col min="15634" max="15634" width="10.85546875" style="1" bestFit="1" customWidth="1"/>
    <col min="15635" max="15636" width="26" style="1" bestFit="1" customWidth="1"/>
    <col min="15637" max="15637" width="8.5703125" style="1" bestFit="1" customWidth="1"/>
    <col min="15638" max="15872" width="9.140625" style="1"/>
    <col min="15873" max="15873" width="8.7109375" style="1" customWidth="1"/>
    <col min="15874" max="15875" width="17.7109375" style="1" customWidth="1"/>
    <col min="15876" max="15876" width="10.7109375" style="1" customWidth="1"/>
    <col min="15877" max="15877" width="15.7109375" style="1" customWidth="1"/>
    <col min="15878" max="15879" width="17.7109375" style="1" customWidth="1"/>
    <col min="15880" max="15882" width="10.7109375" style="1" customWidth="1"/>
    <col min="15883" max="15885" width="9.140625" style="1"/>
    <col min="15886" max="15886" width="6" style="1" bestFit="1" customWidth="1"/>
    <col min="15887" max="15887" width="6.7109375" style="1" bestFit="1" customWidth="1"/>
    <col min="15888" max="15888" width="13.42578125" style="1" bestFit="1" customWidth="1"/>
    <col min="15889" max="15889" width="16.140625" style="1" bestFit="1" customWidth="1"/>
    <col min="15890" max="15890" width="10.85546875" style="1" bestFit="1" customWidth="1"/>
    <col min="15891" max="15892" width="26" style="1" bestFit="1" customWidth="1"/>
    <col min="15893" max="15893" width="8.5703125" style="1" bestFit="1" customWidth="1"/>
    <col min="15894" max="16128" width="9.140625" style="1"/>
    <col min="16129" max="16129" width="8.7109375" style="1" customWidth="1"/>
    <col min="16130" max="16131" width="17.7109375" style="1" customWidth="1"/>
    <col min="16132" max="16132" width="10.7109375" style="1" customWidth="1"/>
    <col min="16133" max="16133" width="15.7109375" style="1" customWidth="1"/>
    <col min="16134" max="16135" width="17.7109375" style="1" customWidth="1"/>
    <col min="16136" max="16138" width="10.7109375" style="1" customWidth="1"/>
    <col min="16139" max="16141" width="9.140625" style="1"/>
    <col min="16142" max="16142" width="6" style="1" bestFit="1" customWidth="1"/>
    <col min="16143" max="16143" width="6.7109375" style="1" bestFit="1" customWidth="1"/>
    <col min="16144" max="16144" width="13.42578125" style="1" bestFit="1" customWidth="1"/>
    <col min="16145" max="16145" width="16.140625" style="1" bestFit="1" customWidth="1"/>
    <col min="16146" max="16146" width="10.85546875" style="1" bestFit="1" customWidth="1"/>
    <col min="16147" max="16148" width="26" style="1" bestFit="1" customWidth="1"/>
    <col min="16149" max="16149" width="8.5703125" style="1" bestFit="1" customWidth="1"/>
    <col min="16150" max="16384" width="9.140625" style="1"/>
  </cols>
  <sheetData>
    <row r="1" spans="1:20" ht="20.25" customHeight="1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5"/>
    </row>
    <row r="2" spans="1:20" ht="20.25" customHeight="1">
      <c r="A2" s="76"/>
      <c r="B2" s="77"/>
      <c r="C2" s="77"/>
      <c r="D2" s="77"/>
      <c r="E2" s="77"/>
      <c r="F2" s="77"/>
      <c r="G2" s="77"/>
      <c r="H2" s="77"/>
      <c r="I2" s="77"/>
      <c r="J2" s="77"/>
      <c r="K2" s="78"/>
    </row>
    <row r="3" spans="1:20" ht="21" customHeight="1" thickBot="1">
      <c r="A3" s="79"/>
      <c r="B3" s="80"/>
      <c r="C3" s="80"/>
      <c r="D3" s="80"/>
      <c r="E3" s="80"/>
      <c r="F3" s="80"/>
      <c r="G3" s="80"/>
      <c r="H3" s="80"/>
      <c r="I3" s="80"/>
      <c r="J3" s="80"/>
      <c r="K3" s="81"/>
    </row>
    <row r="4" spans="1:20" ht="20.25">
      <c r="A4" s="2" t="s">
        <v>1</v>
      </c>
      <c r="B4" s="2"/>
      <c r="C4" s="2"/>
      <c r="D4" s="2"/>
      <c r="E4" s="2"/>
      <c r="F4" s="2"/>
      <c r="G4" s="2"/>
      <c r="H4" s="3"/>
      <c r="I4" s="3"/>
      <c r="J4" s="3"/>
      <c r="K4" s="3"/>
      <c r="N4" s="4" t="s">
        <v>2</v>
      </c>
      <c r="O4" s="5"/>
      <c r="P4" s="5"/>
      <c r="Q4" s="5"/>
      <c r="R4" s="5"/>
      <c r="S4" s="5"/>
      <c r="T4" s="6"/>
    </row>
    <row r="5" spans="1:20" ht="13.5" customHeight="1" thickBot="1">
      <c r="E5" s="7" t="s">
        <v>3</v>
      </c>
      <c r="F5" s="8">
        <v>8.5</v>
      </c>
      <c r="G5" s="9"/>
      <c r="N5" s="10"/>
      <c r="O5" s="11"/>
      <c r="P5" s="11"/>
      <c r="Q5" s="11"/>
      <c r="R5" s="11"/>
      <c r="S5" s="11"/>
      <c r="T5" s="12"/>
    </row>
    <row r="6" spans="1:20" ht="13.5" thickBot="1">
      <c r="A6" s="13" t="s">
        <v>4</v>
      </c>
      <c r="B6" s="14" t="s">
        <v>5</v>
      </c>
      <c r="C6" s="14" t="s">
        <v>6</v>
      </c>
      <c r="D6" s="14" t="s">
        <v>7</v>
      </c>
      <c r="E6" s="15" t="s">
        <v>8</v>
      </c>
      <c r="F6" s="16" t="s">
        <v>9</v>
      </c>
      <c r="G6" s="17" t="s">
        <v>10</v>
      </c>
      <c r="H6" s="18"/>
      <c r="N6" s="19" t="s">
        <v>11</v>
      </c>
      <c r="O6" s="20" t="s">
        <v>12</v>
      </c>
      <c r="P6" s="20" t="s">
        <v>13</v>
      </c>
      <c r="Q6" s="21" t="s">
        <v>14</v>
      </c>
      <c r="R6" s="21" t="s">
        <v>15</v>
      </c>
      <c r="S6" s="22" t="s">
        <v>16</v>
      </c>
      <c r="T6" s="23" t="s">
        <v>17</v>
      </c>
    </row>
    <row r="7" spans="1:20">
      <c r="A7" s="24">
        <v>1</v>
      </c>
      <c r="B7" s="25">
        <v>1E-4</v>
      </c>
      <c r="C7" s="25">
        <v>0.47760000000000002</v>
      </c>
      <c r="D7" s="26">
        <v>1</v>
      </c>
      <c r="E7" s="27">
        <f t="shared" ref="E7:E21" si="0">IF(ISERROR((IF(PI()*(C7)^2=0,"",PI()*(C7)^2)-IF(PI()*(B7)^2=0,"",PI()*(B7)^2))/D7),"",(IF(PI()*(C7)^2=0,"",PI()*(C7)^2)-IF(PI()*(B7)^2=0,"",PI()*(B7)^2))/D7)</f>
        <v>0.71660278207097561</v>
      </c>
      <c r="F7" s="28">
        <f>IF(ISERROR(E7/(IF(PI()*($F$5/2)^2=0,"",PI()*($F$5/2)^2)/100)),"",E7/(IF(PI()*($F$5/2)^2=0,"",PI()*($F$5/2)^2)/100))</f>
        <v>1.2628470588235294</v>
      </c>
      <c r="G7" s="29">
        <f t="shared" ref="G7:G21" si="1">IF(F7="","",F7*D7)</f>
        <v>1.2628470588235294</v>
      </c>
      <c r="N7" s="30">
        <v>1</v>
      </c>
      <c r="O7" s="31">
        <v>0</v>
      </c>
      <c r="P7" s="31">
        <v>0</v>
      </c>
      <c r="Q7" s="32">
        <f>IF(P7="","",PI()*(O7^2)*P7)</f>
        <v>0</v>
      </c>
      <c r="R7" s="31" t="s">
        <v>18</v>
      </c>
      <c r="S7" s="33">
        <f>IF(R7="","",IF(R7="no",Q7*1,IF(R7="yes",Q7*0.5,0)))</f>
        <v>0</v>
      </c>
      <c r="T7" s="34">
        <f t="shared" ref="T7:T23" si="2">IF(S7="","",S7*100/$S$23)</f>
        <v>0</v>
      </c>
    </row>
    <row r="8" spans="1:20">
      <c r="A8" s="35">
        <f t="shared" ref="A8:A22" si="3">A7+1</f>
        <v>2</v>
      </c>
      <c r="B8" s="36">
        <f t="shared" ref="B8:B22" si="4">IF(C7="","",C7)</f>
        <v>0.47760000000000002</v>
      </c>
      <c r="C8" s="37">
        <v>0.86670000000000003</v>
      </c>
      <c r="D8" s="38">
        <v>1</v>
      </c>
      <c r="E8" s="39">
        <f>IF(ISERROR((IF(PI()*(C8)^2=0,"",PI()*(C8)^2)-IF(PI()*(B8)^2=0,"",PI()*(B8)^2))/D8),"",(IF(PI()*(C8)^2=0,"",PI()*(C8)^2)-IF(PI()*(B8)^2=0,"",PI()*(B8)^2))/D8)</f>
        <v>1.6432638529422974</v>
      </c>
      <c r="F8" s="40">
        <f t="shared" ref="F8:F22" si="5">IF(ISERROR(E8/(IF(PI()*($F$5/2)^2=0,"",PI()*($F$5/2)^2)/100)),"",E8/(IF(PI()*($F$5/2)^2=0,"",PI()*($F$5/2)^2)/100))</f>
        <v>2.8958733840830453</v>
      </c>
      <c r="G8" s="41">
        <f t="shared" si="1"/>
        <v>2.8958733840830453</v>
      </c>
      <c r="N8" s="42">
        <f>N7+1</f>
        <v>2</v>
      </c>
      <c r="O8" s="43">
        <v>0.6714</v>
      </c>
      <c r="P8" s="43">
        <v>4.2799999999999998E-2</v>
      </c>
      <c r="Q8" s="44">
        <f>IF(P8="","",PI()*(O8^2)*P8)</f>
        <v>6.0611679138549084E-2</v>
      </c>
      <c r="R8" s="43" t="s">
        <v>18</v>
      </c>
      <c r="S8" s="45">
        <f t="shared" ref="S8:S22" si="6">IF(R8="","",IF(R8="no",Q8*1,IF(R8="yes",Q8*0.5,0)))</f>
        <v>6.0611679138549084E-2</v>
      </c>
      <c r="T8" s="34">
        <f t="shared" si="2"/>
        <v>0.93174277849436804</v>
      </c>
    </row>
    <row r="9" spans="1:20">
      <c r="A9" s="46">
        <f t="shared" si="3"/>
        <v>3</v>
      </c>
      <c r="B9" s="47">
        <f t="shared" si="4"/>
        <v>0.86670000000000003</v>
      </c>
      <c r="C9" s="48">
        <v>1.2906</v>
      </c>
      <c r="D9" s="49">
        <v>1</v>
      </c>
      <c r="E9" s="50">
        <f t="shared" si="0"/>
        <v>2.8729219848106866</v>
      </c>
      <c r="F9" s="28">
        <f t="shared" si="5"/>
        <v>5.0628621176470574</v>
      </c>
      <c r="G9" s="51">
        <f t="shared" si="1"/>
        <v>5.0628621176470574</v>
      </c>
      <c r="N9" s="42">
        <f t="shared" ref="N9:N22" si="7">N8+1</f>
        <v>3</v>
      </c>
      <c r="O9" s="43">
        <v>1.0789</v>
      </c>
      <c r="P9" s="43">
        <v>4.6699999999999998E-2</v>
      </c>
      <c r="Q9" s="44">
        <f t="shared" ref="Q9:Q22" si="8">IF(P9="","",PI()*(O9^2)*P9)</f>
        <v>0.17077690535697904</v>
      </c>
      <c r="R9" s="43" t="s">
        <v>18</v>
      </c>
      <c r="S9" s="45">
        <f t="shared" si="6"/>
        <v>0.17077690535697904</v>
      </c>
      <c r="T9" s="34">
        <f t="shared" si="2"/>
        <v>2.6252390720979188</v>
      </c>
    </row>
    <row r="10" spans="1:20">
      <c r="A10" s="35">
        <f t="shared" si="3"/>
        <v>4</v>
      </c>
      <c r="B10" s="36">
        <f t="shared" si="4"/>
        <v>1.2906</v>
      </c>
      <c r="C10" s="37">
        <v>1.7278</v>
      </c>
      <c r="D10" s="38">
        <v>1</v>
      </c>
      <c r="E10" s="39">
        <f t="shared" si="0"/>
        <v>4.1457854037183228</v>
      </c>
      <c r="F10" s="40">
        <f t="shared" si="5"/>
        <v>7.3059902006920421</v>
      </c>
      <c r="G10" s="41">
        <f t="shared" si="1"/>
        <v>7.3059902006920421</v>
      </c>
      <c r="N10" s="42">
        <f t="shared" si="7"/>
        <v>4</v>
      </c>
      <c r="O10" s="43">
        <v>1.5089999999999999</v>
      </c>
      <c r="P10" s="43">
        <v>4.7600000000000003E-2</v>
      </c>
      <c r="Q10" s="44">
        <f t="shared" si="8"/>
        <v>0.34051426080249564</v>
      </c>
      <c r="R10" s="43" t="s">
        <v>18</v>
      </c>
      <c r="S10" s="45">
        <f t="shared" si="6"/>
        <v>0.34051426080249564</v>
      </c>
      <c r="T10" s="34">
        <f t="shared" si="2"/>
        <v>5.2344978391349013</v>
      </c>
    </row>
    <row r="11" spans="1:20">
      <c r="A11" s="46">
        <f t="shared" si="3"/>
        <v>5</v>
      </c>
      <c r="B11" s="47">
        <f t="shared" si="4"/>
        <v>1.7278</v>
      </c>
      <c r="C11" s="48">
        <v>2.0424000000000002</v>
      </c>
      <c r="D11" s="49">
        <v>1</v>
      </c>
      <c r="E11" s="50">
        <f t="shared" si="0"/>
        <v>3.7262585030587108</v>
      </c>
      <c r="F11" s="28">
        <f t="shared" si="5"/>
        <v>6.5666708373702445</v>
      </c>
      <c r="G11" s="51">
        <f t="shared" si="1"/>
        <v>6.5666708373702445</v>
      </c>
      <c r="N11" s="42">
        <f t="shared" si="7"/>
        <v>5</v>
      </c>
      <c r="O11" s="43">
        <v>1.8694999999999999</v>
      </c>
      <c r="P11" s="43">
        <v>2.6800000000000001E-2</v>
      </c>
      <c r="Q11" s="44">
        <f t="shared" si="8"/>
        <v>0.2942629643803058</v>
      </c>
      <c r="R11" s="43" t="s">
        <v>18</v>
      </c>
      <c r="S11" s="45">
        <f t="shared" si="6"/>
        <v>0.2942629643803058</v>
      </c>
      <c r="T11" s="34">
        <f t="shared" si="2"/>
        <v>4.5235076133259327</v>
      </c>
    </row>
    <row r="12" spans="1:20">
      <c r="A12" s="35">
        <f t="shared" si="3"/>
        <v>6</v>
      </c>
      <c r="B12" s="36">
        <f t="shared" si="4"/>
        <v>2.0424000000000002</v>
      </c>
      <c r="C12" s="37">
        <v>2.2711999999999999</v>
      </c>
      <c r="D12" s="38">
        <v>1</v>
      </c>
      <c r="E12" s="39">
        <f t="shared" si="0"/>
        <v>3.1006001473361025</v>
      </c>
      <c r="F12" s="40">
        <f t="shared" si="5"/>
        <v>5.4640923460207578</v>
      </c>
      <c r="G12" s="41">
        <f t="shared" si="1"/>
        <v>5.4640923460207578</v>
      </c>
      <c r="N12" s="42">
        <f t="shared" si="7"/>
        <v>6</v>
      </c>
      <c r="O12" s="43">
        <v>2.1593</v>
      </c>
      <c r="P12" s="43">
        <v>9.1999999999999998E-3</v>
      </c>
      <c r="Q12" s="44">
        <f t="shared" si="8"/>
        <v>0.13476082763961725</v>
      </c>
      <c r="R12" s="43" t="s">
        <v>18</v>
      </c>
      <c r="S12" s="45">
        <f t="shared" si="6"/>
        <v>0.13476082763961725</v>
      </c>
      <c r="T12" s="34">
        <f t="shared" si="2"/>
        <v>2.0715880134275935</v>
      </c>
    </row>
    <row r="13" spans="1:20">
      <c r="A13" s="46">
        <f t="shared" si="3"/>
        <v>7</v>
      </c>
      <c r="B13" s="47">
        <f t="shared" si="4"/>
        <v>2.2711999999999999</v>
      </c>
      <c r="C13" s="48">
        <v>2.5364</v>
      </c>
      <c r="D13" s="49">
        <v>1</v>
      </c>
      <c r="E13" s="50">
        <f t="shared" si="0"/>
        <v>4.0054537271388284</v>
      </c>
      <c r="F13" s="28">
        <f t="shared" si="5"/>
        <v>7.0586880000000036</v>
      </c>
      <c r="G13" s="51">
        <f t="shared" si="1"/>
        <v>7.0586880000000036</v>
      </c>
      <c r="N13" s="42">
        <f t="shared" si="7"/>
        <v>7</v>
      </c>
      <c r="O13" s="43">
        <v>2.4056000000000002</v>
      </c>
      <c r="P13" s="43">
        <v>1.18E-2</v>
      </c>
      <c r="Q13" s="44">
        <f t="shared" si="8"/>
        <v>0.21452539494350559</v>
      </c>
      <c r="R13" s="43" t="s">
        <v>18</v>
      </c>
      <c r="S13" s="45">
        <f t="shared" si="6"/>
        <v>0.21452539494350559</v>
      </c>
      <c r="T13" s="34">
        <f t="shared" si="2"/>
        <v>3.2977553234478556</v>
      </c>
    </row>
    <row r="14" spans="1:20">
      <c r="A14" s="35">
        <f t="shared" si="3"/>
        <v>8</v>
      </c>
      <c r="B14" s="36">
        <f t="shared" si="4"/>
        <v>2.5364</v>
      </c>
      <c r="C14" s="37">
        <v>2.8403999999999998</v>
      </c>
      <c r="D14" s="38">
        <v>1</v>
      </c>
      <c r="E14" s="39">
        <f t="shared" si="0"/>
        <v>5.1350814754657605</v>
      </c>
      <c r="F14" s="40">
        <f t="shared" si="5"/>
        <v>9.0493962629757689</v>
      </c>
      <c r="G14" s="41">
        <f t="shared" si="1"/>
        <v>9.0493962629757689</v>
      </c>
      <c r="N14" s="42">
        <f t="shared" si="7"/>
        <v>8</v>
      </c>
      <c r="O14" s="43">
        <v>2.6882000000000001</v>
      </c>
      <c r="P14" s="43">
        <v>1.46E-2</v>
      </c>
      <c r="Q14" s="44">
        <f t="shared" si="8"/>
        <v>0.33145599770370149</v>
      </c>
      <c r="R14" s="43" t="s">
        <v>18</v>
      </c>
      <c r="S14" s="45">
        <f t="shared" si="6"/>
        <v>0.33145599770370149</v>
      </c>
      <c r="T14" s="34">
        <f t="shared" si="2"/>
        <v>5.0952512228398641</v>
      </c>
    </row>
    <row r="15" spans="1:20">
      <c r="A15" s="46">
        <f t="shared" si="3"/>
        <v>9</v>
      </c>
      <c r="B15" s="47">
        <f t="shared" si="4"/>
        <v>2.8403999999999998</v>
      </c>
      <c r="C15" s="48">
        <v>3.1457000000000002</v>
      </c>
      <c r="D15" s="49">
        <v>1</v>
      </c>
      <c r="E15" s="50">
        <f t="shared" si="0"/>
        <v>5.7414375403495299</v>
      </c>
      <c r="F15" s="28">
        <f t="shared" si="5"/>
        <v>10.117958920415235</v>
      </c>
      <c r="G15" s="51">
        <f t="shared" si="1"/>
        <v>10.117958920415235</v>
      </c>
      <c r="N15" s="42">
        <f t="shared" si="7"/>
        <v>9</v>
      </c>
      <c r="O15" s="43">
        <v>2.9935</v>
      </c>
      <c r="P15" s="43">
        <v>1.5599999999999999E-2</v>
      </c>
      <c r="Q15" s="44">
        <f t="shared" si="8"/>
        <v>0.43917033421728086</v>
      </c>
      <c r="R15" s="43" t="s">
        <v>18</v>
      </c>
      <c r="S15" s="45">
        <f t="shared" si="6"/>
        <v>0.43917033421728086</v>
      </c>
      <c r="T15" s="34">
        <f t="shared" si="2"/>
        <v>6.751071629290367</v>
      </c>
    </row>
    <row r="16" spans="1:20">
      <c r="A16" s="35">
        <f t="shared" si="3"/>
        <v>10</v>
      </c>
      <c r="B16" s="36">
        <f t="shared" si="4"/>
        <v>3.1457000000000002</v>
      </c>
      <c r="C16" s="37">
        <v>3.4441999999999999</v>
      </c>
      <c r="D16" s="38">
        <v>1</v>
      </c>
      <c r="E16" s="39">
        <f t="shared" si="0"/>
        <v>6.1797802562255733</v>
      </c>
      <c r="F16" s="40">
        <f t="shared" si="5"/>
        <v>10.890436816608991</v>
      </c>
      <c r="G16" s="41">
        <f t="shared" si="1"/>
        <v>10.890436816608991</v>
      </c>
      <c r="N16" s="42">
        <f t="shared" si="7"/>
        <v>10</v>
      </c>
      <c r="O16" s="43">
        <v>3.2926000000000002</v>
      </c>
      <c r="P16" s="43">
        <v>1.7600000000000001E-2</v>
      </c>
      <c r="Q16" s="44">
        <f t="shared" si="8"/>
        <v>0.59943277936969219</v>
      </c>
      <c r="R16" s="43" t="s">
        <v>18</v>
      </c>
      <c r="S16" s="45">
        <f t="shared" si="6"/>
        <v>0.59943277936969219</v>
      </c>
      <c r="T16" s="34">
        <f t="shared" si="2"/>
        <v>9.2146789415589883</v>
      </c>
    </row>
    <row r="17" spans="1:20">
      <c r="A17" s="46">
        <f t="shared" si="3"/>
        <v>11</v>
      </c>
      <c r="B17" s="47">
        <f t="shared" si="4"/>
        <v>3.4441999999999999</v>
      </c>
      <c r="C17" s="48">
        <v>3.7071000000000001</v>
      </c>
      <c r="D17" s="49">
        <v>1</v>
      </c>
      <c r="E17" s="50">
        <f t="shared" si="0"/>
        <v>5.9064353688168296</v>
      </c>
      <c r="F17" s="28">
        <f t="shared" si="5"/>
        <v>10.408729522491354</v>
      </c>
      <c r="G17" s="51">
        <f t="shared" si="1"/>
        <v>10.408729522491354</v>
      </c>
      <c r="N17" s="42">
        <f t="shared" si="7"/>
        <v>11</v>
      </c>
      <c r="O17" s="43">
        <v>3.5701000000000001</v>
      </c>
      <c r="P17" s="43">
        <v>1.67E-2</v>
      </c>
      <c r="Q17" s="44">
        <f t="shared" si="8"/>
        <v>0.66869350656642934</v>
      </c>
      <c r="R17" s="43" t="s">
        <v>18</v>
      </c>
      <c r="S17" s="45">
        <f t="shared" si="6"/>
        <v>0.66869350656642934</v>
      </c>
      <c r="T17" s="34">
        <f t="shared" si="2"/>
        <v>10.279377747399943</v>
      </c>
    </row>
    <row r="18" spans="1:20">
      <c r="A18" s="35">
        <f t="shared" si="3"/>
        <v>12</v>
      </c>
      <c r="B18" s="36">
        <f t="shared" si="4"/>
        <v>3.7071000000000001</v>
      </c>
      <c r="C18" s="37">
        <v>3.9205999999999999</v>
      </c>
      <c r="D18" s="38">
        <v>1</v>
      </c>
      <c r="E18" s="39">
        <f t="shared" si="0"/>
        <v>5.1161274615884906</v>
      </c>
      <c r="F18" s="40">
        <f t="shared" si="5"/>
        <v>9.0159941868512021</v>
      </c>
      <c r="G18" s="41">
        <f t="shared" si="1"/>
        <v>9.0159941868512021</v>
      </c>
      <c r="N18" s="42">
        <f t="shared" si="7"/>
        <v>12</v>
      </c>
      <c r="O18" s="43">
        <v>3.8092999999999999</v>
      </c>
      <c r="P18" s="43">
        <v>1.6E-2</v>
      </c>
      <c r="Q18" s="44">
        <f t="shared" si="8"/>
        <v>0.72939067844705519</v>
      </c>
      <c r="R18" s="43" t="s">
        <v>18</v>
      </c>
      <c r="S18" s="45">
        <f t="shared" si="6"/>
        <v>0.72939067844705519</v>
      </c>
      <c r="T18" s="34">
        <f t="shared" si="2"/>
        <v>11.212434748601483</v>
      </c>
    </row>
    <row r="19" spans="1:20">
      <c r="A19" s="46">
        <f t="shared" si="3"/>
        <v>13</v>
      </c>
      <c r="B19" s="47">
        <f t="shared" si="4"/>
        <v>3.9205999999999999</v>
      </c>
      <c r="C19" s="48">
        <v>4.0834999999999999</v>
      </c>
      <c r="D19" s="49">
        <v>1</v>
      </c>
      <c r="E19" s="50">
        <f t="shared" si="0"/>
        <v>4.096221784475631</v>
      </c>
      <c r="F19" s="28">
        <f t="shared" si="5"/>
        <v>7.2186457577854783</v>
      </c>
      <c r="G19" s="51">
        <f t="shared" si="1"/>
        <v>7.2186457577854783</v>
      </c>
      <c r="N19" s="42">
        <f t="shared" si="7"/>
        <v>13</v>
      </c>
      <c r="O19" s="43">
        <v>3.9954000000000001</v>
      </c>
      <c r="P19" s="43">
        <v>1.54E-2</v>
      </c>
      <c r="Q19" s="44">
        <f t="shared" si="8"/>
        <v>0.77230905018783114</v>
      </c>
      <c r="R19" s="43" t="s">
        <v>18</v>
      </c>
      <c r="S19" s="45">
        <f t="shared" si="6"/>
        <v>0.77230905018783114</v>
      </c>
      <c r="T19" s="34">
        <f t="shared" si="2"/>
        <v>11.87219015387241</v>
      </c>
    </row>
    <row r="20" spans="1:20">
      <c r="A20" s="35">
        <f t="shared" si="3"/>
        <v>14</v>
      </c>
      <c r="B20" s="36">
        <f t="shared" si="4"/>
        <v>4.0834999999999999</v>
      </c>
      <c r="C20" s="37">
        <v>4.1841999999999997</v>
      </c>
      <c r="D20" s="38">
        <v>1</v>
      </c>
      <c r="E20" s="39">
        <f t="shared" si="0"/>
        <v>2.6155561801158811</v>
      </c>
      <c r="F20" s="40">
        <f t="shared" si="5"/>
        <v>4.6093142698961742</v>
      </c>
      <c r="G20" s="41">
        <f t="shared" si="1"/>
        <v>4.6093142698961742</v>
      </c>
      <c r="N20" s="42">
        <f t="shared" si="7"/>
        <v>14</v>
      </c>
      <c r="O20" s="43">
        <v>4.1279000000000003</v>
      </c>
      <c r="P20" s="43">
        <v>1.4999999999999999E-2</v>
      </c>
      <c r="Q20" s="44">
        <f t="shared" si="8"/>
        <v>0.80297027281905264</v>
      </c>
      <c r="R20" s="43" t="s">
        <v>18</v>
      </c>
      <c r="S20" s="45">
        <f t="shared" si="6"/>
        <v>0.80297027281905264</v>
      </c>
      <c r="T20" s="34">
        <f t="shared" si="2"/>
        <v>12.343524609087645</v>
      </c>
    </row>
    <row r="21" spans="1:20">
      <c r="A21" s="46">
        <f t="shared" si="3"/>
        <v>15</v>
      </c>
      <c r="B21" s="47">
        <f t="shared" si="4"/>
        <v>4.1841999999999997</v>
      </c>
      <c r="C21" s="48">
        <v>4.2351999999999999</v>
      </c>
      <c r="D21" s="49">
        <v>1</v>
      </c>
      <c r="E21" s="50">
        <f t="shared" si="0"/>
        <v>1.3489665845693324</v>
      </c>
      <c r="F21" s="28">
        <f t="shared" si="5"/>
        <v>2.3772423529411824</v>
      </c>
      <c r="G21" s="51">
        <f t="shared" si="1"/>
        <v>2.3772423529411824</v>
      </c>
      <c r="N21" s="42">
        <f t="shared" si="7"/>
        <v>15</v>
      </c>
      <c r="O21" s="43">
        <v>4.2003000000000004</v>
      </c>
      <c r="P21" s="43">
        <v>1.23E-2</v>
      </c>
      <c r="Q21" s="44">
        <f t="shared" si="8"/>
        <v>0.68173502151831844</v>
      </c>
      <c r="R21" s="43" t="s">
        <v>18</v>
      </c>
      <c r="S21" s="45">
        <f t="shared" si="6"/>
        <v>0.68173502151831844</v>
      </c>
      <c r="T21" s="34">
        <f t="shared" si="2"/>
        <v>10.479856228606064</v>
      </c>
    </row>
    <row r="22" spans="1:20" ht="13.5" thickBot="1">
      <c r="A22" s="52">
        <f t="shared" si="3"/>
        <v>16</v>
      </c>
      <c r="B22" s="53">
        <f t="shared" si="4"/>
        <v>4.2351999999999999</v>
      </c>
      <c r="C22" s="54">
        <v>4.25</v>
      </c>
      <c r="D22" s="55">
        <v>1</v>
      </c>
      <c r="E22" s="56">
        <f>IF(ISERROR((IF(PI()*(C22)^2=0,"",PI()*(C22)^2)-IF(PI()*(B22)^2=0,"",PI()*(B22)^2))/D22),"",(IF(PI()*(C22)^2=0,"",PI()*(C22)^2)-IF(PI()*(B22)^2=0,"",PI()*(B22)^2))/D22)</f>
        <v>0.39452422136675835</v>
      </c>
      <c r="F22" s="40">
        <f t="shared" si="5"/>
        <v>0.69525791003461035</v>
      </c>
      <c r="G22" s="41">
        <f>IF(F22="","",F22*D22)</f>
        <v>0.69525791003461035</v>
      </c>
      <c r="N22" s="57">
        <f t="shared" si="7"/>
        <v>16</v>
      </c>
      <c r="O22" s="58">
        <v>4.2331000000000003</v>
      </c>
      <c r="P22" s="59">
        <v>4.7000000000000002E-3</v>
      </c>
      <c r="Q22" s="60">
        <f t="shared" si="8"/>
        <v>0.26458473651795977</v>
      </c>
      <c r="R22" s="59" t="s">
        <v>18</v>
      </c>
      <c r="S22" s="61">
        <f t="shared" si="6"/>
        <v>0.26458473651795977</v>
      </c>
      <c r="T22" s="62">
        <f t="shared" si="2"/>
        <v>4.0672840788146729</v>
      </c>
    </row>
    <row r="23" spans="1:20" ht="13.5" thickBot="1">
      <c r="B23" s="63"/>
      <c r="F23" s="64" t="s">
        <v>19</v>
      </c>
      <c r="G23" s="65">
        <f>SUM(G7:G22)</f>
        <v>99.999999944636684</v>
      </c>
      <c r="H23" s="18"/>
      <c r="P23" s="66" t="s">
        <v>19</v>
      </c>
      <c r="Q23" s="67">
        <f>IF(Q22="","",SUM(Q7:Q22))</f>
        <v>6.505194409608773</v>
      </c>
      <c r="R23" s="58"/>
      <c r="S23" s="68">
        <f>IF(Q23="","",SUM(S7:S22))</f>
        <v>6.505194409608773</v>
      </c>
      <c r="T23" s="69">
        <f t="shared" si="2"/>
        <v>100</v>
      </c>
    </row>
    <row r="24" spans="1:20" ht="20.25">
      <c r="A24" s="2" t="s">
        <v>20</v>
      </c>
      <c r="B24" s="2"/>
      <c r="C24" s="2"/>
      <c r="D24" s="2"/>
      <c r="E24" s="2"/>
      <c r="F24" s="2"/>
      <c r="G24" s="2"/>
      <c r="H24" s="63"/>
    </row>
    <row r="25" spans="1:20" ht="13.5" thickBot="1">
      <c r="E25" s="7" t="s">
        <v>3</v>
      </c>
      <c r="F25" s="70">
        <v>8.5</v>
      </c>
      <c r="G25" s="9"/>
      <c r="H25" s="63"/>
    </row>
    <row r="26" spans="1:20" ht="13.5" thickBot="1">
      <c r="A26" s="13" t="s">
        <v>4</v>
      </c>
      <c r="B26" s="14" t="s">
        <v>5</v>
      </c>
      <c r="C26" s="14" t="s">
        <v>6</v>
      </c>
      <c r="D26" s="14" t="s">
        <v>7</v>
      </c>
      <c r="E26" s="15" t="s">
        <v>8</v>
      </c>
      <c r="F26" s="16" t="s">
        <v>9</v>
      </c>
      <c r="G26" s="17" t="s">
        <v>10</v>
      </c>
      <c r="H26" s="63"/>
    </row>
    <row r="27" spans="1:20">
      <c r="A27" s="24">
        <f>A7</f>
        <v>1</v>
      </c>
      <c r="B27" s="25">
        <v>1E-4</v>
      </c>
      <c r="C27" s="25">
        <v>0.47760000000000002</v>
      </c>
      <c r="D27" s="26">
        <f t="shared" ref="D27:D33" si="9">D7</f>
        <v>1</v>
      </c>
      <c r="E27" s="27">
        <f t="shared" ref="E27:E42" si="10">IF(ISERROR((IF(PI()*(C27)^2=0,"",PI()*(C27)^2)-IF(PI()*(B27)^2=0,"",PI()*(B27)^2))/D27),"",(IF(PI()*(C27)^2=0,"",PI()*(C27)^2)-IF(PI()*(B27)^2=0,"",PI()*(B27)^2))/D27)</f>
        <v>0.71660278207097561</v>
      </c>
      <c r="F27" s="28">
        <f>IF(ISERROR(E27/(IF(PI()*($F$25/2)^2=0,"",PI()*($F$25/2)^2)/100)),"",E27/(IF(PI()*($F$25/2)^2=0,"",PI()*($F$25/2)^2)/100))</f>
        <v>1.2628470588235294</v>
      </c>
      <c r="G27" s="29">
        <f t="shared" ref="G27:G42" si="11">IF(F27="","",F27*D27)</f>
        <v>1.2628470588235294</v>
      </c>
      <c r="H27" s="63"/>
    </row>
    <row r="28" spans="1:20">
      <c r="A28" s="35">
        <f t="shared" ref="A28:A42" si="12">A27+1</f>
        <v>2</v>
      </c>
      <c r="B28" s="36">
        <f t="shared" ref="B28:B42" si="13">IF(C27="","",C27)</f>
        <v>0.47760000000000002</v>
      </c>
      <c r="C28" s="37">
        <v>0.86670000000000003</v>
      </c>
      <c r="D28" s="38">
        <f t="shared" si="9"/>
        <v>1</v>
      </c>
      <c r="E28" s="39">
        <f t="shared" si="10"/>
        <v>1.6432638529422974</v>
      </c>
      <c r="F28" s="71">
        <f t="shared" ref="F28:F42" si="14">IF(ISERROR(E28/(IF(PI()*($F$25/2)^2=0,"",PI()*($F$25/2)^2)/100)),"",E28/(IF(PI()*($F$25/2)^2=0,"",PI()*($F$25/2)^2)/100))</f>
        <v>2.8958733840830453</v>
      </c>
      <c r="G28" s="41">
        <f t="shared" si="11"/>
        <v>2.8958733840830453</v>
      </c>
      <c r="H28" s="63"/>
    </row>
    <row r="29" spans="1:20">
      <c r="A29" s="46">
        <f t="shared" si="12"/>
        <v>3</v>
      </c>
      <c r="B29" s="47">
        <f t="shared" si="13"/>
        <v>0.86670000000000003</v>
      </c>
      <c r="C29" s="48">
        <v>1.2906</v>
      </c>
      <c r="D29" s="49">
        <f t="shared" si="9"/>
        <v>1</v>
      </c>
      <c r="E29" s="50">
        <f t="shared" si="10"/>
        <v>2.8729219848106866</v>
      </c>
      <c r="F29" s="72">
        <f t="shared" si="14"/>
        <v>5.0628621176470574</v>
      </c>
      <c r="G29" s="51">
        <f t="shared" si="11"/>
        <v>5.0628621176470574</v>
      </c>
      <c r="H29" s="63"/>
    </row>
    <row r="30" spans="1:20">
      <c r="A30" s="35">
        <f t="shared" si="12"/>
        <v>4</v>
      </c>
      <c r="B30" s="36">
        <f t="shared" si="13"/>
        <v>1.2906</v>
      </c>
      <c r="C30" s="37">
        <v>1.7278</v>
      </c>
      <c r="D30" s="38">
        <f t="shared" si="9"/>
        <v>1</v>
      </c>
      <c r="E30" s="39">
        <f t="shared" si="10"/>
        <v>4.1457854037183228</v>
      </c>
      <c r="F30" s="71">
        <f t="shared" si="14"/>
        <v>7.3059902006920421</v>
      </c>
      <c r="G30" s="41">
        <f t="shared" si="11"/>
        <v>7.3059902006920421</v>
      </c>
      <c r="H30" s="63"/>
    </row>
    <row r="31" spans="1:20">
      <c r="A31" s="46">
        <f t="shared" si="12"/>
        <v>5</v>
      </c>
      <c r="B31" s="47">
        <f t="shared" si="13"/>
        <v>1.7278</v>
      </c>
      <c r="C31" s="48">
        <v>2.0424000000000002</v>
      </c>
      <c r="D31" s="49">
        <f t="shared" si="9"/>
        <v>1</v>
      </c>
      <c r="E31" s="50">
        <f t="shared" si="10"/>
        <v>3.7262585030587108</v>
      </c>
      <c r="F31" s="72">
        <f t="shared" si="14"/>
        <v>6.5666708373702445</v>
      </c>
      <c r="G31" s="51">
        <f t="shared" si="11"/>
        <v>6.5666708373702445</v>
      </c>
      <c r="H31" s="63"/>
    </row>
    <row r="32" spans="1:20">
      <c r="A32" s="35">
        <f t="shared" si="12"/>
        <v>6</v>
      </c>
      <c r="B32" s="36">
        <f t="shared" si="13"/>
        <v>2.0424000000000002</v>
      </c>
      <c r="C32" s="37">
        <v>2.2711999999999999</v>
      </c>
      <c r="D32" s="38">
        <f t="shared" si="9"/>
        <v>1</v>
      </c>
      <c r="E32" s="39">
        <f t="shared" si="10"/>
        <v>3.1006001473361025</v>
      </c>
      <c r="F32" s="71">
        <f t="shared" si="14"/>
        <v>5.4640923460207578</v>
      </c>
      <c r="G32" s="41">
        <f t="shared" si="11"/>
        <v>5.4640923460207578</v>
      </c>
      <c r="H32" s="63"/>
    </row>
    <row r="33" spans="1:8">
      <c r="A33" s="46">
        <f t="shared" si="12"/>
        <v>7</v>
      </c>
      <c r="B33" s="47">
        <f t="shared" si="13"/>
        <v>2.2711999999999999</v>
      </c>
      <c r="C33" s="48">
        <v>2.5364</v>
      </c>
      <c r="D33" s="49">
        <f t="shared" si="9"/>
        <v>1</v>
      </c>
      <c r="E33" s="50">
        <f t="shared" si="10"/>
        <v>4.0054537271388284</v>
      </c>
      <c r="F33" s="72">
        <f t="shared" si="14"/>
        <v>7.0586880000000036</v>
      </c>
      <c r="G33" s="51">
        <f t="shared" si="11"/>
        <v>7.0586880000000036</v>
      </c>
      <c r="H33" s="63"/>
    </row>
    <row r="34" spans="1:8">
      <c r="A34" s="35">
        <f t="shared" si="12"/>
        <v>8</v>
      </c>
      <c r="B34" s="36">
        <f t="shared" si="13"/>
        <v>2.5364</v>
      </c>
      <c r="C34" s="37">
        <v>2.8403999999999998</v>
      </c>
      <c r="D34" s="38">
        <v>1</v>
      </c>
      <c r="E34" s="39">
        <f t="shared" si="10"/>
        <v>5.1350814754657605</v>
      </c>
      <c r="F34" s="71">
        <f t="shared" si="14"/>
        <v>9.0493962629757689</v>
      </c>
      <c r="G34" s="41">
        <f t="shared" si="11"/>
        <v>9.0493962629757689</v>
      </c>
      <c r="H34" s="63"/>
    </row>
    <row r="35" spans="1:8">
      <c r="A35" s="46">
        <f t="shared" si="12"/>
        <v>9</v>
      </c>
      <c r="B35" s="47">
        <f t="shared" si="13"/>
        <v>2.8403999999999998</v>
      </c>
      <c r="C35" s="48">
        <v>3.1457000000000002</v>
      </c>
      <c r="D35" s="49">
        <v>1</v>
      </c>
      <c r="E35" s="50">
        <f t="shared" si="10"/>
        <v>5.7414375403495299</v>
      </c>
      <c r="F35" s="72">
        <f t="shared" si="14"/>
        <v>10.117958920415235</v>
      </c>
      <c r="G35" s="51">
        <f t="shared" si="11"/>
        <v>10.117958920415235</v>
      </c>
      <c r="H35" s="63"/>
    </row>
    <row r="36" spans="1:8">
      <c r="A36" s="35">
        <f t="shared" si="12"/>
        <v>10</v>
      </c>
      <c r="B36" s="36">
        <f t="shared" si="13"/>
        <v>3.1457000000000002</v>
      </c>
      <c r="C36" s="37">
        <v>3.4441999999999999</v>
      </c>
      <c r="D36" s="38">
        <v>1</v>
      </c>
      <c r="E36" s="39">
        <f t="shared" si="10"/>
        <v>6.1797802562255733</v>
      </c>
      <c r="F36" s="71">
        <f t="shared" si="14"/>
        <v>10.890436816608991</v>
      </c>
      <c r="G36" s="41">
        <f t="shared" si="11"/>
        <v>10.890436816608991</v>
      </c>
      <c r="H36" s="63"/>
    </row>
    <row r="37" spans="1:8">
      <c r="A37" s="46">
        <f t="shared" si="12"/>
        <v>11</v>
      </c>
      <c r="B37" s="47">
        <f t="shared" si="13"/>
        <v>3.4441999999999999</v>
      </c>
      <c r="C37" s="48">
        <v>3.7071000000000001</v>
      </c>
      <c r="D37" s="49">
        <v>1</v>
      </c>
      <c r="E37" s="50">
        <f t="shared" si="10"/>
        <v>5.9064353688168296</v>
      </c>
      <c r="F37" s="72">
        <f t="shared" si="14"/>
        <v>10.408729522491354</v>
      </c>
      <c r="G37" s="51">
        <f t="shared" si="11"/>
        <v>10.408729522491354</v>
      </c>
      <c r="H37" s="63"/>
    </row>
    <row r="38" spans="1:8">
      <c r="A38" s="35">
        <f t="shared" si="12"/>
        <v>12</v>
      </c>
      <c r="B38" s="36">
        <f t="shared" si="13"/>
        <v>3.7071000000000001</v>
      </c>
      <c r="C38" s="37">
        <v>3.9205999999999999</v>
      </c>
      <c r="D38" s="38">
        <v>1</v>
      </c>
      <c r="E38" s="39">
        <f t="shared" si="10"/>
        <v>5.1161274615884906</v>
      </c>
      <c r="F38" s="71">
        <f t="shared" si="14"/>
        <v>9.0159941868512021</v>
      </c>
      <c r="G38" s="41">
        <f t="shared" si="11"/>
        <v>9.0159941868512021</v>
      </c>
      <c r="H38" s="63"/>
    </row>
    <row r="39" spans="1:8">
      <c r="A39" s="46">
        <f t="shared" si="12"/>
        <v>13</v>
      </c>
      <c r="B39" s="47">
        <f t="shared" si="13"/>
        <v>3.9205999999999999</v>
      </c>
      <c r="C39" s="48">
        <v>4.0834999999999999</v>
      </c>
      <c r="D39" s="49">
        <v>1</v>
      </c>
      <c r="E39" s="50">
        <f t="shared" si="10"/>
        <v>4.096221784475631</v>
      </c>
      <c r="F39" s="72">
        <f t="shared" si="14"/>
        <v>7.2186457577854783</v>
      </c>
      <c r="G39" s="51">
        <f t="shared" si="11"/>
        <v>7.2186457577854783</v>
      </c>
      <c r="H39" s="63"/>
    </row>
    <row r="40" spans="1:8">
      <c r="A40" s="35">
        <f t="shared" si="12"/>
        <v>14</v>
      </c>
      <c r="B40" s="36">
        <f t="shared" si="13"/>
        <v>4.0834999999999999</v>
      </c>
      <c r="C40" s="37">
        <v>4.1841999999999997</v>
      </c>
      <c r="D40" s="38">
        <v>1</v>
      </c>
      <c r="E40" s="39">
        <f t="shared" si="10"/>
        <v>2.6155561801158811</v>
      </c>
      <c r="F40" s="71">
        <f t="shared" si="14"/>
        <v>4.6093142698961742</v>
      </c>
      <c r="G40" s="41">
        <f t="shared" si="11"/>
        <v>4.6093142698961742</v>
      </c>
      <c r="H40" s="63"/>
    </row>
    <row r="41" spans="1:8">
      <c r="A41" s="46">
        <f t="shared" si="12"/>
        <v>15</v>
      </c>
      <c r="B41" s="47">
        <f t="shared" si="13"/>
        <v>4.1841999999999997</v>
      </c>
      <c r="C41" s="48">
        <v>4.2351999999999999</v>
      </c>
      <c r="D41" s="49">
        <v>1</v>
      </c>
      <c r="E41" s="50">
        <f t="shared" si="10"/>
        <v>1.3489665845693324</v>
      </c>
      <c r="F41" s="72">
        <f t="shared" si="14"/>
        <v>2.3772423529411824</v>
      </c>
      <c r="G41" s="51">
        <f t="shared" si="11"/>
        <v>2.3772423529411824</v>
      </c>
      <c r="H41" s="63"/>
    </row>
    <row r="42" spans="1:8" ht="13.5" thickBot="1">
      <c r="A42" s="52">
        <f t="shared" si="12"/>
        <v>16</v>
      </c>
      <c r="B42" s="53">
        <f t="shared" si="13"/>
        <v>4.2351999999999999</v>
      </c>
      <c r="C42" s="54">
        <v>4.25</v>
      </c>
      <c r="D42" s="55">
        <v>1</v>
      </c>
      <c r="E42" s="56">
        <f t="shared" si="10"/>
        <v>0.39452422136675835</v>
      </c>
      <c r="F42" s="71">
        <f t="shared" si="14"/>
        <v>0.69525791003461035</v>
      </c>
      <c r="G42" s="41">
        <f t="shared" si="11"/>
        <v>0.69525791003461035</v>
      </c>
      <c r="H42" s="63"/>
    </row>
    <row r="43" spans="1:8" ht="13.5" thickBot="1">
      <c r="B43" s="63"/>
      <c r="F43" s="64" t="s">
        <v>19</v>
      </c>
      <c r="G43" s="65">
        <f>SUM(G27:G42)</f>
        <v>99.999999944636684</v>
      </c>
      <c r="H43" s="63"/>
    </row>
  </sheetData>
  <mergeCells count="4">
    <mergeCell ref="A4:G4"/>
    <mergeCell ref="N4:T5"/>
    <mergeCell ref="A24:G24"/>
    <mergeCell ref="A1:K3"/>
  </mergeCells>
  <pageMargins left="0.75" right="0.75" top="1" bottom="1" header="0.5" footer="0.5"/>
  <pageSetup scale="61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Area per cutter</vt:lpstr>
      <vt:lpstr>Sheet1</vt:lpstr>
      <vt:lpstr>'Area per cutter'!Print_Area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Pearce</dc:creator>
  <cp:lastModifiedBy>Victor M. Rodriguez</cp:lastModifiedBy>
  <dcterms:created xsi:type="dcterms:W3CDTF">2012-08-13T13:58:48Z</dcterms:created>
  <dcterms:modified xsi:type="dcterms:W3CDTF">2012-08-14T20:47:59Z</dcterms:modified>
</cp:coreProperties>
</file>