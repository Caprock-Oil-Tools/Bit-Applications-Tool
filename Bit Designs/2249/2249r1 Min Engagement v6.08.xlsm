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9\"/>
    </mc:Choice>
  </mc:AlternateContent>
  <xr:revisionPtr revIDLastSave="0" documentId="13_ncr:1_{071DF027-D505-4F06-935A-E0A9E154420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54" i="1" l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9" i="1" l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59" i="1" l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<sst xmlns="http://schemas.openxmlformats.org/spreadsheetml/2006/main" count="742" uniqueCount="394">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</sst>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12.25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37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1.112's θ about Z Axis</v>
      </c>
      <c r="U5" s="1138"/>
      <c r="V5" s="1139"/>
      <c r="W5" s="1138" t="str">
        <f>CONCATENATE("Relative to ",M8,"'s θ about Z Axis")</f>
        <v>Relative to 1.112's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1.112's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89.992000001155063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-0.13610041047883809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0.40580122389649126</v>
      </c>
      <c r="D9" s="704">
        <v>-0.86910262121350557</v>
      </c>
      <c r="E9" s="705">
        <v>-0.93969263802333458</v>
      </c>
      <c r="F9" s="703">
        <v>0</v>
      </c>
      <c r="G9" s="706">
        <v>0.3420200959662259</v>
      </c>
      <c r="H9" s="705">
        <v>0.3765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1913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0.40580122389649126</v>
      </c>
      <c r="P9" s="625">
        <f t="shared" ref="P9:P40" si="4">IF(M9="","",D9)</f>
        <v>-0.86910262121350557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0.40580122389649126</v>
      </c>
      <c r="S9" s="626">
        <f>IF(M9="","",P9)</f>
        <v>-0.86910262121350557</v>
      </c>
      <c r="T9" s="627">
        <f>IF(M9="","",X9*COS(RADIANS(W9)))</f>
        <v>0.40580121994084051</v>
      </c>
      <c r="U9" s="624">
        <f>IF(M9="","",X9*SIN(RADIANS(W9)))</f>
        <v>5.6660531360017865E-5</v>
      </c>
      <c r="V9" s="628">
        <f>IF(M9="","",Y9)</f>
        <v>-0.86910262121350557</v>
      </c>
      <c r="W9" s="583">
        <f t="shared" ref="W9:W14" si="5">IF(M9="","",IF(Q9-$Q$8&lt;0,360+Q9-$Q$8,Q9-$Q$8))</f>
        <v>7.999998844937295E-3</v>
      </c>
      <c r="X9" s="629">
        <f>IF(M9="","",R9)</f>
        <v>0.40580122389649126</v>
      </c>
      <c r="Y9" s="630">
        <f>IF(M9="","",S9)</f>
        <v>-0.86910262121350557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0</v>
      </c>
      <c r="AM9" s="626">
        <f>IF(M9="","",AF9)</f>
        <v>-0.3420200959662259</v>
      </c>
      <c r="AN9" s="581">
        <f>IF(M9="","",DEGREES(ATAN2(-AM9,AL9)))</f>
        <v>0</v>
      </c>
      <c r="AO9" s="582">
        <f>IF(ROUND(IF(M9="",0,DEGREES(ACOS(AK9))),4)=90,0,IF(M9="","",DEGREES(ACOS(AK9))))</f>
        <v>19.999997112357679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5.5999409681873997</v>
      </c>
      <c r="AS9" s="51">
        <f>IF(M9="","",W9)</f>
        <v>7.999998844937295E-3</v>
      </c>
      <c r="AT9" s="71">
        <f t="shared" ref="AT9:AT40" si="10">IF(M9="","",Y9+(((AS9-$AS$9)*$AS$6)*-1))</f>
        <v>-0.86910262121350557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1913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1913</v>
      </c>
      <c r="JB9" s="786" cm="1">
        <f t="array" ref="JB9">IF($JA9="","",COUNT(IF(IF($II$9:$II$150="",$IJ$9:$IJ$150,"")=$JA9,$IG$9:$IG$150,"")))</f>
        <v>37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2.219626494852214E-16</v>
      </c>
      <c r="C10" s="708">
        <v>1.2991039180974171</v>
      </c>
      <c r="D10" s="709">
        <v>-0.62970189918092812</v>
      </c>
      <c r="E10" s="710">
        <v>-0.93969263802333458</v>
      </c>
      <c r="F10" s="708">
        <v>0</v>
      </c>
      <c r="G10" s="711">
        <v>0.3420200959662259</v>
      </c>
      <c r="H10" s="710">
        <v>0.3765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1913</v>
      </c>
      <c r="M10" s="168">
        <f t="shared" si="1"/>
        <v>1.1040000000000001</v>
      </c>
      <c r="N10" s="632">
        <f t="shared" si="2"/>
        <v>2.219626494852214E-16</v>
      </c>
      <c r="O10" s="629">
        <f t="shared" si="3"/>
        <v>1.2991039180974171</v>
      </c>
      <c r="P10" s="633">
        <f t="shared" si="4"/>
        <v>-0.62970189918092812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1.2991039180974171</v>
      </c>
      <c r="S10" s="634">
        <f t="shared" ref="S10:S105" si="80">IF(M10="","",P10)</f>
        <v>-0.62970189918092812</v>
      </c>
      <c r="T10" s="635">
        <f t="shared" ref="T10:T105" si="81">IF(M10="","",X10*COS(RADIANS(W10)))</f>
        <v>1.2991039054340709</v>
      </c>
      <c r="U10" s="629">
        <f t="shared" ref="U10:U105" si="82">IF(M10="","",X10*SIN(RADIANS(W10)))</f>
        <v>1.8138909879201386E-4</v>
      </c>
      <c r="V10" s="636">
        <f>IF(M10="","",Y10)</f>
        <v>-0.62970189918092812</v>
      </c>
      <c r="W10" s="585">
        <f t="shared" si="5"/>
        <v>7.999998844937295E-3</v>
      </c>
      <c r="X10" s="629">
        <f t="shared" ref="X10:X105" si="83">IF(M10="","",R10)</f>
        <v>1.2991039180974171</v>
      </c>
      <c r="Y10" s="630">
        <f>IF(M10="","",S10)</f>
        <v>-0.62970189918092812</v>
      </c>
      <c r="Z10" s="632">
        <f t="shared" si="6"/>
        <v>0.93969263802333458</v>
      </c>
      <c r="AA10" s="629">
        <f t="shared" si="7"/>
        <v>0</v>
      </c>
      <c r="AB10" s="629">
        <f t="shared" si="8"/>
        <v>-0.3420200959662259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-0.3420200959662259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-70.00000288764231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-0.3420200959662259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0</v>
      </c>
      <c r="AQ10" s="586">
        <f t="shared" si="9"/>
        <v>1.7542970642667437</v>
      </c>
      <c r="AS10" s="52">
        <f>IF($M10="","",IF(AND($W10&lt;($AS$9+180),$W10&gt;($AS$9-180)),$W10,IF($W10&gt;($AS$9+180),$W10-360,IF($W10&lt;($AS$9-180),$W10+360,"Error"))))</f>
        <v>7.999998844937295E-3</v>
      </c>
      <c r="AT10" s="72">
        <f t="shared" si="10"/>
        <v>-0.62970189918092812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1913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3.1586992426743044E-16</v>
      </c>
      <c r="C11" s="708">
        <v>2.2227067036834187</v>
      </c>
      <c r="D11" s="709">
        <v>-0.38220115271867672</v>
      </c>
      <c r="E11" s="710">
        <v>-0.95630476848795665</v>
      </c>
      <c r="F11" s="708">
        <v>0</v>
      </c>
      <c r="G11" s="711">
        <v>0.29237166375556256</v>
      </c>
      <c r="H11" s="710">
        <v>0.3765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1913</v>
      </c>
      <c r="L11" s="779" t="s">
        <v>332</v>
      </c>
      <c r="M11" s="168">
        <f t="shared" si="1"/>
        <v>1.107</v>
      </c>
      <c r="N11" s="632">
        <f t="shared" si="2"/>
        <v>3.1586992426743044E-16</v>
      </c>
      <c r="O11" s="629">
        <f t="shared" si="3"/>
        <v>2.2227067036834187</v>
      </c>
      <c r="P11" s="633">
        <f t="shared" si="4"/>
        <v>-0.38220115271867672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2.2227067036834187</v>
      </c>
      <c r="S11" s="634">
        <f t="shared" si="80"/>
        <v>-0.38220115271867672</v>
      </c>
      <c r="T11" s="635">
        <f t="shared" si="81"/>
        <v>2.2227066820170194</v>
      </c>
      <c r="U11" s="629">
        <f t="shared" si="82"/>
        <v>3.1034835646602201E-4</v>
      </c>
      <c r="V11" s="636">
        <f t="shared" ref="V11:V105" si="114">IF(M11="","",Y11)</f>
        <v>-0.38220115271867672</v>
      </c>
      <c r="W11" s="585">
        <f t="shared" si="5"/>
        <v>7.999998844937295E-3</v>
      </c>
      <c r="X11" s="629">
        <f>IF(M11="","",R11)</f>
        <v>2.2227067036834187</v>
      </c>
      <c r="Y11" s="630">
        <f>IF(M11="","",S11)</f>
        <v>-0.38220115271867672</v>
      </c>
      <c r="Z11" s="632">
        <f t="shared" si="6"/>
        <v>0.95630476848795665</v>
      </c>
      <c r="AA11" s="629">
        <f t="shared" si="7"/>
        <v>0</v>
      </c>
      <c r="AB11" s="629">
        <f t="shared" si="8"/>
        <v>-0.29237166375556256</v>
      </c>
      <c r="AC11" s="636">
        <f t="shared" si="84"/>
        <v>1</v>
      </c>
      <c r="AD11" s="637">
        <f t="shared" ref="AD11:AD105" si="115">IF(M11="","",Z11*(1/SQRT(Z11^2+AA11^2+AB11^2)))</f>
        <v>0.95630476848795665</v>
      </c>
      <c r="AE11" s="629">
        <f t="shared" si="85"/>
        <v>0</v>
      </c>
      <c r="AF11" s="633">
        <f t="shared" si="86"/>
        <v>-0.29237166375556256</v>
      </c>
      <c r="AG11" s="602">
        <f>IF(M11="","",DEGREES(ATAN2(-AF11,AE11)))</f>
        <v>0</v>
      </c>
      <c r="AH11" s="603">
        <f t="shared" si="88"/>
        <v>16.999997545504019</v>
      </c>
      <c r="AI11" s="585">
        <f t="shared" si="89"/>
        <v>-73.00000245449597</v>
      </c>
      <c r="AJ11" s="586">
        <f t="shared" si="90"/>
        <v>90</v>
      </c>
      <c r="AK11" s="635">
        <f>IF(M11="","",(COS(RADIANS((90-$Q$8)-W11))*AD11)+(-SIN(RADIANS((90-$Q$8)-W11))*AE11))</f>
        <v>0.95630476848795665</v>
      </c>
      <c r="AL11" s="629">
        <f t="shared" si="91"/>
        <v>0</v>
      </c>
      <c r="AM11" s="634">
        <f t="shared" si="92"/>
        <v>-0.29237166375556256</v>
      </c>
      <c r="AN11" s="581">
        <f>IF(M11="","",DEGREES(ATAN2(-AM11,AL11)))</f>
        <v>0</v>
      </c>
      <c r="AO11" s="582">
        <f>IF(ROUND(IF(M11="",0,DEGREES(ACOS(AK11))),4)=90,0,IF(M11="","",DEGREES(ACOS(AK11))))</f>
        <v>16.999997545504019</v>
      </c>
      <c r="AP11" s="585">
        <f t="shared" si="95"/>
        <v>0</v>
      </c>
      <c r="AQ11" s="586">
        <f t="shared" si="9"/>
        <v>1.0255438401309471</v>
      </c>
      <c r="AS11" s="52">
        <f t="shared" ref="AS11:AS42" si="116">IF(G11="","",IF(AND(W11&lt;(AS10+180),W11&gt;(AS10-180)),W11,IF(W11&gt;(AS10+180),W11-360,IF(W11&lt;(AS10-180),W11+360,"Error"))))</f>
        <v>7.999998844937295E-3</v>
      </c>
      <c r="AT11" s="72">
        <f t="shared" si="10"/>
        <v>-0.38220115271867672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1913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4.3934950216278001E-4</v>
      </c>
      <c r="C12" s="708">
        <v>3.1466094595018452</v>
      </c>
      <c r="D12" s="709">
        <v>-0.13610041047883809</v>
      </c>
      <c r="E12" s="710">
        <v>-0.96590900127019974</v>
      </c>
      <c r="F12" s="708">
        <v>5.8944202327504457E-3</v>
      </c>
      <c r="G12" s="711">
        <v>0.25881471572405867</v>
      </c>
      <c r="H12" s="710">
        <v>0.3765</v>
      </c>
      <c r="I12" s="708">
        <v>0.52</v>
      </c>
      <c r="J12" s="570">
        <v>1.1120000000000001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1913</v>
      </c>
      <c r="L12" s="773" t="s">
        <v>366</v>
      </c>
      <c r="M12" s="168">
        <f t="shared" si="1"/>
        <v>1.1120000000000001</v>
      </c>
      <c r="N12" s="632">
        <f t="shared" si="2"/>
        <v>4.3934950216278001E-4</v>
      </c>
      <c r="O12" s="629">
        <f t="shared" si="3"/>
        <v>3.1466094595018452</v>
      </c>
      <c r="P12" s="633">
        <f t="shared" si="4"/>
        <v>-0.13610041047883809</v>
      </c>
      <c r="Q12" s="585">
        <f>IF(M12="","",IF(DEGREES(ATAN2(N12,O12))&lt;0,DEGREES(ATAN2(N12,O12))+360,IF(DEGREES(ATAN2(N12,O12))&gt;360,DEGREES(ATAN2(N12,O12))-360,DEGREES(ATAN2(N12,O12)))))</f>
        <v>89.992000001155063</v>
      </c>
      <c r="R12" s="629">
        <f t="shared" si="79"/>
        <v>3.1466094901742223</v>
      </c>
      <c r="S12" s="634">
        <f t="shared" si="80"/>
        <v>-0.13610041047883809</v>
      </c>
      <c r="T12" s="635">
        <f>IF(M12="","",X12*COS(RADIANS(W12)))</f>
        <v>3.1466094901742223</v>
      </c>
      <c r="U12" s="629">
        <f t="shared" si="82"/>
        <v>0</v>
      </c>
      <c r="V12" s="636">
        <f t="shared" si="114"/>
        <v>-0.13610041047883809</v>
      </c>
      <c r="W12" s="585">
        <f>IF(M12="","",IF(Q12-$Q$8&lt;0,360+Q12-$Q$8,Q12-$Q$8))</f>
        <v>0</v>
      </c>
      <c r="X12" s="629">
        <f t="shared" si="83"/>
        <v>3.1466094901742223</v>
      </c>
      <c r="Y12" s="630">
        <f>IF(M12="","",S12)</f>
        <v>-0.13610041047883809</v>
      </c>
      <c r="Z12" s="632">
        <f t="shared" si="6"/>
        <v>0.96590900127019974</v>
      </c>
      <c r="AA12" s="629">
        <f t="shared" si="7"/>
        <v>-5.8944202327504457E-3</v>
      </c>
      <c r="AB12" s="629">
        <f t="shared" si="8"/>
        <v>-0.25881471572405867</v>
      </c>
      <c r="AC12" s="636">
        <f t="shared" si="84"/>
        <v>1</v>
      </c>
      <c r="AD12" s="637">
        <f t="shared" si="115"/>
        <v>0.96590900127019974</v>
      </c>
      <c r="AE12" s="629">
        <f t="shared" si="85"/>
        <v>-5.8944202327504457E-3</v>
      </c>
      <c r="AF12" s="633">
        <f t="shared" si="86"/>
        <v>-0.25881471572405867</v>
      </c>
      <c r="AG12" s="602">
        <f t="shared" si="87"/>
        <v>-1.3046670399856546</v>
      </c>
      <c r="AH12" s="603">
        <f t="shared" si="88"/>
        <v>15.003724168220351</v>
      </c>
      <c r="AI12" s="585">
        <f t="shared" si="89"/>
        <v>-75.000256805396532</v>
      </c>
      <c r="AJ12" s="586">
        <f t="shared" si="90"/>
        <v>89.650359185633619</v>
      </c>
      <c r="AK12" s="635">
        <f t="shared" ref="AK12:AK105" si="211">IF(M12="","",(COS(RADIANS((90-$Q$8)-W12))*AD12)+(-SIN(RADIANS((90-$Q$8)-W12))*AE12))</f>
        <v>0.96590981487095884</v>
      </c>
      <c r="AL12" s="629">
        <f>IF(M12="","",(SIN(RADIANS((90-$Q$8)-W12))*AD12)+(COS(RADIANS((90-$Q$8)-W12))*AE12))</f>
        <v>-5.7595538564291626E-3</v>
      </c>
      <c r="AM12" s="634">
        <f t="shared" si="92"/>
        <v>-0.25881471572405867</v>
      </c>
      <c r="AN12" s="581">
        <f>IF(M12="","",DEGREES(ATAN2(-AM12,AL12)))</f>
        <v>-1.2748257726376571</v>
      </c>
      <c r="AO12" s="582">
        <f t="shared" si="94"/>
        <v>15.003544100877527</v>
      </c>
      <c r="AP12" s="585">
        <f t="shared" si="95"/>
        <v>-0.34164081552143555</v>
      </c>
      <c r="AQ12" s="586">
        <f t="shared" si="9"/>
        <v>0.72446394926993163</v>
      </c>
      <c r="AS12" s="52">
        <f t="shared" si="116"/>
        <v>0</v>
      </c>
      <c r="AT12" s="72">
        <f>IF(M12="","",Y12+(((AS12-$AS$9)*$AS$6)*-1))</f>
        <v>-0.13609485492408466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1913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2.3753359458285887E-2</v>
      </c>
      <c r="C13" s="708">
        <v>4.0869432996187358</v>
      </c>
      <c r="D13" s="709">
        <v>-0.13040039328758601</v>
      </c>
      <c r="E13" s="710">
        <v>-0.96473377432647978</v>
      </c>
      <c r="F13" s="708">
        <v>8.9055683517351603E-2</v>
      </c>
      <c r="G13" s="711">
        <v>0.24770512692926308</v>
      </c>
      <c r="H13" s="710">
        <v>0.3765</v>
      </c>
      <c r="I13" s="708">
        <v>0.52</v>
      </c>
      <c r="J13" s="570">
        <v>1.117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1913</v>
      </c>
      <c r="L13" s="774" t="str">
        <f>IF($L12=$JH$22,$JH$29,IF($L12=$JI$22,$JI$29,""))</f>
        <v/>
      </c>
      <c r="M13" s="168">
        <f t="shared" si="1"/>
        <v>1.117</v>
      </c>
      <c r="N13" s="632">
        <f t="shared" si="2"/>
        <v>2.3753359458285887E-2</v>
      </c>
      <c r="O13" s="629">
        <f t="shared" si="3"/>
        <v>4.0869432996187358</v>
      </c>
      <c r="P13" s="633">
        <f t="shared" si="4"/>
        <v>-0.13040039328758601</v>
      </c>
      <c r="Q13" s="585">
        <f t="shared" si="113"/>
        <v>89.667000048079245</v>
      </c>
      <c r="R13" s="629">
        <f t="shared" si="79"/>
        <v>4.0870123264291767</v>
      </c>
      <c r="S13" s="634">
        <f t="shared" si="80"/>
        <v>-0.13040039328758601</v>
      </c>
      <c r="T13" s="635">
        <f>IF(M13="","",X13*COS(RADIANS(W13)))</f>
        <v>4.0869465763743733</v>
      </c>
      <c r="U13" s="629">
        <f t="shared" si="82"/>
        <v>-2.318271437562669E-2</v>
      </c>
      <c r="V13" s="636">
        <f t="shared" si="114"/>
        <v>-0.13040039328758601</v>
      </c>
      <c r="W13" s="585">
        <f t="shared" si="5"/>
        <v>359.67500004692414</v>
      </c>
      <c r="X13" s="629">
        <f t="shared" si="83"/>
        <v>4.0870123264291767</v>
      </c>
      <c r="Y13" s="630">
        <f>IF(M13="","",S13)</f>
        <v>-0.13040039328758601</v>
      </c>
      <c r="Z13" s="632">
        <f t="shared" si="6"/>
        <v>0.96473377432647978</v>
      </c>
      <c r="AA13" s="629">
        <f t="shared" si="7"/>
        <v>-8.9055683517351603E-2</v>
      </c>
      <c r="AB13" s="629">
        <f t="shared" si="8"/>
        <v>-0.24770512692926308</v>
      </c>
      <c r="AC13" s="636">
        <f t="shared" si="84"/>
        <v>1</v>
      </c>
      <c r="AD13" s="637">
        <f>IF(M13="","",Z13*(1/SQRT(Z13^2+AA13^2+AB13^2)))</f>
        <v>0.96473377432647978</v>
      </c>
      <c r="AE13" s="629">
        <f t="shared" si="85"/>
        <v>-8.9055683517351603E-2</v>
      </c>
      <c r="AF13" s="633">
        <f t="shared" si="86"/>
        <v>-0.24770512692926308</v>
      </c>
      <c r="AG13" s="602">
        <f>IF(M13="","",DEGREES(ATAN2(-AF13,AE13)))</f>
        <v>-19.77467679610384</v>
      </c>
      <c r="AH13" s="603">
        <f t="shared" si="88"/>
        <v>15.261660273073561</v>
      </c>
      <c r="AI13" s="585">
        <f t="shared" si="89"/>
        <v>-75.658245130436612</v>
      </c>
      <c r="AJ13" s="586">
        <f t="shared" si="90"/>
        <v>84.725907642688981</v>
      </c>
      <c r="AK13" s="635">
        <f t="shared" si="211"/>
        <v>0.96523506451192309</v>
      </c>
      <c r="AL13" s="629">
        <f t="shared" si="91"/>
        <v>-8.3447230808587444E-2</v>
      </c>
      <c r="AM13" s="634">
        <f t="shared" si="92"/>
        <v>-0.24770512692926308</v>
      </c>
      <c r="AN13" s="581">
        <f t="shared" si="93"/>
        <v>-18.617710008698356</v>
      </c>
      <c r="AO13" s="582">
        <f t="shared" si="94"/>
        <v>15.152162733076468</v>
      </c>
      <c r="AP13" s="585">
        <f t="shared" si="95"/>
        <v>-4.9410924053902221</v>
      </c>
      <c r="AQ13" s="586">
        <f t="shared" si="9"/>
        <v>0.55778021478490958</v>
      </c>
      <c r="AS13" s="52">
        <f t="shared" si="116"/>
        <v>-0.32499995307586005</v>
      </c>
      <c r="AT13" s="72">
        <f t="shared" si="10"/>
        <v>-0.13016914332097435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1913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7.5619212989069179E-2</v>
      </c>
      <c r="C14" s="708">
        <v>4.9399361552157517</v>
      </c>
      <c r="D14" s="709">
        <v>-0.52560158521438105</v>
      </c>
      <c r="E14" s="710">
        <v>-0.9403083208960632</v>
      </c>
      <c r="F14" s="708">
        <v>0.22665287087670496</v>
      </c>
      <c r="G14" s="711">
        <v>0.25386755952065637</v>
      </c>
      <c r="H14" s="710">
        <v>0.3765</v>
      </c>
      <c r="I14" s="708">
        <v>0.52</v>
      </c>
      <c r="J14" s="570">
        <v>1.1220000000000001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1913</v>
      </c>
      <c r="L14" s="776" t="s">
        <v>367</v>
      </c>
      <c r="M14" s="168">
        <f t="shared" si="1"/>
        <v>1.1220000000000001</v>
      </c>
      <c r="N14" s="632">
        <f t="shared" si="2"/>
        <v>7.5619212989069179E-2</v>
      </c>
      <c r="O14" s="629">
        <f t="shared" si="3"/>
        <v>4.9399361552157517</v>
      </c>
      <c r="P14" s="633">
        <f t="shared" si="4"/>
        <v>-0.52560158521438105</v>
      </c>
      <c r="Q14" s="585">
        <f t="shared" si="113"/>
        <v>89.123000126623111</v>
      </c>
      <c r="R14" s="629">
        <f t="shared" si="79"/>
        <v>4.9405149005929401</v>
      </c>
      <c r="S14" s="634">
        <f t="shared" si="80"/>
        <v>-0.52560158521438105</v>
      </c>
      <c r="T14" s="635">
        <f t="shared" si="81"/>
        <v>4.9399466654948627</v>
      </c>
      <c r="U14" s="629">
        <f t="shared" si="82"/>
        <v>-7.4929467147807599E-2</v>
      </c>
      <c r="V14" s="636">
        <f t="shared" si="114"/>
        <v>-0.52560158521438105</v>
      </c>
      <c r="W14" s="585">
        <f t="shared" si="5"/>
        <v>359.13100012546801</v>
      </c>
      <c r="X14" s="629">
        <f t="shared" si="83"/>
        <v>4.9405149005929401</v>
      </c>
      <c r="Y14" s="630">
        <f t="shared" ref="Y14:Y75" si="223">IF(M14="","",S14)</f>
        <v>-0.52560158521438105</v>
      </c>
      <c r="Z14" s="632">
        <f t="shared" si="6"/>
        <v>0.9403083208960632</v>
      </c>
      <c r="AA14" s="629">
        <f t="shared" si="7"/>
        <v>-0.22665287087670496</v>
      </c>
      <c r="AB14" s="629">
        <f t="shared" si="8"/>
        <v>-0.25386755952065637</v>
      </c>
      <c r="AC14" s="636">
        <f t="shared" si="84"/>
        <v>1</v>
      </c>
      <c r="AD14" s="637">
        <f>IF(M14="","",Z14*(1/SQRT(Z14^2+AA14^2+AB14^2)))</f>
        <v>0.9403083208960632</v>
      </c>
      <c r="AE14" s="629">
        <f t="shared" si="85"/>
        <v>-0.22665287087670496</v>
      </c>
      <c r="AF14" s="633">
        <f t="shared" si="86"/>
        <v>-0.25386755952065637</v>
      </c>
      <c r="AG14" s="602">
        <f t="shared" si="87"/>
        <v>-41.758467064941406</v>
      </c>
      <c r="AH14" s="603">
        <f t="shared" si="88"/>
        <v>19.896600503033831</v>
      </c>
      <c r="AI14" s="585">
        <f t="shared" si="89"/>
        <v>-75.293506899662987</v>
      </c>
      <c r="AJ14" s="586">
        <f t="shared" si="90"/>
        <v>76.447882844301702</v>
      </c>
      <c r="AK14" s="635">
        <f>IF(M14="","",(COS(RADIANS((90-$Q$8)-W14))*AD14)+(-SIN(RADIANS((90-$Q$8)-W14))*AE14))</f>
        <v>0.94366730532531129</v>
      </c>
      <c r="AL14" s="629">
        <f t="shared" si="91"/>
        <v>-0.21223401961771299</v>
      </c>
      <c r="AM14" s="634">
        <f t="shared" si="92"/>
        <v>-0.25386755952065637</v>
      </c>
      <c r="AN14" s="581">
        <f t="shared" si="93"/>
        <v>-39.895721610959619</v>
      </c>
      <c r="AO14" s="582">
        <f t="shared" si="94"/>
        <v>19.323154667842882</v>
      </c>
      <c r="AP14" s="585">
        <f>IF(M14="","",DEGREES(ATAN2(AK14,AL14)))</f>
        <v>-12.675117282321372</v>
      </c>
      <c r="AQ14" s="586">
        <f t="shared" si="9"/>
        <v>0.46142505228169167</v>
      </c>
      <c r="AS14" s="52">
        <f t="shared" si="116"/>
        <v>-0.86899987453199401</v>
      </c>
      <c r="AT14" s="72">
        <f t="shared" si="10"/>
        <v>-0.524992557524536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1913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0.13004703133358725</v>
      </c>
      <c r="C15" s="708">
        <v>5.5429913812930556</v>
      </c>
      <c r="D15" s="709">
        <v>-1.2465037594553385</v>
      </c>
      <c r="E15" s="710">
        <v>-0.90219073330924349</v>
      </c>
      <c r="F15" s="708">
        <v>0.37408841180469343</v>
      </c>
      <c r="G15" s="711">
        <v>0.21473178824843708</v>
      </c>
      <c r="H15" s="710">
        <v>0.3765</v>
      </c>
      <c r="I15" s="708">
        <v>0.52</v>
      </c>
      <c r="J15" s="570">
        <v>1.127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1913</v>
      </c>
      <c r="L15" s="873" t="str">
        <f>IF($L14=$JH$22,$JH$29,IF($L14=$JI$22,$JI$29,""))</f>
        <v/>
      </c>
      <c r="M15" s="168">
        <f t="shared" si="1"/>
        <v>1.127</v>
      </c>
      <c r="N15" s="632">
        <f t="shared" si="2"/>
        <v>0.13004703133358725</v>
      </c>
      <c r="O15" s="629">
        <f t="shared" si="3"/>
        <v>5.5429913812930556</v>
      </c>
      <c r="P15" s="633">
        <f t="shared" si="4"/>
        <v>-1.2465037594553385</v>
      </c>
      <c r="Q15" s="585">
        <f t="shared" si="113"/>
        <v>88.656000194049582</v>
      </c>
      <c r="R15" s="629">
        <f t="shared" si="79"/>
        <v>5.5445167222624345</v>
      </c>
      <c r="S15" s="634">
        <f t="shared" si="80"/>
        <v>-1.2465037594553385</v>
      </c>
      <c r="T15" s="635">
        <f t="shared" si="81"/>
        <v>5.543009485249689</v>
      </c>
      <c r="U15" s="629">
        <f t="shared" si="82"/>
        <v>-0.12927308258007603</v>
      </c>
      <c r="V15" s="636">
        <f t="shared" si="114"/>
        <v>-1.2465037594553385</v>
      </c>
      <c r="W15" s="585">
        <f t="shared" ref="W15:W78" si="224">IF(M15="","",IF(Q15-$Q$8&lt;0,360+Q15-$Q$8,Q15-$Q$8))</f>
        <v>358.66400019289449</v>
      </c>
      <c r="X15" s="629">
        <f>IF(M15="","",R15)</f>
        <v>5.5445167222624345</v>
      </c>
      <c r="Y15" s="630">
        <f>IF(M15="","",S15)</f>
        <v>-1.2465037594553385</v>
      </c>
      <c r="Z15" s="632">
        <f t="shared" si="6"/>
        <v>0.90219073330924349</v>
      </c>
      <c r="AA15" s="629">
        <f t="shared" si="7"/>
        <v>-0.37408841180469343</v>
      </c>
      <c r="AB15" s="629">
        <f t="shared" si="8"/>
        <v>-0.21473178824843708</v>
      </c>
      <c r="AC15" s="636">
        <f t="shared" si="84"/>
        <v>1</v>
      </c>
      <c r="AD15" s="637">
        <f t="shared" si="115"/>
        <v>0.90219073330924349</v>
      </c>
      <c r="AE15" s="629">
        <f t="shared" si="85"/>
        <v>-0.37408841180469343</v>
      </c>
      <c r="AF15" s="633">
        <f t="shared" si="86"/>
        <v>-0.21473178824843708</v>
      </c>
      <c r="AG15" s="602">
        <f t="shared" si="87"/>
        <v>-60.143595456743498</v>
      </c>
      <c r="AH15" s="603">
        <f t="shared" si="88"/>
        <v>25.55245959149595</v>
      </c>
      <c r="AI15" s="585">
        <f t="shared" si="89"/>
        <v>-77.600207608043206</v>
      </c>
      <c r="AJ15" s="586">
        <f t="shared" si="90"/>
        <v>67.478928946943981</v>
      </c>
      <c r="AK15" s="635">
        <f t="shared" si="211"/>
        <v>0.91071680353173479</v>
      </c>
      <c r="AL15" s="629">
        <f t="shared" si="91"/>
        <v>-0.35282454971354804</v>
      </c>
      <c r="AM15" s="634">
        <f t="shared" si="92"/>
        <v>-0.21473178824843708</v>
      </c>
      <c r="AN15" s="581">
        <f>IF(M15="","",DEGREES(ATAN2(-AM15,AL15)))</f>
        <v>-58.674978229256254</v>
      </c>
      <c r="AO15" s="582">
        <f t="shared" si="94"/>
        <v>24.39540284219617</v>
      </c>
      <c r="AP15" s="585">
        <f t="shared" si="95"/>
        <v>-21.17707124710557</v>
      </c>
      <c r="AQ15" s="586">
        <f t="shared" si="9"/>
        <v>0.41116072208668075</v>
      </c>
      <c r="AS15" s="52">
        <f t="shared" si="116"/>
        <v>-1.3359998071055088</v>
      </c>
      <c r="AT15" s="72">
        <f t="shared" si="10"/>
        <v>-1.2455704262567617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1913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0.15989125368089283</v>
      </c>
      <c r="C16" s="708">
        <v>5.8262064284572306</v>
      </c>
      <c r="D16" s="709">
        <v>-3.0830092983560444</v>
      </c>
      <c r="E16" s="710">
        <v>-0.85198294190334223</v>
      </c>
      <c r="F16" s="708">
        <v>0.52356954333280903</v>
      </c>
      <c r="G16" s="711">
        <v>2.4629501486506058E-17</v>
      </c>
      <c r="H16" s="710">
        <v>0.3765</v>
      </c>
      <c r="I16" s="708">
        <v>0.52</v>
      </c>
      <c r="J16" s="570">
        <v>1.137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1913</v>
      </c>
      <c r="L16" s="320"/>
      <c r="M16" s="168">
        <f t="shared" si="1"/>
        <v>1.137</v>
      </c>
      <c r="N16" s="632">
        <f t="shared" si="2"/>
        <v>0.15989125368089283</v>
      </c>
      <c r="O16" s="629">
        <f t="shared" si="3"/>
        <v>5.8262064284572306</v>
      </c>
      <c r="P16" s="633">
        <f t="shared" si="4"/>
        <v>-3.0830092983560444</v>
      </c>
      <c r="Q16" s="585">
        <f>IF(M16="","",IF(DEGREES(ATAN2(N16,O16))&lt;0,DEGREES(ATAN2(N16,O16))+360,IF(DEGREES(ATAN2(N16,O16))&gt;360,DEGREES(ATAN2(N16,O16))-360,DEGREES(ATAN2(N16,O16)))))</f>
        <v>88.428000226968678</v>
      </c>
      <c r="R16" s="629">
        <f t="shared" si="79"/>
        <v>5.8284000000000002</v>
      </c>
      <c r="S16" s="634">
        <f t="shared" si="80"/>
        <v>-3.0830092983560444</v>
      </c>
      <c r="T16" s="635">
        <f t="shared" si="81"/>
        <v>5.8262286966920787</v>
      </c>
      <c r="U16" s="629">
        <f t="shared" si="82"/>
        <v>-0.15907776036179516</v>
      </c>
      <c r="V16" s="636">
        <f t="shared" si="114"/>
        <v>-3.0830092983560444</v>
      </c>
      <c r="W16" s="585">
        <f>IF(M16="","",IF(Q16-$Q$8&lt;0,360+Q16-$Q$8,Q16-$Q$8))</f>
        <v>358.43600022581359</v>
      </c>
      <c r="X16" s="629">
        <f t="shared" si="83"/>
        <v>5.8284000000000002</v>
      </c>
      <c r="Y16" s="630">
        <f t="shared" si="223"/>
        <v>-3.0830092983560444</v>
      </c>
      <c r="Z16" s="632">
        <f t="shared" si="6"/>
        <v>0.85198294190334223</v>
      </c>
      <c r="AA16" s="629">
        <f t="shared" si="7"/>
        <v>-0.52356954333280903</v>
      </c>
      <c r="AB16" s="629">
        <f t="shared" si="8"/>
        <v>-2.4629501486506058E-17</v>
      </c>
      <c r="AC16" s="636">
        <f t="shared" si="84"/>
        <v>1</v>
      </c>
      <c r="AD16" s="637">
        <f t="shared" si="115"/>
        <v>0.85198294190334223</v>
      </c>
      <c r="AE16" s="629">
        <f t="shared" si="85"/>
        <v>-0.52356954333280903</v>
      </c>
      <c r="AF16" s="633">
        <f t="shared" si="86"/>
        <v>-2.4629501486506058E-17</v>
      </c>
      <c r="AG16" s="602">
        <f t="shared" si="87"/>
        <v>-90</v>
      </c>
      <c r="AH16" s="603">
        <f t="shared" si="88"/>
        <v>31.571995441567839</v>
      </c>
      <c r="AI16" s="585">
        <f t="shared" si="89"/>
        <v>-90</v>
      </c>
      <c r="AJ16" s="586">
        <f t="shared" si="90"/>
        <v>58.428004558432157</v>
      </c>
      <c r="AK16" s="635">
        <f t="shared" si="211"/>
        <v>0.86602544158358585</v>
      </c>
      <c r="AL16" s="629">
        <f t="shared" si="91"/>
        <v>-0.49999993452995101</v>
      </c>
      <c r="AM16" s="634">
        <f t="shared" si="92"/>
        <v>-2.4629501486506058E-17</v>
      </c>
      <c r="AN16" s="581">
        <f t="shared" si="93"/>
        <v>-90</v>
      </c>
      <c r="AO16" s="582">
        <f t="shared" si="94"/>
        <v>29.99999566853651</v>
      </c>
      <c r="AP16" s="585">
        <f t="shared" si="95"/>
        <v>-29.999995668536517</v>
      </c>
      <c r="AQ16" s="586">
        <f t="shared" si="9"/>
        <v>0.39113499730302914</v>
      </c>
      <c r="AS16" s="52">
        <f t="shared" si="116"/>
        <v>-1.5639997741864136</v>
      </c>
      <c r="AT16" s="72">
        <f t="shared" si="10"/>
        <v>-3.081917631846995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1913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0.1557526144593912</v>
      </c>
      <c r="C17" s="708">
        <v>5.7821200762733174</v>
      </c>
      <c r="D17" s="709">
        <v>-2.1559065022140103</v>
      </c>
      <c r="E17" s="710">
        <v>-0.8584002936730416</v>
      </c>
      <c r="F17" s="708">
        <v>0.49693297423398886</v>
      </c>
      <c r="G17" s="711">
        <v>0.12730496824946713</v>
      </c>
      <c r="H17" s="710">
        <v>0.3765</v>
      </c>
      <c r="I17" s="708">
        <v>0.52</v>
      </c>
      <c r="J17" s="570">
        <v>1.232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1913</v>
      </c>
      <c r="M17" s="168">
        <f t="shared" si="1"/>
        <v>1.232</v>
      </c>
      <c r="N17" s="632">
        <f t="shared" si="2"/>
        <v>0.1557526144593912</v>
      </c>
      <c r="O17" s="629">
        <f t="shared" si="3"/>
        <v>5.7821200762733174</v>
      </c>
      <c r="P17" s="633">
        <f t="shared" si="4"/>
        <v>-2.1559065022140103</v>
      </c>
      <c r="Q17" s="585">
        <f>IF(M17="","",IF(DEGREES(ATAN2(N17,O17))&lt;0,DEGREES(ATAN2(N17,O17))+360,IF(DEGREES(ATAN2(N17,O17))&gt;360,DEGREES(ATAN2(N17,O17))-360,DEGREES(ATAN2(N17,O17)))))</f>
        <v>88.457000222781602</v>
      </c>
      <c r="R17" s="629">
        <f>IF(M17="","",SQRT(N17^2+O17^2))</f>
        <v>5.7842174451998156</v>
      </c>
      <c r="S17" s="634">
        <f>IF(M17="","",P17)</f>
        <v>-2.1559065022140103</v>
      </c>
      <c r="T17" s="635">
        <f>IF(M17="","",X17*COS(RADIANS(W17)))</f>
        <v>5.782141767074946</v>
      </c>
      <c r="U17" s="629">
        <f>IF(M17="","",X17*SIN(RADIANS(W17)))</f>
        <v>-0.15494527679572648</v>
      </c>
      <c r="V17" s="636">
        <f>IF(M17="","",Y17)</f>
        <v>-2.1559065022140103</v>
      </c>
      <c r="W17" s="585">
        <f t="shared" si="224"/>
        <v>358.46500022162655</v>
      </c>
      <c r="X17" s="629">
        <f>IF(M17="","",R17)</f>
        <v>5.7842174451998156</v>
      </c>
      <c r="Y17" s="630">
        <f t="shared" si="223"/>
        <v>-2.1559065022140103</v>
      </c>
      <c r="Z17" s="632">
        <f t="shared" si="6"/>
        <v>0.8584002936730416</v>
      </c>
      <c r="AA17" s="629">
        <f t="shared" si="7"/>
        <v>-0.49693297423398886</v>
      </c>
      <c r="AB17" s="629">
        <f t="shared" si="8"/>
        <v>-0.12730496824946713</v>
      </c>
      <c r="AC17" s="636">
        <f>IF(M17="","",SQRT(Z17^2+AA17^2+AB17^2))</f>
        <v>1</v>
      </c>
      <c r="AD17" s="637">
        <f>IF(M17="","",Z17*(1/SQRT(Z17^2+AA17^2+AB17^2)))</f>
        <v>0.8584002936730416</v>
      </c>
      <c r="AE17" s="629">
        <f>IF(M17="","",AA17*(1/SQRT(Z17^2+AA17^2+AB17^2)))</f>
        <v>-0.49693297423398886</v>
      </c>
      <c r="AF17" s="633">
        <f>IF(M17="","",AB17*(1/SQRT(Z17^2+AA17^2+AB17^2)))</f>
        <v>-0.12730496824946713</v>
      </c>
      <c r="AG17" s="602">
        <f>IF(M17="","",DEGREES(ATAN2(-AF17,AE17)))</f>
        <v>-75.630911495269672</v>
      </c>
      <c r="AH17" s="603">
        <f>IF(M17="","",DEGREES(ACOS(AD17)))</f>
        <v>30.862560336733399</v>
      </c>
      <c r="AI17" s="585">
        <f>IF(M17="","",DEGREES(-ACOS(-AF17)))</f>
        <v>-82.686115652327445</v>
      </c>
      <c r="AJ17" s="586">
        <f>IF(M17="","",DEGREES(ATAN2(-AE17,AD17)))</f>
        <v>59.933197736182201</v>
      </c>
      <c r="AK17" s="635">
        <f>IF(M17="","",(COS(RADIANS((90-$Q$8)-W17))*AD17)+(-SIN(RADIANS((90-$Q$8)-W17))*AE17))</f>
        <v>0.87147003535578416</v>
      </c>
      <c r="AL17" s="629">
        <f>IF(M17="","",(SIN(RADIANS((90-$Q$8)-W17))*AD17)+(COS(RADIANS((90-$Q$8)-W17))*AE17))</f>
        <v>-0.47363849351165543</v>
      </c>
      <c r="AM17" s="634">
        <f>IF(M17="","",AF17)</f>
        <v>-0.12730496824946713</v>
      </c>
      <c r="AN17" s="581">
        <f>IF(M17="","",DEGREES(ATAN2(-AM17,AL17)))</f>
        <v>-74.9555494751813</v>
      </c>
      <c r="AO17" s="582">
        <f t="shared" si="94"/>
        <v>29.370080950720364</v>
      </c>
      <c r="AP17" s="585">
        <f>IF(M17="","",DEGREES(ATAN2(AK17,AL17)))</f>
        <v>-28.523802486599454</v>
      </c>
      <c r="AQ17" s="586">
        <f t="shared" si="9"/>
        <v>0.39412257523438515</v>
      </c>
      <c r="AS17" s="52">
        <f t="shared" si="116"/>
        <v>-1.5349997783734466</v>
      </c>
      <c r="AT17" s="72">
        <f t="shared" si="10"/>
        <v>-2.1548349745909419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1.232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1913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0.9860910998243132</v>
      </c>
      <c r="C18" s="708">
        <v>0.17387374893304194</v>
      </c>
      <c r="D18" s="709">
        <v>-0.70950213985845378</v>
      </c>
      <c r="E18" s="710">
        <v>-0.16317526120048495</v>
      </c>
      <c r="F18" s="708">
        <v>0.92541671050797825</v>
      </c>
      <c r="G18" s="711">
        <v>0.34202009596622596</v>
      </c>
      <c r="H18" s="710">
        <v>0.3765</v>
      </c>
      <c r="I18" s="708">
        <v>0.52</v>
      </c>
      <c r="J18" s="570">
        <v>2.1030000000000002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1913</v>
      </c>
      <c r="L18" s="779" t="s">
        <v>331</v>
      </c>
      <c r="M18" s="168">
        <f t="shared" si="1"/>
        <v>2.1030000000000002</v>
      </c>
      <c r="N18" s="632">
        <f t="shared" si="2"/>
        <v>0.9860910998243132</v>
      </c>
      <c r="O18" s="629">
        <f t="shared" si="3"/>
        <v>0.17387374893304194</v>
      </c>
      <c r="P18" s="633">
        <f t="shared" si="4"/>
        <v>-0.70950213985845378</v>
      </c>
      <c r="Q18" s="585">
        <f t="shared" si="113"/>
        <v>9.9999595730076578</v>
      </c>
      <c r="R18" s="629">
        <f>IF(M18="","",SQRT(N18^2+O18^2))</f>
        <v>1.0013030199299082</v>
      </c>
      <c r="S18" s="634">
        <f>IF(M18="","",P18)</f>
        <v>-0.70950213985845378</v>
      </c>
      <c r="T18" s="635">
        <f>IF(M18="","",X18*COS(RADIANS(W18)))</f>
        <v>0.17401143150916937</v>
      </c>
      <c r="U18" s="629">
        <f>IF(M18="","",X18*SIN(RADIANS(W18)))</f>
        <v>-0.9860668128605099</v>
      </c>
      <c r="V18" s="636">
        <f>IF(M18="","",Y18)</f>
        <v>-0.70950213985845378</v>
      </c>
      <c r="W18" s="585">
        <f t="shared" si="224"/>
        <v>280.00795957185261</v>
      </c>
      <c r="X18" s="629">
        <f>IF(M18="","",R18)</f>
        <v>1.0013030199299082</v>
      </c>
      <c r="Y18" s="630">
        <f t="shared" si="223"/>
        <v>-0.70950213985845378</v>
      </c>
      <c r="Z18" s="632">
        <f t="shared" si="6"/>
        <v>0.16317526120048495</v>
      </c>
      <c r="AA18" s="629">
        <f t="shared" si="7"/>
        <v>-0.92541671050797825</v>
      </c>
      <c r="AB18" s="629">
        <f t="shared" si="8"/>
        <v>-0.34202009596622596</v>
      </c>
      <c r="AC18" s="636">
        <f>IF(M18="","",SQRT(Z18^2+AA18^2+AB18^2))</f>
        <v>1</v>
      </c>
      <c r="AD18" s="637">
        <f>IF(M18="","",Z18*(1/SQRT(Z18^2+AA18^2+AB18^2)))</f>
        <v>0.16317526120048495</v>
      </c>
      <c r="AE18" s="629">
        <f>IF(M18="","",AA18*(1/SQRT(Z18^2+AA18^2+AB18^2)))</f>
        <v>-0.92541671050797825</v>
      </c>
      <c r="AF18" s="633">
        <f>IF(M18="","",AB18*(1/SQRT(Z18^2+AA18^2+AB18^2)))</f>
        <v>-0.34202009596622596</v>
      </c>
      <c r="AG18" s="602">
        <f>IF(M18="","",DEGREES(ATAN2(-AF18,AE18)))</f>
        <v>-69.716445784954416</v>
      </c>
      <c r="AH18" s="603">
        <f>IF(M18="","",DEGREES(ACOS(AD18)))</f>
        <v>80.60875194417892</v>
      </c>
      <c r="AI18" s="585">
        <f>IF(M18="","",DEGREES(-ACOS(-AF18)))</f>
        <v>-70.00000288764231</v>
      </c>
      <c r="AJ18" s="586">
        <f>IF(M18="","",DEGREES(ATAN2(-AE18,AD18)))</f>
        <v>9.9999595730076578</v>
      </c>
      <c r="AK18" s="635">
        <f>IF(M18="","",(COS(RADIANS((90-$Q$8)-W18))*AD18)+(-SIN(RADIANS((90-$Q$8)-W18))*AE18))</f>
        <v>0.93969263802333458</v>
      </c>
      <c r="AL18" s="629">
        <f>IF(M18="","",(SIN(RADIANS((90-$Q$8)-W18))*AD18)+(COS(RADIANS((90-$Q$8)-W18))*AE18))</f>
        <v>2.7755575615628914E-17</v>
      </c>
      <c r="AM18" s="634">
        <f>IF(M18="","",AF18)</f>
        <v>-0.34202009596622596</v>
      </c>
      <c r="AN18" s="581">
        <f>IF(M18="","",DEGREES(ATAN2(-AM18,AL18)))</f>
        <v>4.6496605301484863E-15</v>
      </c>
      <c r="AO18" s="582">
        <f t="shared" si="94"/>
        <v>19.999997112357679</v>
      </c>
      <c r="AP18" s="585">
        <f>IF(M18="","",DEGREES(ATAN2(AK18,AL18)))</f>
        <v>1.6923377670351276E-15</v>
      </c>
      <c r="AQ18" s="586">
        <f t="shared" si="9"/>
        <v>2.2755627481481731</v>
      </c>
      <c r="AS18" s="52">
        <f t="shared" si="116"/>
        <v>-79.992040428147391</v>
      </c>
      <c r="AT18" s="72">
        <f t="shared" si="10"/>
        <v>-0.65394655622859799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2.1030000000000002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1913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1.8857158073939828</v>
      </c>
      <c r="C19" s="708">
        <v>0.33250120289322749</v>
      </c>
      <c r="D19" s="709">
        <v>-0.46470140153942718</v>
      </c>
      <c r="E19" s="710">
        <v>-0.16514857249122022</v>
      </c>
      <c r="F19" s="708">
        <v>0.93660796113044187</v>
      </c>
      <c r="G19" s="711">
        <v>0.30901695123599426</v>
      </c>
      <c r="H19" s="710">
        <v>0.3765</v>
      </c>
      <c r="I19" s="708">
        <v>0.52</v>
      </c>
      <c r="J19" s="570">
        <v>2.1059999999999999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1913</v>
      </c>
      <c r="L19" s="775" t="s">
        <v>366</v>
      </c>
      <c r="M19" s="168">
        <f>IF(J19="","",VALUE(J19))</f>
        <v>2.1059999999999999</v>
      </c>
      <c r="N19" s="632">
        <f t="shared" si="2"/>
        <v>1.8857158073939828</v>
      </c>
      <c r="O19" s="629">
        <f t="shared" si="3"/>
        <v>0.33250120289322749</v>
      </c>
      <c r="P19" s="633">
        <f t="shared" si="4"/>
        <v>-0.46470140153942718</v>
      </c>
      <c r="Q19" s="585">
        <f t="shared" si="113"/>
        <v>9.999959573007656</v>
      </c>
      <c r="R19" s="629">
        <f>IF(M19="","",SQRT(N19^2+O19^2))</f>
        <v>1.9148057750542178</v>
      </c>
      <c r="S19" s="634">
        <f>IF(M19="","",P19)</f>
        <v>-0.46470140153942718</v>
      </c>
      <c r="T19" s="635">
        <f>IF(M19="","",X19*COS(RADIANS(W19)))</f>
        <v>0.3327644952099828</v>
      </c>
      <c r="U19" s="629">
        <f>IF(M19="","",X19*SIN(RADIANS(W19)))</f>
        <v>-1.8856693630932835</v>
      </c>
      <c r="V19" s="636">
        <f>IF(M19="","",Y19)</f>
        <v>-0.46470140153942718</v>
      </c>
      <c r="W19" s="585">
        <f t="shared" si="224"/>
        <v>280.00795957185255</v>
      </c>
      <c r="X19" s="629">
        <f>IF(M19="","",R19)</f>
        <v>1.9148057750542178</v>
      </c>
      <c r="Y19" s="630">
        <f t="shared" si="223"/>
        <v>-0.46470140153942718</v>
      </c>
      <c r="Z19" s="632">
        <f t="shared" si="6"/>
        <v>0.16514857249122022</v>
      </c>
      <c r="AA19" s="629">
        <f t="shared" si="7"/>
        <v>-0.93660796113044187</v>
      </c>
      <c r="AB19" s="629">
        <f t="shared" si="8"/>
        <v>-0.30901695123599426</v>
      </c>
      <c r="AC19" s="636">
        <f>IF(M19="","",SQRT(Z19^2+AA19^2+AB19^2))</f>
        <v>1</v>
      </c>
      <c r="AD19" s="637">
        <f>IF(M19="","",Z19*(1/SQRT(Z19^2+AA19^2+AB19^2)))</f>
        <v>0.16514857249122022</v>
      </c>
      <c r="AE19" s="629">
        <f>IF(M19="","",AA19*(1/SQRT(Z19^2+AA19^2+AB19^2)))</f>
        <v>-0.93660796113044187</v>
      </c>
      <c r="AF19" s="633">
        <f>IF(M19="","",AB19*(1/SQRT(Z19^2+AA19^2+AB19^2)))</f>
        <v>-0.30901695123599426</v>
      </c>
      <c r="AG19" s="602">
        <f>IF(M19="","",DEGREES(ATAN2(-AF19,AE19)))</f>
        <v>-71.740622882967912</v>
      </c>
      <c r="AH19" s="603">
        <f>IF(M19="","",DEGREES(ACOS(AD19)))</f>
        <v>80.494134547483341</v>
      </c>
      <c r="AI19" s="585">
        <f>IF(M19="","",DEGREES(-ACOS(-AF19)))</f>
        <v>-72.000002598878069</v>
      </c>
      <c r="AJ19" s="586">
        <f>IF(M19="","",DEGREES(ATAN2(-AE19,AD19)))</f>
        <v>9.9999595730076507</v>
      </c>
      <c r="AK19" s="635">
        <f>IF(M19="","",(COS(RADIANS((90-$Q$8)-W19))*AD19)+(-SIN(RADIANS((90-$Q$8)-W19))*AE19))</f>
        <v>0.951056530311848</v>
      </c>
      <c r="AL19" s="629">
        <f>IF(M19="","",(SIN(RADIANS((90-$Q$8)-W19))*AD19)+(COS(RADIANS((90-$Q$8)-W19))*AE19))</f>
        <v>7.7715611723760958E-16</v>
      </c>
      <c r="AM19" s="634">
        <f>IF(M19="","",AF19)</f>
        <v>-0.30901695123599426</v>
      </c>
      <c r="AN19" s="581">
        <f>IF(M19="","",DEGREES(ATAN2(-AM19,AL19)))</f>
        <v>1.4409489629092763E-13</v>
      </c>
      <c r="AO19" s="582">
        <f t="shared" si="94"/>
        <v>17.999997401121927</v>
      </c>
      <c r="AP19" s="585">
        <f>IF(M19="","",DEGREES(ATAN2(AK19,AL19)))</f>
        <v>4.6819262705539432E-14</v>
      </c>
      <c r="AQ19" s="586">
        <f t="shared" si="9"/>
        <v>1.1904072083456845</v>
      </c>
      <c r="AS19" s="52">
        <f t="shared" si="116"/>
        <v>-79.992040428147448</v>
      </c>
      <c r="AT19" s="72">
        <f t="shared" si="10"/>
        <v>-0.40914581790957139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2.1059999999999999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1913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2.9165173196142051</v>
      </c>
      <c r="C20" s="708">
        <v>0.51425857132248409</v>
      </c>
      <c r="D20" s="709">
        <v>-0.18430055585047658</v>
      </c>
      <c r="E20" s="710">
        <v>-0.1677305900075225</v>
      </c>
      <c r="F20" s="708">
        <v>0.95125137054698705</v>
      </c>
      <c r="G20" s="711">
        <v>0.25881900859134599</v>
      </c>
      <c r="H20" s="710">
        <v>0.3765</v>
      </c>
      <c r="I20" s="708">
        <v>0.52</v>
      </c>
      <c r="J20" s="570">
        <v>2.1110000000000002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1913</v>
      </c>
      <c r="L20" s="774" t="str">
        <f>IF($L19=$JH$22,$JH$30,IF($L19=$JI$22,$JI$30,""))</f>
        <v/>
      </c>
      <c r="M20" s="168">
        <f t="shared" si="1"/>
        <v>2.1110000000000002</v>
      </c>
      <c r="N20" s="632">
        <f t="shared" si="2"/>
        <v>2.9165173196142051</v>
      </c>
      <c r="O20" s="629">
        <f t="shared" si="3"/>
        <v>0.51425857132248409</v>
      </c>
      <c r="P20" s="633">
        <f t="shared" si="4"/>
        <v>-0.18430055585047658</v>
      </c>
      <c r="Q20" s="585">
        <f t="shared" si="113"/>
        <v>9.9999595730076507</v>
      </c>
      <c r="R20" s="629">
        <f>IF(M20="","",SQRT(N20^2+O20^2))</f>
        <v>2.9615089319109389</v>
      </c>
      <c r="S20" s="634">
        <f>IF(M20="","",P20)</f>
        <v>-0.18430055585047658</v>
      </c>
      <c r="T20" s="635">
        <f>IF(M20="","",X20*COS(RADIANS(W20)))</f>
        <v>0.51466578888884695</v>
      </c>
      <c r="U20" s="629">
        <f>IF(M20="","",X20*SIN(RADIANS(W20)))</f>
        <v>-2.9164454871531014</v>
      </c>
      <c r="V20" s="636">
        <f>IF(M20="","",Y20)</f>
        <v>-0.18430055585047658</v>
      </c>
      <c r="W20" s="585">
        <f t="shared" si="224"/>
        <v>280.00795957185255</v>
      </c>
      <c r="X20" s="629">
        <f>IF(M20="","",R20)</f>
        <v>2.9615089319109389</v>
      </c>
      <c r="Y20" s="630">
        <f t="shared" si="223"/>
        <v>-0.18430055585047658</v>
      </c>
      <c r="Z20" s="632">
        <f t="shared" si="6"/>
        <v>0.1677305900075225</v>
      </c>
      <c r="AA20" s="629">
        <f t="shared" si="7"/>
        <v>-0.95125137054698705</v>
      </c>
      <c r="AB20" s="629">
        <f t="shared" si="8"/>
        <v>-0.25881900859134599</v>
      </c>
      <c r="AC20" s="636">
        <f>IF(M20="","",SQRT(Z20^2+AA20^2+AB20^2))</f>
        <v>1</v>
      </c>
      <c r="AD20" s="637">
        <f>IF(M20="","",Z20*(1/SQRT(Z20^2+AA20^2+AB20^2)))</f>
        <v>0.1677305900075225</v>
      </c>
      <c r="AE20" s="629">
        <f>IF(M20="","",AA20*(1/SQRT(Z20^2+AA20^2+AB20^2)))</f>
        <v>-0.95125137054698705</v>
      </c>
      <c r="AF20" s="633">
        <f>IF(M20="","",AB20*(1/SQRT(Z20^2+AA20^2+AB20^2)))</f>
        <v>-0.25881900859134599</v>
      </c>
      <c r="AG20" s="602">
        <f>IF(M20="","",DEGREES(ATAN2(-AF20,AE20)))</f>
        <v>-74.779263265977889</v>
      </c>
      <c r="AH20" s="603">
        <f>IF(M20="","",DEGREES(ACOS(AD20)))</f>
        <v>80.344103104929573</v>
      </c>
      <c r="AI20" s="585">
        <f>IF(M20="","",DEGREES(-ACOS(-AF20)))</f>
        <v>-75.000002165731729</v>
      </c>
      <c r="AJ20" s="586">
        <f>IF(M20="","",DEGREES(ATAN2(-AE20,AD20)))</f>
        <v>9.9999595730076525</v>
      </c>
      <c r="AK20" s="635">
        <f>IF(M20="","",(COS(RADIANS((90-$Q$8)-W20))*AD20)+(-SIN(RADIANS((90-$Q$8)-W20))*AE20))</f>
        <v>0.96592583607220739</v>
      </c>
      <c r="AL20" s="629">
        <f>IF(M20="","",(SIN(RADIANS((90-$Q$8)-W20))*AD20)+(COS(RADIANS((90-$Q$8)-W20))*AE20))</f>
        <v>8.0491169285323849E-16</v>
      </c>
      <c r="AM20" s="634">
        <f>IF(M20="","",AF20)</f>
        <v>-0.25881900859134599</v>
      </c>
      <c r="AN20" s="581">
        <f>IF(M20="","",DEGREES(ATAN2(-AM20,AL20)))</f>
        <v>1.7818645984398157E-13</v>
      </c>
      <c r="AO20" s="582">
        <f t="shared" si="94"/>
        <v>14.999997834268255</v>
      </c>
      <c r="AP20" s="585">
        <f>IF(M20="","",DEGREES(ATAN2(AK20,AL20)))</f>
        <v>4.7744910798486453E-14</v>
      </c>
      <c r="AQ20" s="586">
        <f t="shared" si="9"/>
        <v>0.76973918711777334</v>
      </c>
      <c r="AS20" s="52">
        <f t="shared" si="116"/>
        <v>-79.992040428147448</v>
      </c>
      <c r="AT20" s="72">
        <f t="shared" si="10"/>
        <v>-0.12874497222062076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1913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3.8437509233012133</v>
      </c>
      <c r="C21" s="708">
        <v>0.66123417649599103</v>
      </c>
      <c r="D21" s="709">
        <v>-9.8400296775294924E-2</v>
      </c>
      <c r="E21" s="710">
        <v>-0.10309492629165416</v>
      </c>
      <c r="F21" s="708">
        <v>0.96187863753491609</v>
      </c>
      <c r="G21" s="711">
        <v>0.25330006479843631</v>
      </c>
      <c r="H21" s="710">
        <v>0.3765</v>
      </c>
      <c r="I21" s="708">
        <v>0.52</v>
      </c>
      <c r="J21" s="570">
        <v>2.1160000000000001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1913</v>
      </c>
      <c r="L21" s="776" t="s">
        <v>367</v>
      </c>
      <c r="M21" s="168">
        <f t="shared" si="1"/>
        <v>2.1160000000000001</v>
      </c>
      <c r="N21" s="632">
        <f t="shared" si="2"/>
        <v>3.8437509233012133</v>
      </c>
      <c r="O21" s="629">
        <f t="shared" si="3"/>
        <v>0.66123417649599103</v>
      </c>
      <c r="P21" s="633">
        <f t="shared" si="4"/>
        <v>-9.8400296775294924E-2</v>
      </c>
      <c r="Q21" s="585">
        <f t="shared" si="113"/>
        <v>9.7609596075149909</v>
      </c>
      <c r="R21" s="629">
        <f>IF(M21="","",SQRT(N21^2+O21^2))</f>
        <v>3.9002117630386763</v>
      </c>
      <c r="S21" s="634">
        <f>IF(M21="","",P21)</f>
        <v>-9.8400296775294924E-2</v>
      </c>
      <c r="T21" s="635">
        <f>IF(M21="","",X21*COS(RADIANS(W21)))</f>
        <v>0.66177085884511699</v>
      </c>
      <c r="U21" s="629">
        <f>IF(M21="","",X21*SIN(RADIANS(W21)))</f>
        <v>-3.84365856013885</v>
      </c>
      <c r="V21" s="636">
        <f>IF(M21="","",Y21)</f>
        <v>-9.8400296775294924E-2</v>
      </c>
      <c r="W21" s="585">
        <f t="shared" si="224"/>
        <v>279.76895960635994</v>
      </c>
      <c r="X21" s="629">
        <f>IF(M21="","",R21)</f>
        <v>3.9002117630386763</v>
      </c>
      <c r="Y21" s="630">
        <f t="shared" si="223"/>
        <v>-9.8400296775294924E-2</v>
      </c>
      <c r="Z21" s="632">
        <f t="shared" si="6"/>
        <v>0.10309492629165416</v>
      </c>
      <c r="AA21" s="629">
        <f t="shared" si="7"/>
        <v>-0.96187863753491609</v>
      </c>
      <c r="AB21" s="629">
        <f t="shared" si="8"/>
        <v>-0.25330006479843631</v>
      </c>
      <c r="AC21" s="636">
        <f>IF(M21="","",SQRT(Z21^2+AA21^2+AB21^2))</f>
        <v>1</v>
      </c>
      <c r="AD21" s="637">
        <f>IF(M21="","",Z21*(1/SQRT(Z21^2+AA21^2+AB21^2)))</f>
        <v>0.10309492629165416</v>
      </c>
      <c r="AE21" s="629">
        <f>IF(M21="","",AA21*(1/SQRT(Z21^2+AA21^2+AB21^2)))</f>
        <v>-0.96187863753491609</v>
      </c>
      <c r="AF21" s="633">
        <f>IF(M21="","",AB21*(1/SQRT(Z21^2+AA21^2+AB21^2)))</f>
        <v>-0.25330006479843631</v>
      </c>
      <c r="AG21" s="602">
        <f>IF(M21="","",DEGREES(ATAN2(-AF21,AE21)))</f>
        <v>-75.246738307571761</v>
      </c>
      <c r="AH21" s="603">
        <f>IF(M21="","",DEGREES(ACOS(AD21)))</f>
        <v>84.082581817911588</v>
      </c>
      <c r="AI21" s="585">
        <f>IF(M21="","",DEGREES(-ACOS(-AF21)))</f>
        <v>-75.327120672003275</v>
      </c>
      <c r="AJ21" s="586">
        <f>IF(M21="","",DEGREES(ATAN2(-AE21,AD21)))</f>
        <v>6.1176531103830305</v>
      </c>
      <c r="AK21" s="635">
        <f>IF(M21="","",(COS(RADIANS((90-$Q$8)-W21))*AD21)+(-SIN(RADIANS((90-$Q$8)-W21))*AE21))</f>
        <v>0.96543265304196868</v>
      </c>
      <c r="AL21" s="629">
        <f>IF(M21="","",(SIN(RADIANS((90-$Q$8)-W21))*AD21)+(COS(RADIANS((90-$Q$8)-W21))*AE21))</f>
        <v>-6.1472511039112179E-2</v>
      </c>
      <c r="AM21" s="634">
        <f>IF(M21="","",AF21)</f>
        <v>-0.25330006479843631</v>
      </c>
      <c r="AN21" s="581">
        <f>IF(M21="","",DEGREES(ATAN2(-AM21,AL21)))</f>
        <v>-13.641187230795939</v>
      </c>
      <c r="AO21" s="582">
        <f>IF(ROUND(IF(M21="",0,DEGREES(ACOS(AK21))),4)=90,0,IF(M21="","",DEGREES(ACOS(AK21))))</f>
        <v>15.108790290619355</v>
      </c>
      <c r="AP21" s="585">
        <f>IF(M21="","",DEGREES(ATAN2(AK21,AL21)))</f>
        <v>-3.6433064971319649</v>
      </c>
      <c r="AQ21" s="586">
        <f t="shared" si="9"/>
        <v>0.58449327583592858</v>
      </c>
      <c r="AS21" s="52">
        <f t="shared" si="116"/>
        <v>-80.231040393640058</v>
      </c>
      <c r="AT21" s="72">
        <f t="shared" si="10"/>
        <v>-4.2678740947180341E-2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2.1160000000000001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1913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4.723007002805554</v>
      </c>
      <c r="C22" s="708">
        <v>0.76783329056748961</v>
      </c>
      <c r="D22" s="709">
        <v>-0.41710125797739361</v>
      </c>
      <c r="E22" s="710">
        <v>2.9749417197021233E-2</v>
      </c>
      <c r="F22" s="708">
        <v>0.96674350832619682</v>
      </c>
      <c r="G22" s="711">
        <v>0.25401173454310055</v>
      </c>
      <c r="H22" s="710">
        <v>0.3765</v>
      </c>
      <c r="I22" s="708">
        <v>0.52</v>
      </c>
      <c r="J22" s="570">
        <v>2.121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1913</v>
      </c>
      <c r="L22" s="873" t="str">
        <f>IF($L21=$JH$22,$JH$30,IF($L21=$JI$22,$JI$30,""))</f>
        <v/>
      </c>
      <c r="M22" s="168">
        <f t="shared" si="1"/>
        <v>2.121</v>
      </c>
      <c r="N22" s="632">
        <f t="shared" si="2"/>
        <v>4.723007002805554</v>
      </c>
      <c r="O22" s="629">
        <f t="shared" si="3"/>
        <v>0.76783329056748961</v>
      </c>
      <c r="P22" s="633">
        <f t="shared" si="4"/>
        <v>-0.41710125797739361</v>
      </c>
      <c r="Q22" s="585">
        <f t="shared" si="113"/>
        <v>9.2339596836043558</v>
      </c>
      <c r="R22" s="629">
        <f t="shared" si="79"/>
        <v>4.7850144316035248</v>
      </c>
      <c r="S22" s="634">
        <f t="shared" si="80"/>
        <v>-0.41710125797739361</v>
      </c>
      <c r="T22" s="635">
        <f t="shared" si="81"/>
        <v>0.76849273916783145</v>
      </c>
      <c r="U22" s="629">
        <f t="shared" si="82"/>
        <v>-4.7228997470304535</v>
      </c>
      <c r="V22" s="636">
        <f t="shared" si="114"/>
        <v>-0.41710125797739361</v>
      </c>
      <c r="W22" s="585">
        <f t="shared" si="224"/>
        <v>279.24195968244931</v>
      </c>
      <c r="X22" s="629">
        <f t="shared" si="83"/>
        <v>4.7850144316035248</v>
      </c>
      <c r="Y22" s="630">
        <f t="shared" si="223"/>
        <v>-0.41710125797739361</v>
      </c>
      <c r="Z22" s="632">
        <f t="shared" si="6"/>
        <v>-2.9749417197021233E-2</v>
      </c>
      <c r="AA22" s="629">
        <f t="shared" si="7"/>
        <v>-0.96674350832619682</v>
      </c>
      <c r="AB22" s="629">
        <f t="shared" si="8"/>
        <v>-0.25401173454310055</v>
      </c>
      <c r="AC22" s="636">
        <f t="shared" si="84"/>
        <v>1</v>
      </c>
      <c r="AD22" s="637">
        <f t="shared" si="115"/>
        <v>-2.9749417197021233E-2</v>
      </c>
      <c r="AE22" s="629">
        <f t="shared" si="85"/>
        <v>-0.96674350832619682</v>
      </c>
      <c r="AF22" s="633">
        <f t="shared" si="86"/>
        <v>-0.25401173454310055</v>
      </c>
      <c r="AG22" s="602">
        <f t="shared" si="87"/>
        <v>-75.278303139407384</v>
      </c>
      <c r="AH22" s="603">
        <f t="shared" si="88"/>
        <v>91.704767572570191</v>
      </c>
      <c r="AI22" s="585">
        <f t="shared" si="89"/>
        <v>-75.284966319707436</v>
      </c>
      <c r="AJ22" s="586">
        <f t="shared" si="90"/>
        <v>-1.7625960759926447</v>
      </c>
      <c r="AK22" s="635">
        <f t="shared" si="211"/>
        <v>0.9494420198269139</v>
      </c>
      <c r="AL22" s="629">
        <f t="shared" si="91"/>
        <v>-0.18449360341593382</v>
      </c>
      <c r="AM22" s="634">
        <f t="shared" si="92"/>
        <v>-0.25401173454310055</v>
      </c>
      <c r="AN22" s="581">
        <f t="shared" si="93"/>
        <v>-35.991624712452946</v>
      </c>
      <c r="AO22" s="582">
        <f t="shared" si="94"/>
        <v>18.296981224002565</v>
      </c>
      <c r="AP22" s="585">
        <f t="shared" si="95"/>
        <v>-10.996555759597031</v>
      </c>
      <c r="AQ22" s="586">
        <f t="shared" si="9"/>
        <v>0.4764194807906672</v>
      </c>
      <c r="AS22" s="52">
        <f t="shared" si="116"/>
        <v>-80.758040317550694</v>
      </c>
      <c r="AT22" s="72">
        <f t="shared" si="10"/>
        <v>-0.36101372997989667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1913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5.3869460961283595</v>
      </c>
      <c r="C23" s="708">
        <v>0.82739406589179398</v>
      </c>
      <c r="D23" s="709">
        <v>-1.0821032636234431</v>
      </c>
      <c r="E23" s="710">
        <v>0.18232506731240428</v>
      </c>
      <c r="F23" s="708">
        <v>0.9565967310348531</v>
      </c>
      <c r="G23" s="711">
        <v>0.22733293646755259</v>
      </c>
      <c r="H23" s="710">
        <v>0.3765</v>
      </c>
      <c r="I23" s="708">
        <v>0.52</v>
      </c>
      <c r="J23" s="570">
        <v>2.1259999999999999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1913</v>
      </c>
      <c r="M23" s="168">
        <f t="shared" si="1"/>
        <v>2.1259999999999999</v>
      </c>
      <c r="N23" s="632">
        <f t="shared" si="2"/>
        <v>5.3869460961283595</v>
      </c>
      <c r="O23" s="629">
        <f t="shared" si="3"/>
        <v>0.82739406589179398</v>
      </c>
      <c r="P23" s="633">
        <f t="shared" si="4"/>
        <v>-1.0821032636234431</v>
      </c>
      <c r="Q23" s="585">
        <f t="shared" si="113"/>
        <v>8.7319597560841764</v>
      </c>
      <c r="R23" s="629">
        <f t="shared" si="79"/>
        <v>5.450116437551177</v>
      </c>
      <c r="S23" s="634">
        <f t="shared" si="80"/>
        <v>-1.0821032636234431</v>
      </c>
      <c r="T23" s="635">
        <f t="shared" si="81"/>
        <v>0.82814621728355475</v>
      </c>
      <c r="U23" s="629">
        <f t="shared" si="82"/>
        <v>-5.3868305176294964</v>
      </c>
      <c r="V23" s="636">
        <f t="shared" si="114"/>
        <v>-1.0821032636234431</v>
      </c>
      <c r="W23" s="585">
        <f t="shared" si="224"/>
        <v>278.73995975492909</v>
      </c>
      <c r="X23" s="629">
        <f t="shared" si="83"/>
        <v>5.450116437551177</v>
      </c>
      <c r="Y23" s="630">
        <f t="shared" si="223"/>
        <v>-1.0821032636234431</v>
      </c>
      <c r="Z23" s="632">
        <f t="shared" si="6"/>
        <v>-0.18232506731240428</v>
      </c>
      <c r="AA23" s="629">
        <f t="shared" si="7"/>
        <v>-0.9565967310348531</v>
      </c>
      <c r="AB23" s="629">
        <f t="shared" si="8"/>
        <v>-0.22733293646755259</v>
      </c>
      <c r="AC23" s="636">
        <f t="shared" si="84"/>
        <v>1</v>
      </c>
      <c r="AD23" s="637">
        <f t="shared" si="115"/>
        <v>-0.18232506731240428</v>
      </c>
      <c r="AE23" s="629">
        <f t="shared" si="85"/>
        <v>-0.9565967310348531</v>
      </c>
      <c r="AF23" s="633">
        <f t="shared" si="86"/>
        <v>-0.22733293646755259</v>
      </c>
      <c r="AG23" s="602">
        <f t="shared" si="87"/>
        <v>-76.631775426475684</v>
      </c>
      <c r="AH23" s="603">
        <f t="shared" si="88"/>
        <v>100.50521778396909</v>
      </c>
      <c r="AI23" s="585">
        <f t="shared" si="89"/>
        <v>-76.859898753312805</v>
      </c>
      <c r="AJ23" s="586">
        <f t="shared" si="90"/>
        <v>-10.791011940858009</v>
      </c>
      <c r="AK23" s="635">
        <f t="shared" si="211"/>
        <v>0.91782999581332825</v>
      </c>
      <c r="AL23" s="629">
        <f t="shared" si="91"/>
        <v>-0.32543483953373159</v>
      </c>
      <c r="AM23" s="634">
        <f t="shared" si="92"/>
        <v>-0.22733293646755259</v>
      </c>
      <c r="AN23" s="581">
        <f t="shared" si="93"/>
        <v>-55.06372463329194</v>
      </c>
      <c r="AO23" s="582">
        <f t="shared" si="94"/>
        <v>23.38912410772889</v>
      </c>
      <c r="AP23" s="585">
        <f t="shared" si="95"/>
        <v>-19.522971696942161</v>
      </c>
      <c r="AQ23" s="586">
        <f t="shared" si="9"/>
        <v>0.41828209689649021</v>
      </c>
      <c r="AS23" s="52">
        <f t="shared" si="116"/>
        <v>-81.260040245070911</v>
      </c>
      <c r="AT23" s="72">
        <f t="shared" si="10"/>
        <v>-1.0256671245651683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1913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5.705799289814256</v>
      </c>
      <c r="C24" s="708">
        <v>0.84967928511537949</v>
      </c>
      <c r="D24" s="709">
        <v>-1.9670059324898932</v>
      </c>
      <c r="E24" s="710">
        <v>0.31961427672183212</v>
      </c>
      <c r="F24" s="708">
        <v>0.93709485229858647</v>
      </c>
      <c r="G24" s="711">
        <v>0.14035651716635922</v>
      </c>
      <c r="H24" s="710">
        <v>0.3765</v>
      </c>
      <c r="I24" s="708">
        <v>0.52</v>
      </c>
      <c r="J24" s="570">
        <v>2.1309999999999998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1913</v>
      </c>
      <c r="L24" s="86"/>
      <c r="M24" s="168">
        <f t="shared" si="1"/>
        <v>2.1309999999999998</v>
      </c>
      <c r="N24" s="632">
        <f t="shared" si="2"/>
        <v>5.705799289814256</v>
      </c>
      <c r="O24" s="629">
        <f t="shared" si="3"/>
        <v>0.84967928511537949</v>
      </c>
      <c r="P24" s="633">
        <f t="shared" si="4"/>
        <v>-1.9670059324898932</v>
      </c>
      <c r="Q24" s="585">
        <f t="shared" si="113"/>
        <v>8.4699597939122953</v>
      </c>
      <c r="R24" s="629">
        <f t="shared" si="79"/>
        <v>5.768717398451674</v>
      </c>
      <c r="S24" s="634">
        <f t="shared" si="80"/>
        <v>-1.9670059324898932</v>
      </c>
      <c r="T24" s="635">
        <f t="shared" si="81"/>
        <v>0.85047595658781638</v>
      </c>
      <c r="U24" s="629">
        <f t="shared" si="82"/>
        <v>-5.7056805966041502</v>
      </c>
      <c r="V24" s="636">
        <f t="shared" si="114"/>
        <v>-1.9670059324898932</v>
      </c>
      <c r="W24" s="585">
        <f t="shared" si="224"/>
        <v>278.47795979275719</v>
      </c>
      <c r="X24" s="629">
        <f t="shared" si="83"/>
        <v>5.768717398451674</v>
      </c>
      <c r="Y24" s="630">
        <f t="shared" si="223"/>
        <v>-1.9670059324898932</v>
      </c>
      <c r="Z24" s="632">
        <f t="shared" si="6"/>
        <v>-0.31961427672183212</v>
      </c>
      <c r="AA24" s="629">
        <f t="shared" si="7"/>
        <v>-0.93709485229858647</v>
      </c>
      <c r="AB24" s="629">
        <f t="shared" si="8"/>
        <v>-0.14035651716635922</v>
      </c>
      <c r="AC24" s="636">
        <f t="shared" si="84"/>
        <v>1</v>
      </c>
      <c r="AD24" s="637">
        <f t="shared" si="115"/>
        <v>-0.31961427672183212</v>
      </c>
      <c r="AE24" s="629">
        <f t="shared" si="85"/>
        <v>-0.93709485229858647</v>
      </c>
      <c r="AF24" s="633">
        <f t="shared" si="86"/>
        <v>-0.14035651716635922</v>
      </c>
      <c r="AG24" s="602">
        <f t="shared" si="87"/>
        <v>-81.481655165287066</v>
      </c>
      <c r="AH24" s="603">
        <f t="shared" si="88"/>
        <v>108.639599586236</v>
      </c>
      <c r="AI24" s="585">
        <f t="shared" si="89"/>
        <v>-81.931523122607345</v>
      </c>
      <c r="AJ24" s="586">
        <f t="shared" si="90"/>
        <v>-18.832932715244755</v>
      </c>
      <c r="AK24" s="635">
        <f>IF(M24="","",(COS(RADIANS((90-$Q$8)-W24))*AD24)+(-SIN(RADIANS((90-$Q$8)-W24))*AE24))</f>
        <v>0.87979791035324573</v>
      </c>
      <c r="AL24" s="629">
        <f t="shared" si="91"/>
        <v>-0.45415381208021549</v>
      </c>
      <c r="AM24" s="634">
        <f t="shared" si="92"/>
        <v>-0.14035651716635922</v>
      </c>
      <c r="AN24" s="581">
        <f t="shared" si="93"/>
        <v>-72.826203501397472</v>
      </c>
      <c r="AO24" s="582">
        <f t="shared" si="94"/>
        <v>28.382004924325727</v>
      </c>
      <c r="AP24" s="585">
        <f t="shared" si="95"/>
        <v>-27.302892509157044</v>
      </c>
      <c r="AQ24" s="586">
        <f t="shared" si="9"/>
        <v>0.39518151510599431</v>
      </c>
      <c r="AS24" s="52">
        <f t="shared" si="116"/>
        <v>-81.52204020724281</v>
      </c>
      <c r="AT24" s="72">
        <f t="shared" si="10"/>
        <v>-1.9103878490134434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2.1309999999999998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1913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5.7654586889631938</v>
      </c>
      <c r="C25" s="708">
        <v>0.85424391473326755</v>
      </c>
      <c r="D25" s="709">
        <v>-2.8986087422039666</v>
      </c>
      <c r="E25" s="710">
        <v>0.36767071641269755</v>
      </c>
      <c r="F25" s="708">
        <v>0.9299560442798217</v>
      </c>
      <c r="G25" s="711">
        <v>0</v>
      </c>
      <c r="H25" s="710">
        <v>0.3765</v>
      </c>
      <c r="I25" s="708">
        <v>0.52</v>
      </c>
      <c r="J25" s="570">
        <v>2.1360000000000001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1913</v>
      </c>
      <c r="L25" s="86"/>
      <c r="M25" s="168">
        <f t="shared" si="1"/>
        <v>2.1360000000000001</v>
      </c>
      <c r="N25" s="632">
        <f t="shared" si="2"/>
        <v>5.7654586889631938</v>
      </c>
      <c r="O25" s="629">
        <f t="shared" si="3"/>
        <v>0.85424391473326755</v>
      </c>
      <c r="P25" s="633">
        <f t="shared" si="4"/>
        <v>-2.8986087422039666</v>
      </c>
      <c r="Q25" s="585">
        <f t="shared" si="113"/>
        <v>8.4279597999763425</v>
      </c>
      <c r="R25" s="629">
        <f>IF(M25="","",SQRT(N25^2+O25^2))</f>
        <v>5.8284000000000002</v>
      </c>
      <c r="S25" s="634">
        <f>IF(M25="","",P25)</f>
        <v>-2.8986087422039666</v>
      </c>
      <c r="T25" s="635">
        <f>IF(M25="","",X25*COS(RADIANS(W25)))</f>
        <v>0.8550489161835394</v>
      </c>
      <c r="U25" s="629">
        <f>IF(M25="","",X25*SIN(RADIANS(W25)))</f>
        <v>-5.7653393578291086</v>
      </c>
      <c r="V25" s="636">
        <f>IF(M25="","",Y25)</f>
        <v>-2.8986087422039666</v>
      </c>
      <c r="W25" s="585">
        <f t="shared" si="224"/>
        <v>278.43595979882127</v>
      </c>
      <c r="X25" s="629">
        <f>IF(M25="","",R25)</f>
        <v>5.8284000000000002</v>
      </c>
      <c r="Y25" s="630">
        <f t="shared" si="223"/>
        <v>-2.8986087422039666</v>
      </c>
      <c r="Z25" s="632">
        <f t="shared" si="6"/>
        <v>-0.36767071641269755</v>
      </c>
      <c r="AA25" s="629">
        <f t="shared" si="7"/>
        <v>-0.9299560442798217</v>
      </c>
      <c r="AB25" s="629">
        <f t="shared" si="8"/>
        <v>0</v>
      </c>
      <c r="AC25" s="636">
        <f>IF(M25="","",SQRT(Z25^2+AA25^2+AB25^2))</f>
        <v>1</v>
      </c>
      <c r="AD25" s="637">
        <f>IF(M25="","",Z25*(1/SQRT(Z25^2+AA25^2+AB25^2)))</f>
        <v>-0.36767071641269755</v>
      </c>
      <c r="AE25" s="629">
        <f>IF(M25="","",AA25*(1/SQRT(Z25^2+AA25^2+AB25^2)))</f>
        <v>-0.9299560442798217</v>
      </c>
      <c r="AF25" s="633">
        <f>IF(M25="","",AB25*(1/SQRT(Z25^2+AA25^2+AB25^2)))</f>
        <v>0</v>
      </c>
      <c r="AG25" s="602">
        <f>IF(M25="","",DEGREES(ATAN2(-AF25,AE25)))</f>
        <v>-90</v>
      </c>
      <c r="AH25" s="603">
        <f>IF(M25="","",DEGREES(ACOS(AD25)))</f>
        <v>111.57203586856019</v>
      </c>
      <c r="AI25" s="585">
        <f>IF(M25="","",DEGREES(-ACOS(-AF25)))</f>
        <v>-90</v>
      </c>
      <c r="AJ25" s="586">
        <f>IF(M25="","",DEGREES(ATAN2(-AE25,AD25)))</f>
        <v>-21.572035868560196</v>
      </c>
      <c r="AK25" s="635">
        <f>IF(M25="","",(COS(RADIANS((90-$Q$8)-W25))*AD25)+(-SIN(RADIANS((90-$Q$8)-W25))*AE25))</f>
        <v>0.86602544158358563</v>
      </c>
      <c r="AL25" s="629">
        <f>IF(M25="","",(SIN(RADIANS((90-$Q$8)-W25))*AD25)+(COS(RADIANS((90-$Q$8)-W25))*AE25))</f>
        <v>-0.49999993452995117</v>
      </c>
      <c r="AM25" s="634">
        <f>IF(M25="","",AF25)</f>
        <v>0</v>
      </c>
      <c r="AN25" s="581">
        <f>IF(M25="","",DEGREES(ATAN2(-AM25,AL25)))</f>
        <v>-90</v>
      </c>
      <c r="AO25" s="582">
        <f>IF(ROUND(IF(M25="",0,DEGREES(ACOS(AK25))),4)=90,0,IF(M25="","",DEGREES(ACOS(AK25))))</f>
        <v>29.999995668536535</v>
      </c>
      <c r="AP25" s="585">
        <f>IF(M25="","",DEGREES(ATAN2(AK25,AL25)))</f>
        <v>-29.999995668536535</v>
      </c>
      <c r="AQ25" s="586">
        <f t="shared" si="9"/>
        <v>0.39113499730302914</v>
      </c>
      <c r="AS25" s="52">
        <f t="shared" si="116"/>
        <v>-81.564040201178727</v>
      </c>
      <c r="AT25" s="72">
        <f t="shared" si="10"/>
        <v>-2.8419614920650611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2.1360000000000001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1913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1.1735286284991351</v>
      </c>
      <c r="C26" s="708">
        <v>-2.5166436594704025</v>
      </c>
      <c r="D26" s="709">
        <v>-0.23380070514292675</v>
      </c>
      <c r="E26" s="710">
        <v>0.87542631781263214</v>
      </c>
      <c r="F26" s="708">
        <v>0.40821744557626316</v>
      </c>
      <c r="G26" s="711">
        <v>0.25881900859134599</v>
      </c>
      <c r="H26" s="710">
        <v>0.3765</v>
      </c>
      <c r="I26" s="708">
        <v>0.52</v>
      </c>
      <c r="J26" s="570">
        <v>3.11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1913</v>
      </c>
      <c r="L26" s="320"/>
      <c r="M26" s="168">
        <f t="shared" si="1"/>
        <v>3.11</v>
      </c>
      <c r="N26" s="632">
        <f t="shared" si="2"/>
        <v>1.1735286284991351</v>
      </c>
      <c r="O26" s="629">
        <f t="shared" si="3"/>
        <v>-2.5166436594704025</v>
      </c>
      <c r="P26" s="633">
        <f t="shared" si="4"/>
        <v>-0.23380070514292675</v>
      </c>
      <c r="Q26" s="585">
        <f t="shared" si="113"/>
        <v>294.99997040166636</v>
      </c>
      <c r="R26" s="629">
        <f>IF(M26="","",SQRT(N26^2+O26^2))</f>
        <v>2.7768083748540593</v>
      </c>
      <c r="S26" s="634">
        <f>IF(M26="","",P26)</f>
        <v>-0.23380070514292675</v>
      </c>
      <c r="T26" s="635">
        <f>IF(M26="","",X26*COS(RADIANS(W26)))</f>
        <v>-2.5164797794554983</v>
      </c>
      <c r="U26" s="629">
        <f>IF(M26="","",X26*SIN(RADIANS(W26)))</f>
        <v>-1.1738800067516479</v>
      </c>
      <c r="V26" s="636">
        <f>IF(M26="","",Y26)</f>
        <v>-0.23380070514292675</v>
      </c>
      <c r="W26" s="585">
        <f t="shared" si="224"/>
        <v>205.00797040051128</v>
      </c>
      <c r="X26" s="629">
        <f>IF(M26="","",R26)</f>
        <v>2.7768083748540593</v>
      </c>
      <c r="Y26" s="630">
        <f t="shared" si="223"/>
        <v>-0.23380070514292675</v>
      </c>
      <c r="Z26" s="632">
        <f t="shared" si="6"/>
        <v>-0.87542631781263214</v>
      </c>
      <c r="AA26" s="629">
        <f t="shared" si="7"/>
        <v>-0.40821744557626316</v>
      </c>
      <c r="AB26" s="629">
        <f t="shared" si="8"/>
        <v>-0.25881900859134599</v>
      </c>
      <c r="AC26" s="636">
        <f>IF(M26="","",SQRT(Z26^2+AA26^2+AB26^2))</f>
        <v>1</v>
      </c>
      <c r="AD26" s="637">
        <f>IF(M26="","",Z26*(1/SQRT(Z26^2+AA26^2+AB26^2)))</f>
        <v>-0.87542631781263214</v>
      </c>
      <c r="AE26" s="629">
        <f>IF(M26="","",AA26*(1/SQRT(Z26^2+AA26^2+AB26^2)))</f>
        <v>-0.40821744557626316</v>
      </c>
      <c r="AF26" s="633">
        <f>IF(M26="","",AB26*(1/SQRT(Z26^2+AA26^2+AB26^2)))</f>
        <v>-0.25881900859134599</v>
      </c>
      <c r="AG26" s="602">
        <f>IF(M26="","",DEGREES(ATAN2(-AF26,AE26)))</f>
        <v>-57.624386800390305</v>
      </c>
      <c r="AH26" s="603">
        <f>IF(M26="","",DEGREES(ACOS(AD26)))</f>
        <v>151.09547041542231</v>
      </c>
      <c r="AI26" s="585">
        <f>IF(M26="","",DEGREES(-ACOS(-AF26)))</f>
        <v>-75.000002165731729</v>
      </c>
      <c r="AJ26" s="586">
        <f>IF(M26="","",DEGREES(ATAN2(-AE26,AD26)))</f>
        <v>-65.000029598333654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-1.1102230246251565E-16</v>
      </c>
      <c r="AM26" s="634">
        <f>IF(M26="","",AF26)</f>
        <v>-0.25881900859134599</v>
      </c>
      <c r="AN26" s="581">
        <f>IF(M26="","",DEGREES(ATAN2(-AM26,AL26)))</f>
        <v>-2.4577442737100905E-14</v>
      </c>
      <c r="AO26" s="582">
        <f t="shared" si="94"/>
        <v>14.999997834268255</v>
      </c>
      <c r="AP26" s="585">
        <f>IF(M26="","",DEGREES(ATAN2(AK26,AL26)))</f>
        <v>-6.58550493772227E-15</v>
      </c>
      <c r="AQ26" s="586">
        <f t="shared" si="9"/>
        <v>0.82093191893520223</v>
      </c>
      <c r="AS26" s="52">
        <f t="shared" si="116"/>
        <v>-154.99202959948872</v>
      </c>
      <c r="AT26" s="72">
        <f t="shared" si="10"/>
        <v>-0.12616179569963948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1913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1.5592434712176459</v>
      </c>
      <c r="C27" s="708">
        <v>-3.3678762701570673</v>
      </c>
      <c r="D27" s="709">
        <v>-8.2900250027154218E-2</v>
      </c>
      <c r="E27" s="710">
        <v>0.8923905802983817</v>
      </c>
      <c r="F27" s="708">
        <v>0.37081830633767487</v>
      </c>
      <c r="G27" s="711">
        <v>0.25716305309973253</v>
      </c>
      <c r="H27" s="710">
        <v>0.3765</v>
      </c>
      <c r="I27" s="708">
        <v>0.52</v>
      </c>
      <c r="J27" s="570">
        <v>3.1150000000000002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1913</v>
      </c>
      <c r="L27" s="320"/>
      <c r="M27" s="168">
        <f t="shared" si="1"/>
        <v>3.1150000000000002</v>
      </c>
      <c r="N27" s="632">
        <f t="shared" si="2"/>
        <v>1.5592434712176459</v>
      </c>
      <c r="O27" s="629">
        <f t="shared" si="3"/>
        <v>-3.3678762701570673</v>
      </c>
      <c r="P27" s="633">
        <f t="shared" si="4"/>
        <v>-8.2900250027154218E-2</v>
      </c>
      <c r="Q27" s="585">
        <f t="shared" si="113"/>
        <v>294.84297042433428</v>
      </c>
      <c r="R27" s="629">
        <f t="shared" si="79"/>
        <v>3.7113111933145584</v>
      </c>
      <c r="S27" s="634">
        <f t="shared" si="80"/>
        <v>-8.2900250027154218E-2</v>
      </c>
      <c r="T27" s="635">
        <f t="shared" si="81"/>
        <v>-3.3676585259006742</v>
      </c>
      <c r="U27" s="629">
        <f t="shared" si="82"/>
        <v>-1.55971370018681</v>
      </c>
      <c r="V27" s="636">
        <f t="shared" si="114"/>
        <v>-8.2900250027154218E-2</v>
      </c>
      <c r="W27" s="585">
        <f t="shared" si="224"/>
        <v>204.85097042317921</v>
      </c>
      <c r="X27" s="629">
        <f t="shared" si="83"/>
        <v>3.7113111933145584</v>
      </c>
      <c r="Y27" s="630">
        <f t="shared" si="223"/>
        <v>-8.2900250027154218E-2</v>
      </c>
      <c r="Z27" s="632">
        <f t="shared" si="6"/>
        <v>-0.8923905802983817</v>
      </c>
      <c r="AA27" s="629">
        <f t="shared" si="7"/>
        <v>-0.37081830633767487</v>
      </c>
      <c r="AB27" s="629">
        <f t="shared" si="8"/>
        <v>-0.25716305309973253</v>
      </c>
      <c r="AC27" s="636">
        <f t="shared" si="84"/>
        <v>1</v>
      </c>
      <c r="AD27" s="637">
        <f t="shared" si="115"/>
        <v>-0.8923905802983817</v>
      </c>
      <c r="AE27" s="629">
        <f t="shared" si="85"/>
        <v>-0.37081830633767487</v>
      </c>
      <c r="AF27" s="633">
        <f t="shared" si="86"/>
        <v>-0.25716305309973253</v>
      </c>
      <c r="AG27" s="602">
        <f t="shared" si="87"/>
        <v>-55.258633652800803</v>
      </c>
      <c r="AH27" s="603">
        <f t="shared" si="88"/>
        <v>153.17520051227152</v>
      </c>
      <c r="AI27" s="585">
        <f t="shared" si="89"/>
        <v>-75.098205900995552</v>
      </c>
      <c r="AJ27" s="586">
        <f t="shared" si="90"/>
        <v>-67.435471727177713</v>
      </c>
      <c r="AK27" s="635">
        <f t="shared" si="211"/>
        <v>0.96560404008133527</v>
      </c>
      <c r="AL27" s="629">
        <f t="shared" si="91"/>
        <v>-3.8418770139441116E-2</v>
      </c>
      <c r="AM27" s="634">
        <f t="shared" si="92"/>
        <v>-0.25716305309973253</v>
      </c>
      <c r="AN27" s="581">
        <f t="shared" si="93"/>
        <v>-8.4968387303754334</v>
      </c>
      <c r="AO27" s="582">
        <f t="shared" si="94"/>
        <v>15.071070580350849</v>
      </c>
      <c r="AP27" s="585">
        <f t="shared" si="95"/>
        <v>-2.2784421515119959</v>
      </c>
      <c r="AQ27" s="586">
        <f t="shared" si="9"/>
        <v>0.61424094516594885</v>
      </c>
      <c r="AS27" s="52">
        <f t="shared" si="116"/>
        <v>-155.14902957682079</v>
      </c>
      <c r="AT27" s="72">
        <f t="shared" si="10"/>
        <v>2.4847687178169195E-2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3.1150000000000002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1913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1.9048684262065416</v>
      </c>
      <c r="C28" s="708">
        <v>-4.2098068314190851</v>
      </c>
      <c r="D28" s="709">
        <v>-0.32260097296453455</v>
      </c>
      <c r="E28" s="710">
        <v>0.93468290077952276</v>
      </c>
      <c r="F28" s="708">
        <v>0.25073766121802815</v>
      </c>
      <c r="G28" s="711">
        <v>0.25198908753612792</v>
      </c>
      <c r="H28" s="710">
        <v>0.3765</v>
      </c>
      <c r="I28" s="708">
        <v>0.52</v>
      </c>
      <c r="J28" s="570">
        <v>3.12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1913</v>
      </c>
      <c r="L28" s="320"/>
      <c r="M28" s="168">
        <f t="shared" si="1"/>
        <v>3.12</v>
      </c>
      <c r="N28" s="632">
        <f t="shared" si="2"/>
        <v>1.9048684262065416</v>
      </c>
      <c r="O28" s="629">
        <f t="shared" si="3"/>
        <v>-4.2098068314190851</v>
      </c>
      <c r="P28" s="633">
        <f t="shared" si="4"/>
        <v>-0.32260097296453455</v>
      </c>
      <c r="Q28" s="585">
        <f t="shared" si="113"/>
        <v>294.34597049609221</v>
      </c>
      <c r="R28" s="629">
        <f t="shared" si="79"/>
        <v>4.6207139360732326</v>
      </c>
      <c r="S28" s="634">
        <f t="shared" si="80"/>
        <v>-0.32260097296453455</v>
      </c>
      <c r="T28" s="635">
        <f t="shared" si="81"/>
        <v>-4.2095408206153513</v>
      </c>
      <c r="U28" s="629">
        <f t="shared" si="82"/>
        <v>-1.9054562074722214</v>
      </c>
      <c r="V28" s="636">
        <f t="shared" si="114"/>
        <v>-0.32260097296453455</v>
      </c>
      <c r="W28" s="585">
        <f t="shared" si="224"/>
        <v>204.35397049493713</v>
      </c>
      <c r="X28" s="629">
        <f t="shared" si="83"/>
        <v>4.6207139360732326</v>
      </c>
      <c r="Y28" s="630">
        <f t="shared" si="223"/>
        <v>-0.32260097296453455</v>
      </c>
      <c r="Z28" s="632">
        <f t="shared" si="6"/>
        <v>-0.93468290077952276</v>
      </c>
      <c r="AA28" s="629">
        <f t="shared" si="7"/>
        <v>-0.25073766121802815</v>
      </c>
      <c r="AB28" s="629">
        <f t="shared" si="8"/>
        <v>-0.25198908753612792</v>
      </c>
      <c r="AC28" s="636">
        <f t="shared" si="84"/>
        <v>1</v>
      </c>
      <c r="AD28" s="637">
        <f t="shared" si="115"/>
        <v>-0.93468290077952276</v>
      </c>
      <c r="AE28" s="629">
        <f t="shared" si="85"/>
        <v>-0.25073766121802815</v>
      </c>
      <c r="AF28" s="633">
        <f t="shared" si="86"/>
        <v>-0.25198908753612792</v>
      </c>
      <c r="AG28" s="602">
        <f t="shared" si="87"/>
        <v>-44.857375207351566</v>
      </c>
      <c r="AH28" s="603">
        <f t="shared" si="88"/>
        <v>159.17697562523182</v>
      </c>
      <c r="AI28" s="585">
        <f t="shared" si="89"/>
        <v>-75.404752588059608</v>
      </c>
      <c r="AJ28" s="586">
        <f t="shared" si="90"/>
        <v>-74.983407609134019</v>
      </c>
      <c r="AK28" s="635">
        <f t="shared" si="211"/>
        <v>0.95492964422227866</v>
      </c>
      <c r="AL28" s="629">
        <f t="shared" si="91"/>
        <v>-0.15687853373939431</v>
      </c>
      <c r="AM28" s="634">
        <f t="shared" si="92"/>
        <v>-0.25198908753612792</v>
      </c>
      <c r="AN28" s="581">
        <f t="shared" si="93"/>
        <v>-31.904775369494612</v>
      </c>
      <c r="AO28" s="582">
        <f t="shared" si="94"/>
        <v>17.267438660888732</v>
      </c>
      <c r="AP28" s="585">
        <f t="shared" si="95"/>
        <v>-9.329378105226219</v>
      </c>
      <c r="AQ28" s="586">
        <f t="shared" si="9"/>
        <v>0.49335888780991549</v>
      </c>
      <c r="AS28" s="52">
        <f t="shared" si="116"/>
        <v>-155.64602950506287</v>
      </c>
      <c r="AT28" s="72">
        <f t="shared" si="10"/>
        <v>-0.21450789692015415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1913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2.1571617539457191</v>
      </c>
      <c r="C29" s="708">
        <v>-4.8865578397106733</v>
      </c>
      <c r="D29" s="709">
        <v>-0.92670279493563024</v>
      </c>
      <c r="E29" s="710">
        <v>0.96593100003619892</v>
      </c>
      <c r="F29" s="708">
        <v>0.10159553621338716</v>
      </c>
      <c r="G29" s="711">
        <v>0.23802447393195314</v>
      </c>
      <c r="H29" s="710">
        <v>0.3765</v>
      </c>
      <c r="I29" s="708">
        <v>0.52</v>
      </c>
      <c r="J29" s="570">
        <v>3.125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1913</v>
      </c>
      <c r="L29" s="86"/>
      <c r="M29" s="168">
        <f t="shared" si="1"/>
        <v>3.125</v>
      </c>
      <c r="N29" s="632">
        <f t="shared" si="2"/>
        <v>2.1571617539457191</v>
      </c>
      <c r="O29" s="629">
        <f t="shared" si="3"/>
        <v>-4.8865578397106733</v>
      </c>
      <c r="P29" s="633">
        <f t="shared" si="4"/>
        <v>-0.92670279493563024</v>
      </c>
      <c r="Q29" s="585">
        <f t="shared" si="113"/>
        <v>293.81897057218157</v>
      </c>
      <c r="R29" s="629">
        <f>IF(M29="","",SQRT(N29^2+O29^2))</f>
        <v>5.3415161100125879</v>
      </c>
      <c r="S29" s="634">
        <f>IF(M29="","",P29)</f>
        <v>-0.92670279493563024</v>
      </c>
      <c r="T29" s="635">
        <f>IF(M29="","",X29*COS(RADIANS(W29)))</f>
        <v>-4.8862565955213384</v>
      </c>
      <c r="U29" s="629">
        <f>IF(M29="","",X29*SIN(RADIANS(W29)))</f>
        <v>-2.1578440250046413</v>
      </c>
      <c r="V29" s="636">
        <f>IF(M29="","",Y29)</f>
        <v>-0.92670279493563024</v>
      </c>
      <c r="W29" s="585">
        <f t="shared" si="224"/>
        <v>203.82697057102649</v>
      </c>
      <c r="X29" s="629">
        <f>IF(M29="","",R29)</f>
        <v>5.3415161100125879</v>
      </c>
      <c r="Y29" s="630">
        <f t="shared" si="223"/>
        <v>-0.92670279493563024</v>
      </c>
      <c r="Z29" s="632">
        <f t="shared" si="6"/>
        <v>-0.96593100003619892</v>
      </c>
      <c r="AA29" s="629">
        <f t="shared" si="7"/>
        <v>-0.10159553621338716</v>
      </c>
      <c r="AB29" s="629">
        <f t="shared" si="8"/>
        <v>-0.23802447393195314</v>
      </c>
      <c r="AC29" s="636">
        <f>IF(M29="","",SQRT(Z29^2+AA29^2+AB29^2))</f>
        <v>1</v>
      </c>
      <c r="AD29" s="637">
        <f>IF(M29="","",Z29*(1/SQRT(Z29^2+AA29^2+AB29^2)))</f>
        <v>-0.96593100003619892</v>
      </c>
      <c r="AE29" s="629">
        <f>IF(M29="","",AA29*(1/SQRT(Z29^2+AA29^2+AB29^2)))</f>
        <v>-0.10159553621338716</v>
      </c>
      <c r="AF29" s="633">
        <f>IF(M29="","",AB29*(1/SQRT(Z29^2+AA29^2+AB29^2)))</f>
        <v>-0.23802447393195314</v>
      </c>
      <c r="AG29" s="602">
        <f>IF(M29="","",DEGREES(ATAN2(-AF29,AE29)))</f>
        <v>-23.114151819192269</v>
      </c>
      <c r="AH29" s="603">
        <f>IF(M29="","",DEGREES(ACOS(AD29)))</f>
        <v>165.00114537526792</v>
      </c>
      <c r="AI29" s="585">
        <f>IF(M29="","",DEGREES(-ACOS(-AF29)))</f>
        <v>-76.230027504802294</v>
      </c>
      <c r="AJ29" s="586">
        <f>IF(M29="","",DEGREES(ATAN2(-AE29,AD29)))</f>
        <v>-83.9957701997009</v>
      </c>
      <c r="AK29" s="635">
        <f>IF(M29="","",(COS(RADIANS((90-$Q$8)-W29))*AD29)+(-SIN(RADIANS((90-$Q$8)-W29))*AE29))</f>
        <v>0.92468797326644125</v>
      </c>
      <c r="AL29" s="629">
        <f>IF(M29="","",(SIN(RADIANS((90-$Q$8)-W29))*AD29)+(COS(RADIANS((90-$Q$8)-W29))*AE29))</f>
        <v>-0.29714727309167471</v>
      </c>
      <c r="AM29" s="634">
        <f>IF(M29="","",AF29)</f>
        <v>-0.23802447393195314</v>
      </c>
      <c r="AN29" s="581">
        <f>IF(M29="","",DEGREES(ATAN2(-AM29,AL29)))</f>
        <v>-51.30415553642235</v>
      </c>
      <c r="AO29" s="582">
        <f t="shared" si="94"/>
        <v>22.37864903226675</v>
      </c>
      <c r="AP29" s="585">
        <f>IF(M29="","",DEGREES(ATAN2(AK29,AL29)))</f>
        <v>-17.814740771882466</v>
      </c>
      <c r="AQ29" s="586">
        <f t="shared" si="9"/>
        <v>0.42678603253184388</v>
      </c>
      <c r="AS29" s="52">
        <f t="shared" si="116"/>
        <v>-156.17302942897351</v>
      </c>
      <c r="AT29" s="72">
        <f t="shared" si="10"/>
        <v>-0.81824374672186739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3.125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1913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2.2872325210031659</v>
      </c>
      <c r="C30" s="708">
        <v>-5.2610353351062136</v>
      </c>
      <c r="D30" s="709">
        <v>-1.7801053687977917</v>
      </c>
      <c r="E30" s="710">
        <v>0.98592547820066478</v>
      </c>
      <c r="F30" s="708">
        <v>-4.0843190946999494E-2</v>
      </c>
      <c r="G30" s="711">
        <v>0.16211966317525323</v>
      </c>
      <c r="H30" s="710">
        <v>0.3765</v>
      </c>
      <c r="I30" s="708">
        <v>0.52</v>
      </c>
      <c r="J30" s="570">
        <v>3.13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1913</v>
      </c>
      <c r="L30" s="86"/>
      <c r="M30" s="168">
        <f t="shared" si="1"/>
        <v>3.13</v>
      </c>
      <c r="N30" s="632">
        <f t="shared" si="2"/>
        <v>2.2872325210031659</v>
      </c>
      <c r="O30" s="629">
        <f t="shared" si="3"/>
        <v>-5.2610353351062136</v>
      </c>
      <c r="P30" s="633">
        <f t="shared" si="4"/>
        <v>-1.7801053687977917</v>
      </c>
      <c r="Q30" s="585">
        <f t="shared" si="113"/>
        <v>293.49697061867266</v>
      </c>
      <c r="R30" s="629">
        <f>IF(M30="","",SQRT(N30^2+O30^2))</f>
        <v>5.7367173019393807</v>
      </c>
      <c r="S30" s="634">
        <f>IF(M30="","",P30)</f>
        <v>-1.7801053687977917</v>
      </c>
      <c r="T30" s="635">
        <f>IF(M30="","",X30*COS(RADIANS(W30)))</f>
        <v>-5.2607159259640781</v>
      </c>
      <c r="U30" s="629">
        <f>IF(M30="","",X30*SIN(RADIANS(W30)))</f>
        <v>-2.2879670777086285</v>
      </c>
      <c r="V30" s="636">
        <f>IF(M30="","",Y30)</f>
        <v>-1.7801053687977917</v>
      </c>
      <c r="W30" s="585">
        <f t="shared" si="224"/>
        <v>203.50497061751759</v>
      </c>
      <c r="X30" s="629">
        <f>IF(M30="","",R30)</f>
        <v>5.7367173019393807</v>
      </c>
      <c r="Y30" s="630">
        <f t="shared" si="223"/>
        <v>-1.7801053687977917</v>
      </c>
      <c r="Z30" s="632">
        <f t="shared" si="6"/>
        <v>-0.98592547820066478</v>
      </c>
      <c r="AA30" s="629">
        <f t="shared" si="7"/>
        <v>4.0843190946999494E-2</v>
      </c>
      <c r="AB30" s="629">
        <f t="shared" si="8"/>
        <v>-0.16211966317525323</v>
      </c>
      <c r="AC30" s="636">
        <f>IF(M30="","",SQRT(Z30^2+AA30^2+AB30^2))</f>
        <v>1</v>
      </c>
      <c r="AD30" s="637">
        <f>IF(M30="","",Z30*(1/SQRT(Z30^2+AA30^2+AB30^2)))</f>
        <v>-0.98592547820066478</v>
      </c>
      <c r="AE30" s="629">
        <f>IF(M30="","",AA30*(1/SQRT(Z30^2+AA30^2+AB30^2)))</f>
        <v>4.0843190946999494E-2</v>
      </c>
      <c r="AF30" s="633">
        <f>IF(M30="","",AB30*(1/SQRT(Z30^2+AA30^2+AB30^2)))</f>
        <v>-0.16211966317525323</v>
      </c>
      <c r="AG30" s="602">
        <f>IF(M30="","",DEGREES(ATAN2(-AF30,AE30)))</f>
        <v>14.140399890631583</v>
      </c>
      <c r="AH30" s="603">
        <f>IF(M30="","",DEGREES(ACOS(AD30)))</f>
        <v>170.37578873827221</v>
      </c>
      <c r="AI30" s="585">
        <f>IF(M30="","",DEGREES(-ACOS(-AF30)))</f>
        <v>-80.670049481885428</v>
      </c>
      <c r="AJ30" s="586">
        <f>IF(M30="","",DEGREES(ATAN2(-AE30,AD30)))</f>
        <v>-92.372192651126284</v>
      </c>
      <c r="AK30" s="635">
        <f>IF(M30="","",(COS(RADIANS((90-$Q$8)-W30))*AD30)+(-SIN(RADIANS((90-$Q$8)-W30))*AE30))</f>
        <v>0.88788947335398816</v>
      </c>
      <c r="AL30" s="629">
        <f>IF(M30="","",(SIN(RADIANS((90-$Q$8)-W30))*AD30)+(COS(RADIANS((90-$Q$8)-W30))*AE30))</f>
        <v>-0.4305455816973624</v>
      </c>
      <c r="AM30" s="634">
        <f>IF(M30="","",AF30)</f>
        <v>-0.16211966317525323</v>
      </c>
      <c r="AN30" s="581">
        <f>IF(M30="","",DEGREES(ATAN2(-AM30,AL30)))</f>
        <v>-69.366400240360989</v>
      </c>
      <c r="AO30" s="582">
        <f>IF(ROUND(IF(M30="",0,DEGREES(ACOS(AK30))),4)=90,0,IF(M30="","",DEGREES(ACOS(AK30))))</f>
        <v>27.390774438084623</v>
      </c>
      <c r="AP30" s="585">
        <f>IF(M30="","",DEGREES(ATAN2(AK30,AL30)))</f>
        <v>-25.869163269798932</v>
      </c>
      <c r="AQ30" s="586">
        <f t="shared" si="9"/>
        <v>0.39738581445422633</v>
      </c>
      <c r="AS30" s="52">
        <f t="shared" si="116"/>
        <v>-156.49502938248241</v>
      </c>
      <c r="AT30" s="72">
        <f t="shared" si="10"/>
        <v>-1.6714227095052032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1913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2.3173477823789916</v>
      </c>
      <c r="C31" s="708">
        <v>-5.3479104158075765</v>
      </c>
      <c r="D31" s="709">
        <v>-2.7142081860518892</v>
      </c>
      <c r="E31" s="710">
        <v>0.99342876584857553</v>
      </c>
      <c r="F31" s="708">
        <v>-0.11445211743159774</v>
      </c>
      <c r="G31" s="711">
        <v>2.2974784176353837E-16</v>
      </c>
      <c r="H31" s="710">
        <v>0.3765</v>
      </c>
      <c r="I31" s="708">
        <v>0.52</v>
      </c>
      <c r="J31" s="570">
        <v>3.1349999999999998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1913</v>
      </c>
      <c r="L31" s="320"/>
      <c r="M31" s="168">
        <f t="shared" si="1"/>
        <v>3.1349999999999998</v>
      </c>
      <c r="N31" s="632">
        <f t="shared" si="2"/>
        <v>2.3173477823789916</v>
      </c>
      <c r="O31" s="629">
        <f t="shared" si="3"/>
        <v>-5.3479104158075765</v>
      </c>
      <c r="P31" s="633">
        <f t="shared" si="4"/>
        <v>-2.7142081860518892</v>
      </c>
      <c r="Q31" s="585">
        <f t="shared" si="113"/>
        <v>293.42797062863502</v>
      </c>
      <c r="R31" s="629">
        <f>IF(M31="","",SQRT(N31^2+O31^2))</f>
        <v>5.8283999999999994</v>
      </c>
      <c r="S31" s="634">
        <f>IF(M31="","",P31)</f>
        <v>-2.7142081860518892</v>
      </c>
      <c r="T31" s="635">
        <f>IF(M31="","",X31*COS(RADIANS(W31)))</f>
        <v>-5.3475868009354963</v>
      </c>
      <c r="U31" s="629">
        <f>IF(M31="","",X31*SIN(RADIANS(W31)))</f>
        <v>-2.3180944688386744</v>
      </c>
      <c r="V31" s="636">
        <f>IF(M31="","",Y31)</f>
        <v>-2.7142081860518892</v>
      </c>
      <c r="W31" s="585">
        <f t="shared" si="224"/>
        <v>203.43597062747995</v>
      </c>
      <c r="X31" s="629">
        <f>IF(M31="","",R31)</f>
        <v>5.8283999999999994</v>
      </c>
      <c r="Y31" s="630">
        <f t="shared" si="223"/>
        <v>-2.7142081860518892</v>
      </c>
      <c r="Z31" s="632">
        <f t="shared" si="6"/>
        <v>-0.99342876584857553</v>
      </c>
      <c r="AA31" s="629">
        <f t="shared" si="7"/>
        <v>0.11445211743159774</v>
      </c>
      <c r="AB31" s="629">
        <f t="shared" si="8"/>
        <v>-2.2974784176353837E-16</v>
      </c>
      <c r="AC31" s="636">
        <f>IF(M31="","",SQRT(Z31^2+AA31^2+AB31^2))</f>
        <v>1</v>
      </c>
      <c r="AD31" s="637">
        <f>IF(M31="","",Z31*(1/SQRT(Z31^2+AA31^2+AB31^2)))</f>
        <v>-0.99342876584857553</v>
      </c>
      <c r="AE31" s="629">
        <f>IF(M31="","",AA31*(1/SQRT(Z31^2+AA31^2+AB31^2)))</f>
        <v>0.11445211743159774</v>
      </c>
      <c r="AF31" s="633">
        <f>IF(M31="","",AB31*(1/SQRT(Z31^2+AA31^2+AB31^2)))</f>
        <v>-2.2974784176353837E-16</v>
      </c>
      <c r="AG31" s="602">
        <f>IF(M31="","",DEGREES(ATAN2(-AF31,AE31)))</f>
        <v>89.999999999999886</v>
      </c>
      <c r="AH31" s="603">
        <f>IF(M31="","",DEGREES(ACOS(AD31)))</f>
        <v>173.42797496009845</v>
      </c>
      <c r="AI31" s="585">
        <f>IF(M31="","",DEGREES(-ACOS(-AF31)))</f>
        <v>-89.999999999999986</v>
      </c>
      <c r="AJ31" s="586">
        <f>IF(M31="","",DEGREES(ATAN2(-AE31,AD31)))</f>
        <v>-96.572025039901519</v>
      </c>
      <c r="AK31" s="635">
        <f>IF(M31="","",(COS(RADIANS((90-$Q$8)-W31))*AD31)+(-SIN(RADIANS((90-$Q$8)-W31))*AE31))</f>
        <v>0.86602544158358541</v>
      </c>
      <c r="AL31" s="629">
        <f>IF(M31="","",(SIN(RADIANS((90-$Q$8)-W31))*AD31)+(COS(RADIANS((90-$Q$8)-W31))*AE31))</f>
        <v>-0.49999993452995167</v>
      </c>
      <c r="AM31" s="634">
        <f>IF(M31="","",AF31)</f>
        <v>-2.2974784176353837E-16</v>
      </c>
      <c r="AN31" s="581">
        <f>IF(M31="","",DEGREES(ATAN2(-AM31,AL31)))</f>
        <v>-89.999999999999972</v>
      </c>
      <c r="AO31" s="582">
        <f t="shared" si="94"/>
        <v>29.99999566853656</v>
      </c>
      <c r="AP31" s="585">
        <f>IF(M31="","",DEGREES(ATAN2(AK31,AL31)))</f>
        <v>-29.99999566853656</v>
      </c>
      <c r="AQ31" s="586">
        <f t="shared" si="9"/>
        <v>0.3911349973030292</v>
      </c>
      <c r="AS31" s="52">
        <f t="shared" si="116"/>
        <v>-156.56402937252005</v>
      </c>
      <c r="AT31" s="72">
        <f t="shared" si="10"/>
        <v>-2.6054776100995523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3.1349999999999998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1913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-0.45220263738157612</v>
      </c>
      <c r="C32" s="708">
        <v>-0.5389137315650292</v>
      </c>
      <c r="D32" s="709">
        <v>-0.7893023805359799</v>
      </c>
      <c r="E32" s="710">
        <v>0.71984611050310054</v>
      </c>
      <c r="F32" s="708">
        <v>-0.60402303859108863</v>
      </c>
      <c r="G32" s="711">
        <v>0.34202009596622585</v>
      </c>
      <c r="H32" s="710">
        <v>0.3765</v>
      </c>
      <c r="I32" s="708">
        <v>0.52</v>
      </c>
      <c r="J32" s="570">
        <v>4.1020000000000003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1913</v>
      </c>
      <c r="L32" s="320"/>
      <c r="M32" s="168">
        <f t="shared" si="1"/>
        <v>4.1020000000000003</v>
      </c>
      <c r="N32" s="632">
        <f t="shared" si="2"/>
        <v>-0.45220263738157612</v>
      </c>
      <c r="O32" s="629">
        <f t="shared" si="3"/>
        <v>-0.5389137315650292</v>
      </c>
      <c r="P32" s="633">
        <f t="shared" si="4"/>
        <v>-0.7893023805359799</v>
      </c>
      <c r="Q32" s="585">
        <f t="shared" si="113"/>
        <v>229.99997978650379</v>
      </c>
      <c r="R32" s="629">
        <f t="shared" si="79"/>
        <v>0.70350212176239924</v>
      </c>
      <c r="S32" s="634">
        <f t="shared" si="80"/>
        <v>-0.7893023805359799</v>
      </c>
      <c r="T32" s="635">
        <f t="shared" si="81"/>
        <v>-0.53897686570177683</v>
      </c>
      <c r="U32" s="629">
        <f t="shared" si="82"/>
        <v>0.45212738643272471</v>
      </c>
      <c r="V32" s="636">
        <f t="shared" si="114"/>
        <v>-0.7893023805359799</v>
      </c>
      <c r="W32" s="585">
        <f t="shared" si="224"/>
        <v>140.00797978534871</v>
      </c>
      <c r="X32" s="629">
        <f t="shared" si="83"/>
        <v>0.70350212176239924</v>
      </c>
      <c r="Y32" s="630">
        <f t="shared" si="223"/>
        <v>-0.7893023805359799</v>
      </c>
      <c r="Z32" s="632">
        <f t="shared" si="6"/>
        <v>-0.71984611050310054</v>
      </c>
      <c r="AA32" s="629">
        <f t="shared" si="7"/>
        <v>0.60402303859108863</v>
      </c>
      <c r="AB32" s="629">
        <f t="shared" si="8"/>
        <v>-0.34202009596622585</v>
      </c>
      <c r="AC32" s="636">
        <f t="shared" si="84"/>
        <v>1</v>
      </c>
      <c r="AD32" s="637">
        <f t="shared" si="115"/>
        <v>-0.71984611050310054</v>
      </c>
      <c r="AE32" s="629">
        <f t="shared" si="85"/>
        <v>0.60402303859108863</v>
      </c>
      <c r="AF32" s="633">
        <f t="shared" si="86"/>
        <v>-0.34202009596622585</v>
      </c>
      <c r="AG32" s="602">
        <f t="shared" si="87"/>
        <v>60.47986254621194</v>
      </c>
      <c r="AH32" s="603">
        <f t="shared" si="88"/>
        <v>136.04177649789963</v>
      </c>
      <c r="AI32" s="585">
        <f t="shared" si="89"/>
        <v>-70.00000288764231</v>
      </c>
      <c r="AJ32" s="586">
        <f t="shared" si="90"/>
        <v>-130.00002021349616</v>
      </c>
      <c r="AK32" s="635">
        <f t="shared" si="211"/>
        <v>0.93969263802333458</v>
      </c>
      <c r="AL32" s="629">
        <f t="shared" si="91"/>
        <v>8.8817841970012523E-16</v>
      </c>
      <c r="AM32" s="634">
        <f t="shared" si="92"/>
        <v>-0.34202009596622585</v>
      </c>
      <c r="AN32" s="581">
        <f t="shared" si="93"/>
        <v>1.4878913696475161E-13</v>
      </c>
      <c r="AO32" s="582">
        <f t="shared" si="94"/>
        <v>19.999997112357679</v>
      </c>
      <c r="AP32" s="585">
        <f t="shared" si="95"/>
        <v>5.4154808545124084E-14</v>
      </c>
      <c r="AQ32" s="586">
        <f t="shared" si="9"/>
        <v>3.2370911281145731</v>
      </c>
      <c r="AS32" s="52">
        <f t="shared" si="116"/>
        <v>-219.99202021465129</v>
      </c>
      <c r="AT32" s="72">
        <f t="shared" si="10"/>
        <v>-0.636524588721052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4.1020000000000003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1913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-1.0329632384821499</v>
      </c>
      <c r="C33" s="708">
        <v>-1.2310367684790364</v>
      </c>
      <c r="D33" s="709">
        <v>-0.54720165036017754</v>
      </c>
      <c r="E33" s="710">
        <v>0.72430904822897302</v>
      </c>
      <c r="F33" s="708">
        <v>-0.60776789067390402</v>
      </c>
      <c r="G33" s="711">
        <v>0.32556810918674556</v>
      </c>
      <c r="H33" s="710">
        <v>0.3765</v>
      </c>
      <c r="I33" s="708">
        <v>0.52</v>
      </c>
      <c r="J33" s="570">
        <v>4.1050000000000004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1913</v>
      </c>
      <c r="L33" s="320"/>
      <c r="M33" s="168">
        <f t="shared" si="1"/>
        <v>4.1050000000000004</v>
      </c>
      <c r="N33" s="632">
        <f t="shared" si="2"/>
        <v>-1.0329632384821499</v>
      </c>
      <c r="O33" s="629">
        <f t="shared" si="3"/>
        <v>-1.2310367684790364</v>
      </c>
      <c r="P33" s="633">
        <f t="shared" si="4"/>
        <v>-0.54720165036017754</v>
      </c>
      <c r="Q33" s="585">
        <f t="shared" si="113"/>
        <v>229.99997978650384</v>
      </c>
      <c r="R33" s="629">
        <f t="shared" si="79"/>
        <v>1.6070048467266174</v>
      </c>
      <c r="S33" s="634">
        <f t="shared" si="80"/>
        <v>-0.54720165036017754</v>
      </c>
      <c r="T33" s="635">
        <f t="shared" si="81"/>
        <v>-1.2311809853344078</v>
      </c>
      <c r="U33" s="629">
        <f t="shared" si="82"/>
        <v>1.0327913432798688</v>
      </c>
      <c r="V33" s="636">
        <f t="shared" si="114"/>
        <v>-0.54720165036017754</v>
      </c>
      <c r="W33" s="585">
        <f t="shared" si="224"/>
        <v>140.00797978534877</v>
      </c>
      <c r="X33" s="629">
        <f t="shared" si="83"/>
        <v>1.6070048467266174</v>
      </c>
      <c r="Y33" s="630">
        <f t="shared" si="223"/>
        <v>-0.54720165036017754</v>
      </c>
      <c r="Z33" s="632">
        <f t="shared" si="6"/>
        <v>-0.72430904822897302</v>
      </c>
      <c r="AA33" s="629">
        <f t="shared" si="7"/>
        <v>0.60776789067390402</v>
      </c>
      <c r="AB33" s="629">
        <f t="shared" si="8"/>
        <v>-0.32556810918674556</v>
      </c>
      <c r="AC33" s="636">
        <f t="shared" si="84"/>
        <v>1</v>
      </c>
      <c r="AD33" s="637">
        <f t="shared" si="115"/>
        <v>-0.72430904822897302</v>
      </c>
      <c r="AE33" s="629">
        <f t="shared" si="85"/>
        <v>0.60776789067390402</v>
      </c>
      <c r="AF33" s="633">
        <f t="shared" si="86"/>
        <v>-0.32556810918674556</v>
      </c>
      <c r="AG33" s="602">
        <f t="shared" si="87"/>
        <v>61.823009133860538</v>
      </c>
      <c r="AH33" s="603">
        <f t="shared" si="88"/>
        <v>136.41139910468985</v>
      </c>
      <c r="AI33" s="585">
        <f t="shared" si="89"/>
        <v>-71.000002743260197</v>
      </c>
      <c r="AJ33" s="586">
        <f t="shared" si="90"/>
        <v>-130.00002021349616</v>
      </c>
      <c r="AK33" s="635">
        <f t="shared" si="211"/>
        <v>0.94551859118716819</v>
      </c>
      <c r="AL33" s="629">
        <f t="shared" si="91"/>
        <v>1.1102230246251565E-16</v>
      </c>
      <c r="AM33" s="634">
        <f t="shared" si="92"/>
        <v>-0.32556810918674556</v>
      </c>
      <c r="AN33" s="581">
        <f t="shared" si="93"/>
        <v>1.953849036017931E-14</v>
      </c>
      <c r="AO33" s="582">
        <f t="shared" si="94"/>
        <v>18.999997256739807</v>
      </c>
      <c r="AP33" s="585">
        <f t="shared" si="95"/>
        <v>6.7276407066096846E-15</v>
      </c>
      <c r="AQ33" s="586">
        <f t="shared" si="9"/>
        <v>1.418328610799521</v>
      </c>
      <c r="AS33" s="52">
        <f t="shared" si="116"/>
        <v>-219.99202021465123</v>
      </c>
      <c r="AT33" s="72">
        <f t="shared" si="10"/>
        <v>-0.39442385854524964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4.1050000000000004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1913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-1.6661754887800748</v>
      </c>
      <c r="C34" s="708">
        <v>-1.9856692019754263</v>
      </c>
      <c r="D34" s="709">
        <v>-0.28330085443537711</v>
      </c>
      <c r="E34" s="710">
        <v>0.73994190014476591</v>
      </c>
      <c r="F34" s="708">
        <v>-0.6208854203489933</v>
      </c>
      <c r="G34" s="711">
        <v>0.25881900859134588</v>
      </c>
      <c r="H34" s="710">
        <v>0.3765</v>
      </c>
      <c r="I34" s="708">
        <v>0.52</v>
      </c>
      <c r="J34" s="570">
        <v>4.109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1913</v>
      </c>
      <c r="L34" s="320"/>
      <c r="M34" s="168">
        <f t="shared" si="1"/>
        <v>4.109</v>
      </c>
      <c r="N34" s="632">
        <f t="shared" si="2"/>
        <v>-1.6661754887800748</v>
      </c>
      <c r="O34" s="629">
        <f t="shared" si="3"/>
        <v>-1.9856692019754263</v>
      </c>
      <c r="P34" s="633">
        <f t="shared" si="4"/>
        <v>-0.28330085443537711</v>
      </c>
      <c r="Q34" s="585">
        <f t="shared" si="113"/>
        <v>229.99997978650384</v>
      </c>
      <c r="R34" s="629">
        <f>IF(M34="","",SQRT(N34^2+O34^2))</f>
        <v>2.5921078177971779</v>
      </c>
      <c r="S34" s="634">
        <f>IF(M34="","",P34)</f>
        <v>-0.28330085443537711</v>
      </c>
      <c r="T34" s="635">
        <f>IF(M34="","",X34*COS(RADIANS(W34)))</f>
        <v>-1.9859018245708266</v>
      </c>
      <c r="U34" s="629">
        <f>IF(M34="","",X34*SIN(RADIANS(W34)))</f>
        <v>1.6658982208560971</v>
      </c>
      <c r="V34" s="636">
        <f>IF(M34="","",Y34)</f>
        <v>-0.28330085443537711</v>
      </c>
      <c r="W34" s="585">
        <f t="shared" si="224"/>
        <v>140.00797978534877</v>
      </c>
      <c r="X34" s="629">
        <f>IF(M34="","",R34)</f>
        <v>2.5921078177971779</v>
      </c>
      <c r="Y34" s="630">
        <f t="shared" si="223"/>
        <v>-0.28330085443537711</v>
      </c>
      <c r="Z34" s="632">
        <f t="shared" si="6"/>
        <v>-0.73994190014476591</v>
      </c>
      <c r="AA34" s="629">
        <f t="shared" si="7"/>
        <v>0.6208854203489933</v>
      </c>
      <c r="AB34" s="629">
        <f t="shared" si="8"/>
        <v>-0.25881900859134588</v>
      </c>
      <c r="AC34" s="636">
        <f>IF(M34="","",SQRT(Z34^2+AA34^2+AB34^2))</f>
        <v>1</v>
      </c>
      <c r="AD34" s="637">
        <f>IF(M34="","",Z34*(1/SQRT(Z34^2+AA34^2+AB34^2)))</f>
        <v>-0.73994190014476591</v>
      </c>
      <c r="AE34" s="629">
        <f>IF(M34="","",AA34*(1/SQRT(Z34^2+AA34^2+AB34^2)))</f>
        <v>0.6208854203489933</v>
      </c>
      <c r="AF34" s="633">
        <f>IF(M34="","",AB34*(1/SQRT(Z34^2+AA34^2+AB34^2)))</f>
        <v>-0.25881900859134588</v>
      </c>
      <c r="AG34" s="602">
        <f>IF(M34="","",DEGREES(ATAN2(-AF34,AE34)))</f>
        <v>67.370955631345964</v>
      </c>
      <c r="AH34" s="603">
        <f>IF(M34="","",DEGREES(ACOS(AD34)))</f>
        <v>137.72646658984385</v>
      </c>
      <c r="AI34" s="585">
        <f>IF(M34="","",DEGREES(-ACOS(-AF34)))</f>
        <v>-75.000002165731729</v>
      </c>
      <c r="AJ34" s="586">
        <f>IF(M34="","",DEGREES(ATAN2(-AE34,AD34)))</f>
        <v>-130.00002021349616</v>
      </c>
      <c r="AK34" s="635">
        <f>IF(M34="","",(COS(RADIANS((90-$Q$8)-W34))*AD34)+(-SIN(RADIANS((90-$Q$8)-W34))*AE34))</f>
        <v>0.96592583607220739</v>
      </c>
      <c r="AL34" s="629">
        <f>IF(M34="","",(SIN(RADIANS((90-$Q$8)-W34))*AD34)+(COS(RADIANS((90-$Q$8)-W34))*AE34))</f>
        <v>-1.6653345369377348E-16</v>
      </c>
      <c r="AM34" s="634">
        <f>IF(M34="","",AF34)</f>
        <v>-0.25881900859134588</v>
      </c>
      <c r="AN34" s="581">
        <f>IF(M34="","",DEGREES(ATAN2(-AM34,AL34)))</f>
        <v>-3.6866164105651379E-14</v>
      </c>
      <c r="AO34" s="582">
        <f t="shared" si="94"/>
        <v>14.999997834268255</v>
      </c>
      <c r="AP34" s="585">
        <f>IF(M34="","",DEGREES(ATAN2(AK34,AL34)))</f>
        <v>-9.8782574065834049E-15</v>
      </c>
      <c r="AQ34" s="586">
        <f t="shared" si="9"/>
        <v>0.87941851455933284</v>
      </c>
      <c r="AS34" s="52">
        <f t="shared" si="116"/>
        <v>-219.99202021465123</v>
      </c>
      <c r="AT34" s="72">
        <f t="shared" si="10"/>
        <v>-0.13052306262044922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1913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-2.2679007580031421</v>
      </c>
      <c r="C35" s="708">
        <v>-2.6942664777798866</v>
      </c>
      <c r="D35" s="709">
        <v>-8.4000253344764214E-2</v>
      </c>
      <c r="E35" s="710">
        <v>0.72635131643062589</v>
      </c>
      <c r="F35" s="708">
        <v>-0.63675086939471759</v>
      </c>
      <c r="G35" s="711">
        <v>0.25877035271562365</v>
      </c>
      <c r="H35" s="710">
        <v>0.3765</v>
      </c>
      <c r="I35" s="708">
        <v>0.52</v>
      </c>
      <c r="J35" s="570">
        <v>4.1139999999999999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1913</v>
      </c>
      <c r="L35" s="320"/>
      <c r="M35" s="168">
        <f t="shared" si="1"/>
        <v>4.1139999999999999</v>
      </c>
      <c r="N35" s="632">
        <f t="shared" si="2"/>
        <v>-2.2679007580031421</v>
      </c>
      <c r="O35" s="629">
        <f t="shared" si="3"/>
        <v>-2.6942664777798866</v>
      </c>
      <c r="P35" s="633">
        <f t="shared" si="4"/>
        <v>-8.4000253344764214E-2</v>
      </c>
      <c r="Q35" s="585">
        <f t="shared" si="113"/>
        <v>229.91097979935384</v>
      </c>
      <c r="R35" s="629">
        <f>IF(M35="","",SQRT(N35^2+O35^2))</f>
        <v>3.5217106214792353</v>
      </c>
      <c r="S35" s="634">
        <f>IF(M35="","",P35)</f>
        <v>-8.4000253344764214E-2</v>
      </c>
      <c r="T35" s="635">
        <f>IF(M35="","",X35*COS(RADIANS(W35)))</f>
        <v>-2.6945831101527755</v>
      </c>
      <c r="U35" s="629">
        <f>IF(M35="","",X35*SIN(RADIANS(W35)))</f>
        <v>2.2675245453840311</v>
      </c>
      <c r="V35" s="636">
        <f>IF(M35="","",Y35)</f>
        <v>-8.4000253344764214E-2</v>
      </c>
      <c r="W35" s="585">
        <f t="shared" si="224"/>
        <v>139.91897979819879</v>
      </c>
      <c r="X35" s="629">
        <f>IF(M35="","",R35)</f>
        <v>3.5217106214792353</v>
      </c>
      <c r="Y35" s="630">
        <f t="shared" si="223"/>
        <v>-8.4000253344764214E-2</v>
      </c>
      <c r="Z35" s="632">
        <f t="shared" si="6"/>
        <v>-0.72635131643062589</v>
      </c>
      <c r="AA35" s="629">
        <f t="shared" si="7"/>
        <v>0.63675086939471759</v>
      </c>
      <c r="AB35" s="629">
        <f t="shared" si="8"/>
        <v>-0.25877035271562365</v>
      </c>
      <c r="AC35" s="636">
        <f>IF(M35="","",SQRT(Z35^2+AA35^2+AB35^2))</f>
        <v>1</v>
      </c>
      <c r="AD35" s="637">
        <f>IF(M35="","",Z35*(1/SQRT(Z35^2+AA35^2+AB35^2)))</f>
        <v>-0.72635131643062589</v>
      </c>
      <c r="AE35" s="629">
        <f>IF(M35="","",AA35*(1/SQRT(Z35^2+AA35^2+AB35^2)))</f>
        <v>0.63675086939471759</v>
      </c>
      <c r="AF35" s="633">
        <f>IF(M35="","",AB35*(1/SQRT(Z35^2+AA35^2+AB35^2)))</f>
        <v>-0.25877035271562365</v>
      </c>
      <c r="AG35" s="602">
        <f>IF(M35="","",DEGREES(ATAN2(-AF35,AE35)))</f>
        <v>67.883576776993678</v>
      </c>
      <c r="AH35" s="603">
        <f>IF(M35="","",DEGREES(ACOS(AD35)))</f>
        <v>136.58137781038937</v>
      </c>
      <c r="AI35" s="585">
        <f>IF(M35="","",DEGREES(-ACOS(-AF35)))</f>
        <v>-75.002888264654786</v>
      </c>
      <c r="AJ35" s="586">
        <f>IF(M35="","",DEGREES(ATAN2(-AE35,AD35)))</f>
        <v>-131.23920151040377</v>
      </c>
      <c r="AK35" s="635">
        <f>IF(M35="","",(COS(RADIANS((90-$Q$8)-W35))*AD35)+(-SIN(RADIANS((90-$Q$8)-W35))*AE35))</f>
        <v>0.96574424984446972</v>
      </c>
      <c r="AL35" s="629">
        <f>IF(M35="","",(SIN(RADIANS((90-$Q$8)-W35))*AD35)+(COS(RADIANS((90-$Q$8)-W35))*AE35))</f>
        <v>-1.9389390082570457E-2</v>
      </c>
      <c r="AM35" s="634">
        <f>IF(M35="","",AF35)</f>
        <v>-0.25877035271562365</v>
      </c>
      <c r="AN35" s="581">
        <f>IF(M35="","",DEGREES(ATAN2(-AM35,AL35)))</f>
        <v>-4.2851050503814543</v>
      </c>
      <c r="AO35" s="582">
        <f t="shared" si="94"/>
        <v>15.040143803039117</v>
      </c>
      <c r="AP35" s="585">
        <f>IF(M35="","",DEGREES(ATAN2(AK35,AL35)))</f>
        <v>-1.1501813097576459</v>
      </c>
      <c r="AQ35" s="586">
        <f t="shared" si="9"/>
        <v>0.64730748314970632</v>
      </c>
      <c r="AS35" s="52">
        <f t="shared" si="116"/>
        <v>-220.08102020180121</v>
      </c>
      <c r="AT35" s="72">
        <f t="shared" si="10"/>
        <v>6.8839344016795617E-2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1913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-2.8917474046999798</v>
      </c>
      <c r="C36" s="708">
        <v>-3.3806579266247807</v>
      </c>
      <c r="D36" s="709">
        <v>-0.24300073289021068</v>
      </c>
      <c r="E36" s="710">
        <v>0.64479402138770781</v>
      </c>
      <c r="F36" s="708">
        <v>-0.72325973275529098</v>
      </c>
      <c r="G36" s="711">
        <v>0.24725700992573163</v>
      </c>
      <c r="H36" s="710">
        <v>0.3765</v>
      </c>
      <c r="I36" s="708">
        <v>0.52</v>
      </c>
      <c r="J36" s="570">
        <v>4.1189999999999998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1913</v>
      </c>
      <c r="L36" s="320"/>
      <c r="M36" s="168">
        <f t="shared" si="1"/>
        <v>4.1189999999999998</v>
      </c>
      <c r="N36" s="632">
        <f t="shared" si="2"/>
        <v>-2.8917474046999798</v>
      </c>
      <c r="O36" s="629">
        <f t="shared" si="3"/>
        <v>-3.3806579266247807</v>
      </c>
      <c r="P36" s="633">
        <f t="shared" si="4"/>
        <v>-0.24300073289021068</v>
      </c>
      <c r="Q36" s="585">
        <f t="shared" si="113"/>
        <v>229.4569798649033</v>
      </c>
      <c r="R36" s="629">
        <f>IF(M36="","",SQRT(N36^2+O36^2))</f>
        <v>4.4487134173196674</v>
      </c>
      <c r="S36" s="634">
        <f>IF(M36="","",P36)</f>
        <v>-0.24300073289021068</v>
      </c>
      <c r="T36" s="635">
        <f>IF(M36="","",X36*COS(RADIANS(W36)))</f>
        <v>-3.3810616577181309</v>
      </c>
      <c r="U36" s="629">
        <f>IF(M36="","",X36*SIN(RADIANS(W36)))</f>
        <v>2.8912753476879987</v>
      </c>
      <c r="V36" s="636">
        <f>IF(M36="","",Y36)</f>
        <v>-0.24300073289021068</v>
      </c>
      <c r="W36" s="585">
        <f t="shared" si="224"/>
        <v>139.46497986374823</v>
      </c>
      <c r="X36" s="629">
        <f>IF(M36="","",R36)</f>
        <v>4.4487134173196674</v>
      </c>
      <c r="Y36" s="630">
        <f t="shared" si="223"/>
        <v>-0.24300073289021068</v>
      </c>
      <c r="Z36" s="632">
        <f t="shared" si="6"/>
        <v>-0.64479402138770781</v>
      </c>
      <c r="AA36" s="629">
        <f t="shared" si="7"/>
        <v>0.72325973275529098</v>
      </c>
      <c r="AB36" s="629">
        <f t="shared" si="8"/>
        <v>-0.24725700992573163</v>
      </c>
      <c r="AC36" s="636">
        <f>IF(M36="","",SQRT(Z36^2+AA36^2+AB36^2))</f>
        <v>1</v>
      </c>
      <c r="AD36" s="637">
        <f>IF(M36="","",Z36*(1/SQRT(Z36^2+AA36^2+AB36^2)))</f>
        <v>-0.64479402138770781</v>
      </c>
      <c r="AE36" s="629">
        <f>IF(M36="","",AA36*(1/SQRT(Z36^2+AA36^2+AB36^2)))</f>
        <v>0.72325973275529098</v>
      </c>
      <c r="AF36" s="633">
        <f>IF(M36="","",AB36*(1/SQRT(Z36^2+AA36^2+AB36^2)))</f>
        <v>-0.24725700992573163</v>
      </c>
      <c r="AG36" s="602">
        <f>IF(M36="","",DEGREES(ATAN2(-AF36,AE36)))</f>
        <v>71.126249949020888</v>
      </c>
      <c r="AH36" s="603">
        <f>IF(M36="","",DEGREES(ACOS(AD36)))</f>
        <v>130.15023365790179</v>
      </c>
      <c r="AI36" s="585">
        <f>IF(M36="","",DEGREES(-ACOS(-AF36)))</f>
        <v>-75.684744672160122</v>
      </c>
      <c r="AJ36" s="586">
        <f>IF(M36="","",DEGREES(ATAN2(-AE36,AD36)))</f>
        <v>-138.28264436217603</v>
      </c>
      <c r="AK36" s="635">
        <f>IF(M36="","",(COS(RADIANS((90-$Q$8)-W36))*AD36)+(-SIN(RADIANS((90-$Q$8)-W36))*AE36))</f>
        <v>0.96012309040513233</v>
      </c>
      <c r="AL36" s="629">
        <f>IF(M36="","",(SIN(RADIANS((90-$Q$8)-W36))*AD36)+(COS(RADIANS((90-$Q$8)-W36))*AE36))</f>
        <v>-0.13048993184719104</v>
      </c>
      <c r="AM36" s="634">
        <f>IF(M36="","",AF36)</f>
        <v>-0.24725700992573163</v>
      </c>
      <c r="AN36" s="581">
        <f>IF(M36="","",DEGREES(ATAN2(-AM36,AL36)))</f>
        <v>-27.822859691707983</v>
      </c>
      <c r="AO36" s="582">
        <f t="shared" si="94"/>
        <v>16.234997980168771</v>
      </c>
      <c r="AP36" s="585">
        <f>IF(M36="","",DEGREES(ATAN2(AK36,AL36)))</f>
        <v>-7.7396242270793678</v>
      </c>
      <c r="AQ36" s="586">
        <f t="shared" si="9"/>
        <v>0.5124326144909308</v>
      </c>
      <c r="AS36" s="52">
        <f t="shared" si="116"/>
        <v>-220.53502013625177</v>
      </c>
      <c r="AT36" s="72">
        <f t="shared" si="10"/>
        <v>-8.9845857796393536E-2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4.1189999999999998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1913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-3.4304178057333572</v>
      </c>
      <c r="C37" s="708">
        <v>-3.934299183921488</v>
      </c>
      <c r="D37" s="709">
        <v>-0.78140235670950764</v>
      </c>
      <c r="E37" s="710">
        <v>0.52514929903156238</v>
      </c>
      <c r="F37" s="708">
        <v>-0.81477941892997807</v>
      </c>
      <c r="G37" s="711">
        <v>0.2456678900767989</v>
      </c>
      <c r="H37" s="710">
        <v>0.3765</v>
      </c>
      <c r="I37" s="708">
        <v>0.52</v>
      </c>
      <c r="J37" s="570">
        <v>4.1239999999999997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1913</v>
      </c>
      <c r="L37" s="320"/>
      <c r="M37" s="168">
        <f t="shared" si="1"/>
        <v>4.1239999999999997</v>
      </c>
      <c r="N37" s="632">
        <f t="shared" si="2"/>
        <v>-3.4304178057333572</v>
      </c>
      <c r="O37" s="629">
        <f t="shared" si="3"/>
        <v>-3.934299183921488</v>
      </c>
      <c r="P37" s="633">
        <f t="shared" si="4"/>
        <v>-0.78140235670950764</v>
      </c>
      <c r="Q37" s="585">
        <f t="shared" si="113"/>
        <v>228.91397994330279</v>
      </c>
      <c r="R37" s="629">
        <f t="shared" si="79"/>
        <v>5.2198157429642809</v>
      </c>
      <c r="S37" s="634">
        <f t="shared" si="80"/>
        <v>-0.78140235670950764</v>
      </c>
      <c r="T37" s="635">
        <f t="shared" si="81"/>
        <v>-3.9347781221836251</v>
      </c>
      <c r="U37" s="629">
        <f t="shared" si="82"/>
        <v>3.4298684405794413</v>
      </c>
      <c r="V37" s="636">
        <f t="shared" si="114"/>
        <v>-0.78140235670950764</v>
      </c>
      <c r="W37" s="585">
        <f t="shared" si="224"/>
        <v>138.92197994214774</v>
      </c>
      <c r="X37" s="629">
        <f t="shared" si="83"/>
        <v>5.2198157429642809</v>
      </c>
      <c r="Y37" s="630">
        <f t="shared" si="223"/>
        <v>-0.78140235670950764</v>
      </c>
      <c r="Z37" s="632">
        <f t="shared" si="6"/>
        <v>-0.52514929903156238</v>
      </c>
      <c r="AA37" s="629">
        <f t="shared" si="7"/>
        <v>0.81477941892997807</v>
      </c>
      <c r="AB37" s="629">
        <f t="shared" si="8"/>
        <v>-0.2456678900767989</v>
      </c>
      <c r="AC37" s="636">
        <f t="shared" si="84"/>
        <v>1</v>
      </c>
      <c r="AD37" s="637">
        <f t="shared" si="115"/>
        <v>-0.52514929903156238</v>
      </c>
      <c r="AE37" s="629">
        <f t="shared" si="85"/>
        <v>0.81477941892997807</v>
      </c>
      <c r="AF37" s="633">
        <f t="shared" si="86"/>
        <v>-0.2456678900767989</v>
      </c>
      <c r="AG37" s="602">
        <f t="shared" si="87"/>
        <v>73.221174173616674</v>
      </c>
      <c r="AH37" s="603">
        <f t="shared" si="88"/>
        <v>121.67829453414105</v>
      </c>
      <c r="AI37" s="585">
        <f t="shared" si="89"/>
        <v>-75.778692619019125</v>
      </c>
      <c r="AJ37" s="586">
        <f t="shared" si="90"/>
        <v>-147.19702916633969</v>
      </c>
      <c r="AK37" s="635">
        <f t="shared" si="211"/>
        <v>0.93128350203003651</v>
      </c>
      <c r="AL37" s="629">
        <f t="shared" si="91"/>
        <v>-0.26899503086838811</v>
      </c>
      <c r="AM37" s="634">
        <f t="shared" si="92"/>
        <v>-0.2456678900767989</v>
      </c>
      <c r="AN37" s="581">
        <f t="shared" si="93"/>
        <v>-47.595159932346895</v>
      </c>
      <c r="AO37" s="582">
        <f t="shared" si="94"/>
        <v>21.36421844180559</v>
      </c>
      <c r="AP37" s="585">
        <f t="shared" si="95"/>
        <v>-16.11100910964252</v>
      </c>
      <c r="AQ37" s="586">
        <f t="shared" si="9"/>
        <v>0.43673619752236115</v>
      </c>
      <c r="AS37" s="52">
        <f t="shared" si="116"/>
        <v>-221.07802005785226</v>
      </c>
      <c r="AT37" s="72">
        <f t="shared" si="10"/>
        <v>-0.62787039833680125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4.1239999999999997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1913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-3.7665087242220494</v>
      </c>
      <c r="C38" s="708">
        <v>-4.2628044494278887</v>
      </c>
      <c r="D38" s="709">
        <v>-1.5968048159633246</v>
      </c>
      <c r="E38" s="710">
        <v>0.40260054216853547</v>
      </c>
      <c r="F38" s="708">
        <v>-0.89715644966929842</v>
      </c>
      <c r="G38" s="711">
        <v>0.18172261351406171</v>
      </c>
      <c r="H38" s="710">
        <v>0.3765</v>
      </c>
      <c r="I38" s="708">
        <v>0.52</v>
      </c>
      <c r="J38" s="570">
        <v>4.1289999999999996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1913</v>
      </c>
      <c r="L38" s="320"/>
      <c r="M38" s="168">
        <f t="shared" si="1"/>
        <v>4.1289999999999996</v>
      </c>
      <c r="N38" s="632">
        <f t="shared" si="2"/>
        <v>-3.7665087242220494</v>
      </c>
      <c r="O38" s="629">
        <f t="shared" si="3"/>
        <v>-4.2628044494278887</v>
      </c>
      <c r="P38" s="633">
        <f t="shared" si="4"/>
        <v>-1.5968048159633246</v>
      </c>
      <c r="Q38" s="585">
        <f t="shared" si="113"/>
        <v>228.53697999773485</v>
      </c>
      <c r="R38" s="629">
        <f t="shared" si="79"/>
        <v>5.6884171562661443</v>
      </c>
      <c r="S38" s="634">
        <f t="shared" si="80"/>
        <v>-1.5968048159633246</v>
      </c>
      <c r="T38" s="635">
        <f t="shared" si="81"/>
        <v>-4.2633303116258183</v>
      </c>
      <c r="U38" s="629">
        <f t="shared" si="82"/>
        <v>3.7659134878108271</v>
      </c>
      <c r="V38" s="636">
        <f t="shared" si="114"/>
        <v>-1.5968048159633246</v>
      </c>
      <c r="W38" s="585">
        <f t="shared" si="224"/>
        <v>138.5449799965798</v>
      </c>
      <c r="X38" s="629">
        <f t="shared" si="83"/>
        <v>5.6884171562661443</v>
      </c>
      <c r="Y38" s="630">
        <f t="shared" si="223"/>
        <v>-1.5968048159633246</v>
      </c>
      <c r="Z38" s="632">
        <f t="shared" si="6"/>
        <v>-0.40260054216853547</v>
      </c>
      <c r="AA38" s="629">
        <f t="shared" si="7"/>
        <v>0.89715644966929842</v>
      </c>
      <c r="AB38" s="629">
        <f t="shared" si="8"/>
        <v>-0.18172261351406171</v>
      </c>
      <c r="AC38" s="636">
        <f t="shared" si="84"/>
        <v>1</v>
      </c>
      <c r="AD38" s="637">
        <f t="shared" si="115"/>
        <v>-0.40260054216853547</v>
      </c>
      <c r="AE38" s="629">
        <f t="shared" si="85"/>
        <v>0.89715644966929842</v>
      </c>
      <c r="AF38" s="633">
        <f t="shared" si="86"/>
        <v>-0.18172261351406171</v>
      </c>
      <c r="AG38" s="602">
        <f t="shared" si="87"/>
        <v>78.54943252839675</v>
      </c>
      <c r="AH38" s="603">
        <f t="shared" si="88"/>
        <v>113.7408519100545</v>
      </c>
      <c r="AI38" s="585">
        <f t="shared" si="89"/>
        <v>-79.529886728483021</v>
      </c>
      <c r="AJ38" s="586">
        <f t="shared" si="90"/>
        <v>-155.83175727937709</v>
      </c>
      <c r="AK38" s="635">
        <f t="shared" si="211"/>
        <v>0.89574214358677173</v>
      </c>
      <c r="AL38" s="629">
        <f t="shared" si="91"/>
        <v>-0.40573748155697242</v>
      </c>
      <c r="AM38" s="634">
        <f t="shared" si="92"/>
        <v>-0.18172261351406171</v>
      </c>
      <c r="AN38" s="581">
        <f t="shared" si="93"/>
        <v>-65.873239814172152</v>
      </c>
      <c r="AO38" s="582">
        <f t="shared" si="94"/>
        <v>26.396084526170736</v>
      </c>
      <c r="AP38" s="585">
        <f t="shared" si="95"/>
        <v>-24.368737277111954</v>
      </c>
      <c r="AQ38" s="586">
        <f t="shared" si="9"/>
        <v>0.40075989353706093</v>
      </c>
      <c r="AS38" s="52">
        <f t="shared" si="116"/>
        <v>-221.4550200034202</v>
      </c>
      <c r="AT38" s="72">
        <f t="shared" si="10"/>
        <v>-1.4430110520728627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4.1289999999999996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1913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-3.8674986483730209</v>
      </c>
      <c r="C39" s="708">
        <v>-4.3603555777978542</v>
      </c>
      <c r="D39" s="709">
        <v>-2.5298076298998118</v>
      </c>
      <c r="E39" s="710">
        <v>0.31611244831217006</v>
      </c>
      <c r="F39" s="708">
        <v>-0.94872172949821576</v>
      </c>
      <c r="G39" s="711">
        <v>0</v>
      </c>
      <c r="H39" s="710">
        <v>0.3765</v>
      </c>
      <c r="I39" s="708">
        <v>0.52</v>
      </c>
      <c r="J39" s="570">
        <v>4.1340000000000003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1913</v>
      </c>
      <c r="L39" s="320"/>
      <c r="M39" s="168">
        <f t="shared" si="1"/>
        <v>4.1340000000000003</v>
      </c>
      <c r="N39" s="632">
        <f t="shared" si="2"/>
        <v>-3.8674986483730209</v>
      </c>
      <c r="O39" s="629">
        <f t="shared" si="3"/>
        <v>-4.3603555777978542</v>
      </c>
      <c r="P39" s="633">
        <f t="shared" si="4"/>
        <v>-2.5298076298998118</v>
      </c>
      <c r="Q39" s="585">
        <f t="shared" si="113"/>
        <v>228.42798001347251</v>
      </c>
      <c r="R39" s="629">
        <f t="shared" si="79"/>
        <v>5.8284000000000002</v>
      </c>
      <c r="S39" s="634">
        <f t="shared" si="80"/>
        <v>-2.5298076298998118</v>
      </c>
      <c r="T39" s="635">
        <f t="shared" si="81"/>
        <v>-4.3608955398962976</v>
      </c>
      <c r="U39" s="629">
        <f t="shared" si="82"/>
        <v>3.8668897902723556</v>
      </c>
      <c r="V39" s="636">
        <f t="shared" si="114"/>
        <v>-2.5298076298998118</v>
      </c>
      <c r="W39" s="585">
        <f t="shared" si="224"/>
        <v>138.43598001231743</v>
      </c>
      <c r="X39" s="629">
        <f t="shared" si="83"/>
        <v>5.8284000000000002</v>
      </c>
      <c r="Y39" s="630">
        <f t="shared" si="223"/>
        <v>-2.5298076298998118</v>
      </c>
      <c r="Z39" s="632">
        <f t="shared" si="6"/>
        <v>-0.31611244831217006</v>
      </c>
      <c r="AA39" s="629">
        <f t="shared" si="7"/>
        <v>0.94872172949821576</v>
      </c>
      <c r="AB39" s="629">
        <f t="shared" si="8"/>
        <v>0</v>
      </c>
      <c r="AC39" s="636">
        <f t="shared" si="84"/>
        <v>1</v>
      </c>
      <c r="AD39" s="637">
        <f t="shared" si="115"/>
        <v>-0.31611244831217006</v>
      </c>
      <c r="AE39" s="629">
        <f t="shared" si="85"/>
        <v>0.94872172949821576</v>
      </c>
      <c r="AF39" s="633">
        <f t="shared" si="86"/>
        <v>0</v>
      </c>
      <c r="AG39" s="602">
        <f t="shared" si="87"/>
        <v>90</v>
      </c>
      <c r="AH39" s="603">
        <f t="shared" si="88"/>
        <v>108.42798434493598</v>
      </c>
      <c r="AI39" s="585">
        <f t="shared" si="89"/>
        <v>-90</v>
      </c>
      <c r="AJ39" s="586">
        <f t="shared" si="90"/>
        <v>-161.57201565506401</v>
      </c>
      <c r="AK39" s="635">
        <f t="shared" si="211"/>
        <v>0.86602544158358574</v>
      </c>
      <c r="AL39" s="629">
        <f t="shared" si="91"/>
        <v>-0.49999993452995112</v>
      </c>
      <c r="AM39" s="634">
        <f t="shared" si="92"/>
        <v>0</v>
      </c>
      <c r="AN39" s="581">
        <f t="shared" si="93"/>
        <v>-90</v>
      </c>
      <c r="AO39" s="582">
        <f t="shared" si="94"/>
        <v>29.99999566853651</v>
      </c>
      <c r="AP39" s="585">
        <f t="shared" si="95"/>
        <v>-29.999995668536528</v>
      </c>
      <c r="AQ39" s="586">
        <f t="shared" si="9"/>
        <v>0.39113499730302914</v>
      </c>
      <c r="AS39" s="52">
        <f t="shared" si="116"/>
        <v>-221.56401998768257</v>
      </c>
      <c r="AT39" s="72">
        <f t="shared" si="10"/>
        <v>-2.3759381715758345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4.1340000000000003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1913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-2.181851780328766</v>
      </c>
      <c r="C40" s="708">
        <v>1.0174146292152975</v>
      </c>
      <c r="D40" s="709">
        <v>-0.33280100372782734</v>
      </c>
      <c r="E40" s="710">
        <v>-0.40624689441128986</v>
      </c>
      <c r="F40" s="708">
        <v>-0.87119890393942645</v>
      </c>
      <c r="G40" s="711">
        <v>0.27563731705979955</v>
      </c>
      <c r="H40" s="710">
        <v>0.3765</v>
      </c>
      <c r="I40" s="708">
        <v>0.52</v>
      </c>
      <c r="J40" s="570">
        <v>5.1079999999999997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1913</v>
      </c>
      <c r="L40" s="320"/>
      <c r="M40" s="168">
        <f t="shared" si="1"/>
        <v>5.1079999999999997</v>
      </c>
      <c r="N40" s="632">
        <f t="shared" si="2"/>
        <v>-2.181851780328766</v>
      </c>
      <c r="O40" s="629">
        <f t="shared" si="3"/>
        <v>1.0174146292152975</v>
      </c>
      <c r="P40" s="633">
        <f t="shared" si="4"/>
        <v>-0.33280100372782734</v>
      </c>
      <c r="Q40" s="585">
        <f t="shared" si="113"/>
        <v>154.99999061516249</v>
      </c>
      <c r="R40" s="629">
        <f t="shared" si="79"/>
        <v>2.4074072607402983</v>
      </c>
      <c r="S40" s="634">
        <f t="shared" si="80"/>
        <v>-0.33280100372782734</v>
      </c>
      <c r="T40" s="635">
        <f t="shared" si="81"/>
        <v>1.0171099753639068</v>
      </c>
      <c r="U40" s="629">
        <f t="shared" si="82"/>
        <v>2.1819938169207398</v>
      </c>
      <c r="V40" s="636">
        <f t="shared" si="114"/>
        <v>-0.33280100372782734</v>
      </c>
      <c r="W40" s="585">
        <f t="shared" si="224"/>
        <v>65.007990614007426</v>
      </c>
      <c r="X40" s="629">
        <f t="shared" si="83"/>
        <v>2.4074072607402983</v>
      </c>
      <c r="Y40" s="630">
        <f t="shared" si="223"/>
        <v>-0.33280100372782734</v>
      </c>
      <c r="Z40" s="632">
        <f t="shared" si="6"/>
        <v>0.40624689441128986</v>
      </c>
      <c r="AA40" s="629">
        <f t="shared" si="7"/>
        <v>0.87119890393942645</v>
      </c>
      <c r="AB40" s="629">
        <f t="shared" si="8"/>
        <v>-0.27563731705979955</v>
      </c>
      <c r="AC40" s="636">
        <f t="shared" si="84"/>
        <v>1</v>
      </c>
      <c r="AD40" s="637">
        <f t="shared" si="115"/>
        <v>0.40624689441128986</v>
      </c>
      <c r="AE40" s="629">
        <f t="shared" si="85"/>
        <v>0.87119890393942645</v>
      </c>
      <c r="AF40" s="633">
        <f t="shared" si="86"/>
        <v>-0.27563731705979955</v>
      </c>
      <c r="AG40" s="602">
        <f t="shared" si="87"/>
        <v>72.443227452638141</v>
      </c>
      <c r="AH40" s="603">
        <f t="shared" si="88"/>
        <v>66.030712412375109</v>
      </c>
      <c r="AI40" s="585">
        <f t="shared" si="89"/>
        <v>-74.000002310113842</v>
      </c>
      <c r="AJ40" s="586">
        <f t="shared" si="90"/>
        <v>154.99999061516249</v>
      </c>
      <c r="AK40" s="635">
        <f t="shared" si="211"/>
        <v>0.96126170705176628</v>
      </c>
      <c r="AL40" s="629">
        <f t="shared" si="91"/>
        <v>-5.5511151231257827E-17</v>
      </c>
      <c r="AM40" s="634">
        <f t="shared" si="92"/>
        <v>-0.27563731705979955</v>
      </c>
      <c r="AN40" s="581">
        <f t="shared" si="93"/>
        <v>-1.153891176779048E-14</v>
      </c>
      <c r="AO40" s="582">
        <f t="shared" si="94"/>
        <v>15.999997689886136</v>
      </c>
      <c r="AP40" s="585">
        <f t="shared" si="95"/>
        <v>-3.3087292026002198E-15</v>
      </c>
      <c r="AQ40" s="586">
        <f t="shared" si="9"/>
        <v>0.94687721703744643</v>
      </c>
      <c r="AS40" s="52">
        <f t="shared" si="116"/>
        <v>-294.99200938599256</v>
      </c>
      <c r="AT40" s="72">
        <f t="shared" si="10"/>
        <v>-0.12793988609946796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5.1079999999999997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1913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-3.0197978566435584</v>
      </c>
      <c r="C41" s="708">
        <v>1.4105945250611782</v>
      </c>
      <c r="D41" s="709">
        <v>-0.10180030702972599</v>
      </c>
      <c r="E41" s="710">
        <v>-0.4202772253633324</v>
      </c>
      <c r="F41" s="708">
        <v>-0.86970718556992288</v>
      </c>
      <c r="G41" s="711">
        <v>0.25879811670285086</v>
      </c>
      <c r="H41" s="710">
        <v>0.3765</v>
      </c>
      <c r="I41" s="708">
        <v>0.52</v>
      </c>
      <c r="J41" s="570">
        <v>5.1130000000000004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1913</v>
      </c>
      <c r="L41" s="320"/>
      <c r="M41" s="168">
        <f t="shared" ref="M41:M72" si="239">IF(J41="","",VALUE(J41))</f>
        <v>5.1130000000000004</v>
      </c>
      <c r="N41" s="632">
        <f t="shared" ref="N41:N72" si="240">IF(M41="","",B41)</f>
        <v>-3.0197978566435584</v>
      </c>
      <c r="O41" s="629">
        <f t="shared" ref="O41:O72" si="241">IF(M41="","",C41)</f>
        <v>1.4105945250611782</v>
      </c>
      <c r="P41" s="633">
        <f t="shared" ref="P41:P72" si="242">IF(M41="","",D41)</f>
        <v>-0.10180030702972599</v>
      </c>
      <c r="Q41" s="585">
        <f t="shared" si="113"/>
        <v>154.96199062064903</v>
      </c>
      <c r="R41" s="629">
        <f t="shared" si="79"/>
        <v>3.3330100523583184</v>
      </c>
      <c r="S41" s="634">
        <f t="shared" si="80"/>
        <v>-0.10180030702972599</v>
      </c>
      <c r="T41" s="635">
        <f t="shared" si="81"/>
        <v>1.4101728680505516</v>
      </c>
      <c r="U41" s="629">
        <f t="shared" si="82"/>
        <v>3.0199947833292167</v>
      </c>
      <c r="V41" s="636">
        <f t="shared" si="114"/>
        <v>-0.10180030702972599</v>
      </c>
      <c r="W41" s="585">
        <f t="shared" si="224"/>
        <v>64.96999061949397</v>
      </c>
      <c r="X41" s="629">
        <f t="shared" si="83"/>
        <v>3.3330100523583184</v>
      </c>
      <c r="Y41" s="630">
        <f t="shared" si="223"/>
        <v>-0.10180030702972599</v>
      </c>
      <c r="Z41" s="632">
        <f t="shared" ref="Z41:Z72" si="243">IF(M41="","",-E41)</f>
        <v>0.4202772253633324</v>
      </c>
      <c r="AA41" s="629">
        <f t="shared" ref="AA41:AA72" si="244">IF(M41="","",-F41)</f>
        <v>0.86970718556992288</v>
      </c>
      <c r="AB41" s="629">
        <f t="shared" ref="AB41:AB72" si="245">IF(M41="","",-G41)</f>
        <v>-0.25879811670285086</v>
      </c>
      <c r="AC41" s="636">
        <f t="shared" si="84"/>
        <v>1</v>
      </c>
      <c r="AD41" s="637">
        <f t="shared" si="115"/>
        <v>0.4202772253633324</v>
      </c>
      <c r="AE41" s="629">
        <f t="shared" si="85"/>
        <v>0.86970718556992288</v>
      </c>
      <c r="AF41" s="633">
        <f t="shared" si="86"/>
        <v>-0.25879811670285086</v>
      </c>
      <c r="AG41" s="602">
        <f t="shared" si="87"/>
        <v>73.428613201617026</v>
      </c>
      <c r="AH41" s="603">
        <f t="shared" si="88"/>
        <v>65.147908879932828</v>
      </c>
      <c r="AI41" s="585">
        <f t="shared" si="89"/>
        <v>-75.001241405354079</v>
      </c>
      <c r="AJ41" s="586">
        <f t="shared" si="90"/>
        <v>154.20831258962792</v>
      </c>
      <c r="AK41" s="635">
        <f t="shared" si="211"/>
        <v>0.965847866471089</v>
      </c>
      <c r="AL41" s="629">
        <f t="shared" si="91"/>
        <v>-1.2705653241888881E-2</v>
      </c>
      <c r="AM41" s="634">
        <f t="shared" si="92"/>
        <v>-0.25879811670285086</v>
      </c>
      <c r="AN41" s="581">
        <f t="shared" si="93"/>
        <v>-2.8106706332693365</v>
      </c>
      <c r="AO41" s="582">
        <f t="shared" si="94"/>
        <v>15.017248579134471</v>
      </c>
      <c r="AP41" s="585">
        <f t="shared" si="95"/>
        <v>-0.7536780310210861</v>
      </c>
      <c r="AQ41" s="586">
        <f t="shared" ref="AQ41:AQ72" si="246">IF(M41="","",DEGREES(ATAN(($AS$5*SIN(RADIANS(90)))/(($X41*2*PI())-($AS$5*COS(RADIANS(90)))))))</f>
        <v>0.68395183643751212</v>
      </c>
      <c r="AS41" s="52">
        <f t="shared" si="116"/>
        <v>-295.03000938050604</v>
      </c>
      <c r="AT41" s="72">
        <f t="shared" ref="AT41:AT72" si="247">IF(M41="","",Y41+(((AS41-$AS$9)*$AS$6)*-1))</f>
        <v>0.10308719948371219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5.1130000000000004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1913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-3.8564044032954543</v>
      </c>
      <c r="C42" s="708">
        <v>1.8340439376002911</v>
      </c>
      <c r="D42" s="709">
        <v>-0.17880053926242628</v>
      </c>
      <c r="E42" s="710">
        <v>-0.50896142966804481</v>
      </c>
      <c r="F42" s="708">
        <v>-0.82653827779030886</v>
      </c>
      <c r="G42" s="711">
        <v>0.24040120311198587</v>
      </c>
      <c r="H42" s="710">
        <v>0.3765</v>
      </c>
      <c r="I42" s="708">
        <v>0.52</v>
      </c>
      <c r="J42" s="570">
        <v>5.1180000000000003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1913</v>
      </c>
      <c r="L42" s="320"/>
      <c r="M42" s="168">
        <f t="shared" si="239"/>
        <v>5.1180000000000003</v>
      </c>
      <c r="N42" s="632">
        <f t="shared" si="240"/>
        <v>-3.8564044032954543</v>
      </c>
      <c r="O42" s="629">
        <f t="shared" si="241"/>
        <v>1.8340439376002911</v>
      </c>
      <c r="P42" s="633">
        <f t="shared" si="242"/>
        <v>-0.17880053926242628</v>
      </c>
      <c r="Q42" s="585">
        <f t="shared" si="113"/>
        <v>154.56499067796869</v>
      </c>
      <c r="R42" s="629">
        <f t="shared" ref="R42:R47" si="385">IF(M42="","",SQRT(N42^2+O42^2))</f>
        <v>4.2703128792636438</v>
      </c>
      <c r="S42" s="634">
        <f t="shared" ref="S42:S47" si="386">IF(M42="","",P42)</f>
        <v>-0.17880053926242628</v>
      </c>
      <c r="T42" s="635">
        <f t="shared" ref="T42:T47" si="387">IF(M42="","",X42*COS(RADIANS(W42)))</f>
        <v>1.8335054641689681</v>
      </c>
      <c r="U42" s="629">
        <f t="shared" ref="U42:U47" si="388">IF(M42="","",X42*SIN(RADIANS(W42)))</f>
        <v>3.8566604465090637</v>
      </c>
      <c r="V42" s="636">
        <f t="shared" ref="V42:V47" si="389">IF(M42="","",Y42)</f>
        <v>-0.17880053926242628</v>
      </c>
      <c r="W42" s="585">
        <f t="shared" si="224"/>
        <v>64.572990676813632</v>
      </c>
      <c r="X42" s="629">
        <f t="shared" ref="X42:X47" si="390">IF(M42="","",R42)</f>
        <v>4.2703128792636438</v>
      </c>
      <c r="Y42" s="630">
        <f t="shared" si="223"/>
        <v>-0.17880053926242628</v>
      </c>
      <c r="Z42" s="632">
        <f t="shared" si="243"/>
        <v>0.50896142966804481</v>
      </c>
      <c r="AA42" s="629">
        <f t="shared" si="244"/>
        <v>0.82653827779030886</v>
      </c>
      <c r="AB42" s="629">
        <f t="shared" si="245"/>
        <v>-0.24040120311198587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0.50896142966804481</v>
      </c>
      <c r="AE42" s="629">
        <f t="shared" ref="AE42:AE47" si="393">IF(M42="","",AA42*(1/SQRT(Z42^2+AA42^2+AB42^2)))</f>
        <v>0.82653827779030886</v>
      </c>
      <c r="AF42" s="633">
        <f t="shared" ref="AF42:AF47" si="394">IF(M42="","",AB42*(1/SQRT(Z42^2+AA42^2+AB42^2)))</f>
        <v>-0.24040120311198587</v>
      </c>
      <c r="AG42" s="602">
        <f t="shared" ref="AG42:AG47" si="395">IF(M42="","",DEGREES(ATAN2(-AF42,AE42)))</f>
        <v>73.782765186714016</v>
      </c>
      <c r="AH42" s="603">
        <f t="shared" ref="AH42:AH47" si="396">IF(M42="","",DEGREES(ACOS(AD42)))</f>
        <v>59.405324172489564</v>
      </c>
      <c r="AI42" s="585">
        <f t="shared" ref="AI42:AI47" si="397">IF(M42="","",DEGREES(-ACOS(-AF42)))</f>
        <v>-76.089779103589166</v>
      </c>
      <c r="AJ42" s="586">
        <f t="shared" ref="AJ42:AJ47" si="398">IF(M42="","",DEGREES(ATAN2(-AE42,AD42)))</f>
        <v>148.37628598608586</v>
      </c>
      <c r="AK42" s="635">
        <f t="shared" ref="AK42:AK47" si="399">IF(M42="","",(COS(RADIANS((90-$Q$8)-W42))*AD42)+(-SIN(RADIANS((90-$Q$8)-W42))*AE42))</f>
        <v>0.96501675521921926</v>
      </c>
      <c r="AL42" s="629">
        <f t="shared" ref="AL42:AL47" si="400">IF(M42="","",(SIN(RADIANS((90-$Q$8)-W42))*AD42)+(COS(RADIANS((90-$Q$8)-W42))*AE42))</f>
        <v>-0.10464188305109584</v>
      </c>
      <c r="AM42" s="634">
        <f t="shared" ref="AM42:AM47" si="401">IF(M42="","",AF42)</f>
        <v>-0.24040120311198587</v>
      </c>
      <c r="AN42" s="581">
        <f t="shared" ref="AN42:AN47" si="402">IF(M42="","",DEGREES(ATAN2(-AM42,AL42)))</f>
        <v>-23.522538477544348</v>
      </c>
      <c r="AO42" s="582">
        <f t="shared" si="94"/>
        <v>15.19994301929332</v>
      </c>
      <c r="AP42" s="585">
        <f t="shared" ref="AP42:AP47" si="403">IF(M42="","",DEGREES(ATAN2(AK42,AL42)))</f>
        <v>-6.188704691882811</v>
      </c>
      <c r="AQ42" s="586">
        <f t="shared" si="246"/>
        <v>0.53383925895456863</v>
      </c>
      <c r="AS42" s="52">
        <f t="shared" si="116"/>
        <v>-295.42700932318638</v>
      </c>
      <c r="AT42" s="72">
        <f t="shared" si="247"/>
        <v>2.6362661655651015E-2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5.1180000000000003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1913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-4.5717225962082981</v>
      </c>
      <c r="C43" s="708">
        <v>2.228198860938067</v>
      </c>
      <c r="D43" s="709">
        <v>-0.64740195256428801</v>
      </c>
      <c r="E43" s="710">
        <v>-0.62681889269117841</v>
      </c>
      <c r="F43" s="708">
        <v>-0.7375441149744203</v>
      </c>
      <c r="G43" s="711">
        <v>0.25125038155593721</v>
      </c>
      <c r="H43" s="710">
        <v>0.3765</v>
      </c>
      <c r="I43" s="708">
        <v>0.52</v>
      </c>
      <c r="J43" s="570">
        <v>5.1230000000000002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1913</v>
      </c>
      <c r="L43" s="320"/>
      <c r="M43" s="168">
        <f t="shared" si="239"/>
        <v>5.1230000000000002</v>
      </c>
      <c r="N43" s="632">
        <f t="shared" si="240"/>
        <v>-4.5717225962082981</v>
      </c>
      <c r="O43" s="629">
        <f t="shared" si="241"/>
        <v>2.228198860938067</v>
      </c>
      <c r="P43" s="633">
        <f t="shared" si="242"/>
        <v>-0.64740195256428801</v>
      </c>
      <c r="Q43" s="585">
        <f t="shared" si="113"/>
        <v>154.0159907572345</v>
      </c>
      <c r="R43" s="629">
        <f t="shared" si="385"/>
        <v>5.085815338819061</v>
      </c>
      <c r="S43" s="634">
        <f t="shared" si="386"/>
        <v>-0.64740195256428801</v>
      </c>
      <c r="T43" s="635">
        <f t="shared" si="387"/>
        <v>2.2275605064180355</v>
      </c>
      <c r="U43" s="629">
        <f t="shared" si="388"/>
        <v>4.5720336668504391</v>
      </c>
      <c r="V43" s="636">
        <f t="shared" si="389"/>
        <v>-0.64740195256428801</v>
      </c>
      <c r="W43" s="585">
        <f t="shared" si="224"/>
        <v>64.023990756079442</v>
      </c>
      <c r="X43" s="629">
        <f t="shared" si="390"/>
        <v>5.085815338819061</v>
      </c>
      <c r="Y43" s="630">
        <f t="shared" si="223"/>
        <v>-0.64740195256428801</v>
      </c>
      <c r="Z43" s="632">
        <f t="shared" si="243"/>
        <v>0.62681889269117841</v>
      </c>
      <c r="AA43" s="629">
        <f t="shared" si="244"/>
        <v>0.7375441149744203</v>
      </c>
      <c r="AB43" s="629">
        <f t="shared" si="245"/>
        <v>-0.25125038155593721</v>
      </c>
      <c r="AC43" s="636">
        <f t="shared" si="391"/>
        <v>1</v>
      </c>
      <c r="AD43" s="637">
        <f t="shared" si="392"/>
        <v>0.62681889269117841</v>
      </c>
      <c r="AE43" s="629">
        <f t="shared" si="393"/>
        <v>0.7375441149744203</v>
      </c>
      <c r="AF43" s="633">
        <f t="shared" si="394"/>
        <v>-0.25125038155593721</v>
      </c>
      <c r="AG43" s="602">
        <f t="shared" si="395"/>
        <v>71.188174064609825</v>
      </c>
      <c r="AH43" s="603">
        <f t="shared" si="396"/>
        <v>51.184185782663292</v>
      </c>
      <c r="AI43" s="585">
        <f t="shared" si="397"/>
        <v>-75.448484341964132</v>
      </c>
      <c r="AJ43" s="586">
        <f t="shared" si="398"/>
        <v>139.6396852673725</v>
      </c>
      <c r="AK43" s="635">
        <f t="shared" si="399"/>
        <v>0.9376125402038713</v>
      </c>
      <c r="AL43" s="629">
        <f t="shared" si="400"/>
        <v>-0.24032471828848517</v>
      </c>
      <c r="AM43" s="634">
        <f t="shared" si="401"/>
        <v>-0.25125038155593721</v>
      </c>
      <c r="AN43" s="581">
        <f t="shared" si="402"/>
        <v>-43.726763526947906</v>
      </c>
      <c r="AO43" s="582">
        <f t="shared" si="94"/>
        <v>20.345596980684352</v>
      </c>
      <c r="AP43" s="585">
        <f t="shared" si="403"/>
        <v>-14.376305489862004</v>
      </c>
      <c r="AQ43" s="586">
        <f t="shared" si="246"/>
        <v>0.44824280282660894</v>
      </c>
      <c r="AS43" s="52">
        <f t="shared" ref="AS43:AS74" si="406">IF(G43="","",IF(AND(W43&lt;(AS42+180),W43&gt;(AS42-180)),W43,IF(W43&gt;(AS42+180),W43-360,IF(W43&lt;(AS42-180),W43+360,"Error"))))</f>
        <v>-295.97600924392054</v>
      </c>
      <c r="AT43" s="72">
        <f t="shared" si="247"/>
        <v>-0.44185750170125643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5.1230000000000002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1913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-5.0371944351940714</v>
      </c>
      <c r="C44" s="708">
        <v>2.5014723320664416</v>
      </c>
      <c r="D44" s="709">
        <v>-1.4185042782089043</v>
      </c>
      <c r="E44" s="710">
        <v>-0.74203890158902497</v>
      </c>
      <c r="F44" s="708">
        <v>-0.64011274413406116</v>
      </c>
      <c r="G44" s="711">
        <v>0.19908275496816741</v>
      </c>
      <c r="H44" s="710">
        <v>0.3765</v>
      </c>
      <c r="I44" s="708">
        <v>0.52</v>
      </c>
      <c r="J44" s="570">
        <v>5.1280000000000001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1913</v>
      </c>
      <c r="L44" s="320"/>
      <c r="M44" s="168">
        <f t="shared" si="239"/>
        <v>5.1280000000000001</v>
      </c>
      <c r="N44" s="632">
        <f t="shared" si="240"/>
        <v>-5.0371944351940714</v>
      </c>
      <c r="O44" s="629">
        <f t="shared" si="241"/>
        <v>2.5014723320664416</v>
      </c>
      <c r="P44" s="633">
        <f t="shared" si="242"/>
        <v>-1.4185042782089043</v>
      </c>
      <c r="Q44" s="585">
        <f t="shared" si="113"/>
        <v>153.59099081859688</v>
      </c>
      <c r="R44" s="629">
        <f t="shared" si="385"/>
        <v>5.6241169623367577</v>
      </c>
      <c r="S44" s="634">
        <f t="shared" si="386"/>
        <v>-1.4185042782089043</v>
      </c>
      <c r="T44" s="635">
        <f t="shared" si="387"/>
        <v>2.5007689827628794</v>
      </c>
      <c r="U44" s="629">
        <f t="shared" si="388"/>
        <v>5.0375436574679089</v>
      </c>
      <c r="V44" s="636">
        <f t="shared" si="389"/>
        <v>-1.4185042782089043</v>
      </c>
      <c r="W44" s="585">
        <f t="shared" si="224"/>
        <v>63.598990817441816</v>
      </c>
      <c r="X44" s="629">
        <f t="shared" si="390"/>
        <v>5.6241169623367577</v>
      </c>
      <c r="Y44" s="630">
        <f t="shared" si="223"/>
        <v>-1.4185042782089043</v>
      </c>
      <c r="Z44" s="632">
        <f t="shared" si="243"/>
        <v>0.74203890158902497</v>
      </c>
      <c r="AA44" s="629">
        <f t="shared" si="244"/>
        <v>0.64011274413406116</v>
      </c>
      <c r="AB44" s="629">
        <f t="shared" si="245"/>
        <v>-0.19908275496816741</v>
      </c>
      <c r="AC44" s="636">
        <f t="shared" si="391"/>
        <v>1</v>
      </c>
      <c r="AD44" s="637">
        <f t="shared" si="392"/>
        <v>0.74203890158902497</v>
      </c>
      <c r="AE44" s="629">
        <f t="shared" si="393"/>
        <v>0.64011274413406116</v>
      </c>
      <c r="AF44" s="633">
        <f t="shared" si="394"/>
        <v>-0.19908275496816741</v>
      </c>
      <c r="AG44" s="602">
        <f t="shared" si="395"/>
        <v>72.7236784580777</v>
      </c>
      <c r="AH44" s="603">
        <f t="shared" si="396"/>
        <v>42.094610454023631</v>
      </c>
      <c r="AI44" s="585">
        <f t="shared" si="397"/>
        <v>-78.516673827376707</v>
      </c>
      <c r="AJ44" s="586">
        <f t="shared" si="398"/>
        <v>130.78238270417876</v>
      </c>
      <c r="AK44" s="635">
        <f t="shared" si="399"/>
        <v>0.90335285846898561</v>
      </c>
      <c r="AL44" s="629">
        <f t="shared" si="400"/>
        <v>-0.37989428762512001</v>
      </c>
      <c r="AM44" s="634">
        <f t="shared" si="401"/>
        <v>-0.19908275496816741</v>
      </c>
      <c r="AN44" s="581">
        <f t="shared" si="402"/>
        <v>-62.343314087819913</v>
      </c>
      <c r="AO44" s="582">
        <f t="shared" si="94"/>
        <v>25.397653541537007</v>
      </c>
      <c r="AP44" s="585">
        <f t="shared" si="403"/>
        <v>-22.808608114418099</v>
      </c>
      <c r="AQ44" s="586">
        <f t="shared" si="246"/>
        <v>0.40534160549365089</v>
      </c>
      <c r="AS44" s="52">
        <f t="shared" si="406"/>
        <v>-296.4010091825582</v>
      </c>
      <c r="AT44" s="72">
        <f t="shared" si="247"/>
        <v>-1.2126646884995966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5.1280000000000001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1913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-5.2127628642503954</v>
      </c>
      <c r="C45" s="708">
        <v>2.6071727754585083</v>
      </c>
      <c r="D45" s="709">
        <v>-2.3455070740493351</v>
      </c>
      <c r="E45" s="710">
        <v>-0.83457879435119675</v>
      </c>
      <c r="F45" s="708">
        <v>-0.55088858766478621</v>
      </c>
      <c r="G45" s="711">
        <v>0</v>
      </c>
      <c r="H45" s="710">
        <v>0.3765</v>
      </c>
      <c r="I45" s="708">
        <v>0.52</v>
      </c>
      <c r="J45" s="570">
        <v>5.133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1913</v>
      </c>
      <c r="L45" s="320"/>
      <c r="M45" s="168">
        <f t="shared" si="239"/>
        <v>5.133</v>
      </c>
      <c r="N45" s="632">
        <f t="shared" si="240"/>
        <v>-5.2127628642503954</v>
      </c>
      <c r="O45" s="629">
        <f t="shared" si="241"/>
        <v>2.6071727754585083</v>
      </c>
      <c r="P45" s="633">
        <f t="shared" si="242"/>
        <v>-2.3455070740493351</v>
      </c>
      <c r="Q45" s="585">
        <f t="shared" si="113"/>
        <v>153.42799084213118</v>
      </c>
      <c r="R45" s="629">
        <f t="shared" si="385"/>
        <v>5.8284000000000002</v>
      </c>
      <c r="S45" s="634">
        <f t="shared" si="386"/>
        <v>-2.3455070740493351</v>
      </c>
      <c r="T45" s="635">
        <f t="shared" si="387"/>
        <v>2.6064449111510251</v>
      </c>
      <c r="U45" s="629">
        <f t="shared" si="388"/>
        <v>5.2131268433767195</v>
      </c>
      <c r="V45" s="636">
        <f t="shared" si="389"/>
        <v>-2.3455070740493351</v>
      </c>
      <c r="W45" s="585">
        <f t="shared" si="224"/>
        <v>63.435990840976118</v>
      </c>
      <c r="X45" s="629">
        <f t="shared" si="390"/>
        <v>5.8284000000000002</v>
      </c>
      <c r="Y45" s="630">
        <f t="shared" si="223"/>
        <v>-2.3455070740493351</v>
      </c>
      <c r="Z45" s="632">
        <f t="shared" si="243"/>
        <v>0.83457879435119675</v>
      </c>
      <c r="AA45" s="629">
        <f t="shared" si="244"/>
        <v>0.55088858766478621</v>
      </c>
      <c r="AB45" s="629">
        <f t="shared" si="245"/>
        <v>0</v>
      </c>
      <c r="AC45" s="636">
        <f t="shared" si="391"/>
        <v>1</v>
      </c>
      <c r="AD45" s="637">
        <f t="shared" si="392"/>
        <v>0.83457879435119675</v>
      </c>
      <c r="AE45" s="629">
        <f t="shared" si="393"/>
        <v>0.55088858766478621</v>
      </c>
      <c r="AF45" s="633">
        <f t="shared" si="394"/>
        <v>0</v>
      </c>
      <c r="AG45" s="602">
        <f t="shared" si="395"/>
        <v>90</v>
      </c>
      <c r="AH45" s="603">
        <f t="shared" si="396"/>
        <v>33.427995173594645</v>
      </c>
      <c r="AI45" s="585">
        <f t="shared" si="397"/>
        <v>-90</v>
      </c>
      <c r="AJ45" s="586">
        <f t="shared" si="398"/>
        <v>123.42799517359464</v>
      </c>
      <c r="AK45" s="635">
        <f t="shared" si="399"/>
        <v>0.86602544158358574</v>
      </c>
      <c r="AL45" s="629">
        <f t="shared" si="400"/>
        <v>-0.49999993452995106</v>
      </c>
      <c r="AM45" s="634">
        <f t="shared" si="401"/>
        <v>0</v>
      </c>
      <c r="AN45" s="581">
        <f t="shared" si="402"/>
        <v>-90</v>
      </c>
      <c r="AO45" s="582">
        <f t="shared" si="94"/>
        <v>29.99999566853651</v>
      </c>
      <c r="AP45" s="585">
        <f t="shared" si="403"/>
        <v>-29.999995668536524</v>
      </c>
      <c r="AQ45" s="586">
        <f t="shared" si="246"/>
        <v>0.39113499730302914</v>
      </c>
      <c r="AS45" s="52">
        <f t="shared" si="406"/>
        <v>-296.5640091590239</v>
      </c>
      <c r="AT45" s="72">
        <f t="shared" si="247"/>
        <v>-2.139554289911926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5.133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1913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0</v>
      </c>
      <c r="G155" s="170">
        <f t="shared" si="929"/>
        <v>-0.3420200959662259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0.95630476848795665</v>
      </c>
      <c r="F156" s="170">
        <f t="shared" si="929"/>
        <v>0</v>
      </c>
      <c r="G156" s="170">
        <f t="shared" si="929"/>
        <v>-0.29237166375556256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0.96590900127019974</v>
      </c>
      <c r="F157" s="170">
        <f t="shared" si="929"/>
        <v>-5.8944202327504457E-3</v>
      </c>
      <c r="G157" s="170">
        <f t="shared" si="929"/>
        <v>-0.25881471572405867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0.96473377432647978</v>
      </c>
      <c r="F158" s="170">
        <f t="shared" si="929"/>
        <v>-8.9055683517351603E-2</v>
      </c>
      <c r="G158" s="170">
        <f t="shared" si="929"/>
        <v>-0.24770512692926308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0.9403083208960632</v>
      </c>
      <c r="F159" s="170">
        <f t="shared" si="929"/>
        <v>-0.22665287087670496</v>
      </c>
      <c r="G159" s="170">
        <f t="shared" si="929"/>
        <v>-0.25386755952065637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0.90219073330924349</v>
      </c>
      <c r="F160" s="170">
        <f t="shared" si="929"/>
        <v>-0.37408841180469343</v>
      </c>
      <c r="G160" s="170">
        <f t="shared" si="929"/>
        <v>-0.21473178824843708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0.85198294190334223</v>
      </c>
      <c r="F161" s="170">
        <f t="shared" si="929"/>
        <v>-0.52356954333280903</v>
      </c>
      <c r="G161" s="170">
        <f t="shared" si="929"/>
        <v>-2.4629501486506058E-17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0.8584002936730416</v>
      </c>
      <c r="F162" s="170">
        <f t="shared" si="929"/>
        <v>-0.49693297423398886</v>
      </c>
      <c r="G162" s="170">
        <f t="shared" si="929"/>
        <v>-0.12730496824946713</v>
      </c>
      <c r="H162" s="139"/>
      <c r="I162" s="86"/>
      <c r="J162" s="79">
        <f t="shared" si="930"/>
        <v>1.232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0.16317526120048495</v>
      </c>
      <c r="F163" s="170">
        <f t="shared" si="929"/>
        <v>-0.92541671050797825</v>
      </c>
      <c r="G163" s="170">
        <f t="shared" si="929"/>
        <v>-0.34202009596622596</v>
      </c>
      <c r="H163" s="139"/>
      <c r="I163" s="86"/>
      <c r="J163" s="79">
        <f t="shared" si="930"/>
        <v>2.1030000000000002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0.16514857249122022</v>
      </c>
      <c r="F164" s="170">
        <f t="shared" si="929"/>
        <v>-0.93660796113044187</v>
      </c>
      <c r="G164" s="170">
        <f t="shared" si="929"/>
        <v>-0.30901695123599426</v>
      </c>
      <c r="H164" s="139"/>
      <c r="I164" s="86"/>
      <c r="J164" s="79">
        <f t="shared" si="930"/>
        <v>2.1059999999999999</v>
      </c>
    </row>
    <row r="165" spans="5:16" x14ac:dyDescent="0.25">
      <c r="E165" s="170">
        <f t="shared" si="929"/>
        <v>0.1677305900075225</v>
      </c>
      <c r="F165" s="170">
        <f t="shared" si="929"/>
        <v>-0.95125137054698705</v>
      </c>
      <c r="G165" s="170">
        <f t="shared" si="929"/>
        <v>-0.25881900859134599</v>
      </c>
      <c r="H165" s="139"/>
      <c r="I165" s="86"/>
      <c r="J165" s="79">
        <f t="shared" si="930"/>
        <v>2.1110000000000002</v>
      </c>
    </row>
    <row r="166" spans="5:16" x14ac:dyDescent="0.25">
      <c r="E166" s="170">
        <f t="shared" si="929"/>
        <v>0.10309492629165416</v>
      </c>
      <c r="F166" s="170">
        <f t="shared" si="929"/>
        <v>-0.96187863753491609</v>
      </c>
      <c r="G166" s="170">
        <f t="shared" si="929"/>
        <v>-0.25330006479843631</v>
      </c>
      <c r="H166" s="139"/>
      <c r="I166" s="86"/>
      <c r="J166" s="79">
        <f t="shared" si="930"/>
        <v>2.1160000000000001</v>
      </c>
    </row>
    <row r="167" spans="5:16" x14ac:dyDescent="0.25">
      <c r="E167" s="170">
        <f t="shared" si="929"/>
        <v>-2.9749417197021233E-2</v>
      </c>
      <c r="F167" s="170">
        <f t="shared" si="929"/>
        <v>-0.96674350832619682</v>
      </c>
      <c r="G167" s="170">
        <f t="shared" si="929"/>
        <v>-0.25401173454310055</v>
      </c>
      <c r="H167" s="139"/>
      <c r="I167" s="86"/>
      <c r="J167" s="79">
        <f t="shared" si="930"/>
        <v>2.121</v>
      </c>
    </row>
    <row r="168" spans="5:16" x14ac:dyDescent="0.25">
      <c r="E168" s="170">
        <f t="shared" si="929"/>
        <v>-0.18232506731240428</v>
      </c>
      <c r="F168" s="170">
        <f t="shared" si="929"/>
        <v>-0.9565967310348531</v>
      </c>
      <c r="G168" s="170">
        <f t="shared" si="929"/>
        <v>-0.22733293646755259</v>
      </c>
      <c r="H168" s="139"/>
      <c r="I168" s="86"/>
      <c r="J168" s="79">
        <f t="shared" si="930"/>
        <v>2.1259999999999999</v>
      </c>
    </row>
    <row r="169" spans="5:16" x14ac:dyDescent="0.25">
      <c r="E169" s="170">
        <f t="shared" si="929"/>
        <v>-0.31961427672183212</v>
      </c>
      <c r="F169" s="170">
        <f t="shared" si="929"/>
        <v>-0.93709485229858647</v>
      </c>
      <c r="G169" s="170">
        <f t="shared" si="929"/>
        <v>-0.14035651716635922</v>
      </c>
      <c r="H169" s="139"/>
      <c r="I169" s="86"/>
      <c r="J169" s="79">
        <f t="shared" si="930"/>
        <v>2.1309999999999998</v>
      </c>
    </row>
    <row r="170" spans="5:16" x14ac:dyDescent="0.25">
      <c r="E170" s="170">
        <f t="shared" si="929"/>
        <v>-0.36767071641269755</v>
      </c>
      <c r="F170" s="170">
        <f t="shared" si="929"/>
        <v>-0.9299560442798217</v>
      </c>
      <c r="G170" s="170">
        <f t="shared" si="929"/>
        <v>0</v>
      </c>
      <c r="H170" s="139"/>
      <c r="I170" s="86"/>
      <c r="J170" s="79">
        <f t="shared" si="930"/>
        <v>2.1360000000000001</v>
      </c>
    </row>
    <row r="171" spans="5:16" x14ac:dyDescent="0.25">
      <c r="E171" s="170">
        <f t="shared" si="929"/>
        <v>-0.87542631781263214</v>
      </c>
      <c r="F171" s="170">
        <f t="shared" si="929"/>
        <v>-0.40821744557626316</v>
      </c>
      <c r="G171" s="170">
        <f t="shared" si="929"/>
        <v>-0.25881900859134599</v>
      </c>
      <c r="H171" s="139"/>
      <c r="I171" s="86"/>
      <c r="J171" s="79">
        <f t="shared" si="930"/>
        <v>3.11</v>
      </c>
    </row>
    <row r="172" spans="5:16" x14ac:dyDescent="0.25">
      <c r="E172" s="170">
        <f t="shared" si="929"/>
        <v>-0.8923905802983817</v>
      </c>
      <c r="F172" s="170">
        <f t="shared" si="929"/>
        <v>-0.37081830633767487</v>
      </c>
      <c r="G172" s="170">
        <f t="shared" si="929"/>
        <v>-0.25716305309973253</v>
      </c>
      <c r="H172" s="139"/>
      <c r="I172" s="86"/>
      <c r="J172" s="79">
        <f t="shared" si="930"/>
        <v>3.1150000000000002</v>
      </c>
    </row>
    <row r="173" spans="5:16" x14ac:dyDescent="0.25">
      <c r="E173" s="170">
        <f t="shared" si="929"/>
        <v>-0.93468290077952276</v>
      </c>
      <c r="F173" s="170">
        <f t="shared" si="929"/>
        <v>-0.25073766121802815</v>
      </c>
      <c r="G173" s="170">
        <f t="shared" si="929"/>
        <v>-0.25198908753612792</v>
      </c>
      <c r="H173" s="139"/>
      <c r="I173" s="86"/>
      <c r="J173" s="79">
        <f t="shared" si="930"/>
        <v>3.12</v>
      </c>
    </row>
    <row r="174" spans="5:16" x14ac:dyDescent="0.25">
      <c r="E174" s="170">
        <f t="shared" ref="E174:G193" si="933">E29*-1</f>
        <v>-0.96593100003619892</v>
      </c>
      <c r="F174" s="170">
        <f t="shared" si="933"/>
        <v>-0.10159553621338716</v>
      </c>
      <c r="G174" s="170">
        <f t="shared" si="933"/>
        <v>-0.23802447393195314</v>
      </c>
      <c r="H174" s="139"/>
      <c r="I174" s="86"/>
      <c r="J174" s="79">
        <f t="shared" si="930"/>
        <v>3.125</v>
      </c>
    </row>
    <row r="175" spans="5:16" x14ac:dyDescent="0.25">
      <c r="E175" s="170">
        <f t="shared" si="933"/>
        <v>-0.98592547820066478</v>
      </c>
      <c r="F175" s="170">
        <f t="shared" si="933"/>
        <v>4.0843190946999494E-2</v>
      </c>
      <c r="G175" s="170">
        <f t="shared" si="933"/>
        <v>-0.16211966317525323</v>
      </c>
      <c r="H175" s="139"/>
      <c r="I175" s="86"/>
      <c r="J175" s="79">
        <f t="shared" si="930"/>
        <v>3.13</v>
      </c>
    </row>
    <row r="176" spans="5:16" x14ac:dyDescent="0.25">
      <c r="E176" s="170">
        <f t="shared" si="933"/>
        <v>-0.99342876584857553</v>
      </c>
      <c r="F176" s="170">
        <f t="shared" si="933"/>
        <v>0.11445211743159774</v>
      </c>
      <c r="G176" s="170">
        <f t="shared" si="933"/>
        <v>-2.2974784176353837E-16</v>
      </c>
      <c r="H176" s="139"/>
      <c r="I176" s="86"/>
      <c r="J176" s="79">
        <f t="shared" si="930"/>
        <v>3.1349999999999998</v>
      </c>
    </row>
    <row r="177" spans="5:10" x14ac:dyDescent="0.25">
      <c r="E177" s="170">
        <f t="shared" si="933"/>
        <v>-0.71984611050310054</v>
      </c>
      <c r="F177" s="170">
        <f t="shared" si="933"/>
        <v>0.60402303859108863</v>
      </c>
      <c r="G177" s="170">
        <f t="shared" si="933"/>
        <v>-0.34202009596622585</v>
      </c>
      <c r="H177" s="139"/>
      <c r="I177" s="86"/>
      <c r="J177" s="79">
        <f t="shared" si="930"/>
        <v>4.1020000000000003</v>
      </c>
    </row>
    <row r="178" spans="5:10" x14ac:dyDescent="0.25">
      <c r="E178" s="170">
        <f t="shared" si="933"/>
        <v>-0.72430904822897302</v>
      </c>
      <c r="F178" s="170">
        <f t="shared" si="933"/>
        <v>0.60776789067390402</v>
      </c>
      <c r="G178" s="170">
        <f t="shared" si="933"/>
        <v>-0.32556810918674556</v>
      </c>
      <c r="H178" s="139"/>
      <c r="I178" s="86"/>
      <c r="J178" s="79">
        <f t="shared" si="930"/>
        <v>4.1050000000000004</v>
      </c>
    </row>
    <row r="179" spans="5:10" x14ac:dyDescent="0.25">
      <c r="E179" s="170">
        <f t="shared" si="933"/>
        <v>-0.73994190014476591</v>
      </c>
      <c r="F179" s="170">
        <f t="shared" si="933"/>
        <v>0.6208854203489933</v>
      </c>
      <c r="G179" s="170">
        <f t="shared" si="933"/>
        <v>-0.25881900859134588</v>
      </c>
      <c r="H179" s="139"/>
      <c r="I179" s="86"/>
      <c r="J179" s="79">
        <f t="shared" si="930"/>
        <v>4.109</v>
      </c>
    </row>
    <row r="180" spans="5:10" x14ac:dyDescent="0.25">
      <c r="E180" s="170">
        <f t="shared" si="933"/>
        <v>-0.72635131643062589</v>
      </c>
      <c r="F180" s="170">
        <f t="shared" si="933"/>
        <v>0.63675086939471759</v>
      </c>
      <c r="G180" s="170">
        <f t="shared" si="933"/>
        <v>-0.25877035271562365</v>
      </c>
      <c r="H180" s="139"/>
      <c r="I180" s="86"/>
      <c r="J180" s="79">
        <f t="shared" si="930"/>
        <v>4.1139999999999999</v>
      </c>
    </row>
    <row r="181" spans="5:10" x14ac:dyDescent="0.25">
      <c r="E181" s="170">
        <f t="shared" si="933"/>
        <v>-0.64479402138770781</v>
      </c>
      <c r="F181" s="170">
        <f t="shared" si="933"/>
        <v>0.72325973275529098</v>
      </c>
      <c r="G181" s="170">
        <f t="shared" si="933"/>
        <v>-0.24725700992573163</v>
      </c>
      <c r="H181" s="139"/>
      <c r="I181" s="86"/>
      <c r="J181" s="79">
        <f t="shared" si="930"/>
        <v>4.1189999999999998</v>
      </c>
    </row>
    <row r="182" spans="5:10" x14ac:dyDescent="0.25">
      <c r="E182" s="170">
        <f t="shared" si="933"/>
        <v>-0.52514929903156238</v>
      </c>
      <c r="F182" s="170">
        <f t="shared" si="933"/>
        <v>0.81477941892997807</v>
      </c>
      <c r="G182" s="170">
        <f t="shared" si="933"/>
        <v>-0.2456678900767989</v>
      </c>
      <c r="H182" s="139"/>
      <c r="I182" s="86"/>
      <c r="J182" s="79">
        <f t="shared" si="930"/>
        <v>4.1239999999999997</v>
      </c>
    </row>
    <row r="183" spans="5:10" x14ac:dyDescent="0.25">
      <c r="E183" s="170">
        <f t="shared" si="933"/>
        <v>-0.40260054216853547</v>
      </c>
      <c r="F183" s="170">
        <f t="shared" si="933"/>
        <v>0.89715644966929842</v>
      </c>
      <c r="G183" s="170">
        <f t="shared" si="933"/>
        <v>-0.18172261351406171</v>
      </c>
      <c r="H183" s="139"/>
      <c r="I183" s="86"/>
      <c r="J183" s="79">
        <f t="shared" si="930"/>
        <v>4.1289999999999996</v>
      </c>
    </row>
    <row r="184" spans="5:10" x14ac:dyDescent="0.25">
      <c r="E184" s="170">
        <f t="shared" si="933"/>
        <v>-0.31611244831217006</v>
      </c>
      <c r="F184" s="170">
        <f t="shared" si="933"/>
        <v>0.94872172949821576</v>
      </c>
      <c r="G184" s="170">
        <f t="shared" si="933"/>
        <v>0</v>
      </c>
      <c r="H184" s="139"/>
      <c r="I184" s="86"/>
      <c r="J184" s="79">
        <f t="shared" si="930"/>
        <v>4.1340000000000003</v>
      </c>
    </row>
    <row r="185" spans="5:10" x14ac:dyDescent="0.25">
      <c r="E185" s="170">
        <f t="shared" si="933"/>
        <v>0.40624689441128986</v>
      </c>
      <c r="F185" s="170">
        <f t="shared" si="933"/>
        <v>0.87119890393942645</v>
      </c>
      <c r="G185" s="170">
        <f t="shared" si="933"/>
        <v>-0.27563731705979955</v>
      </c>
      <c r="H185" s="139"/>
      <c r="I185" s="86"/>
      <c r="J185" s="79">
        <f t="shared" si="930"/>
        <v>5.1079999999999997</v>
      </c>
    </row>
    <row r="186" spans="5:10" x14ac:dyDescent="0.25">
      <c r="E186" s="170">
        <f t="shared" si="933"/>
        <v>0.4202772253633324</v>
      </c>
      <c r="F186" s="170">
        <f t="shared" si="933"/>
        <v>0.86970718556992288</v>
      </c>
      <c r="G186" s="170">
        <f t="shared" si="933"/>
        <v>-0.25879811670285086</v>
      </c>
      <c r="H186" s="139"/>
      <c r="I186" s="86"/>
      <c r="J186" s="79">
        <f t="shared" si="930"/>
        <v>5.1130000000000004</v>
      </c>
    </row>
    <row r="187" spans="5:10" x14ac:dyDescent="0.25">
      <c r="E187" s="170">
        <f t="shared" si="933"/>
        <v>0.50896142966804481</v>
      </c>
      <c r="F187" s="170">
        <f t="shared" si="933"/>
        <v>0.82653827779030886</v>
      </c>
      <c r="G187" s="170">
        <f t="shared" si="933"/>
        <v>-0.24040120311198587</v>
      </c>
      <c r="H187" s="139"/>
      <c r="I187" s="86"/>
      <c r="J187" s="79">
        <f t="shared" si="930"/>
        <v>5.1180000000000003</v>
      </c>
    </row>
    <row r="188" spans="5:10" x14ac:dyDescent="0.25">
      <c r="E188" s="170">
        <f t="shared" si="933"/>
        <v>0.62681889269117841</v>
      </c>
      <c r="F188" s="170">
        <f t="shared" si="933"/>
        <v>0.7375441149744203</v>
      </c>
      <c r="G188" s="170">
        <f t="shared" si="933"/>
        <v>-0.25125038155593721</v>
      </c>
      <c r="H188" s="139"/>
      <c r="I188" s="86"/>
      <c r="J188" s="79">
        <f t="shared" si="930"/>
        <v>5.1230000000000002</v>
      </c>
    </row>
    <row r="189" spans="5:10" x14ac:dyDescent="0.25">
      <c r="E189" s="170">
        <f t="shared" si="933"/>
        <v>0.74203890158902497</v>
      </c>
      <c r="F189" s="170">
        <f t="shared" si="933"/>
        <v>0.64011274413406116</v>
      </c>
      <c r="G189" s="170">
        <f t="shared" si="933"/>
        <v>-0.19908275496816741</v>
      </c>
      <c r="H189" s="139"/>
      <c r="I189" s="86"/>
      <c r="J189" s="79">
        <f t="shared" si="930"/>
        <v>5.1280000000000001</v>
      </c>
    </row>
    <row r="190" spans="5:10" x14ac:dyDescent="0.25">
      <c r="E190" s="170">
        <f t="shared" si="933"/>
        <v>0.83457879435119675</v>
      </c>
      <c r="F190" s="170">
        <f t="shared" si="933"/>
        <v>0.55088858766478621</v>
      </c>
      <c r="G190" s="170">
        <f t="shared" si="933"/>
        <v>0</v>
      </c>
      <c r="H190" s="139"/>
      <c r="I190" s="86"/>
      <c r="J190" s="79">
        <f t="shared" si="930"/>
        <v>5.133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12.25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1913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1913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1913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1913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1913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1913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1913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1913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1.232</v>
      </c>
      <c r="N172" s="869">
        <f>Assy.Model!K17</f>
        <v>1913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2.1030000000000002</v>
      </c>
      <c r="N173" s="869">
        <f>Assy.Model!K18</f>
        <v>1913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2.1059999999999999</v>
      </c>
      <c r="N174" s="869">
        <f>Assy.Model!K19</f>
        <v>1913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1913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2.1160000000000001</v>
      </c>
      <c r="N176" s="869">
        <f>Assy.Model!K21</f>
        <v>1913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2.121</v>
      </c>
      <c r="N177" s="869">
        <f>Assy.Model!K22</f>
        <v>1913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2.1259999999999999</v>
      </c>
      <c r="N178" s="869">
        <f>Assy.Model!K23</f>
        <v>1913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2.1309999999999998</v>
      </c>
      <c r="N179" s="869">
        <f>Assy.Model!K24</f>
        <v>1913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2.1360000000000001</v>
      </c>
      <c r="N180" s="869">
        <f>Assy.Model!K25</f>
        <v>1913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</v>
      </c>
      <c r="N181" s="869">
        <f>Assy.Model!K26</f>
        <v>1913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3.1150000000000002</v>
      </c>
      <c r="N182" s="869">
        <f>Assy.Model!K27</f>
        <v>1913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</v>
      </c>
      <c r="N183" s="869">
        <f>Assy.Model!K28</f>
        <v>1913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3.125</v>
      </c>
      <c r="N184" s="869">
        <f>Assy.Model!K29</f>
        <v>1913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3.13</v>
      </c>
      <c r="N185" s="869">
        <f>Assy.Model!K30</f>
        <v>1913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3.1349999999999998</v>
      </c>
      <c r="N186" s="869">
        <f>Assy.Model!K31</f>
        <v>1913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4.1020000000000003</v>
      </c>
      <c r="N187" s="869">
        <f>Assy.Model!K32</f>
        <v>1913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4.1050000000000004</v>
      </c>
      <c r="N188" s="869">
        <f>Assy.Model!K33</f>
        <v>1913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4.109</v>
      </c>
      <c r="N189" s="869">
        <f>Assy.Model!K34</f>
        <v>1913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4.1139999999999999</v>
      </c>
      <c r="N190" s="869">
        <f>Assy.Model!K35</f>
        <v>1913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4.1189999999999998</v>
      </c>
      <c r="N191" s="869">
        <f>Assy.Model!K36</f>
        <v>1913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4.1239999999999997</v>
      </c>
      <c r="N192" s="869">
        <f>Assy.Model!K37</f>
        <v>1913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4.1289999999999996</v>
      </c>
      <c r="N193" s="869">
        <f>Assy.Model!K38</f>
        <v>1913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4.1340000000000003</v>
      </c>
      <c r="N194" s="869">
        <f>Assy.Model!K39</f>
        <v>1913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5.1079999999999997</v>
      </c>
      <c r="N195" s="869">
        <f>Assy.Model!K40</f>
        <v>1913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5.1130000000000004</v>
      </c>
      <c r="N196" s="869">
        <f>Assy.Model!K41</f>
        <v>1913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5.1180000000000003</v>
      </c>
      <c r="N197" s="869">
        <f>Assy.Model!K42</f>
        <v>1913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5.1230000000000002</v>
      </c>
      <c r="N198" s="869">
        <f>Assy.Model!K43</f>
        <v>1913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5.1280000000000001</v>
      </c>
      <c r="N199" s="869">
        <f>Assy.Model!K44</f>
        <v>1913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5.133</v>
      </c>
      <c r="N200" s="869">
        <f>Assy.Model!K45</f>
        <v>1913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2023-03-30T19:35:39Z</dcterms:modified>
</cp:coreProperties>
</file>