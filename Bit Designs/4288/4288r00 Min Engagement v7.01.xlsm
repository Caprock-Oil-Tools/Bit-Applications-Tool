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288\"/>
    </mc:Choice>
  </mc:AlternateContent>
  <xr:revisionPtr revIDLastSave="0" documentId="13_ncr:1_{7998BF08-3B85-46CC-8742-4E5B48839089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05" i="1" l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AQ33" i="4"/>
  <c r="AT17" i="4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X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U174" i="1" l="1"/>
  <c r="H19" i="1" s="1"/>
  <c r="K19" i="1"/>
  <c r="A19" i="1" s="1"/>
  <c r="K223" i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X175" i="1" s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7" i="1"/>
  <c r="K52" i="1" s="1"/>
  <c r="A52" i="1" s="1"/>
  <c r="X206" i="1"/>
  <c r="U206" i="1" s="1"/>
  <c r="H51" i="1" s="1"/>
  <c r="X205" i="1"/>
  <c r="U205" i="1" s="1"/>
  <c r="H50" i="1" s="1"/>
  <c r="X199" i="1"/>
  <c r="X197" i="1"/>
  <c r="U197" i="1" s="1"/>
  <c r="H42" i="1" s="1"/>
  <c r="X196" i="1"/>
  <c r="K41" i="1" s="1"/>
  <c r="A41" i="1" s="1"/>
  <c r="X188" i="1"/>
  <c r="K67" i="1"/>
  <c r="A67" i="1" s="1"/>
  <c r="U222" i="1"/>
  <c r="H67" i="1" s="1"/>
  <c r="K69" i="1"/>
  <c r="A69" i="1" s="1"/>
  <c r="U224" i="1"/>
  <c r="H69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U175" i="1"/>
  <c r="H20" i="1" s="1"/>
  <c r="K20" i="1"/>
  <c r="A20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D19" i="1"/>
  <c r="B19" i="1"/>
  <c r="C19" i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U207" i="1"/>
  <c r="H52" i="1" s="1"/>
  <c r="K50" i="1"/>
  <c r="A50" i="1" s="1"/>
  <c r="B50" i="1" s="1"/>
  <c r="U199" i="1"/>
  <c r="H44" i="1" s="1"/>
  <c r="K44" i="1"/>
  <c r="A44" i="1" s="1"/>
  <c r="U196" i="1"/>
  <c r="H41" i="1" s="1"/>
  <c r="K42" i="1"/>
  <c r="A42" i="1" s="1"/>
  <c r="B42" i="1" s="1"/>
  <c r="U188" i="1"/>
  <c r="H33" i="1" s="1"/>
  <c r="K33" i="1"/>
  <c r="A33" i="1" s="1"/>
  <c r="D52" i="1"/>
  <c r="B52" i="1"/>
  <c r="C52" i="1"/>
  <c r="D65" i="1"/>
  <c r="C65" i="1"/>
  <c r="B65" i="1"/>
  <c r="C64" i="1"/>
  <c r="D64" i="1"/>
  <c r="B64" i="1"/>
  <c r="D53" i="1"/>
  <c r="B53" i="1"/>
  <c r="C53" i="1"/>
  <c r="D68" i="1"/>
  <c r="C68" i="1"/>
  <c r="B68" i="1"/>
  <c r="C59" i="1"/>
  <c r="B59" i="1"/>
  <c r="D59" i="1"/>
  <c r="B15" i="1"/>
  <c r="D15" i="1"/>
  <c r="C15" i="1"/>
  <c r="C66" i="1"/>
  <c r="D66" i="1"/>
  <c r="B66" i="1"/>
  <c r="D58" i="1"/>
  <c r="B58" i="1"/>
  <c r="C58" i="1"/>
  <c r="C20" i="1"/>
  <c r="D20" i="1"/>
  <c r="B20" i="1"/>
  <c r="B69" i="1"/>
  <c r="C69" i="1"/>
  <c r="D69" i="1"/>
  <c r="D41" i="1"/>
  <c r="B41" i="1"/>
  <c r="C41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D44" i="1"/>
  <c r="B44" i="1"/>
  <c r="C44" i="1"/>
  <c r="D42" i="1"/>
  <c r="C42" i="1"/>
  <c r="C33" i="1"/>
  <c r="B33" i="1"/>
  <c r="D33" i="1"/>
  <c r="K189" i="1"/>
  <c r="X189" i="1" s="1"/>
  <c r="K211" i="1"/>
  <c r="K182" i="1"/>
  <c r="K200" i="1"/>
  <c r="K165" i="1"/>
  <c r="X165" i="1" s="1"/>
  <c r="K173" i="1"/>
  <c r="X173" i="1" s="1"/>
  <c r="K178" i="1"/>
  <c r="X178" i="1" s="1"/>
  <c r="K209" i="1"/>
  <c r="K166" i="1"/>
  <c r="X166" i="1" s="1"/>
  <c r="K180" i="1"/>
  <c r="X180" i="1" s="1"/>
  <c r="K194" i="1"/>
  <c r="K167" i="1"/>
  <c r="X167" i="1" s="1"/>
  <c r="K181" i="1"/>
  <c r="K212" i="1"/>
  <c r="K179" i="1"/>
  <c r="X179" i="1" s="1"/>
  <c r="K176" i="1"/>
  <c r="X176" i="1" s="1"/>
  <c r="K164" i="1"/>
  <c r="X164" i="1" s="1"/>
  <c r="K217" i="1"/>
  <c r="X198" i="1" s="1"/>
  <c r="K192" i="1"/>
  <c r="K195" i="1"/>
  <c r="K177" i="1"/>
  <c r="X177" i="1" s="1"/>
  <c r="K210" i="1"/>
  <c r="X191" i="1" s="1"/>
  <c r="K225" i="1"/>
  <c r="X225" i="1" s="1"/>
  <c r="K193" i="1"/>
  <c r="X183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U198" i="1" l="1"/>
  <c r="H43" i="1" s="1"/>
  <c r="K43" i="1"/>
  <c r="A43" i="1" s="1"/>
  <c r="U191" i="1"/>
  <c r="H36" i="1" s="1"/>
  <c r="K36" i="1"/>
  <c r="A36" i="1" s="1"/>
  <c r="X200" i="1"/>
  <c r="K45" i="1" s="1"/>
  <c r="A45" i="1" s="1"/>
  <c r="X190" i="1"/>
  <c r="U183" i="1"/>
  <c r="H28" i="1" s="1"/>
  <c r="K28" i="1"/>
  <c r="A28" i="1" s="1"/>
  <c r="X182" i="1"/>
  <c r="U182" i="1" s="1"/>
  <c r="H27" i="1" s="1"/>
  <c r="X217" i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9" i="1"/>
  <c r="H24" i="1" s="1"/>
  <c r="K24" i="1"/>
  <c r="A24" i="1" s="1"/>
  <c r="K23" i="1"/>
  <c r="A23" i="1" s="1"/>
  <c r="U178" i="1"/>
  <c r="H23" i="1" s="1"/>
  <c r="U176" i="1"/>
  <c r="H21" i="1" s="1"/>
  <c r="K21" i="1"/>
  <c r="A21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U180" i="1"/>
  <c r="H25" i="1" s="1"/>
  <c r="K25" i="1"/>
  <c r="A25" i="1" s="1"/>
  <c r="U164" i="1"/>
  <c r="H9" i="1" s="1"/>
  <c r="K9" i="1"/>
  <c r="K11" i="1"/>
  <c r="A11" i="1" s="1"/>
  <c r="U166" i="1"/>
  <c r="H11" i="1" s="1"/>
  <c r="U189" i="1"/>
  <c r="H34" i="1" s="1"/>
  <c r="K34" i="1"/>
  <c r="A34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D43" i="1" l="1"/>
  <c r="C43" i="1"/>
  <c r="B43" i="1"/>
  <c r="D36" i="1"/>
  <c r="C36" i="1"/>
  <c r="B36" i="1"/>
  <c r="U200" i="1"/>
  <c r="H45" i="1" s="1"/>
  <c r="K35" i="1"/>
  <c r="A35" i="1" s="1"/>
  <c r="U190" i="1"/>
  <c r="H35" i="1" s="1"/>
  <c r="K27" i="1"/>
  <c r="A27" i="1" s="1"/>
  <c r="C27" i="1" s="1"/>
  <c r="C28" i="1"/>
  <c r="D28" i="1"/>
  <c r="B28" i="1"/>
  <c r="IM59" i="1"/>
  <c r="K62" i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45" i="1"/>
  <c r="D45" i="1"/>
  <c r="C45" i="1"/>
  <c r="B10" i="1"/>
  <c r="D10" i="1"/>
  <c r="C10" i="1"/>
  <c r="B23" i="1"/>
  <c r="D23" i="1"/>
  <c r="C23" i="1"/>
  <c r="A9" i="1"/>
  <c r="B27" i="1"/>
  <c r="D12" i="1"/>
  <c r="C12" i="1"/>
  <c r="B12" i="1"/>
  <c r="B24" i="1"/>
  <c r="D24" i="1"/>
  <c r="C24" i="1"/>
  <c r="C34" i="1"/>
  <c r="D34" i="1"/>
  <c r="B34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M71" i="1" l="1"/>
  <c r="D35" i="1"/>
  <c r="B35" i="1"/>
  <c r="C35" i="1"/>
  <c r="D27" i="1"/>
  <c r="IM69" i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T63" i="1"/>
  <c r="IP36" i="1"/>
  <c r="GQ147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S140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S139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N132" i="1" l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40" i="1" s="1"/>
  <c r="IS31" i="1"/>
  <c r="IS89" i="1"/>
  <c r="IX99" i="1"/>
  <c r="IS108" i="1"/>
  <c r="AQ121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DA33" i="1"/>
  <c r="DI33" i="1"/>
  <c r="AF57" i="1"/>
  <c r="AI57" i="1" s="1"/>
  <c r="GJ121" i="1"/>
  <c r="EP120" i="1"/>
  <c r="GX127" i="1"/>
  <c r="HB121" i="1"/>
  <c r="FE121" i="1"/>
  <c r="CK121" i="1"/>
  <c r="AE36" i="1"/>
  <c r="DB126" i="1"/>
  <c r="GS120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GX36" i="1"/>
  <c r="FP36" i="1"/>
  <c r="FN36" i="1"/>
  <c r="FJ52" i="1"/>
  <c r="GG52" i="1"/>
  <c r="BV126" i="1"/>
  <c r="DE126" i="1"/>
  <c r="BD126" i="1"/>
  <c r="DH126" i="1" s="1"/>
  <c r="ES86" i="1"/>
  <c r="BL86" i="1"/>
  <c r="GX86" i="1"/>
  <c r="ER36" i="1"/>
  <c r="FU36" i="1"/>
  <c r="GY3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EP36" i="1"/>
  <c r="FG3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ET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R71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R136" i="1" l="1"/>
  <c r="IR130" i="1"/>
  <c r="IR69" i="1"/>
  <c r="IR137" i="1"/>
  <c r="IR139" i="1"/>
  <c r="IR138" i="1"/>
  <c r="IR124" i="1"/>
  <c r="JD23" i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112" i="1" s="1"/>
  <c r="GN112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BN128" i="1" l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128" i="1" l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25" i="1" l="1"/>
  <c r="IN142" i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AP138" i="1" l="1"/>
  <c r="IV140" i="1"/>
  <c r="IV139" i="1"/>
  <c r="JA138" i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IU109" i="1" l="1"/>
  <c r="IV58" i="1"/>
  <c r="IV68" i="1"/>
  <c r="IU140" i="1"/>
  <c r="IU139" i="1"/>
  <c r="HN15" i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52" i="1"/>
  <c r="JV49" i="1"/>
  <c r="JV50" i="1"/>
  <c r="JV47" i="1"/>
  <c r="JV48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42" i="1"/>
  <c r="JV35" i="1"/>
  <c r="JV34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5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24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31" i="1" l="1"/>
  <c r="JV43" i="1"/>
  <c r="JV30" i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13" i="1" l="1" a="1"/>
  <c r="KC13" i="1" s="1"/>
  <c r="KE13" i="1" s="1"/>
  <c r="KC12" i="1" a="1"/>
  <c r="KC12" i="1" s="1"/>
  <c r="KE12" i="1" s="1"/>
  <c r="KC16" i="1" a="1"/>
  <c r="KC16" i="1" s="1"/>
  <c r="KE16" i="1" s="1"/>
  <c r="KC17" i="1" a="1"/>
  <c r="KC17" i="1" s="1"/>
  <c r="KE17" i="1" s="1"/>
  <c r="KC18" i="1" a="1"/>
  <c r="KC18" i="1" s="1"/>
  <c r="KE18" i="1" s="1"/>
  <c r="KC10" i="1" a="1"/>
  <c r="KC10" i="1" s="1"/>
  <c r="KE10" i="1" s="1"/>
  <c r="KC9" i="1" a="1"/>
  <c r="KC9" i="1" s="1"/>
  <c r="KE9" i="1" s="1"/>
  <c r="KC11" i="1" a="1"/>
  <c r="KC11" i="1" s="1"/>
  <c r="KE11" i="1" s="1"/>
  <c r="KC15" i="1" a="1"/>
  <c r="KC15" i="1" s="1"/>
  <c r="KE15" i="1" s="1"/>
  <c r="KC14" i="1" a="1"/>
  <c r="KC14" i="1" s="1"/>
  <c r="KE14" i="1" s="1"/>
  <c r="KC20" i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BU54" i="1" l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CC54" i="1" l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S32" i="1"/>
  <c r="HY36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CJ54" i="1" l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CN54" i="1" l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CP54" i="1" l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CT54" i="1" l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X54" i="1" l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DP54" i="1" l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DV54" i="1" l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A54" i="1" l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ED54" i="1" l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EG54" i="1" l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EO54" i="1" l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GT104" i="1"/>
  <c r="IC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A8" i="1" l="1"/>
  <c r="HG3" i="1"/>
  <c r="HB8" i="1"/>
  <c r="HF3" i="1" l="1"/>
  <c r="HE3" i="1"/>
  <c r="HA4" i="1" l="1"/>
  <c r="HW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<sst xmlns="http://schemas.openxmlformats.org/spreadsheetml/2006/main" count="911" uniqueCount="407">
  <si>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</si>
  <si>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</si>
  <si>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</si>
  <si>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</si>
  <si>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</si>
  <si>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</si>
  <si>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</si>
  <si>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</si>
  <si>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</si>
  <si>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</si>
  <si>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</si>
  <si>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</si>
  <si>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</si>
  <si>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</si>
  <si>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</si>
  <si>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</si>
  <si>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</si>
  <si>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</si>
  <si>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</si>
  <si>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</si>
  <si>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</si>
  <si>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</si>
  <si>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</si>
  <si>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</si>
  <si>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</si>
  <si>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</si>
  <si>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</si>
  <si>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</si>
  <si>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</si>
  <si>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</si>
  <si>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</si>
  <si>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</si>
  <si>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</si>
  <si>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</si>
  <si>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</si>
  <si>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</si>
  <si>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</si>
  <si>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</si>
  <si>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</si>
  <si>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</si>
  <si>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</si>
  <si>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</si>
  <si>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</si>
  <si>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</si>
  <si>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</si>
  <si>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</si>
  <si>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</si>
  <si>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</si>
  <si>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</si>
  <si>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</si>
  <si>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</si>
  <si>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</si>
  <si>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</si>
  <si>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</si>
  <si>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</si>
  <si>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</si>
  <si>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</si>
  <si>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</si>
  <si>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</si>
  <si>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</si>
  <si>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</si>
  <si>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</si>
  <si>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</si>
  <si>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</si>
  <si>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</si>
  <si>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</si>
  <si>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</si>
  <si>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</si>
  <si>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</si>
  <si>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</si>
  <si>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</si>
  <si>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</si>
  <si>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</si>
  <si>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</si>
  <si>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</si>
  <si>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</si>
  <si>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</si>
  <si>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</si>
  <si>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</si>
  <si>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</si>
  <si>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</si>
  <si>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</si>
  <si>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</si>
  <si>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</si>
  <si>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</si>
  <si>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</si>
  <si>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</si>
  <si>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</si>
  <si>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</si>
  <si>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</si>
  <si>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</si>
  <si>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</si>
  <si>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</si>
  <si>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</si>
  <si>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</si>
  <si>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</si>
  <si>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</si>
  <si>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</si>
  <si>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</si>
  <si>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</si>
  <si>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</si>
  <si>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</si>
  <si>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</si>
  <si>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</si>
  <si>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</si>
  <si>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</si>
  <si>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</si>
  <si>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</si>
  <si>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</si>
  <si>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</si>
  <si>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</si>
  <si>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</si>
  <si>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</si>
  <si>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</si>
  <si>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</si>
  <si>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</si>
  <si>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</si>
  <si>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</si>
  <si>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</si>
  <si>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</si>
  <si>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</si>
  <si>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</si>
  <si>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</si>
  <si>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</si>
  <si>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</si>
  <si>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</si>
  <si>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</si>
  <si>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</si>
  <si>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</si>
  <si>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</si>
  <si>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</si>
  <si>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</si>
  <si>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</si>
  <si>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</si>
  <si>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</si>
  <si>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</si>
  <si>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</si>
  <si>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</si>
  <si>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</si>
  <si>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</si>
  <si>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</si>
  <si>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</si>
  <si>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</si>
  <si>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</si>
  <si>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</si>
  <si>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</si>
  <si>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</si>
  <si>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</si>
  <si>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</si>
  <si>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</si>
  <si>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</si>
  <si>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</si>
  <si>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</si>
  <si>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</si>
  <si>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</si>
  <si>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</si>
  <si>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</si>
  <si>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</si>
  <si>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</si>
  <si>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</si>
  <si>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</si>
  <si>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</si>
  <si>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</si>
  <si>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</si>
  <si>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</si>
  <si>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</si>
  <si>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</si>
  <si>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</si>
  <si>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</si>
  <si>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</si>
  <si>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</si>
  <si>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</si>
  <si>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</si>
  <si>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</si>
  <si>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</si>
  <si>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</si>
  <si>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</si>
  <si>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</si>
  <si>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</si>
  <si>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</si>
  <si>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</si>
  <si>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</si>
  <si>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</si>
  <si>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</si>
  <si>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</si>
  <si>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</si>
  <si>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</si>
  <si>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</si>
  <si>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</si>
  <si>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</si>
  <si>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</si>
  <si>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</si>
  <si>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</si>
  <si>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</si>
  <si>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</si>
  <si>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</si>
  <si>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</si>
  <si>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</si>
  <si>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</si>
  <si>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</si>
  <si>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</si>
  <si>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</si>
  <si>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</si>
  <si>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</si>
  <si>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</si>
  <si>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</si>
  <si>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</si>
  <si>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</si>
  <si>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</si>
  <si>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</si>
  <si>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</si>
  <si>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</si>
  <si>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</si>
  <si>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</si>
  <si>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</si>
  <si>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</si>
  <si>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</si>
  <si>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</si>
  <si>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</si>
  <si>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</si>
  <si>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</si>
  <si>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</si>
  <si>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</si>
  <si>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</si>
  <si>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</si>
  <si>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</si>
  <si>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</si>
  <si>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</si>
  <si>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</si>
  <si>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</si>
  <si>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</si>
  <si>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</si>
  <si>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</si>
  <si>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</si>
  <si>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</si>
  <si>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</si>
  <si>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</si>
  <si>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</si>
  <si>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</si>
  <si>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</si>
  <si>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</si>
  <si>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</si>
  <si>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</si>
  <si>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</si>
  <si>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</si>
  <si>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</si>
  <si>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</si>
  <si>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</si>
  <si>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</si>
  <si>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</si>
  <si>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</si>
  <si>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</si>
  <si>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</si>
  <si>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</si>
  <si>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</si>
  <si>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</si>
  <si>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</si>
  <si>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</si>
  <si>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</si>
  <si>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</si>
  <si>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</si>
  <si>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</si>
  <si>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</si>
  <si>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</si>
  <si>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</si>
  <si>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</si>
  <si>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</si>
  <si>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</si>
  <si>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</si>
  <si>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</si>
  <si>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</si>
  <si>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</si>
  <si>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</si>
  <si>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</si>
  <si>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</si>
  <si>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</si>
  <si>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</si>
  <si>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</si>
  <si>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</si>
  <si>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</si>
  <si>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</si>
  <si>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</si>
  <si>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</si>
  <si>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</si>
  <si>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</si>
  <si>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</si>
  <si>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</si>
  <si>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</si>
  <si>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</si>
  <si>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</si>
  <si>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</si>
  <si>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</si>
  <si>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</si>
  <si>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</si>
  <si>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</si>
  <si>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</si>
  <si>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</si>
  <si>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</si>
  <si>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</si>
  <si>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</si>
  <si>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</si>
  <si>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</si>
  <si>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</si>
  <si>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</si>
  <si>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</si>
  <si>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</si>
  <si>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</si>
  <si>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</si>
  <si>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</si>
  <si>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</si>
  <si>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</si>
  <si>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</si>
  <si>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</si>
  <si>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</si>
  <si>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</si>
  <si>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</si>
  <si>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</si>
  <si>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</si>
  <si>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</si>
  <si>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</si>
  <si>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</si>
  <si>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</si>
  <si>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</si>
  <si>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</si>
  <si>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</si>
  <si>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</si>
  <si>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</si>
  <si>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</si>
  <si>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</si>
  <si>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</si>
  <si>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</si>
  <si>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</si>
  <si>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</si>
  <si>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</si>
  <si>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</si>
  <si>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</si>
  <si>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</si>
  <si>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</si>
  <si>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</si>
  <si>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</si>
  <si>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</si>
  <si>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</si>
  <si>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</si>
  <si>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</si>
  <si>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</si>
  <si>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</si>
  <si>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</si>
  <si>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</si>
  <si>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</si>
  <si>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</si>
  <si>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</si>
  <si>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</si>
  <si>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</si>
  <si>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</si>
  <si>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</si>
  <si>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</si>
  <si>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</si>
  <si>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</si>
  <si>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</si>
  <si>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</si>
  <si>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</si>
  <si>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</si>
  <si>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</si>
  <si>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</si>
  <si>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</si>
  <si>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</si>
  <si>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</si>
  <si>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</si>
  <si>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</si>
  <si>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</si>
  <si>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</si>
  <si>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</si>
  <si>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</si>
  <si>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</si>
  <si>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</si>
  <si>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</si>
  <si>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</si>
  <si>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</si>
  <si>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</si>
  <si>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</si>
  <si>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</si>
  <si>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</si>
  <si>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</si>
  <si>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</si>
  <si>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</si>
  <si>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</si>
  <si>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</si>
  <si>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</si>
  <si>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</si>
  <si>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</si>
  <si>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</si>
  <si>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</si>
  <si>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</si>
  <si>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</si>
  <si>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</si>
  <si>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</si>
  <si>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</si>
  <si>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</si>
  <si>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</si>
  <si>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</si>
  <si>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</si>
  <si>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</si>
  <si>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</si>
  <si>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</si>
  <si>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</si>
  <si>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</si>
  <si>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4288r00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</si>
</sst>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15.057951733303263</c:v>
                </c:pt>
                <c:pt idx="14">
                  <c:v>15.173389846003737</c:v>
                </c:pt>
                <c:pt idx="15">
                  <c:v>15.376651850243668</c:v>
                </c:pt>
                <c:pt idx="16">
                  <c:v>15.623973061804595</c:v>
                </c:pt>
                <c:pt idx="17">
                  <c:v>15.981726429692987</c:v>
                </c:pt>
                <c:pt idx="18">
                  <c:v>16.385035166538099</c:v>
                </c:pt>
                <c:pt idx="19">
                  <c:v>16.856563482756357</c:v>
                </c:pt>
                <c:pt idx="20">
                  <c:v>17.401905379220011</c:v>
                </c:pt>
                <c:pt idx="21">
                  <c:v>17.972711205431985</c:v>
                </c:pt>
                <c:pt idx="22">
                  <c:v>18.676344503803641</c:v>
                </c:pt>
                <c:pt idx="23">
                  <c:v>19.400489028144246</c:v>
                </c:pt>
                <c:pt idx="24">
                  <c:v>20.209697032731164</c:v>
                </c:pt>
                <c:pt idx="25">
                  <c:v>21.010610341319861</c:v>
                </c:pt>
                <c:pt idx="26">
                  <c:v>21.805650849503497</c:v>
                </c:pt>
                <c:pt idx="27">
                  <c:v>22.635702412662905</c:v>
                </c:pt>
                <c:pt idx="28">
                  <c:v>23.547461191245198</c:v>
                </c:pt>
                <c:pt idx="29">
                  <c:v>24.418447986209902</c:v>
                </c:pt>
                <c:pt idx="30">
                  <c:v>25.151570300176026</c:v>
                </c:pt>
                <c:pt idx="31">
                  <c:v>26.065356880679126</c:v>
                </c:pt>
                <c:pt idx="32">
                  <c:v>27.004176323022655</c:v>
                </c:pt>
                <c:pt idx="33">
                  <c:v>27.816405513409315</c:v>
                </c:pt>
                <c:pt idx="34">
                  <c:v>29.2268946405215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0" t="s">
        <v>77</v>
      </c>
      <c r="D1" s="980"/>
      <c r="E1" s="980"/>
      <c r="F1" s="980"/>
      <c r="G1" s="980"/>
      <c r="H1" s="980"/>
      <c r="I1" s="980"/>
      <c r="J1" s="980"/>
      <c r="K1" s="980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5" t="s">
        <v>80</v>
      </c>
      <c r="B6" s="1005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2" t="s">
        <v>370</v>
      </c>
      <c r="AQ7" s="1002"/>
      <c r="AR7" s="1002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5">
        <v>9</v>
      </c>
      <c r="D9" s="999"/>
      <c r="E9" s="999"/>
      <c r="F9" s="999"/>
      <c r="G9" s="999"/>
      <c r="H9" s="999"/>
      <c r="I9" s="999"/>
      <c r="J9" s="999"/>
      <c r="K9" s="99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17"/>
      <c r="C10" s="1018"/>
      <c r="D10" s="1018"/>
      <c r="E10" s="1018"/>
      <c r="F10" s="1018"/>
      <c r="G10" s="1018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3"/>
      <c r="B11" s="1006" t="s">
        <v>33</v>
      </c>
      <c r="C11" s="1011" t="s">
        <v>34</v>
      </c>
      <c r="D11" s="1011"/>
      <c r="E11" s="1010" t="s">
        <v>39</v>
      </c>
      <c r="F11" s="1006" t="s">
        <v>35</v>
      </c>
      <c r="G11" s="1006" t="s">
        <v>36</v>
      </c>
      <c r="H11" s="1006" t="s">
        <v>43</v>
      </c>
      <c r="I11" s="997" t="s">
        <v>67</v>
      </c>
      <c r="J11" s="1011" t="s">
        <v>56</v>
      </c>
      <c r="K11" s="1011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0" t="s">
        <v>338</v>
      </c>
      <c r="AN11" s="999"/>
      <c r="AO11" s="999"/>
      <c r="AP11" s="999"/>
      <c r="AQ11" s="999"/>
      <c r="AR11" s="1021"/>
      <c r="AS11" s="1028" t="s">
        <v>345</v>
      </c>
      <c r="AT11" s="1029"/>
      <c r="AU11" s="1029"/>
      <c r="AV11" s="1030"/>
      <c r="BC11" s="419"/>
    </row>
    <row r="12" spans="1:55" ht="15.75" thickBot="1" x14ac:dyDescent="0.3">
      <c r="A12" s="1012"/>
      <c r="B12" s="1007"/>
      <c r="C12" s="48" t="s">
        <v>8</v>
      </c>
      <c r="D12" s="49" t="s">
        <v>10</v>
      </c>
      <c r="E12" s="1007"/>
      <c r="F12" s="1007"/>
      <c r="G12" s="1007"/>
      <c r="H12" s="1007"/>
      <c r="I12" s="998"/>
      <c r="J12" s="52" t="s">
        <v>8</v>
      </c>
      <c r="K12" s="53" t="s">
        <v>10</v>
      </c>
      <c r="M12" s="31"/>
      <c r="N12" s="31"/>
      <c r="O12" s="989" t="s">
        <v>46</v>
      </c>
      <c r="P12" s="990"/>
      <c r="Q12" s="1008" t="s">
        <v>45</v>
      </c>
      <c r="R12" s="1009"/>
      <c r="S12" s="1009"/>
      <c r="T12" s="1009"/>
      <c r="U12" s="1009"/>
      <c r="V12" s="1009"/>
      <c r="W12" s="1009"/>
      <c r="X12" s="1009"/>
      <c r="Y12" s="1009"/>
      <c r="Z12" s="1009"/>
      <c r="AA12" s="1009"/>
      <c r="AB12" s="1009"/>
      <c r="AC12" s="1009"/>
      <c r="AD12" s="1009"/>
      <c r="AE12" s="995"/>
      <c r="AF12" s="983" t="s">
        <v>56</v>
      </c>
      <c r="AG12" s="984"/>
      <c r="AH12" s="31"/>
      <c r="AK12" s="1003" t="s">
        <v>346</v>
      </c>
      <c r="AL12" s="1019"/>
      <c r="AM12" s="1022" t="s">
        <v>343</v>
      </c>
      <c r="AN12" s="1023"/>
      <c r="AO12" s="1004"/>
      <c r="AP12" s="1003" t="s">
        <v>371</v>
      </c>
      <c r="AQ12" s="1004"/>
      <c r="AR12" s="743" t="s">
        <v>369</v>
      </c>
      <c r="AS12" s="1025" t="s">
        <v>343</v>
      </c>
      <c r="AT12" s="1004"/>
      <c r="AU12" s="1026" t="s">
        <v>344</v>
      </c>
      <c r="AV12" s="1027"/>
      <c r="AW12" s="1031" t="s">
        <v>342</v>
      </c>
      <c r="AX12" s="1032"/>
      <c r="AZ12" s="1003" t="s">
        <v>60</v>
      </c>
      <c r="BA12" s="1004"/>
      <c r="BC12" s="1024" t="s">
        <v>374</v>
      </c>
    </row>
    <row r="13" spans="1:55" ht="15.75" thickBot="1" x14ac:dyDescent="0.3">
      <c r="A13" s="63" t="s">
        <v>57</v>
      </c>
      <c r="B13" s="1013" t="s">
        <v>97</v>
      </c>
      <c r="C13" s="1015" t="str">
        <f>SUBSTITUTE(ADDRESS(1,COLUMN(Assy.Model!X9),4),"1","")</f>
        <v>X</v>
      </c>
      <c r="D13" s="97" t="str">
        <f>SUBSTITUTE(ADDRESS(1,COLUMN(Assy.Model!Y9),4),"1","")</f>
        <v>Y</v>
      </c>
      <c r="E13" s="1000" t="str">
        <f>SUBSTITUTE(ADDRESS(1,COLUMN(Assy.Model!H9),4),"1","")</f>
        <v>H</v>
      </c>
      <c r="F13" s="1000" t="str">
        <f>SUBSTITUTE(ADDRESS(1,COLUMN(Assy.Model!AN9),4),"1","")</f>
        <v>AN</v>
      </c>
      <c r="G13" s="1000" t="str">
        <f>SUBSTITUTE(ADDRESS(1,COLUMN(Assy.Model!AO9),4),"1","")</f>
        <v>AO</v>
      </c>
      <c r="H13" s="1000" t="str">
        <f>SUBSTITUTE(ADDRESS(1,COLUMN(Assy.Model!AO9),4),"1","")</f>
        <v>AO</v>
      </c>
      <c r="I13" s="1000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1"/>
      <c r="P13" s="992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4"/>
    </row>
    <row r="14" spans="1:55" x14ac:dyDescent="0.25">
      <c r="A14" s="61" t="s">
        <v>58</v>
      </c>
      <c r="B14" s="1014"/>
      <c r="C14" s="1016"/>
      <c r="D14" s="98" t="str">
        <f>SUBSTITUTE(ADDRESS(1,COLUMN(Assy.Model!AT9),4),"1","")</f>
        <v>AT</v>
      </c>
      <c r="E14" s="1001"/>
      <c r="F14" s="1001"/>
      <c r="G14" s="1001"/>
      <c r="H14" s="1001"/>
      <c r="I14" s="1001"/>
      <c r="J14" s="87">
        <v>0</v>
      </c>
      <c r="K14" s="88">
        <v>0</v>
      </c>
      <c r="L14" s="31"/>
      <c r="M14" s="185">
        <v>6.25E-2</v>
      </c>
      <c r="N14" s="31">
        <v>32</v>
      </c>
      <c r="O14" s="987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87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87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87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87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17.5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87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88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995" t="s">
        <v>64</v>
      </c>
      <c r="C21" s="999"/>
      <c r="D21" s="999"/>
      <c r="E21" s="999"/>
      <c r="F21" s="996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993"/>
      <c r="C22" s="995" t="s">
        <v>63</v>
      </c>
      <c r="D22" s="996"/>
      <c r="E22" s="997" t="s">
        <v>60</v>
      </c>
      <c r="F22" s="997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994"/>
      <c r="C23" s="56" t="s">
        <v>8</v>
      </c>
      <c r="D23" s="56" t="s">
        <v>9</v>
      </c>
      <c r="E23" s="998"/>
      <c r="F23" s="998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985">
        <v>0</v>
      </c>
      <c r="E24" s="985">
        <v>2</v>
      </c>
      <c r="F24" s="985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8.75</v>
      </c>
      <c r="D25" s="986"/>
      <c r="E25" s="986"/>
      <c r="F25" s="986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981" t="s">
        <v>302</v>
      </c>
      <c r="C27" s="981"/>
      <c r="D27" s="981"/>
      <c r="E27" s="981"/>
      <c r="F27" s="981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982" t="s">
        <v>406</v>
      </c>
      <c r="C28" s="982"/>
      <c r="D28" s="982"/>
      <c r="E28" s="982"/>
      <c r="F28" s="982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99" t="s">
        <v>95</v>
      </c>
      <c r="D3" s="999"/>
      <c r="E3" s="999"/>
      <c r="F3" s="999"/>
      <c r="G3" s="999"/>
      <c r="H3" s="999"/>
      <c r="I3" s="999"/>
      <c r="J3" s="999"/>
      <c r="K3" s="1021"/>
      <c r="L3" s="1079"/>
      <c r="M3" s="999"/>
      <c r="N3" s="999"/>
      <c r="O3" s="999"/>
      <c r="P3" s="999"/>
      <c r="Q3" s="999"/>
      <c r="R3" s="99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1" t="s">
        <v>86</v>
      </c>
      <c r="C4" s="1062" t="s">
        <v>82</v>
      </c>
      <c r="D4" s="999" t="s">
        <v>83</v>
      </c>
      <c r="E4" s="999"/>
      <c r="F4" s="999"/>
      <c r="G4" s="999"/>
      <c r="H4" s="999"/>
      <c r="I4" s="999"/>
      <c r="J4" s="999"/>
      <c r="K4" s="999"/>
      <c r="L4" s="146" t="s">
        <v>91</v>
      </c>
      <c r="M4" s="995" t="s">
        <v>94</v>
      </c>
      <c r="N4" s="999"/>
      <c r="O4" s="999"/>
      <c r="P4" s="1021"/>
      <c r="Q4" s="999" t="s">
        <v>52</v>
      </c>
      <c r="R4" s="996"/>
      <c r="S4" s="103"/>
      <c r="T4" s="995">
        <v>350</v>
      </c>
      <c r="U4" s="999"/>
      <c r="V4" s="999" t="s">
        <v>76</v>
      </c>
      <c r="W4" s="99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2"/>
      <c r="C5" s="1063"/>
      <c r="D5" s="1047" t="s">
        <v>85</v>
      </c>
      <c r="E5" s="1065" t="s">
        <v>89</v>
      </c>
      <c r="F5" s="1011" t="s">
        <v>34</v>
      </c>
      <c r="G5" s="1011"/>
      <c r="H5" s="1010" t="s">
        <v>39</v>
      </c>
      <c r="I5" s="1006" t="s">
        <v>35</v>
      </c>
      <c r="J5" s="1006" t="s">
        <v>36</v>
      </c>
      <c r="K5" s="1073" t="s">
        <v>67</v>
      </c>
      <c r="L5" s="147" t="s">
        <v>92</v>
      </c>
      <c r="M5" s="997" t="s">
        <v>90</v>
      </c>
      <c r="N5" s="997" t="s">
        <v>47</v>
      </c>
      <c r="O5" s="1075" t="s">
        <v>84</v>
      </c>
      <c r="P5" s="1076"/>
      <c r="Q5" s="1077" t="s">
        <v>84</v>
      </c>
      <c r="R5" s="1078"/>
      <c r="S5" s="103"/>
      <c r="T5" s="989" t="s">
        <v>46</v>
      </c>
      <c r="U5" s="1080"/>
      <c r="V5" s="1032" t="s">
        <v>45</v>
      </c>
      <c r="W5" s="984"/>
      <c r="X5" s="984"/>
      <c r="Y5" s="984"/>
      <c r="Z5" s="984"/>
      <c r="AA5" s="984"/>
      <c r="AB5" s="984"/>
      <c r="AC5" s="984"/>
      <c r="AD5" s="984"/>
      <c r="AE5" s="984"/>
      <c r="AF5" s="984"/>
      <c r="AG5" s="984"/>
      <c r="AH5" s="984"/>
      <c r="AI5" s="984"/>
      <c r="AJ5" s="984"/>
      <c r="AK5" s="31"/>
      <c r="AL5" s="31"/>
    </row>
    <row r="6" spans="2:38" ht="15" customHeight="1" thickBot="1" x14ac:dyDescent="0.3">
      <c r="B6" s="1043"/>
      <c r="C6" s="1064"/>
      <c r="D6" s="1048"/>
      <c r="E6" s="1066"/>
      <c r="F6" s="104" t="s">
        <v>8</v>
      </c>
      <c r="G6" s="105" t="s">
        <v>10</v>
      </c>
      <c r="H6" s="1061"/>
      <c r="I6" s="1061"/>
      <c r="J6" s="1061"/>
      <c r="K6" s="1074"/>
      <c r="L6" s="148" t="s">
        <v>93</v>
      </c>
      <c r="M6" s="1072"/>
      <c r="N6" s="1072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4"/>
      <c r="U6" s="108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9">
        <f>ROW(Assy.Model!B9)</f>
        <v>9</v>
      </c>
      <c r="D7" s="1038" t="str">
        <f>SUBSTITUTE(ADDRESS(1,COLUMN(Assy.Model!B9),4),"1","")</f>
        <v>B</v>
      </c>
      <c r="E7" s="1052" t="str">
        <f>SUBSTITUTE(ADDRESS(1,COLUMN(Assy.Model!M9),4),"1","")</f>
        <v>M</v>
      </c>
      <c r="F7" s="1055" t="str">
        <f>SUBSTITUTE(ADDRESS(1,COLUMN(Assy.Model!X9),4),"1","")</f>
        <v>X</v>
      </c>
      <c r="G7" s="1044" t="str">
        <f>SUBSTITUTE(ADDRESS(1,COLUMN(Assy.Model!AT9),4),"1","")</f>
        <v>AT</v>
      </c>
      <c r="H7" s="1058" t="str">
        <f>SUBSTITUTE(ADDRESS(1,COLUMN(Assy.Model!H9),4),"1","")</f>
        <v>H</v>
      </c>
      <c r="I7" s="1058" t="str">
        <f>SUBSTITUTE(ADDRESS(1,COLUMN(Assy.Model!AN9),4),"1","")</f>
        <v>AN</v>
      </c>
      <c r="J7" s="1058" t="str">
        <f>SUBSTITUTE(ADDRESS(1,COLUMN(Assy.Model!AO9),4),"1","")</f>
        <v>AO</v>
      </c>
      <c r="K7" s="1067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5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3" t="s">
        <v>81</v>
      </c>
      <c r="C8" s="1050"/>
      <c r="D8" s="1039"/>
      <c r="E8" s="1053"/>
      <c r="F8" s="1056"/>
      <c r="G8" s="1045"/>
      <c r="H8" s="1059"/>
      <c r="I8" s="1059"/>
      <c r="J8" s="1059"/>
      <c r="K8" s="1068"/>
      <c r="L8" s="149" t="s">
        <v>93</v>
      </c>
      <c r="M8" s="1070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6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3"/>
      <c r="C9" s="1050"/>
      <c r="D9" s="1039"/>
      <c r="E9" s="1053"/>
      <c r="F9" s="1056"/>
      <c r="G9" s="1045"/>
      <c r="H9" s="1059"/>
      <c r="I9" s="1059"/>
      <c r="J9" s="1059"/>
      <c r="K9" s="1068"/>
      <c r="L9" s="149" t="s">
        <v>92</v>
      </c>
      <c r="M9" s="1070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6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3"/>
      <c r="C10" s="1050"/>
      <c r="D10" s="1039"/>
      <c r="E10" s="1053"/>
      <c r="F10" s="1056"/>
      <c r="G10" s="1045"/>
      <c r="H10" s="1059"/>
      <c r="I10" s="1059"/>
      <c r="J10" s="1059"/>
      <c r="K10" s="1068"/>
      <c r="L10" s="149" t="s">
        <v>92</v>
      </c>
      <c r="M10" s="1070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6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3"/>
      <c r="C11" s="1050"/>
      <c r="D11" s="1039"/>
      <c r="E11" s="1053"/>
      <c r="F11" s="1056"/>
      <c r="G11" s="1045"/>
      <c r="H11" s="1059"/>
      <c r="I11" s="1059"/>
      <c r="J11" s="1059"/>
      <c r="K11" s="1068"/>
      <c r="L11" s="149" t="s">
        <v>92</v>
      </c>
      <c r="M11" s="1070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6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3"/>
      <c r="C12" s="1050"/>
      <c r="D12" s="1039"/>
      <c r="E12" s="1053"/>
      <c r="F12" s="1056"/>
      <c r="G12" s="1045"/>
      <c r="H12" s="1059"/>
      <c r="I12" s="1059"/>
      <c r="J12" s="1059"/>
      <c r="K12" s="1068"/>
      <c r="L12" s="149" t="s">
        <v>92</v>
      </c>
      <c r="M12" s="1070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6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3"/>
      <c r="C13" s="1050"/>
      <c r="D13" s="1039"/>
      <c r="E13" s="1053"/>
      <c r="F13" s="1056"/>
      <c r="G13" s="1045"/>
      <c r="H13" s="1059"/>
      <c r="I13" s="1059"/>
      <c r="J13" s="1059"/>
      <c r="K13" s="1068"/>
      <c r="L13" s="149" t="s">
        <v>92</v>
      </c>
      <c r="M13" s="1070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6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4"/>
      <c r="C14" s="1051"/>
      <c r="D14" s="1040"/>
      <c r="E14" s="1054"/>
      <c r="F14" s="1057"/>
      <c r="G14" s="1046"/>
      <c r="H14" s="1060"/>
      <c r="I14" s="1060"/>
      <c r="J14" s="1060"/>
      <c r="K14" s="1069"/>
      <c r="L14" s="150" t="s">
        <v>93</v>
      </c>
      <c r="M14" s="1071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7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135" t="str">
        <f>CONCATENATE(Settings!$C$19," ",Settings!$B$28)</f>
        <v>17.5 4288r00</v>
      </c>
      <c r="D1" s="1135"/>
      <c r="E1" s="1135"/>
      <c r="F1" s="1135"/>
      <c r="G1" s="1135"/>
      <c r="H1" s="1135"/>
      <c r="I1" s="1135"/>
      <c r="J1" s="1135"/>
      <c r="K1" s="1135"/>
      <c r="L1" s="709"/>
      <c r="M1" s="958">
        <f>IFERROR(LARGE(M9:M150,1),"Null")</f>
        <v>6.242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147" t="s">
        <v>306</v>
      </c>
      <c r="C2" s="1148"/>
      <c r="D2" s="1148"/>
      <c r="E2" s="1148"/>
      <c r="F2" s="1148"/>
      <c r="G2" s="1148"/>
      <c r="H2" s="1148"/>
      <c r="I2" s="1148"/>
      <c r="J2" s="1148"/>
      <c r="K2" s="1149"/>
      <c r="L2" s="1098" t="str" cm="1">
        <f t="array" ref="L2">IF(OR($K$9:$K$150="Undefined"),"Undefined Element","")</f>
        <v/>
      </c>
      <c r="M2" s="1155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113" t="s">
        <v>0</v>
      </c>
      <c r="AW2" s="1115" t="s">
        <v>109</v>
      </c>
      <c r="AX2" s="1116"/>
      <c r="AY2" s="1116"/>
      <c r="AZ2" s="1116"/>
      <c r="BA2" s="1116"/>
      <c r="BB2" s="1116"/>
      <c r="BC2" s="1116"/>
      <c r="BD2" s="1116"/>
      <c r="BE2" s="1185"/>
      <c r="BF2" s="1191" t="s">
        <v>115</v>
      </c>
      <c r="BG2" s="1116"/>
      <c r="BH2" s="1116"/>
      <c r="BI2" s="1116"/>
      <c r="BJ2" s="1116"/>
      <c r="BK2" s="1116"/>
      <c r="BL2" s="1116"/>
      <c r="BM2" s="1116"/>
      <c r="BN2" s="1116"/>
      <c r="BO2" s="1116"/>
      <c r="BP2" s="1116"/>
      <c r="BQ2" s="1116"/>
      <c r="BR2" s="1116"/>
      <c r="BS2" s="1116"/>
      <c r="BT2" s="1116"/>
      <c r="BU2" s="1116"/>
      <c r="BV2" s="1116"/>
      <c r="BW2" s="1116"/>
      <c r="BX2" s="1116"/>
      <c r="BY2" s="1116"/>
      <c r="BZ2" s="1116"/>
      <c r="CA2" s="1116"/>
      <c r="CB2" s="1116"/>
      <c r="CC2" s="1116"/>
      <c r="CD2" s="1116"/>
      <c r="CE2" s="1116"/>
      <c r="CF2" s="1116"/>
      <c r="CG2" s="1116"/>
      <c r="CH2" s="1116"/>
      <c r="CI2" s="1116"/>
      <c r="CJ2" s="1116"/>
      <c r="CK2" s="1116"/>
      <c r="CL2" s="1116"/>
      <c r="CM2" s="1116"/>
      <c r="CN2" s="1116"/>
      <c r="CO2" s="1116"/>
      <c r="CP2" s="1116"/>
      <c r="CQ2" s="1116"/>
      <c r="CR2" s="1116"/>
      <c r="CS2" s="1116"/>
      <c r="CT2" s="1116"/>
      <c r="CU2" s="1116"/>
      <c r="CV2" s="1116"/>
      <c r="CW2" s="1116"/>
      <c r="CX2" s="1116"/>
      <c r="CY2" s="1116"/>
      <c r="CZ2" s="1116"/>
      <c r="DA2" s="1116"/>
      <c r="DB2" s="1116"/>
      <c r="DC2" s="1116"/>
      <c r="DD2" s="1116"/>
      <c r="DE2" s="1116"/>
      <c r="DF2" s="1116"/>
      <c r="DG2" s="1116"/>
      <c r="DH2" s="1116"/>
      <c r="DI2" s="1116"/>
      <c r="DJ2" s="1116"/>
      <c r="DK2" s="1116"/>
      <c r="DL2" s="1116"/>
      <c r="DM2" s="1116"/>
      <c r="DN2" s="1116"/>
      <c r="DO2" s="1116"/>
      <c r="DP2" s="1116"/>
      <c r="DQ2" s="1116"/>
      <c r="DR2" s="1116"/>
      <c r="DS2" s="1116"/>
      <c r="DT2" s="1116"/>
      <c r="DU2" s="1116"/>
      <c r="DV2" s="1116"/>
      <c r="DW2" s="1116"/>
      <c r="DX2" s="1116"/>
      <c r="DY2" s="1116"/>
      <c r="DZ2" s="1116"/>
      <c r="EA2" s="1116"/>
      <c r="EB2" s="1116"/>
      <c r="EC2" s="1116"/>
      <c r="ED2" s="1116"/>
      <c r="EE2" s="1116"/>
      <c r="EF2" s="1116"/>
      <c r="EG2" s="1116"/>
      <c r="EH2" s="1116"/>
      <c r="EI2" s="1116"/>
      <c r="EJ2" s="1116"/>
      <c r="EK2" s="1116"/>
      <c r="EL2" s="1116"/>
      <c r="EM2" s="1116"/>
      <c r="EN2" s="1116"/>
      <c r="EO2" s="1116"/>
      <c r="EP2" s="1116"/>
      <c r="EQ2" s="1116"/>
      <c r="ER2" s="1117"/>
      <c r="ES2" s="1378" t="s">
        <v>196</v>
      </c>
      <c r="ET2" s="1379"/>
      <c r="EU2" s="1379"/>
      <c r="EV2" s="1379"/>
      <c r="EW2" s="1379"/>
      <c r="EX2" s="1379"/>
      <c r="EY2" s="1379"/>
      <c r="EZ2" s="1379"/>
      <c r="FA2" s="1379"/>
      <c r="FB2" s="1379"/>
      <c r="FC2" s="1379"/>
      <c r="FD2" s="1379"/>
      <c r="FE2" s="1379"/>
      <c r="FF2" s="13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53" t="str">
        <f>IFERROR(CONCATENATE("Sum of Lateral Forces = ",ROUND(HE3,0)," lbs @ ",ROUND(HF3,1),"° Relative to Blade 1"),"")</f>
        <v/>
      </c>
      <c r="HX2" s="1353"/>
      <c r="HY2" s="1353"/>
      <c r="HZ2" s="1353"/>
      <c r="IA2" s="1353"/>
      <c r="IB2" s="1353"/>
      <c r="IC2" s="1353"/>
      <c r="ID2" s="1353"/>
      <c r="IE2" s="1353"/>
      <c r="IF2" s="860"/>
      <c r="IN2" s="31"/>
      <c r="IO2" s="323"/>
      <c r="JC2" s="82"/>
      <c r="JD2" s="82"/>
      <c r="JE2" s="82"/>
    </row>
    <row r="3" spans="1:296" ht="15" customHeight="1" x14ac:dyDescent="0.25">
      <c r="B3" s="1150"/>
      <c r="C3" s="1111"/>
      <c r="D3" s="1111"/>
      <c r="E3" s="1111"/>
      <c r="F3" s="1111"/>
      <c r="G3" s="1111"/>
      <c r="H3" s="1111"/>
      <c r="I3" s="1111"/>
      <c r="J3" s="1111"/>
      <c r="K3" s="1151"/>
      <c r="L3" s="1098"/>
      <c r="M3" s="1150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118"/>
      <c r="AA3" s="1119"/>
      <c r="AB3" s="1119"/>
      <c r="AC3" s="1119"/>
      <c r="AD3" s="1119"/>
      <c r="AE3" s="1119"/>
      <c r="AF3" s="1119"/>
      <c r="AG3" s="1119"/>
      <c r="AH3" s="1119"/>
      <c r="AI3" s="1119"/>
      <c r="AJ3" s="1119"/>
      <c r="AK3" s="1119"/>
      <c r="AL3" s="1119"/>
      <c r="AM3" s="1119"/>
      <c r="AN3" s="1119"/>
      <c r="AO3" s="1119"/>
      <c r="AP3" s="1119"/>
      <c r="AQ3" s="1186"/>
      <c r="AS3" s="415">
        <v>100</v>
      </c>
      <c r="AT3" s="412" t="s">
        <v>45</v>
      </c>
      <c r="AV3" s="1114"/>
      <c r="AW3" s="1207"/>
      <c r="AX3" s="1193"/>
      <c r="AY3" s="1193"/>
      <c r="AZ3" s="1193"/>
      <c r="BA3" s="1193"/>
      <c r="BB3" s="1193"/>
      <c r="BC3" s="1193"/>
      <c r="BD3" s="1193"/>
      <c r="BE3" s="1208"/>
      <c r="BF3" s="1192"/>
      <c r="BG3" s="1193"/>
      <c r="BH3" s="1193"/>
      <c r="BI3" s="1193"/>
      <c r="BJ3" s="1193"/>
      <c r="BK3" s="1193"/>
      <c r="BL3" s="1193"/>
      <c r="BM3" s="1193"/>
      <c r="BN3" s="1193"/>
      <c r="BO3" s="1193"/>
      <c r="BP3" s="1193"/>
      <c r="BQ3" s="1193"/>
      <c r="BR3" s="1193"/>
      <c r="BS3" s="1193"/>
      <c r="BT3" s="1193"/>
      <c r="BU3" s="1193"/>
      <c r="BV3" s="1193"/>
      <c r="BW3" s="1193"/>
      <c r="BX3" s="1193"/>
      <c r="BY3" s="1193"/>
      <c r="BZ3" s="1193"/>
      <c r="CA3" s="1193"/>
      <c r="CB3" s="1193"/>
      <c r="CC3" s="1193"/>
      <c r="CD3" s="1193"/>
      <c r="CE3" s="1193"/>
      <c r="CF3" s="1193"/>
      <c r="CG3" s="1193"/>
      <c r="CH3" s="1193"/>
      <c r="CI3" s="1193"/>
      <c r="CJ3" s="1193"/>
      <c r="CK3" s="1193"/>
      <c r="CL3" s="1193"/>
      <c r="CM3" s="1193"/>
      <c r="CN3" s="1193"/>
      <c r="CO3" s="1193"/>
      <c r="CP3" s="1193"/>
      <c r="CQ3" s="1193"/>
      <c r="CR3" s="1193"/>
      <c r="CS3" s="1193"/>
      <c r="CT3" s="1193"/>
      <c r="CU3" s="1193"/>
      <c r="CV3" s="1193"/>
      <c r="CW3" s="1193"/>
      <c r="CX3" s="1193"/>
      <c r="CY3" s="1193"/>
      <c r="CZ3" s="1193"/>
      <c r="DA3" s="1193"/>
      <c r="DB3" s="1193"/>
      <c r="DC3" s="1193"/>
      <c r="DD3" s="1193"/>
      <c r="DE3" s="1193"/>
      <c r="DF3" s="1193"/>
      <c r="DG3" s="1193"/>
      <c r="DH3" s="1193"/>
      <c r="DI3" s="1193"/>
      <c r="DJ3" s="1193"/>
      <c r="DK3" s="1193"/>
      <c r="DL3" s="1193"/>
      <c r="DM3" s="1193"/>
      <c r="DN3" s="1193"/>
      <c r="DO3" s="1193"/>
      <c r="DP3" s="1193"/>
      <c r="DQ3" s="1193"/>
      <c r="DR3" s="1193"/>
      <c r="DS3" s="1193"/>
      <c r="DT3" s="1193"/>
      <c r="DU3" s="1193"/>
      <c r="DV3" s="1193"/>
      <c r="DW3" s="1193"/>
      <c r="DX3" s="1193"/>
      <c r="DY3" s="1193"/>
      <c r="DZ3" s="1193"/>
      <c r="EA3" s="1193"/>
      <c r="EB3" s="1193"/>
      <c r="EC3" s="1193"/>
      <c r="ED3" s="1193"/>
      <c r="EE3" s="1193"/>
      <c r="EF3" s="1193"/>
      <c r="EG3" s="1193"/>
      <c r="EH3" s="1193"/>
      <c r="EI3" s="1193"/>
      <c r="EJ3" s="1193"/>
      <c r="EK3" s="1193"/>
      <c r="EL3" s="1193"/>
      <c r="EM3" s="1193"/>
      <c r="EN3" s="1193"/>
      <c r="EO3" s="1193"/>
      <c r="EP3" s="1193"/>
      <c r="EQ3" s="1193"/>
      <c r="ER3" s="1194"/>
      <c r="ES3" s="1207"/>
      <c r="ET3" s="1193"/>
      <c r="EU3" s="1193"/>
      <c r="EV3" s="1193"/>
      <c r="EW3" s="1193"/>
      <c r="EX3" s="1193"/>
      <c r="EY3" s="1193"/>
      <c r="EZ3" s="1193"/>
      <c r="FA3" s="1193"/>
      <c r="FB3" s="1193"/>
      <c r="FC3" s="1193"/>
      <c r="FD3" s="1193"/>
      <c r="FE3" s="1193"/>
      <c r="FF3" s="119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152"/>
      <c r="C4" s="1153"/>
      <c r="D4" s="1153"/>
      <c r="E4" s="1153"/>
      <c r="F4" s="1153"/>
      <c r="G4" s="1153"/>
      <c r="H4" s="1153"/>
      <c r="I4" s="1153"/>
      <c r="J4" s="1153"/>
      <c r="K4" s="1154"/>
      <c r="L4" s="1098"/>
      <c r="M4" s="1150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$Q$4</f>
        <v>Polar XY; Cartesian Z</v>
      </c>
      <c r="X4" s="1139"/>
      <c r="Y4" s="1140"/>
      <c r="Z4" s="1159" t="s">
        <v>3</v>
      </c>
      <c r="AA4" s="1107"/>
      <c r="AB4" s="1107"/>
      <c r="AC4" s="1107"/>
      <c r="AD4" s="1107"/>
      <c r="AE4" s="1107"/>
      <c r="AF4" s="1107"/>
      <c r="AG4" s="1106" t="s">
        <v>31</v>
      </c>
      <c r="AH4" s="1107"/>
      <c r="AI4" s="1107"/>
      <c r="AJ4" s="1109"/>
      <c r="AK4" s="1187" t="s">
        <v>32</v>
      </c>
      <c r="AL4" s="1188"/>
      <c r="AM4" s="1188"/>
      <c r="AN4" s="1188"/>
      <c r="AO4" s="1188"/>
      <c r="AP4" s="1188"/>
      <c r="AQ4" s="1189"/>
      <c r="AS4" s="416">
        <v>125</v>
      </c>
      <c r="AT4" s="413" t="s">
        <v>46</v>
      </c>
      <c r="AV4" s="1114"/>
      <c r="AW4" s="1218" t="s">
        <v>112</v>
      </c>
      <c r="AX4" s="1200"/>
      <c r="AY4" s="990"/>
      <c r="AZ4" s="1204"/>
      <c r="BA4" s="1205"/>
      <c r="BB4" s="1209" t="s">
        <v>113</v>
      </c>
      <c r="BC4" s="1139" t="str">
        <f>$Q$4</f>
        <v>Polar XY; Cartesian Z</v>
      </c>
      <c r="BD4" s="1139"/>
      <c r="BE4" s="1212"/>
      <c r="BF4" s="1222" t="s">
        <v>129</v>
      </c>
      <c r="BG4" s="1223"/>
      <c r="BH4" s="1223"/>
      <c r="BI4" s="1223"/>
      <c r="BJ4" s="1223"/>
      <c r="BK4" s="1223"/>
      <c r="BL4" s="1223"/>
      <c r="BM4" s="1223"/>
      <c r="BN4" s="1223"/>
      <c r="BO4" s="1223"/>
      <c r="BP4" s="1223"/>
      <c r="BQ4" s="1223"/>
      <c r="BR4" s="1223"/>
      <c r="BS4" s="1223"/>
      <c r="BT4" s="1223"/>
      <c r="BU4" s="1223"/>
      <c r="BV4" s="1223"/>
      <c r="BW4" s="1223"/>
      <c r="BX4" s="1223"/>
      <c r="BY4" s="1223"/>
      <c r="BZ4" s="1223"/>
      <c r="CA4" s="1223"/>
      <c r="CB4" s="1223"/>
      <c r="CC4" s="1223"/>
      <c r="CD4" s="1223"/>
      <c r="CE4" s="1223"/>
      <c r="CF4" s="1223"/>
      <c r="CG4" s="1223"/>
      <c r="CH4" s="1223"/>
      <c r="CI4" s="1223"/>
      <c r="CJ4" s="1223"/>
      <c r="CK4" s="1223"/>
      <c r="CL4" s="1223"/>
      <c r="CM4" s="1223"/>
      <c r="CN4" s="1224"/>
      <c r="CO4" s="1195" t="s">
        <v>192</v>
      </c>
      <c r="CP4" s="1196"/>
      <c r="CQ4" s="1196"/>
      <c r="CR4" s="1196"/>
      <c r="CS4" s="1196"/>
      <c r="CT4" s="1196"/>
      <c r="CU4" s="1196"/>
      <c r="CV4" s="1196"/>
      <c r="CW4" s="1196"/>
      <c r="CX4" s="1196"/>
      <c r="CY4" s="1196"/>
      <c r="CZ4" s="1196"/>
      <c r="DA4" s="1197"/>
      <c r="DB4" s="1375" t="s">
        <v>389</v>
      </c>
      <c r="DC4" s="1376"/>
      <c r="DD4" s="1376"/>
      <c r="DE4" s="1376"/>
      <c r="DF4" s="1376"/>
      <c r="DG4" s="1376"/>
      <c r="DH4" s="1376"/>
      <c r="DI4" s="1376"/>
      <c r="DJ4" s="1376"/>
      <c r="DK4" s="1376"/>
      <c r="DL4" s="1376"/>
      <c r="DM4" s="1376"/>
      <c r="DN4" s="1376"/>
      <c r="DO4" s="1376"/>
      <c r="DP4" s="1376"/>
      <c r="DQ4" s="1376"/>
      <c r="DR4" s="1376"/>
      <c r="DS4" s="1376"/>
      <c r="DT4" s="1376"/>
      <c r="DU4" s="1376"/>
      <c r="DV4" s="1376"/>
      <c r="DW4" s="1376"/>
      <c r="DX4" s="1376"/>
      <c r="DY4" s="1376"/>
      <c r="DZ4" s="1376"/>
      <c r="EA4" s="1376"/>
      <c r="EB4" s="1376"/>
      <c r="EC4" s="1376"/>
      <c r="ED4" s="1376"/>
      <c r="EE4" s="1376"/>
      <c r="EF4" s="1376"/>
      <c r="EG4" s="1376"/>
      <c r="EH4" s="1376"/>
      <c r="EI4" s="1376"/>
      <c r="EJ4" s="1376"/>
      <c r="EK4" s="1376"/>
      <c r="EL4" s="1376"/>
      <c r="EM4" s="1376"/>
      <c r="EN4" s="1376"/>
      <c r="EO4" s="1376"/>
      <c r="EP4" s="1376"/>
      <c r="EQ4" s="1376"/>
      <c r="ER4" s="1377"/>
      <c r="ES4" s="1262" t="s">
        <v>195</v>
      </c>
      <c r="ET4" s="1263"/>
      <c r="EU4" s="1263"/>
      <c r="EV4" s="1263"/>
      <c r="EW4" s="1263"/>
      <c r="EX4" s="1263"/>
      <c r="EY4" s="1264"/>
      <c r="EZ4" s="1288" t="s">
        <v>200</v>
      </c>
      <c r="FA4" s="1289"/>
      <c r="FB4" s="1289"/>
      <c r="FC4" s="1289"/>
      <c r="FD4" s="1289"/>
      <c r="FE4" s="1289"/>
      <c r="FF4" s="1290"/>
      <c r="FG4" s="325"/>
      <c r="FP4" s="1335" t="s">
        <v>228</v>
      </c>
      <c r="FZ4" s="13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8" t="s">
        <v>235</v>
      </c>
      <c r="GK4" s="1009"/>
      <c r="GL4" s="1009"/>
      <c r="GM4" s="1009"/>
      <c r="GN4" s="1315"/>
      <c r="GO4" s="1317" t="s">
        <v>228</v>
      </c>
      <c r="GP4" s="1321" t="s">
        <v>227</v>
      </c>
      <c r="GR4" s="1326" t="s">
        <v>257</v>
      </c>
      <c r="GS4" s="1079" t="s">
        <v>255</v>
      </c>
      <c r="GT4" s="999"/>
      <c r="GU4" s="999"/>
      <c r="GV4" s="999"/>
      <c r="GW4" s="999"/>
      <c r="GX4" s="999"/>
      <c r="GY4" s="999"/>
      <c r="GZ4" s="999"/>
      <c r="HA4" s="1278" t="str">
        <f>IFERROR(CONCATENATE("Lateral Forces = ",ROUND(HE3,0)," lbs @ ",ROUND(HF3,1),"° Relative to Blade 1"),"")</f>
        <v/>
      </c>
      <c r="HB4" s="1279"/>
      <c r="HC4" s="1279"/>
      <c r="HD4" s="1279"/>
      <c r="HE4" s="1279"/>
      <c r="HF4" s="1279"/>
      <c r="HG4" s="1279"/>
      <c r="HH4" s="1280"/>
      <c r="HI4" s="1283" t="s">
        <v>0</v>
      </c>
      <c r="HV4" s="861"/>
      <c r="HW4" s="1354" t="e">
        <f>CONCATENATE("Yeield Strength of Rock = ",IF(HW6&gt;1000,(ROUNDDOWN(HW6,-3)/1000),""), IF(HW6&gt;1000,",",""),RIGHT(HW6,3)," psi (Tangential Force)")</f>
        <v>#DIV/0!</v>
      </c>
      <c r="HX4" s="1354"/>
      <c r="HY4" s="1354"/>
      <c r="HZ4" s="1354"/>
      <c r="IA4" s="1354"/>
      <c r="IB4" s="1354"/>
      <c r="IC4" s="1354"/>
      <c r="ID4" s="1354"/>
      <c r="IE4" s="1354"/>
      <c r="IF4" s="858"/>
      <c r="IG4" s="1005" t="s">
        <v>372</v>
      </c>
      <c r="IH4" s="1005"/>
      <c r="II4" s="710" cm="1">
        <f t="array" ref="II4">MAX(MOD(IF($II$9:$II$150="",0,($II$9:$II$150*1000)),100))</f>
        <v>46</v>
      </c>
      <c r="IN4" s="31"/>
      <c r="IO4" s="710"/>
    </row>
    <row r="5" spans="1:296" ht="15" customHeight="1" thickBot="1" x14ac:dyDescent="0.3">
      <c r="A5" s="139">
        <v>0.02</v>
      </c>
      <c r="B5" s="1141" t="str">
        <f>CONCATENATE(B7," ; ",E7," ; ",H7)</f>
        <v>Absolute-Point ; Incremental-Vector Point ; Pocket Info.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150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about Z Axis")</f>
        <v>Relative to 1.113's θ about Z Axis</v>
      </c>
      <c r="U5" s="1104"/>
      <c r="V5" s="1179"/>
      <c r="W5" s="1104" t="str">
        <f>CONCATENATE("Relative to ",M8,"'s θ about Z Axis")</f>
        <v>Relative to 1.113's θ about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0.25</v>
      </c>
      <c r="AT5" s="413" t="s">
        <v>47</v>
      </c>
      <c r="AV5" s="1114"/>
      <c r="AW5" s="1219"/>
      <c r="AX5" s="1220"/>
      <c r="AY5" s="1221"/>
      <c r="AZ5" s="1206"/>
      <c r="BA5" s="980"/>
      <c r="BB5" s="1210"/>
      <c r="BC5" s="1215" t="str">
        <f>$W$5</f>
        <v>Relative to 1.113's θ about Z Axis</v>
      </c>
      <c r="BD5" s="1104"/>
      <c r="BE5" s="1105"/>
      <c r="BF5" s="1079" t="s">
        <v>128</v>
      </c>
      <c r="BG5" s="999"/>
      <c r="BH5" s="999"/>
      <c r="BI5" s="999"/>
      <c r="BJ5" s="999"/>
      <c r="BK5" s="999"/>
      <c r="BL5" s="999"/>
      <c r="BM5" s="999"/>
      <c r="BN5" s="999"/>
      <c r="BO5" s="999"/>
      <c r="BP5" s="999"/>
      <c r="BQ5" s="999"/>
      <c r="BR5" s="1021"/>
      <c r="BS5" s="1079" t="s">
        <v>130</v>
      </c>
      <c r="BT5" s="999"/>
      <c r="BU5" s="999"/>
      <c r="BV5" s="999"/>
      <c r="BW5" s="999"/>
      <c r="BX5" s="999"/>
      <c r="BY5" s="999"/>
      <c r="BZ5" s="999"/>
      <c r="CA5" s="999"/>
      <c r="CB5" s="999"/>
      <c r="CC5" s="999"/>
      <c r="CD5" s="999"/>
      <c r="CE5" s="1021"/>
      <c r="CF5" s="1079" t="s">
        <v>138</v>
      </c>
      <c r="CG5" s="999"/>
      <c r="CH5" s="1021"/>
      <c r="CI5" s="1079" t="s">
        <v>139</v>
      </c>
      <c r="CJ5" s="999"/>
      <c r="CK5" s="999"/>
      <c r="CL5" s="999"/>
      <c r="CM5" s="999"/>
      <c r="CN5" s="1021"/>
      <c r="CO5" s="1198" t="s">
        <v>266</v>
      </c>
      <c r="CP5" s="1198" t="s">
        <v>149</v>
      </c>
      <c r="CQ5" s="1200"/>
      <c r="CR5" s="1200"/>
      <c r="CS5" s="1080"/>
      <c r="CT5" s="1200" t="s">
        <v>150</v>
      </c>
      <c r="CU5" s="990"/>
      <c r="CV5" s="1079" t="s">
        <v>161</v>
      </c>
      <c r="CW5" s="999"/>
      <c r="CX5" s="999"/>
      <c r="CY5" s="999"/>
      <c r="CZ5" s="999"/>
      <c r="DA5" s="1021"/>
      <c r="DB5" s="1079" t="s">
        <v>162</v>
      </c>
      <c r="DC5" s="999"/>
      <c r="DD5" s="999"/>
      <c r="DE5" s="999"/>
      <c r="DF5" s="999"/>
      <c r="DG5" s="999"/>
      <c r="DH5" s="1021"/>
      <c r="DI5" s="1234" t="s">
        <v>172</v>
      </c>
      <c r="DJ5" s="1234"/>
      <c r="DK5" s="1235"/>
      <c r="DL5" s="1359" t="s">
        <v>173</v>
      </c>
      <c r="DM5" s="1234"/>
      <c r="DN5" s="1360"/>
      <c r="DO5" s="1238" t="s">
        <v>174</v>
      </c>
      <c r="DP5" s="1239"/>
      <c r="DQ5" s="1239"/>
      <c r="DR5" s="1180" t="s">
        <v>186</v>
      </c>
      <c r="DS5" s="1180"/>
      <c r="DT5" s="1180"/>
      <c r="DU5" s="1180"/>
      <c r="DV5" s="1180"/>
      <c r="DW5" s="1180"/>
      <c r="DX5" s="1198" t="s">
        <v>189</v>
      </c>
      <c r="DY5" s="1041" t="s">
        <v>149</v>
      </c>
      <c r="DZ5" s="1180"/>
      <c r="EA5" s="1180"/>
      <c r="EB5" s="1180"/>
      <c r="EC5" s="1180" t="s">
        <v>150</v>
      </c>
      <c r="ED5" s="1180"/>
      <c r="EE5" s="1326" t="s">
        <v>193</v>
      </c>
      <c r="EF5" s="1326"/>
      <c r="EG5" s="1304"/>
      <c r="EH5" s="1363" t="s">
        <v>194</v>
      </c>
      <c r="EI5" s="1364"/>
      <c r="EJ5" s="1365"/>
      <c r="EK5" s="1180" t="s">
        <v>187</v>
      </c>
      <c r="EL5" s="1198"/>
      <c r="EM5" s="1079" t="s">
        <v>188</v>
      </c>
      <c r="EN5" s="999"/>
      <c r="EO5" s="999"/>
      <c r="EP5" s="999"/>
      <c r="EQ5" s="999"/>
      <c r="ER5" s="1226"/>
      <c r="ES5" s="1218" t="s">
        <v>201</v>
      </c>
      <c r="ET5" s="1200"/>
      <c r="EU5" s="1080"/>
      <c r="EV5" s="1265" t="s">
        <v>221</v>
      </c>
      <c r="EW5" s="1266"/>
      <c r="EX5" s="1266"/>
      <c r="EY5" s="1267"/>
      <c r="EZ5" s="1246" t="s">
        <v>199</v>
      </c>
      <c r="FA5" s="1075" t="s">
        <v>201</v>
      </c>
      <c r="FB5" s="1297"/>
      <c r="FC5" s="1076"/>
      <c r="FD5" s="1301" t="s">
        <v>221</v>
      </c>
      <c r="FE5" s="1302"/>
      <c r="FF5" s="1303"/>
      <c r="FJ5" s="31" t="s">
        <v>390</v>
      </c>
      <c r="FP5" s="1336"/>
      <c r="FQ5" s="31"/>
      <c r="FR5" s="31"/>
      <c r="FS5" s="31"/>
      <c r="FT5" s="31"/>
      <c r="FZ5" s="1336"/>
      <c r="GJ5" s="1313" t="s">
        <v>262</v>
      </c>
      <c r="GK5" s="1369" t="s">
        <v>260</v>
      </c>
      <c r="GL5" s="1371" t="s">
        <v>110</v>
      </c>
      <c r="GM5" s="1371" t="s">
        <v>111</v>
      </c>
      <c r="GN5" s="1372"/>
      <c r="GO5" s="1318"/>
      <c r="GP5" s="1322"/>
      <c r="GQ5" s="31"/>
      <c r="GR5" s="1098"/>
      <c r="GS5" s="1206" t="s">
        <v>244</v>
      </c>
      <c r="GT5" s="1332"/>
      <c r="GU5" s="1328" t="s">
        <v>245</v>
      </c>
      <c r="GV5" s="1329"/>
      <c r="GW5" s="1330"/>
      <c r="GX5" s="1331"/>
      <c r="GY5" s="1316" t="s">
        <v>107</v>
      </c>
      <c r="GZ5" s="982"/>
      <c r="HA5" s="1275" t="s">
        <v>244</v>
      </c>
      <c r="HB5" s="1276"/>
      <c r="HC5" s="1276"/>
      <c r="HD5" s="1277"/>
      <c r="HE5" s="1286" t="s">
        <v>245</v>
      </c>
      <c r="HF5" s="1276"/>
      <c r="HG5" s="1276"/>
      <c r="HH5" s="1287"/>
      <c r="HI5" s="1284"/>
      <c r="HM5" s="909"/>
      <c r="HS5" s="909"/>
      <c r="HT5" s="909"/>
      <c r="HU5" s="909"/>
      <c r="HV5" s="910"/>
      <c r="HW5" s="1272" t="s">
        <v>245</v>
      </c>
      <c r="HX5" s="1273"/>
      <c r="HY5" s="1271" t="s">
        <v>388</v>
      </c>
      <c r="HZ5" s="1272"/>
      <c r="IA5" s="1272"/>
      <c r="IB5" s="1273"/>
      <c r="IC5" s="1271" t="s">
        <v>254</v>
      </c>
      <c r="ID5" s="1272"/>
      <c r="IE5" s="1273"/>
      <c r="IF5" s="858"/>
    </row>
    <row r="6" spans="1:296" ht="15" customHeight="1" thickBot="1" x14ac:dyDescent="0.4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150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$Q$6</f>
        <v>Projected XY</v>
      </c>
      <c r="X6" s="1158"/>
      <c r="Y6" s="1129" t="str">
        <f>$S$6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82" t="str">
        <f>AD6</f>
        <v>Unit Vector</v>
      </c>
      <c r="AL6" s="1183"/>
      <c r="AM6" s="1184"/>
      <c r="AN6" s="34" t="s">
        <v>15</v>
      </c>
      <c r="AO6" s="35" t="s">
        <v>16</v>
      </c>
      <c r="AP6" s="680" t="s">
        <v>17</v>
      </c>
      <c r="AQ6" s="1121" t="s">
        <v>108</v>
      </c>
      <c r="AS6" s="168">
        <f>(AS5/360)</f>
        <v>6.9444444444444447E-4</v>
      </c>
      <c r="AT6" s="414" t="s">
        <v>48</v>
      </c>
      <c r="AV6" s="1114"/>
      <c r="AW6" s="1101" t="s">
        <v>105</v>
      </c>
      <c r="AX6" s="1102"/>
      <c r="AY6" s="188" t="s">
        <v>110</v>
      </c>
      <c r="AZ6" s="1216" t="s">
        <v>111</v>
      </c>
      <c r="BA6" s="1217"/>
      <c r="BB6" s="1211"/>
      <c r="BC6" s="1157" t="str">
        <f>$Q$6</f>
        <v>Projected XY</v>
      </c>
      <c r="BD6" s="1158"/>
      <c r="BE6" s="1213" t="str">
        <f>$S$6</f>
        <v>Z</v>
      </c>
      <c r="BF6" s="1025" t="s">
        <v>125</v>
      </c>
      <c r="BG6" s="1023"/>
      <c r="BH6" s="1225"/>
      <c r="BI6" s="1003" t="s">
        <v>126</v>
      </c>
      <c r="BJ6" s="1023"/>
      <c r="BK6" s="1004"/>
      <c r="BL6" s="1026" t="s">
        <v>127</v>
      </c>
      <c r="BM6" s="1023"/>
      <c r="BN6" s="1027"/>
      <c r="BO6" s="1025" t="s">
        <v>135</v>
      </c>
      <c r="BP6" s="1023"/>
      <c r="BQ6" s="1023"/>
      <c r="BR6" s="1027"/>
      <c r="BS6" s="1025" t="s">
        <v>125</v>
      </c>
      <c r="BT6" s="1023"/>
      <c r="BU6" s="1225"/>
      <c r="BV6" s="1003" t="s">
        <v>126</v>
      </c>
      <c r="BW6" s="1023"/>
      <c r="BX6" s="1004"/>
      <c r="BY6" s="1026" t="s">
        <v>127</v>
      </c>
      <c r="BZ6" s="1023"/>
      <c r="CA6" s="1027"/>
      <c r="CB6" s="1025" t="s">
        <v>135</v>
      </c>
      <c r="CC6" s="1023"/>
      <c r="CD6" s="1023"/>
      <c r="CE6" s="1027"/>
      <c r="CF6" s="1031" t="s">
        <v>136</v>
      </c>
      <c r="CG6" s="1203"/>
      <c r="CH6" s="1203"/>
      <c r="CI6" s="1229" t="s">
        <v>137</v>
      </c>
      <c r="CJ6" s="1203"/>
      <c r="CK6" s="1032"/>
      <c r="CL6" s="1227" t="s">
        <v>140</v>
      </c>
      <c r="CM6" s="1203"/>
      <c r="CN6" s="1228"/>
      <c r="CO6" s="1199"/>
      <c r="CP6" s="1199"/>
      <c r="CQ6" s="1095"/>
      <c r="CR6" s="1095"/>
      <c r="CS6" s="1201"/>
      <c r="CT6" s="1095"/>
      <c r="CU6" s="1202"/>
      <c r="CV6" s="1173" t="s">
        <v>147</v>
      </c>
      <c r="CW6" s="1023"/>
      <c r="CX6" s="1004"/>
      <c r="CY6" s="1253" t="s">
        <v>148</v>
      </c>
      <c r="CZ6" s="1254"/>
      <c r="DA6" s="1255"/>
      <c r="DB6" s="1230" t="s">
        <v>175</v>
      </c>
      <c r="DC6" s="1231"/>
      <c r="DD6" s="1232"/>
      <c r="DE6" s="1233" t="s">
        <v>176</v>
      </c>
      <c r="DF6" s="1231"/>
      <c r="DG6" s="1232"/>
      <c r="DH6" s="242" t="s">
        <v>29</v>
      </c>
      <c r="DI6" s="1236"/>
      <c r="DJ6" s="1236"/>
      <c r="DK6" s="1237"/>
      <c r="DL6" s="1361"/>
      <c r="DM6" s="1236"/>
      <c r="DN6" s="1362"/>
      <c r="DO6" s="1240"/>
      <c r="DP6" s="1241"/>
      <c r="DQ6" s="1241"/>
      <c r="DR6" s="1181"/>
      <c r="DS6" s="1181"/>
      <c r="DT6" s="1181"/>
      <c r="DU6" s="1181"/>
      <c r="DV6" s="1181"/>
      <c r="DW6" s="1181"/>
      <c r="DX6" s="1199"/>
      <c r="DY6" s="1337"/>
      <c r="DZ6" s="1181"/>
      <c r="EA6" s="1181"/>
      <c r="EB6" s="1181"/>
      <c r="EC6" s="1181"/>
      <c r="ED6" s="1181"/>
      <c r="EE6" s="1333"/>
      <c r="EF6" s="1333"/>
      <c r="EG6" s="1334"/>
      <c r="EH6" s="1366"/>
      <c r="EI6" s="1367"/>
      <c r="EJ6" s="1368"/>
      <c r="EK6" s="1181"/>
      <c r="EL6" s="1199"/>
      <c r="EM6" s="1292" t="s">
        <v>198</v>
      </c>
      <c r="EN6" s="1259"/>
      <c r="EO6" s="1358"/>
      <c r="EP6" s="1258" t="s">
        <v>197</v>
      </c>
      <c r="EQ6" s="1259"/>
      <c r="ER6" s="1260"/>
      <c r="ES6" s="1094"/>
      <c r="ET6" s="1095"/>
      <c r="EU6" s="1201"/>
      <c r="EV6" s="263" t="s">
        <v>220</v>
      </c>
      <c r="EW6" s="1258" t="s">
        <v>201</v>
      </c>
      <c r="EX6" s="1259"/>
      <c r="EY6" s="1291"/>
      <c r="EZ6" s="1247"/>
      <c r="FA6" s="1298"/>
      <c r="FB6" s="1299"/>
      <c r="FC6" s="1300"/>
      <c r="FD6" s="1292" t="s">
        <v>201</v>
      </c>
      <c r="FE6" s="1259"/>
      <c r="FF6" s="1260"/>
      <c r="FG6" s="1294" t="s">
        <v>223</v>
      </c>
      <c r="FH6" s="1295"/>
      <c r="FI6" s="1296"/>
      <c r="FJ6" s="1180" t="s">
        <v>202</v>
      </c>
      <c r="FK6" s="1198" t="s">
        <v>213</v>
      </c>
      <c r="FL6" s="1200"/>
      <c r="FM6" s="1080"/>
      <c r="FN6" s="1256" t="s">
        <v>203</v>
      </c>
      <c r="FO6" s="1249" t="s">
        <v>226</v>
      </c>
      <c r="FP6" s="1251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77" t="s">
        <v>217</v>
      </c>
      <c r="FV6" s="1297"/>
      <c r="FW6" s="1078"/>
      <c r="FX6" s="1256" t="s">
        <v>218</v>
      </c>
      <c r="FY6" s="1249" t="s">
        <v>226</v>
      </c>
      <c r="FZ6" s="1251" t="s">
        <v>224</v>
      </c>
      <c r="GA6" s="1381" t="s">
        <v>237</v>
      </c>
      <c r="GB6" s="318" t="s">
        <v>206</v>
      </c>
      <c r="GC6" s="319" t="s">
        <v>238</v>
      </c>
      <c r="GD6" s="320" t="s">
        <v>225</v>
      </c>
      <c r="GE6" s="1311"/>
      <c r="GF6" s="1304" t="s">
        <v>256</v>
      </c>
      <c r="GG6" s="318" t="s">
        <v>206</v>
      </c>
      <c r="GH6" s="319" t="s">
        <v>238</v>
      </c>
      <c r="GI6" s="320" t="s">
        <v>225</v>
      </c>
      <c r="GJ6" s="1314"/>
      <c r="GK6" s="1370"/>
      <c r="GL6" s="1373"/>
      <c r="GM6" s="1373"/>
      <c r="GN6" s="1374"/>
      <c r="GO6" s="1319" t="s">
        <v>236</v>
      </c>
      <c r="GP6" s="1323" t="s">
        <v>224</v>
      </c>
      <c r="GQ6" s="1200" t="s">
        <v>202</v>
      </c>
      <c r="GR6" s="1098"/>
      <c r="GS6" s="1281" t="s">
        <v>248</v>
      </c>
      <c r="GT6" s="1282"/>
      <c r="GU6" s="1274" t="s">
        <v>247</v>
      </c>
      <c r="GV6" s="1254"/>
      <c r="GW6" s="1254"/>
      <c r="GX6" s="340" t="s">
        <v>106</v>
      </c>
      <c r="GY6" s="1003" t="s">
        <v>246</v>
      </c>
      <c r="GZ6" s="1225"/>
      <c r="HA6" s="1261" t="s">
        <v>248</v>
      </c>
      <c r="HB6" s="1231"/>
      <c r="HC6" s="1231"/>
      <c r="HD6" s="1232"/>
      <c r="HE6" s="1003" t="s">
        <v>247</v>
      </c>
      <c r="HF6" s="1023"/>
      <c r="HG6" s="1023"/>
      <c r="HH6" s="1027"/>
      <c r="HI6" s="1284"/>
      <c r="HM6" s="915" t="s">
        <v>392</v>
      </c>
      <c r="HN6" s="1244" t="s">
        <v>393</v>
      </c>
      <c r="HO6" s="1244"/>
      <c r="HP6" s="1244"/>
      <c r="HQ6" s="1244"/>
      <c r="HR6" s="1245"/>
      <c r="HS6" s="1219" t="s">
        <v>105</v>
      </c>
      <c r="HT6" s="1220"/>
      <c r="HU6" s="1220"/>
      <c r="HV6" s="1355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161" t="s">
        <v>40</v>
      </c>
      <c r="C7" s="1162"/>
      <c r="D7" s="1163"/>
      <c r="E7" s="1164" t="s">
        <v>41</v>
      </c>
      <c r="F7" s="1162"/>
      <c r="G7" s="1165"/>
      <c r="H7" s="1136" t="s">
        <v>98</v>
      </c>
      <c r="I7" s="1137"/>
      <c r="J7" s="1138"/>
      <c r="K7" s="169"/>
      <c r="L7" s="1098"/>
      <c r="M7" s="1156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$Q$7</f>
        <v>&lt; θ°</v>
      </c>
      <c r="X7" s="27" t="str">
        <f>$R$7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22"/>
      <c r="AS7" s="1127" t="s">
        <v>54</v>
      </c>
      <c r="AT7" s="1125" t="s">
        <v>53</v>
      </c>
      <c r="AV7" s="111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11"/>
      <c r="BC7" s="37" t="str">
        <f>$Q$7</f>
        <v>&lt; θ°</v>
      </c>
      <c r="BD7" s="27" t="str">
        <f>$R$7</f>
        <v>r</v>
      </c>
      <c r="BE7" s="1214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93"/>
      <c r="FK7" s="358" t="s">
        <v>210</v>
      </c>
      <c r="FL7" s="361" t="s">
        <v>211</v>
      </c>
      <c r="FM7" s="907" t="s">
        <v>212</v>
      </c>
      <c r="FN7" s="1257"/>
      <c r="FO7" s="1250"/>
      <c r="FP7" s="1252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57"/>
      <c r="FY7" s="1250"/>
      <c r="FZ7" s="1252"/>
      <c r="GA7" s="1382"/>
      <c r="GB7" s="212" t="s">
        <v>231</v>
      </c>
      <c r="GC7" s="127" t="s">
        <v>232</v>
      </c>
      <c r="GD7" s="213" t="s">
        <v>233</v>
      </c>
      <c r="GE7" s="1312"/>
      <c r="GF7" s="130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20"/>
      <c r="GP7" s="1324"/>
      <c r="GQ7" s="1325"/>
      <c r="GR7" s="132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8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42" t="s">
        <v>394</v>
      </c>
      <c r="HP7" s="1243"/>
      <c r="HQ7" s="1302" t="s">
        <v>390</v>
      </c>
      <c r="HR7" s="1303"/>
      <c r="HS7" s="897" t="s">
        <v>29</v>
      </c>
      <c r="HT7" s="898" t="s">
        <v>110</v>
      </c>
      <c r="HU7" s="1356" t="s">
        <v>391</v>
      </c>
      <c r="HV7" s="1357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29" t="s">
        <v>33</v>
      </c>
      <c r="IJ7" s="1268" t="s">
        <v>376</v>
      </c>
      <c r="IK7" s="1025" t="s">
        <v>324</v>
      </c>
      <c r="IL7" s="1026"/>
      <c r="IM7" s="1026"/>
      <c r="IN7" s="1023"/>
      <c r="IO7" s="1023"/>
      <c r="IP7" s="1023"/>
      <c r="IQ7" s="1004"/>
      <c r="IR7" s="1003" t="s">
        <v>320</v>
      </c>
      <c r="IS7" s="1023"/>
      <c r="IT7" s="1023"/>
      <c r="IU7" s="1023"/>
      <c r="IV7" s="1023"/>
      <c r="IW7" s="1003" t="s">
        <v>319</v>
      </c>
      <c r="IX7" s="1023"/>
      <c r="IY7" s="1023"/>
      <c r="IZ7" s="1023"/>
      <c r="JA7" s="1004"/>
      <c r="JC7" s="725"/>
      <c r="JD7" s="1087" t="s">
        <v>355</v>
      </c>
      <c r="JE7" s="1087"/>
      <c r="JF7" s="1087"/>
      <c r="JG7" s="1088"/>
      <c r="JH7" s="786"/>
      <c r="JI7" s="786"/>
      <c r="JY7">
        <v>14.75</v>
      </c>
    </row>
    <row r="8" spans="1:296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98"/>
      <c r="M8" s="411" cm="1">
        <f t="array" ref="M8">IF(AND(ISNUMBER('SN#.Run#'!$P$1),COUNT($M$9:$M$150)&gt;='SN#.Run#'!$P$1),INDEX($M$9:$M$150,'SN#.Run#'!$P$1),"")</f>
        <v>1.113</v>
      </c>
      <c r="N8" s="551"/>
      <c r="O8" s="552"/>
      <c r="P8" s="562"/>
      <c r="Q8" s="554">
        <f>IFERROR(INDEX(Q$9:Q$150,MATCH($M$8,$M$9:$M$150,0)),"")</f>
        <v>90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-0.37420112859060395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28"/>
      <c r="AT8" s="1126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70"/>
      <c r="IJ8" s="126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0.34320103509432193</v>
      </c>
      <c r="D9" s="642">
        <f t="shared" si="2"/>
        <v>-1.1530034774584881</v>
      </c>
      <c r="E9" s="643">
        <f t="shared" ref="E9:K9" si="3">R164</f>
        <v>-0.92387955420894774</v>
      </c>
      <c r="F9" s="641">
        <f t="shared" si="3"/>
        <v>-5.9864861255108169E-2</v>
      </c>
      <c r="G9" s="644">
        <f t="shared" si="3"/>
        <v>0.3779719139057594</v>
      </c>
      <c r="H9" s="643">
        <f t="shared" si="3"/>
        <v>0.3125</v>
      </c>
      <c r="I9" s="641">
        <f t="shared" si="3"/>
        <v>0.52</v>
      </c>
      <c r="J9" s="940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0.34320103509432193</v>
      </c>
      <c r="P9" s="568">
        <f t="shared" ref="P9:P40" si="7">IF(M9="","",D9)</f>
        <v>-1.1530034774584881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0.34320103509432193</v>
      </c>
      <c r="S9" s="569">
        <f>IF(M9="","",P9)</f>
        <v>-1.1530034774584881</v>
      </c>
      <c r="T9" s="570">
        <f>IF(M9="","",X9*COS(RADIANS(W9)))</f>
        <v>0.34320103509432193</v>
      </c>
      <c r="U9" s="567">
        <f>IF(M9="","",X9*SIN(RADIANS(W9)))</f>
        <v>0</v>
      </c>
      <c r="V9" s="571">
        <f>IF(M9="","",Y9)</f>
        <v>-1.1530034774584881</v>
      </c>
      <c r="W9" s="526">
        <f t="shared" ref="W9:W14" si="8">IF(M9="","",IF(Q9-$Q$8&lt;0,360+Q9-$Q$8,Q9-$Q$8))</f>
        <v>0</v>
      </c>
      <c r="X9" s="572">
        <f>IF(M9="","",R9)</f>
        <v>0.34320103509432193</v>
      </c>
      <c r="Y9" s="573">
        <f t="shared" ref="Y9:Y15" si="9">IF(M9="","",S9)</f>
        <v>-1.1530034774584881</v>
      </c>
      <c r="Z9" s="566">
        <f t="shared" ref="Z9:Z40" si="10">IF(M9="","",-E9)</f>
        <v>0.92387955420894774</v>
      </c>
      <c r="AA9" s="567">
        <f t="shared" ref="AA9:AA40" si="11">IF(M9="","",-F9)</f>
        <v>5.9864861255108169E-2</v>
      </c>
      <c r="AB9" s="567">
        <f t="shared" ref="AB9:AB40" si="12">IF(M9="","",-G9)</f>
        <v>-0.3779719139057594</v>
      </c>
      <c r="AC9" s="571">
        <f>IF(M9="","",SQRT(Z9^2+AA9^2+AB9^2))</f>
        <v>1</v>
      </c>
      <c r="AD9" s="574">
        <f>IF(M9="","",Z9*(1/SQRT(Z9^2+AA9^2+AB9^2)))</f>
        <v>0.92387955420894774</v>
      </c>
      <c r="AE9" s="567">
        <f>IF(M9="","",AA9*(1/SQRT(Z9^2+AA9^2+AB9^2)))</f>
        <v>5.9864861255108169E-2</v>
      </c>
      <c r="AF9" s="568">
        <f>IF(M9="","",AB9*(1/SQRT(Z9^2+AA9^2+AB9^2)))</f>
        <v>-0.3779719139057594</v>
      </c>
      <c r="AG9" s="542">
        <f>IF(M9="","",DEGREES(ATAN2(-AF9,AE9)))</f>
        <v>8.9999987005609672</v>
      </c>
      <c r="AH9" s="543">
        <f>IF(M9="","",DEGREES(ACOS(AD9)))</f>
        <v>22.499996751402389</v>
      </c>
      <c r="AI9" s="526">
        <f>IF(M9="","",DEGREES(-ACOS(-AF9)))</f>
        <v>-67.791885209493017</v>
      </c>
      <c r="AJ9" s="544">
        <f>IF(M9="","",DEGREES(ATAN2(-AE9,AD9)))</f>
        <v>93.70742639699148</v>
      </c>
      <c r="AK9" s="570">
        <f>IF(M9="","",(COS(RADIANS((90-$Q$8)-W9))*AD9)+(-SIN(RADIANS((90-$Q$8)-W9))*AE9))</f>
        <v>0.92387955420894774</v>
      </c>
      <c r="AL9" s="567">
        <f>IF(M9="","",(SIN(RADIANS((90-$Q$8)-W9))*AD9)+(COS(RADIANS((90-$Q$8)-W9))*AE9))</f>
        <v>5.9864861255108169E-2</v>
      </c>
      <c r="AM9" s="569">
        <f>IF(M9="","",AF9)</f>
        <v>-0.3779719139057594</v>
      </c>
      <c r="AN9" s="524">
        <f>IF(M9="","",DEGREES(ATAN2(-AM9,AL9)))</f>
        <v>8.9999987005609672</v>
      </c>
      <c r="AO9" s="525">
        <f>IF(ROUND(IF(M9="",0,DEGREES(ACOS(AK9))),4)=90,0,IF(M9="","",DEGREES(ACOS(AK9))))</f>
        <v>22.499996751402389</v>
      </c>
      <c r="AP9" s="722">
        <f>IF(M9="","",DEGREES(ATAN2(AK9,AL9)))</f>
        <v>3.707426396991484</v>
      </c>
      <c r="AQ9" s="527">
        <f t="shared" ref="AQ9:AQ40" si="13">IF(M9="","",DEGREES(ATAN(($AS$5*SIN(RADIANS(90)))/(($X9*2*PI())-($AS$5*COS(RADIANS(90)))))))</f>
        <v>6.613017588928467</v>
      </c>
      <c r="AR9" s="979"/>
      <c r="AS9" s="953">
        <f>IF(M9="","",W9)</f>
        <v>0</v>
      </c>
      <c r="AT9" s="949">
        <f t="shared" ref="AT9:AT40" si="14">IF(M9="","",Y9+(((AS9-$AS$9)*$AS$6)*-1))</f>
        <v>-1.1530034774584881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1613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81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0.34320103509432193</v>
      </c>
      <c r="JP9" s="961">
        <f>AN9</f>
        <v>8.9999987005609672</v>
      </c>
      <c r="JQ9" s="961">
        <f>AO9</f>
        <v>22.499996751402389</v>
      </c>
      <c r="JS9" s="82" cm="1">
        <f t="array" ref="JS9:JS50">_xlfn.UNIQUE(_xlfn.SORTBY(JM$9:JM$88,$JM$9:$JM$88))</f>
        <v>1</v>
      </c>
      <c r="JT9" s="322">
        <f>INDEX($JM$9:$JQ$88,MATCH($JS9,$JM$9:$JM$88,0),3)</f>
        <v>0.34320103509432193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22.499996751402389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</v>
      </c>
      <c r="B10" s="578">
        <f>IFERROR(O165+($A10*-E10),"")</f>
        <v>-3.414809992080329E-17</v>
      </c>
      <c r="C10" s="572">
        <f>IFERROR(P165+($A10*-F10),"")</f>
        <v>1.090103287751516</v>
      </c>
      <c r="D10" s="576">
        <f>IFERROR(Q165+($A10*-G10),"")</f>
        <v>-0.97110292884643346</v>
      </c>
      <c r="E10" s="580">
        <f t="shared" ref="E10:K10" si="93">R165</f>
        <v>-0.96126170705176617</v>
      </c>
      <c r="F10" s="572">
        <f t="shared" si="93"/>
        <v>-1.4425740483648621E-2</v>
      </c>
      <c r="G10" s="579">
        <f t="shared" si="93"/>
        <v>0.27525956580548266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-3.414809992080329E-17</v>
      </c>
      <c r="O10" s="572">
        <f t="shared" si="6"/>
        <v>1.090103287751516</v>
      </c>
      <c r="P10" s="576">
        <f t="shared" si="7"/>
        <v>-0.97110292884643346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95">IF(M10="","",SQRT(N10^2+O10^2))</f>
        <v>1.090103287751516</v>
      </c>
      <c r="S10" s="577">
        <f t="shared" ref="S10:S105" si="96">IF(M10="","",P10)</f>
        <v>-0.97110292884643346</v>
      </c>
      <c r="T10" s="578">
        <f t="shared" ref="T10:T105" si="97">IF(M10="","",X10*COS(RADIANS(W10)))</f>
        <v>1.090103287751516</v>
      </c>
      <c r="U10" s="572">
        <f t="shared" ref="U10:U105" si="98">IF(M10="","",X10*SIN(RADIANS(W10)))</f>
        <v>0</v>
      </c>
      <c r="V10" s="579">
        <f>IF(M10="","",Y10)</f>
        <v>-0.97110292884643346</v>
      </c>
      <c r="W10" s="528">
        <f t="shared" si="8"/>
        <v>0</v>
      </c>
      <c r="X10" s="572">
        <f t="shared" ref="X10:X105" si="99">IF(M10="","",R10)</f>
        <v>1.090103287751516</v>
      </c>
      <c r="Y10" s="573">
        <f t="shared" si="9"/>
        <v>-0.97110292884643346</v>
      </c>
      <c r="Z10" s="575">
        <f>IF(M10="","",-E10)</f>
        <v>0.96126170705176617</v>
      </c>
      <c r="AA10" s="572">
        <f t="shared" si="11"/>
        <v>1.4425740483648621E-2</v>
      </c>
      <c r="AB10" s="572">
        <f t="shared" si="12"/>
        <v>-0.27525956580548266</v>
      </c>
      <c r="AC10" s="579">
        <f t="shared" ref="AC10:AC105" si="100">IF(M10="","",SQRT(Z10^2+AA10^2+AB10^2))</f>
        <v>1</v>
      </c>
      <c r="AD10" s="580">
        <f>IF(M10="","",Z10*(1/SQRT(Z10^2+AA10^2+AB10^2)))</f>
        <v>0.96126170705176617</v>
      </c>
      <c r="AE10" s="572">
        <f t="shared" ref="AE10:AE105" si="101">IF(M10="","",AA10*(1/SQRT(Z10^2+AA10^2+AB10^2)))</f>
        <v>1.4425740483648621E-2</v>
      </c>
      <c r="AF10" s="576">
        <f t="shared" ref="AF10:AF105" si="102">IF(M10="","",AB10*(1/SQRT(Z10^2+AA10^2+AB10^2)))</f>
        <v>-0.27525956580548266</v>
      </c>
      <c r="AG10" s="545">
        <f t="shared" ref="AG10:AG105" si="103">IF(M10="","",DEGREES(ATAN2(-AF10,AE10)))</f>
        <v>2.9999995668536563</v>
      </c>
      <c r="AH10" s="546">
        <f t="shared" ref="AH10:AH105" si="104">IF(M10="","",DEGREES(ACOS(AD10)))</f>
        <v>15.99999768988615</v>
      </c>
      <c r="AI10" s="528">
        <f t="shared" ref="AI10:AI105" si="105">IF(M10="","",DEGREES(-ACOS(-AF10)))</f>
        <v>-74.022516817533798</v>
      </c>
      <c r="AJ10" s="529">
        <f t="shared" ref="AJ10:AJ105" si="106">IF(M10="","",DEGREES(ATAN2(-AE10,AD10)))</f>
        <v>90.859778351430947</v>
      </c>
      <c r="AK10" s="578">
        <f>IF(M10="","",(COS(RADIANS((90-$Q$8)-W10))*AD10)+(-SIN(RADIANS((90-$Q$8)-W10))*AE10))</f>
        <v>0.96126170705176617</v>
      </c>
      <c r="AL10" s="572">
        <f t="shared" ref="AL10:AL105" si="107">IF(M10="","",(SIN(RADIANS((90-$Q$8)-W10))*AD10)+(COS(RADIANS((90-$Q$8)-W10))*AE10))</f>
        <v>1.4425740483648621E-2</v>
      </c>
      <c r="AM10" s="577">
        <f t="shared" ref="AM10:AM105" si="108">IF(M10="","",AF10)</f>
        <v>-0.27525956580548266</v>
      </c>
      <c r="AN10" s="524">
        <f t="shared" ref="AN10:AN105" si="109">IF(M10="","",DEGREES(ATAN2(-AM10,AL10)))</f>
        <v>2.9999995668536563</v>
      </c>
      <c r="AO10" s="525">
        <f t="shared" ref="AO10:AO54" si="110">IF(ROUND(IF(M10="",0,DEGREES(ACOS(AK10))),4)=90,0,IF(M10="","",DEGREES(ACOS(AK10))))</f>
        <v>15.99999768988615</v>
      </c>
      <c r="AP10" s="528">
        <f t="shared" ref="AP10:AP105" si="111">IF(M10="","",DEGREES(ATAN2(AK10,AL10)))</f>
        <v>0.8597783514309546</v>
      </c>
      <c r="AQ10" s="529">
        <f t="shared" si="13"/>
        <v>2.0903661874771533</v>
      </c>
      <c r="AR10" s="979"/>
      <c r="AS10" s="954">
        <f>IF($M10="","",IF(AND($W10&lt;($AS$9+180),$W10&gt;($AS$9-180)),$W10,IF($W10&gt;($AS$9+180),$W10-360,IF($W10&lt;($AS$9-180),$W10+360,"Error"))))</f>
        <v>0</v>
      </c>
      <c r="AT10" s="950">
        <f t="shared" si="14"/>
        <v>-0.97110292884643346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9.145676956420587E-2</v>
      </c>
      <c r="JO10" s="162">
        <f t="shared" ref="JO10:JO70" si="134">X10</f>
        <v>1.090103287751516</v>
      </c>
      <c r="JP10" s="961">
        <f t="shared" ref="JP10:JP70" si="135">AN10</f>
        <v>2.9999995668536563</v>
      </c>
      <c r="JQ10" s="961">
        <f t="shared" ref="JQ10:JQ70" si="136">AO10</f>
        <v>15.99999768988615</v>
      </c>
      <c r="JS10" s="82">
        <v>3</v>
      </c>
      <c r="JT10" s="322">
        <f t="shared" ref="JT10:JT53" si="137">INDEX($JM$9:$JQ$88,MATCH($JS10,$JM$9:$JM$88,0),3)</f>
        <v>0.84150253797165442</v>
      </c>
      <c r="JU10" s="963">
        <f t="shared" ref="JU10:JU53" si="138">INDEX($JM$9:$JQ$88,MATCH($JS10,$JM$9:$JM$88,0),2)</f>
        <v>6.1016077485398001E-2</v>
      </c>
      <c r="JV10" s="961">
        <v>9</v>
      </c>
      <c r="JW10" s="961">
        <f t="shared" si="92"/>
        <v>17.499997473312991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10.201467319930567</v>
      </c>
      <c r="KD10" s="969">
        <v>6</v>
      </c>
      <c r="KE10" s="968">
        <f t="shared" ref="KE10:KE48" si="140">KD10-KC10</f>
        <v>-4.2014673199305665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</v>
      </c>
      <c r="B11" s="578">
        <f t="shared" ref="B11:D11" si="142">IFERROR(O166+($A11*-E11),"")</f>
        <v>-3.414809992080329E-17</v>
      </c>
      <c r="C11" s="572">
        <f t="shared" si="142"/>
        <v>1.8327055274398707</v>
      </c>
      <c r="D11" s="576">
        <f t="shared" si="142"/>
        <v>-0.77220232896222429</v>
      </c>
      <c r="E11" s="580">
        <f>R166</f>
        <v>-0.96592583607220739</v>
      </c>
      <c r="F11" s="572">
        <f t="shared" ref="F11:K11" si="143">S166</f>
        <v>-1.3545538354532606E-2</v>
      </c>
      <c r="G11" s="579">
        <f t="shared" si="143"/>
        <v>0.2584643062376179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-3.414809992080329E-17</v>
      </c>
      <c r="O11" s="572">
        <f t="shared" si="6"/>
        <v>1.8327055274398707</v>
      </c>
      <c r="P11" s="576">
        <f t="shared" si="7"/>
        <v>-0.77220232896222429</v>
      </c>
      <c r="Q11" s="528">
        <f t="shared" ref="Q11:Q73" si="144">IF(M11="","",IF(DEGREES(ATAN2(N11,O11))&lt;0,DEGREES(ATAN2(N11,O11))+360,IF(DEGREES(ATAN2(N11,O11))&gt;360,DEGREES(ATAN2(N11,O11))-360,DEGREES(ATAN2(N11,O11)))))</f>
        <v>90</v>
      </c>
      <c r="R11" s="572">
        <f t="shared" si="95"/>
        <v>1.8327055274398707</v>
      </c>
      <c r="S11" s="577">
        <f t="shared" si="96"/>
        <v>-0.77220232896222429</v>
      </c>
      <c r="T11" s="578">
        <f t="shared" si="97"/>
        <v>1.8327055274398707</v>
      </c>
      <c r="U11" s="572">
        <f t="shared" si="98"/>
        <v>0</v>
      </c>
      <c r="V11" s="579">
        <f t="shared" ref="V11:V105" si="145">IF(M11="","",Y11)</f>
        <v>-0.77220232896222429</v>
      </c>
      <c r="W11" s="528">
        <f t="shared" si="8"/>
        <v>0</v>
      </c>
      <c r="X11" s="572">
        <f>IF(M11="","",R11)</f>
        <v>1.8327055274398707</v>
      </c>
      <c r="Y11" s="573">
        <f t="shared" si="9"/>
        <v>-0.77220232896222429</v>
      </c>
      <c r="Z11" s="575">
        <f t="shared" si="10"/>
        <v>0.96592583607220739</v>
      </c>
      <c r="AA11" s="572">
        <f t="shared" si="11"/>
        <v>1.3545538354532606E-2</v>
      </c>
      <c r="AB11" s="572">
        <f t="shared" si="12"/>
        <v>-0.2584643062376179</v>
      </c>
      <c r="AC11" s="579">
        <f t="shared" si="100"/>
        <v>1</v>
      </c>
      <c r="AD11" s="580">
        <f t="shared" ref="AD11:AD105" si="146">IF(M11="","",Z11*(1/SQRT(Z11^2+AA11^2+AB11^2)))</f>
        <v>0.96592583607220739</v>
      </c>
      <c r="AE11" s="572">
        <f t="shared" si="101"/>
        <v>1.3545538354532606E-2</v>
      </c>
      <c r="AF11" s="576">
        <f t="shared" si="102"/>
        <v>-0.2584643062376179</v>
      </c>
      <c r="AG11" s="545">
        <f>IF(M11="","",DEGREES(ATAN2(-AF11,AE11)))</f>
        <v>2.9999995668536541</v>
      </c>
      <c r="AH11" s="546">
        <f t="shared" si="104"/>
        <v>14.999997834268255</v>
      </c>
      <c r="AI11" s="528">
        <f t="shared" si="105"/>
        <v>-75.021040994812239</v>
      </c>
      <c r="AJ11" s="529">
        <f t="shared" si="106"/>
        <v>90.803427428047385</v>
      </c>
      <c r="AK11" s="578">
        <f>IF(M11="","",(COS(RADIANS((90-$Q$8)-W11))*AD11)+(-SIN(RADIANS((90-$Q$8)-W11))*AE11))</f>
        <v>0.96592583607220739</v>
      </c>
      <c r="AL11" s="572">
        <f t="shared" si="107"/>
        <v>1.3545538354532606E-2</v>
      </c>
      <c r="AM11" s="577">
        <f t="shared" si="108"/>
        <v>-0.2584643062376179</v>
      </c>
      <c r="AN11" s="524">
        <f>IF(M11="","",DEGREES(ATAN2(-AM11,AL11)))</f>
        <v>2.9999995668536541</v>
      </c>
      <c r="AO11" s="525">
        <f>IF(ROUND(IF(M11="",0,DEGREES(ACOS(AK11))),4)=90,0,IF(M11="","",DEGREES(ACOS(AK11))))</f>
        <v>14.999997834268255</v>
      </c>
      <c r="AP11" s="528">
        <f t="shared" si="111"/>
        <v>0.80342742804738576</v>
      </c>
      <c r="AQ11" s="529">
        <f>IF(M11="","",DEGREES(ATAN(($AS$5*SIN(RADIANS(90)))/(($X11*2*PI())-($AS$5*COS(RADIANS(90)))))))</f>
        <v>1.2437178385379402</v>
      </c>
      <c r="AR11" s="979"/>
      <c r="AS11" s="954">
        <f t="shared" ref="AS11:AS42" si="147">IF(G11="","",IF(AND(W11&lt;(AS10+180),W11&gt;(AS10-180)),W11,IF(W11&gt;(AS10+180),W11-360,IF(W11&lt;(AS10-180),W11+360,"Error"))))</f>
        <v>0</v>
      </c>
      <c r="AT11" s="950">
        <f t="shared" si="14"/>
        <v>-0.77220232896222429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0.18238701066526258</v>
      </c>
      <c r="JO11" s="162">
        <f t="shared" si="134"/>
        <v>1.8327055274398707</v>
      </c>
      <c r="JP11" s="961">
        <f t="shared" si="135"/>
        <v>2.9999995668536541</v>
      </c>
      <c r="JQ11" s="961">
        <f t="shared" si="136"/>
        <v>14.999997834268255</v>
      </c>
      <c r="JS11" s="82">
        <v>4</v>
      </c>
      <c r="JT11" s="322">
        <f t="shared" si="137"/>
        <v>1.090103287751516</v>
      </c>
      <c r="JU11" s="963">
        <f t="shared" si="138"/>
        <v>9.145676956420587E-2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7.8046775277141514</v>
      </c>
      <c r="KD11" s="969">
        <v>4</v>
      </c>
      <c r="KE11" s="968">
        <f t="shared" si="140"/>
        <v>-3.8046775277141514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</v>
      </c>
      <c r="B12" s="578">
        <f t="shared" ref="B12:D12" si="245">IFERROR(O167+($A12*-E12),"")</f>
        <v>-1.7074049960401645E-17</v>
      </c>
      <c r="C12" s="572">
        <f t="shared" si="245"/>
        <v>2.5752077668266256</v>
      </c>
      <c r="D12" s="576">
        <f t="shared" si="245"/>
        <v>-0.57320172877641407</v>
      </c>
      <c r="E12" s="580">
        <f t="shared" ref="E12:K12" si="246">R167</f>
        <v>-0.96592583607220739</v>
      </c>
      <c r="F12" s="572">
        <f t="shared" si="246"/>
        <v>-1.3545538354532609E-2</v>
      </c>
      <c r="G12" s="579">
        <f t="shared" si="246"/>
        <v>0.2584643062376179</v>
      </c>
      <c r="H12" s="580">
        <f t="shared" si="246"/>
        <v>0.3125</v>
      </c>
      <c r="I12" s="572">
        <f t="shared" si="246"/>
        <v>0.52</v>
      </c>
      <c r="J12" s="483">
        <f t="shared" si="94"/>
        <v>1.1100000000000001</v>
      </c>
      <c r="K12" s="806">
        <f t="shared" si="246"/>
        <v>1613</v>
      </c>
      <c r="L12" s="716" t="s">
        <v>357</v>
      </c>
      <c r="M12" s="164">
        <f t="shared" si="4"/>
        <v>1.1100000000000001</v>
      </c>
      <c r="N12" s="575">
        <f t="shared" si="5"/>
        <v>-1.7074049960401645E-17</v>
      </c>
      <c r="O12" s="572">
        <f t="shared" si="6"/>
        <v>2.5752077668266256</v>
      </c>
      <c r="P12" s="576">
        <f t="shared" si="7"/>
        <v>-0.57320172877641407</v>
      </c>
      <c r="Q12" s="528">
        <f>IF(M12="","",IF(DEGREES(ATAN2(N12,O12))&lt;0,DEGREES(ATAN2(N12,O12))+360,IF(DEGREES(ATAN2(N12,O12))&gt;360,DEGREES(ATAN2(N12,O12))-360,DEGREES(ATAN2(N12,O12)))))</f>
        <v>90</v>
      </c>
      <c r="R12" s="572">
        <f t="shared" si="95"/>
        <v>2.5752077668266256</v>
      </c>
      <c r="S12" s="577">
        <f t="shared" si="96"/>
        <v>-0.57320172877641407</v>
      </c>
      <c r="T12" s="578">
        <f>IF(M12="","",X12*COS(RADIANS(W12)))</f>
        <v>2.5752077668266256</v>
      </c>
      <c r="U12" s="572">
        <f t="shared" si="98"/>
        <v>0</v>
      </c>
      <c r="V12" s="579">
        <f t="shared" si="145"/>
        <v>-0.57320172877641407</v>
      </c>
      <c r="W12" s="528">
        <f>IF(M12="","",IF(Q12-$Q$8&lt;0,360+Q12-$Q$8,Q12-$Q$8))</f>
        <v>0</v>
      </c>
      <c r="X12" s="572">
        <f t="shared" si="99"/>
        <v>2.5752077668266256</v>
      </c>
      <c r="Y12" s="573">
        <f t="shared" si="9"/>
        <v>-0.57320172877641407</v>
      </c>
      <c r="Z12" s="575">
        <f t="shared" si="10"/>
        <v>0.96592583607220739</v>
      </c>
      <c r="AA12" s="572">
        <f t="shared" si="11"/>
        <v>1.3545538354532609E-2</v>
      </c>
      <c r="AB12" s="572">
        <f t="shared" si="12"/>
        <v>-0.2584643062376179</v>
      </c>
      <c r="AC12" s="579">
        <f t="shared" si="100"/>
        <v>1</v>
      </c>
      <c r="AD12" s="580">
        <f t="shared" si="146"/>
        <v>0.96592583607220739</v>
      </c>
      <c r="AE12" s="572">
        <f t="shared" si="101"/>
        <v>1.3545538354532609E-2</v>
      </c>
      <c r="AF12" s="576">
        <f t="shared" si="102"/>
        <v>-0.2584643062376179</v>
      </c>
      <c r="AG12" s="545">
        <f t="shared" si="103"/>
        <v>2.999999566853655</v>
      </c>
      <c r="AH12" s="546">
        <f t="shared" si="104"/>
        <v>14.999997834268255</v>
      </c>
      <c r="AI12" s="528">
        <f t="shared" si="105"/>
        <v>-75.021040994812239</v>
      </c>
      <c r="AJ12" s="529">
        <f t="shared" si="106"/>
        <v>90.803427428047385</v>
      </c>
      <c r="AK12" s="578">
        <f t="shared" ref="AK12:AK105" si="247">IF(M12="","",(COS(RADIANS((90-$Q$8)-W12))*AD12)+(-SIN(RADIANS((90-$Q$8)-W12))*AE12))</f>
        <v>0.96592583607220739</v>
      </c>
      <c r="AL12" s="572">
        <f>IF(M12="","",(SIN(RADIANS((90-$Q$8)-W12))*AD12)+(COS(RADIANS((90-$Q$8)-W12))*AE12))</f>
        <v>1.3545538354532609E-2</v>
      </c>
      <c r="AM12" s="577">
        <f t="shared" si="108"/>
        <v>-0.2584643062376179</v>
      </c>
      <c r="AN12" s="524">
        <f>IF(M12="","",DEGREES(ATAN2(-AM12,AL12)))</f>
        <v>2.999999566853655</v>
      </c>
      <c r="AO12" s="525">
        <f t="shared" si="110"/>
        <v>14.999997834268255</v>
      </c>
      <c r="AP12" s="528">
        <f t="shared" si="111"/>
        <v>0.80342742804738609</v>
      </c>
      <c r="AQ12" s="529">
        <f t="shared" si="13"/>
        <v>0.88518886862481239</v>
      </c>
      <c r="AR12" s="979"/>
      <c r="AS12" s="954">
        <f t="shared" si="147"/>
        <v>0</v>
      </c>
      <c r="AT12" s="950">
        <f>IF(M12="","",Y12+(((AS12-$AS$9)*$AS$6)*-1))</f>
        <v>-0.57320172877641407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10</v>
      </c>
      <c r="JN12" s="960">
        <f>($JO12-SMALL($JO$9:$JO$88,1))/((Settings!$C$19/2)-((Settings!$C$19/2)-LARGE($JO$9:$JO$88,1))-SMALL($JO$9:$JO$88,1))</f>
        <v>0.27330500691833925</v>
      </c>
      <c r="JO12" s="162">
        <f t="shared" si="134"/>
        <v>2.5752077668266256</v>
      </c>
      <c r="JP12" s="961">
        <f t="shared" si="135"/>
        <v>2.999999566853655</v>
      </c>
      <c r="JQ12" s="961">
        <f t="shared" si="136"/>
        <v>14.999997834268255</v>
      </c>
      <c r="JS12" s="82">
        <v>6</v>
      </c>
      <c r="JT12" s="322">
        <f t="shared" si="137"/>
        <v>1.5852047809776195</v>
      </c>
      <c r="JU12" s="963">
        <f t="shared" si="138"/>
        <v>0.15208101191423709</v>
      </c>
      <c r="JV12" s="964">
        <v>3</v>
      </c>
      <c r="JW12" s="961">
        <f t="shared" si="92"/>
        <v>14.99999783426828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5.1011058681875978</v>
      </c>
      <c r="KD12" s="968">
        <v>3</v>
      </c>
      <c r="KE12" s="968">
        <f t="shared" si="140"/>
        <v>-2.1011058681875978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</v>
      </c>
      <c r="B13" s="578">
        <f t="shared" ref="B13:D13" si="259">IFERROR(O168+($A13*-E13),"")</f>
        <v>-1.7074049960401645E-17</v>
      </c>
      <c r="C13" s="572">
        <f t="shared" si="259"/>
        <v>3.3178100065149798</v>
      </c>
      <c r="D13" s="576">
        <f t="shared" si="259"/>
        <v>-0.37420112859060395</v>
      </c>
      <c r="E13" s="580">
        <f t="shared" ref="E13:K13" si="260">R168</f>
        <v>-0.96592583607220739</v>
      </c>
      <c r="F13" s="572">
        <f t="shared" si="260"/>
        <v>-1.3545538354532609E-2</v>
      </c>
      <c r="G13" s="579">
        <f t="shared" si="260"/>
        <v>0.2584643062376179</v>
      </c>
      <c r="H13" s="580">
        <f t="shared" si="260"/>
        <v>0.3125</v>
      </c>
      <c r="I13" s="572">
        <f t="shared" si="260"/>
        <v>0.52</v>
      </c>
      <c r="J13" s="483">
        <f t="shared" si="94"/>
        <v>1.113</v>
      </c>
      <c r="K13" s="806">
        <f t="shared" si="260"/>
        <v>1613</v>
      </c>
      <c r="L13" s="717" t="str">
        <f>IF($L12=$JJ$22,$JJ$29,IF($L12=$JK$22,$JK$29,""))</f>
        <v/>
      </c>
      <c r="M13" s="164">
        <f t="shared" si="4"/>
        <v>1.113</v>
      </c>
      <c r="N13" s="575">
        <f t="shared" si="5"/>
        <v>-1.7074049960401645E-17</v>
      </c>
      <c r="O13" s="572">
        <f t="shared" si="6"/>
        <v>3.3178100065149798</v>
      </c>
      <c r="P13" s="576">
        <f t="shared" si="7"/>
        <v>-0.37420112859060395</v>
      </c>
      <c r="Q13" s="528">
        <f t="shared" si="144"/>
        <v>90</v>
      </c>
      <c r="R13" s="572">
        <f t="shared" si="95"/>
        <v>3.3178100065149798</v>
      </c>
      <c r="S13" s="577">
        <f t="shared" si="96"/>
        <v>-0.37420112859060395</v>
      </c>
      <c r="T13" s="578">
        <f>IF(M13="","",X13*COS(RADIANS(W13)))</f>
        <v>3.3178100065149798</v>
      </c>
      <c r="U13" s="572">
        <f t="shared" si="98"/>
        <v>0</v>
      </c>
      <c r="V13" s="579">
        <f t="shared" si="145"/>
        <v>-0.37420112859060395</v>
      </c>
      <c r="W13" s="528">
        <f t="shared" si="8"/>
        <v>0</v>
      </c>
      <c r="X13" s="572">
        <f t="shared" si="99"/>
        <v>3.3178100065149798</v>
      </c>
      <c r="Y13" s="573">
        <f t="shared" si="9"/>
        <v>-0.37420112859060395</v>
      </c>
      <c r="Z13" s="575">
        <f t="shared" si="10"/>
        <v>0.96592583607220739</v>
      </c>
      <c r="AA13" s="572">
        <f t="shared" si="11"/>
        <v>1.3545538354532609E-2</v>
      </c>
      <c r="AB13" s="572">
        <f t="shared" si="12"/>
        <v>-0.2584643062376179</v>
      </c>
      <c r="AC13" s="579">
        <f t="shared" si="100"/>
        <v>1</v>
      </c>
      <c r="AD13" s="580">
        <f>IF(M13="","",Z13*(1/SQRT(Z13^2+AA13^2+AB13^2)))</f>
        <v>0.96592583607220739</v>
      </c>
      <c r="AE13" s="572">
        <f t="shared" si="101"/>
        <v>1.3545538354532609E-2</v>
      </c>
      <c r="AF13" s="576">
        <f t="shared" si="102"/>
        <v>-0.2584643062376179</v>
      </c>
      <c r="AG13" s="545">
        <f>IF(M13="","",DEGREES(ATAN2(-AF13,AE13)))</f>
        <v>2.999999566853655</v>
      </c>
      <c r="AH13" s="546">
        <f t="shared" si="104"/>
        <v>14.999997834268255</v>
      </c>
      <c r="AI13" s="528">
        <f t="shared" si="105"/>
        <v>-75.021040994812239</v>
      </c>
      <c r="AJ13" s="529">
        <f t="shared" si="106"/>
        <v>90.803427428047385</v>
      </c>
      <c r="AK13" s="578">
        <f t="shared" si="247"/>
        <v>0.96592583607220739</v>
      </c>
      <c r="AL13" s="572">
        <f t="shared" si="107"/>
        <v>1.3545538354532609E-2</v>
      </c>
      <c r="AM13" s="577">
        <f t="shared" si="108"/>
        <v>-0.2584643062376179</v>
      </c>
      <c r="AN13" s="524">
        <f t="shared" si="109"/>
        <v>2.999999566853655</v>
      </c>
      <c r="AO13" s="525">
        <f t="shared" si="110"/>
        <v>14.999997834268255</v>
      </c>
      <c r="AP13" s="528">
        <f t="shared" si="111"/>
        <v>0.80342742804738609</v>
      </c>
      <c r="AQ13" s="529">
        <f t="shared" si="13"/>
        <v>0.68708495884994614</v>
      </c>
      <c r="AR13" s="979"/>
      <c r="AS13" s="954">
        <f t="shared" si="147"/>
        <v>0</v>
      </c>
      <c r="AT13" s="950">
        <f t="shared" si="14"/>
        <v>-0.37420112859060395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13</v>
      </c>
      <c r="JN13" s="960">
        <f>($JO13-SMALL($JO$9:$JO$88,1))/((Settings!$C$19/2)-((Settings!$C$19/2)-LARGE($JO$9:$JO$88,1))-SMALL($JO$9:$JO$88,1))</f>
        <v>0.36423524801939589</v>
      </c>
      <c r="JO13" s="162">
        <f t="shared" si="134"/>
        <v>3.3178100065149798</v>
      </c>
      <c r="JP13" s="961">
        <f t="shared" si="135"/>
        <v>2.999999566853655</v>
      </c>
      <c r="JQ13" s="961">
        <f t="shared" si="136"/>
        <v>14.999997834268255</v>
      </c>
      <c r="JS13" s="82">
        <v>7</v>
      </c>
      <c r="JT13" s="322">
        <f t="shared" si="137"/>
        <v>1.8327055274398707</v>
      </c>
      <c r="JU13" s="963">
        <f t="shared" si="138"/>
        <v>0.18238701066526258</v>
      </c>
      <c r="JV13" s="964">
        <v>3</v>
      </c>
      <c r="JW13" s="961">
        <f t="shared" si="92"/>
        <v>14.999997834268255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3.2982300632810047</v>
      </c>
      <c r="KD13" s="968">
        <v>3</v>
      </c>
      <c r="KE13" s="968">
        <f t="shared" si="140"/>
        <v>-0.29823006328100465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</v>
      </c>
      <c r="B14" s="578">
        <f t="shared" ref="B14:D14" si="262">IFERROR(O169+($A14*-E14),"")</f>
        <v>3.5480023081000218E-3</v>
      </c>
      <c r="C14" s="572">
        <f t="shared" si="262"/>
        <v>4.0657107140802538</v>
      </c>
      <c r="D14" s="576">
        <f t="shared" si="262"/>
        <v>-0.19820059777300289</v>
      </c>
      <c r="E14" s="580">
        <f t="shared" ref="E14:K14" si="263">R169</f>
        <v>-0.96591338513182357</v>
      </c>
      <c r="F14" s="572">
        <f t="shared" si="263"/>
        <v>1.4689189757609203E-2</v>
      </c>
      <c r="G14" s="579">
        <f t="shared" si="263"/>
        <v>0.25844837033234824</v>
      </c>
      <c r="H14" s="580">
        <f t="shared" si="263"/>
        <v>0.3125</v>
      </c>
      <c r="I14" s="572">
        <f t="shared" si="263"/>
        <v>0.52</v>
      </c>
      <c r="J14" s="483">
        <f t="shared" si="94"/>
        <v>1.1160000000000001</v>
      </c>
      <c r="K14" s="806">
        <f t="shared" si="263"/>
        <v>1613</v>
      </c>
      <c r="L14" s="719" t="s">
        <v>358</v>
      </c>
      <c r="M14" s="164">
        <f t="shared" si="4"/>
        <v>1.1160000000000001</v>
      </c>
      <c r="N14" s="575">
        <f t="shared" si="5"/>
        <v>3.5480023081000218E-3</v>
      </c>
      <c r="O14" s="572">
        <f t="shared" si="6"/>
        <v>4.0657107140802538</v>
      </c>
      <c r="P14" s="576">
        <f t="shared" si="7"/>
        <v>-0.19820059777300289</v>
      </c>
      <c r="Q14" s="528">
        <f t="shared" si="144"/>
        <v>89.950000007219117</v>
      </c>
      <c r="R14" s="572">
        <f t="shared" si="95"/>
        <v>4.0657122621881818</v>
      </c>
      <c r="S14" s="577">
        <f>IF(M14="","",P14)</f>
        <v>-0.19820059777300289</v>
      </c>
      <c r="T14" s="578">
        <f t="shared" si="97"/>
        <v>4.0657107140802529</v>
      </c>
      <c r="U14" s="572">
        <f t="shared" si="98"/>
        <v>-3.5480023081015137E-3</v>
      </c>
      <c r="V14" s="579">
        <f t="shared" si="145"/>
        <v>-0.19820059777300289</v>
      </c>
      <c r="W14" s="528">
        <f t="shared" si="8"/>
        <v>359.9500000072191</v>
      </c>
      <c r="X14" s="572">
        <f t="shared" si="99"/>
        <v>4.0657122621881818</v>
      </c>
      <c r="Y14" s="573">
        <f t="shared" si="9"/>
        <v>-0.19820059777300289</v>
      </c>
      <c r="Z14" s="575">
        <f t="shared" si="10"/>
        <v>0.96591338513182357</v>
      </c>
      <c r="AA14" s="572">
        <f t="shared" si="11"/>
        <v>-1.4689189757609203E-2</v>
      </c>
      <c r="AB14" s="572">
        <f t="shared" si="12"/>
        <v>-0.25844837033234824</v>
      </c>
      <c r="AC14" s="579">
        <f t="shared" si="100"/>
        <v>1</v>
      </c>
      <c r="AD14" s="580">
        <f>IF(M14="","",Z14*(1/SQRT(Z14^2+AA14^2+AB14^2)))</f>
        <v>0.96591338513182357</v>
      </c>
      <c r="AE14" s="572">
        <f t="shared" si="101"/>
        <v>-1.4689189757609203E-2</v>
      </c>
      <c r="AF14" s="576">
        <f t="shared" si="102"/>
        <v>-0.25844837033234824</v>
      </c>
      <c r="AG14" s="545">
        <f t="shared" si="103"/>
        <v>-3.2529672384419253</v>
      </c>
      <c r="AH14" s="546">
        <f t="shared" si="104"/>
        <v>15.002753900412884</v>
      </c>
      <c r="AI14" s="528">
        <f t="shared" si="105"/>
        <v>-75.021986169172592</v>
      </c>
      <c r="AJ14" s="529">
        <f t="shared" si="106"/>
        <v>89.128737919585333</v>
      </c>
      <c r="AK14" s="578">
        <f>IF(M14="","",(COS(RADIANS((90-$Q$8)-W14))*AD14)+(-SIN(RADIANS((90-$Q$8)-W14))*AE14))</f>
        <v>0.96592583607220739</v>
      </c>
      <c r="AL14" s="572">
        <f t="shared" si="107"/>
        <v>-1.3846265950089063E-2</v>
      </c>
      <c r="AM14" s="577">
        <f t="shared" si="108"/>
        <v>-0.25844837033234824</v>
      </c>
      <c r="AN14" s="524">
        <f t="shared" si="109"/>
        <v>-3.0666662238947593</v>
      </c>
      <c r="AO14" s="525">
        <f t="shared" si="110"/>
        <v>14.999997834268255</v>
      </c>
      <c r="AP14" s="528">
        <f>IF(M14="","",DEGREES(ATAN2(AK14,AL14)))</f>
        <v>-0.82126208763375586</v>
      </c>
      <c r="AQ14" s="529">
        <f t="shared" si="13"/>
        <v>0.56070221149872423</v>
      </c>
      <c r="AR14" s="979"/>
      <c r="AS14" s="954">
        <f t="shared" si="147"/>
        <v>-4.9999992780897173E-2</v>
      </c>
      <c r="AT14" s="950">
        <f>IF(M14="","",Y14+(((AS14-$AS$9)*$AS$6)*-1))</f>
        <v>-0.19816587555579393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16</v>
      </c>
      <c r="JN14" s="960">
        <f>($JO14-SMALL($JO$9:$JO$88,1))/((Settings!$C$19/2)-((Settings!$C$19/2)-LARGE($JO$9:$JO$88,1))-SMALL($JO$9:$JO$88,1))</f>
        <v>0.45581446606340376</v>
      </c>
      <c r="JO14" s="162">
        <f t="shared" si="134"/>
        <v>4.0657122621881818</v>
      </c>
      <c r="JP14" s="961">
        <f t="shared" si="135"/>
        <v>-3.0666662238947593</v>
      </c>
      <c r="JQ14" s="961">
        <f t="shared" si="136"/>
        <v>14.999997834268255</v>
      </c>
      <c r="JS14" s="82">
        <v>9</v>
      </c>
      <c r="JT14" s="322">
        <f t="shared" si="137"/>
        <v>2.3277070203643739</v>
      </c>
      <c r="JU14" s="963">
        <f t="shared" si="138"/>
        <v>0.24299900816731368</v>
      </c>
      <c r="JV14" s="964">
        <v>3</v>
      </c>
      <c r="JW14" s="961">
        <f t="shared" si="92"/>
        <v>14.999997834268255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</v>
      </c>
      <c r="KD14" s="968">
        <v>3</v>
      </c>
      <c r="KE14" s="968">
        <f t="shared" si="140"/>
        <v>0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</v>
      </c>
      <c r="B15" s="578">
        <f t="shared" ref="B15:D15" si="266">IFERROR(O170+($A15*-E15),"")</f>
        <v>3.2892943856015606E-2</v>
      </c>
      <c r="C15" s="572">
        <f t="shared" si="266"/>
        <v>4.8323026265629494</v>
      </c>
      <c r="D15" s="576">
        <f t="shared" si="266"/>
        <v>-0.16210048889507486</v>
      </c>
      <c r="E15" s="580">
        <f t="shared" ref="E15:K15" si="267">R170</f>
        <v>-0.96369212413547367</v>
      </c>
      <c r="F15" s="572">
        <f t="shared" si="267"/>
        <v>6.252860312312554E-2</v>
      </c>
      <c r="G15" s="579">
        <f t="shared" si="267"/>
        <v>0.25959133974524173</v>
      </c>
      <c r="H15" s="580">
        <f t="shared" si="267"/>
        <v>0.3125</v>
      </c>
      <c r="I15" s="572">
        <f t="shared" si="267"/>
        <v>0.52</v>
      </c>
      <c r="J15" s="483">
        <f t="shared" si="94"/>
        <v>1.119</v>
      </c>
      <c r="K15" s="806">
        <f t="shared" si="267"/>
        <v>1613</v>
      </c>
      <c r="L15" s="814" t="str">
        <f>IF($L14=$JJ$22,$JJ$29,IF($L14=$JK$22,$JK$29,""))</f>
        <v/>
      </c>
      <c r="M15" s="164">
        <f t="shared" si="4"/>
        <v>1.119</v>
      </c>
      <c r="N15" s="575">
        <f t="shared" si="5"/>
        <v>3.2892943856015606E-2</v>
      </c>
      <c r="O15" s="572">
        <f t="shared" si="6"/>
        <v>4.8323026265629494</v>
      </c>
      <c r="P15" s="576">
        <f t="shared" si="7"/>
        <v>-0.16210048889507486</v>
      </c>
      <c r="Q15" s="528">
        <f t="shared" si="144"/>
        <v>89.610000056309033</v>
      </c>
      <c r="R15" s="572">
        <f t="shared" si="95"/>
        <v>4.8324145745623586</v>
      </c>
      <c r="S15" s="577">
        <f t="shared" si="96"/>
        <v>-0.16210048889507486</v>
      </c>
      <c r="T15" s="578">
        <f t="shared" si="97"/>
        <v>4.8323026265629503</v>
      </c>
      <c r="U15" s="572">
        <f t="shared" si="98"/>
        <v>-3.2892943856012768E-2</v>
      </c>
      <c r="V15" s="579">
        <f t="shared" si="145"/>
        <v>-0.16210048889507486</v>
      </c>
      <c r="W15" s="528">
        <f t="shared" ref="W15:W78" si="268">IF(M15="","",IF(Q15-$Q$8&lt;0,360+Q15-$Q$8,Q15-$Q$8))</f>
        <v>359.61000005630905</v>
      </c>
      <c r="X15" s="572">
        <f>IF(M15="","",R15)</f>
        <v>4.8324145745623586</v>
      </c>
      <c r="Y15" s="573">
        <f t="shared" si="9"/>
        <v>-0.16210048889507486</v>
      </c>
      <c r="Z15" s="575">
        <f t="shared" si="10"/>
        <v>0.96369212413547367</v>
      </c>
      <c r="AA15" s="572">
        <f t="shared" si="11"/>
        <v>-6.252860312312554E-2</v>
      </c>
      <c r="AB15" s="572">
        <f t="shared" si="12"/>
        <v>-0.25959133974524173</v>
      </c>
      <c r="AC15" s="579">
        <f t="shared" si="100"/>
        <v>1</v>
      </c>
      <c r="AD15" s="580">
        <f t="shared" si="146"/>
        <v>0.96369212413547367</v>
      </c>
      <c r="AE15" s="572">
        <f t="shared" si="101"/>
        <v>-6.252860312312554E-2</v>
      </c>
      <c r="AF15" s="576">
        <f t="shared" si="102"/>
        <v>-0.25959133974524173</v>
      </c>
      <c r="AG15" s="545">
        <f t="shared" si="103"/>
        <v>-13.543031095963769</v>
      </c>
      <c r="AH15" s="546">
        <f t="shared" si="104"/>
        <v>15.486772276865961</v>
      </c>
      <c r="AI15" s="528">
        <f t="shared" si="105"/>
        <v>-74.954184919818275</v>
      </c>
      <c r="AJ15" s="529">
        <f t="shared" si="106"/>
        <v>86.287600544543949</v>
      </c>
      <c r="AK15" s="578">
        <f t="shared" si="247"/>
        <v>0.96409541453957925</v>
      </c>
      <c r="AL15" s="572">
        <f t="shared" si="107"/>
        <v>-5.5967561971442766E-2</v>
      </c>
      <c r="AM15" s="577">
        <f t="shared" si="108"/>
        <v>-0.25959133974524173</v>
      </c>
      <c r="AN15" s="524">
        <f>IF(M15="","",DEGREES(ATAN2(-AM15,AL15)))</f>
        <v>-12.166664910017715</v>
      </c>
      <c r="AO15" s="525">
        <f t="shared" si="110"/>
        <v>15.399997776515438</v>
      </c>
      <c r="AP15" s="528">
        <f t="shared" si="111"/>
        <v>-3.3223995117651119</v>
      </c>
      <c r="AQ15" s="529">
        <f t="shared" si="13"/>
        <v>0.47174659407505204</v>
      </c>
      <c r="AR15" s="979"/>
      <c r="AS15" s="954">
        <f t="shared" si="147"/>
        <v>-0.38999994369095248</v>
      </c>
      <c r="AT15" s="950">
        <f t="shared" si="14"/>
        <v>-0.16182965560084503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81</v>
      </c>
      <c r="JE15" s="31"/>
      <c r="JF15" s="219"/>
      <c r="JG15" s="219"/>
      <c r="JH15" s="219"/>
      <c r="JI15" s="219"/>
      <c r="JM15" s="489">
        <f t="shared" si="133"/>
        <v>19</v>
      </c>
      <c r="JN15" s="960">
        <f>($JO15-SMALL($JO$9:$JO$88,1))/((Settings!$C$19/2)-((Settings!$C$19/2)-LARGE($JO$9:$JO$88,1))-SMALL($JO$9:$JO$88,1))</f>
        <v>0.54969571552769203</v>
      </c>
      <c r="JO15" s="162">
        <f t="shared" si="134"/>
        <v>4.8324145745623586</v>
      </c>
      <c r="JP15" s="961">
        <f t="shared" si="135"/>
        <v>-12.166664910017715</v>
      </c>
      <c r="JQ15" s="961">
        <f t="shared" si="136"/>
        <v>15.399997776515438</v>
      </c>
      <c r="JS15" s="82">
        <v>10</v>
      </c>
      <c r="JT15" s="322">
        <f t="shared" si="137"/>
        <v>2.5752077668266256</v>
      </c>
      <c r="JU15" s="963">
        <f t="shared" si="138"/>
        <v>0.27330500691833925</v>
      </c>
      <c r="JV15" s="964">
        <v>3</v>
      </c>
      <c r="JW15" s="961">
        <f t="shared" si="92"/>
        <v>14.999997834268255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</v>
      </c>
      <c r="B16" s="578">
        <f t="shared" ref="B16:D16" si="269">IFERROR(O171+($A16*-E16),"")</f>
        <v>9.0732331307180045E-2</v>
      </c>
      <c r="C16" s="572">
        <f t="shared" si="269"/>
        <v>5.589380479998777</v>
      </c>
      <c r="D16" s="576">
        <f t="shared" si="269"/>
        <v>-0.28430085745138589</v>
      </c>
      <c r="E16" s="580">
        <f t="shared" ref="E16:K16" si="270">R171</f>
        <v>-0.95852475715111396</v>
      </c>
      <c r="F16" s="572">
        <f t="shared" si="270"/>
        <v>0.11676564410563416</v>
      </c>
      <c r="G16" s="579">
        <f t="shared" si="270"/>
        <v>0.25999245043845859</v>
      </c>
      <c r="H16" s="580">
        <f t="shared" si="270"/>
        <v>0.3125</v>
      </c>
      <c r="I16" s="572">
        <f t="shared" si="270"/>
        <v>0.52</v>
      </c>
      <c r="J16" s="483">
        <f t="shared" si="94"/>
        <v>1.1220000000000001</v>
      </c>
      <c r="K16" s="806">
        <f t="shared" si="270"/>
        <v>1613</v>
      </c>
      <c r="L16" s="309"/>
      <c r="M16" s="164">
        <f t="shared" si="4"/>
        <v>1.1220000000000001</v>
      </c>
      <c r="N16" s="575">
        <f t="shared" si="5"/>
        <v>9.0732331307180045E-2</v>
      </c>
      <c r="O16" s="572">
        <f t="shared" si="6"/>
        <v>5.589380479998777</v>
      </c>
      <c r="P16" s="576">
        <f t="shared" si="7"/>
        <v>-0.28430085745138589</v>
      </c>
      <c r="Q16" s="528">
        <f>IF(M16="","",IF(DEGREES(ATAN2(N16,O16))&lt;0,DEGREES(ATAN2(N16,O16))+360,IF(DEGREES(ATAN2(N16,O16))&gt;360,DEGREES(ATAN2(N16,O16))-360,DEGREES(ATAN2(N16,O16)))))</f>
        <v>89.070000134275361</v>
      </c>
      <c r="R16" s="572">
        <f t="shared" si="95"/>
        <v>5.5901168597924498</v>
      </c>
      <c r="S16" s="577">
        <f t="shared" si="96"/>
        <v>-0.28430085745138589</v>
      </c>
      <c r="T16" s="578">
        <f t="shared" si="97"/>
        <v>5.589380479998777</v>
      </c>
      <c r="U16" s="572">
        <f t="shared" si="98"/>
        <v>-9.073233130718393E-2</v>
      </c>
      <c r="V16" s="579">
        <f t="shared" si="145"/>
        <v>-0.28430085745138589</v>
      </c>
      <c r="W16" s="528">
        <f>IF(M16="","",IF(Q16-$Q$8&lt;0,360+Q16-$Q$8,Q16-$Q$8))</f>
        <v>359.07000013427535</v>
      </c>
      <c r="X16" s="572">
        <f t="shared" si="99"/>
        <v>5.5901168597924498</v>
      </c>
      <c r="Y16" s="573">
        <f t="shared" ref="Y16:Y75" si="271">IF(M16="","",S16)</f>
        <v>-0.28430085745138589</v>
      </c>
      <c r="Z16" s="575">
        <f t="shared" si="10"/>
        <v>0.95852475715111396</v>
      </c>
      <c r="AA16" s="572">
        <f t="shared" si="11"/>
        <v>-0.11676564410563416</v>
      </c>
      <c r="AB16" s="572">
        <f t="shared" si="12"/>
        <v>-0.25999245043845859</v>
      </c>
      <c r="AC16" s="579">
        <f t="shared" si="100"/>
        <v>1</v>
      </c>
      <c r="AD16" s="580">
        <f t="shared" si="146"/>
        <v>0.95852475715111396</v>
      </c>
      <c r="AE16" s="572">
        <f t="shared" si="101"/>
        <v>-0.11676564410563416</v>
      </c>
      <c r="AF16" s="576">
        <f t="shared" si="102"/>
        <v>-0.25999245043845859</v>
      </c>
      <c r="AG16" s="545">
        <f t="shared" si="103"/>
        <v>-24.185404889308607</v>
      </c>
      <c r="AH16" s="546">
        <f t="shared" si="104"/>
        <v>16.559403322734134</v>
      </c>
      <c r="AI16" s="528">
        <f t="shared" si="105"/>
        <v>-74.930385818759021</v>
      </c>
      <c r="AJ16" s="529">
        <f t="shared" si="106"/>
        <v>83.054559282353864</v>
      </c>
      <c r="AK16" s="578">
        <f t="shared" si="247"/>
        <v>0.96029369706621903</v>
      </c>
      <c r="AL16" s="572">
        <f t="shared" si="107"/>
        <v>-0.10119259404669144</v>
      </c>
      <c r="AM16" s="577">
        <f t="shared" si="108"/>
        <v>-0.25999245043845859</v>
      </c>
      <c r="AN16" s="524">
        <f t="shared" si="109"/>
        <v>-21.266663596140212</v>
      </c>
      <c r="AO16" s="525">
        <f t="shared" si="110"/>
        <v>16.199997661009704</v>
      </c>
      <c r="AP16" s="528">
        <f t="shared" si="111"/>
        <v>-6.0154408519214568</v>
      </c>
      <c r="AQ16" s="529">
        <f t="shared" si="13"/>
        <v>0.40780688349381294</v>
      </c>
      <c r="AR16" s="979"/>
      <c r="AS16" s="954">
        <f t="shared" si="147"/>
        <v>-0.92999986572465332</v>
      </c>
      <c r="AT16" s="950">
        <f t="shared" si="14"/>
        <v>-0.28365502421129934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1.1220000000000001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22</v>
      </c>
      <c r="JN16" s="960">
        <f>($JO16-SMALL($JO$9:$JO$88,1))/((Settings!$C$19/2)-((Settings!$C$19/2)-LARGE($JO$9:$JO$88,1))-SMALL($JO$9:$JO$88,1))</f>
        <v>0.64247492867376066</v>
      </c>
      <c r="JO16" s="162">
        <f t="shared" si="134"/>
        <v>5.5901168597924498</v>
      </c>
      <c r="JP16" s="961">
        <f t="shared" si="135"/>
        <v>-21.266663596140212</v>
      </c>
      <c r="JQ16" s="961">
        <f t="shared" si="136"/>
        <v>16.199997661009704</v>
      </c>
      <c r="JS16" s="82">
        <v>12</v>
      </c>
      <c r="JT16" s="322">
        <f t="shared" si="137"/>
        <v>3.0703092600527286</v>
      </c>
      <c r="JU16" s="963">
        <f t="shared" si="138"/>
        <v>0.33392924926837042</v>
      </c>
      <c r="JV16" s="964">
        <v>3</v>
      </c>
      <c r="JW16" s="961">
        <f t="shared" si="92"/>
        <v>14.999997834268255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</v>
      </c>
      <c r="B17" s="578">
        <f t="shared" ref="B17:D17" si="272">IFERROR(O172+($A17*-E17),"")</f>
        <v>0.17168449169914238</v>
      </c>
      <c r="C17" s="572">
        <f t="shared" si="272"/>
        <v>6.3040816375696522</v>
      </c>
      <c r="D17" s="576">
        <f t="shared" si="272"/>
        <v>-0.56000168896509395</v>
      </c>
      <c r="E17" s="580">
        <f t="shared" ref="E17:K17" si="273">R172</f>
        <v>-0.94922502530221708</v>
      </c>
      <c r="F17" s="572">
        <f t="shared" si="273"/>
        <v>0.1779237567942682</v>
      </c>
      <c r="G17" s="579">
        <f t="shared" si="273"/>
        <v>0.25945132126897996</v>
      </c>
      <c r="H17" s="580">
        <f t="shared" si="273"/>
        <v>0.3125</v>
      </c>
      <c r="I17" s="572">
        <f t="shared" si="273"/>
        <v>0.52</v>
      </c>
      <c r="J17" s="483">
        <f t="shared" si="94"/>
        <v>1.125</v>
      </c>
      <c r="K17" s="806">
        <f t="shared" si="273"/>
        <v>1613</v>
      </c>
      <c r="M17" s="164">
        <f t="shared" si="4"/>
        <v>1.125</v>
      </c>
      <c r="N17" s="575">
        <f t="shared" si="5"/>
        <v>0.17168449169914238</v>
      </c>
      <c r="O17" s="572">
        <f t="shared" si="6"/>
        <v>6.3040816375696522</v>
      </c>
      <c r="P17" s="576">
        <f t="shared" si="7"/>
        <v>-0.56000168896509395</v>
      </c>
      <c r="Q17" s="528">
        <f>IF(M17="","",IF(DEGREES(ATAN2(N17,O17))&lt;0,DEGREES(ATAN2(N17,O17))+360,IF(DEGREES(ATAN2(N17,O17))&gt;360,DEGREES(ATAN2(N17,O17))-360,DEGREES(ATAN2(N17,O17)))))</f>
        <v>88.440000225236105</v>
      </c>
      <c r="R17" s="572">
        <f>IF(M17="","",SQRT(N17^2+O17^2))</f>
        <v>6.3064190201597663</v>
      </c>
      <c r="S17" s="577">
        <f>IF(M17="","",P17)</f>
        <v>-0.56000168896509395</v>
      </c>
      <c r="T17" s="578">
        <f>IF(M17="","",X17*COS(RADIANS(W17)))</f>
        <v>6.3040816375696531</v>
      </c>
      <c r="U17" s="572">
        <f>IF(M17="","",X17*SIN(RADIANS(W17)))</f>
        <v>-0.17168449169914507</v>
      </c>
      <c r="V17" s="579">
        <f>IF(M17="","",Y17)</f>
        <v>-0.56000168896509395</v>
      </c>
      <c r="W17" s="528">
        <f t="shared" si="268"/>
        <v>358.44000022523608</v>
      </c>
      <c r="X17" s="572">
        <f>IF(M17="","",R17)</f>
        <v>6.3064190201597663</v>
      </c>
      <c r="Y17" s="573">
        <f t="shared" si="271"/>
        <v>-0.56000168896509395</v>
      </c>
      <c r="Z17" s="575">
        <f t="shared" si="10"/>
        <v>0.94922502530221708</v>
      </c>
      <c r="AA17" s="572">
        <f t="shared" si="11"/>
        <v>-0.1779237567942682</v>
      </c>
      <c r="AB17" s="572">
        <f t="shared" si="12"/>
        <v>-0.25945132126897996</v>
      </c>
      <c r="AC17" s="579">
        <f>IF(M17="","",SQRT(Z17^2+AA17^2+AB17^2))</f>
        <v>1</v>
      </c>
      <c r="AD17" s="580">
        <f>IF(M17="","",Z17*(1/SQRT(Z17^2+AA17^2+AB17^2)))</f>
        <v>0.94922502530221708</v>
      </c>
      <c r="AE17" s="572">
        <f>IF(M17="","",AA17*(1/SQRT(Z17^2+AA17^2+AB17^2)))</f>
        <v>-0.1779237567942682</v>
      </c>
      <c r="AF17" s="576">
        <f>IF(M17="","",AB17*(1/SQRT(Z17^2+AA17^2+AB17^2)))</f>
        <v>-0.25945132126897996</v>
      </c>
      <c r="AG17" s="545">
        <f>IF(M17="","",DEGREES(ATAN2(-AF17,AE17)))</f>
        <v>-34.441134107285812</v>
      </c>
      <c r="AH17" s="546">
        <f>IF(M17="","",DEGREES(ACOS(AD17)))</f>
        <v>18.336542311512488</v>
      </c>
      <c r="AI17" s="528">
        <f>IF(M17="","",DEGREES(-ACOS(-AF17)))</f>
        <v>-74.962492010289495</v>
      </c>
      <c r="AJ17" s="529">
        <f>IF(M17="","",DEGREES(ATAN2(-AE17,AD17)))</f>
        <v>79.383606388556615</v>
      </c>
      <c r="AK17" s="578">
        <f>IF(M17="","",(COS(RADIANS((90-$Q$8)-W17))*AD17)+(-SIN(RADIANS((90-$Q$8)-W17))*AE17))</f>
        <v>0.95371696400905348</v>
      </c>
      <c r="AL17" s="572">
        <f>IF(M17="","",(SIN(RADIANS((90-$Q$8)-W17))*AD17)+(COS(RADIANS((90-$Q$8)-W17))*AE17))</f>
        <v>-0.15201632956078909</v>
      </c>
      <c r="AM17" s="577">
        <f>IF(M17="","",AF17)</f>
        <v>-0.25945132126897996</v>
      </c>
      <c r="AN17" s="524">
        <f>IF(M17="","",DEGREES(ATAN2(-AM17,AL17)))</f>
        <v>-30.366662282263029</v>
      </c>
      <c r="AO17" s="525">
        <f t="shared" si="110"/>
        <v>17.499997473312952</v>
      </c>
      <c r="AP17" s="528">
        <f>IF(M17="","",DEGREES(ATAN2(AK17,AL17)))</f>
        <v>-9.056393836679467</v>
      </c>
      <c r="AQ17" s="529">
        <f t="shared" si="13"/>
        <v>0.36148825126117168</v>
      </c>
      <c r="AR17" s="979"/>
      <c r="AS17" s="954">
        <f t="shared" si="147"/>
        <v>-1.5599997747639236</v>
      </c>
      <c r="AT17" s="950">
        <f t="shared" si="14"/>
        <v>-0.5589183557881745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1.125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25</v>
      </c>
      <c r="JN17" s="960">
        <f>($JO17-SMALL($JO$9:$JO$88,1))/((Settings!$C$19/2)-((Settings!$C$19/2)-LARGE($JO$9:$JO$88,1))-SMALL($JO$9:$JO$88,1))</f>
        <v>0.73018477475602162</v>
      </c>
      <c r="JO17" s="162">
        <f t="shared" si="134"/>
        <v>6.3064190201597663</v>
      </c>
      <c r="JP17" s="961">
        <f t="shared" si="135"/>
        <v>-30.366662282263029</v>
      </c>
      <c r="JQ17" s="961">
        <f t="shared" si="136"/>
        <v>17.499997473312952</v>
      </c>
      <c r="JS17" s="82">
        <v>13</v>
      </c>
      <c r="JT17" s="322">
        <f t="shared" si="137"/>
        <v>3.3178100065149798</v>
      </c>
      <c r="JU17" s="963">
        <f t="shared" si="138"/>
        <v>0.36423524801939589</v>
      </c>
      <c r="JV17" s="964">
        <v>3</v>
      </c>
      <c r="JW17" s="961">
        <f t="shared" si="92"/>
        <v>14.999997834268255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</v>
      </c>
      <c r="B18" s="578">
        <f t="shared" ref="B18:D18" si="274">IFERROR(O173+($A18*-E18),"")</f>
        <v>0.26682674964904562</v>
      </c>
      <c r="C18" s="572">
        <f t="shared" si="274"/>
        <v>6.9456976290902457</v>
      </c>
      <c r="D18" s="576">
        <f t="shared" si="274"/>
        <v>-0.97700294664088705</v>
      </c>
      <c r="E18" s="580">
        <f>R173</f>
        <v>-0.93565582346141929</v>
      </c>
      <c r="F18" s="572">
        <f t="shared" ref="F18:K18" si="275">S173</f>
        <v>0.24513564652227091</v>
      </c>
      <c r="G18" s="579">
        <f t="shared" si="275"/>
        <v>0.25388323069246171</v>
      </c>
      <c r="H18" s="580">
        <f t="shared" si="275"/>
        <v>0.3125</v>
      </c>
      <c r="I18" s="572">
        <f t="shared" si="275"/>
        <v>0.52</v>
      </c>
      <c r="J18" s="483">
        <f t="shared" si="94"/>
        <v>1.1279999999999999</v>
      </c>
      <c r="K18" s="806">
        <f t="shared" si="275"/>
        <v>1613</v>
      </c>
      <c r="L18" s="720" t="s">
        <v>322</v>
      </c>
      <c r="M18" s="164">
        <f t="shared" si="4"/>
        <v>1.1279999999999999</v>
      </c>
      <c r="N18" s="575">
        <f t="shared" si="5"/>
        <v>0.26682674964904562</v>
      </c>
      <c r="O18" s="572">
        <f t="shared" si="6"/>
        <v>6.9456976290902457</v>
      </c>
      <c r="P18" s="576">
        <f t="shared" si="7"/>
        <v>-0.97700294664088705</v>
      </c>
      <c r="Q18" s="528">
        <f t="shared" si="144"/>
        <v>87.800000317640652</v>
      </c>
      <c r="R18" s="572">
        <f>IF(M18="","",SQRT(N18^2+O18^2))</f>
        <v>6.9508209636760263</v>
      </c>
      <c r="S18" s="577">
        <f>IF(M18="","",P18)</f>
        <v>-0.97700294664088705</v>
      </c>
      <c r="T18" s="578">
        <f>IF(M18="","",X18*COS(RADIANS(W18)))</f>
        <v>6.9456976290902448</v>
      </c>
      <c r="U18" s="572">
        <f>IF(M18="","",X18*SIN(RADIANS(W18)))</f>
        <v>-0.26682674964904679</v>
      </c>
      <c r="V18" s="579">
        <f>IF(M18="","",Y18)</f>
        <v>-0.97700294664088705</v>
      </c>
      <c r="W18" s="528">
        <f t="shared" si="268"/>
        <v>357.80000031764064</v>
      </c>
      <c r="X18" s="572">
        <f>IF(M18="","",R18)</f>
        <v>6.9508209636760263</v>
      </c>
      <c r="Y18" s="573">
        <f t="shared" si="271"/>
        <v>-0.97700294664088705</v>
      </c>
      <c r="Z18" s="575">
        <f t="shared" si="10"/>
        <v>0.93565582346141929</v>
      </c>
      <c r="AA18" s="572">
        <f t="shared" si="11"/>
        <v>-0.24513564652227091</v>
      </c>
      <c r="AB18" s="572">
        <f t="shared" si="12"/>
        <v>-0.25388323069246171</v>
      </c>
      <c r="AC18" s="579">
        <f>IF(M18="","",SQRT(Z18^2+AA18^2+AB18^2))</f>
        <v>1</v>
      </c>
      <c r="AD18" s="580">
        <f>IF(M18="","",Z18*(1/SQRT(Z18^2+AA18^2+AB18^2)))</f>
        <v>0.93565582346141929</v>
      </c>
      <c r="AE18" s="572">
        <f>IF(M18="","",AA18*(1/SQRT(Z18^2+AA18^2+AB18^2)))</f>
        <v>-0.24513564652227091</v>
      </c>
      <c r="AF18" s="576">
        <f>IF(M18="","",AB18*(1/SQRT(Z18^2+AA18^2+AB18^2)))</f>
        <v>-0.25388323069246171</v>
      </c>
      <c r="AG18" s="545">
        <f>IF(M18="","",DEGREES(ATAN2(-AF18,AE18)))</f>
        <v>-43.995732728609227</v>
      </c>
      <c r="AH18" s="546">
        <f>IF(M18="","",DEGREES(ACOS(AD18)))</f>
        <v>20.665642644631827</v>
      </c>
      <c r="AI18" s="528">
        <f>IF(M18="","",DEGREES(-ACOS(-AF18)))</f>
        <v>-75.292578593501148</v>
      </c>
      <c r="AJ18" s="529">
        <f>IF(M18="","",DEGREES(ATAN2(-AE18,AD18)))</f>
        <v>75.318854599904085</v>
      </c>
      <c r="AK18" s="578">
        <f>IF(M18="","",(COS(RADIANS((90-$Q$8)-W18))*AD18)+(-SIN(RADIANS((90-$Q$8)-W18))*AE18))</f>
        <v>0.94437638614900576</v>
      </c>
      <c r="AL18" s="572">
        <f>IF(M18="","",(SIN(RADIANS((90-$Q$8)-W18))*AD18)+(COS(RADIANS((90-$Q$8)-W18))*AE18))</f>
        <v>-0.20903718917288905</v>
      </c>
      <c r="AM18" s="577">
        <f>IF(M18="","",AF18)</f>
        <v>-0.25388323069246171</v>
      </c>
      <c r="AN18" s="524">
        <f>IF(M18="","",DEGREES(ATAN2(-AM18,AL18)))</f>
        <v>-39.46666096838581</v>
      </c>
      <c r="AO18" s="525">
        <f t="shared" si="110"/>
        <v>19.199997227863374</v>
      </c>
      <c r="AP18" s="528">
        <f>IF(M18="","",DEGREES(ATAN2(AK18,AL18)))</f>
        <v>-12.481145717736561</v>
      </c>
      <c r="AQ18" s="529">
        <f t="shared" si="13"/>
        <v>0.32797589576368447</v>
      </c>
      <c r="AR18" s="979"/>
      <c r="AS18" s="954">
        <f t="shared" si="147"/>
        <v>-2.1999996823593619</v>
      </c>
      <c r="AT18" s="950">
        <f t="shared" si="14"/>
        <v>-0.97547516908369303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1.1279999999999999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28</v>
      </c>
      <c r="JN18" s="960">
        <f>($JO18-SMALL($JO$9:$JO$88,1))/((Settings!$C$19/2)-((Settings!$C$19/2)-LARGE($JO$9:$JO$88,1))-SMALL($JO$9:$JO$88,1))</f>
        <v>0.80909057514050964</v>
      </c>
      <c r="JO18" s="162">
        <f t="shared" si="134"/>
        <v>6.9508209636760263</v>
      </c>
      <c r="JP18" s="961">
        <f t="shared" si="135"/>
        <v>-39.46666096838581</v>
      </c>
      <c r="JQ18" s="961">
        <f t="shared" si="136"/>
        <v>19.199997227863374</v>
      </c>
      <c r="JS18" s="82">
        <v>14</v>
      </c>
      <c r="JT18" s="322">
        <f t="shared" si="137"/>
        <v>3.5653107529772301</v>
      </c>
      <c r="JU18" s="963">
        <f t="shared" si="138"/>
        <v>0.39454124677042129</v>
      </c>
      <c r="JV18" s="964">
        <v>3</v>
      </c>
      <c r="JW18" s="961">
        <f t="shared" si="92"/>
        <v>14.999997834268255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</v>
      </c>
      <c r="B19" s="578">
        <f t="shared" ref="B19:D19" si="276">IFERROR(O174+($A19*-E19),"")</f>
        <v>0.36487704731284198</v>
      </c>
      <c r="C19" s="572">
        <f t="shared" si="276"/>
        <v>7.4872370671094313</v>
      </c>
      <c r="D19" s="576">
        <f t="shared" si="276"/>
        <v>-1.5171045755874</v>
      </c>
      <c r="E19" s="580">
        <f t="shared" ref="E19:K19" si="277">R174</f>
        <v>-0.9173306502249936</v>
      </c>
      <c r="F19" s="572">
        <f t="shared" si="277"/>
        <v>0.31736656200218971</v>
      </c>
      <c r="G19" s="579">
        <f t="shared" si="277"/>
        <v>0.24038083010236225</v>
      </c>
      <c r="H19" s="580">
        <f t="shared" si="277"/>
        <v>0.3125</v>
      </c>
      <c r="I19" s="572">
        <f t="shared" si="277"/>
        <v>0.52</v>
      </c>
      <c r="J19" s="483">
        <f t="shared" si="94"/>
        <v>1.131</v>
      </c>
      <c r="K19" s="806">
        <f t="shared" si="277"/>
        <v>1613</v>
      </c>
      <c r="L19" s="718" t="s">
        <v>357</v>
      </c>
      <c r="M19" s="164">
        <f t="shared" si="4"/>
        <v>1.131</v>
      </c>
      <c r="N19" s="575">
        <f t="shared" si="5"/>
        <v>0.36487704731284198</v>
      </c>
      <c r="O19" s="572">
        <f t="shared" si="6"/>
        <v>7.4872370671094313</v>
      </c>
      <c r="P19" s="576">
        <f t="shared" si="7"/>
        <v>-1.5171045755874</v>
      </c>
      <c r="Q19" s="528">
        <f t="shared" si="144"/>
        <v>87.210000402826097</v>
      </c>
      <c r="R19" s="572">
        <f>IF(M19="","",SQRT(N19^2+O19^2))</f>
        <v>7.4961226083057886</v>
      </c>
      <c r="S19" s="577">
        <f>IF(M19="","",P19)</f>
        <v>-1.5171045755874</v>
      </c>
      <c r="T19" s="578">
        <f>IF(M19="","",X19*COS(RADIANS(W19)))</f>
        <v>7.4872370671094313</v>
      </c>
      <c r="U19" s="572">
        <f>IF(M19="","",X19*SIN(RADIANS(W19)))</f>
        <v>-0.3648770473128406</v>
      </c>
      <c r="V19" s="579">
        <f>IF(M19="","",Y19)</f>
        <v>-1.5171045755874</v>
      </c>
      <c r="W19" s="528">
        <f t="shared" si="268"/>
        <v>357.2100004028261</v>
      </c>
      <c r="X19" s="572">
        <f>IF(M19="","",R19)</f>
        <v>7.4961226083057886</v>
      </c>
      <c r="Y19" s="573">
        <f t="shared" si="271"/>
        <v>-1.5171045755874</v>
      </c>
      <c r="Z19" s="575">
        <f t="shared" si="10"/>
        <v>0.9173306502249936</v>
      </c>
      <c r="AA19" s="572">
        <f t="shared" si="11"/>
        <v>-0.31736656200218971</v>
      </c>
      <c r="AB19" s="572">
        <f t="shared" si="12"/>
        <v>-0.24038083010236225</v>
      </c>
      <c r="AC19" s="579">
        <f>IF(M19="","",SQRT(Z19^2+AA19^2+AB19^2))</f>
        <v>1</v>
      </c>
      <c r="AD19" s="580">
        <f>IF(M19="","",Z19*(1/SQRT(Z19^2+AA19^2+AB19^2)))</f>
        <v>0.9173306502249936</v>
      </c>
      <c r="AE19" s="572">
        <f>IF(M19="","",AA19*(1/SQRT(Z19^2+AA19^2+AB19^2)))</f>
        <v>-0.31736656200218971</v>
      </c>
      <c r="AF19" s="576">
        <f>IF(M19="","",AB19*(1/SQRT(Z19^2+AA19^2+AB19^2)))</f>
        <v>-0.24038083010236225</v>
      </c>
      <c r="AG19" s="545">
        <f>IF(M19="","",DEGREES(ATAN2(-AF19,AE19)))</f>
        <v>-52.858863493854166</v>
      </c>
      <c r="AH19" s="546">
        <f>IF(M19="","",DEGREES(ACOS(AD19)))</f>
        <v>23.461090892139076</v>
      </c>
      <c r="AI19" s="528">
        <f>IF(M19="","",DEGREES(-ACOS(-AF19)))</f>
        <v>-76.090981654497043</v>
      </c>
      <c r="AJ19" s="529">
        <f>IF(M19="","",DEGREES(ATAN2(-AE19,AD19)))</f>
        <v>70.916044618336826</v>
      </c>
      <c r="AK19" s="578">
        <f>IF(M19="","",(COS(RADIANS((90-$Q$8)-W19))*AD19)+(-SIN(RADIANS((90-$Q$8)-W19))*AE19))</f>
        <v>0.9316912470829819</v>
      </c>
      <c r="AL19" s="572">
        <f>IF(M19="","",(SIN(RADIANS((90-$Q$8)-W19))*AD19)+(COS(RADIANS((90-$Q$8)-W19))*AE19))</f>
        <v>-0.27233890032137753</v>
      </c>
      <c r="AM19" s="577">
        <f>IF(M19="","",AF19)</f>
        <v>-0.24038083010236225</v>
      </c>
      <c r="AN19" s="524">
        <f>IF(M19="","",DEGREES(ATAN2(-AM19,AL19)))</f>
        <v>-48.566659654508584</v>
      </c>
      <c r="AO19" s="525">
        <f t="shared" si="110"/>
        <v>21.299996924660942</v>
      </c>
      <c r="AP19" s="528">
        <f>IF(M19="","",DEGREES(ATAN2(AK19,AL19)))</f>
        <v>-16.293955784489292</v>
      </c>
      <c r="AQ19" s="529">
        <f t="shared" si="13"/>
        <v>0.30411792093613277</v>
      </c>
      <c r="AR19" s="979"/>
      <c r="AS19" s="954">
        <f t="shared" si="147"/>
        <v>-2.7899995971739031</v>
      </c>
      <c r="AT19" s="950">
        <f t="shared" si="14"/>
        <v>-1.5151670758671403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1.131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089" t="s">
        <v>356</v>
      </c>
      <c r="JE19" s="1090"/>
      <c r="JF19" s="1090"/>
      <c r="JG19" s="1090"/>
      <c r="JH19" s="1090"/>
      <c r="JI19" s="1090"/>
      <c r="JJ19" s="1090"/>
      <c r="JK19" s="1091"/>
      <c r="JM19" s="489">
        <f t="shared" si="133"/>
        <v>31</v>
      </c>
      <c r="JN19" s="960">
        <f>($JO19-SMALL($JO$9:$JO$88,1))/((Settings!$C$19/2)-((Settings!$C$19/2)-LARGE($JO$9:$JO$88,1))-SMALL($JO$9:$JO$88,1))</f>
        <v>0.87586173117660771</v>
      </c>
      <c r="JO19" s="162">
        <f t="shared" si="134"/>
        <v>7.4961226083057886</v>
      </c>
      <c r="JP19" s="961">
        <f t="shared" si="135"/>
        <v>-48.566659654508584</v>
      </c>
      <c r="JQ19" s="961">
        <f t="shared" si="136"/>
        <v>21.299996924660942</v>
      </c>
      <c r="JS19" s="82">
        <v>15</v>
      </c>
      <c r="JT19" s="322">
        <f t="shared" si="137"/>
        <v>3.8137115021538914</v>
      </c>
      <c r="JU19" s="963">
        <f t="shared" si="138"/>
        <v>0.42495744915326894</v>
      </c>
      <c r="JV19" s="964">
        <v>3</v>
      </c>
      <c r="JW19" s="961">
        <f t="shared" si="92"/>
        <v>14.999997834268255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</v>
      </c>
      <c r="B20" s="578">
        <f t="shared" ref="B20:D20" si="278">IFERROR(O175+($A20*-E20),"")</f>
        <v>0.45038255492181506</v>
      </c>
      <c r="C20" s="572">
        <f t="shared" si="278"/>
        <v>7.9071075572565688</v>
      </c>
      <c r="D20" s="576">
        <f t="shared" si="278"/>
        <v>-2.157006505531621</v>
      </c>
      <c r="E20" s="580">
        <f t="shared" ref="E20:K20" si="279">R175</f>
        <v>-0.89564315529238603</v>
      </c>
      <c r="F20" s="572">
        <f t="shared" si="279"/>
        <v>0.38983858361948653</v>
      </c>
      <c r="G20" s="579">
        <f t="shared" si="279"/>
        <v>0.2141243029164408</v>
      </c>
      <c r="H20" s="580">
        <f t="shared" si="279"/>
        <v>0.3125</v>
      </c>
      <c r="I20" s="572">
        <f t="shared" si="279"/>
        <v>0.52</v>
      </c>
      <c r="J20" s="483">
        <f t="shared" si="94"/>
        <v>1.1339999999999999</v>
      </c>
      <c r="K20" s="806">
        <f t="shared" si="279"/>
        <v>1613</v>
      </c>
      <c r="L20" s="717">
        <f>IF($L19=$JJ$22,$JJ$30,IF($L19=$JK$22,$JK$30,""))</f>
        <v>400</v>
      </c>
      <c r="M20" s="164">
        <f t="shared" si="4"/>
        <v>1.1339999999999999</v>
      </c>
      <c r="N20" s="575">
        <f t="shared" si="5"/>
        <v>0.45038255492181506</v>
      </c>
      <c r="O20" s="572">
        <f t="shared" si="6"/>
        <v>7.9071075572565688</v>
      </c>
      <c r="P20" s="576">
        <f t="shared" si="7"/>
        <v>-2.157006505531621</v>
      </c>
      <c r="Q20" s="528">
        <f t="shared" si="144"/>
        <v>86.7400004706857</v>
      </c>
      <c r="R20" s="572">
        <f>IF(M20="","",SQRT(N20^2+O20^2))</f>
        <v>7.91992388649044</v>
      </c>
      <c r="S20" s="577">
        <f>IF(M20="","",P20)</f>
        <v>-2.157006505531621</v>
      </c>
      <c r="T20" s="578">
        <f>IF(M20="","",X20*COS(RADIANS(W20)))</f>
        <v>7.9071075572565679</v>
      </c>
      <c r="U20" s="572">
        <f>IF(M20="","",X20*SIN(RADIANS(W20)))</f>
        <v>-0.45038255492181578</v>
      </c>
      <c r="V20" s="579">
        <f>IF(M20="","",Y20)</f>
        <v>-2.157006505531621</v>
      </c>
      <c r="W20" s="528">
        <f t="shared" si="268"/>
        <v>356.74000047068569</v>
      </c>
      <c r="X20" s="572">
        <f>IF(M20="","",R20)</f>
        <v>7.91992388649044</v>
      </c>
      <c r="Y20" s="573">
        <f t="shared" si="271"/>
        <v>-2.157006505531621</v>
      </c>
      <c r="Z20" s="575">
        <f t="shared" si="10"/>
        <v>0.89564315529238603</v>
      </c>
      <c r="AA20" s="572">
        <f t="shared" si="11"/>
        <v>-0.38983858361948653</v>
      </c>
      <c r="AB20" s="572">
        <f t="shared" si="12"/>
        <v>-0.2141243029164408</v>
      </c>
      <c r="AC20" s="579">
        <f>IF(M20="","",SQRT(Z20^2+AA20^2+AB20^2))</f>
        <v>1</v>
      </c>
      <c r="AD20" s="580">
        <f>IF(M20="","",Z20*(1/SQRT(Z20^2+AA20^2+AB20^2)))</f>
        <v>0.89564315529238603</v>
      </c>
      <c r="AE20" s="572">
        <f>IF(M20="","",AA20*(1/SQRT(Z20^2+AA20^2+AB20^2)))</f>
        <v>-0.38983858361948653</v>
      </c>
      <c r="AF20" s="576">
        <f>IF(M20="","",AB20*(1/SQRT(Z20^2+AA20^2+AB20^2)))</f>
        <v>-0.2141243029164408</v>
      </c>
      <c r="AG20" s="545">
        <f>IF(M20="","",DEGREES(ATAN2(-AF20,AE20)))</f>
        <v>-61.221591930556656</v>
      </c>
      <c r="AH20" s="546">
        <f>IF(M20="","",DEGREES(ACOS(AD20)))</f>
        <v>26.408839073955811</v>
      </c>
      <c r="AI20" s="528">
        <f>IF(M20="","",DEGREES(-ACOS(-AF20)))</f>
        <v>-77.635842837315892</v>
      </c>
      <c r="AJ20" s="529">
        <f>IF(M20="","",DEGREES(ATAN2(-AE20,AD20)))</f>
        <v>66.478383641130051</v>
      </c>
      <c r="AK20" s="578">
        <f>IF(M20="","",(COS(RADIANS((90-$Q$8)-W20))*AD20)+(-SIN(RADIANS((90-$Q$8)-W20))*AE20))</f>
        <v>0.91636275337125994</v>
      </c>
      <c r="AL20" s="572">
        <f>IF(M20="","",(SIN(RADIANS((90-$Q$8)-W20))*AD20)+(COS(RADIANS((90-$Q$8)-W20))*AE20))</f>
        <v>-0.3382751648205819</v>
      </c>
      <c r="AM20" s="577">
        <f>IF(M20="","",AF20)</f>
        <v>-0.2141243029164408</v>
      </c>
      <c r="AN20" s="524">
        <f>IF(M20="","",DEGREES(ATAN2(-AM20,AL20)))</f>
        <v>-57.666658340631315</v>
      </c>
      <c r="AO20" s="525">
        <f t="shared" si="110"/>
        <v>23.599996592582059</v>
      </c>
      <c r="AP20" s="528">
        <f>IF(M20="","",DEGREES(ATAN2(AK20,AL20)))</f>
        <v>-20.261616829555649</v>
      </c>
      <c r="AQ20" s="529">
        <f t="shared" si="13"/>
        <v>0.28784461635057051</v>
      </c>
      <c r="AR20" s="979"/>
      <c r="AS20" s="954">
        <f t="shared" si="147"/>
        <v>-3.2599995293143138</v>
      </c>
      <c r="AT20" s="950">
        <f t="shared" si="14"/>
        <v>-2.1547426169695973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1.1339999999999999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092" t="s">
        <v>360</v>
      </c>
      <c r="JE20" s="1093"/>
      <c r="JF20" s="1093"/>
      <c r="JG20" s="1093"/>
      <c r="JH20" s="1306" t="s">
        <v>361</v>
      </c>
      <c r="JI20" s="1307"/>
      <c r="JJ20" s="1307"/>
      <c r="JK20" s="1308"/>
      <c r="JM20" s="489">
        <f t="shared" si="133"/>
        <v>34</v>
      </c>
      <c r="JN20" s="960">
        <f>($JO20-SMALL($JO$9:$JO$88,1))/((Settings!$C$19/2)-((Settings!$C$19/2)-LARGE($JO$9:$JO$88,1))-SMALL($JO$9:$JO$88,1))</f>
        <v>0.92775539691674713</v>
      </c>
      <c r="JO20" s="162">
        <f t="shared" si="134"/>
        <v>7.91992388649044</v>
      </c>
      <c r="JP20" s="961">
        <f t="shared" si="135"/>
        <v>-57.666658340631315</v>
      </c>
      <c r="JQ20" s="961">
        <f t="shared" si="136"/>
        <v>23.599996592582059</v>
      </c>
      <c r="JS20" s="82">
        <v>16</v>
      </c>
      <c r="JT20" s="322">
        <f t="shared" si="137"/>
        <v>4.0657122621881818</v>
      </c>
      <c r="JU20" s="963">
        <f t="shared" si="138"/>
        <v>0.45581446606340376</v>
      </c>
      <c r="JV20" s="964">
        <v>3</v>
      </c>
      <c r="JW20" s="961">
        <f t="shared" si="92"/>
        <v>14.999997834268255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</v>
      </c>
      <c r="B21" s="578">
        <f t="shared" ref="B21:D21" si="281">IFERROR(O176+($A21*-E21),"")</f>
        <v>0.51376220184921084</v>
      </c>
      <c r="C21" s="572">
        <f t="shared" si="281"/>
        <v>8.1888239991066172</v>
      </c>
      <c r="D21" s="576">
        <f t="shared" si="281"/>
        <v>-2.8697086550413031</v>
      </c>
      <c r="E21" s="580">
        <f t="shared" ref="E21:K21" si="282">R176</f>
        <v>-0.8718071282768689</v>
      </c>
      <c r="F21" s="572">
        <f t="shared" si="282"/>
        <v>0.45831050293108494</v>
      </c>
      <c r="G21" s="579">
        <f t="shared" si="282"/>
        <v>0.17292719273930074</v>
      </c>
      <c r="H21" s="580">
        <f t="shared" si="282"/>
        <v>0.3125</v>
      </c>
      <c r="I21" s="572">
        <f t="shared" si="282"/>
        <v>0.52</v>
      </c>
      <c r="J21" s="483">
        <f t="shared" si="94"/>
        <v>1.137</v>
      </c>
      <c r="K21" s="806">
        <f t="shared" si="282"/>
        <v>1613</v>
      </c>
      <c r="L21" s="719" t="s">
        <v>358</v>
      </c>
      <c r="M21" s="164">
        <f t="shared" si="4"/>
        <v>1.137</v>
      </c>
      <c r="N21" s="575">
        <f t="shared" si="5"/>
        <v>0.51376220184921084</v>
      </c>
      <c r="O21" s="572">
        <f t="shared" si="6"/>
        <v>8.1888239991066172</v>
      </c>
      <c r="P21" s="576">
        <f t="shared" si="7"/>
        <v>-2.8697086550413031</v>
      </c>
      <c r="Q21" s="528">
        <f t="shared" si="144"/>
        <v>86.410000518331799</v>
      </c>
      <c r="R21" s="572">
        <f>IF(M21="","",SQRT(N21^2+O21^2))</f>
        <v>8.2049247460530346</v>
      </c>
      <c r="S21" s="577">
        <f>IF(M21="","",P21)</f>
        <v>-2.8697086550413031</v>
      </c>
      <c r="T21" s="578">
        <f>IF(M21="","",X21*COS(RADIANS(W21)))</f>
        <v>8.1888239991066172</v>
      </c>
      <c r="U21" s="572">
        <f>IF(M21="","",X21*SIN(RADIANS(W21)))</f>
        <v>-0.51376220184921029</v>
      </c>
      <c r="V21" s="579">
        <f>IF(M21="","",Y21)</f>
        <v>-2.8697086550413031</v>
      </c>
      <c r="W21" s="528">
        <f t="shared" si="268"/>
        <v>356.4100005183318</v>
      </c>
      <c r="X21" s="572">
        <f>IF(M21="","",R21)</f>
        <v>8.2049247460530346</v>
      </c>
      <c r="Y21" s="573">
        <f t="shared" si="271"/>
        <v>-2.8697086550413031</v>
      </c>
      <c r="Z21" s="575">
        <f t="shared" si="10"/>
        <v>0.8718071282768689</v>
      </c>
      <c r="AA21" s="572">
        <f t="shared" si="11"/>
        <v>-0.45831050293108494</v>
      </c>
      <c r="AB21" s="572">
        <f t="shared" si="12"/>
        <v>-0.17292719273930074</v>
      </c>
      <c r="AC21" s="579">
        <f>IF(M21="","",SQRT(Z21^2+AA21^2+AB21^2))</f>
        <v>1</v>
      </c>
      <c r="AD21" s="580">
        <f>IF(M21="","",Z21*(1/SQRT(Z21^2+AA21^2+AB21^2)))</f>
        <v>0.8718071282768689</v>
      </c>
      <c r="AE21" s="572">
        <f>IF(M21="","",AA21*(1/SQRT(Z21^2+AA21^2+AB21^2)))</f>
        <v>-0.45831050293108494</v>
      </c>
      <c r="AF21" s="576">
        <f>IF(M21="","",AB21*(1/SQRT(Z21^2+AA21^2+AB21^2)))</f>
        <v>-0.17292719273930074</v>
      </c>
      <c r="AG21" s="545">
        <f>IF(M21="","",DEGREES(ATAN2(-AF21,AE21)))</f>
        <v>-69.327782173316365</v>
      </c>
      <c r="AH21" s="546">
        <f>IF(M21="","",DEGREES(ACOS(AD21)))</f>
        <v>29.330676606272991</v>
      </c>
      <c r="AI21" s="528">
        <f>IF(M21="","",DEGREES(-ACOS(-AF21)))</f>
        <v>-80.041943954068515</v>
      </c>
      <c r="AJ21" s="529">
        <f>IF(M21="","",DEGREES(ATAN2(-AE21,AD21)))</f>
        <v>62.269018147144521</v>
      </c>
      <c r="AK21" s="578">
        <f>IF(M21="","",(COS(RADIANS((90-$Q$8)-W21))*AD21)+(-SIN(RADIANS((90-$Q$8)-W21))*AE21))</f>
        <v>0.89879407502059649</v>
      </c>
      <c r="AL21" s="572">
        <f>IF(M21="","",(SIN(RADIANS((90-$Q$8)-W21))*AD21)+(COS(RADIANS((90-$Q$8)-W21))*AE21))</f>
        <v>-0.40282179275602192</v>
      </c>
      <c r="AM21" s="577">
        <f>IF(M21="","",AF21)</f>
        <v>-0.17292719273930074</v>
      </c>
      <c r="AN21" s="524">
        <f>IF(M21="","",DEGREES(ATAN2(-AM21,AL21)))</f>
        <v>-66.766657026754046</v>
      </c>
      <c r="AO21" s="525">
        <f>IF(ROUND(IF(M21="",0,DEGREES(ACOS(AK21))),4)=90,0,IF(M21="","",DEGREES(ACOS(AK21))))</f>
        <v>25.999996246064971</v>
      </c>
      <c r="AP21" s="528">
        <f>IF(M21="","",DEGREES(ATAN2(AK21,AL21)))</f>
        <v>-24.140982371187274</v>
      </c>
      <c r="AQ21" s="529">
        <f t="shared" si="13"/>
        <v>0.27784639499228697</v>
      </c>
      <c r="AR21" s="979"/>
      <c r="AS21" s="954">
        <f t="shared" si="147"/>
        <v>-3.589999481668201</v>
      </c>
      <c r="AT21" s="950">
        <f t="shared" si="14"/>
        <v>-2.8672155998457001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1.137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094"/>
      <c r="JE21" s="1095"/>
      <c r="JF21" s="1095"/>
      <c r="JG21" s="1095"/>
      <c r="JH21" s="1309" t="s">
        <v>349</v>
      </c>
      <c r="JI21" s="1310"/>
      <c r="JJ21" s="1096" t="s">
        <v>362</v>
      </c>
      <c r="JK21" s="1097"/>
      <c r="JM21" s="489">
        <f t="shared" si="133"/>
        <v>37</v>
      </c>
      <c r="JN21" s="960">
        <f>($JO21-SMALL($JO$9:$JO$88,1))/((Settings!$C$19/2)-((Settings!$C$19/2)-LARGE($JO$9:$JO$88,1))-SMALL($JO$9:$JO$88,1))</f>
        <v>0.9626532136603525</v>
      </c>
      <c r="JO21" s="162">
        <f t="shared" si="134"/>
        <v>8.2049247460530346</v>
      </c>
      <c r="JP21" s="961">
        <f t="shared" si="135"/>
        <v>-66.766657026754046</v>
      </c>
      <c r="JQ21" s="961">
        <f t="shared" si="136"/>
        <v>25.999996246064971</v>
      </c>
      <c r="JS21" s="82">
        <v>17</v>
      </c>
      <c r="JT21" s="322">
        <f t="shared" si="137"/>
        <v>4.3202130297624972</v>
      </c>
      <c r="JU21" s="963">
        <f t="shared" si="138"/>
        <v>0.48697760417304414</v>
      </c>
      <c r="JV21" s="964">
        <v>3</v>
      </c>
      <c r="JW21" s="961">
        <f t="shared" si="92"/>
        <v>15.099997819830044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</v>
      </c>
      <c r="B22" s="578">
        <f t="shared" ref="B22:D22" si="283">IFERROR(O177+($A22*-E22),"")</f>
        <v>0.55212846846069386</v>
      </c>
      <c r="C22" s="572">
        <f t="shared" si="283"/>
        <v>8.3568057440914192</v>
      </c>
      <c r="D22" s="576">
        <f t="shared" si="283"/>
        <v>-3.6191109152385219</v>
      </c>
      <c r="E22" s="580">
        <f t="shared" ref="E22:K22" si="284">R177</f>
        <v>-0.84547021604245576</v>
      </c>
      <c r="F22" s="572">
        <f t="shared" si="284"/>
        <v>0.52107352497631054</v>
      </c>
      <c r="G22" s="579">
        <f t="shared" si="284"/>
        <v>0.11688667740117005</v>
      </c>
      <c r="H22" s="580">
        <f t="shared" si="284"/>
        <v>0.3125</v>
      </c>
      <c r="I22" s="572">
        <f t="shared" si="284"/>
        <v>0.52</v>
      </c>
      <c r="J22" s="483">
        <f t="shared" si="94"/>
        <v>1.1399999999999999</v>
      </c>
      <c r="K22" s="806">
        <f t="shared" si="284"/>
        <v>1613</v>
      </c>
      <c r="L22" s="814">
        <f>IF($L21=$JJ$22,$JJ$30,IF($L21=$JK$22,$JK$30,""))</f>
        <v>720</v>
      </c>
      <c r="M22" s="164">
        <f t="shared" si="4"/>
        <v>1.1399999999999999</v>
      </c>
      <c r="N22" s="575">
        <f t="shared" si="5"/>
        <v>0.55212846846069386</v>
      </c>
      <c r="O22" s="572">
        <f t="shared" si="6"/>
        <v>8.3568057440914192</v>
      </c>
      <c r="P22" s="576">
        <f t="shared" si="7"/>
        <v>-3.6191109152385219</v>
      </c>
      <c r="Q22" s="528">
        <f t="shared" si="144"/>
        <v>86.220000545764393</v>
      </c>
      <c r="R22" s="572">
        <f t="shared" si="95"/>
        <v>8.3750252590761836</v>
      </c>
      <c r="S22" s="577">
        <f t="shared" si="96"/>
        <v>-3.6191109152385219</v>
      </c>
      <c r="T22" s="578">
        <f t="shared" si="97"/>
        <v>8.3568057440914192</v>
      </c>
      <c r="U22" s="572">
        <f t="shared" si="98"/>
        <v>-0.55212846846069663</v>
      </c>
      <c r="V22" s="579">
        <f t="shared" si="145"/>
        <v>-3.6191109152385219</v>
      </c>
      <c r="W22" s="528">
        <f t="shared" si="268"/>
        <v>356.22000054576438</v>
      </c>
      <c r="X22" s="572">
        <f t="shared" si="99"/>
        <v>8.3750252590761836</v>
      </c>
      <c r="Y22" s="573">
        <f t="shared" si="271"/>
        <v>-3.6191109152385219</v>
      </c>
      <c r="Z22" s="575">
        <f t="shared" si="10"/>
        <v>0.84547021604245576</v>
      </c>
      <c r="AA22" s="572">
        <f t="shared" si="11"/>
        <v>-0.52107352497631054</v>
      </c>
      <c r="AB22" s="572">
        <f t="shared" si="12"/>
        <v>-0.11688667740117005</v>
      </c>
      <c r="AC22" s="579">
        <f t="shared" si="100"/>
        <v>0.99999999999999978</v>
      </c>
      <c r="AD22" s="580">
        <f t="shared" si="146"/>
        <v>0.84547021604245598</v>
      </c>
      <c r="AE22" s="572">
        <f t="shared" si="101"/>
        <v>-0.52107352497631065</v>
      </c>
      <c r="AF22" s="576">
        <f t="shared" si="102"/>
        <v>-0.11688667740117008</v>
      </c>
      <c r="AG22" s="545">
        <f t="shared" si="103"/>
        <v>-77.356761753009366</v>
      </c>
      <c r="AH22" s="546">
        <f t="shared" si="104"/>
        <v>32.277649314512715</v>
      </c>
      <c r="AI22" s="528">
        <f t="shared" si="105"/>
        <v>-83.287542295943254</v>
      </c>
      <c r="AJ22" s="529">
        <f t="shared" si="106"/>
        <v>58.353969381154421</v>
      </c>
      <c r="AK22" s="578">
        <f t="shared" si="247"/>
        <v>0.87798300992748191</v>
      </c>
      <c r="AL22" s="572">
        <f t="shared" si="107"/>
        <v>-0.46420182994554671</v>
      </c>
      <c r="AM22" s="577">
        <f t="shared" si="108"/>
        <v>-0.11688667740117008</v>
      </c>
      <c r="AN22" s="524">
        <f t="shared" si="109"/>
        <v>-75.866655712876806</v>
      </c>
      <c r="AO22" s="525">
        <f t="shared" si="110"/>
        <v>28.599995870671457</v>
      </c>
      <c r="AP22" s="528">
        <f t="shared" si="111"/>
        <v>-27.866031164609957</v>
      </c>
      <c r="AQ22" s="529">
        <f t="shared" si="13"/>
        <v>0.27220329609400079</v>
      </c>
      <c r="AR22" s="979"/>
      <c r="AS22" s="954">
        <f t="shared" si="147"/>
        <v>-3.7799994542356217</v>
      </c>
      <c r="AT22" s="950">
        <f t="shared" si="14"/>
        <v>-3.6164859156175249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1.1399999999999999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  <c r="JM22" s="489">
        <f t="shared" si="133"/>
        <v>40</v>
      </c>
      <c r="JN22" s="960">
        <f>($JO22-SMALL($JO$9:$JO$88,1))/((Settings!$C$19/2)-((Settings!$C$19/2)-LARGE($JO$9:$JO$88,1))-SMALL($JO$9:$JO$88,1))</f>
        <v>0.98348170007469382</v>
      </c>
      <c r="JO22" s="162">
        <f t="shared" si="134"/>
        <v>8.3750252590761836</v>
      </c>
      <c r="JP22" s="961">
        <f t="shared" si="135"/>
        <v>-75.866655712876806</v>
      </c>
      <c r="JQ22" s="961">
        <f t="shared" si="136"/>
        <v>28.599995870671457</v>
      </c>
      <c r="JS22" s="82">
        <v>18</v>
      </c>
      <c r="JT22" s="322">
        <f t="shared" si="137"/>
        <v>4.5762138018608276</v>
      </c>
      <c r="JU22" s="963">
        <f t="shared" si="138"/>
        <v>0.51832441500238791</v>
      </c>
      <c r="JV22" s="964">
        <v>1.5</v>
      </c>
      <c r="JW22" s="961">
        <f t="shared" si="92"/>
        <v>15.19999780539186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15.057951733303263</v>
      </c>
      <c r="KG22" s="966">
        <f t="shared" si="244"/>
        <v>-3.837426666666671</v>
      </c>
      <c r="KH22" s="966">
        <f t="shared" si="141"/>
        <v>5.7951733303262642E-2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0.57617278496028035</v>
      </c>
      <c r="C23" s="572">
        <f t="shared" si="285"/>
        <v>8.4516085585860736</v>
      </c>
      <c r="D23" s="576">
        <f t="shared" si="285"/>
        <v>-4.3816132149454567</v>
      </c>
      <c r="E23" s="580">
        <f t="shared" ref="E23:K23" si="286">R178</f>
        <v>-0.81627429194827428</v>
      </c>
      <c r="F23" s="572">
        <f t="shared" si="286"/>
        <v>0.57585309014966046</v>
      </c>
      <c r="G23" s="579">
        <f t="shared" si="286"/>
        <v>4.5711036626076514E-2</v>
      </c>
      <c r="H23" s="580">
        <f t="shared" si="286"/>
        <v>0.3125</v>
      </c>
      <c r="I23" s="572">
        <f t="shared" si="286"/>
        <v>0.52</v>
      </c>
      <c r="J23" s="483">
        <f t="shared" si="94"/>
        <v>1.143</v>
      </c>
      <c r="K23" s="806">
        <f t="shared" si="286"/>
        <v>1613</v>
      </c>
      <c r="M23" s="164">
        <f t="shared" si="4"/>
        <v>1.143</v>
      </c>
      <c r="N23" s="575">
        <f t="shared" si="5"/>
        <v>0.57617278496028035</v>
      </c>
      <c r="O23" s="572">
        <f t="shared" si="6"/>
        <v>8.4516085585860736</v>
      </c>
      <c r="P23" s="576">
        <f t="shared" si="7"/>
        <v>-4.3816132149454567</v>
      </c>
      <c r="Q23" s="528">
        <f t="shared" si="144"/>
        <v>86.100000563090248</v>
      </c>
      <c r="R23" s="572">
        <f t="shared" si="95"/>
        <v>8.4712255492162551</v>
      </c>
      <c r="S23" s="577">
        <f t="shared" si="96"/>
        <v>-4.3816132149454567</v>
      </c>
      <c r="T23" s="578">
        <f t="shared" si="97"/>
        <v>8.4516085585860736</v>
      </c>
      <c r="U23" s="572">
        <f t="shared" si="98"/>
        <v>-0.57617278496027879</v>
      </c>
      <c r="V23" s="579">
        <f t="shared" si="145"/>
        <v>-4.3816132149454567</v>
      </c>
      <c r="W23" s="528">
        <f t="shared" si="268"/>
        <v>356.10000056309025</v>
      </c>
      <c r="X23" s="572">
        <f t="shared" si="99"/>
        <v>8.4712255492162551</v>
      </c>
      <c r="Y23" s="573">
        <f t="shared" si="271"/>
        <v>-4.3816132149454567</v>
      </c>
      <c r="Z23" s="575">
        <f t="shared" si="10"/>
        <v>0.81627429194827428</v>
      </c>
      <c r="AA23" s="572">
        <f t="shared" si="11"/>
        <v>-0.57585309014966046</v>
      </c>
      <c r="AB23" s="572">
        <f t="shared" si="12"/>
        <v>-4.5711036626076514E-2</v>
      </c>
      <c r="AC23" s="579">
        <f t="shared" si="100"/>
        <v>1</v>
      </c>
      <c r="AD23" s="580">
        <f t="shared" si="146"/>
        <v>0.81627429194827428</v>
      </c>
      <c r="AE23" s="572">
        <f t="shared" si="101"/>
        <v>-0.57585309014966046</v>
      </c>
      <c r="AF23" s="576">
        <f t="shared" si="102"/>
        <v>-4.5711036626076514E-2</v>
      </c>
      <c r="AG23" s="545">
        <f t="shared" si="103"/>
        <v>-85.46139591724517</v>
      </c>
      <c r="AH23" s="546">
        <f t="shared" si="104"/>
        <v>35.286443461602381</v>
      </c>
      <c r="AI23" s="528">
        <f t="shared" si="105"/>
        <v>-87.380037581994429</v>
      </c>
      <c r="AJ23" s="529">
        <f t="shared" si="106"/>
        <v>54.798363407567116</v>
      </c>
      <c r="AK23" s="578">
        <f t="shared" si="247"/>
        <v>0.85355083850084712</v>
      </c>
      <c r="AL23" s="572">
        <f t="shared" si="107"/>
        <v>-0.51900045012029639</v>
      </c>
      <c r="AM23" s="577">
        <f t="shared" si="108"/>
        <v>-4.5711036626076514E-2</v>
      </c>
      <c r="AN23" s="524">
        <f t="shared" si="109"/>
        <v>-84.966654398999552</v>
      </c>
      <c r="AO23" s="525">
        <f t="shared" si="110"/>
        <v>31.399995466401588</v>
      </c>
      <c r="AP23" s="528">
        <f t="shared" si="111"/>
        <v>-31.301637155523153</v>
      </c>
      <c r="AQ23" s="529">
        <f t="shared" si="13"/>
        <v>0.26911216735758797</v>
      </c>
      <c r="AR23" s="979"/>
      <c r="AS23" s="954">
        <f t="shared" si="147"/>
        <v>-3.8999994369097521</v>
      </c>
      <c r="AT23" s="950">
        <f t="shared" si="14"/>
        <v>-4.378904882003158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1.143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1613</v>
      </c>
      <c r="IM23" s="482" t="str">
        <f t="shared" si="242"/>
        <v/>
      </c>
      <c r="IN23" s="670" t="str">
        <f t="shared" si="81"/>
        <v/>
      </c>
      <c r="IO23" s="702"/>
      <c r="IP23" s="5" t="str">
        <f t="shared" si="82"/>
        <v/>
      </c>
      <c r="IQ23" s="714"/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58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24</v>
      </c>
      <c r="JI23" s="742">
        <v>34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400</v>
      </c>
      <c r="JK23" s="742">
        <v>720</v>
      </c>
      <c r="JM23" s="489">
        <f t="shared" si="133"/>
        <v>43</v>
      </c>
      <c r="JN23" s="960">
        <f>($JO23-SMALL($JO$9:$JO$88,1))/((Settings!$C$19/2)-((Settings!$C$19/2)-LARGE($JO$9:$JO$88,1))-SMALL($JO$9:$JO$88,1))</f>
        <v>0.99526124383165759</v>
      </c>
      <c r="JO23" s="162">
        <f t="shared" si="134"/>
        <v>8.4712255492162551</v>
      </c>
      <c r="JP23" s="961">
        <f t="shared" si="135"/>
        <v>-84.966654398999552</v>
      </c>
      <c r="JQ23" s="961">
        <f t="shared" si="136"/>
        <v>31.399995466401588</v>
      </c>
      <c r="JS23" s="82">
        <v>19</v>
      </c>
      <c r="JT23" s="322">
        <f t="shared" si="137"/>
        <v>4.8324145745623586</v>
      </c>
      <c r="JU23" s="963">
        <f t="shared" si="138"/>
        <v>0.54969571552769203</v>
      </c>
      <c r="JV23" s="961">
        <f t="shared" ref="JV23:JV53" si="287">INDEX($JM$9:$JQ$88,MATCH($JS23,$JM$9:$JM$88,0),4)</f>
        <v>-12.166664910017715</v>
      </c>
      <c r="JW23" s="961">
        <f t="shared" si="92"/>
        <v>15.399997776515438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1.8991194484474601</v>
      </c>
      <c r="KD23" s="970">
        <v>-11.212033333333332</v>
      </c>
      <c r="KE23" s="968">
        <f t="shared" si="140"/>
        <v>-13.111152781780792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15.173389846003737</v>
      </c>
      <c r="KG23" s="966">
        <f t="shared" si="244"/>
        <v>-3.8120333333333321</v>
      </c>
      <c r="KH23" s="966">
        <f t="shared" si="141"/>
        <v>0.11543811270047399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0.58473213294995574</v>
      </c>
      <c r="C24" s="572">
        <f t="shared" si="288"/>
        <v>8.4898129056209957</v>
      </c>
      <c r="D24" s="576">
        <f t="shared" si="288"/>
        <v>-5.1743156057358668</v>
      </c>
      <c r="E24" s="580">
        <f t="shared" ref="E24:K24" si="289">R179</f>
        <v>-0.80553726555655947</v>
      </c>
      <c r="F24" s="572">
        <f t="shared" si="289"/>
        <v>0.59224996095566063</v>
      </c>
      <c r="G24" s="579">
        <f t="shared" si="289"/>
        <v>1.8700201808521943E-2</v>
      </c>
      <c r="H24" s="580">
        <f t="shared" si="289"/>
        <v>0.3125</v>
      </c>
      <c r="I24" s="572">
        <f t="shared" si="289"/>
        <v>0.52</v>
      </c>
      <c r="J24" s="483">
        <f t="shared" si="94"/>
        <v>1.1459999999999999</v>
      </c>
      <c r="K24" s="806">
        <f t="shared" si="289"/>
        <v>1613</v>
      </c>
      <c r="L24" s="82"/>
      <c r="M24" s="164">
        <f t="shared" si="4"/>
        <v>1.1459999999999999</v>
      </c>
      <c r="N24" s="575">
        <f t="shared" si="5"/>
        <v>0.58473213294995574</v>
      </c>
      <c r="O24" s="572">
        <f t="shared" si="6"/>
        <v>8.4898129056209957</v>
      </c>
      <c r="P24" s="576">
        <f t="shared" si="7"/>
        <v>-5.1743156057358668</v>
      </c>
      <c r="Q24" s="528">
        <f t="shared" si="144"/>
        <v>86.060000568865547</v>
      </c>
      <c r="R24" s="572">
        <f t="shared" si="95"/>
        <v>8.5099256659358087</v>
      </c>
      <c r="S24" s="577">
        <f t="shared" si="96"/>
        <v>-5.1743156057358668</v>
      </c>
      <c r="T24" s="578">
        <f t="shared" si="97"/>
        <v>8.4898129056209957</v>
      </c>
      <c r="U24" s="572">
        <f t="shared" si="98"/>
        <v>-0.58473213294994741</v>
      </c>
      <c r="V24" s="579">
        <f t="shared" si="145"/>
        <v>-5.1743156057358668</v>
      </c>
      <c r="W24" s="528">
        <f t="shared" si="268"/>
        <v>356.06000056886558</v>
      </c>
      <c r="X24" s="572">
        <f t="shared" si="99"/>
        <v>8.5099256659358087</v>
      </c>
      <c r="Y24" s="573">
        <f t="shared" si="271"/>
        <v>-5.1743156057358668</v>
      </c>
      <c r="Z24" s="575">
        <f t="shared" si="10"/>
        <v>0.80553726555655947</v>
      </c>
      <c r="AA24" s="572">
        <f t="shared" si="11"/>
        <v>-0.59224996095566063</v>
      </c>
      <c r="AB24" s="572">
        <f t="shared" si="12"/>
        <v>-1.8700201808521943E-2</v>
      </c>
      <c r="AC24" s="579">
        <f t="shared" si="100"/>
        <v>1</v>
      </c>
      <c r="AD24" s="580">
        <f t="shared" si="146"/>
        <v>0.80553726555655947</v>
      </c>
      <c r="AE24" s="572">
        <f t="shared" si="101"/>
        <v>-0.59224996095566063</v>
      </c>
      <c r="AF24" s="576">
        <f t="shared" si="102"/>
        <v>-1.8700201808521943E-2</v>
      </c>
      <c r="AG24" s="545">
        <f t="shared" si="103"/>
        <v>-88.191495386417927</v>
      </c>
      <c r="AH24" s="546">
        <f t="shared" si="104"/>
        <v>36.337826091740709</v>
      </c>
      <c r="AI24" s="528">
        <f t="shared" si="105"/>
        <v>-88.92849490368927</v>
      </c>
      <c r="AJ24" s="529">
        <f t="shared" si="106"/>
        <v>53.675798815934407</v>
      </c>
      <c r="AK24" s="578">
        <f>IF(M24="","",(COS(RADIANS((90-$Q$8)-W24))*AD24)+(-SIN(RADIANS((90-$Q$8)-W24))*AE24))</f>
        <v>0.84432796925021358</v>
      </c>
      <c r="AL24" s="572">
        <f t="shared" si="107"/>
        <v>-0.53550031073205828</v>
      </c>
      <c r="AM24" s="577">
        <f t="shared" si="108"/>
        <v>-1.8700201808521943E-2</v>
      </c>
      <c r="AN24" s="524">
        <f t="shared" si="109"/>
        <v>-87.999987294373838</v>
      </c>
      <c r="AO24" s="525">
        <f t="shared" si="110"/>
        <v>32.399995322019507</v>
      </c>
      <c r="AP24" s="528">
        <f t="shared" si="111"/>
        <v>-32.38420175293119</v>
      </c>
      <c r="AQ24" s="529">
        <f t="shared" si="13"/>
        <v>0.26788835876402095</v>
      </c>
      <c r="AR24" s="979"/>
      <c r="AS24" s="954">
        <f t="shared" si="147"/>
        <v>-3.9399994311344244</v>
      </c>
      <c r="AT24" s="950">
        <f t="shared" si="14"/>
        <v>-5.1715794950198015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1.1459999999999999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1613</v>
      </c>
      <c r="IM24" s="482" t="str">
        <f t="shared" si="24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46</v>
      </c>
      <c r="JN24" s="960">
        <f>($JO24-SMALL($JO$9:$JO$88,1))/((Settings!$C$19/2)-((Settings!$C$19/2)-LARGE($JO$9:$JO$88,1))-SMALL($JO$9:$JO$88,1))</f>
        <v>1</v>
      </c>
      <c r="JO24" s="162">
        <f t="shared" si="134"/>
        <v>8.5099256659358087</v>
      </c>
      <c r="JP24" s="961">
        <f t="shared" si="135"/>
        <v>-87.999987294373838</v>
      </c>
      <c r="JQ24" s="961">
        <f t="shared" si="136"/>
        <v>32.399995322019507</v>
      </c>
      <c r="JS24" s="82">
        <v>20</v>
      </c>
      <c r="JT24" s="322">
        <f t="shared" si="137"/>
        <v>5.0875153439462792</v>
      </c>
      <c r="JU24" s="963">
        <f t="shared" si="138"/>
        <v>0.58093232272521367</v>
      </c>
      <c r="JV24" s="961">
        <f t="shared" si="287"/>
        <v>-15.19999780539173</v>
      </c>
      <c r="JW24" s="961">
        <f>INDEX($JM$9:$JQ$88,MATCH($JS24,$JM$9:$JM$88,0),5)</f>
        <v>15.599997747638966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-10.571359922832979</v>
      </c>
      <c r="KD24" s="970">
        <v>-15.036806666666671</v>
      </c>
      <c r="KE24" s="968">
        <f t="shared" si="140"/>
        <v>-4.4654467438336916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15.376651850243668</v>
      </c>
      <c r="KG24" s="966">
        <f t="shared" si="244"/>
        <v>-3.8247733333333382</v>
      </c>
      <c r="KH24" s="966">
        <f t="shared" si="141"/>
        <v>0.20326200423993157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1.1536590630817569</v>
      </c>
      <c r="C25" s="572">
        <f t="shared" si="290"/>
        <v>3.8995309757614618</v>
      </c>
      <c r="D25" s="576">
        <f t="shared" si="290"/>
        <v>-0.19532454719211095</v>
      </c>
      <c r="E25" s="580">
        <f t="shared" ref="E25:K25" si="291">R180</f>
        <v>-4.2323909197972562E-2</v>
      </c>
      <c r="F25" s="572">
        <f t="shared" si="291"/>
        <v>-0.14306080558317716</v>
      </c>
      <c r="G25" s="579">
        <f t="shared" si="291"/>
        <v>0.98880852171494482</v>
      </c>
      <c r="H25" s="580">
        <f t="shared" si="291"/>
        <v>0.255</v>
      </c>
      <c r="I25" s="572">
        <f t="shared" si="291"/>
        <v>0.41499999999999992</v>
      </c>
      <c r="J25" s="483">
        <f t="shared" si="94"/>
        <v>1.216</v>
      </c>
      <c r="K25" s="806" t="str">
        <f t="shared" si="291"/>
        <v>CPS-32193r1</v>
      </c>
      <c r="L25" s="82"/>
      <c r="M25" s="164">
        <f t="shared" si="4"/>
        <v>1.216</v>
      </c>
      <c r="N25" s="575">
        <f t="shared" si="5"/>
        <v>1.1536590630817569</v>
      </c>
      <c r="O25" s="572">
        <f t="shared" si="6"/>
        <v>3.8995309757614618</v>
      </c>
      <c r="P25" s="576">
        <f t="shared" si="7"/>
        <v>-0.19532454719211095</v>
      </c>
      <c r="Q25" s="528">
        <f t="shared" si="144"/>
        <v>73.519380697160429</v>
      </c>
      <c r="R25" s="572">
        <f>IF(M25="","",SQRT(N25^2+O25^2))</f>
        <v>4.0666043654078052</v>
      </c>
      <c r="S25" s="577">
        <f>IF(M25="","",P25)</f>
        <v>-0.19532454719211095</v>
      </c>
      <c r="T25" s="578">
        <f>IF(M25="","",X25*COS(RADIANS(W25)))</f>
        <v>3.8995309757614618</v>
      </c>
      <c r="U25" s="572">
        <f>IF(M25="","",X25*SIN(RADIANS(W25)))</f>
        <v>-1.1536590630817571</v>
      </c>
      <c r="V25" s="579">
        <f>IF(M25="","",Y25)</f>
        <v>-0.19532454719211095</v>
      </c>
      <c r="W25" s="528">
        <f t="shared" si="268"/>
        <v>343.51938069716044</v>
      </c>
      <c r="X25" s="572">
        <f>IF(M25="","",R25)</f>
        <v>4.0666043654078052</v>
      </c>
      <c r="Y25" s="573">
        <f t="shared" si="271"/>
        <v>-0.19532454719211095</v>
      </c>
      <c r="Z25" s="575">
        <f t="shared" si="10"/>
        <v>4.2323909197972562E-2</v>
      </c>
      <c r="AA25" s="572">
        <f t="shared" si="11"/>
        <v>0.14306080558317716</v>
      </c>
      <c r="AB25" s="572">
        <f t="shared" si="12"/>
        <v>-0.98880852171494482</v>
      </c>
      <c r="AC25" s="579">
        <f>IF(M25="","",SQRT(Z25^2+AA25^2+AB25^2))</f>
        <v>1</v>
      </c>
      <c r="AD25" s="580">
        <f>IF(M25="","",Z25*(1/SQRT(Z25^2+AA25^2+AB25^2)))</f>
        <v>4.2323909197972562E-2</v>
      </c>
      <c r="AE25" s="572">
        <f>IF(M25="","",AA25*(1/SQRT(Z25^2+AA25^2+AB25^2)))</f>
        <v>0.14306080558317716</v>
      </c>
      <c r="AF25" s="576">
        <f>IF(M25="","",AB25*(1/SQRT(Z25^2+AA25^2+AB25^2)))</f>
        <v>-0.98880852171494482</v>
      </c>
      <c r="AG25" s="545">
        <f>IF(M25="","",DEGREES(ATAN2(-AF25,AE25)))</f>
        <v>8.2324286684841539</v>
      </c>
      <c r="AH25" s="546">
        <f>IF(M25="","",DEGREES(ACOS(AD25)))</f>
        <v>87.574294062682483</v>
      </c>
      <c r="AI25" s="528">
        <f>IF(M25="","",DEGREES(-ACOS(-AF25)))</f>
        <v>-8.5799987612013808</v>
      </c>
      <c r="AJ25" s="529">
        <f>IF(M25="","",DEGREES(ATAN2(-AE25,AD25)))</f>
        <v>163.51938069716044</v>
      </c>
      <c r="AK25" s="578">
        <f>IF(M25="","",(COS(RADIANS((90-$Q$8)-W25))*AD25)+(-SIN(RADIANS((90-$Q$8)-W25))*AE25))</f>
        <v>-2.7755575615628914E-17</v>
      </c>
      <c r="AL25" s="572">
        <f>IF(M25="","",(SIN(RADIANS((90-$Q$8)-W25))*AD25)+(COS(RADIANS((90-$Q$8)-W25))*AE25))</f>
        <v>0.14919017187437594</v>
      </c>
      <c r="AM25" s="577">
        <f>IF(M25="","",AF25)</f>
        <v>-0.98880852171494482</v>
      </c>
      <c r="AN25" s="524">
        <f>IF(M25="","",DEGREES(ATAN2(-AM25,AL25)))</f>
        <v>8.5799987612014519</v>
      </c>
      <c r="AO25" s="525">
        <f>IF(ROUND(IF(M25="",0,DEGREES(ACOS(AK25))),4)=90,0,IF(M25="","",DEGREES(ACOS(AK25))))</f>
        <v>0</v>
      </c>
      <c r="AP25" s="528">
        <f>IF(M25="","",DEGREES(ATAN2(AK25,AL25)))</f>
        <v>90.000000000000014</v>
      </c>
      <c r="AQ25" s="529">
        <f t="shared" si="13"/>
        <v>0.56057921642010822</v>
      </c>
      <c r="AR25" s="979"/>
      <c r="AS25" s="954">
        <f t="shared" si="147"/>
        <v>-16.480619302839557</v>
      </c>
      <c r="AT25" s="950">
        <f t="shared" si="14"/>
        <v>-0.18387967267625016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>Nose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1.216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1.1160000000000001</v>
      </c>
      <c r="IK25" s="677" cm="1">
        <f t="array" ref="IK25">IFERROR(ROUND(VALUE(IF($IJ25&lt;1,$IJ25+LARGE((IF($M$9:$M$150="",0,$M$9:$M$150)-MOD(IF($M$9:$M$150="",0,$M$9:$M$150),1)),1),$IJ25)),4),"")</f>
        <v>1.1160000000000001</v>
      </c>
      <c r="IL25" s="482">
        <f t="shared" si="79"/>
        <v>1613</v>
      </c>
      <c r="IM25" s="482" t="str">
        <f t="shared" si="242"/>
        <v>CPS-32193r1</v>
      </c>
      <c r="IN25" s="670">
        <f>IF(ISNUMBER($IK25),IFERROR(IF(INDEX($W$9:$W$150,MATCH($IK25,$M$9:$M$150,0))&lt;$W25,((INDEX($W$9:$W$150,MATCH($IK25,$M$9:$M$150,0))+360)-$W25),INDEX($W$9:$W$150,MATCH($IK25,$M$9:$M$150,0))-$W25),""),"")</f>
        <v>16.43061931005866</v>
      </c>
      <c r="IO25" s="702">
        <v>3.8778530257063799E-2</v>
      </c>
      <c r="IP25" s="5">
        <f t="shared" si="82"/>
        <v>0.84</v>
      </c>
      <c r="IQ25" s="714">
        <v>420</v>
      </c>
      <c r="IR25" s="9">
        <f t="shared" si="132"/>
        <v>-4.0657122621881818</v>
      </c>
      <c r="IS25" s="5">
        <f t="shared" si="83"/>
        <v>-0.19820059777300289</v>
      </c>
      <c r="IT25" s="5">
        <f t="shared" si="84"/>
        <v>0.3125</v>
      </c>
      <c r="IU25" s="5">
        <f t="shared" si="85"/>
        <v>0.30185182377256481</v>
      </c>
      <c r="IV25" s="670">
        <f t="shared" si="86"/>
        <v>3.0666662238947593</v>
      </c>
      <c r="IW25" s="9">
        <f t="shared" si="87"/>
        <v>-4.0666043654078052</v>
      </c>
      <c r="IX25" s="5">
        <f t="shared" si="88"/>
        <v>-0.19532454719211095</v>
      </c>
      <c r="IY25" s="5">
        <f t="shared" si="89"/>
        <v>0.255</v>
      </c>
      <c r="IZ25" s="5">
        <f t="shared" si="90"/>
        <v>0.255</v>
      </c>
      <c r="JA25" s="705">
        <f t="shared" si="91"/>
        <v>-8.5799987612014519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16</v>
      </c>
      <c r="JN25" s="960">
        <f>($JO25-SMALL($JO$9:$JO$88,1))/((Settings!$C$19/2)-((Settings!$C$19/2)-LARGE($JO$9:$JO$88,1))-SMALL($JO$9:$JO$88,1))</f>
        <v>0.45592370241701541</v>
      </c>
      <c r="JO25" s="162">
        <f t="shared" si="134"/>
        <v>4.0666043654078052</v>
      </c>
      <c r="JP25" s="961">
        <f t="shared" si="135"/>
        <v>8.5799987612014519</v>
      </c>
      <c r="JQ25" s="961">
        <f t="shared" si="136"/>
        <v>0</v>
      </c>
      <c r="JS25" s="82">
        <v>21</v>
      </c>
      <c r="JT25" s="322">
        <f t="shared" si="137"/>
        <v>5.3405161069965787</v>
      </c>
      <c r="JU25" s="963">
        <f t="shared" si="138"/>
        <v>0.61191178811515057</v>
      </c>
      <c r="JV25" s="961">
        <f t="shared" si="287"/>
        <v>-18.233330700765926</v>
      </c>
      <c r="JW25" s="961">
        <f t="shared" si="92"/>
        <v>15.899997704324322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-15.442414870844207</v>
      </c>
      <c r="KD25" s="970">
        <v>-19.035433333333334</v>
      </c>
      <c r="KE25" s="968">
        <f t="shared" si="140"/>
        <v>-3.5930184624891268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15.623973061804595</v>
      </c>
      <c r="KG25" s="966">
        <f t="shared" si="244"/>
        <v>-3.998626666666663</v>
      </c>
      <c r="KH25" s="966">
        <f t="shared" si="141"/>
        <v>0.24732121156092646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1.182747765515906</v>
      </c>
      <c r="C26" s="572">
        <f t="shared" si="292"/>
        <v>4.688909973701854</v>
      </c>
      <c r="D26" s="576">
        <f t="shared" si="292"/>
        <v>-0.158613107554542</v>
      </c>
      <c r="E26" s="580">
        <f t="shared" ref="E26:K26" si="293">R181</f>
        <v>1.3738209481963758E-2</v>
      </c>
      <c r="F26" s="572">
        <f t="shared" si="293"/>
        <v>5.4464044945954262E-2</v>
      </c>
      <c r="G26" s="579">
        <f t="shared" si="293"/>
        <v>0.99842121842855236</v>
      </c>
      <c r="H26" s="580">
        <f t="shared" si="293"/>
        <v>0.255</v>
      </c>
      <c r="I26" s="572">
        <f t="shared" si="293"/>
        <v>0.41499999999999992</v>
      </c>
      <c r="J26" s="483">
        <f t="shared" si="94"/>
        <v>1.2190000000000001</v>
      </c>
      <c r="K26" s="806" t="str">
        <f t="shared" si="293"/>
        <v>CPS-32193r1</v>
      </c>
      <c r="L26" s="309"/>
      <c r="M26" s="164">
        <f t="shared" si="4"/>
        <v>1.2190000000000001</v>
      </c>
      <c r="N26" s="575">
        <f t="shared" si="5"/>
        <v>1.182747765515906</v>
      </c>
      <c r="O26" s="572">
        <f t="shared" si="6"/>
        <v>4.688909973701854</v>
      </c>
      <c r="P26" s="576">
        <f t="shared" si="7"/>
        <v>-0.158613107554542</v>
      </c>
      <c r="Q26" s="528">
        <f t="shared" si="144"/>
        <v>75.842830747023172</v>
      </c>
      <c r="R26" s="572">
        <f>IF(M26="","",SQRT(N26^2+O26^2))</f>
        <v>4.8357800837417733</v>
      </c>
      <c r="S26" s="577">
        <f>IF(M26="","",P26)</f>
        <v>-0.158613107554542</v>
      </c>
      <c r="T26" s="578">
        <f>IF(M26="","",X26*COS(RADIANS(W26)))</f>
        <v>4.6889099737018549</v>
      </c>
      <c r="U26" s="572">
        <f>IF(M26="","",X26*SIN(RADIANS(W26)))</f>
        <v>-1.1827477655159047</v>
      </c>
      <c r="V26" s="579">
        <f>IF(M26="","",Y26)</f>
        <v>-0.158613107554542</v>
      </c>
      <c r="W26" s="528">
        <f t="shared" si="268"/>
        <v>345.84283074702319</v>
      </c>
      <c r="X26" s="572">
        <f>IF(M26="","",R26)</f>
        <v>4.8357800837417733</v>
      </c>
      <c r="Y26" s="573">
        <f t="shared" si="271"/>
        <v>-0.158613107554542</v>
      </c>
      <c r="Z26" s="575">
        <f t="shared" si="10"/>
        <v>-1.3738209481963758E-2</v>
      </c>
      <c r="AA26" s="572">
        <f t="shared" si="11"/>
        <v>-5.4464044945954262E-2</v>
      </c>
      <c r="AB26" s="572">
        <f t="shared" si="12"/>
        <v>-0.99842121842855236</v>
      </c>
      <c r="AC26" s="579">
        <f>IF(M26="","",SQRT(Z26^2+AA26^2+AB26^2))</f>
        <v>1</v>
      </c>
      <c r="AD26" s="580">
        <f>IF(M26="","",Z26*(1/SQRT(Z26^2+AA26^2+AB26^2)))</f>
        <v>-1.3738209481963758E-2</v>
      </c>
      <c r="AE26" s="572">
        <f>IF(M26="","",AA26*(1/SQRT(Z26^2+AA26^2+AB26^2)))</f>
        <v>-5.4464044945954262E-2</v>
      </c>
      <c r="AF26" s="576">
        <f>IF(M26="","",AB26*(1/SQRT(Z26^2+AA26^2+AB26^2)))</f>
        <v>-0.99842121842855236</v>
      </c>
      <c r="AG26" s="545">
        <f>IF(M26="","",DEGREES(ATAN2(-AF26,AE26)))</f>
        <v>-3.1223997074571606</v>
      </c>
      <c r="AH26" s="546">
        <f>IF(M26="","",DEGREES(ACOS(AD26)))</f>
        <v>90.787166184121716</v>
      </c>
      <c r="AI26" s="528">
        <f>IF(M26="","",DEGREES(-ACOS(-AF26)))</f>
        <v>-3.2199995350894328</v>
      </c>
      <c r="AJ26" s="529">
        <f>IF(M26="","",DEGREES(ATAN2(-AE26,AD26)))</f>
        <v>-14.157169252976828</v>
      </c>
      <c r="AK26" s="578">
        <f>IF(M26="","",(COS(RADIANS((90-$Q$8)-W26))*AD26)+(-SIN(RADIANS((90-$Q$8)-W26))*AE26))</f>
        <v>-1.214306433183765E-17</v>
      </c>
      <c r="AL26" s="572">
        <f>IF(M26="","",(SIN(RADIANS((90-$Q$8)-W26))*AD26)+(COS(RADIANS((90-$Q$8)-W26))*AE26))</f>
        <v>-5.6170015058260803E-2</v>
      </c>
      <c r="AM26" s="577">
        <f>IF(M26="","",AF26)</f>
        <v>-0.99842121842855236</v>
      </c>
      <c r="AN26" s="524">
        <f>IF(M26="","",DEGREES(ATAN2(-AM26,AL26)))</f>
        <v>-3.2199995350895882</v>
      </c>
      <c r="AO26" s="525">
        <f t="shared" si="110"/>
        <v>0</v>
      </c>
      <c r="AP26" s="528">
        <f>IF(M26="","",DEGREES(ATAN2(AK26,AL26)))</f>
        <v>-90.000000000000014</v>
      </c>
      <c r="AQ26" s="529">
        <f t="shared" si="13"/>
        <v>0.4714182921696724</v>
      </c>
      <c r="AR26" s="979"/>
      <c r="AS26" s="954">
        <f t="shared" si="147"/>
        <v>-14.157169252976814</v>
      </c>
      <c r="AT26" s="950">
        <f t="shared" si="14"/>
        <v>-0.14878174001775255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>Nose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1.2190000000000001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1.119</v>
      </c>
      <c r="IK26" s="677" cm="1">
        <f t="array" ref="IK26">IFERROR(ROUND(VALUE(IF($IJ26&lt;1,$IJ26+LARGE((IF($M$9:$M$150="",0,$M$9:$M$150)-MOD(IF($M$9:$M$150="",0,$M$9:$M$150),1)),1),$IJ26)),4),"")</f>
        <v>1.119</v>
      </c>
      <c r="IL26" s="482">
        <f t="shared" si="79"/>
        <v>1613</v>
      </c>
      <c r="IM26" s="482" t="str">
        <f t="shared" si="242"/>
        <v>CPS-32193r1</v>
      </c>
      <c r="IN26" s="670">
        <f t="shared" si="81"/>
        <v>13.767169309285862</v>
      </c>
      <c r="IO26" s="702">
        <v>3.68535894887419E-2</v>
      </c>
      <c r="IP26" s="5">
        <f t="shared" si="82"/>
        <v>0.96</v>
      </c>
      <c r="IQ26" s="714">
        <v>480</v>
      </c>
      <c r="IR26" s="9">
        <f t="shared" si="132"/>
        <v>-4.8324145745623586</v>
      </c>
      <c r="IS26" s="5">
        <f t="shared" si="83"/>
        <v>-0.16210048889507486</v>
      </c>
      <c r="IT26" s="5">
        <f t="shared" si="84"/>
        <v>0.3125</v>
      </c>
      <c r="IU26" s="5">
        <f t="shared" si="85"/>
        <v>0.3012798170436185</v>
      </c>
      <c r="IV26" s="670">
        <f t="shared" si="86"/>
        <v>12.166664910017715</v>
      </c>
      <c r="IW26" s="9">
        <f t="shared" si="87"/>
        <v>-4.8357800837417733</v>
      </c>
      <c r="IX26" s="5">
        <f t="shared" si="88"/>
        <v>-0.158613107554542</v>
      </c>
      <c r="IY26" s="5">
        <f t="shared" si="89"/>
        <v>0.255</v>
      </c>
      <c r="IZ26" s="5">
        <f t="shared" si="90"/>
        <v>0.255</v>
      </c>
      <c r="JA26" s="705">
        <f t="shared" si="91"/>
        <v>3.2199995350895882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19</v>
      </c>
      <c r="JN26" s="960">
        <f>($JO26-SMALL($JO$9:$JO$88,1))/((Settings!$C$19/2)-((Settings!$C$19/2)-LARGE($JO$9:$JO$88,1))-SMALL($JO$9:$JO$88,1))</f>
        <v>0.55010781576757328</v>
      </c>
      <c r="JO26" s="162">
        <f t="shared" si="134"/>
        <v>4.8357800837417733</v>
      </c>
      <c r="JP26" s="961">
        <f t="shared" si="135"/>
        <v>-3.2199995350895882</v>
      </c>
      <c r="JQ26" s="961">
        <f t="shared" si="136"/>
        <v>0</v>
      </c>
      <c r="JS26" s="82">
        <v>22</v>
      </c>
      <c r="JT26" s="322">
        <f t="shared" si="137"/>
        <v>5.5901168597924498</v>
      </c>
      <c r="JU26" s="963">
        <f t="shared" si="138"/>
        <v>0.64247492867376066</v>
      </c>
      <c r="JV26" s="961">
        <f>INDEX($JM$9:$JQ$88,MATCH($JS26,$JM$9:$JM$88,0),4)</f>
        <v>-21.266663596140212</v>
      </c>
      <c r="JW26" s="961">
        <f t="shared" si="92"/>
        <v>16.199997661009704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-19.059698923937944</v>
      </c>
      <c r="KD26" s="970">
        <v>-23.03406</v>
      </c>
      <c r="KE26" s="968">
        <f t="shared" si="140"/>
        <v>-3.9743610760620562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15.981726429692987</v>
      </c>
      <c r="KG26" s="966">
        <f t="shared" si="244"/>
        <v>-3.9986266666666666</v>
      </c>
      <c r="KH26" s="966">
        <f t="shared" si="141"/>
        <v>0.3577533678883924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1.2398097508777965</v>
      </c>
      <c r="C27" s="572">
        <f t="shared" si="294"/>
        <v>5.4562949560969418</v>
      </c>
      <c r="D27" s="576">
        <f t="shared" si="294"/>
        <v>-0.28222020790698304</v>
      </c>
      <c r="E27" s="580">
        <f t="shared" ref="E27:K27" si="295">R182</f>
        <v>5.7759234814082801E-2</v>
      </c>
      <c r="F27" s="572">
        <f t="shared" si="295"/>
        <v>0.25419337229842626</v>
      </c>
      <c r="G27" s="579">
        <f t="shared" si="295"/>
        <v>0.9654271594860202</v>
      </c>
      <c r="H27" s="580">
        <f t="shared" si="295"/>
        <v>0.255</v>
      </c>
      <c r="I27" s="572">
        <f t="shared" si="295"/>
        <v>0.41499999999999992</v>
      </c>
      <c r="J27" s="483">
        <f t="shared" si="94"/>
        <v>1.222</v>
      </c>
      <c r="K27" s="806" t="str">
        <f t="shared" si="295"/>
        <v>CPS-32193r1</v>
      </c>
      <c r="L27" s="309"/>
      <c r="M27" s="164">
        <f t="shared" si="4"/>
        <v>1.222</v>
      </c>
      <c r="N27" s="575">
        <f t="shared" si="5"/>
        <v>1.2398097508777965</v>
      </c>
      <c r="O27" s="572">
        <f t="shared" si="6"/>
        <v>5.4562949560969418</v>
      </c>
      <c r="P27" s="576">
        <f t="shared" si="7"/>
        <v>-0.28222020790698304</v>
      </c>
      <c r="Q27" s="528">
        <f t="shared" si="144"/>
        <v>77.198302973064514</v>
      </c>
      <c r="R27" s="572">
        <f t="shared" si="95"/>
        <v>5.5953804934338995</v>
      </c>
      <c r="S27" s="577">
        <f t="shared" si="96"/>
        <v>-0.28222020790698304</v>
      </c>
      <c r="T27" s="578">
        <f t="shared" si="97"/>
        <v>5.4562949560969418</v>
      </c>
      <c r="U27" s="572">
        <f t="shared" si="98"/>
        <v>-1.2398097508777959</v>
      </c>
      <c r="V27" s="579">
        <f t="shared" si="145"/>
        <v>-0.28222020790698304</v>
      </c>
      <c r="W27" s="528">
        <f t="shared" si="268"/>
        <v>347.19830297306453</v>
      </c>
      <c r="X27" s="572">
        <f t="shared" si="99"/>
        <v>5.5953804934338995</v>
      </c>
      <c r="Y27" s="573">
        <f t="shared" si="271"/>
        <v>-0.28222020790698304</v>
      </c>
      <c r="Z27" s="575">
        <f t="shared" si="10"/>
        <v>-5.7759234814082801E-2</v>
      </c>
      <c r="AA27" s="572">
        <f t="shared" si="11"/>
        <v>-0.25419337229842626</v>
      </c>
      <c r="AB27" s="572">
        <f t="shared" si="12"/>
        <v>-0.9654271594860202</v>
      </c>
      <c r="AC27" s="579">
        <f t="shared" si="100"/>
        <v>1</v>
      </c>
      <c r="AD27" s="580">
        <f t="shared" si="146"/>
        <v>-5.7759234814082801E-2</v>
      </c>
      <c r="AE27" s="572">
        <f t="shared" si="101"/>
        <v>-0.25419337229842626</v>
      </c>
      <c r="AF27" s="576">
        <f t="shared" si="102"/>
        <v>-0.9654271594860202</v>
      </c>
      <c r="AG27" s="545">
        <f t="shared" si="103"/>
        <v>-14.750977535173764</v>
      </c>
      <c r="AH27" s="546">
        <f t="shared" si="104"/>
        <v>93.311203226316508</v>
      </c>
      <c r="AI27" s="528">
        <f t="shared" si="105"/>
        <v>-15.109997818386224</v>
      </c>
      <c r="AJ27" s="529">
        <f t="shared" si="106"/>
        <v>-12.801697026935488</v>
      </c>
      <c r="AK27" s="578">
        <f t="shared" si="247"/>
        <v>-2.7755575615628914E-17</v>
      </c>
      <c r="AL27" s="572">
        <f t="shared" si="107"/>
        <v>-0.2606729746766141</v>
      </c>
      <c r="AM27" s="577">
        <f t="shared" si="108"/>
        <v>-0.9654271594860202</v>
      </c>
      <c r="AN27" s="524">
        <f t="shared" si="109"/>
        <v>-15.10999781838624</v>
      </c>
      <c r="AO27" s="525">
        <f t="shared" si="110"/>
        <v>0</v>
      </c>
      <c r="AP27" s="528">
        <f t="shared" si="111"/>
        <v>-90</v>
      </c>
      <c r="AQ27" s="529">
        <f t="shared" si="13"/>
        <v>0.40742326818098562</v>
      </c>
      <c r="AR27" s="979"/>
      <c r="AS27" s="954">
        <f t="shared" si="147"/>
        <v>-12.801697026935472</v>
      </c>
      <c r="AT27" s="950">
        <f t="shared" si="14"/>
        <v>-0.27333014052716675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>Nose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1.222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1.1220000000000001</v>
      </c>
      <c r="IK27" s="677" cm="1">
        <f t="array" ref="IK27">IFERROR(ROUND(VALUE(IF($IJ27&lt;1,$IJ27+LARGE((IF($M$9:$M$150="",0,$M$9:$M$150)-MOD(IF($M$9:$M$150="",0,$M$9:$M$150),1)),1),$IJ27)),4),"")</f>
        <v>1.1220000000000001</v>
      </c>
      <c r="IL27" s="482">
        <f t="shared" si="79"/>
        <v>1613</v>
      </c>
      <c r="IM27" s="482" t="str">
        <f t="shared" si="242"/>
        <v>CPS-32193r1</v>
      </c>
      <c r="IN27" s="670">
        <f t="shared" si="81"/>
        <v>11.871697161210818</v>
      </c>
      <c r="IO27" s="702">
        <v>3.5583818935880099E-2</v>
      </c>
      <c r="IP27" s="5">
        <f t="shared" si="82"/>
        <v>1.1200000000000001</v>
      </c>
      <c r="IQ27" s="714">
        <v>560</v>
      </c>
      <c r="IR27" s="9">
        <f t="shared" si="132"/>
        <v>-5.5901168597924498</v>
      </c>
      <c r="IS27" s="5">
        <f t="shared" si="83"/>
        <v>-0.28430085745138589</v>
      </c>
      <c r="IT27" s="5">
        <f t="shared" si="84"/>
        <v>0.3125</v>
      </c>
      <c r="IU27" s="5">
        <f t="shared" si="85"/>
        <v>0.30009178033319345</v>
      </c>
      <c r="IV27" s="670">
        <f t="shared" si="86"/>
        <v>21.266663596140212</v>
      </c>
      <c r="IW27" s="9">
        <f t="shared" si="87"/>
        <v>-5.5953804934338995</v>
      </c>
      <c r="IX27" s="5">
        <f t="shared" si="88"/>
        <v>-0.28222020790698304</v>
      </c>
      <c r="IY27" s="5">
        <f t="shared" si="89"/>
        <v>0.255</v>
      </c>
      <c r="IZ27" s="5">
        <f t="shared" si="90"/>
        <v>0.255</v>
      </c>
      <c r="JA27" s="705">
        <f t="shared" si="91"/>
        <v>15.10999781838624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22</v>
      </c>
      <c r="JN27" s="960">
        <f>($JO27-SMALL($JO$9:$JO$88,1))/((Settings!$C$19/2)-((Settings!$C$19/2)-LARGE($JO$9:$JO$88,1))-SMALL($JO$9:$JO$88,1))</f>
        <v>0.64311945066750731</v>
      </c>
      <c r="JO27" s="162">
        <f t="shared" si="134"/>
        <v>5.5953804934338995</v>
      </c>
      <c r="JP27" s="961">
        <f t="shared" si="135"/>
        <v>-15.10999781838624</v>
      </c>
      <c r="JQ27" s="961">
        <f t="shared" si="136"/>
        <v>0</v>
      </c>
      <c r="JS27" s="82">
        <v>23</v>
      </c>
      <c r="JT27" s="322">
        <f t="shared" si="137"/>
        <v>5.8350175984130779</v>
      </c>
      <c r="JU27" s="963">
        <f t="shared" si="138"/>
        <v>0.67246256137730065</v>
      </c>
      <c r="JV27" s="961">
        <f t="shared" si="287"/>
        <v>-24.299996491514584</v>
      </c>
      <c r="JW27" s="961">
        <f t="shared" si="92"/>
        <v>16.59999760325686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-22.669864679730594</v>
      </c>
      <c r="KD27" s="970">
        <v>-27.032773333333331</v>
      </c>
      <c r="KE27" s="968">
        <f t="shared" si="140"/>
        <v>-4.3629086536027373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16.385035166538099</v>
      </c>
      <c r="KG27" s="966">
        <f t="shared" si="244"/>
        <v>-3.9987133333333311</v>
      </c>
      <c r="KH27" s="966">
        <f t="shared" si="141"/>
        <v>0.40330873684511204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1.3196534837317457</v>
      </c>
      <c r="C28" s="572">
        <f t="shared" si="296"/>
        <v>6.1730162828170121</v>
      </c>
      <c r="D28" s="576">
        <f t="shared" si="296"/>
        <v>-0.56098441685276956</v>
      </c>
      <c r="E28" s="580">
        <f t="shared" ref="E28:K28" si="297">R183</f>
        <v>9.4908573792461218E-2</v>
      </c>
      <c r="F28" s="572">
        <f t="shared" si="297"/>
        <v>0.44395909882574719</v>
      </c>
      <c r="G28" s="579">
        <f t="shared" si="297"/>
        <v>0.8910065550771844</v>
      </c>
      <c r="H28" s="580">
        <f t="shared" si="297"/>
        <v>0.255</v>
      </c>
      <c r="I28" s="572">
        <f t="shared" si="297"/>
        <v>0.41499999999999992</v>
      </c>
      <c r="J28" s="483">
        <f t="shared" si="94"/>
        <v>1.2250000000000001</v>
      </c>
      <c r="K28" s="806" t="str">
        <f t="shared" si="297"/>
        <v>CPS-32193r1</v>
      </c>
      <c r="L28" s="309"/>
      <c r="M28" s="164">
        <f t="shared" si="4"/>
        <v>1.2250000000000001</v>
      </c>
      <c r="N28" s="575">
        <f t="shared" si="5"/>
        <v>1.3196534837317457</v>
      </c>
      <c r="O28" s="572">
        <f t="shared" si="6"/>
        <v>6.1730162828170121</v>
      </c>
      <c r="P28" s="576">
        <f t="shared" si="7"/>
        <v>-0.56098441685276956</v>
      </c>
      <c r="Q28" s="528">
        <f t="shared" si="144"/>
        <v>77.933072706301942</v>
      </c>
      <c r="R28" s="572">
        <f t="shared" si="95"/>
        <v>6.3124967600030724</v>
      </c>
      <c r="S28" s="577">
        <f t="shared" si="96"/>
        <v>-0.56098441685276956</v>
      </c>
      <c r="T28" s="578">
        <f t="shared" si="97"/>
        <v>6.1730162828170112</v>
      </c>
      <c r="U28" s="572">
        <f t="shared" si="98"/>
        <v>-1.3196534837317484</v>
      </c>
      <c r="V28" s="579">
        <f t="shared" si="145"/>
        <v>-0.56098441685276956</v>
      </c>
      <c r="W28" s="528">
        <f t="shared" si="268"/>
        <v>347.93307270630191</v>
      </c>
      <c r="X28" s="572">
        <f t="shared" si="99"/>
        <v>6.3124967600030724</v>
      </c>
      <c r="Y28" s="573">
        <f t="shared" si="271"/>
        <v>-0.56098441685276956</v>
      </c>
      <c r="Z28" s="575">
        <f t="shared" si="10"/>
        <v>-9.4908573792461218E-2</v>
      </c>
      <c r="AA28" s="572">
        <f t="shared" si="11"/>
        <v>-0.44395909882574719</v>
      </c>
      <c r="AB28" s="572">
        <f t="shared" si="12"/>
        <v>-0.8910065550771844</v>
      </c>
      <c r="AC28" s="579">
        <f t="shared" si="100"/>
        <v>1</v>
      </c>
      <c r="AD28" s="580">
        <f t="shared" si="146"/>
        <v>-9.4908573792461218E-2</v>
      </c>
      <c r="AE28" s="572">
        <f t="shared" si="101"/>
        <v>-0.44395909882574719</v>
      </c>
      <c r="AF28" s="576">
        <f t="shared" si="102"/>
        <v>-0.8910065550771844</v>
      </c>
      <c r="AG28" s="545">
        <f t="shared" si="103"/>
        <v>-26.48555794177733</v>
      </c>
      <c r="AH28" s="546">
        <f t="shared" si="104"/>
        <v>95.446057700438573</v>
      </c>
      <c r="AI28" s="528">
        <f t="shared" si="105"/>
        <v>-26.999996101682878</v>
      </c>
      <c r="AJ28" s="529">
        <f t="shared" si="106"/>
        <v>-12.066927293698043</v>
      </c>
      <c r="AK28" s="578">
        <f t="shared" si="247"/>
        <v>3.0531133177191805E-16</v>
      </c>
      <c r="AL28" s="572">
        <f t="shared" si="107"/>
        <v>-0.45399043911682613</v>
      </c>
      <c r="AM28" s="577">
        <f t="shared" si="108"/>
        <v>-0.8910065550771844</v>
      </c>
      <c r="AN28" s="524">
        <f t="shared" si="109"/>
        <v>-26.999996101682889</v>
      </c>
      <c r="AO28" s="525">
        <f t="shared" si="110"/>
        <v>0</v>
      </c>
      <c r="AP28" s="528">
        <f t="shared" si="111"/>
        <v>-89.999999999999957</v>
      </c>
      <c r="AQ28" s="529">
        <f t="shared" si="13"/>
        <v>0.36114021570359278</v>
      </c>
      <c r="AR28" s="979"/>
      <c r="AS28" s="954">
        <f t="shared" si="147"/>
        <v>-12.066927293698086</v>
      </c>
      <c r="AT28" s="950">
        <f t="shared" si="14"/>
        <v>-0.55260460623214591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>Nose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1.2250000000000001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1.125</v>
      </c>
      <c r="IK28" s="677" cm="1">
        <f t="array" ref="IK28">IFERROR(ROUND(VALUE(IF($IJ28&lt;1,$IJ28+LARGE((IF($M$9:$M$150="",0,$M$9:$M$150)-MOD(IF($M$9:$M$150="",0,$M$9:$M$150),1)),1),$IJ28)),4),"")</f>
        <v>1.125</v>
      </c>
      <c r="IL28" s="482">
        <f>IF(ISNUMBER($IK28),INDEX($K$9:$K$150,MATCH($IK28,$M$9:$M$150,0)),$K28)</f>
        <v>1613</v>
      </c>
      <c r="IM28" s="482" t="str">
        <f t="shared" si="242"/>
        <v>CPS-32193r1</v>
      </c>
      <c r="IN28" s="670">
        <f t="shared" si="81"/>
        <v>10.506927518934162</v>
      </c>
      <c r="IO28" s="702">
        <v>3.4557396877920997E-2</v>
      </c>
      <c r="IP28" s="5">
        <f t="shared" si="82"/>
        <v>1.3</v>
      </c>
      <c r="IQ28" s="714">
        <v>650</v>
      </c>
      <c r="IR28" s="9">
        <f t="shared" si="132"/>
        <v>-6.3064190201597663</v>
      </c>
      <c r="IS28" s="5">
        <f t="shared" si="83"/>
        <v>-0.56000168896509395</v>
      </c>
      <c r="IT28" s="5">
        <f t="shared" si="84"/>
        <v>0.3125</v>
      </c>
      <c r="IU28" s="5">
        <f t="shared" si="85"/>
        <v>0.29803655125282924</v>
      </c>
      <c r="IV28" s="670">
        <f t="shared" si="86"/>
        <v>30.366662282263029</v>
      </c>
      <c r="IW28" s="9">
        <f t="shared" si="87"/>
        <v>-6.3124967600030724</v>
      </c>
      <c r="IX28" s="5">
        <f t="shared" si="88"/>
        <v>-0.56098441685276956</v>
      </c>
      <c r="IY28" s="5">
        <f t="shared" si="89"/>
        <v>0.255</v>
      </c>
      <c r="IZ28" s="5">
        <f t="shared" si="90"/>
        <v>0.255</v>
      </c>
      <c r="JA28" s="705">
        <f t="shared" si="91"/>
        <v>26.999996101682889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25</v>
      </c>
      <c r="JN28" s="960">
        <f>($JO28-SMALL($JO$9:$JO$88,1))/((Settings!$C$19/2)-((Settings!$C$19/2)-LARGE($JO$9:$JO$88,1))-SMALL($JO$9:$JO$88,1))</f>
        <v>0.73092898251592986</v>
      </c>
      <c r="JO28" s="162">
        <f t="shared" si="134"/>
        <v>6.3124967600030724</v>
      </c>
      <c r="JP28" s="961">
        <f t="shared" si="135"/>
        <v>-26.999996101682889</v>
      </c>
      <c r="JQ28" s="961">
        <f t="shared" si="136"/>
        <v>0</v>
      </c>
      <c r="JS28" s="82">
        <v>24</v>
      </c>
      <c r="JT28" s="322">
        <f t="shared" si="137"/>
        <v>6.0742183198424531</v>
      </c>
      <c r="JU28" s="963">
        <f t="shared" si="138"/>
        <v>0.70175223774596851</v>
      </c>
      <c r="JV28" s="961">
        <f t="shared" si="287"/>
        <v>-27.333329386888966</v>
      </c>
      <c r="JW28" s="961">
        <f t="shared" si="92"/>
        <v>16.999997545504019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-26.245621077719175</v>
      </c>
      <c r="KD28" s="970">
        <v>-30.969086666666662</v>
      </c>
      <c r="KE28" s="968">
        <f t="shared" si="140"/>
        <v>-4.7234655889474872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16.856563482756357</v>
      </c>
      <c r="KG28" s="966">
        <f t="shared" si="244"/>
        <v>-3.9363133333333309</v>
      </c>
      <c r="KH28" s="966">
        <f t="shared" si="141"/>
        <v>0.47152831621825797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1.4134080968432221</v>
      </c>
      <c r="C29" s="572">
        <f t="shared" si="298"/>
        <v>6.8111440829578056</v>
      </c>
      <c r="D29" s="576">
        <f t="shared" si="298"/>
        <v>-0.98201265520287606</v>
      </c>
      <c r="E29" s="580">
        <f t="shared" ref="E29:K29" si="299">R184</f>
        <v>0.12728907092149552</v>
      </c>
      <c r="F29" s="572">
        <f t="shared" si="299"/>
        <v>0.6133997705040104</v>
      </c>
      <c r="G29" s="579">
        <f t="shared" si="299"/>
        <v>0.77944737729340652</v>
      </c>
      <c r="H29" s="580">
        <f t="shared" si="299"/>
        <v>0.255</v>
      </c>
      <c r="I29" s="572">
        <f t="shared" si="299"/>
        <v>0.41499999999999992</v>
      </c>
      <c r="J29" s="483">
        <f t="shared" si="94"/>
        <v>1.228</v>
      </c>
      <c r="K29" s="806" t="str">
        <f t="shared" si="299"/>
        <v>CPS-32193r1</v>
      </c>
      <c r="L29" s="82"/>
      <c r="M29" s="164">
        <f t="shared" si="4"/>
        <v>1.228</v>
      </c>
      <c r="N29" s="575">
        <f t="shared" si="5"/>
        <v>1.4134080968432221</v>
      </c>
      <c r="O29" s="572">
        <f t="shared" si="6"/>
        <v>6.8111440829578056</v>
      </c>
      <c r="P29" s="576">
        <f t="shared" si="7"/>
        <v>-0.98201265520287606</v>
      </c>
      <c r="Q29" s="528">
        <f t="shared" si="144"/>
        <v>78.27670723149113</v>
      </c>
      <c r="R29" s="572">
        <f>IF(M29="","",SQRT(N29^2+O29^2))</f>
        <v>6.9562494324911253</v>
      </c>
      <c r="S29" s="577">
        <f>IF(M29="","",P29)</f>
        <v>-0.98201265520287606</v>
      </c>
      <c r="T29" s="578">
        <f>IF(M29="","",X29*COS(RADIANS(W29)))</f>
        <v>6.8111440829578056</v>
      </c>
      <c r="U29" s="572">
        <f>IF(M29="","",X29*SIN(RADIANS(W29)))</f>
        <v>-1.4134080968432214</v>
      </c>
      <c r="V29" s="579">
        <f>IF(M29="","",Y29)</f>
        <v>-0.98201265520287606</v>
      </c>
      <c r="W29" s="528">
        <f t="shared" si="268"/>
        <v>348.27670723149112</v>
      </c>
      <c r="X29" s="572">
        <f>IF(M29="","",R29)</f>
        <v>6.9562494324911253</v>
      </c>
      <c r="Y29" s="573">
        <f t="shared" si="271"/>
        <v>-0.98201265520287606</v>
      </c>
      <c r="Z29" s="575">
        <f t="shared" si="10"/>
        <v>-0.12728907092149552</v>
      </c>
      <c r="AA29" s="572">
        <f t="shared" si="11"/>
        <v>-0.6133997705040104</v>
      </c>
      <c r="AB29" s="572">
        <f t="shared" si="12"/>
        <v>-0.77944737729340652</v>
      </c>
      <c r="AC29" s="579">
        <f>IF(M29="","",SQRT(Z29^2+AA29^2+AB29^2))</f>
        <v>1</v>
      </c>
      <c r="AD29" s="580">
        <f>IF(M29="","",Z29*(1/SQRT(Z29^2+AA29^2+AB29^2)))</f>
        <v>-0.12728907092149552</v>
      </c>
      <c r="AE29" s="572">
        <f>IF(M29="","",AA29*(1/SQRT(Z29^2+AA29^2+AB29^2)))</f>
        <v>-0.6133997705040104</v>
      </c>
      <c r="AF29" s="576">
        <f>IF(M29="","",AB29*(1/SQRT(Z29^2+AA29^2+AB29^2)))</f>
        <v>-0.77944737729340652</v>
      </c>
      <c r="AG29" s="545">
        <f>IF(M29="","",DEGREES(ATAN2(-AF29,AE29)))</f>
        <v>-38.201596415677663</v>
      </c>
      <c r="AH29" s="546">
        <f>IF(M29="","",DEGREES(ACOS(AD29)))</f>
        <v>97.312966027007207</v>
      </c>
      <c r="AI29" s="528">
        <f>IF(M29="","",DEGREES(-ACOS(-AF29)))</f>
        <v>-38.789994399417751</v>
      </c>
      <c r="AJ29" s="529">
        <f>IF(M29="","",DEGREES(ATAN2(-AE29,AD29)))</f>
        <v>-11.723292768508848</v>
      </c>
      <c r="AK29" s="578">
        <f>IF(M29="","",(COS(RADIANS((90-$Q$8)-W29))*AD29)+(-SIN(RADIANS((90-$Q$8)-W29))*AE29))</f>
        <v>1.9428902930940239E-16</v>
      </c>
      <c r="AL29" s="572">
        <f>IF(M29="","",(SIN(RADIANS((90-$Q$8)-W29))*AD29)+(COS(RADIANS((90-$Q$8)-W29))*AE29))</f>
        <v>-0.62646770549680386</v>
      </c>
      <c r="AM29" s="577">
        <f>IF(M29="","",AF29)</f>
        <v>-0.77944737729340652</v>
      </c>
      <c r="AN29" s="524">
        <f>IF(M29="","",DEGREES(ATAN2(-AM29,AL29)))</f>
        <v>-38.789994399417758</v>
      </c>
      <c r="AO29" s="525">
        <f t="shared" si="110"/>
        <v>0</v>
      </c>
      <c r="AP29" s="528">
        <f>IF(M29="","",DEGREES(ATAN2(AK29,AL29)))</f>
        <v>-89.999999999999986</v>
      </c>
      <c r="AQ29" s="529">
        <f t="shared" si="13"/>
        <v>0.32771995783438268</v>
      </c>
      <c r="AR29" s="979"/>
      <c r="AS29" s="954">
        <f t="shared" si="147"/>
        <v>-11.723292768508884</v>
      </c>
      <c r="AT29" s="950">
        <f t="shared" si="14"/>
        <v>-0.9738714796691893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1.228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1.1279999999999999</v>
      </c>
      <c r="IK29" s="677" cm="1">
        <f t="array" ref="IK29">IFERROR(ROUND(VALUE(IF($IJ29&lt;1,$IJ29+LARGE((IF($M$9:$M$150="",0,$M$9:$M$150)-MOD(IF($M$9:$M$150="",0,$M$9:$M$150),1)),1),$IJ29)),4),"")</f>
        <v>1.1279999999999999</v>
      </c>
      <c r="IL29" s="482">
        <f t="shared" si="79"/>
        <v>1613</v>
      </c>
      <c r="IM29" s="482" t="str">
        <f t="shared" si="242"/>
        <v>CPS-32193r1</v>
      </c>
      <c r="IN29" s="670">
        <f t="shared" si="81"/>
        <v>9.523293086149522</v>
      </c>
      <c r="IO29" s="702">
        <v>3.3551869373695697E-2</v>
      </c>
      <c r="IP29" s="5">
        <f t="shared" si="82"/>
        <v>1.52</v>
      </c>
      <c r="IQ29" s="714">
        <v>760</v>
      </c>
      <c r="IR29" s="9">
        <f t="shared" si="132"/>
        <v>-6.9508209636760263</v>
      </c>
      <c r="IS29" s="5">
        <f t="shared" si="83"/>
        <v>-0.97700294664088705</v>
      </c>
      <c r="IT29" s="5">
        <f t="shared" si="84"/>
        <v>0.3125</v>
      </c>
      <c r="IU29" s="5">
        <f t="shared" si="85"/>
        <v>0.29511762067156433</v>
      </c>
      <c r="IV29" s="670">
        <f t="shared" si="86"/>
        <v>39.46666096838581</v>
      </c>
      <c r="IW29" s="9">
        <f t="shared" si="87"/>
        <v>-6.9562494324911253</v>
      </c>
      <c r="IX29" s="5">
        <f t="shared" si="88"/>
        <v>-0.98201265520287606</v>
      </c>
      <c r="IY29" s="5">
        <f t="shared" si="89"/>
        <v>0.255</v>
      </c>
      <c r="IZ29" s="5">
        <f t="shared" si="90"/>
        <v>0.255</v>
      </c>
      <c r="JA29" s="705">
        <f t="shared" si="91"/>
        <v>38.789994399417758</v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28</v>
      </c>
      <c r="JN29" s="960">
        <f>($JO29-SMALL($JO$9:$JO$88,1))/((Settings!$C$19/2)-((Settings!$C$19/2)-LARGE($JO$9:$JO$88,1))-SMALL($JO$9:$JO$88,1))</f>
        <v>0.80975528088981319</v>
      </c>
      <c r="JO29" s="162">
        <f t="shared" si="134"/>
        <v>6.9562494324911253</v>
      </c>
      <c r="JP29" s="961">
        <f t="shared" si="135"/>
        <v>-38.789994399417758</v>
      </c>
      <c r="JQ29" s="961">
        <f t="shared" si="136"/>
        <v>0</v>
      </c>
      <c r="JS29" s="82">
        <v>25</v>
      </c>
      <c r="JT29" s="322">
        <f t="shared" si="137"/>
        <v>6.3064190201597663</v>
      </c>
      <c r="JU29" s="963">
        <f t="shared" si="138"/>
        <v>0.73018477475602162</v>
      </c>
      <c r="JV29" s="961">
        <f t="shared" si="287"/>
        <v>-30.366662282263029</v>
      </c>
      <c r="JW29" s="961">
        <f t="shared" si="92"/>
        <v>17.499997473312952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-29.77157024476589</v>
      </c>
      <c r="KD29" s="970">
        <v>-34.905486666666668</v>
      </c>
      <c r="KE29" s="968">
        <f t="shared" si="140"/>
        <v>-5.1339164219007785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17.401905379220011</v>
      </c>
      <c r="KG29" s="966">
        <f t="shared" si="244"/>
        <v>-3.9364000000000061</v>
      </c>
      <c r="KH29" s="966">
        <f t="shared" si="141"/>
        <v>0.54534189646365405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1.5097847712308505</v>
      </c>
      <c r="C30" s="572">
        <f t="shared" si="300"/>
        <v>7.345482938340421</v>
      </c>
      <c r="D30" s="576">
        <f t="shared" si="300"/>
        <v>-1.5265353843360587</v>
      </c>
      <c r="E30" s="580">
        <f t="shared" ref="E30:K30" si="301">R185</f>
        <v>0.15566396813369957</v>
      </c>
      <c r="F30" s="572">
        <f t="shared" si="301"/>
        <v>0.75734438698058926</v>
      </c>
      <c r="G30" s="579">
        <f t="shared" si="301"/>
        <v>0.63419098742718372</v>
      </c>
      <c r="H30" s="580">
        <f t="shared" si="301"/>
        <v>0.255</v>
      </c>
      <c r="I30" s="572">
        <f t="shared" si="301"/>
        <v>0.41499999999999992</v>
      </c>
      <c r="J30" s="483">
        <f t="shared" si="94"/>
        <v>1.2310000000000001</v>
      </c>
      <c r="K30" s="806" t="str">
        <f t="shared" si="301"/>
        <v>CPS-32193r1</v>
      </c>
      <c r="L30" s="82"/>
      <c r="M30" s="164">
        <f t="shared" si="4"/>
        <v>1.2310000000000001</v>
      </c>
      <c r="N30" s="575">
        <f t="shared" si="5"/>
        <v>1.5097847712308505</v>
      </c>
      <c r="O30" s="572">
        <f t="shared" si="6"/>
        <v>7.345482938340421</v>
      </c>
      <c r="P30" s="576">
        <f t="shared" si="7"/>
        <v>-1.5265353843360587</v>
      </c>
      <c r="Q30" s="528">
        <f t="shared" si="144"/>
        <v>78.38522836022284</v>
      </c>
      <c r="R30" s="572">
        <f>IF(M30="","",SQRT(N30^2+O30^2))</f>
        <v>7.4990379151522379</v>
      </c>
      <c r="S30" s="577">
        <f>IF(M30="","",P30)</f>
        <v>-1.5265353843360587</v>
      </c>
      <c r="T30" s="578">
        <f>IF(M30="","",X30*COS(RADIANS(W30)))</f>
        <v>7.3454829383404219</v>
      </c>
      <c r="U30" s="572">
        <f>IF(M30="","",X30*SIN(RADIANS(W30)))</f>
        <v>-1.5097847712308476</v>
      </c>
      <c r="V30" s="579">
        <f>IF(M30="","",Y30)</f>
        <v>-1.5265353843360587</v>
      </c>
      <c r="W30" s="528">
        <f t="shared" si="268"/>
        <v>348.38522836022287</v>
      </c>
      <c r="X30" s="572">
        <f>IF(M30="","",R30)</f>
        <v>7.4990379151522379</v>
      </c>
      <c r="Y30" s="573">
        <f t="shared" si="271"/>
        <v>-1.5265353843360587</v>
      </c>
      <c r="Z30" s="575">
        <f t="shared" si="10"/>
        <v>-0.15566396813369957</v>
      </c>
      <c r="AA30" s="572">
        <f t="shared" si="11"/>
        <v>-0.75734438698058926</v>
      </c>
      <c r="AB30" s="572">
        <f t="shared" si="12"/>
        <v>-0.63419098742718372</v>
      </c>
      <c r="AC30" s="579">
        <f>IF(M30="","",SQRT(Z30^2+AA30^2+AB30^2))</f>
        <v>1</v>
      </c>
      <c r="AD30" s="580">
        <f>IF(M30="","",Z30*(1/SQRT(Z30^2+AA30^2+AB30^2)))</f>
        <v>-0.15566396813369957</v>
      </c>
      <c r="AE30" s="572">
        <f>IF(M30="","",AA30*(1/SQRT(Z30^2+AA30^2+AB30^2)))</f>
        <v>-0.75734438698058926</v>
      </c>
      <c r="AF30" s="576">
        <f>IF(M30="","",AB30*(1/SQRT(Z30^2+AA30^2+AB30^2)))</f>
        <v>-0.63419098742718372</v>
      </c>
      <c r="AG30" s="545">
        <f>IF(M30="","",DEGREES(ATAN2(-AF30,AE30)))</f>
        <v>-50.057602992781923</v>
      </c>
      <c r="AH30" s="546">
        <f>IF(M30="","",DEGREES(ACOS(AD30)))</f>
        <v>98.955306247317054</v>
      </c>
      <c r="AI30" s="528">
        <f>IF(M30="","",DEGREES(-ACOS(-AF30)))</f>
        <v>-50.639992688489663</v>
      </c>
      <c r="AJ30" s="529">
        <f>IF(M30="","",DEGREES(ATAN2(-AE30,AD30)))</f>
        <v>-11.614771639777155</v>
      </c>
      <c r="AK30" s="578">
        <f>IF(M30="","",(COS(RADIANS((90-$Q$8)-W30))*AD30)+(-SIN(RADIANS((90-$Q$8)-W30))*AE30))</f>
        <v>-2.2204460492503131E-16</v>
      </c>
      <c r="AL30" s="572">
        <f>IF(M30="","",(SIN(RADIANS((90-$Q$8)-W30))*AD30)+(COS(RADIANS((90-$Q$8)-W30))*AE30))</f>
        <v>-0.77317642971454703</v>
      </c>
      <c r="AM30" s="577">
        <f>IF(M30="","",AF30)</f>
        <v>-0.63419098742718372</v>
      </c>
      <c r="AN30" s="524">
        <f>IF(M30="","",DEGREES(ATAN2(-AM30,AL30)))</f>
        <v>-50.63999268848967</v>
      </c>
      <c r="AO30" s="525">
        <f>IF(ROUND(IF(M30="",0,DEGREES(ACOS(AK30))),4)=90,0,IF(M30="","",DEGREES(ACOS(AK30))))</f>
        <v>0</v>
      </c>
      <c r="AP30" s="528">
        <f>IF(M30="","",DEGREES(ATAN2(AK30,AL30)))</f>
        <v>-90.000000000000014</v>
      </c>
      <c r="AQ30" s="529">
        <f t="shared" si="13"/>
        <v>0.3039996950484144</v>
      </c>
      <c r="AR30" s="979"/>
      <c r="AS30" s="954">
        <f t="shared" si="147"/>
        <v>-11.614771639777132</v>
      </c>
      <c r="AT30" s="950">
        <f t="shared" si="14"/>
        <v>-1.5184695706973246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1.2310000000000001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1.131</v>
      </c>
      <c r="IK30" s="677" cm="1">
        <f t="array" ref="IK30">IFERROR(ROUND(VALUE(IF($IJ30&lt;1,$IJ30+LARGE((IF($M$9:$M$150="",0,$M$9:$M$150)-MOD(IF($M$9:$M$150="",0,$M$9:$M$150),1)),1),$IJ30)),4),"")</f>
        <v>1.131</v>
      </c>
      <c r="IL30" s="482">
        <f t="shared" si="79"/>
        <v>1613</v>
      </c>
      <c r="IM30" s="482" t="str">
        <f t="shared" si="242"/>
        <v>CPS-32193r1</v>
      </c>
      <c r="IN30" s="670">
        <f t="shared" si="81"/>
        <v>8.8247720426032288</v>
      </c>
      <c r="IO30" s="702">
        <v>3.2349947662025397E-2</v>
      </c>
      <c r="IP30" s="5">
        <f t="shared" si="82"/>
        <v>1.76</v>
      </c>
      <c r="IQ30" s="714">
        <v>880</v>
      </c>
      <c r="IR30" s="9">
        <f t="shared" si="132"/>
        <v>-7.4961226083057886</v>
      </c>
      <c r="IS30" s="5">
        <f t="shared" si="83"/>
        <v>-1.5171045755874</v>
      </c>
      <c r="IT30" s="5">
        <f t="shared" si="84"/>
        <v>0.3125</v>
      </c>
      <c r="IU30" s="5">
        <f t="shared" si="85"/>
        <v>0.29115351471343187</v>
      </c>
      <c r="IV30" s="670">
        <f t="shared" si="86"/>
        <v>48.566659654508584</v>
      </c>
      <c r="IW30" s="9">
        <f t="shared" si="87"/>
        <v>-7.4990379151522379</v>
      </c>
      <c r="IX30" s="5">
        <f t="shared" si="88"/>
        <v>-1.5265353843360587</v>
      </c>
      <c r="IY30" s="5">
        <f t="shared" si="89"/>
        <v>0.255</v>
      </c>
      <c r="IZ30" s="5">
        <f t="shared" si="90"/>
        <v>0.255</v>
      </c>
      <c r="JA30" s="705">
        <f t="shared" si="91"/>
        <v>50.63999268848967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58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400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720</v>
      </c>
      <c r="JM30" s="489">
        <f t="shared" si="133"/>
        <v>31</v>
      </c>
      <c r="JN30" s="960">
        <f>($JO30-SMALL($JO$9:$JO$88,1))/((Settings!$C$19/2)-((Settings!$C$19/2)-LARGE($JO$9:$JO$88,1))-SMALL($JO$9:$JO$88,1))</f>
        <v>0.87621870499147592</v>
      </c>
      <c r="JO30" s="162">
        <f t="shared" si="134"/>
        <v>7.4990379151522379</v>
      </c>
      <c r="JP30" s="961">
        <f t="shared" si="135"/>
        <v>-50.63999268848967</v>
      </c>
      <c r="JQ30" s="961">
        <f t="shared" si="136"/>
        <v>0</v>
      </c>
      <c r="JS30" s="82">
        <v>26</v>
      </c>
      <c r="JT30" s="322">
        <f t="shared" si="137"/>
        <v>6.530619696349004</v>
      </c>
      <c r="JU30" s="963">
        <f t="shared" si="138"/>
        <v>0.75763772392765749</v>
      </c>
      <c r="JV30" s="961">
        <f t="shared" si="287"/>
        <v>-33.399995177637415</v>
      </c>
      <c r="JW30" s="961">
        <f t="shared" si="92"/>
        <v>17.999997401121902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-33.234458923785247</v>
      </c>
      <c r="KD30" s="970">
        <v>-38.841799999999999</v>
      </c>
      <c r="KE30" s="968">
        <f t="shared" si="140"/>
        <v>-5.6073410762147518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17.972711205431985</v>
      </c>
      <c r="KG30" s="966">
        <f t="shared" si="244"/>
        <v>-3.9363133333333309</v>
      </c>
      <c r="KH30" s="966">
        <f t="shared" si="141"/>
        <v>0.57080582621197351</v>
      </c>
      <c r="KJ30" s="31"/>
    </row>
    <row r="31" spans="1:296" ht="15" customHeight="1" x14ac:dyDescent="0.25">
      <c r="A31" s="75">
        <f t="shared" si="1"/>
        <v>0</v>
      </c>
      <c r="B31" s="578">
        <f t="shared" ref="B31:D31" si="302">IFERROR(O186+($A31*-E31),"")</f>
        <v>1.5934721465312183</v>
      </c>
      <c r="C31" s="572">
        <f t="shared" si="302"/>
        <v>7.7565484988364686</v>
      </c>
      <c r="D31" s="576">
        <f t="shared" si="302"/>
        <v>-2.170276533564381</v>
      </c>
      <c r="E31" s="580">
        <f t="shared" ref="E31:K31" si="303">R186</f>
        <v>0.17817057670741226</v>
      </c>
      <c r="F31" s="572">
        <f t="shared" si="303"/>
        <v>0.86728137815594497</v>
      </c>
      <c r="G31" s="579">
        <f t="shared" si="303"/>
        <v>0.46484218472474392</v>
      </c>
      <c r="H31" s="580">
        <f t="shared" si="303"/>
        <v>0.255</v>
      </c>
      <c r="I31" s="572">
        <f t="shared" si="303"/>
        <v>0.41499999999999992</v>
      </c>
      <c r="J31" s="483">
        <f t="shared" si="94"/>
        <v>1.234</v>
      </c>
      <c r="K31" s="806" t="str">
        <f t="shared" si="303"/>
        <v>CPS-32193r1</v>
      </c>
      <c r="L31" s="309"/>
      <c r="M31" s="164">
        <f t="shared" si="4"/>
        <v>1.234</v>
      </c>
      <c r="N31" s="575">
        <f t="shared" si="5"/>
        <v>1.5934721465312183</v>
      </c>
      <c r="O31" s="572">
        <f t="shared" si="6"/>
        <v>7.7565484988364686</v>
      </c>
      <c r="P31" s="576">
        <f t="shared" si="7"/>
        <v>-2.170276533564381</v>
      </c>
      <c r="Q31" s="528">
        <f t="shared" si="144"/>
        <v>78.39091760272656</v>
      </c>
      <c r="R31" s="572">
        <f>IF(M31="","",SQRT(N31^2+O31^2))</f>
        <v>7.9185350978936171</v>
      </c>
      <c r="S31" s="577">
        <f>IF(M31="","",P31)</f>
        <v>-2.170276533564381</v>
      </c>
      <c r="T31" s="578">
        <f>IF(M31="","",X31*COS(RADIANS(W31)))</f>
        <v>7.7565484988364677</v>
      </c>
      <c r="U31" s="572">
        <f>IF(M31="","",X31*SIN(RADIANS(W31)))</f>
        <v>-1.5934721465312205</v>
      </c>
      <c r="V31" s="579">
        <f>IF(M31="","",Y31)</f>
        <v>-2.170276533564381</v>
      </c>
      <c r="W31" s="528">
        <f t="shared" si="268"/>
        <v>348.39091760272657</v>
      </c>
      <c r="X31" s="572">
        <f>IF(M31="","",R31)</f>
        <v>7.9185350978936171</v>
      </c>
      <c r="Y31" s="573">
        <f t="shared" si="271"/>
        <v>-2.170276533564381</v>
      </c>
      <c r="Z31" s="575">
        <f t="shared" si="10"/>
        <v>-0.17817057670741226</v>
      </c>
      <c r="AA31" s="572">
        <f t="shared" si="11"/>
        <v>-0.86728137815594497</v>
      </c>
      <c r="AB31" s="572">
        <f t="shared" si="12"/>
        <v>-0.46484218472474392</v>
      </c>
      <c r="AC31" s="579">
        <f>IF(M31="","",SQRT(Z31^2+AA31^2+AB31^2))</f>
        <v>1</v>
      </c>
      <c r="AD31" s="580">
        <f>IF(M31="","",Z31*(1/SQRT(Z31^2+AA31^2+AB31^2)))</f>
        <v>-0.17817057670741226</v>
      </c>
      <c r="AE31" s="572">
        <f>IF(M31="","",AA31*(1/SQRT(Z31^2+AA31^2+AB31^2)))</f>
        <v>-0.86728137815594497</v>
      </c>
      <c r="AF31" s="576">
        <f>IF(M31="","",AB31*(1/SQRT(Z31^2+AA31^2+AB31^2)))</f>
        <v>-0.46484218472474392</v>
      </c>
      <c r="AG31" s="545">
        <f>IF(M31="","",DEGREES(ATAN2(-AF31,AE31)))</f>
        <v>-61.809750565885331</v>
      </c>
      <c r="AH31" s="546">
        <f>IF(M31="","",DEGREES(ACOS(AD31)))</f>
        <v>100.26321917173033</v>
      </c>
      <c r="AI31" s="528">
        <f>IF(M31="","",DEGREES(-ACOS(-AF31)))</f>
        <v>-62.29999100499419</v>
      </c>
      <c r="AJ31" s="529">
        <f>IF(M31="","",DEGREES(ATAN2(-AE31,AD31)))</f>
        <v>-11.609082397273434</v>
      </c>
      <c r="AK31" s="578">
        <f>IF(M31="","",(COS(RADIANS((90-$Q$8)-W31))*AD31)+(-SIN(RADIANS((90-$Q$8)-W31))*AE31))</f>
        <v>3.3306690738754696E-16</v>
      </c>
      <c r="AL31" s="572">
        <f>IF(M31="","",(SIN(RADIANS((90-$Q$8)-W31))*AD31)+(COS(RADIANS((90-$Q$8)-W31))*AE31))</f>
        <v>-0.88539355277770526</v>
      </c>
      <c r="AM31" s="577">
        <f>IF(M31="","",AF31)</f>
        <v>-0.46484218472474392</v>
      </c>
      <c r="AN31" s="524">
        <f>IF(M31="","",DEGREES(ATAN2(-AM31,AL31)))</f>
        <v>-62.299991004994205</v>
      </c>
      <c r="AO31" s="525">
        <f t="shared" si="110"/>
        <v>0</v>
      </c>
      <c r="AP31" s="528">
        <f>IF(M31="","",DEGREES(ATAN2(AK31,AL31)))</f>
        <v>-89.999999999999986</v>
      </c>
      <c r="AQ31" s="529">
        <f t="shared" si="13"/>
        <v>0.28789509899513827</v>
      </c>
      <c r="AR31" s="979"/>
      <c r="AS31" s="954">
        <f t="shared" si="147"/>
        <v>-11.609082397273426</v>
      </c>
      <c r="AT31" s="950">
        <f t="shared" si="14"/>
        <v>-2.1622146707884968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1.234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1.1339999999999999</v>
      </c>
      <c r="IK31" s="677" cm="1">
        <f t="array" ref="IK31">IFERROR(ROUND(VALUE(IF($IJ31&lt;1,$IJ31+LARGE((IF($M$9:$M$150="",0,$M$9:$M$150)-MOD(IF($M$9:$M$150="",0,$M$9:$M$150),1)),1),$IJ31)),4),"")</f>
        <v>1.1339999999999999</v>
      </c>
      <c r="IL31" s="482">
        <f t="shared" si="79"/>
        <v>1613</v>
      </c>
      <c r="IM31" s="482" t="str">
        <f t="shared" si="242"/>
        <v>CPS-32193r1</v>
      </c>
      <c r="IN31" s="670">
        <f t="shared" si="81"/>
        <v>8.3490828679591118</v>
      </c>
      <c r="IO31" s="702">
        <v>3.0913463240379701E-2</v>
      </c>
      <c r="IP31" s="5">
        <f t="shared" si="82"/>
        <v>2.06</v>
      </c>
      <c r="IQ31" s="714">
        <v>1030</v>
      </c>
      <c r="IR31" s="9">
        <f t="shared" si="132"/>
        <v>-7.91992388649044</v>
      </c>
      <c r="IS31" s="5">
        <f t="shared" si="83"/>
        <v>-2.157006505531621</v>
      </c>
      <c r="IT31" s="5">
        <f t="shared" si="84"/>
        <v>0.3125</v>
      </c>
      <c r="IU31" s="5">
        <f t="shared" si="85"/>
        <v>0.28636336042851873</v>
      </c>
      <c r="IV31" s="670">
        <f t="shared" si="86"/>
        <v>57.666658340631315</v>
      </c>
      <c r="IW31" s="9">
        <f t="shared" si="87"/>
        <v>-7.9185350978936171</v>
      </c>
      <c r="IX31" s="5">
        <f t="shared" si="88"/>
        <v>-2.170276533564381</v>
      </c>
      <c r="IY31" s="5">
        <f t="shared" si="89"/>
        <v>0.255</v>
      </c>
      <c r="IZ31" s="5">
        <f t="shared" si="90"/>
        <v>0.255</v>
      </c>
      <c r="JA31" s="705">
        <f t="shared" si="91"/>
        <v>62.299991004994205</v>
      </c>
      <c r="JM31" s="489">
        <f t="shared" si="133"/>
        <v>34</v>
      </c>
      <c r="JN31" s="960">
        <f>($JO31-SMALL($JO$9:$JO$88,1))/((Settings!$C$19/2)-((Settings!$C$19/2)-LARGE($JO$9:$JO$88,1))-SMALL($JO$9:$JO$88,1))</f>
        <v>0.92758534237718571</v>
      </c>
      <c r="JO31" s="162">
        <f t="shared" si="134"/>
        <v>7.9185350978936171</v>
      </c>
      <c r="JP31" s="961">
        <f t="shared" si="135"/>
        <v>-62.299991004994205</v>
      </c>
      <c r="JQ31" s="961">
        <f t="shared" si="136"/>
        <v>0</v>
      </c>
      <c r="JS31" s="82">
        <v>27</v>
      </c>
      <c r="JT31" s="322">
        <f t="shared" si="137"/>
        <v>6.7457203450925629</v>
      </c>
      <c r="JU31" s="963">
        <f t="shared" si="138"/>
        <v>0.78397639193309443</v>
      </c>
      <c r="JV31" s="961">
        <f t="shared" si="287"/>
        <v>-36.433328073011502</v>
      </c>
      <c r="JW31" s="961">
        <f t="shared" si="92"/>
        <v>18.599997314492636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-36.81930553008381</v>
      </c>
      <c r="KD31" s="970">
        <v>-42.77811333333333</v>
      </c>
      <c r="KE31" s="968">
        <f t="shared" si="140"/>
        <v>-5.9588078032495204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18.676344503803641</v>
      </c>
      <c r="KG31" s="966">
        <f t="shared" si="244"/>
        <v>-3.9363133333333309</v>
      </c>
      <c r="KH31" s="966">
        <f t="shared" si="141"/>
        <v>0.70363329837165622</v>
      </c>
      <c r="KJ31" s="31"/>
    </row>
    <row r="32" spans="1:296" ht="15" customHeight="1" x14ac:dyDescent="0.25">
      <c r="A32" s="75">
        <f t="shared" si="1"/>
        <v>0</v>
      </c>
      <c r="B32" s="578">
        <f t="shared" ref="B32:D32" si="304">IFERROR(O187+($A32*-E32),"")</f>
        <v>1.6549729115617142</v>
      </c>
      <c r="C32" s="572">
        <f t="shared" si="304"/>
        <v>8.0288771481754679</v>
      </c>
      <c r="D32" s="576">
        <f t="shared" si="304"/>
        <v>-2.8855204083779387</v>
      </c>
      <c r="E32" s="580">
        <f t="shared" ref="E32:K32" si="305">R187</f>
        <v>0.19411117330996872</v>
      </c>
      <c r="F32" s="572">
        <f t="shared" si="305"/>
        <v>0.9417040923789296</v>
      </c>
      <c r="G32" s="579">
        <f t="shared" si="305"/>
        <v>0.27479857130815633</v>
      </c>
      <c r="H32" s="580">
        <f t="shared" si="305"/>
        <v>0.255</v>
      </c>
      <c r="I32" s="572">
        <f t="shared" si="305"/>
        <v>0.41499999999999992</v>
      </c>
      <c r="J32" s="483">
        <f t="shared" si="94"/>
        <v>1.2370000000000001</v>
      </c>
      <c r="K32" s="806" t="str">
        <f t="shared" si="305"/>
        <v>CPS-32193r1</v>
      </c>
      <c r="L32" s="309"/>
      <c r="M32" s="164">
        <f t="shared" si="4"/>
        <v>1.2370000000000001</v>
      </c>
      <c r="N32" s="575">
        <f t="shared" si="5"/>
        <v>1.6549729115617142</v>
      </c>
      <c r="O32" s="572">
        <f t="shared" si="6"/>
        <v>8.0288771481754679</v>
      </c>
      <c r="P32" s="576">
        <f t="shared" si="7"/>
        <v>-2.8855204083779387</v>
      </c>
      <c r="Q32" s="528">
        <f t="shared" si="144"/>
        <v>78.352888245289165</v>
      </c>
      <c r="R32" s="572">
        <f t="shared" si="95"/>
        <v>8.1976706202736214</v>
      </c>
      <c r="S32" s="577">
        <f t="shared" si="96"/>
        <v>-2.8855204083779387</v>
      </c>
      <c r="T32" s="578">
        <f t="shared" si="97"/>
        <v>8.0288771481754679</v>
      </c>
      <c r="U32" s="572">
        <f t="shared" si="98"/>
        <v>-1.6549729115617202</v>
      </c>
      <c r="V32" s="579">
        <f t="shared" si="145"/>
        <v>-2.8855204083779387</v>
      </c>
      <c r="W32" s="528">
        <f t="shared" si="268"/>
        <v>348.35288824528914</v>
      </c>
      <c r="X32" s="572">
        <f t="shared" si="99"/>
        <v>8.1976706202736214</v>
      </c>
      <c r="Y32" s="573">
        <f t="shared" si="271"/>
        <v>-2.8855204083779387</v>
      </c>
      <c r="Z32" s="575">
        <f t="shared" si="10"/>
        <v>-0.19411117330996872</v>
      </c>
      <c r="AA32" s="572">
        <f t="shared" si="11"/>
        <v>-0.9417040923789296</v>
      </c>
      <c r="AB32" s="572">
        <f t="shared" si="12"/>
        <v>-0.27479857130815633</v>
      </c>
      <c r="AC32" s="579">
        <f t="shared" si="100"/>
        <v>1</v>
      </c>
      <c r="AD32" s="580">
        <f t="shared" si="146"/>
        <v>-0.19411117330996872</v>
      </c>
      <c r="AE32" s="572">
        <f t="shared" si="101"/>
        <v>-0.9417040923789296</v>
      </c>
      <c r="AF32" s="576">
        <f t="shared" si="102"/>
        <v>-0.27479857130815633</v>
      </c>
      <c r="AG32" s="545">
        <f t="shared" si="103"/>
        <v>-73.732232640631437</v>
      </c>
      <c r="AH32" s="546">
        <f t="shared" si="104"/>
        <v>101.19280549511666</v>
      </c>
      <c r="AI32" s="528">
        <f t="shared" si="105"/>
        <v>-74.049989308504351</v>
      </c>
      <c r="AJ32" s="529">
        <f t="shared" si="106"/>
        <v>-11.647111754710808</v>
      </c>
      <c r="AK32" s="578">
        <f t="shared" si="247"/>
        <v>1.0824674490095276E-15</v>
      </c>
      <c r="AL32" s="572">
        <f t="shared" si="107"/>
        <v>-0.96150181757862341</v>
      </c>
      <c r="AM32" s="577">
        <f t="shared" si="108"/>
        <v>-0.27479857130815633</v>
      </c>
      <c r="AN32" s="524">
        <f t="shared" si="109"/>
        <v>-74.049989308504351</v>
      </c>
      <c r="AO32" s="525">
        <f t="shared" si="110"/>
        <v>0</v>
      </c>
      <c r="AP32" s="528">
        <f t="shared" si="111"/>
        <v>-89.999999999999929</v>
      </c>
      <c r="AQ32" s="529">
        <f t="shared" si="13"/>
        <v>0.27809225764644196</v>
      </c>
      <c r="AR32" s="979"/>
      <c r="AS32" s="954">
        <f t="shared" si="147"/>
        <v>-11.647111754710863</v>
      </c>
      <c r="AT32" s="950">
        <f t="shared" si="14"/>
        <v>-2.877432136326056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1.2370000000000001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1.137</v>
      </c>
      <c r="IK32" s="677" cm="1">
        <f t="array" ref="IK32">IFERROR(ROUND(VALUE(IF($IJ32&lt;1,$IJ32+LARGE((IF($M$9:$M$150="",0,$M$9:$M$150)-MOD(IF($M$9:$M$150="",0,$M$9:$M$150),1)),1),$IJ32)),4),"")</f>
        <v>1.137</v>
      </c>
      <c r="IL32" s="482">
        <f t="shared" si="79"/>
        <v>1613</v>
      </c>
      <c r="IM32" s="482" t="str">
        <f t="shared" si="242"/>
        <v>CPS-32193r1</v>
      </c>
      <c r="IN32" s="670">
        <f t="shared" si="81"/>
        <v>8.0571122730426623</v>
      </c>
      <c r="IO32" s="702">
        <v>2.9227359249259399E-2</v>
      </c>
      <c r="IP32" s="5">
        <f t="shared" si="82"/>
        <v>2.38</v>
      </c>
      <c r="IQ32" s="714">
        <v>1190</v>
      </c>
      <c r="IR32" s="9">
        <f t="shared" si="132"/>
        <v>-8.2049247460530346</v>
      </c>
      <c r="IS32" s="5">
        <f t="shared" si="83"/>
        <v>-2.8697086550413031</v>
      </c>
      <c r="IT32" s="5">
        <f t="shared" si="84"/>
        <v>0.3125</v>
      </c>
      <c r="IU32" s="5">
        <f t="shared" si="85"/>
        <v>0.2808731484439364</v>
      </c>
      <c r="IV32" s="670">
        <f t="shared" si="86"/>
        <v>66.766657026754046</v>
      </c>
      <c r="IW32" s="9">
        <f t="shared" si="87"/>
        <v>-8.1976706202736214</v>
      </c>
      <c r="IX32" s="5">
        <f t="shared" si="88"/>
        <v>-2.8855204083779387</v>
      </c>
      <c r="IY32" s="5">
        <f t="shared" si="89"/>
        <v>0.255</v>
      </c>
      <c r="IZ32" s="5">
        <f t="shared" si="90"/>
        <v>0.255</v>
      </c>
      <c r="JA32" s="705">
        <f t="shared" si="91"/>
        <v>74.049989308504351</v>
      </c>
      <c r="JM32" s="489">
        <f t="shared" si="133"/>
        <v>37</v>
      </c>
      <c r="JN32" s="960">
        <f>($JO32-SMALL($JO$9:$JO$88,1))/((Settings!$C$19/2)-((Settings!$C$19/2)-LARGE($JO$9:$JO$88,1))-SMALL($JO$9:$JO$88,1))</f>
        <v>0.96176495966535214</v>
      </c>
      <c r="JO32" s="162">
        <f t="shared" si="134"/>
        <v>8.1976706202736214</v>
      </c>
      <c r="JP32" s="961">
        <f t="shared" si="135"/>
        <v>-74.049989308504351</v>
      </c>
      <c r="JQ32" s="961">
        <f t="shared" si="136"/>
        <v>0</v>
      </c>
      <c r="JS32" s="82">
        <v>28</v>
      </c>
      <c r="JT32" s="322">
        <f t="shared" si="137"/>
        <v>6.9508209636760263</v>
      </c>
      <c r="JU32" s="963">
        <f t="shared" si="138"/>
        <v>0.80909057514050964</v>
      </c>
      <c r="JV32" s="961">
        <f t="shared" si="287"/>
        <v>-39.46666096838581</v>
      </c>
      <c r="JW32" s="961">
        <f t="shared" si="92"/>
        <v>19.199997227863374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-40.335458769602951</v>
      </c>
      <c r="KD32" s="970">
        <v>-46.714513333333329</v>
      </c>
      <c r="KE32" s="968">
        <f t="shared" si="140"/>
        <v>-6.3790545637303779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19.400489028144246</v>
      </c>
      <c r="KG32" s="966">
        <f t="shared" si="244"/>
        <v>-3.936399999999999</v>
      </c>
      <c r="KH32" s="966">
        <f t="shared" si="141"/>
        <v>0.7241445243406055</v>
      </c>
      <c r="KJ32" s="31"/>
    </row>
    <row r="33" spans="1:296" ht="15" customHeight="1" x14ac:dyDescent="0.25">
      <c r="A33" s="75">
        <f t="shared" si="1"/>
        <v>0</v>
      </c>
      <c r="B33" s="578">
        <f t="shared" ref="B33:D33" si="306">IFERROR(O188+($A33*-E33),"")</f>
        <v>1.6914170965942998</v>
      </c>
      <c r="C33" s="572">
        <f t="shared" si="306"/>
        <v>8.1873934485925375</v>
      </c>
      <c r="D33" s="576">
        <f t="shared" si="306"/>
        <v>-3.6357005532084909</v>
      </c>
      <c r="E33" s="580">
        <f t="shared" ref="E33:K33" si="307">R188</f>
        <v>0.19924830157918799</v>
      </c>
      <c r="F33" s="572">
        <f t="shared" si="307"/>
        <v>0.96447188708056242</v>
      </c>
      <c r="G33" s="579">
        <f t="shared" si="307"/>
        <v>0.17347649220879391</v>
      </c>
      <c r="H33" s="580">
        <f t="shared" si="307"/>
        <v>0.255</v>
      </c>
      <c r="I33" s="572">
        <f t="shared" si="307"/>
        <v>0.41499999999999992</v>
      </c>
      <c r="J33" s="483">
        <f t="shared" si="94"/>
        <v>1.24</v>
      </c>
      <c r="K33" s="806" t="str">
        <f t="shared" si="307"/>
        <v>CPS-32193r1</v>
      </c>
      <c r="L33" s="309"/>
      <c r="M33" s="164">
        <f t="shared" si="4"/>
        <v>1.24</v>
      </c>
      <c r="N33" s="575">
        <f t="shared" si="5"/>
        <v>1.6914170965942998</v>
      </c>
      <c r="O33" s="572">
        <f t="shared" si="6"/>
        <v>8.1873934485925375</v>
      </c>
      <c r="P33" s="576">
        <f t="shared" si="7"/>
        <v>-3.6357005532084909</v>
      </c>
      <c r="Q33" s="528">
        <f t="shared" si="144"/>
        <v>78.327585826969624</v>
      </c>
      <c r="R33" s="572">
        <f t="shared" si="95"/>
        <v>8.3602812917214404</v>
      </c>
      <c r="S33" s="577">
        <f t="shared" si="96"/>
        <v>-3.6357005532084909</v>
      </c>
      <c r="T33" s="578">
        <f t="shared" si="97"/>
        <v>8.1873934485925393</v>
      </c>
      <c r="U33" s="572">
        <f t="shared" si="98"/>
        <v>-1.6914170965942956</v>
      </c>
      <c r="V33" s="579">
        <f t="shared" si="145"/>
        <v>-3.6357005532084909</v>
      </c>
      <c r="W33" s="528">
        <f t="shared" si="268"/>
        <v>348.32758582696965</v>
      </c>
      <c r="X33" s="572">
        <f t="shared" si="99"/>
        <v>8.3602812917214404</v>
      </c>
      <c r="Y33" s="573">
        <f t="shared" si="271"/>
        <v>-3.6357005532084909</v>
      </c>
      <c r="Z33" s="575">
        <f t="shared" si="10"/>
        <v>-0.19924830157918799</v>
      </c>
      <c r="AA33" s="572">
        <f t="shared" si="11"/>
        <v>-0.96447188708056242</v>
      </c>
      <c r="AB33" s="572">
        <f t="shared" si="12"/>
        <v>-0.17347649220879391</v>
      </c>
      <c r="AC33" s="579">
        <f t="shared" si="100"/>
        <v>1</v>
      </c>
      <c r="AD33" s="580">
        <f t="shared" si="146"/>
        <v>-0.19924830157918799</v>
      </c>
      <c r="AE33" s="572">
        <f t="shared" si="101"/>
        <v>-0.96447188708056242</v>
      </c>
      <c r="AF33" s="576">
        <f t="shared" si="102"/>
        <v>-0.17347649220879391</v>
      </c>
      <c r="AG33" s="545">
        <f t="shared" si="103"/>
        <v>-79.80341757580868</v>
      </c>
      <c r="AH33" s="546">
        <f t="shared" si="104"/>
        <v>101.49300520583908</v>
      </c>
      <c r="AI33" s="528">
        <f t="shared" si="105"/>
        <v>-80.009988447986942</v>
      </c>
      <c r="AJ33" s="529">
        <f t="shared" si="106"/>
        <v>-11.672414173030404</v>
      </c>
      <c r="AK33" s="578">
        <f t="shared" si="247"/>
        <v>-9.7144514654701197E-16</v>
      </c>
      <c r="AL33" s="572">
        <f t="shared" si="107"/>
        <v>-0.98483801036055274</v>
      </c>
      <c r="AM33" s="577">
        <f t="shared" si="108"/>
        <v>-0.17347649220879391</v>
      </c>
      <c r="AN33" s="524">
        <f t="shared" si="109"/>
        <v>-80.009988447986942</v>
      </c>
      <c r="AO33" s="525">
        <f t="shared" si="110"/>
        <v>0</v>
      </c>
      <c r="AP33" s="528">
        <f t="shared" si="111"/>
        <v>-90.000000000000057</v>
      </c>
      <c r="AQ33" s="529">
        <f t="shared" si="13"/>
        <v>0.27268333926753013</v>
      </c>
      <c r="AR33" s="979"/>
      <c r="AS33" s="954">
        <f t="shared" si="147"/>
        <v>-11.672414173030347</v>
      </c>
      <c r="AT33" s="950">
        <f t="shared" si="14"/>
        <v>-3.6275947100327754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1.24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1.1399999999999999</v>
      </c>
      <c r="IK33" s="677" cm="1">
        <f t="array" ref="IK33">IFERROR(ROUND(VALUE(IF($IJ33&lt;1,$IJ33+LARGE((IF($M$9:$M$150="",0,$M$9:$M$150)-MOD(IF($M$9:$M$150="",0,$M$9:$M$150),1)),1),$IJ33)),4),"")</f>
        <v>1.1399999999999999</v>
      </c>
      <c r="IL33" s="482">
        <f t="shared" si="79"/>
        <v>1613</v>
      </c>
      <c r="IM33" s="482" t="str">
        <f t="shared" si="242"/>
        <v>CPS-32193r1</v>
      </c>
      <c r="IN33" s="670">
        <f t="shared" si="81"/>
        <v>7.8924147187947256</v>
      </c>
      <c r="IO33" s="702">
        <v>2.7395015314623399E-2</v>
      </c>
      <c r="IP33" s="5">
        <f t="shared" si="82"/>
        <v>2.78</v>
      </c>
      <c r="IQ33" s="714">
        <v>1390</v>
      </c>
      <c r="IR33" s="9">
        <f t="shared" si="132"/>
        <v>-8.3750252590761836</v>
      </c>
      <c r="IS33" s="5">
        <f t="shared" si="83"/>
        <v>-3.6191109152385219</v>
      </c>
      <c r="IT33" s="5">
        <f t="shared" si="84"/>
        <v>0.3125</v>
      </c>
      <c r="IU33" s="5">
        <f t="shared" si="85"/>
        <v>0.27436969060233807</v>
      </c>
      <c r="IV33" s="670">
        <f t="shared" si="86"/>
        <v>75.866655712876806</v>
      </c>
      <c r="IW33" s="9">
        <f t="shared" si="87"/>
        <v>-8.3602812917214404</v>
      </c>
      <c r="IX33" s="5">
        <f t="shared" si="88"/>
        <v>-3.6357005532084909</v>
      </c>
      <c r="IY33" s="5">
        <f t="shared" si="89"/>
        <v>0.255</v>
      </c>
      <c r="IZ33" s="5">
        <f t="shared" si="90"/>
        <v>0.255</v>
      </c>
      <c r="JA33" s="705">
        <f t="shared" si="91"/>
        <v>80.009988447986942</v>
      </c>
      <c r="JM33" s="489">
        <f t="shared" si="133"/>
        <v>40</v>
      </c>
      <c r="JN33" s="960">
        <f>($JO33-SMALL($JO$9:$JO$88,1))/((Settings!$C$19/2)-((Settings!$C$19/2)-LARGE($JO$9:$JO$88,1))-SMALL($JO$9:$JO$88,1))</f>
        <v>0.98167632913086855</v>
      </c>
      <c r="JO33" s="162">
        <f t="shared" si="134"/>
        <v>8.3602812917214404</v>
      </c>
      <c r="JP33" s="961">
        <f t="shared" si="135"/>
        <v>-80.009988447986942</v>
      </c>
      <c r="JQ33" s="961">
        <f t="shared" si="136"/>
        <v>0</v>
      </c>
      <c r="JS33" s="82">
        <v>29</v>
      </c>
      <c r="JT33" s="322">
        <f t="shared" si="137"/>
        <v>7.144821548781791</v>
      </c>
      <c r="JU33" s="963">
        <f t="shared" si="138"/>
        <v>0.83284558022212163</v>
      </c>
      <c r="JV33" s="961">
        <f t="shared" si="287"/>
        <v>-42.499993863760025</v>
      </c>
      <c r="JW33" s="961">
        <f t="shared" si="92"/>
        <v>19.899997126795864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-43.842026789479661</v>
      </c>
      <c r="KD33" s="970">
        <v>-50.650826666666667</v>
      </c>
      <c r="KE33" s="968">
        <f t="shared" si="140"/>
        <v>-6.8087998771870062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20.209697032731164</v>
      </c>
      <c r="KG33" s="966">
        <f t="shared" si="244"/>
        <v>-3.936313333333338</v>
      </c>
      <c r="KH33" s="966">
        <f t="shared" si="141"/>
        <v>0.80920800458691744</v>
      </c>
      <c r="KJ33" s="31"/>
    </row>
    <row r="34" spans="1:296" ht="15" customHeight="1" x14ac:dyDescent="0.25">
      <c r="A34" s="75">
        <f t="shared" si="1"/>
        <v>0</v>
      </c>
      <c r="B34" s="578">
        <f t="shared" ref="B34:D34" si="308">IFERROR(O189+($A34*-E34),"")</f>
        <v>1.7133935987331661</v>
      </c>
      <c r="C34" s="572">
        <f t="shared" si="308"/>
        <v>8.2720466657661511</v>
      </c>
      <c r="D34" s="576">
        <f t="shared" si="308"/>
        <v>-4.39669318250575</v>
      </c>
      <c r="E34" s="580">
        <f t="shared" ref="E34:K34" si="309">R189</f>
        <v>0.20223026332235544</v>
      </c>
      <c r="F34" s="572">
        <f t="shared" si="309"/>
        <v>0.9763420247802761</v>
      </c>
      <c r="G34" s="579">
        <f t="shared" si="309"/>
        <v>7.6545223525192524E-2</v>
      </c>
      <c r="H34" s="580">
        <f t="shared" si="309"/>
        <v>0.255</v>
      </c>
      <c r="I34" s="572">
        <f t="shared" si="309"/>
        <v>0.41499999999999992</v>
      </c>
      <c r="J34" s="483">
        <f t="shared" si="94"/>
        <v>1.2430000000000001</v>
      </c>
      <c r="K34" s="806" t="str">
        <f t="shared" si="309"/>
        <v>CPS-32193r1</v>
      </c>
      <c r="L34" s="309"/>
      <c r="M34" s="164">
        <f t="shared" si="4"/>
        <v>1.2430000000000001</v>
      </c>
      <c r="N34" s="575">
        <f t="shared" si="5"/>
        <v>1.7133935987331661</v>
      </c>
      <c r="O34" s="572">
        <f t="shared" si="6"/>
        <v>8.2720466657661511</v>
      </c>
      <c r="P34" s="576">
        <f t="shared" si="7"/>
        <v>-4.39669318250575</v>
      </c>
      <c r="Q34" s="528">
        <f t="shared" si="144"/>
        <v>78.297774502773635</v>
      </c>
      <c r="R34" s="572">
        <f>IF(M34="","",SQRT(N34^2+O34^2))</f>
        <v>8.4476312457867557</v>
      </c>
      <c r="S34" s="577">
        <f>IF(M34="","",P34)</f>
        <v>-4.39669318250575</v>
      </c>
      <c r="T34" s="578">
        <f>IF(M34="","",X34*COS(RADIANS(W34)))</f>
        <v>8.2720466657661493</v>
      </c>
      <c r="U34" s="572">
        <f>IF(M34="","",X34*SIN(RADIANS(W34)))</f>
        <v>-1.7133935987331741</v>
      </c>
      <c r="V34" s="579">
        <f>IF(M34="","",Y34)</f>
        <v>-4.39669318250575</v>
      </c>
      <c r="W34" s="528">
        <f t="shared" si="268"/>
        <v>348.29777450277362</v>
      </c>
      <c r="X34" s="572">
        <f>IF(M34="","",R34)</f>
        <v>8.4476312457867557</v>
      </c>
      <c r="Y34" s="573">
        <f t="shared" si="271"/>
        <v>-4.39669318250575</v>
      </c>
      <c r="Z34" s="575">
        <f t="shared" si="10"/>
        <v>-0.20223026332235544</v>
      </c>
      <c r="AA34" s="572">
        <f t="shared" si="11"/>
        <v>-0.9763420247802761</v>
      </c>
      <c r="AB34" s="572">
        <f t="shared" si="12"/>
        <v>-7.6545223525192524E-2</v>
      </c>
      <c r="AC34" s="579">
        <f>IF(M34="","",SQRT(Z34^2+AA34^2+AB34^2))</f>
        <v>1</v>
      </c>
      <c r="AD34" s="580">
        <f>IF(M34="","",Z34*(1/SQRT(Z34^2+AA34^2+AB34^2)))</f>
        <v>-0.20223026332235544</v>
      </c>
      <c r="AE34" s="572">
        <f>IF(M34="","",AA34*(1/SQRT(Z34^2+AA34^2+AB34^2)))</f>
        <v>-0.9763420247802761</v>
      </c>
      <c r="AF34" s="576">
        <f>IF(M34="","",AB34*(1/SQRT(Z34^2+AA34^2+AB34^2)))</f>
        <v>-7.6545223525192524E-2</v>
      </c>
      <c r="AG34" s="545">
        <f>IF(M34="","",DEGREES(ATAN2(-AF34,AE34)))</f>
        <v>-85.517180007462741</v>
      </c>
      <c r="AH34" s="546">
        <f>IF(M34="","",DEGREES(ACOS(AD34)))</f>
        <v>101.66740914700469</v>
      </c>
      <c r="AI34" s="528">
        <f>IF(M34="","",DEGREES(-ACOS(-AF34)))</f>
        <v>-85.609987639447098</v>
      </c>
      <c r="AJ34" s="529">
        <f>IF(M34="","",DEGREES(ATAN2(-AE34,AD34)))</f>
        <v>-11.70222549722634</v>
      </c>
      <c r="AK34" s="578">
        <f>IF(M34="","",(COS(RADIANS((90-$Q$8)-W34))*AD34)+(-SIN(RADIANS((90-$Q$8)-W34))*AE34))</f>
        <v>1.2212453270876722E-15</v>
      </c>
      <c r="AL34" s="572">
        <f>IF(M34="","",(SIN(RADIANS((90-$Q$8)-W34))*AD34)+(COS(RADIANS((90-$Q$8)-W34))*AE34))</f>
        <v>-0.99706611052401062</v>
      </c>
      <c r="AM34" s="577">
        <f>IF(M34="","",AF34)</f>
        <v>-7.6545223525192524E-2</v>
      </c>
      <c r="AN34" s="524">
        <f>IF(M34="","",DEGREES(ATAN2(-AM34,AL34)))</f>
        <v>-85.609987639447112</v>
      </c>
      <c r="AO34" s="525">
        <f t="shared" si="110"/>
        <v>0</v>
      </c>
      <c r="AP34" s="528">
        <f>IF(M34="","",DEGREES(ATAN2(AK34,AL34)))</f>
        <v>-89.999999999999929</v>
      </c>
      <c r="AQ34" s="529">
        <f t="shared" si="13"/>
        <v>0.26986378874986783</v>
      </c>
      <c r="AR34" s="979"/>
      <c r="AS34" s="954">
        <f t="shared" si="147"/>
        <v>-11.70222549722638</v>
      </c>
      <c r="AT34" s="950">
        <f t="shared" si="14"/>
        <v>-4.3885666370215652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1.2430000000000001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1.143</v>
      </c>
      <c r="IK34" s="677" cm="1">
        <f t="array" ref="IK34">IFERROR(ROUND(VALUE(IF($IJ34&lt;1,$IJ34+LARGE((IF($M$9:$M$150="",0,$M$9:$M$150)-MOD(IF($M$9:$M$150="",0,$M$9:$M$150),1)),1),$IJ34)),4),"")</f>
        <v>1.143</v>
      </c>
      <c r="IL34" s="482">
        <f t="shared" si="79"/>
        <v>1613</v>
      </c>
      <c r="IM34" s="482" t="str">
        <f t="shared" si="242"/>
        <v>CPS-32193r1</v>
      </c>
      <c r="IN34" s="670">
        <f t="shared" si="81"/>
        <v>7.8022260603166274</v>
      </c>
      <c r="IO34" s="702">
        <v>2.5496324278366098E-2</v>
      </c>
      <c r="IP34" s="5">
        <f t="shared" si="82"/>
        <v>3.28</v>
      </c>
      <c r="IQ34" s="714">
        <v>1640</v>
      </c>
      <c r="IR34" s="9">
        <f t="shared" si="132"/>
        <v>-8.4712255492162551</v>
      </c>
      <c r="IS34" s="5">
        <f t="shared" si="83"/>
        <v>-4.3816132149454567</v>
      </c>
      <c r="IT34" s="5">
        <f t="shared" si="84"/>
        <v>0.3125</v>
      </c>
      <c r="IU34" s="5">
        <f t="shared" si="85"/>
        <v>0.26673463703151473</v>
      </c>
      <c r="IV34" s="670">
        <f t="shared" si="86"/>
        <v>84.966654398999552</v>
      </c>
      <c r="IW34" s="9">
        <f t="shared" si="87"/>
        <v>-8.4476312457867557</v>
      </c>
      <c r="IX34" s="5">
        <f t="shared" si="88"/>
        <v>-4.39669318250575</v>
      </c>
      <c r="IY34" s="5">
        <f t="shared" si="89"/>
        <v>0.255</v>
      </c>
      <c r="IZ34" s="5">
        <f t="shared" si="90"/>
        <v>0.255</v>
      </c>
      <c r="JA34" s="705">
        <f t="shared" si="91"/>
        <v>85.609987639447112</v>
      </c>
      <c r="JI34" s="419"/>
      <c r="JM34" s="489">
        <f t="shared" si="133"/>
        <v>43</v>
      </c>
      <c r="JN34" s="960">
        <f>($JO34-SMALL($JO$9:$JO$88,1))/((Settings!$C$19/2)-((Settings!$C$19/2)-LARGE($JO$9:$JO$88,1))-SMALL($JO$9:$JO$88,1))</f>
        <v>0.99237216595821054</v>
      </c>
      <c r="JO34" s="162">
        <f t="shared" si="134"/>
        <v>8.4476312457867557</v>
      </c>
      <c r="JP34" s="961">
        <f t="shared" si="135"/>
        <v>-85.609987639447112</v>
      </c>
      <c r="JQ34" s="961">
        <f t="shared" si="136"/>
        <v>0</v>
      </c>
      <c r="JS34" s="82">
        <v>30</v>
      </c>
      <c r="JT34" s="322">
        <f t="shared" si="137"/>
        <v>7.3268220976954472</v>
      </c>
      <c r="JU34" s="963">
        <f t="shared" si="138"/>
        <v>0.85513120354610817</v>
      </c>
      <c r="JV34" s="961">
        <f t="shared" si="287"/>
        <v>-45.53332675913439</v>
      </c>
      <c r="JW34" s="961">
        <f t="shared" si="92"/>
        <v>20.599997025728413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-47.312651126697276</v>
      </c>
      <c r="KD34" s="970">
        <v>-54.587139999999998</v>
      </c>
      <c r="KE34" s="968">
        <f t="shared" si="140"/>
        <v>-7.2744888733027224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21.010610341319861</v>
      </c>
      <c r="KG34" s="966">
        <f t="shared" si="244"/>
        <v>-3.9363133333333309</v>
      </c>
      <c r="KH34" s="966">
        <f t="shared" si="141"/>
        <v>0.80091330858869725</v>
      </c>
      <c r="KJ34" s="31"/>
    </row>
    <row r="35" spans="1:296" ht="15" customHeight="1" x14ac:dyDescent="0.25">
      <c r="A35" s="75">
        <f t="shared" si="1"/>
        <v>0</v>
      </c>
      <c r="B35" s="578">
        <f t="shared" ref="B35:D35" si="310">IFERROR(O190+($A35*-E35),"")</f>
        <v>3.0876510321203643</v>
      </c>
      <c r="C35" s="572">
        <f t="shared" si="310"/>
        <v>1.7826530422774682</v>
      </c>
      <c r="D35" s="576">
        <f t="shared" si="310"/>
        <v>-0.30790092862920077</v>
      </c>
      <c r="E35" s="580">
        <f t="shared" ref="E35:K35" si="311">R190</f>
        <v>-0.49469307108692029</v>
      </c>
      <c r="F35" s="572">
        <f t="shared" si="311"/>
        <v>0.82974391701277217</v>
      </c>
      <c r="G35" s="579">
        <f t="shared" si="311"/>
        <v>0.25846430623761785</v>
      </c>
      <c r="H35" s="580">
        <f t="shared" si="311"/>
        <v>0.3125</v>
      </c>
      <c r="I35" s="572">
        <f t="shared" si="311"/>
        <v>0.52</v>
      </c>
      <c r="J35" s="483">
        <f t="shared" si="94"/>
        <v>2.1139999999999999</v>
      </c>
      <c r="K35" s="806">
        <f t="shared" si="311"/>
        <v>1613</v>
      </c>
      <c r="L35" s="309"/>
      <c r="M35" s="164">
        <f t="shared" si="4"/>
        <v>2.1139999999999999</v>
      </c>
      <c r="N35" s="575">
        <f t="shared" si="5"/>
        <v>3.0876510321203643</v>
      </c>
      <c r="O35" s="572">
        <f t="shared" si="6"/>
        <v>1.7826530422774682</v>
      </c>
      <c r="P35" s="576">
        <f t="shared" si="7"/>
        <v>-0.30790092862920077</v>
      </c>
      <c r="Q35" s="528">
        <f t="shared" si="144"/>
        <v>29.999956685365351</v>
      </c>
      <c r="R35" s="572">
        <f>IF(M35="","",SQRT(N35^2+O35^2))</f>
        <v>3.5653107529772301</v>
      </c>
      <c r="S35" s="577">
        <f>IF(M35="","",P35)</f>
        <v>-0.30790092862920077</v>
      </c>
      <c r="T35" s="578">
        <f>IF(M35="","",X35*COS(RADIANS(W35)))</f>
        <v>1.7826530422774682</v>
      </c>
      <c r="U35" s="572">
        <f>IF(M35="","",X35*SIN(RADIANS(W35)))</f>
        <v>-3.0876510321203643</v>
      </c>
      <c r="V35" s="579">
        <f>IF(M35="","",Y35)</f>
        <v>-0.30790092862920077</v>
      </c>
      <c r="W35" s="528">
        <f t="shared" si="268"/>
        <v>299.99995668536536</v>
      </c>
      <c r="X35" s="572">
        <f>IF(M35="","",R35)</f>
        <v>3.5653107529772301</v>
      </c>
      <c r="Y35" s="573">
        <f t="shared" si="271"/>
        <v>-0.30790092862920077</v>
      </c>
      <c r="Z35" s="575">
        <f t="shared" si="10"/>
        <v>0.49469307108692029</v>
      </c>
      <c r="AA35" s="572">
        <f t="shared" si="11"/>
        <v>-0.82974391701277217</v>
      </c>
      <c r="AB35" s="572">
        <f t="shared" si="12"/>
        <v>-0.25846430623761785</v>
      </c>
      <c r="AC35" s="579">
        <f>IF(M35="","",SQRT(Z35^2+AA35^2+AB35^2))</f>
        <v>1</v>
      </c>
      <c r="AD35" s="580">
        <f>IF(M35="","",Z35*(1/SQRT(Z35^2+AA35^2+AB35^2)))</f>
        <v>0.49469307108692029</v>
      </c>
      <c r="AE35" s="572">
        <f>IF(M35="","",AA35*(1/SQRT(Z35^2+AA35^2+AB35^2)))</f>
        <v>-0.82974391701277217</v>
      </c>
      <c r="AF35" s="576">
        <f>IF(M35="","",AB35*(1/SQRT(Z35^2+AA35^2+AB35^2)))</f>
        <v>-0.25846430623761785</v>
      </c>
      <c r="AG35" s="545">
        <f>IF(M35="","",DEGREES(ATAN2(-AF35,AE35)))</f>
        <v>-72.698246659845211</v>
      </c>
      <c r="AH35" s="546">
        <f>IF(M35="","",DEGREES(ACOS(AD35)))</f>
        <v>60.350486864554455</v>
      </c>
      <c r="AI35" s="528">
        <f>IF(M35="","",DEGREES(-ACOS(-AF35)))</f>
        <v>-75.021040994812239</v>
      </c>
      <c r="AJ35" s="529">
        <f>IF(M35="","",DEGREES(ATAN2(-AE35,AD35)))</f>
        <v>30.803384113412736</v>
      </c>
      <c r="AK35" s="578">
        <f>IF(M35="","",(COS(RADIANS((90-$Q$8)-W35))*AD35)+(-SIN(RADIANS((90-$Q$8)-W35))*AE35))</f>
        <v>0.96592583607220739</v>
      </c>
      <c r="AL35" s="572">
        <f>IF(M35="","",(SIN(RADIANS((90-$Q$8)-W35))*AD35)+(COS(RADIANS((90-$Q$8)-W35))*AE35))</f>
        <v>1.3545538354532649E-2</v>
      </c>
      <c r="AM35" s="577">
        <f>IF(M35="","",AF35)</f>
        <v>-0.25846430623761785</v>
      </c>
      <c r="AN35" s="524">
        <f>IF(M35="","",DEGREES(ATAN2(-AM35,AL35)))</f>
        <v>2.9999995668536648</v>
      </c>
      <c r="AO35" s="525">
        <f t="shared" si="110"/>
        <v>14.999997834268255</v>
      </c>
      <c r="AP35" s="528">
        <f>IF(M35="","",DEGREES(ATAN2(AK35,AL35)))</f>
        <v>0.80342742804738843</v>
      </c>
      <c r="AQ35" s="529">
        <f t="shared" si="13"/>
        <v>0.63939223094163322</v>
      </c>
      <c r="AR35" s="979"/>
      <c r="AS35" s="954">
        <f t="shared" si="147"/>
        <v>-60.000043314634638</v>
      </c>
      <c r="AT35" s="950">
        <f t="shared" si="14"/>
        <v>-0.26623423188292672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2.1139999999999999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14</v>
      </c>
      <c r="JN35" s="960">
        <f>($JO35-SMALL($JO$9:$JO$88,1))/((Settings!$C$19/2)-((Settings!$C$19/2)-LARGE($JO$9:$JO$88,1))-SMALL($JO$9:$JO$88,1))</f>
        <v>0.39454124677042129</v>
      </c>
      <c r="JO35" s="162">
        <f t="shared" si="134"/>
        <v>3.5653107529772301</v>
      </c>
      <c r="JP35" s="961">
        <f t="shared" si="135"/>
        <v>2.9999995668536648</v>
      </c>
      <c r="JQ35" s="961">
        <f t="shared" si="136"/>
        <v>14.999997834268255</v>
      </c>
      <c r="JS35" s="82">
        <v>31</v>
      </c>
      <c r="JT35" s="322">
        <f t="shared" si="137"/>
        <v>7.4961226083057886</v>
      </c>
      <c r="JU35" s="963">
        <f t="shared" si="138"/>
        <v>0.87586173117660771</v>
      </c>
      <c r="JV35" s="961">
        <f t="shared" si="287"/>
        <v>-48.566659654508584</v>
      </c>
      <c r="JW35" s="961">
        <f t="shared" si="92"/>
        <v>21.299996924660942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-50.757826662159715</v>
      </c>
      <c r="KD35" s="970">
        <v>-58.523539999999997</v>
      </c>
      <c r="KE35" s="968">
        <f t="shared" si="140"/>
        <v>-7.7657133378402818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21.805650849503497</v>
      </c>
      <c r="KG35" s="966">
        <f t="shared" si="244"/>
        <v>-3.936399999999999</v>
      </c>
      <c r="KH35" s="966">
        <f t="shared" si="141"/>
        <v>0.79504050818363581</v>
      </c>
      <c r="KJ35" s="31"/>
    </row>
    <row r="36" spans="1:296" ht="15" customHeight="1" x14ac:dyDescent="0.25">
      <c r="A36" s="75">
        <f t="shared" si="1"/>
        <v>0</v>
      </c>
      <c r="B36" s="578">
        <f t="shared" ref="B36:D36" si="312">IFERROR(O191+($A36*-E36),"")</f>
        <v>3.7463073509595386</v>
      </c>
      <c r="C36" s="572">
        <f t="shared" si="312"/>
        <v>2.1516091314818722</v>
      </c>
      <c r="D36" s="576">
        <f t="shared" si="312"/>
        <v>-0.16870050880073445</v>
      </c>
      <c r="E36" s="580">
        <f t="shared" ref="E36:K36" si="313">R191</f>
        <v>-0.45683244683502577</v>
      </c>
      <c r="F36" s="572">
        <f t="shared" si="313"/>
        <v>0.85100402070416648</v>
      </c>
      <c r="G36" s="579">
        <f t="shared" si="313"/>
        <v>0.25902948145735466</v>
      </c>
      <c r="H36" s="580">
        <f t="shared" si="313"/>
        <v>0.3125</v>
      </c>
      <c r="I36" s="572">
        <f t="shared" si="313"/>
        <v>0.52</v>
      </c>
      <c r="J36" s="483">
        <f t="shared" si="94"/>
        <v>2.117</v>
      </c>
      <c r="K36" s="806">
        <f t="shared" si="313"/>
        <v>1613</v>
      </c>
      <c r="L36" s="309"/>
      <c r="M36" s="164">
        <f t="shared" si="4"/>
        <v>2.117</v>
      </c>
      <c r="N36" s="575">
        <f t="shared" si="5"/>
        <v>3.7463073509595386</v>
      </c>
      <c r="O36" s="572">
        <f t="shared" si="6"/>
        <v>2.1516091314818722</v>
      </c>
      <c r="P36" s="576">
        <f t="shared" si="7"/>
        <v>-0.16870050880073445</v>
      </c>
      <c r="Q36" s="528">
        <f t="shared" si="144"/>
        <v>29.869956704135028</v>
      </c>
      <c r="R36" s="572">
        <f>IF(M36="","",SQRT(N36^2+O36^2))</f>
        <v>4.3202130297624972</v>
      </c>
      <c r="S36" s="577">
        <f>IF(M36="","",P36)</f>
        <v>-0.16870050880073445</v>
      </c>
      <c r="T36" s="578">
        <f>IF(M36="","",X36*COS(RADIANS(W36)))</f>
        <v>2.1516091314818708</v>
      </c>
      <c r="U36" s="572">
        <f>IF(M36="","",X36*SIN(RADIANS(W36)))</f>
        <v>-3.7463073509595395</v>
      </c>
      <c r="V36" s="579">
        <f>IF(M36="","",Y36)</f>
        <v>-0.16870050880073445</v>
      </c>
      <c r="W36" s="528">
        <f t="shared" si="268"/>
        <v>299.86995670413501</v>
      </c>
      <c r="X36" s="572">
        <f>IF(M36="","",R36)</f>
        <v>4.3202130297624972</v>
      </c>
      <c r="Y36" s="573">
        <f t="shared" si="271"/>
        <v>-0.16870050880073445</v>
      </c>
      <c r="Z36" s="575">
        <f t="shared" si="10"/>
        <v>0.45683244683502577</v>
      </c>
      <c r="AA36" s="572">
        <f t="shared" si="11"/>
        <v>-0.85100402070416648</v>
      </c>
      <c r="AB36" s="572">
        <f t="shared" si="12"/>
        <v>-0.25902948145735466</v>
      </c>
      <c r="AC36" s="579">
        <f>IF(M36="","",SQRT(Z36^2+AA36^2+AB36^2))</f>
        <v>1</v>
      </c>
      <c r="AD36" s="580">
        <f>IF(M36="","",Z36*(1/SQRT(Z36^2+AA36^2+AB36^2)))</f>
        <v>0.45683244683502577</v>
      </c>
      <c r="AE36" s="572">
        <f>IF(M36="","",AA36*(1/SQRT(Z36^2+AA36^2+AB36^2)))</f>
        <v>-0.85100402070416648</v>
      </c>
      <c r="AF36" s="576">
        <f>IF(M36="","",AB36*(1/SQRT(Z36^2+AA36^2+AB36^2)))</f>
        <v>-0.25902948145735466</v>
      </c>
      <c r="AG36" s="545">
        <f>IF(M36="","",DEGREES(ATAN2(-AF36,AE36)))</f>
        <v>-73.070745719878772</v>
      </c>
      <c r="AH36" s="546">
        <f>IF(M36="","",DEGREES(ACOS(AD36)))</f>
        <v>62.817100798377972</v>
      </c>
      <c r="AI36" s="528">
        <f>IF(M36="","",DEGREES(-ACOS(-AF36)))</f>
        <v>-74.987517191594847</v>
      </c>
      <c r="AJ36" s="529">
        <f>IF(M36="","",DEGREES(ATAN2(-AE36,AD36)))</f>
        <v>28.227608408002848</v>
      </c>
      <c r="AK36" s="578">
        <f>IF(M36="","",(COS(RADIANS((90-$Q$8)-W36))*AD36)+(-SIN(RADIANS((90-$Q$8)-W36))*AE36))</f>
        <v>0.96547264079171891</v>
      </c>
      <c r="AL36" s="572">
        <f>IF(M36="","",(SIN(RADIANS((90-$Q$8)-W36))*AD36)+(COS(RADIANS((90-$Q$8)-W36))*AE36))</f>
        <v>-2.7682261804241659E-2</v>
      </c>
      <c r="AM36" s="577">
        <f>IF(M36="","",AF36)</f>
        <v>-0.25902948145735466</v>
      </c>
      <c r="AN36" s="524">
        <f>IF(M36="","",DEGREES(ATAN2(-AM36,AL36)))</f>
        <v>-6.0999991192690048</v>
      </c>
      <c r="AO36" s="525">
        <f t="shared" si="110"/>
        <v>15.099997819830044</v>
      </c>
      <c r="AP36" s="528">
        <f>IF(M36="","",DEGREES(ATAN2(AK36,AL36)))</f>
        <v>-1.6423482961321576</v>
      </c>
      <c r="AQ36" s="529">
        <f t="shared" si="13"/>
        <v>0.5276735573737561</v>
      </c>
      <c r="AR36" s="979"/>
      <c r="AS36" s="954">
        <f t="shared" si="147"/>
        <v>-60.130043295864994</v>
      </c>
      <c r="AT36" s="950">
        <f t="shared" si="14"/>
        <v>-0.12694353428971711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2.117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17</v>
      </c>
      <c r="JN36" s="960">
        <f>($JO36-SMALL($JO$9:$JO$88,1))/((Settings!$C$19/2)-((Settings!$C$19/2)-LARGE($JO$9:$JO$88,1))-SMALL($JO$9:$JO$88,1))</f>
        <v>0.48697760417304414</v>
      </c>
      <c r="JO36" s="162">
        <f t="shared" si="134"/>
        <v>4.3202130297624972</v>
      </c>
      <c r="JP36" s="961">
        <f t="shared" si="135"/>
        <v>-6.0999991192690048</v>
      </c>
      <c r="JQ36" s="961">
        <f t="shared" si="136"/>
        <v>15.099997819830044</v>
      </c>
      <c r="JS36" s="82">
        <v>32</v>
      </c>
      <c r="JT36" s="322">
        <f t="shared" si="137"/>
        <v>7.6519230782000047</v>
      </c>
      <c r="JU36" s="963">
        <f t="shared" si="138"/>
        <v>0.89493920432977847</v>
      </c>
      <c r="JV36" s="961">
        <f t="shared" si="287"/>
        <v>-51.59999254988282</v>
      </c>
      <c r="JW36" s="961">
        <f t="shared" si="92"/>
        <v>21.999996823593442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-54.010376241771269</v>
      </c>
      <c r="KD36" s="970">
        <v>-62.459853333333328</v>
      </c>
      <c r="KE36" s="968">
        <f t="shared" si="140"/>
        <v>-8.4494770915620592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22.635702412662905</v>
      </c>
      <c r="KG36" s="966">
        <f t="shared" si="244"/>
        <v>-3.9363133333333309</v>
      </c>
      <c r="KH36" s="966">
        <f t="shared" si="141"/>
        <v>0.83005156315940809</v>
      </c>
      <c r="KJ36" s="31"/>
    </row>
    <row r="37" spans="1:296" ht="15" customHeight="1" x14ac:dyDescent="0.25">
      <c r="A37" s="75">
        <f t="shared" si="1"/>
        <v>0</v>
      </c>
      <c r="B37" s="578">
        <f t="shared" ref="B37:D37" si="314">IFERROR(O192+($A37*-E37),"")</f>
        <v>4.4301343692358772</v>
      </c>
      <c r="C37" s="572">
        <f t="shared" si="314"/>
        <v>2.5013440078093749</v>
      </c>
      <c r="D37" s="576">
        <f t="shared" si="314"/>
        <v>-0.18530055886648539</v>
      </c>
      <c r="E37" s="580">
        <f t="shared" ref="E37:K37" si="315">R192</f>
        <v>-0.41215437464178517</v>
      </c>
      <c r="F37" s="572">
        <f t="shared" si="315"/>
        <v>0.87337407701368286</v>
      </c>
      <c r="G37" s="579">
        <f t="shared" si="315"/>
        <v>0.25951202874652379</v>
      </c>
      <c r="H37" s="580">
        <f t="shared" si="315"/>
        <v>0.3125</v>
      </c>
      <c r="I37" s="572">
        <f t="shared" si="315"/>
        <v>0.52</v>
      </c>
      <c r="J37" s="483">
        <f t="shared" si="94"/>
        <v>2.12</v>
      </c>
      <c r="K37" s="806">
        <f t="shared" si="315"/>
        <v>1613</v>
      </c>
      <c r="L37" s="309"/>
      <c r="M37" s="164">
        <f t="shared" si="4"/>
        <v>2.12</v>
      </c>
      <c r="N37" s="575">
        <f t="shared" si="5"/>
        <v>4.4301343692358772</v>
      </c>
      <c r="O37" s="572">
        <f t="shared" si="6"/>
        <v>2.5013440078093749</v>
      </c>
      <c r="P37" s="576">
        <f t="shared" si="7"/>
        <v>-0.18530055886648539</v>
      </c>
      <c r="Q37" s="528">
        <f t="shared" si="144"/>
        <v>29.449956764775511</v>
      </c>
      <c r="R37" s="572">
        <f t="shared" si="95"/>
        <v>5.0875153439462792</v>
      </c>
      <c r="S37" s="577">
        <f t="shared" si="96"/>
        <v>-0.18530055886648539</v>
      </c>
      <c r="T37" s="578">
        <f t="shared" si="97"/>
        <v>2.5013440078093732</v>
      </c>
      <c r="U37" s="572">
        <f t="shared" si="98"/>
        <v>-4.4301343692358781</v>
      </c>
      <c r="V37" s="579">
        <f t="shared" si="145"/>
        <v>-0.18530055886648539</v>
      </c>
      <c r="W37" s="528">
        <f t="shared" si="268"/>
        <v>299.44995676477549</v>
      </c>
      <c r="X37" s="572">
        <f t="shared" si="99"/>
        <v>5.0875153439462792</v>
      </c>
      <c r="Y37" s="573">
        <f t="shared" si="271"/>
        <v>-0.18530055886648539</v>
      </c>
      <c r="Z37" s="575">
        <f t="shared" si="10"/>
        <v>0.41215437464178517</v>
      </c>
      <c r="AA37" s="572">
        <f t="shared" si="11"/>
        <v>-0.87337407701368286</v>
      </c>
      <c r="AB37" s="572">
        <f t="shared" si="12"/>
        <v>-0.25951202874652379</v>
      </c>
      <c r="AC37" s="579">
        <f t="shared" si="100"/>
        <v>1</v>
      </c>
      <c r="AD37" s="580">
        <f t="shared" si="146"/>
        <v>0.41215437464178517</v>
      </c>
      <c r="AE37" s="572">
        <f t="shared" si="101"/>
        <v>-0.87337407701368286</v>
      </c>
      <c r="AF37" s="576">
        <f t="shared" si="102"/>
        <v>-0.25951202874652379</v>
      </c>
      <c r="AG37" s="545">
        <f t="shared" si="103"/>
        <v>-73.451350893690105</v>
      </c>
      <c r="AH37" s="546">
        <f t="shared" si="104"/>
        <v>65.659758718199598</v>
      </c>
      <c r="AI37" s="528">
        <f t="shared" si="105"/>
        <v>-74.958890364585443</v>
      </c>
      <c r="AJ37" s="529">
        <f t="shared" si="106"/>
        <v>25.263115449867289</v>
      </c>
      <c r="AK37" s="578">
        <f t="shared" si="247"/>
        <v>0.96316257736919564</v>
      </c>
      <c r="AL37" s="572">
        <f t="shared" si="107"/>
        <v>-7.0507847019972036E-2</v>
      </c>
      <c r="AM37" s="577">
        <f t="shared" si="108"/>
        <v>-0.25951202874652379</v>
      </c>
      <c r="AN37" s="524">
        <f t="shared" si="109"/>
        <v>-15.19999780539173</v>
      </c>
      <c r="AO37" s="525">
        <f t="shared" si="110"/>
        <v>15.599997747638966</v>
      </c>
      <c r="AP37" s="528">
        <f t="shared" si="111"/>
        <v>-4.1868413149081958</v>
      </c>
      <c r="AQ37" s="529">
        <f t="shared" si="13"/>
        <v>0.44809302755614167</v>
      </c>
      <c r="AR37" s="979"/>
      <c r="AS37" s="954">
        <f t="shared" si="147"/>
        <v>-60.550043235224507</v>
      </c>
      <c r="AT37" s="950">
        <f t="shared" si="14"/>
        <v>-0.14325191773091281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2.12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20</v>
      </c>
      <c r="JN37" s="960">
        <f>($JO37-SMALL($JO$9:$JO$88,1))/((Settings!$C$19/2)-((Settings!$C$19/2)-LARGE($JO$9:$JO$88,1))-SMALL($JO$9:$JO$88,1))</f>
        <v>0.58093232272521367</v>
      </c>
      <c r="JO37" s="162">
        <f t="shared" si="134"/>
        <v>5.0875153439462792</v>
      </c>
      <c r="JP37" s="961">
        <f t="shared" si="135"/>
        <v>-15.19999780539173</v>
      </c>
      <c r="JQ37" s="961">
        <f t="shared" si="136"/>
        <v>15.599997747638966</v>
      </c>
      <c r="JS37" s="82">
        <v>33</v>
      </c>
      <c r="JT37" s="322">
        <f t="shared" si="137"/>
        <v>7.7933235046636913</v>
      </c>
      <c r="JU37" s="963">
        <f t="shared" si="138"/>
        <v>0.91225341937379867</v>
      </c>
      <c r="JV37" s="961">
        <f t="shared" si="287"/>
        <v>-54.633325445257029</v>
      </c>
      <c r="JW37" s="961">
        <f t="shared" si="92"/>
        <v>22.799996708087718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-57.467461610562388</v>
      </c>
      <c r="KD37" s="970">
        <v>-66.344253333333327</v>
      </c>
      <c r="KE37" s="968">
        <f t="shared" si="140"/>
        <v>-8.876791722770939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23.547461191245198</v>
      </c>
      <c r="KG37" s="966">
        <f t="shared" si="244"/>
        <v>-3.8843999999999994</v>
      </c>
      <c r="KH37" s="966">
        <f t="shared" si="141"/>
        <v>0.91175877858229271</v>
      </c>
      <c r="KJ37" s="31"/>
    </row>
    <row r="38" spans="1:296" ht="15" customHeight="1" x14ac:dyDescent="0.25">
      <c r="A38" s="75">
        <f t="shared" si="1"/>
        <v>0</v>
      </c>
      <c r="B38" s="578">
        <f t="shared" ref="B38:D38" si="316">IFERROR(O193+($A38*-E38),"")</f>
        <v>5.1098288715563926</v>
      </c>
      <c r="C38" s="572">
        <f t="shared" si="316"/>
        <v>2.8172822501835078</v>
      </c>
      <c r="D38" s="576">
        <f t="shared" si="316"/>
        <v>-0.35960108455687106</v>
      </c>
      <c r="E38" s="580">
        <f t="shared" ref="E38:K38" si="317">R193</f>
        <v>-0.35974682169613548</v>
      </c>
      <c r="F38" s="572">
        <f t="shared" si="317"/>
        <v>0.89598319952618199</v>
      </c>
      <c r="G38" s="579">
        <f t="shared" si="317"/>
        <v>0.26037728481254857</v>
      </c>
      <c r="H38" s="580">
        <f t="shared" si="317"/>
        <v>0.3125</v>
      </c>
      <c r="I38" s="572">
        <f t="shared" si="317"/>
        <v>0.52</v>
      </c>
      <c r="J38" s="483">
        <f t="shared" si="94"/>
        <v>2.1230000000000002</v>
      </c>
      <c r="K38" s="806">
        <f t="shared" si="317"/>
        <v>1613</v>
      </c>
      <c r="L38" s="309"/>
      <c r="M38" s="164">
        <f t="shared" si="4"/>
        <v>2.1230000000000002</v>
      </c>
      <c r="N38" s="575">
        <f t="shared" si="5"/>
        <v>5.1098288715563926</v>
      </c>
      <c r="O38" s="572">
        <f t="shared" si="6"/>
        <v>2.8172822501835078</v>
      </c>
      <c r="P38" s="576">
        <f t="shared" si="7"/>
        <v>-0.35960108455687106</v>
      </c>
      <c r="Q38" s="528">
        <f t="shared" si="144"/>
        <v>28.869956848517145</v>
      </c>
      <c r="R38" s="572">
        <f t="shared" si="95"/>
        <v>5.8350175984130779</v>
      </c>
      <c r="S38" s="577">
        <f t="shared" si="96"/>
        <v>-0.35960108455687106</v>
      </c>
      <c r="T38" s="578">
        <f t="shared" si="97"/>
        <v>2.8172822501835073</v>
      </c>
      <c r="U38" s="572">
        <f t="shared" si="98"/>
        <v>-5.1098288715563926</v>
      </c>
      <c r="V38" s="579">
        <f t="shared" si="145"/>
        <v>-0.35960108455687106</v>
      </c>
      <c r="W38" s="528">
        <f t="shared" si="268"/>
        <v>298.86995684851712</v>
      </c>
      <c r="X38" s="572">
        <f t="shared" si="99"/>
        <v>5.8350175984130779</v>
      </c>
      <c r="Y38" s="573">
        <f t="shared" si="271"/>
        <v>-0.35960108455687106</v>
      </c>
      <c r="Z38" s="575">
        <f t="shared" si="10"/>
        <v>0.35974682169613548</v>
      </c>
      <c r="AA38" s="572">
        <f t="shared" si="11"/>
        <v>-0.89598319952618199</v>
      </c>
      <c r="AB38" s="572">
        <f t="shared" si="12"/>
        <v>-0.26037728481254857</v>
      </c>
      <c r="AC38" s="579">
        <f t="shared" si="100"/>
        <v>1</v>
      </c>
      <c r="AD38" s="580">
        <f t="shared" si="146"/>
        <v>0.35974682169613548</v>
      </c>
      <c r="AE38" s="572">
        <f t="shared" si="101"/>
        <v>-0.89598319952618199</v>
      </c>
      <c r="AF38" s="576">
        <f t="shared" si="102"/>
        <v>-0.26037728481254857</v>
      </c>
      <c r="AG38" s="545">
        <f t="shared" si="103"/>
        <v>-73.795866163767144</v>
      </c>
      <c r="AH38" s="546">
        <f t="shared" si="104"/>
        <v>68.915351704318539</v>
      </c>
      <c r="AI38" s="528">
        <f t="shared" si="105"/>
        <v>-74.907549938468222</v>
      </c>
      <c r="AJ38" s="529">
        <f t="shared" si="106"/>
        <v>21.875987370188277</v>
      </c>
      <c r="AK38" s="578">
        <f t="shared" si="247"/>
        <v>0.95832258641577939</v>
      </c>
      <c r="AL38" s="572">
        <f t="shared" si="107"/>
        <v>-0.11756483283285107</v>
      </c>
      <c r="AM38" s="577">
        <f t="shared" si="108"/>
        <v>-0.26037728481254857</v>
      </c>
      <c r="AN38" s="524">
        <f t="shared" si="109"/>
        <v>-24.299996491514584</v>
      </c>
      <c r="AO38" s="525">
        <f t="shared" si="110"/>
        <v>16.59999760325686</v>
      </c>
      <c r="AP38" s="528">
        <f t="shared" si="111"/>
        <v>-6.9939694783288573</v>
      </c>
      <c r="AQ38" s="529">
        <f t="shared" si="13"/>
        <v>0.39069141782532862</v>
      </c>
      <c r="AR38" s="979"/>
      <c r="AS38" s="954">
        <f t="shared" si="147"/>
        <v>-61.13004315148288</v>
      </c>
      <c r="AT38" s="950">
        <f t="shared" si="14"/>
        <v>-0.31714966570167463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2.1230000000000002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23</v>
      </c>
      <c r="JN38" s="960">
        <f>($JO38-SMALL($JO$9:$JO$88,1))/((Settings!$C$19/2)-((Settings!$C$19/2)-LARGE($JO$9:$JO$88,1))-SMALL($JO$9:$JO$88,1))</f>
        <v>0.67246256137730065</v>
      </c>
      <c r="JO38" s="162">
        <f t="shared" si="134"/>
        <v>5.8350175984130779</v>
      </c>
      <c r="JP38" s="961">
        <f t="shared" si="135"/>
        <v>-24.299996491514584</v>
      </c>
      <c r="JQ38" s="961">
        <f t="shared" si="136"/>
        <v>16.59999760325686</v>
      </c>
      <c r="JS38" s="82">
        <v>34</v>
      </c>
      <c r="JT38" s="322">
        <f t="shared" si="137"/>
        <v>7.91992388649044</v>
      </c>
      <c r="JU38" s="963">
        <f t="shared" si="138"/>
        <v>0.92775539691674713</v>
      </c>
      <c r="JV38" s="961">
        <f t="shared" si="287"/>
        <v>-57.666658340631315</v>
      </c>
      <c r="JW38" s="961">
        <f t="shared" si="92"/>
        <v>23.599996592582059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-60.769953208136847</v>
      </c>
      <c r="KD38" s="970">
        <v>-70.228653333333327</v>
      </c>
      <c r="KE38" s="968">
        <f t="shared" si="140"/>
        <v>-9.4587001251964793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24.418447986209902</v>
      </c>
      <c r="KG38" s="966">
        <f t="shared" si="244"/>
        <v>-3.8843999999999994</v>
      </c>
      <c r="KH38" s="966">
        <f t="shared" si="141"/>
        <v>0.8709867949647041</v>
      </c>
      <c r="KJ38" s="31"/>
    </row>
    <row r="39" spans="1:296" ht="15" customHeight="1" x14ac:dyDescent="0.25">
      <c r="A39" s="75">
        <f t="shared" si="1"/>
        <v>0</v>
      </c>
      <c r="B39" s="578">
        <f t="shared" ref="B39:D39" si="318">IFERROR(O194+($A39*-E39),"")</f>
        <v>5.75438241812705</v>
      </c>
      <c r="C39" s="572">
        <f t="shared" si="318"/>
        <v>3.0880538538522679</v>
      </c>
      <c r="D39" s="576">
        <f t="shared" si="318"/>
        <v>-0.68410206325182332</v>
      </c>
      <c r="E39" s="580">
        <f t="shared" ref="E39:K39" si="319">R194</f>
        <v>-0.29982577545560324</v>
      </c>
      <c r="F39" s="572">
        <f t="shared" si="319"/>
        <v>0.91844962391918838</v>
      </c>
      <c r="G39" s="579">
        <f t="shared" si="319"/>
        <v>0.25798215576885897</v>
      </c>
      <c r="H39" s="580">
        <f t="shared" si="319"/>
        <v>0.3125</v>
      </c>
      <c r="I39" s="572">
        <f t="shared" si="319"/>
        <v>0.52</v>
      </c>
      <c r="J39" s="483">
        <f t="shared" si="94"/>
        <v>2.1259999999999999</v>
      </c>
      <c r="K39" s="806">
        <f t="shared" si="319"/>
        <v>1613</v>
      </c>
      <c r="L39" s="309"/>
      <c r="M39" s="164">
        <f t="shared" si="4"/>
        <v>2.1259999999999999</v>
      </c>
      <c r="N39" s="575">
        <f t="shared" si="5"/>
        <v>5.75438241812705</v>
      </c>
      <c r="O39" s="572">
        <f t="shared" si="6"/>
        <v>3.0880538538522679</v>
      </c>
      <c r="P39" s="576">
        <f t="shared" si="7"/>
        <v>-0.68410206325182332</v>
      </c>
      <c r="Q39" s="528">
        <f t="shared" si="144"/>
        <v>28.219956942365513</v>
      </c>
      <c r="R39" s="572">
        <f t="shared" si="95"/>
        <v>6.530619696349004</v>
      </c>
      <c r="S39" s="577">
        <f t="shared" si="96"/>
        <v>-0.68410206325182332</v>
      </c>
      <c r="T39" s="578">
        <f t="shared" si="97"/>
        <v>3.0880538538522688</v>
      </c>
      <c r="U39" s="572">
        <f t="shared" si="98"/>
        <v>-5.7543824181270491</v>
      </c>
      <c r="V39" s="579">
        <f t="shared" si="145"/>
        <v>-0.68410206325182332</v>
      </c>
      <c r="W39" s="528">
        <f t="shared" si="268"/>
        <v>298.21995694236551</v>
      </c>
      <c r="X39" s="572">
        <f t="shared" si="99"/>
        <v>6.530619696349004</v>
      </c>
      <c r="Y39" s="573">
        <f t="shared" si="271"/>
        <v>-0.68410206325182332</v>
      </c>
      <c r="Z39" s="575">
        <f t="shared" si="10"/>
        <v>0.29982577545560324</v>
      </c>
      <c r="AA39" s="572">
        <f t="shared" si="11"/>
        <v>-0.91844962391918838</v>
      </c>
      <c r="AB39" s="572">
        <f t="shared" si="12"/>
        <v>-0.25798215576885897</v>
      </c>
      <c r="AC39" s="579">
        <f t="shared" si="100"/>
        <v>1</v>
      </c>
      <c r="AD39" s="580">
        <f t="shared" si="146"/>
        <v>0.29982577545560324</v>
      </c>
      <c r="AE39" s="572">
        <f t="shared" si="101"/>
        <v>-0.91844962391918838</v>
      </c>
      <c r="AF39" s="576">
        <f t="shared" si="102"/>
        <v>-0.25798215576885897</v>
      </c>
      <c r="AG39" s="545">
        <f t="shared" si="103"/>
        <v>-74.310545478293321</v>
      </c>
      <c r="AH39" s="546">
        <f t="shared" si="104"/>
        <v>72.552860902143237</v>
      </c>
      <c r="AI39" s="528">
        <f t="shared" si="105"/>
        <v>-75.04963597286239</v>
      </c>
      <c r="AJ39" s="529">
        <f t="shared" si="106"/>
        <v>18.079152925705053</v>
      </c>
      <c r="AK39" s="578">
        <f t="shared" si="247"/>
        <v>0.95105653031184811</v>
      </c>
      <c r="AL39" s="572">
        <f t="shared" si="107"/>
        <v>-0.1701078583018466</v>
      </c>
      <c r="AM39" s="577">
        <f t="shared" si="108"/>
        <v>-0.25798215576885897</v>
      </c>
      <c r="AN39" s="524">
        <f t="shared" si="109"/>
        <v>-33.399995177637415</v>
      </c>
      <c r="AO39" s="525">
        <f t="shared" si="110"/>
        <v>17.999997401121902</v>
      </c>
      <c r="AP39" s="528">
        <f t="shared" si="111"/>
        <v>-10.140804016660471</v>
      </c>
      <c r="AQ39" s="529">
        <f t="shared" si="13"/>
        <v>0.34907842295713754</v>
      </c>
      <c r="AR39" s="979"/>
      <c r="AS39" s="954">
        <f t="shared" si="147"/>
        <v>-61.780043057634487</v>
      </c>
      <c r="AT39" s="950">
        <f t="shared" si="14"/>
        <v>-0.64119925557291046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2.1259999999999999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26</v>
      </c>
      <c r="JN39" s="960">
        <f>($JO39-SMALL($JO$9:$JO$88,1))/((Settings!$C$19/2)-((Settings!$C$19/2)-LARGE($JO$9:$JO$88,1))-SMALL($JO$9:$JO$88,1))</f>
        <v>0.75763772392765749</v>
      </c>
      <c r="JO39" s="162">
        <f t="shared" si="134"/>
        <v>6.530619696349004</v>
      </c>
      <c r="JP39" s="961">
        <f t="shared" si="135"/>
        <v>-33.399995177637415</v>
      </c>
      <c r="JQ39" s="961">
        <f t="shared" si="136"/>
        <v>17.999997401121902</v>
      </c>
      <c r="JS39" s="82">
        <v>35</v>
      </c>
      <c r="JT39" s="322">
        <f t="shared" si="137"/>
        <v>8.0310242215690533</v>
      </c>
      <c r="JU39" s="963">
        <f t="shared" si="138"/>
        <v>0.94135942302276332</v>
      </c>
      <c r="JV39" s="961">
        <f t="shared" si="287"/>
        <v>-60.699991236005559</v>
      </c>
      <c r="JW39" s="961">
        <f t="shared" si="92"/>
        <v>24.399996477076375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-63.54970864859181</v>
      </c>
      <c r="KD39" s="970">
        <v>-74.113140000000001</v>
      </c>
      <c r="KE39" s="968">
        <f t="shared" si="140"/>
        <v>-10.563431351408191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25.151570300176026</v>
      </c>
      <c r="KG39" s="966">
        <f t="shared" si="244"/>
        <v>-3.8844866666666746</v>
      </c>
      <c r="KH39" s="966">
        <f t="shared" si="141"/>
        <v>0.73312231396612404</v>
      </c>
      <c r="KJ39" s="31"/>
    </row>
    <row r="40" spans="1:296" ht="15" customHeight="1" x14ac:dyDescent="0.25">
      <c r="A40" s="75">
        <f t="shared" si="1"/>
        <v>0</v>
      </c>
      <c r="B40" s="578">
        <f t="shared" ref="B40:D40" si="320">IFERROR(O195+($A40*-E40),"")</f>
        <v>6.3323465477702339</v>
      </c>
      <c r="C40" s="572">
        <f t="shared" si="320"/>
        <v>3.3090575943732121</v>
      </c>
      <c r="D40" s="576">
        <f t="shared" si="320"/>
        <v>-1.1444034515208086</v>
      </c>
      <c r="E40" s="580">
        <f t="shared" ref="E40:K40" si="321">R195</f>
        <v>-0.23167828522651981</v>
      </c>
      <c r="F40" s="572">
        <f t="shared" si="321"/>
        <v>0.93986552375247789</v>
      </c>
      <c r="G40" s="579">
        <f t="shared" si="321"/>
        <v>0.25095411814907514</v>
      </c>
      <c r="H40" s="580">
        <f t="shared" si="321"/>
        <v>0.3125</v>
      </c>
      <c r="I40" s="572">
        <f t="shared" si="321"/>
        <v>0.52</v>
      </c>
      <c r="J40" s="483">
        <f t="shared" si="94"/>
        <v>2.129</v>
      </c>
      <c r="K40" s="806">
        <f t="shared" si="321"/>
        <v>1613</v>
      </c>
      <c r="L40" s="309"/>
      <c r="M40" s="164">
        <f t="shared" si="4"/>
        <v>2.129</v>
      </c>
      <c r="N40" s="575">
        <f t="shared" si="5"/>
        <v>6.3323465477702339</v>
      </c>
      <c r="O40" s="572">
        <f t="shared" si="6"/>
        <v>3.3090575943732121</v>
      </c>
      <c r="P40" s="576">
        <f t="shared" si="7"/>
        <v>-1.1444034515208086</v>
      </c>
      <c r="Q40" s="528">
        <f t="shared" si="144"/>
        <v>27.589957033326254</v>
      </c>
      <c r="R40" s="572">
        <f t="shared" si="95"/>
        <v>7.144821548781791</v>
      </c>
      <c r="S40" s="577">
        <f t="shared" si="96"/>
        <v>-1.1444034515208086</v>
      </c>
      <c r="T40" s="578">
        <f t="shared" si="97"/>
        <v>3.309057594373209</v>
      </c>
      <c r="U40" s="572">
        <f t="shared" si="98"/>
        <v>-6.3323465477702356</v>
      </c>
      <c r="V40" s="579">
        <f t="shared" si="145"/>
        <v>-1.1444034515208086</v>
      </c>
      <c r="W40" s="528">
        <f t="shared" si="268"/>
        <v>297.58995703332624</v>
      </c>
      <c r="X40" s="572">
        <f t="shared" si="99"/>
        <v>7.144821548781791</v>
      </c>
      <c r="Y40" s="573">
        <f t="shared" si="271"/>
        <v>-1.1444034515208086</v>
      </c>
      <c r="Z40" s="575">
        <f t="shared" si="10"/>
        <v>0.23167828522651981</v>
      </c>
      <c r="AA40" s="572">
        <f t="shared" si="11"/>
        <v>-0.93986552375247789</v>
      </c>
      <c r="AB40" s="572">
        <f t="shared" si="12"/>
        <v>-0.25095411814907514</v>
      </c>
      <c r="AC40" s="579">
        <f t="shared" si="100"/>
        <v>1</v>
      </c>
      <c r="AD40" s="580">
        <f t="shared" si="146"/>
        <v>0.23167828522651981</v>
      </c>
      <c r="AE40" s="572">
        <f t="shared" si="101"/>
        <v>-0.93986552375247789</v>
      </c>
      <c r="AF40" s="576">
        <f t="shared" si="102"/>
        <v>-0.25095411814907514</v>
      </c>
      <c r="AG40" s="545">
        <f t="shared" si="103"/>
        <v>-75.050183290690057</v>
      </c>
      <c r="AH40" s="546">
        <f t="shared" si="104"/>
        <v>76.604100429504911</v>
      </c>
      <c r="AI40" s="528">
        <f t="shared" si="105"/>
        <v>-75.466020844470521</v>
      </c>
      <c r="AJ40" s="529">
        <f t="shared" si="106"/>
        <v>13.847431943396563</v>
      </c>
      <c r="AK40" s="578">
        <f t="shared" si="247"/>
        <v>0.94028814407938754</v>
      </c>
      <c r="AL40" s="572">
        <f t="shared" si="107"/>
        <v>-0.22995703226420613</v>
      </c>
      <c r="AM40" s="577">
        <f t="shared" si="108"/>
        <v>-0.25095411814907514</v>
      </c>
      <c r="AN40" s="524">
        <f t="shared" si="109"/>
        <v>-42.499993863760025</v>
      </c>
      <c r="AO40" s="525">
        <f t="shared" si="110"/>
        <v>19.899997126795864</v>
      </c>
      <c r="AP40" s="528">
        <f t="shared" si="111"/>
        <v>-13.742525089929655</v>
      </c>
      <c r="AQ40" s="529">
        <f t="shared" si="13"/>
        <v>0.31907067938821793</v>
      </c>
      <c r="AR40" s="979"/>
      <c r="AS40" s="954">
        <f t="shared" si="147"/>
        <v>-62.410042966673757</v>
      </c>
      <c r="AT40" s="950">
        <f t="shared" si="14"/>
        <v>-1.1010631439050629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2.129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1613</v>
      </c>
      <c r="IM40" s="482" t="str">
        <f t="shared" si="24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29</v>
      </c>
      <c r="JN40" s="960">
        <f>($JO40-SMALL($JO$9:$JO$88,1))/((Settings!$C$19/2)-((Settings!$C$19/2)-LARGE($JO$9:$JO$88,1))-SMALL($JO$9:$JO$88,1))</f>
        <v>0.83284558022212163</v>
      </c>
      <c r="JO40" s="162">
        <f t="shared" si="134"/>
        <v>7.144821548781791</v>
      </c>
      <c r="JP40" s="961">
        <f t="shared" si="135"/>
        <v>-42.499993863760025</v>
      </c>
      <c r="JQ40" s="961">
        <f t="shared" si="136"/>
        <v>19.899997126795864</v>
      </c>
      <c r="JS40" s="82">
        <v>36</v>
      </c>
      <c r="JT40" s="322">
        <f t="shared" si="137"/>
        <v>8.1262245086931202</v>
      </c>
      <c r="JU40" s="963">
        <f t="shared" si="138"/>
        <v>0.95301651829992562</v>
      </c>
      <c r="JV40" s="961">
        <f t="shared" si="287"/>
        <v>-63.733324131379817</v>
      </c>
      <c r="JW40" s="961">
        <f t="shared" si="92"/>
        <v>25.199996361570665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-67.014482766332719</v>
      </c>
      <c r="KD40" s="970">
        <v>-76.096977142857128</v>
      </c>
      <c r="KE40" s="968">
        <f t="shared" si="140"/>
        <v>-9.0824943765244086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26.065356880679126</v>
      </c>
      <c r="KG40" s="966">
        <f t="shared" si="244"/>
        <v>-1.9838371428571264</v>
      </c>
      <c r="KH40" s="966">
        <f t="shared" si="141"/>
        <v>0.9137865805030998</v>
      </c>
      <c r="KJ40" s="31"/>
    </row>
    <row r="41" spans="1:296" ht="15" customHeight="1" x14ac:dyDescent="0.25">
      <c r="A41" s="75">
        <f t="shared" ref="A41:A72" si="322">IF($K41="","",IF(AND($A$8="Y",ISNUMBER($K41)),$A$5,0))</f>
        <v>0</v>
      </c>
      <c r="B41" s="578">
        <f t="shared" ref="B41:D41" si="323">IFERROR(O196+($A41*-E41),"")</f>
        <v>6.8154890878523551</v>
      </c>
      <c r="C41" s="572">
        <f t="shared" si="323"/>
        <v>3.4786542351971845</v>
      </c>
      <c r="D41" s="576">
        <f t="shared" si="323"/>
        <v>-1.7206051893452494</v>
      </c>
      <c r="E41" s="580">
        <f t="shared" ref="E41:K41" si="324">R196</f>
        <v>-0.16002298246761329</v>
      </c>
      <c r="F41" s="572">
        <f t="shared" si="324"/>
        <v>0.95929653520689895</v>
      </c>
      <c r="G41" s="579">
        <f t="shared" si="324"/>
        <v>0.23268606022323088</v>
      </c>
      <c r="H41" s="580">
        <f t="shared" si="324"/>
        <v>0.3125</v>
      </c>
      <c r="I41" s="572">
        <f t="shared" si="324"/>
        <v>0.52</v>
      </c>
      <c r="J41" s="483">
        <f t="shared" si="94"/>
        <v>2.1320000000000001</v>
      </c>
      <c r="K41" s="806">
        <f t="shared" si="324"/>
        <v>1613</v>
      </c>
      <c r="L41" s="309"/>
      <c r="M41" s="164">
        <f t="shared" ref="M41:M72" si="325">IF(J41="","",VALUE(J41))</f>
        <v>2.1320000000000001</v>
      </c>
      <c r="N41" s="575">
        <f t="shared" ref="N41:N72" si="326">IF(M41="","",B41)</f>
        <v>6.8154890878523551</v>
      </c>
      <c r="O41" s="572">
        <f t="shared" ref="O41:O72" si="327">IF(M41="","",C41)</f>
        <v>3.4786542351971845</v>
      </c>
      <c r="P41" s="576">
        <f t="shared" ref="P41:P72" si="328">IF(M41="","",D41)</f>
        <v>-1.7206051893452494</v>
      </c>
      <c r="Q41" s="528">
        <f t="shared" si="144"/>
        <v>27.039957112736406</v>
      </c>
      <c r="R41" s="572">
        <f t="shared" si="95"/>
        <v>7.6519230782000047</v>
      </c>
      <c r="S41" s="577">
        <f t="shared" si="96"/>
        <v>-1.7206051893452494</v>
      </c>
      <c r="T41" s="578">
        <f t="shared" si="97"/>
        <v>3.4786542351971845</v>
      </c>
      <c r="U41" s="572">
        <f t="shared" si="98"/>
        <v>-6.8154890878523551</v>
      </c>
      <c r="V41" s="579">
        <f t="shared" si="145"/>
        <v>-1.7206051893452494</v>
      </c>
      <c r="W41" s="528">
        <f t="shared" si="268"/>
        <v>297.03995711273643</v>
      </c>
      <c r="X41" s="572">
        <f t="shared" si="99"/>
        <v>7.6519230782000047</v>
      </c>
      <c r="Y41" s="573">
        <f t="shared" si="271"/>
        <v>-1.7206051893452494</v>
      </c>
      <c r="Z41" s="575">
        <f t="shared" ref="Z41:Z72" si="329">IF(M41="","",-E41)</f>
        <v>0.16002298246761329</v>
      </c>
      <c r="AA41" s="572">
        <f t="shared" ref="AA41:AA72" si="330">IF(M41="","",-F41)</f>
        <v>-0.95929653520689895</v>
      </c>
      <c r="AB41" s="572">
        <f t="shared" ref="AB41:AB72" si="331">IF(M41="","",-G41)</f>
        <v>-0.23268606022323088</v>
      </c>
      <c r="AC41" s="579">
        <f t="shared" si="100"/>
        <v>1</v>
      </c>
      <c r="AD41" s="580">
        <f t="shared" si="146"/>
        <v>0.16002298246761329</v>
      </c>
      <c r="AE41" s="572">
        <f t="shared" si="101"/>
        <v>-0.95929653520689895</v>
      </c>
      <c r="AF41" s="576">
        <f t="shared" si="102"/>
        <v>-0.23268606022323088</v>
      </c>
      <c r="AG41" s="545">
        <f t="shared" si="103"/>
        <v>-76.365709969626252</v>
      </c>
      <c r="AH41" s="546">
        <f t="shared" si="104"/>
        <v>80.791769792041862</v>
      </c>
      <c r="AI41" s="528">
        <f t="shared" si="105"/>
        <v>-76.544736904963543</v>
      </c>
      <c r="AJ41" s="529">
        <f t="shared" si="106"/>
        <v>9.4704709513675081</v>
      </c>
      <c r="AK41" s="578">
        <f t="shared" si="247"/>
        <v>0.9271838753345083</v>
      </c>
      <c r="AL41" s="572">
        <f t="shared" si="107"/>
        <v>-0.29357666579187486</v>
      </c>
      <c r="AM41" s="577">
        <f t="shared" si="108"/>
        <v>-0.23268606022323088</v>
      </c>
      <c r="AN41" s="524">
        <f t="shared" si="109"/>
        <v>-51.59999254988282</v>
      </c>
      <c r="AO41" s="525">
        <f t="shared" si="110"/>
        <v>21.999996823593442</v>
      </c>
      <c r="AP41" s="528">
        <f t="shared" si="111"/>
        <v>-17.5694861613689</v>
      </c>
      <c r="AQ41" s="529">
        <f t="shared" ref="AQ41:AQ72" si="332">IF(M41="","",DEGREES(ATAN(($AS$5*SIN(RADIANS(90)))/(($X41*2*PI())-($AS$5*COS(RADIANS(90)))))))</f>
        <v>0.29792590207164593</v>
      </c>
      <c r="AR41" s="979"/>
      <c r="AS41" s="954">
        <f t="shared" si="147"/>
        <v>-62.960042887263569</v>
      </c>
      <c r="AT41" s="950">
        <f t="shared" ref="AT41:AT72" si="333">IF(M41="","",Y41+(((AS41-$AS$9)*$AS$6)*-1))</f>
        <v>-1.6768829373402052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2.1320000000000001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85">IF(ISNUMBER($IK41),INDEX($K$9:$K$150,MATCH($IK41,$M$9:$M$150,0)),$K41)</f>
        <v>1613</v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87">IF(ISNUMBER($IK41),(($IQ41*12)/60)/$AS$3,"")</f>
        <v/>
      </c>
      <c r="IQ41" s="714"/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>
        <f t="shared" si="133"/>
        <v>32</v>
      </c>
      <c r="JN41" s="960">
        <f>($JO41-SMALL($JO$9:$JO$88,1))/((Settings!$C$19/2)-((Settings!$C$19/2)-LARGE($JO$9:$JO$88,1))-SMALL($JO$9:$JO$88,1))</f>
        <v>0.89493920432977847</v>
      </c>
      <c r="JO41" s="162">
        <f t="shared" si="134"/>
        <v>7.6519230782000047</v>
      </c>
      <c r="JP41" s="961">
        <f t="shared" si="135"/>
        <v>-51.59999254988282</v>
      </c>
      <c r="JQ41" s="961">
        <f t="shared" si="136"/>
        <v>21.999996823593442</v>
      </c>
      <c r="JS41" s="82">
        <v>37</v>
      </c>
      <c r="JT41" s="322">
        <f t="shared" si="137"/>
        <v>8.2049247460530346</v>
      </c>
      <c r="JU41" s="963">
        <f t="shared" si="138"/>
        <v>0.9626532136603525</v>
      </c>
      <c r="JV41" s="961">
        <f t="shared" si="287"/>
        <v>-66.766657026754046</v>
      </c>
      <c r="JW41" s="961">
        <f t="shared" si="92"/>
        <v>25.999996246064971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-70.488152793023374</v>
      </c>
      <c r="KD41" s="970">
        <v>-78.080814285714283</v>
      </c>
      <c r="KE41" s="968">
        <f t="shared" si="140"/>
        <v>-7.5926614926909082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27.004176323022655</v>
      </c>
      <c r="KG41" s="966">
        <f t="shared" si="244"/>
        <v>-1.9838371428571548</v>
      </c>
      <c r="KH41" s="966">
        <f t="shared" si="141"/>
        <v>0.93881944234352943</v>
      </c>
      <c r="KJ41" s="31"/>
    </row>
    <row r="42" spans="1:296" ht="15" customHeight="1" x14ac:dyDescent="0.25">
      <c r="A42" s="75">
        <f t="shared" si="322"/>
        <v>0</v>
      </c>
      <c r="B42" s="578">
        <f t="shared" ref="B42:D42" si="498">IFERROR(O197+($A42*-E42),"")</f>
        <v>7.1803492990799764</v>
      </c>
      <c r="C42" s="572">
        <f t="shared" si="498"/>
        <v>3.5972119746590581</v>
      </c>
      <c r="D42" s="576">
        <f t="shared" si="498"/>
        <v>-2.3879072019281216</v>
      </c>
      <c r="E42" s="580">
        <f t="shared" ref="E42:K42" si="499">R197</f>
        <v>-8.5812369458319687E-2</v>
      </c>
      <c r="F42" s="572">
        <f t="shared" si="499"/>
        <v>0.97558449698553984</v>
      </c>
      <c r="G42" s="579">
        <f t="shared" si="499"/>
        <v>0.20216608639784284</v>
      </c>
      <c r="H42" s="580">
        <f t="shared" si="499"/>
        <v>0.3125</v>
      </c>
      <c r="I42" s="572">
        <f t="shared" si="499"/>
        <v>0.52</v>
      </c>
      <c r="J42" s="483">
        <f t="shared" si="94"/>
        <v>2.1349999999999998</v>
      </c>
      <c r="K42" s="806">
        <f t="shared" si="499"/>
        <v>1613</v>
      </c>
      <c r="L42" s="309"/>
      <c r="M42" s="164">
        <f t="shared" si="325"/>
        <v>2.1349999999999998</v>
      </c>
      <c r="N42" s="575">
        <f t="shared" si="326"/>
        <v>7.1803492990799764</v>
      </c>
      <c r="O42" s="572">
        <f t="shared" si="327"/>
        <v>3.5972119746590581</v>
      </c>
      <c r="P42" s="576">
        <f t="shared" si="328"/>
        <v>-2.3879072019281216</v>
      </c>
      <c r="Q42" s="528">
        <f t="shared" si="144"/>
        <v>26.609957174820721</v>
      </c>
      <c r="R42" s="572">
        <f t="shared" ref="R42:R47" si="500">IF(M42="","",SQRT(N42^2+O42^2))</f>
        <v>8.0310242215690533</v>
      </c>
      <c r="S42" s="577">
        <f t="shared" ref="S42:S47" si="501">IF(M42="","",P42)</f>
        <v>-2.3879072019281216</v>
      </c>
      <c r="T42" s="578">
        <f t="shared" ref="T42:T47" si="502">IF(M42="","",X42*COS(RADIANS(W42)))</f>
        <v>3.5972119746590567</v>
      </c>
      <c r="U42" s="572">
        <f t="shared" ref="U42:U47" si="503">IF(M42="","",X42*SIN(RADIANS(W42)))</f>
        <v>-7.1803492990799764</v>
      </c>
      <c r="V42" s="579">
        <f t="shared" ref="V42:V47" si="504">IF(M42="","",Y42)</f>
        <v>-2.3879072019281216</v>
      </c>
      <c r="W42" s="528">
        <f t="shared" si="268"/>
        <v>296.60995717482069</v>
      </c>
      <c r="X42" s="572">
        <f t="shared" ref="X42:X47" si="505">IF(M42="","",R42)</f>
        <v>8.0310242215690533</v>
      </c>
      <c r="Y42" s="573">
        <f t="shared" si="271"/>
        <v>-2.3879072019281216</v>
      </c>
      <c r="Z42" s="575">
        <f t="shared" si="329"/>
        <v>8.5812369458319687E-2</v>
      </c>
      <c r="AA42" s="572">
        <f t="shared" si="330"/>
        <v>-0.97558449698553984</v>
      </c>
      <c r="AB42" s="572">
        <f t="shared" si="331"/>
        <v>-0.20216608639784284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8.5812369458319687E-2</v>
      </c>
      <c r="AE42" s="572">
        <f t="shared" ref="AE42:AE47" si="508">IF(M42="","",AA42*(1/SQRT(Z42^2+AA42^2+AB42^2)))</f>
        <v>-0.97558449698553984</v>
      </c>
      <c r="AF42" s="576">
        <f t="shared" ref="AF42:AF47" si="509">IF(M42="","",AB42*(1/SQRT(Z42^2+AA42^2+AB42^2)))</f>
        <v>-0.20216608639784284</v>
      </c>
      <c r="AG42" s="545">
        <f t="shared" ref="AG42:AG47" si="510">IF(M42="","",DEGREES(ATAN2(-AF42,AE42)))</f>
        <v>-78.292552622404017</v>
      </c>
      <c r="AH42" s="546">
        <f t="shared" ref="AH42:AH47" si="511">IF(M42="","",DEGREES(ACOS(AD42)))</f>
        <v>85.07725909744309</v>
      </c>
      <c r="AI42" s="528">
        <f t="shared" ref="AI42:AI47" si="512">IF(M42="","",DEGREES(-ACOS(-AF42)))</f>
        <v>-78.33634547298989</v>
      </c>
      <c r="AJ42" s="529">
        <f t="shared" ref="AJ42:AJ47" si="513">IF(M42="","",DEGREES(ATAN2(-AE42,AD42)))</f>
        <v>5.0267968542611783</v>
      </c>
      <c r="AK42" s="578">
        <f t="shared" ref="AK42:AK47" si="514">IF(M42="","",(COS(RADIANS((90-$Q$8)-W42))*AD42)+(-SIN(RADIANS((90-$Q$8)-W42))*AE42))</f>
        <v>0.91068368620656903</v>
      </c>
      <c r="AL42" s="572">
        <f t="shared" ref="AL42:AL47" si="515">IF(M42="","",(SIN(RADIANS((90-$Q$8)-W42))*AD42)+(COS(RADIANS((90-$Q$8)-W42))*AE42))</f>
        <v>-0.36025559980074595</v>
      </c>
      <c r="AM42" s="577">
        <f t="shared" ref="AM42:AM47" si="516">IF(M42="","",AF42)</f>
        <v>-0.20216608639784284</v>
      </c>
      <c r="AN42" s="524">
        <f t="shared" ref="AN42:AN47" si="517">IF(M42="","",DEGREES(ATAN2(-AM42,AL42)))</f>
        <v>-60.699991236005559</v>
      </c>
      <c r="AO42" s="525">
        <f t="shared" si="110"/>
        <v>24.399996477076375</v>
      </c>
      <c r="AP42" s="528">
        <f t="shared" ref="AP42:AP47" si="518">IF(M42="","",DEGREES(ATAN2(AK42,AL42)))</f>
        <v>-21.583160320559529</v>
      </c>
      <c r="AQ42" s="529">
        <f t="shared" si="332"/>
        <v>0.28386267015370525</v>
      </c>
      <c r="AR42" s="979"/>
      <c r="AS42" s="954">
        <f t="shared" si="147"/>
        <v>-63.390042825179307</v>
      </c>
      <c r="AT42" s="950">
        <f t="shared" si="333"/>
        <v>-2.3438863388550804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2.1349999999999998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85"/>
        <v>1613</v>
      </c>
      <c r="IM42" s="482" t="str">
        <f t="shared" si="242"/>
        <v/>
      </c>
      <c r="IN42" s="670" t="str">
        <f t="shared" si="486"/>
        <v/>
      </c>
      <c r="IO42" s="702"/>
      <c r="IP42" s="5" t="str">
        <f t="shared" si="487"/>
        <v/>
      </c>
      <c r="IQ42" s="714"/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>
        <f t="shared" si="133"/>
        <v>35</v>
      </c>
      <c r="JN42" s="960">
        <f>($JO42-SMALL($JO$9:$JO$88,1))/((Settings!$C$19/2)-((Settings!$C$19/2)-LARGE($JO$9:$JO$88,1))-SMALL($JO$9:$JO$88,1))</f>
        <v>0.94135942302276332</v>
      </c>
      <c r="JO42" s="162">
        <f t="shared" si="134"/>
        <v>8.0310242215690533</v>
      </c>
      <c r="JP42" s="961">
        <f t="shared" si="135"/>
        <v>-60.699991236005559</v>
      </c>
      <c r="JQ42" s="961">
        <f t="shared" si="136"/>
        <v>24.399996477076375</v>
      </c>
      <c r="JS42" s="82">
        <v>38</v>
      </c>
      <c r="JT42" s="322">
        <f t="shared" si="137"/>
        <v>8.2698249417920238</v>
      </c>
      <c r="JU42" s="963">
        <f t="shared" si="138"/>
        <v>0.97060011999951024</v>
      </c>
      <c r="JV42" s="961">
        <f t="shared" si="287"/>
        <v>-69.799989922128276</v>
      </c>
      <c r="JW42" s="961">
        <f t="shared" si="92"/>
        <v>26.799996130559247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27.816405513409315</v>
      </c>
      <c r="KG42" s="966">
        <f t="shared" si="244"/>
        <v>-1.9838371428571406</v>
      </c>
      <c r="KH42" s="966">
        <f t="shared" si="141"/>
        <v>0.81222919038665964</v>
      </c>
      <c r="KJ42" s="31"/>
    </row>
    <row r="43" spans="1:296" ht="15" customHeight="1" x14ac:dyDescent="0.25">
      <c r="A43" s="75">
        <f t="shared" si="322"/>
        <v>0</v>
      </c>
      <c r="B43" s="578">
        <f t="shared" ref="B43:D43" si="522">IFERROR(O198+($A43*-E43),"")</f>
        <v>7.4112287364030394</v>
      </c>
      <c r="C43" s="572">
        <f t="shared" si="522"/>
        <v>3.6692905560338591</v>
      </c>
      <c r="D43" s="576">
        <f t="shared" si="522"/>
        <v>-3.1176094027099577</v>
      </c>
      <c r="E43" s="580">
        <f t="shared" ref="E43:K43" si="523">R198</f>
        <v>-1.6823803135338423E-2</v>
      </c>
      <c r="F43" s="572">
        <f t="shared" si="523"/>
        <v>0.98766311961531594</v>
      </c>
      <c r="G43" s="579">
        <f t="shared" si="523"/>
        <v>0.15568725638216385</v>
      </c>
      <c r="H43" s="580">
        <f t="shared" si="523"/>
        <v>0.3125</v>
      </c>
      <c r="I43" s="572">
        <f t="shared" si="523"/>
        <v>0.52</v>
      </c>
      <c r="J43" s="483">
        <f t="shared" si="94"/>
        <v>2.1379999999999999</v>
      </c>
      <c r="K43" s="806">
        <f t="shared" si="523"/>
        <v>1613</v>
      </c>
      <c r="L43" s="309"/>
      <c r="M43" s="164">
        <f t="shared" si="325"/>
        <v>2.1379999999999999</v>
      </c>
      <c r="N43" s="575">
        <f t="shared" si="326"/>
        <v>7.4112287364030394</v>
      </c>
      <c r="O43" s="572">
        <f t="shared" si="327"/>
        <v>3.6692905560338591</v>
      </c>
      <c r="P43" s="576">
        <f t="shared" si="328"/>
        <v>-3.1176094027099577</v>
      </c>
      <c r="Q43" s="528">
        <f t="shared" si="144"/>
        <v>26.339957213803896</v>
      </c>
      <c r="R43" s="572">
        <f t="shared" si="500"/>
        <v>8.2698249417920238</v>
      </c>
      <c r="S43" s="577">
        <f t="shared" si="501"/>
        <v>-3.1176094027099577</v>
      </c>
      <c r="T43" s="578">
        <f t="shared" si="502"/>
        <v>3.6692905560338529</v>
      </c>
      <c r="U43" s="572">
        <f t="shared" si="503"/>
        <v>-7.411228736403042</v>
      </c>
      <c r="V43" s="579">
        <f t="shared" si="504"/>
        <v>-3.1176094027099577</v>
      </c>
      <c r="W43" s="528">
        <f t="shared" si="268"/>
        <v>296.33995721380387</v>
      </c>
      <c r="X43" s="572">
        <f t="shared" si="505"/>
        <v>8.2698249417920238</v>
      </c>
      <c r="Y43" s="573">
        <f t="shared" si="271"/>
        <v>-3.1176094027099577</v>
      </c>
      <c r="Z43" s="575">
        <f t="shared" si="329"/>
        <v>1.6823803135338423E-2</v>
      </c>
      <c r="AA43" s="572">
        <f t="shared" si="330"/>
        <v>-0.98766311961531594</v>
      </c>
      <c r="AB43" s="572">
        <f t="shared" si="331"/>
        <v>-0.15568725638216385</v>
      </c>
      <c r="AC43" s="579">
        <f t="shared" si="506"/>
        <v>1</v>
      </c>
      <c r="AD43" s="580">
        <f t="shared" si="507"/>
        <v>1.6823803135338423E-2</v>
      </c>
      <c r="AE43" s="572">
        <f t="shared" si="508"/>
        <v>-0.98766311961531594</v>
      </c>
      <c r="AF43" s="576">
        <f t="shared" si="509"/>
        <v>-0.15568725638216385</v>
      </c>
      <c r="AG43" s="545">
        <f t="shared" si="510"/>
        <v>-81.042064717651144</v>
      </c>
      <c r="AH43" s="546">
        <f t="shared" si="511"/>
        <v>89.036021607208227</v>
      </c>
      <c r="AI43" s="528">
        <f t="shared" si="512"/>
        <v>-81.043342965854393</v>
      </c>
      <c r="AJ43" s="529">
        <f t="shared" si="513"/>
        <v>0.97587900366065883</v>
      </c>
      <c r="AK43" s="578">
        <f t="shared" si="514"/>
        <v>0.89258584890190429</v>
      </c>
      <c r="AL43" s="572">
        <f t="shared" si="515"/>
        <v>-0.42314534209921473</v>
      </c>
      <c r="AM43" s="577">
        <f t="shared" si="516"/>
        <v>-0.15568725638216385</v>
      </c>
      <c r="AN43" s="524">
        <f t="shared" si="517"/>
        <v>-69.799989922128276</v>
      </c>
      <c r="AO43" s="525">
        <f t="shared" si="110"/>
        <v>26.799996130559247</v>
      </c>
      <c r="AP43" s="528">
        <f t="shared" si="518"/>
        <v>-25.364078210143184</v>
      </c>
      <c r="AQ43" s="529">
        <f t="shared" si="332"/>
        <v>0.27566593698150488</v>
      </c>
      <c r="AR43" s="979"/>
      <c r="AS43" s="954">
        <f t="shared" ref="AS43:AS74" si="524">IF(G43="","",IF(AND(W43&lt;(AS42+180),W43&gt;(AS42-180)),W43,IF(W43&gt;(AS42+180),W43-360,IF(W43&lt;(AS42-180),W43+360,"Error"))))</f>
        <v>-63.660042786196129</v>
      </c>
      <c r="AT43" s="950">
        <f t="shared" si="333"/>
        <v>-3.0734010396639881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2.1379999999999999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85"/>
        <v>1613</v>
      </c>
      <c r="IM43" s="482" t="str">
        <f t="shared" si="242"/>
        <v/>
      </c>
      <c r="IN43" s="670" t="str">
        <f t="shared" si="486"/>
        <v/>
      </c>
      <c r="IO43" s="702"/>
      <c r="IP43" s="5" t="str">
        <f t="shared" si="487"/>
        <v/>
      </c>
      <c r="IQ43" s="714"/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>
        <f t="shared" si="133"/>
        <v>38</v>
      </c>
      <c r="JN43" s="960">
        <f>($JO43-SMALL($JO$9:$JO$88,1))/((Settings!$C$19/2)-((Settings!$C$19/2)-LARGE($JO$9:$JO$88,1))-SMALL($JO$9:$JO$88,1))</f>
        <v>0.97060011999951024</v>
      </c>
      <c r="JO43" s="162">
        <f t="shared" si="134"/>
        <v>8.2698249417920238</v>
      </c>
      <c r="JP43" s="961">
        <f t="shared" si="135"/>
        <v>-69.799989922128276</v>
      </c>
      <c r="JQ43" s="961">
        <f t="shared" si="136"/>
        <v>26.799996130559247</v>
      </c>
      <c r="JS43" s="82">
        <v>39</v>
      </c>
      <c r="JT43" s="322">
        <f t="shared" si="137"/>
        <v>8.3265251127997395</v>
      </c>
      <c r="JU43" s="963">
        <f t="shared" si="138"/>
        <v>0.9775429488042906</v>
      </c>
      <c r="JV43" s="961">
        <f t="shared" si="287"/>
        <v>-72.833322817502491</v>
      </c>
      <c r="JW43" s="961">
        <f t="shared" si="92"/>
        <v>27.699996000615442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29.2268946405215</v>
      </c>
      <c r="KG43" s="966">
        <f t="shared" si="244"/>
        <v>-1.9838371428571548</v>
      </c>
      <c r="KH43" s="966">
        <f t="shared" si="141"/>
        <v>1.4104891271121858</v>
      </c>
      <c r="KJ43" s="31"/>
    </row>
    <row r="44" spans="1:296" ht="15" customHeight="1" x14ac:dyDescent="0.25">
      <c r="A44" s="75">
        <f t="shared" si="322"/>
        <v>0</v>
      </c>
      <c r="B44" s="578">
        <f t="shared" ref="B44:D44" si="527">IFERROR(O199+($A44*-E44),"")</f>
        <v>7.5526682531075453</v>
      </c>
      <c r="C44" s="572">
        <f t="shared" si="527"/>
        <v>3.7114557144375655</v>
      </c>
      <c r="D44" s="576">
        <f t="shared" si="527"/>
        <v>-3.8722116785904226</v>
      </c>
      <c r="E44" s="580">
        <f t="shared" ref="E44:K44" si="528">R199</f>
        <v>4.9819789204157215E-2</v>
      </c>
      <c r="F44" s="572">
        <f t="shared" si="528"/>
        <v>0.99424870468876669</v>
      </c>
      <c r="G44" s="579">
        <f t="shared" si="528"/>
        <v>9.4802435772310484E-2</v>
      </c>
      <c r="H44" s="580">
        <f t="shared" si="528"/>
        <v>0.3125</v>
      </c>
      <c r="I44" s="572">
        <f t="shared" si="528"/>
        <v>0.52</v>
      </c>
      <c r="J44" s="483">
        <f t="shared" si="94"/>
        <v>2.141</v>
      </c>
      <c r="K44" s="806">
        <f t="shared" si="528"/>
        <v>1613</v>
      </c>
      <c r="L44" s="309"/>
      <c r="M44" s="164">
        <f t="shared" si="325"/>
        <v>2.141</v>
      </c>
      <c r="N44" s="575">
        <f t="shared" si="326"/>
        <v>7.5526682531075453</v>
      </c>
      <c r="O44" s="572">
        <f t="shared" si="327"/>
        <v>3.7114557144375655</v>
      </c>
      <c r="P44" s="576">
        <f t="shared" si="328"/>
        <v>-3.8722116785904226</v>
      </c>
      <c r="Q44" s="528">
        <f t="shared" si="144"/>
        <v>26.169957238348847</v>
      </c>
      <c r="R44" s="572">
        <f t="shared" si="500"/>
        <v>8.4153253806213488</v>
      </c>
      <c r="S44" s="577">
        <f t="shared" si="501"/>
        <v>-3.8722116785904226</v>
      </c>
      <c r="T44" s="578">
        <f t="shared" si="502"/>
        <v>3.7114557144375642</v>
      </c>
      <c r="U44" s="572">
        <f t="shared" si="503"/>
        <v>-7.5526682531075462</v>
      </c>
      <c r="V44" s="579">
        <f t="shared" si="504"/>
        <v>-3.8722116785904226</v>
      </c>
      <c r="W44" s="528">
        <f t="shared" si="268"/>
        <v>296.16995723834884</v>
      </c>
      <c r="X44" s="572">
        <f t="shared" si="505"/>
        <v>8.4153253806213488</v>
      </c>
      <c r="Y44" s="573">
        <f t="shared" si="271"/>
        <v>-3.8722116785904226</v>
      </c>
      <c r="Z44" s="575">
        <f t="shared" si="329"/>
        <v>-4.9819789204157215E-2</v>
      </c>
      <c r="AA44" s="572">
        <f t="shared" si="330"/>
        <v>-0.99424870468876669</v>
      </c>
      <c r="AB44" s="572">
        <f t="shared" si="331"/>
        <v>-9.4802435772310484E-2</v>
      </c>
      <c r="AC44" s="579">
        <f t="shared" si="506"/>
        <v>1</v>
      </c>
      <c r="AD44" s="580">
        <f t="shared" si="507"/>
        <v>-4.9819789204157215E-2</v>
      </c>
      <c r="AE44" s="572">
        <f t="shared" si="508"/>
        <v>-0.99424870468876669</v>
      </c>
      <c r="AF44" s="576">
        <f t="shared" si="509"/>
        <v>-9.4802435772310484E-2</v>
      </c>
      <c r="AG44" s="545">
        <f t="shared" si="510"/>
        <v>-84.553267068332005</v>
      </c>
      <c r="AH44" s="546">
        <f t="shared" si="511"/>
        <v>92.855645780313168</v>
      </c>
      <c r="AI44" s="528">
        <f t="shared" si="512"/>
        <v>-84.560051104452796</v>
      </c>
      <c r="AJ44" s="529">
        <f t="shared" si="513"/>
        <v>-2.8685762749735417</v>
      </c>
      <c r="AK44" s="578">
        <f t="shared" si="514"/>
        <v>0.8703557325458412</v>
      </c>
      <c r="AL44" s="572">
        <f t="shared" si="515"/>
        <v>-0.4832115447671228</v>
      </c>
      <c r="AM44" s="577">
        <f t="shared" si="516"/>
        <v>-9.4802435772310484E-2</v>
      </c>
      <c r="AN44" s="524">
        <f t="shared" si="517"/>
        <v>-78.899988608251022</v>
      </c>
      <c r="AO44" s="525">
        <f t="shared" si="110"/>
        <v>29.499995740727577</v>
      </c>
      <c r="AP44" s="528">
        <f t="shared" si="518"/>
        <v>-29.038533513322381</v>
      </c>
      <c r="AQ44" s="529">
        <f t="shared" si="332"/>
        <v>0.2708997621790456</v>
      </c>
      <c r="AR44" s="979"/>
      <c r="AS44" s="954">
        <f t="shared" si="524"/>
        <v>-63.830042761651157</v>
      </c>
      <c r="AT44" s="950">
        <f t="shared" si="333"/>
        <v>-3.8278852600059428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2.141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85"/>
        <v>1613</v>
      </c>
      <c r="IM44" s="482" t="str">
        <f t="shared" si="242"/>
        <v/>
      </c>
      <c r="IN44" s="670" t="str">
        <f t="shared" si="486"/>
        <v/>
      </c>
      <c r="IO44" s="702"/>
      <c r="IP44" s="5" t="str">
        <f t="shared" si="487"/>
        <v/>
      </c>
      <c r="IQ44" s="714"/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>
        <f t="shared" si="133"/>
        <v>41</v>
      </c>
      <c r="JN44" s="960">
        <f>($JO44-SMALL($JO$9:$JO$88,1))/((Settings!$C$19/2)-((Settings!$C$19/2)-LARGE($JO$9:$JO$88,1))-SMALL($JO$9:$JO$88,1))</f>
        <v>0.98841637381071923</v>
      </c>
      <c r="JO44" s="162">
        <f t="shared" si="134"/>
        <v>8.4153253806213488</v>
      </c>
      <c r="JP44" s="961">
        <f t="shared" si="135"/>
        <v>-78.899988608251022</v>
      </c>
      <c r="JQ44" s="961">
        <f t="shared" si="136"/>
        <v>29.499995740727577</v>
      </c>
      <c r="JS44" s="82">
        <v>40</v>
      </c>
      <c r="JT44" s="322">
        <f t="shared" si="137"/>
        <v>8.3750252590761836</v>
      </c>
      <c r="JU44" s="963">
        <f t="shared" si="138"/>
        <v>0.98348170007469382</v>
      </c>
      <c r="JV44" s="961">
        <f t="shared" si="287"/>
        <v>-75.866655712876806</v>
      </c>
      <c r="JW44" s="961">
        <f t="shared" si="92"/>
        <v>28.599995870671457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0.87310535947850099</v>
      </c>
      <c r="KJ44" s="31"/>
    </row>
    <row r="45" spans="1:296" ht="15" customHeight="1" x14ac:dyDescent="0.25">
      <c r="A45" s="75">
        <f t="shared" si="322"/>
        <v>0</v>
      </c>
      <c r="B45" s="578">
        <f t="shared" ref="B45:D45" si="529">IFERROR(O200+($A45*-E45),"")</f>
        <v>7.644762542370219</v>
      </c>
      <c r="C45" s="572">
        <f t="shared" si="529"/>
        <v>3.7385077919574079</v>
      </c>
      <c r="D45" s="576">
        <f t="shared" si="529"/>
        <v>-4.6681140790320637</v>
      </c>
      <c r="E45" s="580">
        <f t="shared" ref="E45:K45" si="530">R200</f>
        <v>0.11013563005070962</v>
      </c>
      <c r="F45" s="572">
        <f t="shared" si="530"/>
        <v>0.99374063288448355</v>
      </c>
      <c r="G45" s="579">
        <f t="shared" si="530"/>
        <v>1.870020180852202E-2</v>
      </c>
      <c r="H45" s="580">
        <f t="shared" si="530"/>
        <v>0.3125</v>
      </c>
      <c r="I45" s="572">
        <f t="shared" si="530"/>
        <v>0.52</v>
      </c>
      <c r="J45" s="483">
        <f t="shared" si="94"/>
        <v>2.1440000000000001</v>
      </c>
      <c r="K45" s="806">
        <f t="shared" si="530"/>
        <v>1613</v>
      </c>
      <c r="L45" s="309"/>
      <c r="M45" s="164">
        <f t="shared" si="325"/>
        <v>2.1440000000000001</v>
      </c>
      <c r="N45" s="575">
        <f t="shared" si="326"/>
        <v>7.644762542370219</v>
      </c>
      <c r="O45" s="572">
        <f t="shared" si="327"/>
        <v>3.7385077919574079</v>
      </c>
      <c r="P45" s="576">
        <f t="shared" si="328"/>
        <v>-4.6681140790320637</v>
      </c>
      <c r="Q45" s="528">
        <f t="shared" si="144"/>
        <v>26.059957254230884</v>
      </c>
      <c r="R45" s="572">
        <f t="shared" si="500"/>
        <v>8.5099256659358087</v>
      </c>
      <c r="S45" s="577">
        <f t="shared" si="501"/>
        <v>-4.6681140790320637</v>
      </c>
      <c r="T45" s="578">
        <f t="shared" si="502"/>
        <v>3.7385077919574097</v>
      </c>
      <c r="U45" s="572">
        <f t="shared" si="503"/>
        <v>-7.6447625423702172</v>
      </c>
      <c r="V45" s="579">
        <f t="shared" si="504"/>
        <v>-4.6681140790320637</v>
      </c>
      <c r="W45" s="528">
        <f t="shared" si="268"/>
        <v>296.05995725423088</v>
      </c>
      <c r="X45" s="572">
        <f t="shared" si="505"/>
        <v>8.5099256659358087</v>
      </c>
      <c r="Y45" s="573">
        <f t="shared" si="271"/>
        <v>-4.6681140790320637</v>
      </c>
      <c r="Z45" s="575">
        <f t="shared" si="329"/>
        <v>-0.11013563005070962</v>
      </c>
      <c r="AA45" s="572">
        <f t="shared" si="330"/>
        <v>-0.99374063288448355</v>
      </c>
      <c r="AB45" s="572">
        <f t="shared" si="331"/>
        <v>-1.870020180852202E-2</v>
      </c>
      <c r="AC45" s="579">
        <f t="shared" si="506"/>
        <v>1</v>
      </c>
      <c r="AD45" s="580">
        <f t="shared" si="507"/>
        <v>-0.11013563005070962</v>
      </c>
      <c r="AE45" s="572">
        <f t="shared" si="508"/>
        <v>-0.99374063288448355</v>
      </c>
      <c r="AF45" s="576">
        <f t="shared" si="509"/>
        <v>-1.870020180852202E-2</v>
      </c>
      <c r="AG45" s="545">
        <f t="shared" si="510"/>
        <v>-88.9219358058333</v>
      </c>
      <c r="AH45" s="546">
        <f t="shared" si="511"/>
        <v>96.323134103636022</v>
      </c>
      <c r="AI45" s="528">
        <f t="shared" si="512"/>
        <v>-88.928494903689256</v>
      </c>
      <c r="AJ45" s="529">
        <f t="shared" si="513"/>
        <v>-6.324244498700244</v>
      </c>
      <c r="AK45" s="578">
        <f t="shared" si="514"/>
        <v>0.84432796925021403</v>
      </c>
      <c r="AL45" s="572">
        <f t="shared" si="515"/>
        <v>-0.53550031073205773</v>
      </c>
      <c r="AM45" s="577">
        <f t="shared" si="516"/>
        <v>-1.870020180852202E-2</v>
      </c>
      <c r="AN45" s="524">
        <f t="shared" si="517"/>
        <v>-87.999987294373824</v>
      </c>
      <c r="AO45" s="525">
        <f t="shared" si="110"/>
        <v>32.399995322019457</v>
      </c>
      <c r="AP45" s="528">
        <f t="shared" si="518"/>
        <v>-32.384201752931148</v>
      </c>
      <c r="AQ45" s="529">
        <f t="shared" si="332"/>
        <v>0.26788835876402095</v>
      </c>
      <c r="AR45" s="979"/>
      <c r="AS45" s="954">
        <f t="shared" si="524"/>
        <v>-63.940042745769119</v>
      </c>
      <c r="AT45" s="950">
        <f t="shared" si="333"/>
        <v>-4.6237112715697242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2.1440000000000001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85"/>
        <v>1613</v>
      </c>
      <c r="IM45" s="482" t="str">
        <f t="shared" si="242"/>
        <v/>
      </c>
      <c r="IN45" s="670" t="str">
        <f t="shared" si="486"/>
        <v/>
      </c>
      <c r="IO45" s="702"/>
      <c r="IP45" s="5" t="str">
        <f t="shared" si="487"/>
        <v/>
      </c>
      <c r="IQ45" s="714"/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>
        <f t="shared" si="133"/>
        <v>44</v>
      </c>
      <c r="JN45" s="960">
        <f>($JO45-SMALL($JO$9:$JO$88,1))/((Settings!$C$19/2)-((Settings!$C$19/2)-LARGE($JO$9:$JO$88,1))-SMALL($JO$9:$JO$88,1))</f>
        <v>1</v>
      </c>
      <c r="JO45" s="162">
        <f t="shared" si="134"/>
        <v>8.5099256659358087</v>
      </c>
      <c r="JP45" s="961">
        <f t="shared" si="135"/>
        <v>-87.999987294373824</v>
      </c>
      <c r="JQ45" s="961">
        <f t="shared" si="136"/>
        <v>32.399995322019457</v>
      </c>
      <c r="JS45" s="82">
        <v>41</v>
      </c>
      <c r="JT45" s="322">
        <f t="shared" si="137"/>
        <v>8.4153253806213488</v>
      </c>
      <c r="JU45" s="963">
        <f t="shared" si="138"/>
        <v>0.98841637381071923</v>
      </c>
      <c r="JV45" s="961">
        <f t="shared" si="287"/>
        <v>-78.899988608251022</v>
      </c>
      <c r="JW45" s="961">
        <f t="shared" si="92"/>
        <v>29.499995740727577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</v>
      </c>
      <c r="B46" s="578">
        <f t="shared" ref="B46:D46" si="531">IFERROR(O201+($A46*-E46),"")</f>
        <v>4.1855791305048928</v>
      </c>
      <c r="C46" s="572">
        <f t="shared" si="531"/>
        <v>1.0771819409507122</v>
      </c>
      <c r="D46" s="576">
        <f t="shared" si="531"/>
        <v>-0.16537528030540641</v>
      </c>
      <c r="E46" s="580">
        <f t="shared" ref="E46:K46" si="532">R201</f>
        <v>-7.8678936393454274E-2</v>
      </c>
      <c r="F46" s="572">
        <f t="shared" si="532"/>
        <v>-2.0248459478059234E-2</v>
      </c>
      <c r="G46" s="579">
        <f t="shared" si="532"/>
        <v>0.99669434876333096</v>
      </c>
      <c r="H46" s="580">
        <f t="shared" si="532"/>
        <v>0.255</v>
      </c>
      <c r="I46" s="572">
        <f t="shared" si="532"/>
        <v>0.41499999999999992</v>
      </c>
      <c r="J46" s="483">
        <f t="shared" si="94"/>
        <v>2.2170000000000001</v>
      </c>
      <c r="K46" s="806" t="str">
        <f t="shared" si="532"/>
        <v>CPS-32193r1</v>
      </c>
      <c r="L46" s="309"/>
      <c r="M46" s="164">
        <f t="shared" si="325"/>
        <v>2.2170000000000001</v>
      </c>
      <c r="N46" s="575">
        <f t="shared" si="326"/>
        <v>4.1855791305048928</v>
      </c>
      <c r="O46" s="572">
        <f t="shared" si="327"/>
        <v>1.0771819409507122</v>
      </c>
      <c r="P46" s="576">
        <f t="shared" si="328"/>
        <v>-0.16537528030540641</v>
      </c>
      <c r="Q46" s="528">
        <f t="shared" si="144"/>
        <v>14.432202121182888</v>
      </c>
      <c r="R46" s="572">
        <f t="shared" si="500"/>
        <v>4.3219664033433256</v>
      </c>
      <c r="S46" s="577">
        <f t="shared" si="501"/>
        <v>-0.16537528030540641</v>
      </c>
      <c r="T46" s="578">
        <f t="shared" si="502"/>
        <v>1.0771819409507142</v>
      </c>
      <c r="U46" s="572">
        <f t="shared" si="503"/>
        <v>-4.1855791305048928</v>
      </c>
      <c r="V46" s="579">
        <f t="shared" si="504"/>
        <v>-0.16537528030540641</v>
      </c>
      <c r="W46" s="528">
        <f t="shared" si="268"/>
        <v>284.43220212118291</v>
      </c>
      <c r="X46" s="572">
        <f t="shared" si="505"/>
        <v>4.3219664033433256</v>
      </c>
      <c r="Y46" s="573">
        <f t="shared" si="271"/>
        <v>-0.16537528030540641</v>
      </c>
      <c r="Z46" s="575">
        <f t="shared" si="329"/>
        <v>7.8678936393454274E-2</v>
      </c>
      <c r="AA46" s="572">
        <f t="shared" si="330"/>
        <v>2.0248459478059234E-2</v>
      </c>
      <c r="AB46" s="572">
        <f t="shared" si="331"/>
        <v>-0.99669434876333096</v>
      </c>
      <c r="AC46" s="579">
        <f t="shared" si="506"/>
        <v>1</v>
      </c>
      <c r="AD46" s="580">
        <f t="shared" si="507"/>
        <v>7.8678936393454274E-2</v>
      </c>
      <c r="AE46" s="572">
        <f t="shared" si="508"/>
        <v>2.0248459478059234E-2</v>
      </c>
      <c r="AF46" s="576">
        <f t="shared" si="509"/>
        <v>-0.99669434876333096</v>
      </c>
      <c r="AG46" s="545">
        <f t="shared" si="510"/>
        <v>1.1638389473834696</v>
      </c>
      <c r="AH46" s="546">
        <f t="shared" si="511"/>
        <v>85.48736499879584</v>
      </c>
      <c r="AI46" s="528">
        <f t="shared" si="512"/>
        <v>-4.659999327179257</v>
      </c>
      <c r="AJ46" s="529">
        <f t="shared" si="513"/>
        <v>104.43220212118288</v>
      </c>
      <c r="AK46" s="578">
        <f t="shared" si="514"/>
        <v>3.1225022567582528E-17</v>
      </c>
      <c r="AL46" s="572">
        <f t="shared" si="515"/>
        <v>8.1242692860587953E-2</v>
      </c>
      <c r="AM46" s="577">
        <f t="shared" si="516"/>
        <v>-0.99669434876333096</v>
      </c>
      <c r="AN46" s="524">
        <f t="shared" si="517"/>
        <v>4.6599993271793423</v>
      </c>
      <c r="AO46" s="525">
        <f t="shared" si="110"/>
        <v>0</v>
      </c>
      <c r="AP46" s="528">
        <f t="shared" si="518"/>
        <v>89.999999999999986</v>
      </c>
      <c r="AQ46" s="529">
        <f t="shared" si="332"/>
        <v>0.52745949819206639</v>
      </c>
      <c r="AR46" s="979"/>
      <c r="AS46" s="954">
        <f t="shared" si="524"/>
        <v>-75.567797878817089</v>
      </c>
      <c r="AT46" s="950">
        <f t="shared" si="333"/>
        <v>-0.11289764288956119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>Nose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2.2170000000000001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2.117</v>
      </c>
      <c r="IK46" s="677" cm="1">
        <f t="array" ref="IK46">IFERROR(ROUND(VALUE(IF($IJ46&lt;1,$IJ46+LARGE((IF($M$9:$M$150="",0,$M$9:$M$150)-MOD(IF($M$9:$M$150="",0,$M$9:$M$150),1)),1),$IJ46)),4),"")</f>
        <v>2.117</v>
      </c>
      <c r="IL46" s="482">
        <f t="shared" si="485"/>
        <v>1613</v>
      </c>
      <c r="IM46" s="482" t="str">
        <f t="shared" si="242"/>
        <v>CPS-32193r1</v>
      </c>
      <c r="IN46" s="670">
        <f t="shared" si="486"/>
        <v>15.437754582952095</v>
      </c>
      <c r="IO46" s="702">
        <v>3.8045794950782703E-2</v>
      </c>
      <c r="IP46" s="5">
        <f t="shared" si="487"/>
        <v>0.88</v>
      </c>
      <c r="IQ46" s="714">
        <v>440</v>
      </c>
      <c r="IR46" s="9">
        <f t="shared" si="488"/>
        <v>-4.3202130297624972</v>
      </c>
      <c r="IS46" s="5">
        <f t="shared" si="489"/>
        <v>-0.16870050880073445</v>
      </c>
      <c r="IT46" s="5">
        <f t="shared" si="490"/>
        <v>0.3125</v>
      </c>
      <c r="IU46" s="5">
        <f t="shared" si="491"/>
        <v>0.30171020024741213</v>
      </c>
      <c r="IV46" s="670">
        <f t="shared" si="492"/>
        <v>6.0999991192690048</v>
      </c>
      <c r="IW46" s="9">
        <f t="shared" si="493"/>
        <v>-4.3219664033433256</v>
      </c>
      <c r="IX46" s="5">
        <f t="shared" si="494"/>
        <v>-0.16537528030540641</v>
      </c>
      <c r="IY46" s="5">
        <f t="shared" si="495"/>
        <v>0.255</v>
      </c>
      <c r="IZ46" s="5">
        <f t="shared" si="496"/>
        <v>0.255</v>
      </c>
      <c r="JA46" s="705">
        <f t="shared" si="497"/>
        <v>-4.6599993271793423</v>
      </c>
      <c r="JM46" s="489">
        <f t="shared" si="133"/>
        <v>17</v>
      </c>
      <c r="JN46" s="960">
        <f>($JO46-SMALL($JO$9:$JO$88,1))/((Settings!$C$19/2)-((Settings!$C$19/2)-LARGE($JO$9:$JO$88,1))-SMALL($JO$9:$JO$88,1))</f>
        <v>0.48719230145501286</v>
      </c>
      <c r="JO46" s="162">
        <f t="shared" si="134"/>
        <v>4.3219664033433256</v>
      </c>
      <c r="JP46" s="961">
        <f t="shared" si="135"/>
        <v>4.6599993271793423</v>
      </c>
      <c r="JQ46" s="961">
        <f t="shared" si="136"/>
        <v>0</v>
      </c>
      <c r="JS46" s="82">
        <v>42</v>
      </c>
      <c r="JT46" s="322">
        <f t="shared" si="137"/>
        <v>8.4474254774352406</v>
      </c>
      <c r="JU46" s="963">
        <f t="shared" si="138"/>
        <v>0.99234697001236738</v>
      </c>
      <c r="JV46" s="961">
        <f t="shared" si="287"/>
        <v>-81.933321503625351</v>
      </c>
      <c r="JW46" s="961">
        <f t="shared" si="92"/>
        <v>30.399995610783719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</v>
      </c>
      <c r="B47" s="578">
        <f t="shared" ref="B47:D47" si="533">IFERROR(O202+($A47*-E47),"")</f>
        <v>4.8848102331033116</v>
      </c>
      <c r="C47" s="572">
        <f t="shared" si="533"/>
        <v>1.4363502609056973</v>
      </c>
      <c r="D47" s="576">
        <f t="shared" si="533"/>
        <v>-0.18204030738773283</v>
      </c>
      <c r="E47" s="580">
        <f t="shared" ref="E47:K47" si="534">R202</f>
        <v>0.11991049770054532</v>
      </c>
      <c r="F47" s="572">
        <f t="shared" si="534"/>
        <v>3.5258989896950609E-2</v>
      </c>
      <c r="G47" s="579">
        <f t="shared" si="534"/>
        <v>0.99215839268367545</v>
      </c>
      <c r="H47" s="580">
        <f t="shared" si="534"/>
        <v>0.255</v>
      </c>
      <c r="I47" s="572">
        <f t="shared" si="534"/>
        <v>0.41499999999999992</v>
      </c>
      <c r="J47" s="483">
        <f t="shared" si="94"/>
        <v>2.2200000000000002</v>
      </c>
      <c r="K47" s="806" t="str">
        <f t="shared" si="534"/>
        <v>CPS-32193r1</v>
      </c>
      <c r="L47" s="309"/>
      <c r="M47" s="164">
        <f t="shared" si="325"/>
        <v>2.2200000000000002</v>
      </c>
      <c r="N47" s="575">
        <f t="shared" si="326"/>
        <v>4.8848102331033116</v>
      </c>
      <c r="O47" s="572">
        <f t="shared" si="327"/>
        <v>1.4363502609056973</v>
      </c>
      <c r="P47" s="576">
        <f t="shared" si="328"/>
        <v>-0.18204030738773283</v>
      </c>
      <c r="Q47" s="528">
        <f t="shared" si="144"/>
        <v>16.385668650866531</v>
      </c>
      <c r="R47" s="572">
        <f t="shared" si="500"/>
        <v>5.0916081040703336</v>
      </c>
      <c r="S47" s="577">
        <f t="shared" si="501"/>
        <v>-0.18204030738773283</v>
      </c>
      <c r="T47" s="578">
        <f t="shared" si="502"/>
        <v>1.4363502609056973</v>
      </c>
      <c r="U47" s="572">
        <f t="shared" si="503"/>
        <v>-4.8848102331033116</v>
      </c>
      <c r="V47" s="579">
        <f t="shared" si="504"/>
        <v>-0.18204030738773283</v>
      </c>
      <c r="W47" s="528">
        <f t="shared" si="268"/>
        <v>286.38566865086653</v>
      </c>
      <c r="X47" s="572">
        <f t="shared" si="505"/>
        <v>5.0916081040703336</v>
      </c>
      <c r="Y47" s="573">
        <f t="shared" si="271"/>
        <v>-0.18204030738773283</v>
      </c>
      <c r="Z47" s="575">
        <f t="shared" si="329"/>
        <v>-0.11991049770054532</v>
      </c>
      <c r="AA47" s="572">
        <f t="shared" si="330"/>
        <v>-3.5258989896950609E-2</v>
      </c>
      <c r="AB47" s="572">
        <f t="shared" si="331"/>
        <v>-0.99215839268367545</v>
      </c>
      <c r="AC47" s="579">
        <f t="shared" si="506"/>
        <v>1</v>
      </c>
      <c r="AD47" s="580">
        <f t="shared" si="507"/>
        <v>-0.11991049770054532</v>
      </c>
      <c r="AE47" s="572">
        <f t="shared" si="508"/>
        <v>-3.5258989896950609E-2</v>
      </c>
      <c r="AF47" s="576">
        <f t="shared" si="509"/>
        <v>-0.99215839268367545</v>
      </c>
      <c r="AG47" s="545">
        <f t="shared" si="510"/>
        <v>-2.035301539954649</v>
      </c>
      <c r="AH47" s="546">
        <f t="shared" si="511"/>
        <v>96.886937177511456</v>
      </c>
      <c r="AI47" s="528">
        <f t="shared" si="512"/>
        <v>-7.1799989633363923</v>
      </c>
      <c r="AJ47" s="529">
        <f t="shared" si="513"/>
        <v>-73.614331349133451</v>
      </c>
      <c r="AK47" s="578">
        <f t="shared" si="514"/>
        <v>6.9388939039072284E-17</v>
      </c>
      <c r="AL47" s="572">
        <f t="shared" si="515"/>
        <v>-0.12498689462237932</v>
      </c>
      <c r="AM47" s="577">
        <f t="shared" si="516"/>
        <v>-0.99215839268367545</v>
      </c>
      <c r="AN47" s="524">
        <f t="shared" si="517"/>
        <v>-7.1799989633364127</v>
      </c>
      <c r="AO47" s="525">
        <f t="shared" si="110"/>
        <v>0</v>
      </c>
      <c r="AP47" s="528">
        <f t="shared" si="518"/>
        <v>-89.999999999999972</v>
      </c>
      <c r="AQ47" s="529">
        <f t="shared" si="332"/>
        <v>0.44773285400216606</v>
      </c>
      <c r="AR47" s="979"/>
      <c r="AS47" s="954">
        <f t="shared" si="524"/>
        <v>-73.614331349133465</v>
      </c>
      <c r="AT47" s="950">
        <f t="shared" si="333"/>
        <v>-0.1309192439508346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>Nose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2.2200000000000002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2.12</v>
      </c>
      <c r="IK47" s="677" cm="1">
        <f t="array" ref="IK47">IFERROR(ROUND(VALUE(IF($IJ47&lt;1,$IJ47+LARGE((IF($M$9:$M$150="",0,$M$9:$M$150)-MOD(IF($M$9:$M$150="",0,$M$9:$M$150),1)),1),$IJ47)),4),"")</f>
        <v>2.12</v>
      </c>
      <c r="IL47" s="482">
        <f t="shared" si="485"/>
        <v>1613</v>
      </c>
      <c r="IM47" s="482" t="str">
        <f t="shared" si="242"/>
        <v>CPS-32193r1</v>
      </c>
      <c r="IN47" s="670">
        <f t="shared" si="486"/>
        <v>13.064288113908958</v>
      </c>
      <c r="IO47" s="702">
        <v>3.63689593115007E-2</v>
      </c>
      <c r="IP47" s="5">
        <f t="shared" si="487"/>
        <v>1.02</v>
      </c>
      <c r="IQ47" s="714">
        <v>510</v>
      </c>
      <c r="IR47" s="9">
        <f t="shared" si="488"/>
        <v>-5.0875153439462792</v>
      </c>
      <c r="IS47" s="5">
        <f t="shared" si="489"/>
        <v>-0.18530055886648539</v>
      </c>
      <c r="IT47" s="5">
        <f t="shared" si="490"/>
        <v>0.3125</v>
      </c>
      <c r="IU47" s="5">
        <f t="shared" si="491"/>
        <v>0.30098830542787364</v>
      </c>
      <c r="IV47" s="670">
        <f t="shared" si="492"/>
        <v>15.19999780539173</v>
      </c>
      <c r="IW47" s="9">
        <f t="shared" si="493"/>
        <v>-5.0916081040703336</v>
      </c>
      <c r="IX47" s="5">
        <f t="shared" si="494"/>
        <v>-0.18204030738773283</v>
      </c>
      <c r="IY47" s="5">
        <f t="shared" si="495"/>
        <v>0.255</v>
      </c>
      <c r="IZ47" s="5">
        <f t="shared" si="496"/>
        <v>0.255</v>
      </c>
      <c r="JA47" s="705">
        <f t="shared" si="497"/>
        <v>7.1799989633364127</v>
      </c>
      <c r="JM47" s="489">
        <f t="shared" si="133"/>
        <v>20</v>
      </c>
      <c r="JN47" s="960">
        <f>($JO47-SMALL($JO$9:$JO$88,1))/((Settings!$C$19/2)-((Settings!$C$19/2)-LARGE($JO$9:$JO$88,1))-SMALL($JO$9:$JO$88,1))</f>
        <v>0.58143347346912366</v>
      </c>
      <c r="JO47" s="162">
        <f t="shared" si="134"/>
        <v>5.0916081040703336</v>
      </c>
      <c r="JP47" s="961">
        <f t="shared" si="135"/>
        <v>-7.1799989633364127</v>
      </c>
      <c r="JQ47" s="961">
        <f t="shared" si="136"/>
        <v>0</v>
      </c>
      <c r="JS47" s="82">
        <v>43</v>
      </c>
      <c r="JT47" s="322">
        <f t="shared" si="137"/>
        <v>8.4712255492162551</v>
      </c>
      <c r="JU47" s="963">
        <f t="shared" si="138"/>
        <v>0.99526124383165759</v>
      </c>
      <c r="JV47" s="961">
        <f t="shared" si="287"/>
        <v>-84.966654398999552</v>
      </c>
      <c r="JW47" s="961">
        <f t="shared" si="92"/>
        <v>31.399995466401588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</v>
      </c>
      <c r="B48" s="578">
        <f t="shared" ref="B48:D48" si="535">IFERROR(O203+($A48*-E48),"")</f>
        <v>5.5702546265052382</v>
      </c>
      <c r="C48" s="572">
        <f t="shared" si="535"/>
        <v>1.7566492712022814</v>
      </c>
      <c r="D48" s="576">
        <f t="shared" si="535"/>
        <v>-0.35841384793183723</v>
      </c>
      <c r="E48" s="580">
        <f t="shared" ref="E48:K48" si="536">R203</f>
        <v>0.31238207159296405</v>
      </c>
      <c r="F48" s="572">
        <f t="shared" si="536"/>
        <v>9.8513582447257053E-2</v>
      </c>
      <c r="G48" s="579">
        <f t="shared" si="536"/>
        <v>0.94483464977777776</v>
      </c>
      <c r="H48" s="580">
        <f t="shared" si="536"/>
        <v>0.255</v>
      </c>
      <c r="I48" s="572">
        <f t="shared" si="536"/>
        <v>0.41499999999999992</v>
      </c>
      <c r="J48" s="483">
        <f t="shared" si="94"/>
        <v>2.2229999999999999</v>
      </c>
      <c r="K48" s="806" t="str">
        <f t="shared" si="536"/>
        <v>CPS-32193r1</v>
      </c>
      <c r="L48" s="309"/>
      <c r="M48" s="164">
        <f t="shared" si="325"/>
        <v>2.2229999999999999</v>
      </c>
      <c r="N48" s="575">
        <f t="shared" si="326"/>
        <v>5.5702546265052382</v>
      </c>
      <c r="O48" s="572">
        <f t="shared" si="327"/>
        <v>1.7566492712022814</v>
      </c>
      <c r="P48" s="576">
        <f t="shared" si="328"/>
        <v>-0.35841384793183723</v>
      </c>
      <c r="Q48" s="528">
        <f t="shared" si="144"/>
        <v>17.503318800337983</v>
      </c>
      <c r="R48" s="572">
        <f t="shared" si="95"/>
        <v>5.8406808906255536</v>
      </c>
      <c r="S48" s="577">
        <f t="shared" si="96"/>
        <v>-0.35841384793183723</v>
      </c>
      <c r="T48" s="578">
        <f t="shared" si="97"/>
        <v>1.7566492712022825</v>
      </c>
      <c r="U48" s="572">
        <f t="shared" si="98"/>
        <v>-5.5702546265052373</v>
      </c>
      <c r="V48" s="579">
        <f t="shared" si="145"/>
        <v>-0.35841384793183723</v>
      </c>
      <c r="W48" s="528">
        <f t="shared" si="268"/>
        <v>287.50331880033798</v>
      </c>
      <c r="X48" s="572">
        <f t="shared" si="99"/>
        <v>5.8406808906255536</v>
      </c>
      <c r="Y48" s="573">
        <f t="shared" si="271"/>
        <v>-0.35841384793183723</v>
      </c>
      <c r="Z48" s="575">
        <f t="shared" si="329"/>
        <v>-0.31238207159296405</v>
      </c>
      <c r="AA48" s="572">
        <f t="shared" si="330"/>
        <v>-9.8513582447257053E-2</v>
      </c>
      <c r="AB48" s="572">
        <f t="shared" si="331"/>
        <v>-0.94483464977777776</v>
      </c>
      <c r="AC48" s="579">
        <f t="shared" si="100"/>
        <v>1</v>
      </c>
      <c r="AD48" s="580">
        <f t="shared" si="146"/>
        <v>-0.31238207159296405</v>
      </c>
      <c r="AE48" s="572">
        <f t="shared" si="101"/>
        <v>-9.8513582447257053E-2</v>
      </c>
      <c r="AF48" s="576">
        <f t="shared" si="102"/>
        <v>-0.94483464977777776</v>
      </c>
      <c r="AG48" s="545">
        <f t="shared" si="103"/>
        <v>-5.9524604618332475</v>
      </c>
      <c r="AH48" s="546">
        <f t="shared" si="104"/>
        <v>108.20284397268232</v>
      </c>
      <c r="AI48" s="528">
        <f t="shared" si="105"/>
        <v>-19.119997239413934</v>
      </c>
      <c r="AJ48" s="529">
        <f t="shared" si="106"/>
        <v>-72.496681199662035</v>
      </c>
      <c r="AK48" s="578">
        <f t="shared" si="247"/>
        <v>-1.5265566588595902E-16</v>
      </c>
      <c r="AL48" s="572">
        <f t="shared" si="107"/>
        <v>-0.32754768290938074</v>
      </c>
      <c r="AM48" s="577">
        <f t="shared" si="108"/>
        <v>-0.94483464977777776</v>
      </c>
      <c r="AN48" s="524">
        <f t="shared" si="109"/>
        <v>-19.119997239413959</v>
      </c>
      <c r="AO48" s="525">
        <f t="shared" si="110"/>
        <v>0</v>
      </c>
      <c r="AP48" s="528">
        <f t="shared" si="111"/>
        <v>-90.000000000000028</v>
      </c>
      <c r="AQ48" s="529">
        <f t="shared" si="332"/>
        <v>0.39031260391303613</v>
      </c>
      <c r="AR48" s="979"/>
      <c r="AS48" s="954">
        <f t="shared" si="524"/>
        <v>-72.496681199662021</v>
      </c>
      <c r="AT48" s="950">
        <f t="shared" si="333"/>
        <v>-0.30806893043207195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>Nose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2.2229999999999999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2.1230000000000002</v>
      </c>
      <c r="IK48" s="677" cm="1">
        <f t="array" ref="IK48">IFERROR(ROUND(VALUE(IF($IJ48&lt;1,$IJ48+LARGE((IF($M$9:$M$150="",0,$M$9:$M$150)-MOD(IF($M$9:$M$150="",0,$M$9:$M$150),1)),1),$IJ48)),4),"")</f>
        <v>2.1230000000000002</v>
      </c>
      <c r="IL48" s="482">
        <f t="shared" si="485"/>
        <v>1613</v>
      </c>
      <c r="IM48" s="482" t="str">
        <f t="shared" si="242"/>
        <v>CPS-32193r1</v>
      </c>
      <c r="IN48" s="670">
        <f t="shared" si="486"/>
        <v>11.366638048179141</v>
      </c>
      <c r="IO48" s="702">
        <v>3.5225110935899397E-2</v>
      </c>
      <c r="IP48" s="5">
        <f t="shared" si="487"/>
        <v>1.18</v>
      </c>
      <c r="IQ48" s="714">
        <v>590</v>
      </c>
      <c r="IR48" s="9">
        <f t="shared" si="488"/>
        <v>-5.8350175984130779</v>
      </c>
      <c r="IS48" s="5">
        <f t="shared" si="489"/>
        <v>-0.35960108455687106</v>
      </c>
      <c r="IT48" s="5">
        <f t="shared" si="490"/>
        <v>0.3125</v>
      </c>
      <c r="IU48" s="5">
        <f t="shared" si="491"/>
        <v>0.29947580825493103</v>
      </c>
      <c r="IV48" s="670">
        <f t="shared" si="492"/>
        <v>24.299996491514584</v>
      </c>
      <c r="IW48" s="9">
        <f t="shared" si="493"/>
        <v>-5.8406808906255536</v>
      </c>
      <c r="IX48" s="5">
        <f t="shared" si="494"/>
        <v>-0.35841384793183723</v>
      </c>
      <c r="IY48" s="5">
        <f t="shared" si="495"/>
        <v>0.255</v>
      </c>
      <c r="IZ48" s="5">
        <f t="shared" si="496"/>
        <v>0.255</v>
      </c>
      <c r="JA48" s="705">
        <f t="shared" si="497"/>
        <v>19.119997239413959</v>
      </c>
      <c r="JM48" s="489">
        <f t="shared" si="133"/>
        <v>23</v>
      </c>
      <c r="JN48" s="960">
        <f>($JO48-SMALL($JO$9:$JO$88,1))/((Settings!$C$19/2)-((Settings!$C$19/2)-LARGE($JO$9:$JO$88,1))-SMALL($JO$9:$JO$88,1))</f>
        <v>0.67315602080791359</v>
      </c>
      <c r="JO48" s="162">
        <f t="shared" si="134"/>
        <v>5.8406808906255536</v>
      </c>
      <c r="JP48" s="961">
        <f t="shared" si="135"/>
        <v>-19.119997239413959</v>
      </c>
      <c r="JQ48" s="961">
        <f t="shared" si="136"/>
        <v>0</v>
      </c>
      <c r="JS48" s="82">
        <v>44</v>
      </c>
      <c r="JT48" s="322">
        <f t="shared" si="137"/>
        <v>8.5099256659358087</v>
      </c>
      <c r="JU48" s="963">
        <f t="shared" si="138"/>
        <v>1</v>
      </c>
      <c r="JV48" s="961">
        <f t="shared" si="287"/>
        <v>-87.999987294373824</v>
      </c>
      <c r="JW48" s="961">
        <f t="shared" si="92"/>
        <v>32.399995322019457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</v>
      </c>
      <c r="B49" s="578">
        <f t="shared" ref="B49:D49" si="537">IFERROR(O204+($A49*-E49),"")</f>
        <v>6.2140179855476472</v>
      </c>
      <c r="C49" s="572">
        <f t="shared" si="537"/>
        <v>2.028368602661208</v>
      </c>
      <c r="D49" s="576">
        <f t="shared" si="537"/>
        <v>-0.6863166316974223</v>
      </c>
      <c r="E49" s="580">
        <f t="shared" ref="E49:K49" si="538">R204</f>
        <v>0.48833360297160955</v>
      </c>
      <c r="F49" s="572">
        <f t="shared" si="538"/>
        <v>0.15940097859319968</v>
      </c>
      <c r="G49" s="579">
        <f t="shared" si="538"/>
        <v>0.85797530281022472</v>
      </c>
      <c r="H49" s="580">
        <f t="shared" si="538"/>
        <v>0.255</v>
      </c>
      <c r="I49" s="572">
        <f t="shared" si="538"/>
        <v>0.41499999999999992</v>
      </c>
      <c r="J49" s="483">
        <f t="shared" si="94"/>
        <v>2.226</v>
      </c>
      <c r="K49" s="806" t="str">
        <f t="shared" si="538"/>
        <v>CPS-32193r1</v>
      </c>
      <c r="L49" s="309"/>
      <c r="M49" s="164">
        <f t="shared" si="325"/>
        <v>2.226</v>
      </c>
      <c r="N49" s="575">
        <f t="shared" si="326"/>
        <v>6.2140179855476472</v>
      </c>
      <c r="O49" s="572">
        <f t="shared" si="327"/>
        <v>2.028368602661208</v>
      </c>
      <c r="P49" s="576">
        <f t="shared" si="328"/>
        <v>-0.6863166316974223</v>
      </c>
      <c r="Q49" s="528">
        <f t="shared" si="144"/>
        <v>18.077625312808795</v>
      </c>
      <c r="R49" s="572">
        <f t="shared" si="95"/>
        <v>6.5366886657520586</v>
      </c>
      <c r="S49" s="577">
        <f t="shared" si="96"/>
        <v>-0.6863166316974223</v>
      </c>
      <c r="T49" s="578">
        <f t="shared" si="97"/>
        <v>2.0283686026612044</v>
      </c>
      <c r="U49" s="572">
        <f t="shared" si="98"/>
        <v>-6.2140179855476489</v>
      </c>
      <c r="V49" s="579">
        <f t="shared" si="145"/>
        <v>-0.6863166316974223</v>
      </c>
      <c r="W49" s="528">
        <f t="shared" si="268"/>
        <v>288.07762531280878</v>
      </c>
      <c r="X49" s="572">
        <f t="shared" si="99"/>
        <v>6.5366886657520586</v>
      </c>
      <c r="Y49" s="573">
        <f t="shared" si="271"/>
        <v>-0.6863166316974223</v>
      </c>
      <c r="Z49" s="575">
        <f t="shared" si="329"/>
        <v>-0.48833360297160955</v>
      </c>
      <c r="AA49" s="572">
        <f t="shared" si="330"/>
        <v>-0.15940097859319968</v>
      </c>
      <c r="AB49" s="572">
        <f t="shared" si="331"/>
        <v>-0.85797530281022472</v>
      </c>
      <c r="AC49" s="579">
        <f t="shared" si="100"/>
        <v>1</v>
      </c>
      <c r="AD49" s="580">
        <f t="shared" si="146"/>
        <v>-0.48833360297160955</v>
      </c>
      <c r="AE49" s="572">
        <f t="shared" si="101"/>
        <v>-0.15940097859319968</v>
      </c>
      <c r="AF49" s="576">
        <f t="shared" si="102"/>
        <v>-0.85797530281022472</v>
      </c>
      <c r="AG49" s="545">
        <f t="shared" si="103"/>
        <v>-10.52483230338942</v>
      </c>
      <c r="AH49" s="546">
        <f t="shared" si="104"/>
        <v>119.23111286170642</v>
      </c>
      <c r="AI49" s="528">
        <f t="shared" si="105"/>
        <v>-30.909995537148809</v>
      </c>
      <c r="AJ49" s="529">
        <f t="shared" si="106"/>
        <v>-71.92237468719118</v>
      </c>
      <c r="AK49" s="578">
        <f t="shared" si="247"/>
        <v>5.8286708792820718E-16</v>
      </c>
      <c r="AL49" s="572">
        <f t="shared" si="107"/>
        <v>-0.5136909379847997</v>
      </c>
      <c r="AM49" s="577">
        <f t="shared" si="108"/>
        <v>-0.85797530281022472</v>
      </c>
      <c r="AN49" s="524">
        <f t="shared" si="109"/>
        <v>-30.909995537148816</v>
      </c>
      <c r="AO49" s="525">
        <f t="shared" si="110"/>
        <v>0</v>
      </c>
      <c r="AP49" s="528">
        <f t="shared" si="111"/>
        <v>-89.999999999999929</v>
      </c>
      <c r="AQ49" s="529">
        <f t="shared" si="332"/>
        <v>0.34875433012913087</v>
      </c>
      <c r="AR49" s="979"/>
      <c r="AS49" s="954">
        <f t="shared" si="524"/>
        <v>-71.922374687191223</v>
      </c>
      <c r="AT49" s="950">
        <f t="shared" si="333"/>
        <v>-0.63637053816465061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>Nose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2.226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2.1259999999999999</v>
      </c>
      <c r="IK49" s="677" cm="1">
        <f t="array" ref="IK49">IFERROR(ROUND(VALUE(IF($IJ49&lt;1,$IJ49+LARGE((IF($M$9:$M$150="",0,$M$9:$M$150)-MOD(IF($M$9:$M$150="",0,$M$9:$M$150),1)),1),$IJ49)),4),"")</f>
        <v>2.1259999999999999</v>
      </c>
      <c r="IL49" s="482">
        <f t="shared" si="485"/>
        <v>1613</v>
      </c>
      <c r="IM49" s="482" t="str">
        <f t="shared" si="242"/>
        <v>CPS-32193r1</v>
      </c>
      <c r="IN49" s="670">
        <f t="shared" si="486"/>
        <v>10.142331629556736</v>
      </c>
      <c r="IO49" s="702">
        <v>3.4234906189846398E-2</v>
      </c>
      <c r="IP49" s="5">
        <f t="shared" si="487"/>
        <v>1.38</v>
      </c>
      <c r="IQ49" s="714">
        <v>690</v>
      </c>
      <c r="IR49" s="9">
        <f t="shared" si="488"/>
        <v>-6.530619696349004</v>
      </c>
      <c r="IS49" s="5">
        <f t="shared" si="489"/>
        <v>-0.68410206325182332</v>
      </c>
      <c r="IT49" s="5">
        <f t="shared" si="490"/>
        <v>0.3125</v>
      </c>
      <c r="IU49" s="5">
        <f t="shared" si="491"/>
        <v>0.29720516572245254</v>
      </c>
      <c r="IV49" s="670">
        <f t="shared" si="492"/>
        <v>33.399995177637415</v>
      </c>
      <c r="IW49" s="9">
        <f t="shared" si="493"/>
        <v>-6.5366886657520586</v>
      </c>
      <c r="IX49" s="5">
        <f t="shared" si="494"/>
        <v>-0.6863166316974223</v>
      </c>
      <c r="IY49" s="5">
        <f t="shared" si="495"/>
        <v>0.255</v>
      </c>
      <c r="IZ49" s="5">
        <f t="shared" si="496"/>
        <v>0.255</v>
      </c>
      <c r="JA49" s="705">
        <f t="shared" si="497"/>
        <v>30.909995537148816</v>
      </c>
      <c r="JM49" s="489">
        <f t="shared" si="133"/>
        <v>26</v>
      </c>
      <c r="JN49" s="960">
        <f>($JO49-SMALL($JO$9:$JO$88,1))/((Settings!$C$19/2)-((Settings!$C$19/2)-LARGE($JO$9:$JO$88,1))-SMALL($JO$9:$JO$88,1))</f>
        <v>0.75838085776372877</v>
      </c>
      <c r="JO49" s="162">
        <f t="shared" si="134"/>
        <v>6.5366886657520586</v>
      </c>
      <c r="JP49" s="961">
        <f t="shared" si="135"/>
        <v>-30.909995537148816</v>
      </c>
      <c r="JQ49" s="961">
        <f t="shared" si="136"/>
        <v>0</v>
      </c>
      <c r="JS49" s="82">
        <v>45</v>
      </c>
      <c r="JT49" s="322">
        <f t="shared" si="137"/>
        <v>8.5099256659358087</v>
      </c>
      <c r="JU49" s="963">
        <f t="shared" si="138"/>
        <v>1</v>
      </c>
      <c r="JV49" s="961">
        <f t="shared" si="287"/>
        <v>-87.99998729437381</v>
      </c>
      <c r="JW49" s="961">
        <f t="shared" si="92"/>
        <v>32.399995322019421</v>
      </c>
      <c r="JX49" s="1"/>
    </row>
    <row r="50" spans="1:284" ht="15" customHeight="1" x14ac:dyDescent="0.25">
      <c r="A50" s="75">
        <f t="shared" si="322"/>
        <v>0</v>
      </c>
      <c r="B50" s="578">
        <f t="shared" ref="B50:D50" si="539">IFERROR(O205+($A50*-E50),"")</f>
        <v>6.7869059606988866</v>
      </c>
      <c r="C50" s="572">
        <f t="shared" si="539"/>
        <v>2.2481761657905008</v>
      </c>
      <c r="D50" s="576">
        <f t="shared" si="539"/>
        <v>-1.1509539415542052</v>
      </c>
      <c r="E50" s="580">
        <f t="shared" ref="E50:K50" si="540">R205</f>
        <v>0.6448545594066506</v>
      </c>
      <c r="F50" s="572">
        <f t="shared" si="540"/>
        <v>0.21360936179968479</v>
      </c>
      <c r="G50" s="579">
        <f t="shared" si="540"/>
        <v>0.73384851145450036</v>
      </c>
      <c r="H50" s="580">
        <f t="shared" si="540"/>
        <v>0.255</v>
      </c>
      <c r="I50" s="572">
        <f t="shared" si="540"/>
        <v>0.41499999999999992</v>
      </c>
      <c r="J50" s="483">
        <f t="shared" si="94"/>
        <v>2.2290000000000001</v>
      </c>
      <c r="K50" s="806" t="str">
        <f t="shared" si="540"/>
        <v>CPS-32193r1</v>
      </c>
      <c r="L50" s="309"/>
      <c r="M50" s="164">
        <f t="shared" si="325"/>
        <v>2.2290000000000001</v>
      </c>
      <c r="N50" s="575">
        <f t="shared" si="326"/>
        <v>6.7869059606988866</v>
      </c>
      <c r="O50" s="572">
        <f t="shared" si="327"/>
        <v>2.2481761657905008</v>
      </c>
      <c r="P50" s="576">
        <f t="shared" si="328"/>
        <v>-1.1509539415542052</v>
      </c>
      <c r="Q50" s="528">
        <f t="shared" si="144"/>
        <v>18.327555380919517</v>
      </c>
      <c r="R50" s="572">
        <f t="shared" si="95"/>
        <v>7.1495726160238808</v>
      </c>
      <c r="S50" s="577">
        <f t="shared" si="96"/>
        <v>-1.1509539415542052</v>
      </c>
      <c r="T50" s="578">
        <f t="shared" si="97"/>
        <v>2.2481761657904999</v>
      </c>
      <c r="U50" s="572">
        <f t="shared" si="98"/>
        <v>-6.7869059606988866</v>
      </c>
      <c r="V50" s="579">
        <f t="shared" si="145"/>
        <v>-1.1509539415542052</v>
      </c>
      <c r="W50" s="528">
        <f t="shared" si="268"/>
        <v>288.32755538091953</v>
      </c>
      <c r="X50" s="572">
        <f t="shared" si="99"/>
        <v>7.1495726160238808</v>
      </c>
      <c r="Y50" s="573">
        <f t="shared" si="271"/>
        <v>-1.1509539415542052</v>
      </c>
      <c r="Z50" s="575">
        <f t="shared" si="329"/>
        <v>-0.6448545594066506</v>
      </c>
      <c r="AA50" s="572">
        <f t="shared" si="330"/>
        <v>-0.21360936179968479</v>
      </c>
      <c r="AB50" s="572">
        <f t="shared" si="331"/>
        <v>-0.73384851145450036</v>
      </c>
      <c r="AC50" s="579">
        <f t="shared" si="100"/>
        <v>1</v>
      </c>
      <c r="AD50" s="580">
        <f t="shared" si="146"/>
        <v>-0.6448545594066506</v>
      </c>
      <c r="AE50" s="572">
        <f t="shared" si="101"/>
        <v>-0.21360936179968479</v>
      </c>
      <c r="AF50" s="576">
        <f t="shared" si="102"/>
        <v>-0.73384851145450036</v>
      </c>
      <c r="AG50" s="545">
        <f t="shared" si="103"/>
        <v>-16.22927465512743</v>
      </c>
      <c r="AH50" s="546">
        <f t="shared" si="104"/>
        <v>130.1547717097535</v>
      </c>
      <c r="AI50" s="528">
        <f t="shared" si="105"/>
        <v>-42.789993821889283</v>
      </c>
      <c r="AJ50" s="529">
        <f t="shared" si="106"/>
        <v>-71.672444619080494</v>
      </c>
      <c r="AK50" s="578">
        <f t="shared" si="247"/>
        <v>-2.7755575615628914E-17</v>
      </c>
      <c r="AL50" s="572">
        <f t="shared" si="107"/>
        <v>-0.67931315476443854</v>
      </c>
      <c r="AM50" s="577">
        <f t="shared" si="108"/>
        <v>-0.73384851145450036</v>
      </c>
      <c r="AN50" s="524">
        <f t="shared" si="109"/>
        <v>-42.78999382188929</v>
      </c>
      <c r="AO50" s="525">
        <f t="shared" si="110"/>
        <v>0</v>
      </c>
      <c r="AP50" s="528">
        <f t="shared" si="111"/>
        <v>-90</v>
      </c>
      <c r="AQ50" s="529">
        <f t="shared" si="332"/>
        <v>0.31885865343584113</v>
      </c>
      <c r="AR50" s="979"/>
      <c r="AS50" s="954">
        <f t="shared" si="524"/>
        <v>-71.672444619080466</v>
      </c>
      <c r="AT50" s="950">
        <f t="shared" si="333"/>
        <v>-1.1011814105687325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2.2290000000000001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2.129</v>
      </c>
      <c r="IK50" s="677" cm="1">
        <f t="array" ref="IK50">IFERROR(ROUND(VALUE(IF($IJ50&lt;1,$IJ50+LARGE((IF($M$9:$M$150="",0,$M$9:$M$150)-MOD(IF($M$9:$M$150="",0,$M$9:$M$150),1)),1),$IJ50)),4),"")</f>
        <v>2.129</v>
      </c>
      <c r="IL50" s="482">
        <f t="shared" si="485"/>
        <v>1613</v>
      </c>
      <c r="IM50" s="482" t="str">
        <f t="shared" si="242"/>
        <v>CPS-32193r1</v>
      </c>
      <c r="IN50" s="670">
        <f t="shared" si="486"/>
        <v>9.2624016524067088</v>
      </c>
      <c r="IO50" s="702">
        <v>3.31865126530193E-2</v>
      </c>
      <c r="IP50" s="5">
        <f t="shared" si="487"/>
        <v>1.6</v>
      </c>
      <c r="IQ50" s="714">
        <v>800</v>
      </c>
      <c r="IR50" s="9">
        <f t="shared" si="488"/>
        <v>-7.144821548781791</v>
      </c>
      <c r="IS50" s="5">
        <f t="shared" si="489"/>
        <v>-1.1444034515208086</v>
      </c>
      <c r="IT50" s="5">
        <f t="shared" si="490"/>
        <v>0.3125</v>
      </c>
      <c r="IU50" s="5">
        <f t="shared" si="491"/>
        <v>0.29384004502480859</v>
      </c>
      <c r="IV50" s="670">
        <f t="shared" si="492"/>
        <v>42.499993863760025</v>
      </c>
      <c r="IW50" s="9">
        <f t="shared" si="493"/>
        <v>-7.1495726160238808</v>
      </c>
      <c r="IX50" s="5">
        <f t="shared" si="494"/>
        <v>-1.1509539415542052</v>
      </c>
      <c r="IY50" s="5">
        <f t="shared" si="495"/>
        <v>0.255</v>
      </c>
      <c r="IZ50" s="5">
        <f t="shared" si="496"/>
        <v>0.255</v>
      </c>
      <c r="JA50" s="705">
        <f t="shared" si="497"/>
        <v>42.78999382188929</v>
      </c>
      <c r="JM50" s="489">
        <f t="shared" si="133"/>
        <v>29</v>
      </c>
      <c r="JN50" s="960">
        <f>($JO50-SMALL($JO$9:$JO$88,1))/((Settings!$C$19/2)-((Settings!$C$19/2)-LARGE($JO$9:$JO$88,1))-SMALL($JO$9:$JO$88,1))</f>
        <v>0.83342733942876213</v>
      </c>
      <c r="JO50" s="162">
        <f t="shared" si="134"/>
        <v>7.1495726160238808</v>
      </c>
      <c r="JP50" s="961">
        <f t="shared" si="135"/>
        <v>-42.78999382188929</v>
      </c>
      <c r="JQ50" s="961">
        <f t="shared" si="136"/>
        <v>0</v>
      </c>
      <c r="JS50" s="82">
        <v>46</v>
      </c>
      <c r="JT50" s="322">
        <f t="shared" si="137"/>
        <v>8.5099256659358087</v>
      </c>
      <c r="JU50" s="963">
        <f t="shared" si="138"/>
        <v>1</v>
      </c>
      <c r="JV50" s="961">
        <f t="shared" si="287"/>
        <v>-87.999987294373838</v>
      </c>
      <c r="JW50" s="961">
        <f t="shared" si="92"/>
        <v>32.399995322019507</v>
      </c>
      <c r="JX50" s="1"/>
    </row>
    <row r="51" spans="1:284" ht="15" customHeight="1" x14ac:dyDescent="0.25">
      <c r="A51" s="75">
        <f t="shared" si="322"/>
        <v>0</v>
      </c>
      <c r="B51" s="578">
        <f t="shared" ref="B51:D51" si="541">IFERROR(O206+($A51*-E51),"")</f>
        <v>7.2625593609728609</v>
      </c>
      <c r="C51" s="572">
        <f t="shared" si="541"/>
        <v>2.4154048940064601</v>
      </c>
      <c r="D51" s="576">
        <f t="shared" si="541"/>
        <v>-1.7313423041641289</v>
      </c>
      <c r="E51" s="580">
        <f t="shared" ref="E51:K51" si="542">R206</f>
        <v>0.772703697620722</v>
      </c>
      <c r="F51" s="572">
        <f t="shared" si="542"/>
        <v>0.25698823239634966</v>
      </c>
      <c r="G51" s="579">
        <f t="shared" si="542"/>
        <v>0.58041885228950263</v>
      </c>
      <c r="H51" s="580">
        <f t="shared" si="542"/>
        <v>0.255</v>
      </c>
      <c r="I51" s="572">
        <f t="shared" si="542"/>
        <v>0.41499999999999992</v>
      </c>
      <c r="J51" s="483">
        <f t="shared" si="94"/>
        <v>2.2320000000000002</v>
      </c>
      <c r="K51" s="806" t="str">
        <f t="shared" si="542"/>
        <v>CPS-32193r1</v>
      </c>
      <c r="L51" s="309"/>
      <c r="M51" s="164">
        <f t="shared" si="325"/>
        <v>2.2320000000000002</v>
      </c>
      <c r="N51" s="575">
        <f t="shared" si="326"/>
        <v>7.2625593609728609</v>
      </c>
      <c r="O51" s="572">
        <f t="shared" si="327"/>
        <v>2.4154048940064601</v>
      </c>
      <c r="P51" s="576">
        <f t="shared" si="328"/>
        <v>-1.7313423041641289</v>
      </c>
      <c r="Q51" s="528">
        <f t="shared" si="144"/>
        <v>18.396256191075761</v>
      </c>
      <c r="R51" s="572">
        <f t="shared" si="95"/>
        <v>7.6536886057406912</v>
      </c>
      <c r="S51" s="577">
        <f t="shared" si="96"/>
        <v>-1.7313423041641289</v>
      </c>
      <c r="T51" s="578">
        <f t="shared" si="97"/>
        <v>2.415404894006457</v>
      </c>
      <c r="U51" s="572">
        <f t="shared" si="98"/>
        <v>-7.2625593609728618</v>
      </c>
      <c r="V51" s="579">
        <f t="shared" si="145"/>
        <v>-1.7313423041641289</v>
      </c>
      <c r="W51" s="528">
        <f t="shared" si="268"/>
        <v>288.39625619107574</v>
      </c>
      <c r="X51" s="572">
        <f t="shared" si="99"/>
        <v>7.6536886057406912</v>
      </c>
      <c r="Y51" s="573">
        <f t="shared" si="271"/>
        <v>-1.7313423041641289</v>
      </c>
      <c r="Z51" s="575">
        <f t="shared" si="329"/>
        <v>-0.772703697620722</v>
      </c>
      <c r="AA51" s="572">
        <f t="shared" si="330"/>
        <v>-0.25698823239634966</v>
      </c>
      <c r="AB51" s="572">
        <f t="shared" si="331"/>
        <v>-0.58041885228950263</v>
      </c>
      <c r="AC51" s="579">
        <f t="shared" si="100"/>
        <v>1</v>
      </c>
      <c r="AD51" s="580">
        <f t="shared" si="146"/>
        <v>-0.772703697620722</v>
      </c>
      <c r="AE51" s="572">
        <f t="shared" si="101"/>
        <v>-0.25698823239634966</v>
      </c>
      <c r="AF51" s="576">
        <f t="shared" si="102"/>
        <v>-0.58041885228950263</v>
      </c>
      <c r="AG51" s="545">
        <f t="shared" si="103"/>
        <v>-23.882010018967215</v>
      </c>
      <c r="AH51" s="546">
        <f t="shared" si="104"/>
        <v>140.5973032451347</v>
      </c>
      <c r="AI51" s="528">
        <f t="shared" si="105"/>
        <v>-54.519992128287058</v>
      </c>
      <c r="AJ51" s="529">
        <f t="shared" si="106"/>
        <v>-71.60374380892425</v>
      </c>
      <c r="AK51" s="578">
        <f t="shared" si="247"/>
        <v>1.6653345369377348E-16</v>
      </c>
      <c r="AL51" s="572">
        <f t="shared" si="107"/>
        <v>-0.81431809258233756</v>
      </c>
      <c r="AM51" s="577">
        <f t="shared" si="108"/>
        <v>-0.58041885228950263</v>
      </c>
      <c r="AN51" s="524">
        <f t="shared" si="109"/>
        <v>-54.519992128287058</v>
      </c>
      <c r="AO51" s="525">
        <f t="shared" si="110"/>
        <v>0</v>
      </c>
      <c r="AP51" s="528">
        <f t="shared" si="111"/>
        <v>-89.999999999999986</v>
      </c>
      <c r="AQ51" s="529">
        <f t="shared" si="332"/>
        <v>0.2978571787495421</v>
      </c>
      <c r="AR51" s="979"/>
      <c r="AS51" s="954">
        <f t="shared" si="524"/>
        <v>-71.603743808924264</v>
      </c>
      <c r="AT51" s="950">
        <f t="shared" si="333"/>
        <v>-1.6816174820745982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2.2320000000000002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2.1320000000000001</v>
      </c>
      <c r="IK51" s="677" cm="1">
        <f t="array" ref="IK51">IFERROR(ROUND(VALUE(IF($IJ51&lt;1,$IJ51+LARGE((IF($M$9:$M$150="",0,$M$9:$M$150)-MOD(IF($M$9:$M$150="",0,$M$9:$M$150),1)),1),$IJ51)),4),"")</f>
        <v>2.1320000000000001</v>
      </c>
      <c r="IL51" s="482">
        <f t="shared" si="485"/>
        <v>1613</v>
      </c>
      <c r="IM51" s="482" t="str">
        <f t="shared" si="242"/>
        <v>CPS-32193r1</v>
      </c>
      <c r="IN51" s="670">
        <f t="shared" si="486"/>
        <v>8.6437009216606953</v>
      </c>
      <c r="IO51" s="702">
        <v>3.1890031127037297E-2</v>
      </c>
      <c r="IP51" s="5">
        <f t="shared" si="487"/>
        <v>1.86</v>
      </c>
      <c r="IQ51" s="714">
        <v>930</v>
      </c>
      <c r="IR51" s="9">
        <f t="shared" si="488"/>
        <v>-7.6519230782000047</v>
      </c>
      <c r="IS51" s="5">
        <f t="shared" si="489"/>
        <v>-1.7206051893452494</v>
      </c>
      <c r="IT51" s="5">
        <f t="shared" si="490"/>
        <v>0.3125</v>
      </c>
      <c r="IU51" s="5">
        <f t="shared" si="491"/>
        <v>0.28974496104203384</v>
      </c>
      <c r="IV51" s="670">
        <f t="shared" si="492"/>
        <v>51.59999254988282</v>
      </c>
      <c r="IW51" s="9">
        <f t="shared" si="493"/>
        <v>-7.6536886057406912</v>
      </c>
      <c r="IX51" s="5">
        <f t="shared" si="494"/>
        <v>-1.7313423041641289</v>
      </c>
      <c r="IY51" s="5">
        <f t="shared" si="495"/>
        <v>0.255</v>
      </c>
      <c r="IZ51" s="5">
        <f t="shared" si="496"/>
        <v>0.255</v>
      </c>
      <c r="JA51" s="705">
        <f t="shared" si="497"/>
        <v>54.519992128287058</v>
      </c>
      <c r="JM51" s="489">
        <f t="shared" si="133"/>
        <v>32</v>
      </c>
      <c r="JN51" s="960">
        <f>($JO51-SMALL($JO$9:$JO$88,1))/((Settings!$C$19/2)-((Settings!$C$19/2)-LARGE($JO$9:$JO$88,1))-SMALL($JO$9:$JO$88,1))</f>
        <v>0.89515538984116683</v>
      </c>
      <c r="JO51" s="162">
        <f t="shared" si="134"/>
        <v>7.6536886057406912</v>
      </c>
      <c r="JP51" s="961">
        <f t="shared" si="135"/>
        <v>-54.519992128287058</v>
      </c>
      <c r="JQ51" s="961">
        <f t="shared" si="136"/>
        <v>0</v>
      </c>
      <c r="JS51" s="82"/>
      <c r="JT51" s="322" t="e">
        <f t="shared" si="137"/>
        <v>#N/A</v>
      </c>
      <c r="JU51" s="963" t="e">
        <f t="shared" si="138"/>
        <v>#N/A</v>
      </c>
      <c r="JV51" s="961" t="e">
        <f t="shared" si="287"/>
        <v>#N/A</v>
      </c>
      <c r="JW51" s="961" t="e">
        <f t="shared" si="92"/>
        <v>#N/A</v>
      </c>
      <c r="JX51" s="1"/>
    </row>
    <row r="52" spans="1:284" ht="15" customHeight="1" x14ac:dyDescent="0.25">
      <c r="A52" s="75">
        <f t="shared" si="322"/>
        <v>0</v>
      </c>
      <c r="B52" s="578">
        <f t="shared" ref="B52:D52" si="543">IFERROR(O207+($A52*-E52),"")</f>
        <v>7.6184150546662579</v>
      </c>
      <c r="C52" s="572">
        <f t="shared" si="543"/>
        <v>2.5309400371010744</v>
      </c>
      <c r="D52" s="576">
        <f t="shared" si="543"/>
        <v>-2.4022156119449805</v>
      </c>
      <c r="E52" s="580">
        <f t="shared" ref="E52:K52" si="544">R207</f>
        <v>0.868632034570478</v>
      </c>
      <c r="F52" s="572">
        <f t="shared" si="544"/>
        <v>0.28857125504817999</v>
      </c>
      <c r="G52" s="579">
        <f t="shared" si="544"/>
        <v>0.40274684266654442</v>
      </c>
      <c r="H52" s="580">
        <f t="shared" si="544"/>
        <v>0.255</v>
      </c>
      <c r="I52" s="572">
        <f t="shared" si="544"/>
        <v>0.41499999999999992</v>
      </c>
      <c r="J52" s="483">
        <f t="shared" si="94"/>
        <v>2.2349999999999999</v>
      </c>
      <c r="K52" s="806" t="str">
        <f t="shared" si="544"/>
        <v>CPS-32193r1</v>
      </c>
      <c r="L52" s="309"/>
      <c r="M52" s="164">
        <f t="shared" si="325"/>
        <v>2.2349999999999999</v>
      </c>
      <c r="N52" s="575">
        <f t="shared" si="326"/>
        <v>7.6184150546662579</v>
      </c>
      <c r="O52" s="572">
        <f t="shared" si="327"/>
        <v>2.5309400371010744</v>
      </c>
      <c r="P52" s="576">
        <f t="shared" si="328"/>
        <v>-2.4022156119449805</v>
      </c>
      <c r="Q52" s="528">
        <f t="shared" si="144"/>
        <v>18.377181902722633</v>
      </c>
      <c r="R52" s="572">
        <f t="shared" si="95"/>
        <v>8.0278207140273548</v>
      </c>
      <c r="S52" s="577">
        <f t="shared" si="96"/>
        <v>-2.4022156119449805</v>
      </c>
      <c r="T52" s="578">
        <f t="shared" si="97"/>
        <v>2.5309400371010735</v>
      </c>
      <c r="U52" s="572">
        <f t="shared" si="98"/>
        <v>-7.6184150546662588</v>
      </c>
      <c r="V52" s="579">
        <f t="shared" si="145"/>
        <v>-2.4022156119449805</v>
      </c>
      <c r="W52" s="528">
        <f t="shared" si="268"/>
        <v>288.37718190272261</v>
      </c>
      <c r="X52" s="572">
        <f t="shared" si="99"/>
        <v>8.0278207140273548</v>
      </c>
      <c r="Y52" s="573">
        <f t="shared" si="271"/>
        <v>-2.4022156119449805</v>
      </c>
      <c r="Z52" s="575">
        <f t="shared" si="329"/>
        <v>-0.868632034570478</v>
      </c>
      <c r="AA52" s="572">
        <f t="shared" si="330"/>
        <v>-0.28857125504817999</v>
      </c>
      <c r="AB52" s="572">
        <f t="shared" si="331"/>
        <v>-0.40274684266654442</v>
      </c>
      <c r="AC52" s="579">
        <f t="shared" si="100"/>
        <v>1</v>
      </c>
      <c r="AD52" s="580">
        <f t="shared" si="146"/>
        <v>-0.868632034570478</v>
      </c>
      <c r="AE52" s="572">
        <f t="shared" si="101"/>
        <v>-0.28857125504817999</v>
      </c>
      <c r="AF52" s="576">
        <f t="shared" si="102"/>
        <v>-0.40274684266654442</v>
      </c>
      <c r="AG52" s="545">
        <f t="shared" si="103"/>
        <v>-35.621893228175963</v>
      </c>
      <c r="AH52" s="546">
        <f t="shared" si="104"/>
        <v>150.30006014913886</v>
      </c>
      <c r="AI52" s="528">
        <f t="shared" si="105"/>
        <v>-66.249990434684861</v>
      </c>
      <c r="AJ52" s="529">
        <f t="shared" si="106"/>
        <v>-71.622818097277332</v>
      </c>
      <c r="AK52" s="578">
        <f t="shared" si="247"/>
        <v>5.5511151231257827E-16</v>
      </c>
      <c r="AL52" s="572">
        <f t="shared" si="107"/>
        <v>-0.91531141188238763</v>
      </c>
      <c r="AM52" s="577">
        <f t="shared" si="108"/>
        <v>-0.40274684266654442</v>
      </c>
      <c r="AN52" s="524">
        <f t="shared" si="109"/>
        <v>-66.249990434684875</v>
      </c>
      <c r="AO52" s="525">
        <f t="shared" si="110"/>
        <v>0</v>
      </c>
      <c r="AP52" s="528">
        <f t="shared" si="111"/>
        <v>-89.999999999999972</v>
      </c>
      <c r="AQ52" s="529">
        <f t="shared" si="332"/>
        <v>0.28397594389857578</v>
      </c>
      <c r="AR52" s="979"/>
      <c r="AS52" s="954">
        <f t="shared" si="524"/>
        <v>-71.622818097277388</v>
      </c>
      <c r="AT52" s="950">
        <f t="shared" si="333"/>
        <v>-2.352477543821871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2.2349999999999999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2.1349999999999998</v>
      </c>
      <c r="IK52" s="677" cm="1">
        <f t="array" ref="IK52">IFERROR(ROUND(VALUE(IF($IJ52&lt;1,$IJ52+LARGE((IF($M$9:$M$150="",0,$M$9:$M$150)-MOD(IF($M$9:$M$150="",0,$M$9:$M$150),1)),1),$IJ52)),4),"")</f>
        <v>2.1349999999999998</v>
      </c>
      <c r="IL52" s="482">
        <f t="shared" si="485"/>
        <v>1613</v>
      </c>
      <c r="IM52" s="482" t="str">
        <f t="shared" si="242"/>
        <v>CPS-32193r1</v>
      </c>
      <c r="IN52" s="670">
        <f t="shared" si="486"/>
        <v>8.2327752720980811</v>
      </c>
      <c r="IO52" s="702">
        <v>3.03837791569289E-2</v>
      </c>
      <c r="IP52" s="5">
        <f t="shared" si="487"/>
        <v>2.16</v>
      </c>
      <c r="IQ52" s="714">
        <v>1080</v>
      </c>
      <c r="IR52" s="9">
        <f t="shared" si="488"/>
        <v>-8.0310242215690533</v>
      </c>
      <c r="IS52" s="5">
        <f t="shared" si="489"/>
        <v>-2.3879072019281216</v>
      </c>
      <c r="IT52" s="5">
        <f t="shared" si="490"/>
        <v>0.3125</v>
      </c>
      <c r="IU52" s="5">
        <f t="shared" si="491"/>
        <v>0.28458865193955285</v>
      </c>
      <c r="IV52" s="670">
        <f t="shared" si="492"/>
        <v>60.699991236005559</v>
      </c>
      <c r="IW52" s="9">
        <f t="shared" si="493"/>
        <v>-8.0278207140273548</v>
      </c>
      <c r="IX52" s="5">
        <f t="shared" si="494"/>
        <v>-2.4022156119449805</v>
      </c>
      <c r="IY52" s="5">
        <f t="shared" si="495"/>
        <v>0.255</v>
      </c>
      <c r="IZ52" s="5">
        <f t="shared" si="496"/>
        <v>0.255</v>
      </c>
      <c r="JA52" s="705">
        <f t="shared" si="497"/>
        <v>66.249990434684875</v>
      </c>
      <c r="JM52" s="489">
        <f t="shared" si="133"/>
        <v>35</v>
      </c>
      <c r="JN52" s="960">
        <f>($JO52-SMALL($JO$9:$JO$88,1))/((Settings!$C$19/2)-((Settings!$C$19/2)-LARGE($JO$9:$JO$88,1))-SMALL($JO$9:$JO$88,1))</f>
        <v>0.94096715957731791</v>
      </c>
      <c r="JO52" s="162">
        <f t="shared" si="134"/>
        <v>8.0278207140273548</v>
      </c>
      <c r="JP52" s="961">
        <f t="shared" si="135"/>
        <v>-66.249990434684875</v>
      </c>
      <c r="JQ52" s="961">
        <f t="shared" si="136"/>
        <v>0</v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>
        <f t="shared" si="322"/>
        <v>0</v>
      </c>
      <c r="B53" s="578">
        <f t="shared" ref="B53:D53" si="545">IFERROR(O208+($A53*-E53),"")</f>
        <v>7.8404897635073967</v>
      </c>
      <c r="C53" s="572">
        <f t="shared" si="545"/>
        <v>2.6000537319051551</v>
      </c>
      <c r="D53" s="576">
        <f t="shared" si="545"/>
        <v>-3.1338529018179884</v>
      </c>
      <c r="E53" s="580">
        <f t="shared" ref="E53:K53" si="546">R208</f>
        <v>0.92208708331515632</v>
      </c>
      <c r="F53" s="572">
        <f t="shared" si="546"/>
        <v>0.30578140325797915</v>
      </c>
      <c r="G53" s="579">
        <f t="shared" si="546"/>
        <v>0.23717745298600634</v>
      </c>
      <c r="H53" s="580">
        <f t="shared" si="546"/>
        <v>0.255</v>
      </c>
      <c r="I53" s="572">
        <f t="shared" si="546"/>
        <v>0.41499999999999992</v>
      </c>
      <c r="J53" s="483">
        <f t="shared" si="94"/>
        <v>2.238</v>
      </c>
      <c r="K53" s="806" t="str">
        <f t="shared" si="546"/>
        <v>CPS-32193r1</v>
      </c>
      <c r="L53" s="309"/>
      <c r="M53" s="164">
        <f t="shared" si="325"/>
        <v>2.238</v>
      </c>
      <c r="N53" s="575">
        <f t="shared" si="326"/>
        <v>7.8404897635073967</v>
      </c>
      <c r="O53" s="572">
        <f t="shared" si="327"/>
        <v>2.6000537319051551</v>
      </c>
      <c r="P53" s="576">
        <f t="shared" si="328"/>
        <v>-3.1338529018179884</v>
      </c>
      <c r="Q53" s="528">
        <f t="shared" si="144"/>
        <v>18.346490929772749</v>
      </c>
      <c r="R53" s="572">
        <f t="shared" ref="R53:R58" si="547">IF(M53="","",SQRT(N53^2+O53^2))</f>
        <v>8.2603607149118012</v>
      </c>
      <c r="S53" s="577">
        <f t="shared" ref="S53:S58" si="548">IF(M53="","",P53)</f>
        <v>-3.1338529018179884</v>
      </c>
      <c r="T53" s="578">
        <f t="shared" ref="T53:T58" si="549">IF(M53="","",X53*COS(RADIANS(W53)))</f>
        <v>2.600053731905156</v>
      </c>
      <c r="U53" s="572">
        <f t="shared" ref="U53:U58" si="550">IF(M53="","",X53*SIN(RADIANS(W53)))</f>
        <v>-7.8404897635073967</v>
      </c>
      <c r="V53" s="579">
        <f t="shared" ref="V53:V58" si="551">IF(M53="","",Y53)</f>
        <v>-3.1338529018179884</v>
      </c>
      <c r="W53" s="528">
        <f t="shared" si="268"/>
        <v>288.34649092977276</v>
      </c>
      <c r="X53" s="572">
        <f t="shared" ref="X53:X58" si="552">IF(M53="","",R53)</f>
        <v>8.2603607149118012</v>
      </c>
      <c r="Y53" s="573">
        <f t="shared" si="271"/>
        <v>-3.1338529018179884</v>
      </c>
      <c r="Z53" s="575">
        <f t="shared" si="329"/>
        <v>-0.92208708331515632</v>
      </c>
      <c r="AA53" s="572">
        <f t="shared" si="330"/>
        <v>-0.30578140325797915</v>
      </c>
      <c r="AB53" s="572">
        <f t="shared" si="331"/>
        <v>-0.23717745298600634</v>
      </c>
      <c r="AC53" s="579">
        <f t="shared" ref="AC53:AC58" si="553">IF(M53="","",SQRT(Z53^2+AA53^2+AB53^2))</f>
        <v>1</v>
      </c>
      <c r="AD53" s="580">
        <f t="shared" ref="AD53:AD58" si="554">IF(M53="","",Z53*(1/SQRT(Z53^2+AA53^2+AB53^2)))</f>
        <v>-0.92208708331515632</v>
      </c>
      <c r="AE53" s="572">
        <f t="shared" ref="AE53:AE58" si="555">IF(M53="","",AA53*(1/SQRT(Z53^2+AA53^2+AB53^2)))</f>
        <v>-0.30578140325797915</v>
      </c>
      <c r="AF53" s="576">
        <f t="shared" ref="AF53:AF58" si="556">IF(M53="","",AB53*(1/SQRT(Z53^2+AA53^2+AB53^2)))</f>
        <v>-0.23717745298600634</v>
      </c>
      <c r="AG53" s="545">
        <f t="shared" ref="AG53:AG58" si="557">IF(M53="","",DEGREES(ATAN2(-AF53,AE53)))</f>
        <v>-52.201277092527015</v>
      </c>
      <c r="AH53" s="546">
        <f t="shared" ref="AH53:AH58" si="558">IF(M53="","",DEGREES(ACOS(AD53)))</f>
        <v>157.23313202099874</v>
      </c>
      <c r="AI53" s="528">
        <f t="shared" ref="AI53:AI58" si="559">IF(M53="","",DEGREES(-ACOS(-AF53)))</f>
        <v>-76.279988986532217</v>
      </c>
      <c r="AJ53" s="529">
        <f t="shared" ref="AJ53:AJ58" si="560">IF(M53="","",DEGREES(ATAN2(-AE53,AD53)))</f>
        <v>-71.653509070227244</v>
      </c>
      <c r="AK53" s="578">
        <f t="shared" ref="AK53:AK58" si="561">IF(M53="","",(COS(RADIANS((90-$Q$8)-W53))*AD53)+(-SIN(RADIANS((90-$Q$8)-W53))*AE53))</f>
        <v>5.5511151231257827E-17</v>
      </c>
      <c r="AL53" s="572">
        <f t="shared" ref="AL53:AL58" si="562">IF(M53="","",(SIN(RADIANS((90-$Q$8)-W53))*AD53)+(COS(RADIANS((90-$Q$8)-W53))*AE53))</f>
        <v>-0.97146634310977076</v>
      </c>
      <c r="AM53" s="577">
        <f t="shared" ref="AM53:AM58" si="563">IF(M53="","",AF53)</f>
        <v>-0.23717745298600634</v>
      </c>
      <c r="AN53" s="524">
        <f t="shared" ref="AN53:AN58" si="564">IF(M53="","",DEGREES(ATAN2(-AM53,AL53)))</f>
        <v>-76.279988986532217</v>
      </c>
      <c r="AO53" s="525">
        <f t="shared" si="110"/>
        <v>0</v>
      </c>
      <c r="AP53" s="528">
        <f t="shared" ref="AP53:AP58" si="565">IF(M53="","",DEGREES(ATAN2(AK53,AL53)))</f>
        <v>-90</v>
      </c>
      <c r="AQ53" s="529">
        <f t="shared" si="332"/>
        <v>0.27598177362950488</v>
      </c>
      <c r="AR53" s="979"/>
      <c r="AS53" s="954">
        <f t="shared" si="524"/>
        <v>-71.653509070227244</v>
      </c>
      <c r="AT53" s="950">
        <f t="shared" si="333"/>
        <v>-3.0840935205192195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41"/>
        <v>2.238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2.1379999999999999</v>
      </c>
      <c r="IK53" s="677" cm="1">
        <f t="array" ref="IK53">IFERROR(ROUND(VALUE(IF($IJ53&lt;1,$IJ53+LARGE((IF($M$9:$M$150="",0,$M$9:$M$150)-MOD(IF($M$9:$M$150="",0,$M$9:$M$150),1)),1),$IJ53)),4),"")</f>
        <v>2.1379999999999999</v>
      </c>
      <c r="IL53" s="482">
        <f t="shared" si="485"/>
        <v>1613</v>
      </c>
      <c r="IM53" s="482" t="str">
        <f t="shared" si="242"/>
        <v>CPS-32193r1</v>
      </c>
      <c r="IN53" s="670">
        <f t="shared" si="486"/>
        <v>7.9934662840311148</v>
      </c>
      <c r="IO53" s="702">
        <v>2.8634998578023999E-2</v>
      </c>
      <c r="IP53" s="5">
        <f t="shared" si="487"/>
        <v>2.5</v>
      </c>
      <c r="IQ53" s="714">
        <v>1250</v>
      </c>
      <c r="IR53" s="9">
        <f t="shared" si="488"/>
        <v>-8.2698249417920238</v>
      </c>
      <c r="IS53" s="5">
        <f t="shared" si="489"/>
        <v>-3.1176094027099577</v>
      </c>
      <c r="IT53" s="5">
        <f t="shared" si="490"/>
        <v>0.3125</v>
      </c>
      <c r="IU53" s="5">
        <f t="shared" si="491"/>
        <v>0.27893307778184506</v>
      </c>
      <c r="IV53" s="670">
        <f t="shared" si="492"/>
        <v>69.799989922128276</v>
      </c>
      <c r="IW53" s="9">
        <f t="shared" si="493"/>
        <v>-8.2603607149118012</v>
      </c>
      <c r="IX53" s="5">
        <f t="shared" si="494"/>
        <v>-3.1338529018179884</v>
      </c>
      <c r="IY53" s="5">
        <f t="shared" si="495"/>
        <v>0.255</v>
      </c>
      <c r="IZ53" s="5">
        <f t="shared" si="496"/>
        <v>0.255</v>
      </c>
      <c r="JA53" s="705">
        <f t="shared" si="497"/>
        <v>76.279988986532217</v>
      </c>
      <c r="JM53" s="489">
        <f t="shared" si="133"/>
        <v>38</v>
      </c>
      <c r="JN53" s="960">
        <f>($JO53-SMALL($JO$9:$JO$88,1))/((Settings!$C$19/2)-((Settings!$C$19/2)-LARGE($JO$9:$JO$88,1))-SMALL($JO$9:$JO$88,1))</f>
        <v>0.96944124330070724</v>
      </c>
      <c r="JO53" s="162">
        <f t="shared" si="134"/>
        <v>8.2603607149118012</v>
      </c>
      <c r="JP53" s="961">
        <f t="shared" si="135"/>
        <v>-76.279988986532217</v>
      </c>
      <c r="JQ53" s="961">
        <f t="shared" si="136"/>
        <v>0</v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>
        <f t="shared" si="322"/>
        <v>0</v>
      </c>
      <c r="B54" s="578">
        <f t="shared" ref="B54:D54" si="566">IFERROR(O209+($A54*-E54),"")</f>
        <v>7.9723653883673569</v>
      </c>
      <c r="C54" s="572">
        <f t="shared" si="566"/>
        <v>2.639012587654781</v>
      </c>
      <c r="D54" s="576">
        <f t="shared" si="566"/>
        <v>-3.8885792865877438</v>
      </c>
      <c r="E54" s="580">
        <f t="shared" ref="E54:K54" si="567">R209</f>
        <v>0.9398223554759122</v>
      </c>
      <c r="F54" s="572">
        <f t="shared" si="567"/>
        <v>0.31110001930910142</v>
      </c>
      <c r="G54" s="579">
        <f t="shared" si="567"/>
        <v>0.14124701106071164</v>
      </c>
      <c r="H54" s="580">
        <f t="shared" si="567"/>
        <v>0.255</v>
      </c>
      <c r="I54" s="572">
        <f t="shared" si="567"/>
        <v>0.41499999999999992</v>
      </c>
      <c r="J54" s="483">
        <f t="shared" si="94"/>
        <v>2.2410000000000001</v>
      </c>
      <c r="K54" s="806" t="str">
        <f t="shared" si="567"/>
        <v>CPS-32193r1</v>
      </c>
      <c r="L54" s="309"/>
      <c r="M54" s="164">
        <f t="shared" si="325"/>
        <v>2.2410000000000001</v>
      </c>
      <c r="N54" s="575">
        <f t="shared" si="326"/>
        <v>7.9723653883673569</v>
      </c>
      <c r="O54" s="572">
        <f t="shared" si="327"/>
        <v>2.639012587654781</v>
      </c>
      <c r="P54" s="576">
        <f t="shared" si="328"/>
        <v>-3.8885792865877438</v>
      </c>
      <c r="Q54" s="528">
        <f t="shared" si="144"/>
        <v>18.315577612745191</v>
      </c>
      <c r="R54" s="572">
        <f t="shared" si="547"/>
        <v>8.397797170891792</v>
      </c>
      <c r="S54" s="577">
        <f t="shared" si="548"/>
        <v>-3.8885792865877438</v>
      </c>
      <c r="T54" s="578">
        <f t="shared" si="549"/>
        <v>2.6390125876547779</v>
      </c>
      <c r="U54" s="572">
        <f t="shared" si="550"/>
        <v>-7.9723653883673578</v>
      </c>
      <c r="V54" s="579">
        <f t="shared" si="551"/>
        <v>-3.8885792865877438</v>
      </c>
      <c r="W54" s="528">
        <f t="shared" si="268"/>
        <v>288.31557761274519</v>
      </c>
      <c r="X54" s="572">
        <f t="shared" si="552"/>
        <v>8.397797170891792</v>
      </c>
      <c r="Y54" s="573">
        <f t="shared" si="271"/>
        <v>-3.8885792865877438</v>
      </c>
      <c r="Z54" s="575">
        <f t="shared" si="329"/>
        <v>-0.9398223554759122</v>
      </c>
      <c r="AA54" s="572">
        <f t="shared" si="330"/>
        <v>-0.31110001930910142</v>
      </c>
      <c r="AB54" s="572">
        <f t="shared" si="331"/>
        <v>-0.14124701106071164</v>
      </c>
      <c r="AC54" s="579">
        <f t="shared" si="553"/>
        <v>1</v>
      </c>
      <c r="AD54" s="580">
        <f t="shared" si="554"/>
        <v>-0.9398223554759122</v>
      </c>
      <c r="AE54" s="572">
        <f t="shared" si="555"/>
        <v>-0.31110001930910142</v>
      </c>
      <c r="AF54" s="576">
        <f t="shared" si="556"/>
        <v>-0.14124701106071164</v>
      </c>
      <c r="AG54" s="545">
        <f t="shared" si="557"/>
        <v>-65.580790527920314</v>
      </c>
      <c r="AH54" s="546">
        <f t="shared" si="558"/>
        <v>160.0217447068969</v>
      </c>
      <c r="AI54" s="528">
        <f t="shared" si="559"/>
        <v>-81.879988177992388</v>
      </c>
      <c r="AJ54" s="529">
        <f t="shared" si="560"/>
        <v>-71.684422387254827</v>
      </c>
      <c r="AK54" s="578">
        <f t="shared" si="561"/>
        <v>1.6653345369377348E-16</v>
      </c>
      <c r="AL54" s="572">
        <f t="shared" si="562"/>
        <v>-0.98997438444962549</v>
      </c>
      <c r="AM54" s="577">
        <f t="shared" si="563"/>
        <v>-0.14124701106071164</v>
      </c>
      <c r="AN54" s="524">
        <f t="shared" si="564"/>
        <v>-81.879988177992388</v>
      </c>
      <c r="AO54" s="525">
        <f t="shared" si="110"/>
        <v>0</v>
      </c>
      <c r="AP54" s="528">
        <f t="shared" si="565"/>
        <v>-90</v>
      </c>
      <c r="AQ54" s="529">
        <f t="shared" si="332"/>
        <v>0.27146518627333771</v>
      </c>
      <c r="AR54" s="979"/>
      <c r="AS54" s="954">
        <f t="shared" si="524"/>
        <v>-71.684422387254813</v>
      </c>
      <c r="AT54" s="950">
        <f t="shared" si="333"/>
        <v>-3.8387984377077058</v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2.2410000000000001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2.141</v>
      </c>
      <c r="IK54" s="677" cm="1">
        <f t="array" ref="IK54">IFERROR(ROUND(VALUE(IF($IJ54&lt;1,$IJ54+LARGE((IF($M$9:$M$150="",0,$M$9:$M$150)-MOD(IF($M$9:$M$150="",0,$M$9:$M$150),1)),1),$IJ54)),4),"")</f>
        <v>2.141</v>
      </c>
      <c r="IL54" s="482">
        <f t="shared" si="485"/>
        <v>1613</v>
      </c>
      <c r="IM54" s="482" t="str">
        <f t="shared" si="242"/>
        <v>CPS-32193r1</v>
      </c>
      <c r="IN54" s="670">
        <f t="shared" si="486"/>
        <v>7.8543796256036558</v>
      </c>
      <c r="IO54" s="702">
        <v>2.6766585834928001E-2</v>
      </c>
      <c r="IP54" s="5">
        <f t="shared" si="487"/>
        <v>2.94</v>
      </c>
      <c r="IQ54" s="714">
        <v>1470</v>
      </c>
      <c r="IR54" s="9">
        <f t="shared" si="488"/>
        <v>-8.4153253806213488</v>
      </c>
      <c r="IS54" s="5">
        <f t="shared" si="489"/>
        <v>-3.8722116785904226</v>
      </c>
      <c r="IT54" s="5">
        <f t="shared" si="490"/>
        <v>0.3125</v>
      </c>
      <c r="IU54" s="5">
        <f t="shared" si="491"/>
        <v>0.27198616642057538</v>
      </c>
      <c r="IV54" s="670">
        <f t="shared" si="492"/>
        <v>78.899988608251022</v>
      </c>
      <c r="IW54" s="9">
        <f t="shared" si="493"/>
        <v>-8.397797170891792</v>
      </c>
      <c r="IX54" s="5">
        <f t="shared" si="494"/>
        <v>-3.8885792865877438</v>
      </c>
      <c r="IY54" s="5">
        <f t="shared" si="495"/>
        <v>0.255</v>
      </c>
      <c r="IZ54" s="5">
        <f t="shared" si="496"/>
        <v>0.255</v>
      </c>
      <c r="JA54" s="705">
        <f t="shared" si="497"/>
        <v>81.879988177992388</v>
      </c>
      <c r="JM54" s="489">
        <f t="shared" si="133"/>
        <v>41</v>
      </c>
      <c r="JN54" s="960">
        <f>($JO54-SMALL($JO$9:$JO$88,1))/((Settings!$C$19/2)-((Settings!$C$19/2)-LARGE($JO$9:$JO$88,1))-SMALL($JO$9:$JO$88,1))</f>
        <v>0.98627007764893093</v>
      </c>
      <c r="JO54" s="162">
        <f t="shared" si="134"/>
        <v>8.397797170891792</v>
      </c>
      <c r="JP54" s="961">
        <f t="shared" si="135"/>
        <v>-81.879988177992388</v>
      </c>
      <c r="JQ54" s="961">
        <f t="shared" si="136"/>
        <v>0</v>
      </c>
      <c r="JU54" s="962"/>
      <c r="JV54" s="959"/>
      <c r="JW54" s="959"/>
    </row>
    <row r="55" spans="1:284" ht="15" customHeight="1" x14ac:dyDescent="0.25">
      <c r="A55" s="75">
        <f t="shared" si="322"/>
        <v>0</v>
      </c>
      <c r="B55" s="578">
        <f t="shared" ref="B55:D55" si="600">IFERROR(O210+($A55*-E55),"")</f>
        <v>0.76266008341096847</v>
      </c>
      <c r="C55" s="572">
        <f t="shared" si="600"/>
        <v>-0.35563481070377551</v>
      </c>
      <c r="D55" s="576">
        <f t="shared" si="600"/>
        <v>-1.0333031164421991</v>
      </c>
      <c r="E55" s="580">
        <f t="shared" ref="E55:K55" si="601">R210</f>
        <v>0.38404787819956893</v>
      </c>
      <c r="F55" s="572">
        <f t="shared" si="601"/>
        <v>0.8732257866138784</v>
      </c>
      <c r="G55" s="579">
        <f t="shared" si="601"/>
        <v>0.29997325354601612</v>
      </c>
      <c r="H55" s="580">
        <f t="shared" si="601"/>
        <v>0.3125</v>
      </c>
      <c r="I55" s="572">
        <f t="shared" si="601"/>
        <v>0.52</v>
      </c>
      <c r="J55" s="483">
        <f t="shared" si="94"/>
        <v>3.1030000000000002</v>
      </c>
      <c r="K55" s="806">
        <f t="shared" si="601"/>
        <v>1613</v>
      </c>
      <c r="L55" s="309"/>
      <c r="M55" s="164">
        <f t="shared" si="325"/>
        <v>3.1030000000000002</v>
      </c>
      <c r="N55" s="575">
        <f t="shared" si="326"/>
        <v>0.76266008341096847</v>
      </c>
      <c r="O55" s="572">
        <f t="shared" si="327"/>
        <v>-0.35563481070377551</v>
      </c>
      <c r="P55" s="576">
        <f t="shared" si="328"/>
        <v>-1.0333031164421991</v>
      </c>
      <c r="Q55" s="528">
        <f t="shared" si="144"/>
        <v>334.99996462638171</v>
      </c>
      <c r="R55" s="572">
        <f t="shared" si="547"/>
        <v>0.84150253797165442</v>
      </c>
      <c r="S55" s="577">
        <f t="shared" si="548"/>
        <v>-1.0333031164421991</v>
      </c>
      <c r="T55" s="578">
        <f t="shared" si="549"/>
        <v>-0.35563481070377534</v>
      </c>
      <c r="U55" s="572">
        <f t="shared" si="550"/>
        <v>-0.76266008341096858</v>
      </c>
      <c r="V55" s="579">
        <f t="shared" si="551"/>
        <v>-1.0333031164421991</v>
      </c>
      <c r="W55" s="528">
        <f t="shared" si="268"/>
        <v>244.99996462638171</v>
      </c>
      <c r="X55" s="572">
        <f t="shared" si="552"/>
        <v>0.84150253797165442</v>
      </c>
      <c r="Y55" s="573">
        <f t="shared" si="271"/>
        <v>-1.0333031164421991</v>
      </c>
      <c r="Z55" s="575">
        <f t="shared" si="329"/>
        <v>-0.38404787819956893</v>
      </c>
      <c r="AA55" s="572">
        <f t="shared" si="330"/>
        <v>-0.8732257866138784</v>
      </c>
      <c r="AB55" s="572">
        <f t="shared" si="331"/>
        <v>-0.29997325354601612</v>
      </c>
      <c r="AC55" s="579">
        <f t="shared" si="553"/>
        <v>1</v>
      </c>
      <c r="AD55" s="580">
        <f t="shared" si="554"/>
        <v>-0.38404787819956893</v>
      </c>
      <c r="AE55" s="572">
        <f t="shared" si="555"/>
        <v>-0.8732257866138784</v>
      </c>
      <c r="AF55" s="576">
        <f t="shared" si="556"/>
        <v>-0.29997325354601612</v>
      </c>
      <c r="AG55" s="545">
        <f t="shared" si="557"/>
        <v>-71.04121814428602</v>
      </c>
      <c r="AH55" s="546">
        <f t="shared" si="558"/>
        <v>112.58464409042715</v>
      </c>
      <c r="AI55" s="528">
        <f t="shared" si="559"/>
        <v>-72.544003322655172</v>
      </c>
      <c r="AJ55" s="529">
        <f t="shared" si="560"/>
        <v>-23.740067969256213</v>
      </c>
      <c r="AK55" s="578">
        <f t="shared" si="561"/>
        <v>0.95371696400905326</v>
      </c>
      <c r="AL55" s="572">
        <f t="shared" si="562"/>
        <v>2.097617025034787E-2</v>
      </c>
      <c r="AM55" s="577">
        <f t="shared" si="563"/>
        <v>-0.29997325354601612</v>
      </c>
      <c r="AN55" s="524">
        <f t="shared" si="564"/>
        <v>3.9999994224715318</v>
      </c>
      <c r="AO55" s="525">
        <f>IF(ROUND(IF(M55="",0,DEGREES(ACOS(AK55))),4)=90,0,IF(M55="","",DEGREES(ACOS(AK55))))</f>
        <v>17.499997473312991</v>
      </c>
      <c r="AP55" s="528">
        <f t="shared" si="565"/>
        <v>1.2599674043620672</v>
      </c>
      <c r="AQ55" s="529">
        <f t="shared" si="332"/>
        <v>2.7070981871676945</v>
      </c>
      <c r="AR55" s="979"/>
      <c r="AS55" s="954">
        <f t="shared" si="524"/>
        <v>-115.00003537361829</v>
      </c>
      <c r="AT55" s="950">
        <f t="shared" si="333"/>
        <v>-0.95344198076607523</v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41"/>
        <v>3.1030000000000002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85"/>
        <v>1613</v>
      </c>
      <c r="IM55" s="482" t="str">
        <f t="shared" si="242"/>
        <v/>
      </c>
      <c r="IN55" s="670" t="str">
        <f t="shared" si="486"/>
        <v/>
      </c>
      <c r="IO55" s="702"/>
      <c r="IP55" s="5" t="str">
        <f t="shared" si="487"/>
        <v/>
      </c>
      <c r="IQ55" s="714"/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>
        <f t="shared" si="133"/>
        <v>3</v>
      </c>
      <c r="JN55" s="960">
        <f>($JO55-SMALL($JO$9:$JO$88,1))/((Settings!$C$19/2)-((Settings!$C$19/2)-LARGE($JO$9:$JO$88,1))-SMALL($JO$9:$JO$88,1))</f>
        <v>6.1016077485398001E-2</v>
      </c>
      <c r="JO55" s="162">
        <f t="shared" si="134"/>
        <v>0.84150253797165442</v>
      </c>
      <c r="JP55" s="961">
        <f t="shared" si="135"/>
        <v>3.9999994224715318</v>
      </c>
      <c r="JQ55" s="961">
        <f t="shared" si="136"/>
        <v>17.499997473312991</v>
      </c>
      <c r="JU55" s="962"/>
      <c r="JV55" s="959"/>
      <c r="JW55" s="959"/>
    </row>
    <row r="56" spans="1:284" ht="15" customHeight="1" x14ac:dyDescent="0.25">
      <c r="A56" s="75">
        <f t="shared" si="322"/>
        <v>0</v>
      </c>
      <c r="B56" s="578">
        <f t="shared" ref="B56:D56" si="602">IFERROR(O211+($A56*-E56),"")</f>
        <v>1.4366830234379888</v>
      </c>
      <c r="C56" s="572">
        <f t="shared" si="602"/>
        <v>-0.66993737602807468</v>
      </c>
      <c r="D56" s="576">
        <f t="shared" si="602"/>
        <v>-0.83850252892362731</v>
      </c>
      <c r="E56" s="580">
        <f t="shared" ref="E56:K56" si="603">R211</f>
        <v>0.39594201493107606</v>
      </c>
      <c r="F56" s="572">
        <f t="shared" si="603"/>
        <v>0.88115045435693129</v>
      </c>
      <c r="G56" s="579">
        <f t="shared" si="603"/>
        <v>0.25846430623761779</v>
      </c>
      <c r="H56" s="580">
        <f t="shared" si="603"/>
        <v>0.3125</v>
      </c>
      <c r="I56" s="572">
        <f t="shared" si="603"/>
        <v>0.52</v>
      </c>
      <c r="J56" s="483">
        <f t="shared" si="94"/>
        <v>3.1059999999999999</v>
      </c>
      <c r="K56" s="806">
        <f t="shared" si="603"/>
        <v>1613</v>
      </c>
      <c r="L56" s="309"/>
      <c r="M56" s="164">
        <f t="shared" si="325"/>
        <v>3.1059999999999999</v>
      </c>
      <c r="N56" s="575">
        <f t="shared" si="326"/>
        <v>1.4366830234379888</v>
      </c>
      <c r="O56" s="572">
        <f t="shared" si="327"/>
        <v>-0.66993737602807468</v>
      </c>
      <c r="P56" s="576">
        <f t="shared" si="328"/>
        <v>-0.83850252892362731</v>
      </c>
      <c r="Q56" s="528">
        <f t="shared" si="144"/>
        <v>334.99996462638171</v>
      </c>
      <c r="R56" s="572">
        <f t="shared" si="547"/>
        <v>1.5852047809776195</v>
      </c>
      <c r="S56" s="577">
        <f t="shared" si="548"/>
        <v>-0.83850252892362731</v>
      </c>
      <c r="T56" s="578">
        <f t="shared" si="549"/>
        <v>-0.66993737602807457</v>
      </c>
      <c r="U56" s="572">
        <f t="shared" si="550"/>
        <v>-1.4366830234379888</v>
      </c>
      <c r="V56" s="579">
        <f t="shared" si="551"/>
        <v>-0.83850252892362731</v>
      </c>
      <c r="W56" s="528">
        <f t="shared" si="268"/>
        <v>244.99996462638171</v>
      </c>
      <c r="X56" s="572">
        <f t="shared" si="552"/>
        <v>1.5852047809776195</v>
      </c>
      <c r="Y56" s="573">
        <f t="shared" si="271"/>
        <v>-0.83850252892362731</v>
      </c>
      <c r="Z56" s="575">
        <f t="shared" si="329"/>
        <v>-0.39594201493107606</v>
      </c>
      <c r="AA56" s="572">
        <f t="shared" si="330"/>
        <v>-0.88115045435693129</v>
      </c>
      <c r="AB56" s="572">
        <f t="shared" si="331"/>
        <v>-0.25846430623761779</v>
      </c>
      <c r="AC56" s="579">
        <f t="shared" si="553"/>
        <v>1</v>
      </c>
      <c r="AD56" s="580">
        <f t="shared" si="554"/>
        <v>-0.39594201493107606</v>
      </c>
      <c r="AE56" s="572">
        <f t="shared" si="555"/>
        <v>-0.88115045435693129</v>
      </c>
      <c r="AF56" s="576">
        <f t="shared" si="556"/>
        <v>-0.25846430623761779</v>
      </c>
      <c r="AG56" s="545">
        <f t="shared" si="557"/>
        <v>-73.652217245726192</v>
      </c>
      <c r="AH56" s="546">
        <f t="shared" si="558"/>
        <v>113.32473807810982</v>
      </c>
      <c r="AI56" s="528">
        <f t="shared" si="559"/>
        <v>-75.021040994812239</v>
      </c>
      <c r="AJ56" s="529">
        <f t="shared" si="560"/>
        <v>-24.196607945570896</v>
      </c>
      <c r="AK56" s="578">
        <f t="shared" si="561"/>
        <v>0.96592583607220728</v>
      </c>
      <c r="AL56" s="572">
        <f t="shared" si="562"/>
        <v>1.3545538354532427E-2</v>
      </c>
      <c r="AM56" s="577">
        <f t="shared" si="563"/>
        <v>-0.25846430623761779</v>
      </c>
      <c r="AN56" s="524">
        <f t="shared" si="564"/>
        <v>2.9999995668536164</v>
      </c>
      <c r="AO56" s="525">
        <f t="shared" ref="AO56:AO119" si="604">IF(ROUND(IF(M56="",0,DEGREES(ACOS(AK56))),4)=90,0,IF(M56="","",DEGREES(ACOS(AK56))))</f>
        <v>14.99999783426828</v>
      </c>
      <c r="AP56" s="528">
        <f t="shared" si="565"/>
        <v>0.80342742804737532</v>
      </c>
      <c r="AQ56" s="529">
        <f t="shared" si="332"/>
        <v>1.4378256283968918</v>
      </c>
      <c r="AR56" s="979"/>
      <c r="AS56" s="954">
        <f t="shared" si="524"/>
        <v>-115.00003537361829</v>
      </c>
      <c r="AT56" s="950">
        <f t="shared" si="333"/>
        <v>-0.75864139324750346</v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41"/>
        <v>3.1059999999999999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85"/>
        <v>1613</v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>
        <f t="shared" si="133"/>
        <v>6</v>
      </c>
      <c r="JN56" s="960">
        <f>($JO56-SMALL($JO$9:$JO$88,1))/((Settings!$C$19/2)-((Settings!$C$19/2)-LARGE($JO$9:$JO$88,1))-SMALL($JO$9:$JO$88,1))</f>
        <v>0.15208101191423709</v>
      </c>
      <c r="JO56" s="162">
        <f t="shared" si="134"/>
        <v>1.5852047809776195</v>
      </c>
      <c r="JP56" s="961">
        <f t="shared" si="135"/>
        <v>2.9999995668536164</v>
      </c>
      <c r="JQ56" s="961">
        <f t="shared" si="136"/>
        <v>14.99999783426828</v>
      </c>
      <c r="JU56" s="962"/>
      <c r="JV56" s="959"/>
      <c r="JW56" s="959"/>
    </row>
    <row r="57" spans="1:284" ht="15" customHeight="1" x14ac:dyDescent="0.25">
      <c r="A57" s="75">
        <f t="shared" si="322"/>
        <v>0</v>
      </c>
      <c r="B57" s="578">
        <f t="shared" ref="B57:D57" si="605">IFERROR(O212+($A57*-E57),"")</f>
        <v>2.1096183911535498</v>
      </c>
      <c r="C57" s="572">
        <f t="shared" si="605"/>
        <v>-0.98373279723728857</v>
      </c>
      <c r="D57" s="576">
        <f t="shared" si="605"/>
        <v>-0.6395019287378173</v>
      </c>
      <c r="E57" s="580">
        <f t="shared" ref="E57:K57" si="606">R212</f>
        <v>0.39594201493107617</v>
      </c>
      <c r="F57" s="572">
        <f t="shared" si="606"/>
        <v>0.88115045435693129</v>
      </c>
      <c r="G57" s="579">
        <f t="shared" si="606"/>
        <v>0.25846430623761785</v>
      </c>
      <c r="H57" s="580">
        <f t="shared" si="606"/>
        <v>0.3125</v>
      </c>
      <c r="I57" s="572">
        <f t="shared" si="606"/>
        <v>0.52</v>
      </c>
      <c r="J57" s="483">
        <f t="shared" si="94"/>
        <v>3.109</v>
      </c>
      <c r="K57" s="806">
        <f t="shared" si="606"/>
        <v>1613</v>
      </c>
      <c r="L57" s="309"/>
      <c r="M57" s="164">
        <f t="shared" si="325"/>
        <v>3.109</v>
      </c>
      <c r="N57" s="575">
        <f t="shared" si="326"/>
        <v>2.1096183911535498</v>
      </c>
      <c r="O57" s="572">
        <f t="shared" si="327"/>
        <v>-0.98373279723728857</v>
      </c>
      <c r="P57" s="576">
        <f t="shared" si="328"/>
        <v>-0.6395019287378173</v>
      </c>
      <c r="Q57" s="528">
        <f t="shared" si="144"/>
        <v>334.99996462638171</v>
      </c>
      <c r="R57" s="572">
        <f t="shared" si="547"/>
        <v>2.3277070203643739</v>
      </c>
      <c r="S57" s="577">
        <f t="shared" si="548"/>
        <v>-0.6395019287378173</v>
      </c>
      <c r="T57" s="578">
        <f t="shared" si="549"/>
        <v>-0.98373279723728835</v>
      </c>
      <c r="U57" s="572">
        <f t="shared" si="550"/>
        <v>-2.1096183911535498</v>
      </c>
      <c r="V57" s="579">
        <f t="shared" si="551"/>
        <v>-0.6395019287378173</v>
      </c>
      <c r="W57" s="528">
        <f t="shared" si="268"/>
        <v>244.99996462638171</v>
      </c>
      <c r="X57" s="572">
        <f t="shared" si="552"/>
        <v>2.3277070203643739</v>
      </c>
      <c r="Y57" s="573">
        <f t="shared" si="271"/>
        <v>-0.6395019287378173</v>
      </c>
      <c r="Z57" s="575">
        <f t="shared" si="329"/>
        <v>-0.39594201493107617</v>
      </c>
      <c r="AA57" s="572">
        <f t="shared" si="330"/>
        <v>-0.88115045435693129</v>
      </c>
      <c r="AB57" s="572">
        <f t="shared" si="331"/>
        <v>-0.25846430623761785</v>
      </c>
      <c r="AC57" s="579">
        <f t="shared" si="553"/>
        <v>1</v>
      </c>
      <c r="AD57" s="580">
        <f t="shared" si="554"/>
        <v>-0.39594201493107617</v>
      </c>
      <c r="AE57" s="572">
        <f t="shared" si="555"/>
        <v>-0.88115045435693129</v>
      </c>
      <c r="AF57" s="576">
        <f t="shared" si="556"/>
        <v>-0.25846430623761785</v>
      </c>
      <c r="AG57" s="545">
        <f t="shared" si="557"/>
        <v>-73.652217245726192</v>
      </c>
      <c r="AH57" s="546">
        <f t="shared" si="558"/>
        <v>113.32473807810982</v>
      </c>
      <c r="AI57" s="528">
        <f t="shared" si="559"/>
        <v>-75.021040994812239</v>
      </c>
      <c r="AJ57" s="529">
        <f t="shared" si="560"/>
        <v>-24.196607945570904</v>
      </c>
      <c r="AK57" s="578">
        <f t="shared" si="561"/>
        <v>0.96592583607220739</v>
      </c>
      <c r="AL57" s="572">
        <f t="shared" si="562"/>
        <v>1.3545538354532316E-2</v>
      </c>
      <c r="AM57" s="577">
        <f t="shared" si="563"/>
        <v>-0.25846430623761785</v>
      </c>
      <c r="AN57" s="524">
        <f t="shared" si="564"/>
        <v>2.999999566853591</v>
      </c>
      <c r="AO57" s="525">
        <f t="shared" si="604"/>
        <v>14.999997834268255</v>
      </c>
      <c r="AP57" s="528">
        <f t="shared" si="565"/>
        <v>0.80342742804736866</v>
      </c>
      <c r="AQ57" s="529">
        <f t="shared" si="332"/>
        <v>0.97929190143881661</v>
      </c>
      <c r="AR57" s="979"/>
      <c r="AS57" s="954">
        <f t="shared" si="524"/>
        <v>-115.00003537361829</v>
      </c>
      <c r="AT57" s="950">
        <f t="shared" si="333"/>
        <v>-0.55964079306169345</v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41"/>
        <v>3.109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85"/>
        <v>1613</v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>
        <f t="shared" si="133"/>
        <v>9</v>
      </c>
      <c r="JN57" s="960">
        <f>($JO57-SMALL($JO$9:$JO$88,1))/((Settings!$C$19/2)-((Settings!$C$19/2)-LARGE($JO$9:$JO$88,1))-SMALL($JO$9:$JO$88,1))</f>
        <v>0.24299900816731368</v>
      </c>
      <c r="JO57" s="162">
        <f t="shared" si="134"/>
        <v>2.3277070203643739</v>
      </c>
      <c r="JP57" s="961">
        <f t="shared" si="135"/>
        <v>2.999999566853591</v>
      </c>
      <c r="JQ57" s="961">
        <f t="shared" si="136"/>
        <v>14.999997834268255</v>
      </c>
      <c r="JU57" s="962"/>
      <c r="JV57" s="959"/>
      <c r="JW57" s="959"/>
    </row>
    <row r="58" spans="1:284" ht="15" customHeight="1" x14ac:dyDescent="0.25">
      <c r="A58" s="75">
        <f t="shared" si="322"/>
        <v>0</v>
      </c>
      <c r="B58" s="578">
        <f t="shared" ref="B58:D58" si="607">IFERROR(O213+($A58*-E58),"")</f>
        <v>2.782644389895065</v>
      </c>
      <c r="C58" s="572">
        <f t="shared" si="607"/>
        <v>-1.2975704804560928</v>
      </c>
      <c r="D58" s="576">
        <f t="shared" si="607"/>
        <v>-0.44060132885360775</v>
      </c>
      <c r="E58" s="580">
        <f t="shared" ref="E58:K58" si="608">R213</f>
        <v>0.39594201493107611</v>
      </c>
      <c r="F58" s="572">
        <f t="shared" si="608"/>
        <v>0.88115045435693129</v>
      </c>
      <c r="G58" s="579">
        <f t="shared" si="608"/>
        <v>0.25846430623761785</v>
      </c>
      <c r="H58" s="580">
        <f t="shared" si="608"/>
        <v>0.3125</v>
      </c>
      <c r="I58" s="572">
        <f t="shared" si="608"/>
        <v>0.52</v>
      </c>
      <c r="J58" s="483">
        <f t="shared" si="94"/>
        <v>3.1120000000000001</v>
      </c>
      <c r="K58" s="806">
        <f t="shared" si="608"/>
        <v>1613</v>
      </c>
      <c r="L58" s="309"/>
      <c r="M58" s="164">
        <f t="shared" si="325"/>
        <v>3.1120000000000001</v>
      </c>
      <c r="N58" s="575">
        <f t="shared" si="326"/>
        <v>2.782644389895065</v>
      </c>
      <c r="O58" s="572">
        <f t="shared" si="327"/>
        <v>-1.2975704804560928</v>
      </c>
      <c r="P58" s="576">
        <f t="shared" si="328"/>
        <v>-0.44060132885360775</v>
      </c>
      <c r="Q58" s="528">
        <f t="shared" si="144"/>
        <v>334.99996462638171</v>
      </c>
      <c r="R58" s="572">
        <f t="shared" si="547"/>
        <v>3.0703092600527286</v>
      </c>
      <c r="S58" s="577">
        <f t="shared" si="548"/>
        <v>-0.44060132885360775</v>
      </c>
      <c r="T58" s="578">
        <f t="shared" si="549"/>
        <v>-1.2975704804560924</v>
      </c>
      <c r="U58" s="572">
        <f t="shared" si="550"/>
        <v>-2.782644389895065</v>
      </c>
      <c r="V58" s="579">
        <f t="shared" si="551"/>
        <v>-0.44060132885360775</v>
      </c>
      <c r="W58" s="528">
        <f t="shared" si="268"/>
        <v>244.99996462638171</v>
      </c>
      <c r="X58" s="572">
        <f t="shared" si="552"/>
        <v>3.0703092600527286</v>
      </c>
      <c r="Y58" s="573">
        <f t="shared" si="271"/>
        <v>-0.44060132885360775</v>
      </c>
      <c r="Z58" s="575">
        <f t="shared" si="329"/>
        <v>-0.39594201493107611</v>
      </c>
      <c r="AA58" s="572">
        <f t="shared" si="330"/>
        <v>-0.88115045435693129</v>
      </c>
      <c r="AB58" s="572">
        <f t="shared" si="331"/>
        <v>-0.25846430623761785</v>
      </c>
      <c r="AC58" s="579">
        <f t="shared" si="553"/>
        <v>1</v>
      </c>
      <c r="AD58" s="580">
        <f t="shared" si="554"/>
        <v>-0.39594201493107611</v>
      </c>
      <c r="AE58" s="572">
        <f t="shared" si="555"/>
        <v>-0.88115045435693129</v>
      </c>
      <c r="AF58" s="576">
        <f t="shared" si="556"/>
        <v>-0.25846430623761785</v>
      </c>
      <c r="AG58" s="545">
        <f t="shared" si="557"/>
        <v>-73.652217245726192</v>
      </c>
      <c r="AH58" s="546">
        <f t="shared" si="558"/>
        <v>113.32473807810982</v>
      </c>
      <c r="AI58" s="528">
        <f t="shared" si="559"/>
        <v>-75.021040994812239</v>
      </c>
      <c r="AJ58" s="529">
        <f t="shared" si="560"/>
        <v>-24.1966079455709</v>
      </c>
      <c r="AK58" s="578">
        <f t="shared" si="561"/>
        <v>0.96592583607220739</v>
      </c>
      <c r="AL58" s="572">
        <f t="shared" si="562"/>
        <v>1.3545538354532372E-2</v>
      </c>
      <c r="AM58" s="577">
        <f t="shared" si="563"/>
        <v>-0.25846430623761785</v>
      </c>
      <c r="AN58" s="524">
        <f t="shared" si="564"/>
        <v>2.9999995668536035</v>
      </c>
      <c r="AO58" s="525">
        <f t="shared" si="604"/>
        <v>14.999997834268255</v>
      </c>
      <c r="AP58" s="528">
        <f t="shared" si="565"/>
        <v>0.80342742804737199</v>
      </c>
      <c r="AQ58" s="529">
        <f t="shared" si="332"/>
        <v>0.74246560593055677</v>
      </c>
      <c r="AR58" s="979"/>
      <c r="AS58" s="954">
        <f t="shared" si="524"/>
        <v>-115.00003537361829</v>
      </c>
      <c r="AT58" s="950">
        <f t="shared" si="333"/>
        <v>-0.36074019317748396</v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41"/>
        <v>3.1120000000000001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85"/>
        <v>1613</v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>
        <f t="shared" si="133"/>
        <v>12</v>
      </c>
      <c r="JN58" s="960">
        <f>($JO58-SMALL($JO$9:$JO$88,1))/((Settings!$C$19/2)-((Settings!$C$19/2)-LARGE($JO$9:$JO$88,1))-SMALL($JO$9:$JO$88,1))</f>
        <v>0.33392924926837042</v>
      </c>
      <c r="JO58" s="162">
        <f t="shared" si="134"/>
        <v>3.0703092600527286</v>
      </c>
      <c r="JP58" s="961">
        <f t="shared" si="135"/>
        <v>2.9999995668536035</v>
      </c>
      <c r="JQ58" s="961">
        <f t="shared" si="136"/>
        <v>14.999997834268255</v>
      </c>
      <c r="JU58" s="962"/>
      <c r="JV58" s="959"/>
      <c r="JW58" s="959"/>
    </row>
    <row r="59" spans="1:284" ht="15" customHeight="1" x14ac:dyDescent="0.25">
      <c r="A59" s="75">
        <f t="shared" si="322"/>
        <v>0</v>
      </c>
      <c r="B59" s="578">
        <f t="shared" ref="B59:D59" si="609">IFERROR(O214+($A59*-E59),"")</f>
        <v>3.4562125678158604</v>
      </c>
      <c r="C59" s="572">
        <f t="shared" si="609"/>
        <v>-1.6121383649465659</v>
      </c>
      <c r="D59" s="576">
        <f t="shared" si="609"/>
        <v>-0.24510073922382949</v>
      </c>
      <c r="E59" s="580">
        <f t="shared" ref="E59:K59" si="610">R214</f>
        <v>0.40845420938149801</v>
      </c>
      <c r="F59" s="572">
        <f t="shared" si="610"/>
        <v>0.87531588715336839</v>
      </c>
      <c r="G59" s="579">
        <f t="shared" si="610"/>
        <v>0.25881896479092731</v>
      </c>
      <c r="H59" s="580">
        <f t="shared" si="610"/>
        <v>0.3125</v>
      </c>
      <c r="I59" s="572">
        <f t="shared" si="610"/>
        <v>0.52</v>
      </c>
      <c r="J59" s="483">
        <f t="shared" si="94"/>
        <v>3.1150000000000002</v>
      </c>
      <c r="K59" s="806">
        <f t="shared" si="610"/>
        <v>1613</v>
      </c>
      <c r="L59" s="309"/>
      <c r="M59" s="164">
        <f t="shared" si="325"/>
        <v>3.1150000000000002</v>
      </c>
      <c r="N59" s="575">
        <f t="shared" si="326"/>
        <v>3.4562125678158604</v>
      </c>
      <c r="O59" s="572">
        <f t="shared" si="327"/>
        <v>-1.6121383649465659</v>
      </c>
      <c r="P59" s="576">
        <f t="shared" si="328"/>
        <v>-0.24510073922382949</v>
      </c>
      <c r="Q59" s="528">
        <f t="shared" si="144"/>
        <v>334.99346462732024</v>
      </c>
      <c r="R59" s="572">
        <f t="shared" si="95"/>
        <v>3.8137115021538914</v>
      </c>
      <c r="S59" s="577">
        <f t="shared" si="96"/>
        <v>-0.24510073922382949</v>
      </c>
      <c r="T59" s="578">
        <f t="shared" si="97"/>
        <v>-1.6121383649465659</v>
      </c>
      <c r="U59" s="572">
        <f t="shared" si="98"/>
        <v>-3.4562125678158604</v>
      </c>
      <c r="V59" s="579">
        <f t="shared" si="145"/>
        <v>-0.24510073922382949</v>
      </c>
      <c r="W59" s="528">
        <f t="shared" si="268"/>
        <v>244.99346462732024</v>
      </c>
      <c r="X59" s="572">
        <f t="shared" si="99"/>
        <v>3.8137115021538914</v>
      </c>
      <c r="Y59" s="573">
        <f t="shared" si="271"/>
        <v>-0.24510073922382949</v>
      </c>
      <c r="Z59" s="575">
        <f t="shared" si="329"/>
        <v>-0.40845420938149801</v>
      </c>
      <c r="AA59" s="572">
        <f t="shared" si="330"/>
        <v>-0.87531588715336839</v>
      </c>
      <c r="AB59" s="572">
        <f t="shared" si="331"/>
        <v>-0.25881896479092731</v>
      </c>
      <c r="AC59" s="579">
        <f t="shared" si="100"/>
        <v>1</v>
      </c>
      <c r="AD59" s="580">
        <f t="shared" si="146"/>
        <v>-0.40845420938149801</v>
      </c>
      <c r="AE59" s="572">
        <f t="shared" si="101"/>
        <v>-0.87531588715336839</v>
      </c>
      <c r="AF59" s="576">
        <f t="shared" si="102"/>
        <v>-0.25881896479092731</v>
      </c>
      <c r="AG59" s="545">
        <f t="shared" si="103"/>
        <v>-73.527770532570585</v>
      </c>
      <c r="AH59" s="546">
        <f t="shared" si="104"/>
        <v>114.1077675777485</v>
      </c>
      <c r="AI59" s="528">
        <f t="shared" si="105"/>
        <v>-75.000004763839186</v>
      </c>
      <c r="AJ59" s="529">
        <f t="shared" si="106"/>
        <v>-25.01546700921131</v>
      </c>
      <c r="AK59" s="578">
        <f t="shared" si="247"/>
        <v>0.96592583607220739</v>
      </c>
      <c r="AL59" s="572">
        <f t="shared" si="107"/>
        <v>-1.5057476532137626E-4</v>
      </c>
      <c r="AM59" s="577">
        <f t="shared" si="108"/>
        <v>-0.25881896479092731</v>
      </c>
      <c r="AN59" s="524">
        <f t="shared" si="109"/>
        <v>-3.3333328520629417E-2</v>
      </c>
      <c r="AO59" s="525">
        <f t="shared" si="604"/>
        <v>14.999997834268255</v>
      </c>
      <c r="AP59" s="528">
        <f t="shared" si="111"/>
        <v>-8.9316365315234639E-3</v>
      </c>
      <c r="AQ59" s="529">
        <f t="shared" si="332"/>
        <v>0.59774944190566004</v>
      </c>
      <c r="AR59" s="979"/>
      <c r="AS59" s="954">
        <f t="shared" si="524"/>
        <v>-115.00653537267976</v>
      </c>
      <c r="AT59" s="950">
        <f t="shared" si="333"/>
        <v>-0.16523508965946854</v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41"/>
        <v>3.1150000000000002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85"/>
        <v>1613</v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>
        <f t="shared" si="133"/>
        <v>15</v>
      </c>
      <c r="JN59" s="960">
        <f>($JO59-SMALL($JO$9:$JO$88,1))/((Settings!$C$19/2)-((Settings!$C$19/2)-LARGE($JO$9:$JO$88,1))-SMALL($JO$9:$JO$88,1))</f>
        <v>0.42495744915326894</v>
      </c>
      <c r="JO59" s="162">
        <f t="shared" si="134"/>
        <v>3.8137115021538914</v>
      </c>
      <c r="JP59" s="961">
        <f t="shared" si="135"/>
        <v>-3.3333328520629417E-2</v>
      </c>
      <c r="JQ59" s="961">
        <f t="shared" si="136"/>
        <v>14.999997834268255</v>
      </c>
      <c r="JU59" s="962"/>
      <c r="JV59" s="959"/>
      <c r="JW59" s="959"/>
    </row>
    <row r="60" spans="1:284" ht="15" customHeight="1" x14ac:dyDescent="0.25">
      <c r="A60" s="75">
        <f t="shared" si="322"/>
        <v>0</v>
      </c>
      <c r="B60" s="578">
        <f t="shared" ref="B60:D60" si="611">IFERROR(O215+($A60*-E60),"")</f>
        <v>4.1389789158405632</v>
      </c>
      <c r="C60" s="572">
        <f t="shared" si="611"/>
        <v>-1.9520723077203894</v>
      </c>
      <c r="D60" s="576">
        <f t="shared" si="611"/>
        <v>-0.15660047230702451</v>
      </c>
      <c r="E60" s="580">
        <f t="shared" ref="E60:K60" si="612">R215</f>
        <v>0.44928795309712621</v>
      </c>
      <c r="F60" s="572">
        <f t="shared" si="612"/>
        <v>0.85506095766929724</v>
      </c>
      <c r="G60" s="579">
        <f t="shared" si="612"/>
        <v>0.25886501090618402</v>
      </c>
      <c r="H60" s="580">
        <f t="shared" si="612"/>
        <v>0.3125</v>
      </c>
      <c r="I60" s="572">
        <f t="shared" si="612"/>
        <v>0.52</v>
      </c>
      <c r="J60" s="483">
        <f t="shared" si="94"/>
        <v>3.1179999999999999</v>
      </c>
      <c r="K60" s="806">
        <f t="shared" si="612"/>
        <v>1613</v>
      </c>
      <c r="L60" s="309"/>
      <c r="M60" s="164">
        <f t="shared" si="325"/>
        <v>3.1179999999999999</v>
      </c>
      <c r="N60" s="575">
        <f t="shared" si="326"/>
        <v>4.1389789158405632</v>
      </c>
      <c r="O60" s="572">
        <f t="shared" si="327"/>
        <v>-1.9520723077203894</v>
      </c>
      <c r="P60" s="576">
        <f t="shared" si="328"/>
        <v>-0.15660047230702451</v>
      </c>
      <c r="Q60" s="528">
        <f t="shared" si="144"/>
        <v>334.74996466247723</v>
      </c>
      <c r="R60" s="572">
        <f t="shared" si="95"/>
        <v>4.5762138018608276</v>
      </c>
      <c r="S60" s="577">
        <f t="shared" si="96"/>
        <v>-0.15660047230702451</v>
      </c>
      <c r="T60" s="578">
        <f t="shared" si="97"/>
        <v>-1.9520723077203916</v>
      </c>
      <c r="U60" s="572">
        <f t="shared" si="98"/>
        <v>-4.1389789158405614</v>
      </c>
      <c r="V60" s="579">
        <f t="shared" si="145"/>
        <v>-0.15660047230702451</v>
      </c>
      <c r="W60" s="528">
        <f t="shared" si="268"/>
        <v>244.74996466247723</v>
      </c>
      <c r="X60" s="572">
        <f t="shared" si="99"/>
        <v>4.5762138018608276</v>
      </c>
      <c r="Y60" s="573">
        <f t="shared" si="271"/>
        <v>-0.15660047230702451</v>
      </c>
      <c r="Z60" s="575">
        <f t="shared" si="329"/>
        <v>-0.44928795309712621</v>
      </c>
      <c r="AA60" s="572">
        <f t="shared" si="330"/>
        <v>-0.85506095766929724</v>
      </c>
      <c r="AB60" s="572">
        <f t="shared" si="331"/>
        <v>-0.25886501090618402</v>
      </c>
      <c r="AC60" s="579">
        <f t="shared" si="100"/>
        <v>1</v>
      </c>
      <c r="AD60" s="580">
        <f t="shared" si="146"/>
        <v>-0.44928795309712621</v>
      </c>
      <c r="AE60" s="572">
        <f t="shared" si="101"/>
        <v>-0.85506095766929724</v>
      </c>
      <c r="AF60" s="576">
        <f t="shared" si="102"/>
        <v>-0.25886501090618402</v>
      </c>
      <c r="AG60" s="545">
        <f t="shared" si="103"/>
        <v>-73.156599954926591</v>
      </c>
      <c r="AH60" s="546">
        <f t="shared" si="104"/>
        <v>116.69800893371161</v>
      </c>
      <c r="AI60" s="528">
        <f t="shared" si="105"/>
        <v>-74.997273431072912</v>
      </c>
      <c r="AJ60" s="529">
        <f t="shared" si="106"/>
        <v>-27.719480234729303</v>
      </c>
      <c r="AK60" s="578">
        <f t="shared" si="247"/>
        <v>0.965016504514979</v>
      </c>
      <c r="AL60" s="572">
        <f t="shared" si="107"/>
        <v>-4.16179305376011E-2</v>
      </c>
      <c r="AM60" s="577">
        <f t="shared" si="108"/>
        <v>-0.25886501090618402</v>
      </c>
      <c r="AN60" s="524">
        <f t="shared" si="109"/>
        <v>-9.13333201464323</v>
      </c>
      <c r="AO60" s="525">
        <f t="shared" si="604"/>
        <v>15.19999780539186</v>
      </c>
      <c r="AP60" s="528">
        <f t="shared" si="111"/>
        <v>-2.4694448972065222</v>
      </c>
      <c r="AQ60" s="529">
        <f t="shared" si="332"/>
        <v>0.49815618020052455</v>
      </c>
      <c r="AR60" s="979"/>
      <c r="AS60" s="954">
        <f t="shared" si="524"/>
        <v>-115.25003533752277</v>
      </c>
      <c r="AT60" s="950">
        <f t="shared" si="333"/>
        <v>-7.6565725544855912E-2</v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41"/>
        <v>3.1179999999999999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85"/>
        <v>1613</v>
      </c>
      <c r="IM60" s="482" t="str">
        <f t="shared" si="242"/>
        <v/>
      </c>
      <c r="IN60" s="670" t="str">
        <f t="shared" si="486"/>
        <v/>
      </c>
      <c r="IO60" s="702"/>
      <c r="IP60" s="5" t="str">
        <f t="shared" si="487"/>
        <v/>
      </c>
      <c r="IQ60" s="714"/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>
        <f t="shared" si="133"/>
        <v>18</v>
      </c>
      <c r="JN60" s="960">
        <f>($JO60-SMALL($JO$9:$JO$88,1))/((Settings!$C$19/2)-((Settings!$C$19/2)-LARGE($JO$9:$JO$88,1))-SMALL($JO$9:$JO$88,1))</f>
        <v>0.51832441500238791</v>
      </c>
      <c r="JO60" s="162">
        <f t="shared" si="134"/>
        <v>4.5762138018608276</v>
      </c>
      <c r="JP60" s="961">
        <f t="shared" si="135"/>
        <v>-9.13333201464323</v>
      </c>
      <c r="JQ60" s="961">
        <f t="shared" si="136"/>
        <v>15.19999780539186</v>
      </c>
      <c r="JU60" s="962"/>
      <c r="JV60" s="959"/>
      <c r="JW60" s="959"/>
    </row>
    <row r="61" spans="1:284" ht="15" customHeight="1" x14ac:dyDescent="0.25">
      <c r="A61" s="75">
        <f t="shared" si="322"/>
        <v>0</v>
      </c>
      <c r="B61" s="578">
        <f t="shared" ref="B61:D61" si="613">IFERROR(O216+($A61*-E61),"")</f>
        <v>4.8110016237254918</v>
      </c>
      <c r="C61" s="572">
        <f t="shared" si="613"/>
        <v>-2.3184856405853735</v>
      </c>
      <c r="D61" s="576">
        <f t="shared" si="613"/>
        <v>-0.2261006819196566</v>
      </c>
      <c r="E61" s="580">
        <f t="shared" ref="E61:K61" si="614">R216</f>
        <v>0.49474147363034982</v>
      </c>
      <c r="F61" s="572">
        <f t="shared" si="614"/>
        <v>0.82917120438009195</v>
      </c>
      <c r="G61" s="579">
        <f t="shared" si="614"/>
        <v>0.26020374343375208</v>
      </c>
      <c r="H61" s="580">
        <f t="shared" si="614"/>
        <v>0.3125</v>
      </c>
      <c r="I61" s="572">
        <f t="shared" si="614"/>
        <v>0.52</v>
      </c>
      <c r="J61" s="483">
        <f t="shared" si="94"/>
        <v>3.121</v>
      </c>
      <c r="K61" s="806">
        <f t="shared" si="614"/>
        <v>1613</v>
      </c>
      <c r="L61" s="309"/>
      <c r="M61" s="164">
        <f t="shared" si="325"/>
        <v>3.121</v>
      </c>
      <c r="N61" s="575">
        <f t="shared" si="326"/>
        <v>4.8110016237254918</v>
      </c>
      <c r="O61" s="572">
        <f t="shared" si="327"/>
        <v>-2.3184856405853735</v>
      </c>
      <c r="P61" s="576">
        <f t="shared" si="328"/>
        <v>-0.2261006819196566</v>
      </c>
      <c r="Q61" s="528">
        <f t="shared" si="144"/>
        <v>334.26996473178065</v>
      </c>
      <c r="R61" s="572">
        <f t="shared" si="95"/>
        <v>5.3405161069965787</v>
      </c>
      <c r="S61" s="577">
        <f t="shared" si="96"/>
        <v>-0.2261006819196566</v>
      </c>
      <c r="T61" s="578">
        <f t="shared" si="97"/>
        <v>-2.3184856405853775</v>
      </c>
      <c r="U61" s="572">
        <f t="shared" si="98"/>
        <v>-4.8110016237254909</v>
      </c>
      <c r="V61" s="579">
        <f t="shared" si="145"/>
        <v>-0.2261006819196566</v>
      </c>
      <c r="W61" s="528">
        <f t="shared" si="268"/>
        <v>244.26996473178065</v>
      </c>
      <c r="X61" s="572">
        <f t="shared" si="99"/>
        <v>5.3405161069965787</v>
      </c>
      <c r="Y61" s="573">
        <f t="shared" si="271"/>
        <v>-0.2261006819196566</v>
      </c>
      <c r="Z61" s="575">
        <f t="shared" si="329"/>
        <v>-0.49474147363034982</v>
      </c>
      <c r="AA61" s="572">
        <f t="shared" si="330"/>
        <v>-0.82917120438009195</v>
      </c>
      <c r="AB61" s="572">
        <f t="shared" si="331"/>
        <v>-0.26020374343375208</v>
      </c>
      <c r="AC61" s="579">
        <f t="shared" si="100"/>
        <v>1</v>
      </c>
      <c r="AD61" s="580">
        <f t="shared" si="146"/>
        <v>-0.49474147363034982</v>
      </c>
      <c r="AE61" s="572">
        <f t="shared" si="101"/>
        <v>-0.82917120438009195</v>
      </c>
      <c r="AF61" s="576">
        <f t="shared" si="102"/>
        <v>-0.26020374343375208</v>
      </c>
      <c r="AG61" s="545">
        <f t="shared" si="103"/>
        <v>-72.577525023005919</v>
      </c>
      <c r="AH61" s="546">
        <f t="shared" si="104"/>
        <v>119.65270426225726</v>
      </c>
      <c r="AI61" s="528">
        <f t="shared" si="105"/>
        <v>-74.91784810116981</v>
      </c>
      <c r="AJ61" s="529">
        <f t="shared" si="106"/>
        <v>-30.823254457335757</v>
      </c>
      <c r="AK61" s="578">
        <f t="shared" si="247"/>
        <v>0.96174132052596173</v>
      </c>
      <c r="AL61" s="572">
        <f t="shared" si="107"/>
        <v>-8.5718401151921086E-2</v>
      </c>
      <c r="AM61" s="577">
        <f t="shared" si="108"/>
        <v>-0.26020374343375208</v>
      </c>
      <c r="AN61" s="524">
        <f t="shared" si="109"/>
        <v>-18.233330700765926</v>
      </c>
      <c r="AO61" s="525">
        <f t="shared" si="604"/>
        <v>15.899997704324322</v>
      </c>
      <c r="AP61" s="528">
        <f t="shared" si="111"/>
        <v>-5.0932191891163789</v>
      </c>
      <c r="AQ61" s="529">
        <f t="shared" si="332"/>
        <v>0.42686594457031857</v>
      </c>
      <c r="AR61" s="979"/>
      <c r="AS61" s="954">
        <f t="shared" si="524"/>
        <v>-115.73003526821935</v>
      </c>
      <c r="AT61" s="950">
        <f t="shared" si="333"/>
        <v>-0.14573260187228204</v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41"/>
        <v>3.121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85"/>
        <v>1613</v>
      </c>
      <c r="IM61" s="482" t="str">
        <f t="shared" si="242"/>
        <v/>
      </c>
      <c r="IN61" s="670" t="str">
        <f t="shared" si="486"/>
        <v/>
      </c>
      <c r="IO61" s="702"/>
      <c r="IP61" s="5" t="str">
        <f t="shared" si="487"/>
        <v/>
      </c>
      <c r="IQ61" s="714"/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>
        <f t="shared" si="133"/>
        <v>21</v>
      </c>
      <c r="JN61" s="960">
        <f>($JO61-SMALL($JO$9:$JO$88,1))/((Settings!$C$19/2)-((Settings!$C$19/2)-LARGE($JO$9:$JO$88,1))-SMALL($JO$9:$JO$88,1))</f>
        <v>0.61191178811515057</v>
      </c>
      <c r="JO61" s="162">
        <f t="shared" si="134"/>
        <v>5.3405161069965787</v>
      </c>
      <c r="JP61" s="961">
        <f t="shared" si="135"/>
        <v>-18.233330700765926</v>
      </c>
      <c r="JQ61" s="961">
        <f t="shared" si="136"/>
        <v>15.899997704324322</v>
      </c>
      <c r="JU61" s="962"/>
      <c r="JV61" s="959"/>
      <c r="JW61" s="959"/>
    </row>
    <row r="62" spans="1:284" ht="15" customHeight="1" x14ac:dyDescent="0.25">
      <c r="A62" s="75">
        <f t="shared" si="322"/>
        <v>0</v>
      </c>
      <c r="B62" s="578">
        <f t="shared" ref="B62:D62" si="615">IFERROR(O217+($A62*-E62),"")</f>
        <v>5.4431019583744487</v>
      </c>
      <c r="C62" s="572">
        <f t="shared" si="615"/>
        <v>-2.6960655162384159</v>
      </c>
      <c r="D62" s="576">
        <f t="shared" si="615"/>
        <v>-0.45170136233130925</v>
      </c>
      <c r="E62" s="580">
        <f t="shared" ref="E62:K62" si="616">R217</f>
        <v>0.5447584464511811</v>
      </c>
      <c r="F62" s="572">
        <f t="shared" si="616"/>
        <v>0.79735774107045154</v>
      </c>
      <c r="G62" s="579">
        <f t="shared" si="616"/>
        <v>0.25972845006876427</v>
      </c>
      <c r="H62" s="580">
        <f t="shared" si="616"/>
        <v>0.3125</v>
      </c>
      <c r="I62" s="572">
        <f t="shared" si="616"/>
        <v>0.52</v>
      </c>
      <c r="J62" s="483">
        <f t="shared" si="94"/>
        <v>3.1240000000000001</v>
      </c>
      <c r="K62" s="806">
        <f t="shared" si="616"/>
        <v>1613</v>
      </c>
      <c r="L62" s="309"/>
      <c r="M62" s="164">
        <f t="shared" si="325"/>
        <v>3.1240000000000001</v>
      </c>
      <c r="N62" s="575">
        <f t="shared" si="326"/>
        <v>5.4431019583744487</v>
      </c>
      <c r="O62" s="572">
        <f t="shared" si="327"/>
        <v>-2.6960655162384159</v>
      </c>
      <c r="P62" s="576">
        <f t="shared" si="328"/>
        <v>-0.45170136233130925</v>
      </c>
      <c r="Q62" s="528">
        <f t="shared" si="144"/>
        <v>333.6499648212976</v>
      </c>
      <c r="R62" s="572">
        <f t="shared" si="95"/>
        <v>6.0742183198424531</v>
      </c>
      <c r="S62" s="577">
        <f t="shared" si="96"/>
        <v>-0.45170136233130925</v>
      </c>
      <c r="T62" s="578">
        <f t="shared" si="97"/>
        <v>-2.6960655162384142</v>
      </c>
      <c r="U62" s="572">
        <f t="shared" si="98"/>
        <v>-5.4431019583744495</v>
      </c>
      <c r="V62" s="579">
        <f t="shared" si="145"/>
        <v>-0.45170136233130925</v>
      </c>
      <c r="W62" s="528">
        <f t="shared" si="268"/>
        <v>243.6499648212976</v>
      </c>
      <c r="X62" s="572">
        <f t="shared" si="99"/>
        <v>6.0742183198424531</v>
      </c>
      <c r="Y62" s="573">
        <f t="shared" si="271"/>
        <v>-0.45170136233130925</v>
      </c>
      <c r="Z62" s="575">
        <f t="shared" si="329"/>
        <v>-0.5447584464511811</v>
      </c>
      <c r="AA62" s="572">
        <f t="shared" si="330"/>
        <v>-0.79735774107045154</v>
      </c>
      <c r="AB62" s="572">
        <f t="shared" si="331"/>
        <v>-0.25972845006876427</v>
      </c>
      <c r="AC62" s="579">
        <f t="shared" si="100"/>
        <v>1</v>
      </c>
      <c r="AD62" s="580">
        <f t="shared" si="146"/>
        <v>-0.5447584464511811</v>
      </c>
      <c r="AE62" s="572">
        <f t="shared" si="101"/>
        <v>-0.79735774107045154</v>
      </c>
      <c r="AF62" s="576">
        <f t="shared" si="102"/>
        <v>-0.25972845006876427</v>
      </c>
      <c r="AG62" s="545">
        <f t="shared" si="103"/>
        <v>-71.957684235701279</v>
      </c>
      <c r="AH62" s="546">
        <f t="shared" si="104"/>
        <v>123.00815825419336</v>
      </c>
      <c r="AI62" s="528">
        <f t="shared" si="105"/>
        <v>-74.946050052028184</v>
      </c>
      <c r="AJ62" s="529">
        <f t="shared" si="106"/>
        <v>-34.341067569699931</v>
      </c>
      <c r="AK62" s="578">
        <f t="shared" si="247"/>
        <v>0.95630476848795665</v>
      </c>
      <c r="AL62" s="572">
        <f t="shared" si="107"/>
        <v>-0.13424724202780941</v>
      </c>
      <c r="AM62" s="577">
        <f t="shared" si="108"/>
        <v>-0.25972845006876427</v>
      </c>
      <c r="AN62" s="524">
        <f t="shared" si="109"/>
        <v>-27.333329386888966</v>
      </c>
      <c r="AO62" s="525">
        <f t="shared" si="604"/>
        <v>16.999997545504019</v>
      </c>
      <c r="AP62" s="528">
        <f t="shared" si="111"/>
        <v>-7.9910323909975274</v>
      </c>
      <c r="AQ62" s="529">
        <f t="shared" si="332"/>
        <v>0.37530656728023026</v>
      </c>
      <c r="AR62" s="979"/>
      <c r="AS62" s="954">
        <f t="shared" si="524"/>
        <v>-116.3500351787024</v>
      </c>
      <c r="AT62" s="950">
        <f t="shared" si="333"/>
        <v>-0.3709027267905437</v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41"/>
        <v>3.1240000000000001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85"/>
        <v>1613</v>
      </c>
      <c r="IM62" s="482" t="str">
        <f t="shared" si="242"/>
        <v/>
      </c>
      <c r="IN62" s="670" t="str">
        <f t="shared" si="486"/>
        <v/>
      </c>
      <c r="IO62" s="702"/>
      <c r="IP62" s="5" t="str">
        <f t="shared" si="487"/>
        <v/>
      </c>
      <c r="IQ62" s="714"/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>
        <f t="shared" si="133"/>
        <v>24</v>
      </c>
      <c r="JN62" s="960">
        <f>($JO62-SMALL($JO$9:$JO$88,1))/((Settings!$C$19/2)-((Settings!$C$19/2)-LARGE($JO$9:$JO$88,1))-SMALL($JO$9:$JO$88,1))</f>
        <v>0.70175223774596851</v>
      </c>
      <c r="JO62" s="162">
        <f t="shared" si="134"/>
        <v>6.0742183198424531</v>
      </c>
      <c r="JP62" s="961">
        <f t="shared" si="135"/>
        <v>-27.333329386888966</v>
      </c>
      <c r="JQ62" s="961">
        <f t="shared" si="136"/>
        <v>16.999997545504019</v>
      </c>
      <c r="JU62" s="962"/>
      <c r="JV62" s="959"/>
      <c r="JW62" s="959"/>
    </row>
    <row r="63" spans="1:284" ht="15" customHeight="1" x14ac:dyDescent="0.25">
      <c r="A63" s="75">
        <f t="shared" si="322"/>
        <v>0</v>
      </c>
      <c r="B63" s="578">
        <f t="shared" ref="B63:D63" si="617">IFERROR(O218+($A63*-E63),"")</f>
        <v>6.0110133773913139</v>
      </c>
      <c r="C63" s="572">
        <f t="shared" si="617"/>
        <v>-3.0614475581035836</v>
      </c>
      <c r="D63" s="576">
        <f t="shared" si="617"/>
        <v>-0.82330248308029019</v>
      </c>
      <c r="E63" s="580">
        <f t="shared" ref="E63:K63" si="618">R218</f>
        <v>0.59892552154938072</v>
      </c>
      <c r="F63" s="572">
        <f t="shared" si="618"/>
        <v>0.75857453393845387</v>
      </c>
      <c r="G63" s="579">
        <f t="shared" si="618"/>
        <v>0.2566181912820289</v>
      </c>
      <c r="H63" s="580">
        <f t="shared" si="618"/>
        <v>0.3125</v>
      </c>
      <c r="I63" s="572">
        <f t="shared" si="618"/>
        <v>0.52</v>
      </c>
      <c r="J63" s="483">
        <f t="shared" si="94"/>
        <v>3.1269999999999998</v>
      </c>
      <c r="K63" s="806">
        <f t="shared" si="618"/>
        <v>1613</v>
      </c>
      <c r="L63" s="309"/>
      <c r="M63" s="164">
        <f t="shared" si="325"/>
        <v>3.1269999999999998</v>
      </c>
      <c r="N63" s="575">
        <f t="shared" si="326"/>
        <v>6.0110133773913139</v>
      </c>
      <c r="O63" s="572">
        <f t="shared" si="327"/>
        <v>-3.0614475581035836</v>
      </c>
      <c r="P63" s="576">
        <f t="shared" si="328"/>
        <v>-0.82330248308029019</v>
      </c>
      <c r="Q63" s="528">
        <f t="shared" si="144"/>
        <v>333.00996491370211</v>
      </c>
      <c r="R63" s="572">
        <f t="shared" si="95"/>
        <v>6.7457203450925629</v>
      </c>
      <c r="S63" s="577">
        <f t="shared" si="96"/>
        <v>-0.82330248308029019</v>
      </c>
      <c r="T63" s="578">
        <f t="shared" si="97"/>
        <v>-3.0614475581035845</v>
      </c>
      <c r="U63" s="572">
        <f t="shared" si="98"/>
        <v>-6.011013377391313</v>
      </c>
      <c r="V63" s="579">
        <f t="shared" si="145"/>
        <v>-0.82330248308029019</v>
      </c>
      <c r="W63" s="528">
        <f t="shared" si="268"/>
        <v>243.00996491370211</v>
      </c>
      <c r="X63" s="572">
        <f t="shared" si="99"/>
        <v>6.7457203450925629</v>
      </c>
      <c r="Y63" s="573">
        <f t="shared" si="271"/>
        <v>-0.82330248308029019</v>
      </c>
      <c r="Z63" s="575">
        <f t="shared" si="329"/>
        <v>-0.59892552154938072</v>
      </c>
      <c r="AA63" s="572">
        <f t="shared" si="330"/>
        <v>-0.75857453393845387</v>
      </c>
      <c r="AB63" s="572">
        <f t="shared" si="331"/>
        <v>-0.2566181912820289</v>
      </c>
      <c r="AC63" s="579">
        <f t="shared" si="100"/>
        <v>1</v>
      </c>
      <c r="AD63" s="580">
        <f t="shared" si="146"/>
        <v>-0.59892552154938072</v>
      </c>
      <c r="AE63" s="572">
        <f t="shared" si="101"/>
        <v>-0.75857453393845387</v>
      </c>
      <c r="AF63" s="576">
        <f t="shared" si="102"/>
        <v>-0.2566181912820289</v>
      </c>
      <c r="AG63" s="545">
        <f t="shared" si="103"/>
        <v>-71.309835073656885</v>
      </c>
      <c r="AH63" s="546">
        <f t="shared" si="104"/>
        <v>126.79298249198156</v>
      </c>
      <c r="AI63" s="528">
        <f t="shared" si="105"/>
        <v>-75.130508234770815</v>
      </c>
      <c r="AJ63" s="529">
        <f t="shared" si="106"/>
        <v>-38.292531008026906</v>
      </c>
      <c r="AK63" s="578">
        <f t="shared" si="247"/>
        <v>0.94776842495950908</v>
      </c>
      <c r="AL63" s="572">
        <f t="shared" si="107"/>
        <v>-0.18942575472440792</v>
      </c>
      <c r="AM63" s="577">
        <f t="shared" si="108"/>
        <v>-0.2566181912820289</v>
      </c>
      <c r="AN63" s="524">
        <f t="shared" si="109"/>
        <v>-36.433328073011502</v>
      </c>
      <c r="AO63" s="525">
        <f t="shared" si="604"/>
        <v>18.599997314492636</v>
      </c>
      <c r="AP63" s="528">
        <f t="shared" si="111"/>
        <v>-11.302495921729014</v>
      </c>
      <c r="AQ63" s="529">
        <f t="shared" si="332"/>
        <v>0.33794762873232181</v>
      </c>
      <c r="AR63" s="979"/>
      <c r="AS63" s="954">
        <f t="shared" si="524"/>
        <v>-116.99003508629789</v>
      </c>
      <c r="AT63" s="950">
        <f t="shared" si="333"/>
        <v>-0.74205940315925001</v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41"/>
        <v>3.1269999999999998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85"/>
        <v>1613</v>
      </c>
      <c r="IM63" s="482" t="str">
        <f t="shared" si="242"/>
        <v/>
      </c>
      <c r="IN63" s="670" t="str">
        <f t="shared" si="486"/>
        <v/>
      </c>
      <c r="IO63" s="702"/>
      <c r="IP63" s="5" t="str">
        <f t="shared" si="487"/>
        <v/>
      </c>
      <c r="IQ63" s="714"/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>
        <f t="shared" si="133"/>
        <v>27</v>
      </c>
      <c r="JN63" s="960">
        <f>($JO63-SMALL($JO$9:$JO$88,1))/((Settings!$C$19/2)-((Settings!$C$19/2)-LARGE($JO$9:$JO$88,1))-SMALL($JO$9:$JO$88,1))</f>
        <v>0.78397639193309443</v>
      </c>
      <c r="JO63" s="162">
        <f t="shared" si="134"/>
        <v>6.7457203450925629</v>
      </c>
      <c r="JP63" s="961">
        <f t="shared" si="135"/>
        <v>-36.433328073011502</v>
      </c>
      <c r="JQ63" s="961">
        <f t="shared" si="136"/>
        <v>18.599997314492636</v>
      </c>
      <c r="JU63" s="962"/>
      <c r="JV63" s="959"/>
      <c r="JW63" s="959"/>
    </row>
    <row r="64" spans="1:284" ht="15" customHeight="1" x14ac:dyDescent="0.25">
      <c r="A64" s="75">
        <f t="shared" si="322"/>
        <v>0</v>
      </c>
      <c r="B64" s="578">
        <f t="shared" ref="B64:D64" si="619">IFERROR(O219+($A64*-E64),"")</f>
        <v>6.49305389389753</v>
      </c>
      <c r="C64" s="572">
        <f t="shared" si="619"/>
        <v>-3.3944915940712583</v>
      </c>
      <c r="D64" s="576">
        <f t="shared" si="619"/>
        <v>-1.3247039953072499</v>
      </c>
      <c r="E64" s="580">
        <f t="shared" ref="E64:K64" si="620">R219</f>
        <v>0.6561940308807912</v>
      </c>
      <c r="F64" s="572">
        <f t="shared" si="620"/>
        <v>0.71320780310764786</v>
      </c>
      <c r="G64" s="579">
        <f t="shared" si="620"/>
        <v>0.24646302648223309</v>
      </c>
      <c r="H64" s="580">
        <f t="shared" si="620"/>
        <v>0.3125</v>
      </c>
      <c r="I64" s="572">
        <f t="shared" si="620"/>
        <v>0.52</v>
      </c>
      <c r="J64" s="483">
        <f t="shared" si="94"/>
        <v>3.13</v>
      </c>
      <c r="K64" s="806">
        <f t="shared" si="620"/>
        <v>1613</v>
      </c>
      <c r="L64" s="309"/>
      <c r="M64" s="164">
        <f t="shared" si="325"/>
        <v>3.13</v>
      </c>
      <c r="N64" s="575">
        <f t="shared" si="326"/>
        <v>6.49305389389753</v>
      </c>
      <c r="O64" s="572">
        <f t="shared" si="327"/>
        <v>-3.3944915940712583</v>
      </c>
      <c r="P64" s="576">
        <f t="shared" si="328"/>
        <v>-1.3247039953072499</v>
      </c>
      <c r="Q64" s="528">
        <f t="shared" si="144"/>
        <v>332.39996500177523</v>
      </c>
      <c r="R64" s="572">
        <f t="shared" si="95"/>
        <v>7.3268220976954472</v>
      </c>
      <c r="S64" s="577">
        <f t="shared" si="96"/>
        <v>-1.3247039953072499</v>
      </c>
      <c r="T64" s="578">
        <f t="shared" si="97"/>
        <v>-3.3944915940712579</v>
      </c>
      <c r="U64" s="572">
        <f t="shared" si="98"/>
        <v>-6.4930538938975308</v>
      </c>
      <c r="V64" s="579">
        <f t="shared" si="145"/>
        <v>-1.3247039953072499</v>
      </c>
      <c r="W64" s="528">
        <f t="shared" si="268"/>
        <v>242.39996500177523</v>
      </c>
      <c r="X64" s="572">
        <f t="shared" si="99"/>
        <v>7.3268220976954472</v>
      </c>
      <c r="Y64" s="573">
        <f t="shared" si="271"/>
        <v>-1.3247039953072499</v>
      </c>
      <c r="Z64" s="575">
        <f t="shared" si="329"/>
        <v>-0.6561940308807912</v>
      </c>
      <c r="AA64" s="572">
        <f t="shared" si="330"/>
        <v>-0.71320780310764786</v>
      </c>
      <c r="AB64" s="572">
        <f t="shared" si="331"/>
        <v>-0.24646302648223309</v>
      </c>
      <c r="AC64" s="579">
        <f t="shared" si="100"/>
        <v>1</v>
      </c>
      <c r="AD64" s="580">
        <f t="shared" si="146"/>
        <v>-0.6561940308807912</v>
      </c>
      <c r="AE64" s="572">
        <f t="shared" si="101"/>
        <v>-0.71320780310764786</v>
      </c>
      <c r="AF64" s="576">
        <f t="shared" si="102"/>
        <v>-0.24646302648223309</v>
      </c>
      <c r="AG64" s="545">
        <f t="shared" si="103"/>
        <v>-70.936399835013631</v>
      </c>
      <c r="AH64" s="546">
        <f t="shared" si="104"/>
        <v>131.0102498235959</v>
      </c>
      <c r="AI64" s="528">
        <f t="shared" si="105"/>
        <v>-75.73168946122891</v>
      </c>
      <c r="AJ64" s="529">
        <f t="shared" si="106"/>
        <v>-42.615920369506483</v>
      </c>
      <c r="AK64" s="578">
        <f t="shared" si="247"/>
        <v>0.93605955400336471</v>
      </c>
      <c r="AL64" s="572">
        <f t="shared" si="107"/>
        <v>-0.25109457966320203</v>
      </c>
      <c r="AM64" s="577">
        <f t="shared" si="108"/>
        <v>-0.24646302648223309</v>
      </c>
      <c r="AN64" s="524">
        <f t="shared" si="109"/>
        <v>-45.53332675913439</v>
      </c>
      <c r="AO64" s="525">
        <f t="shared" si="604"/>
        <v>20.599997025728413</v>
      </c>
      <c r="AP64" s="528">
        <f t="shared" si="111"/>
        <v>-15.015885371281708</v>
      </c>
      <c r="AQ64" s="529">
        <f t="shared" si="332"/>
        <v>0.31114502188061688</v>
      </c>
      <c r="AR64" s="979"/>
      <c r="AS64" s="954">
        <f t="shared" si="524"/>
        <v>-117.60003499822477</v>
      </c>
      <c r="AT64" s="950">
        <f t="shared" si="333"/>
        <v>-1.2430373043362606</v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41"/>
        <v>3.13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85"/>
        <v>1613</v>
      </c>
      <c r="IM64" s="482" t="str">
        <f t="shared" si="242"/>
        <v/>
      </c>
      <c r="IN64" s="670" t="str">
        <f t="shared" si="486"/>
        <v/>
      </c>
      <c r="IO64" s="702"/>
      <c r="IP64" s="5" t="str">
        <f t="shared" si="487"/>
        <v/>
      </c>
      <c r="IQ64" s="714"/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>
        <f t="shared" si="133"/>
        <v>30</v>
      </c>
      <c r="JN64" s="960">
        <f>($JO64-SMALL($JO$9:$JO$88,1))/((Settings!$C$19/2)-((Settings!$C$19/2)-LARGE($JO$9:$JO$88,1))-SMALL($JO$9:$JO$88,1))</f>
        <v>0.85513120354610817</v>
      </c>
      <c r="JO64" s="162">
        <f t="shared" si="134"/>
        <v>7.3268220976954472</v>
      </c>
      <c r="JP64" s="961">
        <f t="shared" si="135"/>
        <v>-45.53332675913439</v>
      </c>
      <c r="JQ64" s="961">
        <f t="shared" si="136"/>
        <v>20.599997025728413</v>
      </c>
      <c r="JU64" s="962"/>
      <c r="JV64" s="959"/>
      <c r="JW64" s="959"/>
    </row>
    <row r="65" spans="1:283" ht="15" customHeight="1" x14ac:dyDescent="0.25">
      <c r="A65" s="75">
        <f t="shared" si="322"/>
        <v>0</v>
      </c>
      <c r="B65" s="578">
        <f t="shared" ref="B65:D65" si="621">IFERROR(O220+($A65*-E65),"")</f>
        <v>6.8734160485938087</v>
      </c>
      <c r="C65" s="572">
        <f t="shared" si="621"/>
        <v>-3.6731516537268951</v>
      </c>
      <c r="D65" s="576">
        <f t="shared" si="621"/>
        <v>-1.9342058335647938</v>
      </c>
      <c r="E65" s="580">
        <f t="shared" ref="E65:K65" si="622">R220</f>
        <v>0.71319744674636221</v>
      </c>
      <c r="F65" s="572">
        <f t="shared" si="622"/>
        <v>0.66410872376288776</v>
      </c>
      <c r="G65" s="579">
        <f t="shared" si="622"/>
        <v>0.22429668962447616</v>
      </c>
      <c r="H65" s="580">
        <f t="shared" si="622"/>
        <v>0.3125</v>
      </c>
      <c r="I65" s="572">
        <f t="shared" si="622"/>
        <v>0.52</v>
      </c>
      <c r="J65" s="483">
        <f t="shared" si="94"/>
        <v>3.133</v>
      </c>
      <c r="K65" s="806">
        <f t="shared" si="622"/>
        <v>1613</v>
      </c>
      <c r="L65" s="309"/>
      <c r="M65" s="164">
        <f t="shared" si="325"/>
        <v>3.133</v>
      </c>
      <c r="N65" s="575">
        <f t="shared" si="326"/>
        <v>6.8734160485938087</v>
      </c>
      <c r="O65" s="572">
        <f t="shared" si="327"/>
        <v>-3.6731516537268951</v>
      </c>
      <c r="P65" s="576">
        <f t="shared" si="328"/>
        <v>-1.9342058335647938</v>
      </c>
      <c r="Q65" s="528">
        <f t="shared" si="144"/>
        <v>331.87996507685392</v>
      </c>
      <c r="R65" s="572">
        <f t="shared" si="95"/>
        <v>7.7933235046636913</v>
      </c>
      <c r="S65" s="577">
        <f t="shared" si="96"/>
        <v>-1.9342058335647938</v>
      </c>
      <c r="T65" s="578">
        <f t="shared" si="97"/>
        <v>-3.6731516537268987</v>
      </c>
      <c r="U65" s="572">
        <f t="shared" si="98"/>
        <v>-6.8734160485938078</v>
      </c>
      <c r="V65" s="579">
        <f t="shared" si="145"/>
        <v>-1.9342058335647938</v>
      </c>
      <c r="W65" s="528">
        <f t="shared" si="268"/>
        <v>241.87996507685392</v>
      </c>
      <c r="X65" s="572">
        <f t="shared" si="99"/>
        <v>7.7933235046636913</v>
      </c>
      <c r="Y65" s="573">
        <f t="shared" si="271"/>
        <v>-1.9342058335647938</v>
      </c>
      <c r="Z65" s="575">
        <f t="shared" si="329"/>
        <v>-0.71319744674636221</v>
      </c>
      <c r="AA65" s="572">
        <f t="shared" si="330"/>
        <v>-0.66410872376288776</v>
      </c>
      <c r="AB65" s="572">
        <f t="shared" si="331"/>
        <v>-0.22429668962447616</v>
      </c>
      <c r="AC65" s="579">
        <f t="shared" si="100"/>
        <v>1</v>
      </c>
      <c r="AD65" s="580">
        <f t="shared" si="146"/>
        <v>-0.71319744674636221</v>
      </c>
      <c r="AE65" s="572">
        <f t="shared" si="101"/>
        <v>-0.66410872376288776</v>
      </c>
      <c r="AF65" s="576">
        <f t="shared" si="102"/>
        <v>-0.22429668962447616</v>
      </c>
      <c r="AG65" s="545">
        <f t="shared" si="103"/>
        <v>-71.338070128525445</v>
      </c>
      <c r="AH65" s="546">
        <f t="shared" si="104"/>
        <v>135.49566748850992</v>
      </c>
      <c r="AI65" s="528">
        <f t="shared" si="105"/>
        <v>-77.03847555953439</v>
      </c>
      <c r="AJ65" s="529">
        <f t="shared" si="106"/>
        <v>-47.041221253099927</v>
      </c>
      <c r="AK65" s="578">
        <f t="shared" si="247"/>
        <v>0.9218631738530938</v>
      </c>
      <c r="AL65" s="572">
        <f t="shared" si="107"/>
        <v>-0.31600519571203622</v>
      </c>
      <c r="AM65" s="577">
        <f t="shared" si="108"/>
        <v>-0.22429668962447616</v>
      </c>
      <c r="AN65" s="524">
        <f t="shared" si="109"/>
        <v>-54.633325445257029</v>
      </c>
      <c r="AO65" s="525">
        <f t="shared" si="604"/>
        <v>22.799996708087718</v>
      </c>
      <c r="AP65" s="528">
        <f t="shared" si="111"/>
        <v>-18.92118632995383</v>
      </c>
      <c r="AQ65" s="529">
        <f t="shared" si="332"/>
        <v>0.29252049181474693</v>
      </c>
      <c r="AR65" s="979"/>
      <c r="AS65" s="954">
        <f t="shared" si="524"/>
        <v>-118.12003492314608</v>
      </c>
      <c r="AT65" s="950">
        <f t="shared" si="333"/>
        <v>-1.8521780315348313</v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41"/>
        <v>3.133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85"/>
        <v>1613</v>
      </c>
      <c r="IM65" s="482" t="str">
        <f t="shared" si="242"/>
        <v/>
      </c>
      <c r="IN65" s="670" t="str">
        <f t="shared" si="486"/>
        <v/>
      </c>
      <c r="IO65" s="702"/>
      <c r="IP65" s="5" t="str">
        <f t="shared" si="487"/>
        <v/>
      </c>
      <c r="IQ65" s="714"/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>
        <f t="shared" si="133"/>
        <v>33</v>
      </c>
      <c r="JN65" s="960">
        <f>($JO65-SMALL($JO$9:$JO$88,1))/((Settings!$C$19/2)-((Settings!$C$19/2)-LARGE($JO$9:$JO$88,1))-SMALL($JO$9:$JO$88,1))</f>
        <v>0.91225341937379867</v>
      </c>
      <c r="JO65" s="162">
        <f t="shared" si="134"/>
        <v>7.7933235046636913</v>
      </c>
      <c r="JP65" s="961">
        <f t="shared" si="135"/>
        <v>-54.633325445257029</v>
      </c>
      <c r="JQ65" s="961">
        <f t="shared" si="136"/>
        <v>22.799996708087718</v>
      </c>
      <c r="JU65" s="962"/>
      <c r="JV65" s="959"/>
      <c r="JW65" s="959"/>
    </row>
    <row r="66" spans="1:283" ht="15" customHeight="1" x14ac:dyDescent="0.25">
      <c r="A66" s="75">
        <f t="shared" si="322"/>
        <v>0</v>
      </c>
      <c r="B66" s="578">
        <f t="shared" ref="B66:D66" si="623">IFERROR(O221+($A66*-E66),"")</f>
        <v>7.1421394430225646</v>
      </c>
      <c r="C66" s="572">
        <f t="shared" si="623"/>
        <v>-3.8762570789494952</v>
      </c>
      <c r="D66" s="576">
        <f t="shared" si="623"/>
        <v>-2.6259079197382862</v>
      </c>
      <c r="E66" s="580">
        <f t="shared" ref="E66:K66" si="624">R221</f>
        <v>0.76718506541189813</v>
      </c>
      <c r="F66" s="572">
        <f t="shared" si="624"/>
        <v>0.61312460837015037</v>
      </c>
      <c r="G66" s="579">
        <f t="shared" si="624"/>
        <v>0.18842847454642153</v>
      </c>
      <c r="H66" s="580">
        <f t="shared" si="624"/>
        <v>0.3125</v>
      </c>
      <c r="I66" s="572">
        <f t="shared" si="624"/>
        <v>0.52</v>
      </c>
      <c r="J66" s="483">
        <f t="shared" si="94"/>
        <v>3.1360000000000001</v>
      </c>
      <c r="K66" s="806">
        <f t="shared" si="624"/>
        <v>1613</v>
      </c>
      <c r="L66" s="309"/>
      <c r="M66" s="164">
        <f t="shared" si="325"/>
        <v>3.1360000000000001</v>
      </c>
      <c r="N66" s="575">
        <f t="shared" si="326"/>
        <v>7.1421394430225646</v>
      </c>
      <c r="O66" s="572">
        <f t="shared" si="327"/>
        <v>-3.8762570789494952</v>
      </c>
      <c r="P66" s="576">
        <f t="shared" si="328"/>
        <v>-2.6259079197382862</v>
      </c>
      <c r="Q66" s="528">
        <f t="shared" si="144"/>
        <v>331.5099651302753</v>
      </c>
      <c r="R66" s="572">
        <f t="shared" si="95"/>
        <v>8.1262245086931202</v>
      </c>
      <c r="S66" s="577">
        <f t="shared" si="96"/>
        <v>-2.6259079197382862</v>
      </c>
      <c r="T66" s="578">
        <f t="shared" si="97"/>
        <v>-3.876257078949497</v>
      </c>
      <c r="U66" s="572">
        <f t="shared" si="98"/>
        <v>-7.1421394430225638</v>
      </c>
      <c r="V66" s="579">
        <f t="shared" si="145"/>
        <v>-2.6259079197382862</v>
      </c>
      <c r="W66" s="528">
        <f t="shared" si="268"/>
        <v>241.5099651302753</v>
      </c>
      <c r="X66" s="572">
        <f t="shared" si="99"/>
        <v>8.1262245086931202</v>
      </c>
      <c r="Y66" s="573">
        <f t="shared" si="271"/>
        <v>-2.6259079197382862</v>
      </c>
      <c r="Z66" s="575">
        <f t="shared" si="329"/>
        <v>-0.76718506541189813</v>
      </c>
      <c r="AA66" s="572">
        <f t="shared" si="330"/>
        <v>-0.61312460837015037</v>
      </c>
      <c r="AB66" s="572">
        <f t="shared" si="331"/>
        <v>-0.18842847454642153</v>
      </c>
      <c r="AC66" s="579">
        <f t="shared" si="100"/>
        <v>1</v>
      </c>
      <c r="AD66" s="580">
        <f t="shared" si="146"/>
        <v>-0.76718506541189813</v>
      </c>
      <c r="AE66" s="572">
        <f t="shared" si="101"/>
        <v>-0.61312460837015037</v>
      </c>
      <c r="AF66" s="576">
        <f t="shared" si="102"/>
        <v>-0.18842847454642153</v>
      </c>
      <c r="AG66" s="545">
        <f t="shared" si="103"/>
        <v>-72.916501975970917</v>
      </c>
      <c r="AH66" s="546">
        <f t="shared" si="104"/>
        <v>140.10177876198895</v>
      </c>
      <c r="AI66" s="528">
        <f t="shared" si="105"/>
        <v>-79.138914040343906</v>
      </c>
      <c r="AJ66" s="529">
        <f t="shared" si="106"/>
        <v>-51.368593700095182</v>
      </c>
      <c r="AK66" s="578">
        <f t="shared" si="247"/>
        <v>0.90482707950409758</v>
      </c>
      <c r="AL66" s="572">
        <f t="shared" si="107"/>
        <v>-0.38181496326911302</v>
      </c>
      <c r="AM66" s="577">
        <f t="shared" si="108"/>
        <v>-0.18842847454642153</v>
      </c>
      <c r="AN66" s="524">
        <f t="shared" si="109"/>
        <v>-63.733324131379817</v>
      </c>
      <c r="AO66" s="525">
        <f t="shared" si="604"/>
        <v>25.199996361570665</v>
      </c>
      <c r="AP66" s="528">
        <f t="shared" si="111"/>
        <v>-22.878558830370462</v>
      </c>
      <c r="AQ66" s="529">
        <f t="shared" si="332"/>
        <v>0.28053721769936996</v>
      </c>
      <c r="AR66" s="979"/>
      <c r="AS66" s="954">
        <f t="shared" si="524"/>
        <v>-118.4900348697247</v>
      </c>
      <c r="AT66" s="950">
        <f t="shared" si="333"/>
        <v>-2.5436231733009773</v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41"/>
        <v>3.1360000000000001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85"/>
        <v>1613</v>
      </c>
      <c r="IM66" s="482" t="str">
        <f t="shared" si="242"/>
        <v/>
      </c>
      <c r="IN66" s="670" t="str">
        <f t="shared" si="486"/>
        <v/>
      </c>
      <c r="IO66" s="702"/>
      <c r="IP66" s="5" t="str">
        <f t="shared" si="487"/>
        <v/>
      </c>
      <c r="IQ66" s="714"/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>
        <f t="shared" si="133"/>
        <v>36</v>
      </c>
      <c r="JN66" s="960">
        <f>($JO66-SMALL($JO$9:$JO$88,1))/((Settings!$C$19/2)-((Settings!$C$19/2)-LARGE($JO$9:$JO$88,1))-SMALL($JO$9:$JO$88,1))</f>
        <v>0.95301651829992562</v>
      </c>
      <c r="JO66" s="162">
        <f t="shared" si="134"/>
        <v>8.1262245086931202</v>
      </c>
      <c r="JP66" s="961">
        <f t="shared" si="135"/>
        <v>-63.733324131379817</v>
      </c>
      <c r="JQ66" s="961">
        <f t="shared" si="136"/>
        <v>25.199996361570665</v>
      </c>
      <c r="JU66" s="962"/>
      <c r="JV66" s="959"/>
      <c r="JW66" s="959"/>
    </row>
    <row r="67" spans="1:283" ht="15" customHeight="1" x14ac:dyDescent="0.25">
      <c r="A67" s="75">
        <f t="shared" si="322"/>
        <v>0</v>
      </c>
      <c r="B67" s="578">
        <f t="shared" ref="B67:D67" si="625">IFERROR(O222+($A67*-E67),"")</f>
        <v>7.3014824668050418</v>
      </c>
      <c r="C67" s="572">
        <f t="shared" si="625"/>
        <v>-4.0024210474440682</v>
      </c>
      <c r="D67" s="576">
        <f t="shared" si="625"/>
        <v>-3.3675101564106322</v>
      </c>
      <c r="E67" s="580">
        <f t="shared" ref="E67:K67" si="626">R222</f>
        <v>0.81505190330204635</v>
      </c>
      <c r="F67" s="572">
        <f t="shared" si="626"/>
        <v>0.56290919767031644</v>
      </c>
      <c r="G67" s="579">
        <f t="shared" si="626"/>
        <v>0.13719923506300008</v>
      </c>
      <c r="H67" s="580">
        <f t="shared" si="626"/>
        <v>0.3125</v>
      </c>
      <c r="I67" s="572">
        <f t="shared" si="626"/>
        <v>0.52</v>
      </c>
      <c r="J67" s="483">
        <f t="shared" si="94"/>
        <v>3.1389999999999998</v>
      </c>
      <c r="K67" s="806">
        <f t="shared" si="626"/>
        <v>1613</v>
      </c>
      <c r="L67" s="309"/>
      <c r="M67" s="164">
        <f t="shared" si="325"/>
        <v>3.1389999999999998</v>
      </c>
      <c r="N67" s="575">
        <f t="shared" si="326"/>
        <v>7.3014824668050418</v>
      </c>
      <c r="O67" s="572">
        <f t="shared" si="327"/>
        <v>-4.0024210474440682</v>
      </c>
      <c r="P67" s="576">
        <f t="shared" si="328"/>
        <v>-3.3675101564106322</v>
      </c>
      <c r="Q67" s="528">
        <f t="shared" si="144"/>
        <v>331.26996516492704</v>
      </c>
      <c r="R67" s="572">
        <f>IF(M67="","",SQRT(N67^2+O67^2))</f>
        <v>8.3265251127997395</v>
      </c>
      <c r="S67" s="577">
        <f>IF(M67="","",P67)</f>
        <v>-3.3675101564106322</v>
      </c>
      <c r="T67" s="578">
        <f>IF(M67="","",X67*COS(RADIANS(W67)))</f>
        <v>-4.002421047444062</v>
      </c>
      <c r="U67" s="572">
        <f>IF(M67="","",X67*SIN(RADIANS(W67)))</f>
        <v>-7.3014824668050462</v>
      </c>
      <c r="V67" s="579">
        <f>IF(M67="","",Y67)</f>
        <v>-3.3675101564106322</v>
      </c>
      <c r="W67" s="528">
        <f t="shared" si="268"/>
        <v>241.26996516492704</v>
      </c>
      <c r="X67" s="572">
        <f>IF(M67="","",R67)</f>
        <v>8.3265251127997395</v>
      </c>
      <c r="Y67" s="573">
        <f t="shared" si="271"/>
        <v>-3.3675101564106322</v>
      </c>
      <c r="Z67" s="575">
        <f t="shared" si="329"/>
        <v>-0.81505190330204635</v>
      </c>
      <c r="AA67" s="572">
        <f t="shared" si="330"/>
        <v>-0.56290919767031644</v>
      </c>
      <c r="AB67" s="572">
        <f t="shared" si="331"/>
        <v>-0.13719923506300008</v>
      </c>
      <c r="AC67" s="579">
        <f>IF(M67="","",SQRT(Z67^2+AA67^2+AB67^2))</f>
        <v>1</v>
      </c>
      <c r="AD67" s="580">
        <f>IF(M67="","",Z67*(1/SQRT(Z67^2+AA67^2+AB67^2)))</f>
        <v>-0.81505190330204635</v>
      </c>
      <c r="AE67" s="572">
        <f>IF(M67="","",AA67*(1/SQRT(Z67^2+AA67^2+AB67^2)))</f>
        <v>-0.56290919767031644</v>
      </c>
      <c r="AF67" s="576">
        <f>IF(M67="","",AB67*(1/SQRT(Z67^2+AA67^2+AB67^2)))</f>
        <v>-0.13719923506300008</v>
      </c>
      <c r="AG67" s="545">
        <f>IF(M67="","",DEGREES(ATAN2(-AF67,AE67)))</f>
        <v>-76.302232415168518</v>
      </c>
      <c r="AH67" s="546">
        <f>IF(M67="","",DEGREES(ACOS(AD67)))</f>
        <v>144.5924942925443</v>
      </c>
      <c r="AI67" s="528">
        <f>IF(M67="","",DEGREES(-ACOS(-AF67)))</f>
        <v>-82.114189710093129</v>
      </c>
      <c r="AJ67" s="529">
        <f>IF(M67="","",DEGREES(ATAN2(-AE67,AD67)))</f>
        <v>-55.369406517126002</v>
      </c>
      <c r="AK67" s="578">
        <f>IF(M67="","",(COS(RADIANS((90-$Q$8)-W67))*AD67)+(-SIN(RADIANS((90-$Q$8)-W67))*AE67))</f>
        <v>0.88539365820151739</v>
      </c>
      <c r="AL67" s="572">
        <f>IF(M67="","",(SIN(RADIANS((90-$Q$8)-W67))*AD67)+(COS(RADIANS((90-$Q$8)-W67))*AE67))</f>
        <v>-0.44413335825477274</v>
      </c>
      <c r="AM67" s="577">
        <f>IF(M67="","",AF67)</f>
        <v>-0.13719923506300008</v>
      </c>
      <c r="AN67" s="524">
        <f>IF(M67="","",DEGREES(ATAN2(-AM67,AL67)))</f>
        <v>-72.833322817502491</v>
      </c>
      <c r="AO67" s="525">
        <f t="shared" si="604"/>
        <v>27.699996000615442</v>
      </c>
      <c r="AP67" s="528">
        <f>IF(M67="","",DEGREES(ATAN2(AK67,AL67)))</f>
        <v>-26.639371682053067</v>
      </c>
      <c r="AQ67" s="529">
        <f t="shared" si="332"/>
        <v>0.27378879534025935</v>
      </c>
      <c r="AR67" s="979"/>
      <c r="AS67" s="954">
        <f t="shared" si="524"/>
        <v>-118.73003483507296</v>
      </c>
      <c r="AT67" s="950">
        <f t="shared" si="333"/>
        <v>-3.2850587433307203</v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41"/>
        <v>3.1389999999999998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85"/>
        <v>1613</v>
      </c>
      <c r="IM67" s="482" t="str">
        <f t="shared" si="242"/>
        <v/>
      </c>
      <c r="IN67" s="670" t="str">
        <f t="shared" si="486"/>
        <v/>
      </c>
      <c r="IO67" s="702"/>
      <c r="IP67" s="5" t="str">
        <f t="shared" si="487"/>
        <v/>
      </c>
      <c r="IQ67" s="714"/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>
        <f t="shared" si="133"/>
        <v>39</v>
      </c>
      <c r="JN67" s="960">
        <f>($JO67-SMALL($JO$9:$JO$88,1))/((Settings!$C$19/2)-((Settings!$C$19/2)-LARGE($JO$9:$JO$88,1))-SMALL($JO$9:$JO$88,1))</f>
        <v>0.9775429488042906</v>
      </c>
      <c r="JO67" s="162">
        <f t="shared" si="134"/>
        <v>8.3265251127997395</v>
      </c>
      <c r="JP67" s="961">
        <f t="shared" si="135"/>
        <v>-72.833322817502491</v>
      </c>
      <c r="JQ67" s="961">
        <f t="shared" si="136"/>
        <v>27.699996000615442</v>
      </c>
      <c r="JU67" s="962"/>
      <c r="JV67" s="959"/>
      <c r="JW67" s="959"/>
    </row>
    <row r="68" spans="1:283" ht="15" customHeight="1" x14ac:dyDescent="0.25">
      <c r="A68" s="75">
        <f t="shared" si="322"/>
        <v>0</v>
      </c>
      <c r="B68" s="578">
        <f t="shared" ref="B68:D68" si="627">IFERROR(O223+($A68*-E68),"")</f>
        <v>7.3975554455851835</v>
      </c>
      <c r="C68" s="572">
        <f t="shared" si="627"/>
        <v>-4.0786236191042438</v>
      </c>
      <c r="D68" s="576">
        <f t="shared" si="627"/>
        <v>-4.1264124452599349</v>
      </c>
      <c r="E68" s="580">
        <f t="shared" ref="E68:K68" si="628">R223</f>
        <v>0.85520040388747665</v>
      </c>
      <c r="F68" s="572">
        <f t="shared" si="628"/>
        <v>0.51341010323466874</v>
      </c>
      <c r="G68" s="579">
        <f t="shared" si="628"/>
        <v>7.1009401400544347E-2</v>
      </c>
      <c r="H68" s="580">
        <f t="shared" si="628"/>
        <v>0.3125</v>
      </c>
      <c r="I68" s="572">
        <f t="shared" si="628"/>
        <v>0.52</v>
      </c>
      <c r="J68" s="483">
        <f t="shared" si="94"/>
        <v>3.1419999999999999</v>
      </c>
      <c r="K68" s="806">
        <f t="shared" si="628"/>
        <v>1613</v>
      </c>
      <c r="L68" s="309"/>
      <c r="M68" s="164">
        <f t="shared" si="325"/>
        <v>3.1419999999999999</v>
      </c>
      <c r="N68" s="575">
        <f t="shared" si="326"/>
        <v>7.3975554455851835</v>
      </c>
      <c r="O68" s="572">
        <f t="shared" si="327"/>
        <v>-4.0786236191042438</v>
      </c>
      <c r="P68" s="576">
        <f t="shared" si="328"/>
        <v>-4.1264124452599349</v>
      </c>
      <c r="Q68" s="528">
        <f t="shared" si="144"/>
        <v>331.12996518514052</v>
      </c>
      <c r="R68" s="572">
        <f>IF(M68="","",SQRT(N68^2+O68^2))</f>
        <v>8.4474254774352406</v>
      </c>
      <c r="S68" s="577">
        <f>IF(M68="","",P68)</f>
        <v>-4.1264124452599349</v>
      </c>
      <c r="T68" s="578">
        <f>IF(M68="","",X68*COS(RADIANS(W68)))</f>
        <v>-4.0786236191042402</v>
      </c>
      <c r="U68" s="572">
        <f>IF(M68="","",X68*SIN(RADIANS(W68)))</f>
        <v>-7.3975554455851853</v>
      </c>
      <c r="V68" s="579">
        <f>IF(M68="","",Y68)</f>
        <v>-4.1264124452599349</v>
      </c>
      <c r="W68" s="528">
        <f t="shared" si="268"/>
        <v>241.12996518514052</v>
      </c>
      <c r="X68" s="572">
        <f>IF(M68="","",R68)</f>
        <v>8.4474254774352406</v>
      </c>
      <c r="Y68" s="573">
        <f t="shared" si="271"/>
        <v>-4.1264124452599349</v>
      </c>
      <c r="Z68" s="575">
        <f t="shared" si="329"/>
        <v>-0.85520040388747665</v>
      </c>
      <c r="AA68" s="572">
        <f t="shared" si="330"/>
        <v>-0.51341010323466874</v>
      </c>
      <c r="AB68" s="572">
        <f t="shared" si="331"/>
        <v>-7.1009401400544347E-2</v>
      </c>
      <c r="AC68" s="579">
        <f>IF(M68="","",SQRT(Z68^2+AA68^2+AB68^2))</f>
        <v>1</v>
      </c>
      <c r="AD68" s="580">
        <f>IF(M68="","",Z68*(1/SQRT(Z68^2+AA68^2+AB68^2)))</f>
        <v>-0.85520040388747665</v>
      </c>
      <c r="AE68" s="572">
        <f>IF(M68="","",AA68*(1/SQRT(Z68^2+AA68^2+AB68^2)))</f>
        <v>-0.51341010323466874</v>
      </c>
      <c r="AF68" s="576">
        <f>IF(M68="","",AB68*(1/SQRT(Z68^2+AA68^2+AB68^2)))</f>
        <v>-7.1009401400544347E-2</v>
      </c>
      <c r="AG68" s="545">
        <f>IF(M68="","",DEGREES(ATAN2(-AF68,AE68)))</f>
        <v>-82.125418370310186</v>
      </c>
      <c r="AH68" s="546">
        <f>IF(M68="","",DEGREES(ACOS(AD68)))</f>
        <v>148.78188159599736</v>
      </c>
      <c r="AI68" s="528">
        <f>IF(M68="","",DEGREES(-ACOS(-AF68)))</f>
        <v>-85.928034056229777</v>
      </c>
      <c r="AJ68" s="529">
        <f>IF(M68="","",DEGREES(ATAN2(-AE68,AD68)))</f>
        <v>-59.021966350836458</v>
      </c>
      <c r="AK68" s="578">
        <f>IF(M68="","",(COS(RADIANS((90-$Q$8)-W68))*AD68)+(-SIN(RADIANS((90-$Q$8)-W68))*AE68))</f>
        <v>0.86251370797261695</v>
      </c>
      <c r="AL68" s="572">
        <f>IF(M68="","",(SIN(RADIANS((90-$Q$8)-W68))*AD68)+(COS(RADIANS((90-$Q$8)-W68))*AE68))</f>
        <v>-0.50102671432974866</v>
      </c>
      <c r="AM68" s="577">
        <f>IF(M68="","",AF68)</f>
        <v>-7.1009401400544347E-2</v>
      </c>
      <c r="AN68" s="524">
        <f>IF(M68="","",DEGREES(ATAN2(-AM68,AL68)))</f>
        <v>-81.933321503625351</v>
      </c>
      <c r="AO68" s="525">
        <f t="shared" si="604"/>
        <v>30.399995610783719</v>
      </c>
      <c r="AP68" s="528">
        <f>IF(M68="","",DEGREES(ATAN2(AK68,AL68)))</f>
        <v>-30.151931535976988</v>
      </c>
      <c r="AQ68" s="529">
        <f t="shared" si="332"/>
        <v>0.26987036218526717</v>
      </c>
      <c r="AR68" s="979"/>
      <c r="AS68" s="954">
        <f t="shared" si="524"/>
        <v>-118.87003481485948</v>
      </c>
      <c r="AT68" s="950">
        <f t="shared" si="333"/>
        <v>-4.043863809971838</v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41"/>
        <v>3.1419999999999999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85"/>
        <v>1613</v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>
        <f t="shared" si="133"/>
        <v>42</v>
      </c>
      <c r="JN68" s="960">
        <f>($JO68-SMALL($JO$9:$JO$88,1))/((Settings!$C$19/2)-((Settings!$C$19/2)-LARGE($JO$9:$JO$88,1))-SMALL($JO$9:$JO$88,1))</f>
        <v>0.99234697001236738</v>
      </c>
      <c r="JO68" s="162">
        <f t="shared" si="134"/>
        <v>8.4474254774352406</v>
      </c>
      <c r="JP68" s="961">
        <f t="shared" si="135"/>
        <v>-81.933321503625351</v>
      </c>
      <c r="JQ68" s="961">
        <f t="shared" si="136"/>
        <v>30.399995610783719</v>
      </c>
      <c r="JU68" s="962"/>
      <c r="JV68" s="959"/>
      <c r="JW68" s="959"/>
    </row>
    <row r="69" spans="1:283" ht="15" customHeight="1" x14ac:dyDescent="0.25">
      <c r="A69" s="75">
        <f t="shared" si="322"/>
        <v>0</v>
      </c>
      <c r="B69" s="578">
        <f t="shared" ref="B69:D69" si="629">IFERROR(O224+($A69*-E69),"")</f>
        <v>7.4472625269033372</v>
      </c>
      <c r="C69" s="572">
        <f t="shared" si="629"/>
        <v>-4.1179018559376033</v>
      </c>
      <c r="D69" s="576">
        <f t="shared" si="629"/>
        <v>-4.9212148423839643</v>
      </c>
      <c r="E69" s="580">
        <f t="shared" ref="E69:K69" si="630">R224</f>
        <v>0.87719580662571395</v>
      </c>
      <c r="F69" s="572">
        <f t="shared" si="630"/>
        <v>0.47976850593862841</v>
      </c>
      <c r="G69" s="579">
        <f t="shared" si="630"/>
        <v>1.8700201808522207E-2</v>
      </c>
      <c r="H69" s="580">
        <f t="shared" si="630"/>
        <v>0.3125</v>
      </c>
      <c r="I69" s="572">
        <f t="shared" si="630"/>
        <v>0.52</v>
      </c>
      <c r="J69" s="483">
        <f t="shared" si="94"/>
        <v>3.145</v>
      </c>
      <c r="K69" s="806">
        <f t="shared" si="630"/>
        <v>1613</v>
      </c>
      <c r="L69" s="309"/>
      <c r="M69" s="164">
        <f t="shared" si="325"/>
        <v>3.145</v>
      </c>
      <c r="N69" s="575">
        <f t="shared" si="326"/>
        <v>7.4472625269033372</v>
      </c>
      <c r="O69" s="572">
        <f t="shared" si="327"/>
        <v>-4.1179018559376033</v>
      </c>
      <c r="P69" s="576">
        <f t="shared" si="328"/>
        <v>-4.9212148423839643</v>
      </c>
      <c r="Q69" s="528">
        <f t="shared" si="144"/>
        <v>331.05996519524723</v>
      </c>
      <c r="R69" s="572">
        <f t="shared" si="95"/>
        <v>8.5099256659358087</v>
      </c>
      <c r="S69" s="577">
        <f t="shared" si="96"/>
        <v>-4.9212148423839643</v>
      </c>
      <c r="T69" s="578">
        <f t="shared" si="97"/>
        <v>-4.1179018559376068</v>
      </c>
      <c r="U69" s="572">
        <f t="shared" si="98"/>
        <v>-7.4472625269033337</v>
      </c>
      <c r="V69" s="579">
        <f t="shared" si="145"/>
        <v>-4.9212148423839643</v>
      </c>
      <c r="W69" s="528">
        <f t="shared" si="268"/>
        <v>241.05996519524723</v>
      </c>
      <c r="X69" s="572">
        <f t="shared" si="99"/>
        <v>8.5099256659358087</v>
      </c>
      <c r="Y69" s="573">
        <f t="shared" si="271"/>
        <v>-4.9212148423839643</v>
      </c>
      <c r="Z69" s="575">
        <f t="shared" si="329"/>
        <v>-0.87719580662571395</v>
      </c>
      <c r="AA69" s="572">
        <f t="shared" si="330"/>
        <v>-0.47976850593862841</v>
      </c>
      <c r="AB69" s="572">
        <f t="shared" si="331"/>
        <v>-1.8700201808522207E-2</v>
      </c>
      <c r="AC69" s="579">
        <f t="shared" si="100"/>
        <v>1</v>
      </c>
      <c r="AD69" s="580">
        <f t="shared" si="146"/>
        <v>-0.87719580662571395</v>
      </c>
      <c r="AE69" s="572">
        <f t="shared" si="101"/>
        <v>-0.47976850593862841</v>
      </c>
      <c r="AF69" s="576">
        <f t="shared" si="102"/>
        <v>-1.8700201808522207E-2</v>
      </c>
      <c r="AG69" s="545">
        <f t="shared" si="103"/>
        <v>-87.767880708644768</v>
      </c>
      <c r="AH69" s="546">
        <f t="shared" si="104"/>
        <v>151.30592348855598</v>
      </c>
      <c r="AI69" s="528">
        <f t="shared" si="105"/>
        <v>-88.928494903689241</v>
      </c>
      <c r="AJ69" s="529">
        <f t="shared" si="106"/>
        <v>-61.324236557683861</v>
      </c>
      <c r="AK69" s="578">
        <f t="shared" si="247"/>
        <v>0.84432796925021436</v>
      </c>
      <c r="AL69" s="572">
        <f t="shared" si="107"/>
        <v>-0.53550031073205695</v>
      </c>
      <c r="AM69" s="577">
        <f t="shared" si="108"/>
        <v>-1.8700201808522207E-2</v>
      </c>
      <c r="AN69" s="524">
        <f t="shared" si="109"/>
        <v>-87.99998729437381</v>
      </c>
      <c r="AO69" s="525">
        <f t="shared" si="604"/>
        <v>32.399995322019421</v>
      </c>
      <c r="AP69" s="528">
        <f t="shared" si="111"/>
        <v>-32.384201752931098</v>
      </c>
      <c r="AQ69" s="529">
        <f t="shared" si="332"/>
        <v>0.26788835876402095</v>
      </c>
      <c r="AR69" s="979"/>
      <c r="AS69" s="954">
        <f t="shared" si="524"/>
        <v>-118.94003480475277</v>
      </c>
      <c r="AT69" s="950">
        <f t="shared" si="333"/>
        <v>-4.8386175959917752</v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41"/>
        <v>3.145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85"/>
        <v>1613</v>
      </c>
      <c r="IM69" s="482" t="str">
        <f t="shared" si="242"/>
        <v/>
      </c>
      <c r="IN69" s="670" t="str">
        <f t="shared" si="486"/>
        <v/>
      </c>
      <c r="IO69" s="702"/>
      <c r="IP69" s="5" t="str">
        <f t="shared" si="487"/>
        <v/>
      </c>
      <c r="IQ69" s="714"/>
      <c r="IR69" s="9" t="str">
        <f>IF(ISNUMBER($IK69),(INDEX($X$9:$X$150,MATCH($IK69,$M$9:$M$150,0))*-1),"")</f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>
        <f t="shared" si="133"/>
        <v>45</v>
      </c>
      <c r="JN69" s="960">
        <f>($JO69-SMALL($JO$9:$JO$88,1))/((Settings!$C$19/2)-((Settings!$C$19/2)-LARGE($JO$9:$JO$88,1))-SMALL($JO$9:$JO$88,1))</f>
        <v>1</v>
      </c>
      <c r="JO69" s="162">
        <f t="shared" si="134"/>
        <v>8.5099256659358087</v>
      </c>
      <c r="JP69" s="961">
        <f t="shared" si="135"/>
        <v>-87.99998729437381</v>
      </c>
      <c r="JQ69" s="961">
        <f t="shared" si="136"/>
        <v>32.399995322019421</v>
      </c>
      <c r="JU69" s="962"/>
      <c r="JV69" s="959"/>
      <c r="JW69" s="959"/>
    </row>
    <row r="70" spans="1:283" ht="15" customHeight="1" x14ac:dyDescent="0.25">
      <c r="A70" s="75">
        <f t="shared" si="322"/>
        <v>0</v>
      </c>
      <c r="B70" s="578">
        <f t="shared" ref="B70:D70" si="631">IFERROR(O225+($A70*-E70),"")</f>
        <v>2.8092091316452317</v>
      </c>
      <c r="C70" s="572">
        <f t="shared" si="631"/>
        <v>-2.5793048430062089</v>
      </c>
      <c r="D70" s="576">
        <f t="shared" si="631"/>
        <v>-0.24306145351513209</v>
      </c>
      <c r="E70" s="580">
        <f t="shared" ref="E70:K70" si="632">R225</f>
        <v>-0.15930513387893949</v>
      </c>
      <c r="F70" s="572">
        <f t="shared" si="632"/>
        <v>0.14626768035922511</v>
      </c>
      <c r="G70" s="579">
        <f t="shared" si="632"/>
        <v>0.97633377489572937</v>
      </c>
      <c r="H70" s="580">
        <f t="shared" si="632"/>
        <v>0.255</v>
      </c>
      <c r="I70" s="572">
        <f t="shared" si="632"/>
        <v>0.41499999999999992</v>
      </c>
      <c r="J70" s="483">
        <f t="shared" si="94"/>
        <v>3.2149999999999999</v>
      </c>
      <c r="K70" s="806" t="str">
        <f t="shared" si="632"/>
        <v>CPS-32193r1</v>
      </c>
      <c r="L70" s="309"/>
      <c r="M70" s="164">
        <f t="shared" si="325"/>
        <v>3.2149999999999999</v>
      </c>
      <c r="N70" s="575">
        <f t="shared" si="326"/>
        <v>2.8092091316452317</v>
      </c>
      <c r="O70" s="572">
        <f t="shared" si="327"/>
        <v>-2.5793048430062089</v>
      </c>
      <c r="P70" s="576">
        <f t="shared" si="328"/>
        <v>-0.24306145351513209</v>
      </c>
      <c r="Q70" s="528">
        <f t="shared" si="144"/>
        <v>317.44307824161501</v>
      </c>
      <c r="R70" s="572">
        <f t="shared" si="95"/>
        <v>3.8137212035588339</v>
      </c>
      <c r="S70" s="577">
        <f t="shared" si="96"/>
        <v>-0.24306145351513209</v>
      </c>
      <c r="T70" s="578">
        <f t="shared" si="97"/>
        <v>-2.5793048430062084</v>
      </c>
      <c r="U70" s="572">
        <f t="shared" si="98"/>
        <v>-2.8092091316452326</v>
      </c>
      <c r="V70" s="579">
        <f t="shared" si="145"/>
        <v>-0.24306145351513209</v>
      </c>
      <c r="W70" s="528">
        <f t="shared" si="268"/>
        <v>227.44307824161501</v>
      </c>
      <c r="X70" s="572">
        <f t="shared" si="99"/>
        <v>3.8137212035588339</v>
      </c>
      <c r="Y70" s="573">
        <f t="shared" si="271"/>
        <v>-0.24306145351513209</v>
      </c>
      <c r="Z70" s="575">
        <f t="shared" si="329"/>
        <v>0.15930513387893949</v>
      </c>
      <c r="AA70" s="572">
        <f t="shared" si="330"/>
        <v>-0.14626768035922511</v>
      </c>
      <c r="AB70" s="572">
        <f t="shared" si="331"/>
        <v>-0.97633377489572937</v>
      </c>
      <c r="AC70" s="579">
        <f t="shared" si="100"/>
        <v>1</v>
      </c>
      <c r="AD70" s="580">
        <f t="shared" si="146"/>
        <v>0.15930513387893949</v>
      </c>
      <c r="AE70" s="572">
        <f t="shared" si="101"/>
        <v>-0.14626768035922511</v>
      </c>
      <c r="AF70" s="576">
        <f t="shared" si="102"/>
        <v>-0.97633377489572937</v>
      </c>
      <c r="AG70" s="545">
        <f t="shared" si="103"/>
        <v>-8.5202976006276305</v>
      </c>
      <c r="AH70" s="546">
        <f t="shared" si="104"/>
        <v>80.833433980357711</v>
      </c>
      <c r="AI70" s="528">
        <f t="shared" si="105"/>
        <v>-12.489998196667376</v>
      </c>
      <c r="AJ70" s="529">
        <f t="shared" si="106"/>
        <v>47.443078241614998</v>
      </c>
      <c r="AK70" s="578">
        <f t="shared" si="247"/>
        <v>4.163336342344337E-17</v>
      </c>
      <c r="AL70" s="572">
        <f t="shared" si="107"/>
        <v>0.21626918411520235</v>
      </c>
      <c r="AM70" s="577">
        <f t="shared" si="108"/>
        <v>-0.97633377489572937</v>
      </c>
      <c r="AN70" s="524">
        <f t="shared" si="109"/>
        <v>12.489998196667385</v>
      </c>
      <c r="AO70" s="525">
        <f t="shared" si="604"/>
        <v>0</v>
      </c>
      <c r="AP70" s="528">
        <f t="shared" si="111"/>
        <v>89.999999999999986</v>
      </c>
      <c r="AQ70" s="529">
        <f t="shared" si="332"/>
        <v>0.59774792145140798</v>
      </c>
      <c r="AR70" s="979"/>
      <c r="AS70" s="954">
        <f t="shared" si="524"/>
        <v>-132.55692175838499</v>
      </c>
      <c r="AT70" s="950">
        <f t="shared" si="333"/>
        <v>-0.15100803562736473</v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>Nose</v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41"/>
        <v>3.2149999999999999</v>
      </c>
      <c r="IJ70" s="674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3.1150000000000002</v>
      </c>
      <c r="IK70" s="677" cm="1">
        <f t="array" ref="IK70">IFERROR(ROUND(VALUE(IF($IJ70&lt;1,$IJ70+LARGE((IF($M$9:$M$150="",0,$M$9:$M$150)-MOD(IF($M$9:$M$150="",0,$M$9:$M$150),1)),1),$IJ70)),4),"")</f>
        <v>3.1150000000000002</v>
      </c>
      <c r="IL70" s="482">
        <f t="shared" si="485"/>
        <v>1613</v>
      </c>
      <c r="IM70" s="482" t="str">
        <f t="shared" si="242"/>
        <v>CPS-32193r1</v>
      </c>
      <c r="IN70" s="670">
        <f t="shared" si="486"/>
        <v>17.550386385705224</v>
      </c>
      <c r="IO70" s="702">
        <v>3.9633993021877402E-2</v>
      </c>
      <c r="IP70" s="5">
        <f t="shared" si="487"/>
        <v>0.8</v>
      </c>
      <c r="IQ70" s="714">
        <v>400</v>
      </c>
      <c r="IR70" s="9">
        <f t="shared" si="488"/>
        <v>-3.8137115021538914</v>
      </c>
      <c r="IS70" s="5">
        <f t="shared" si="489"/>
        <v>-0.24510073922382949</v>
      </c>
      <c r="IT70" s="5">
        <f t="shared" si="490"/>
        <v>0.3125</v>
      </c>
      <c r="IU70" s="5">
        <f t="shared" si="491"/>
        <v>0.30185182377256481</v>
      </c>
      <c r="IV70" s="670">
        <f t="shared" si="492"/>
        <v>3.3333328520629417E-2</v>
      </c>
      <c r="IW70" s="9">
        <f t="shared" si="493"/>
        <v>-3.8137212035588339</v>
      </c>
      <c r="IX70" s="5">
        <f t="shared" si="494"/>
        <v>-0.24306145351513209</v>
      </c>
      <c r="IY70" s="5">
        <f t="shared" si="495"/>
        <v>0.255</v>
      </c>
      <c r="IZ70" s="5">
        <f t="shared" si="496"/>
        <v>0.255</v>
      </c>
      <c r="JA70" s="705">
        <f t="shared" si="497"/>
        <v>-12.489998196667385</v>
      </c>
      <c r="JM70" s="489">
        <f t="shared" si="133"/>
        <v>15</v>
      </c>
      <c r="JN70" s="960">
        <f>($JO70-SMALL($JO$9:$JO$88,1))/((Settings!$C$19/2)-((Settings!$C$19/2)-LARGE($JO$9:$JO$88,1))-SMALL($JO$9:$JO$88,1))</f>
        <v>0.42495863707197329</v>
      </c>
      <c r="JO70" s="162">
        <f t="shared" si="134"/>
        <v>3.8137212035588339</v>
      </c>
      <c r="JP70" s="961">
        <f t="shared" si="135"/>
        <v>12.489998196667385</v>
      </c>
      <c r="JQ70" s="961">
        <f t="shared" si="136"/>
        <v>0</v>
      </c>
      <c r="JU70" s="962"/>
      <c r="JV70" s="959"/>
      <c r="JW70" s="959"/>
    </row>
    <row r="71" spans="1:283" ht="15" customHeight="1" x14ac:dyDescent="0.25">
      <c r="A71" s="75">
        <f t="shared" si="322"/>
        <v>0</v>
      </c>
      <c r="B71" s="578">
        <f t="shared" ref="B71:D71" si="633">IFERROR(O226+($A71*-E71),"")</f>
        <v>3.5175902766957416</v>
      </c>
      <c r="C71" s="572">
        <f t="shared" si="633"/>
        <v>-2.9312136234171708</v>
      </c>
      <c r="D71" s="576">
        <f t="shared" si="633"/>
        <v>-0.15302893813500654</v>
      </c>
      <c r="E71" s="580">
        <f t="shared" ref="E71:K71" si="634">R226</f>
        <v>-1.0055861318174878E-2</v>
      </c>
      <c r="F71" s="572">
        <f t="shared" si="634"/>
        <v>8.3795653764190507E-3</v>
      </c>
      <c r="G71" s="579">
        <f t="shared" si="634"/>
        <v>0.99991432759874588</v>
      </c>
      <c r="H71" s="580">
        <f t="shared" si="634"/>
        <v>0.255</v>
      </c>
      <c r="I71" s="572">
        <f t="shared" si="634"/>
        <v>0.41499999999999992</v>
      </c>
      <c r="J71" s="483">
        <f t="shared" si="94"/>
        <v>3.218</v>
      </c>
      <c r="K71" s="806" t="str">
        <f t="shared" si="634"/>
        <v>CPS-32193r1</v>
      </c>
      <c r="L71" s="309"/>
      <c r="M71" s="164">
        <f t="shared" si="325"/>
        <v>3.218</v>
      </c>
      <c r="N71" s="575">
        <f t="shared" si="326"/>
        <v>3.5175902766957416</v>
      </c>
      <c r="O71" s="572">
        <f t="shared" si="327"/>
        <v>-2.9312136234171708</v>
      </c>
      <c r="P71" s="576">
        <f t="shared" si="328"/>
        <v>-0.15302893813500654</v>
      </c>
      <c r="Q71" s="528">
        <f t="shared" si="144"/>
        <v>320.19550178215297</v>
      </c>
      <c r="R71" s="572">
        <f t="shared" si="95"/>
        <v>4.5788049380608955</v>
      </c>
      <c r="S71" s="577">
        <f t="shared" si="96"/>
        <v>-0.15302893813500654</v>
      </c>
      <c r="T71" s="578">
        <f t="shared" si="97"/>
        <v>-2.9312136234171713</v>
      </c>
      <c r="U71" s="572">
        <f t="shared" si="98"/>
        <v>-3.5175902766957412</v>
      </c>
      <c r="V71" s="579">
        <f t="shared" si="145"/>
        <v>-0.15302893813500654</v>
      </c>
      <c r="W71" s="528">
        <f t="shared" si="268"/>
        <v>230.19550178215297</v>
      </c>
      <c r="X71" s="572">
        <f t="shared" si="99"/>
        <v>4.5788049380608955</v>
      </c>
      <c r="Y71" s="573">
        <f t="shared" si="271"/>
        <v>-0.15302893813500654</v>
      </c>
      <c r="Z71" s="575">
        <f t="shared" si="329"/>
        <v>1.0055861318174878E-2</v>
      </c>
      <c r="AA71" s="572">
        <f t="shared" si="330"/>
        <v>-8.3795653764190507E-3</v>
      </c>
      <c r="AB71" s="572">
        <f t="shared" si="331"/>
        <v>-0.99991432759874588</v>
      </c>
      <c r="AC71" s="579">
        <f t="shared" si="100"/>
        <v>1</v>
      </c>
      <c r="AD71" s="580">
        <f t="shared" si="146"/>
        <v>1.0055861318174878E-2</v>
      </c>
      <c r="AE71" s="572">
        <f t="shared" si="101"/>
        <v>-8.3795653764190507E-3</v>
      </c>
      <c r="AF71" s="576">
        <f t="shared" si="102"/>
        <v>-0.99991432759874588</v>
      </c>
      <c r="AG71" s="545">
        <f t="shared" si="103"/>
        <v>-0.48014362642756347</v>
      </c>
      <c r="AH71" s="546">
        <f t="shared" si="104"/>
        <v>89.423831876434747</v>
      </c>
      <c r="AI71" s="528">
        <f t="shared" si="105"/>
        <v>-0.74999989171310932</v>
      </c>
      <c r="AJ71" s="529">
        <f t="shared" si="106"/>
        <v>50.195501782152988</v>
      </c>
      <c r="AK71" s="578">
        <f t="shared" si="247"/>
        <v>-2.6020852139652106E-18</v>
      </c>
      <c r="AL71" s="572">
        <f t="shared" si="107"/>
        <v>1.308959368154897E-2</v>
      </c>
      <c r="AM71" s="577">
        <f t="shared" si="108"/>
        <v>-0.99991432759874588</v>
      </c>
      <c r="AN71" s="524">
        <f t="shared" si="109"/>
        <v>0.74999989171341819</v>
      </c>
      <c r="AO71" s="525">
        <f t="shared" si="604"/>
        <v>0</v>
      </c>
      <c r="AP71" s="528">
        <f t="shared" si="111"/>
        <v>90.000000000000014</v>
      </c>
      <c r="AQ71" s="529">
        <f t="shared" si="332"/>
        <v>0.49787428884786705</v>
      </c>
      <c r="AR71" s="979"/>
      <c r="AS71" s="954">
        <f t="shared" si="524"/>
        <v>-129.80449821784703</v>
      </c>
      <c r="AT71" s="950">
        <f t="shared" si="333"/>
        <v>-6.2886925483723877E-2</v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>Nose</v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41"/>
        <v>3.218</v>
      </c>
      <c r="IJ71" s="674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3.1179999999999999</v>
      </c>
      <c r="IK71" s="677" cm="1">
        <f t="array" ref="IK71">IFERROR(ROUND(VALUE(IF($IJ71&lt;1,$IJ71+LARGE((IF($M$9:$M$150="",0,$M$9:$M$150)-MOD(IF($M$9:$M$150="",0,$M$9:$M$150),1)),1),$IJ71)),4),"")</f>
        <v>3.1179999999999999</v>
      </c>
      <c r="IL71" s="482">
        <f t="shared" si="485"/>
        <v>1613</v>
      </c>
      <c r="IM71" s="482" t="str">
        <f t="shared" si="242"/>
        <v>CPS-32193r1</v>
      </c>
      <c r="IN71" s="670">
        <f t="shared" si="486"/>
        <v>14.554462880324252</v>
      </c>
      <c r="IO71" s="702">
        <v>3.74104619955824E-2</v>
      </c>
      <c r="IP71" s="5">
        <f t="shared" si="487"/>
        <v>0.92</v>
      </c>
      <c r="IQ71" s="714">
        <v>460</v>
      </c>
      <c r="IR71" s="9">
        <f>IF(ISNUMBER($IK71),(INDEX($X$9:$X$150,MATCH($IK71,$M$9:$M$150,0))*-1),"")</f>
        <v>-4.5762138018608276</v>
      </c>
      <c r="IS71" s="5">
        <f t="shared" si="489"/>
        <v>-0.15660047230702451</v>
      </c>
      <c r="IT71" s="5">
        <f t="shared" si="490"/>
        <v>0.3125</v>
      </c>
      <c r="IU71" s="5">
        <f t="shared" si="491"/>
        <v>0.30156765766093097</v>
      </c>
      <c r="IV71" s="670">
        <f t="shared" si="492"/>
        <v>9.13333201464323</v>
      </c>
      <c r="IW71" s="9">
        <f t="shared" si="493"/>
        <v>-4.5788049380608955</v>
      </c>
      <c r="IX71" s="5">
        <f t="shared" si="494"/>
        <v>-0.15302893813500654</v>
      </c>
      <c r="IY71" s="5">
        <f t="shared" si="495"/>
        <v>0.255</v>
      </c>
      <c r="IZ71" s="5">
        <f t="shared" si="496"/>
        <v>0.255</v>
      </c>
      <c r="JA71" s="705">
        <f t="shared" si="497"/>
        <v>-0.74999989171341819</v>
      </c>
      <c r="JM71" s="489">
        <f t="shared" si="133"/>
        <v>18</v>
      </c>
      <c r="JN71" s="960">
        <f>($JO71-SMALL($JO$9:$JO$88,1))/((Settings!$C$19/2)-((Settings!$C$19/2)-LARGE($JO$9:$JO$88,1))-SMALL($JO$9:$JO$88,1))</f>
        <v>0.51864169473412791</v>
      </c>
      <c r="JO71" s="162">
        <f t="shared" ref="JO71:JO88" si="635">X71</f>
        <v>4.5788049380608955</v>
      </c>
      <c r="JP71" s="961">
        <f t="shared" ref="JP71:JP88" si="636">AN71</f>
        <v>0.74999989171341819</v>
      </c>
      <c r="JQ71" s="961">
        <f t="shared" ref="JQ71:JQ88" si="637">AO71</f>
        <v>0</v>
      </c>
      <c r="JU71" s="962"/>
      <c r="JV71" s="959"/>
      <c r="JW71" s="959"/>
    </row>
    <row r="72" spans="1:283" ht="15" customHeight="1" x14ac:dyDescent="0.25">
      <c r="A72" s="75">
        <f t="shared" si="322"/>
        <v>0</v>
      </c>
      <c r="B72" s="578">
        <f t="shared" ref="B72:D72" si="638">IFERROR(O227+($A72*-E72),"")</f>
        <v>4.2025895264457533</v>
      </c>
      <c r="C72" s="572">
        <f t="shared" si="638"/>
        <v>-3.3029869052281313</v>
      </c>
      <c r="D72" s="576">
        <f t="shared" si="638"/>
        <v>-0.22337145781603138</v>
      </c>
      <c r="E72" s="580">
        <f t="shared" ref="E72:K72" si="639">R227</f>
        <v>0.1519054553856404</v>
      </c>
      <c r="F72" s="572">
        <f t="shared" si="639"/>
        <v>-0.11938870708503938</v>
      </c>
      <c r="G72" s="579">
        <f t="shared" si="639"/>
        <v>0.98115802460390844</v>
      </c>
      <c r="H72" s="580">
        <f t="shared" si="639"/>
        <v>0.255</v>
      </c>
      <c r="I72" s="572">
        <f t="shared" si="639"/>
        <v>0.41499999999999992</v>
      </c>
      <c r="J72" s="483">
        <f t="shared" si="94"/>
        <v>3.2210000000000001</v>
      </c>
      <c r="K72" s="806" t="str">
        <f t="shared" si="639"/>
        <v>CPS-32193r1</v>
      </c>
      <c r="L72" s="309"/>
      <c r="M72" s="164">
        <f t="shared" si="325"/>
        <v>3.2210000000000001</v>
      </c>
      <c r="N72" s="575">
        <f t="shared" si="326"/>
        <v>4.2025895264457533</v>
      </c>
      <c r="O72" s="572">
        <f t="shared" si="327"/>
        <v>-3.3029869052281313</v>
      </c>
      <c r="P72" s="576">
        <f t="shared" si="328"/>
        <v>-0.22337145781603138</v>
      </c>
      <c r="Q72" s="528">
        <f t="shared" si="144"/>
        <v>321.83474706260398</v>
      </c>
      <c r="R72" s="572">
        <f t="shared" si="95"/>
        <v>5.3452297634339399</v>
      </c>
      <c r="S72" s="577">
        <f t="shared" si="96"/>
        <v>-0.22337145781603138</v>
      </c>
      <c r="T72" s="578">
        <f t="shared" si="97"/>
        <v>-3.3029869052281313</v>
      </c>
      <c r="U72" s="572">
        <f t="shared" si="98"/>
        <v>-4.2025895264457533</v>
      </c>
      <c r="V72" s="579">
        <f t="shared" si="145"/>
        <v>-0.22337145781603138</v>
      </c>
      <c r="W72" s="528">
        <f t="shared" si="268"/>
        <v>231.83474706260398</v>
      </c>
      <c r="X72" s="572">
        <f t="shared" si="99"/>
        <v>5.3452297634339399</v>
      </c>
      <c r="Y72" s="573">
        <f t="shared" si="271"/>
        <v>-0.22337145781603138</v>
      </c>
      <c r="Z72" s="575">
        <f t="shared" si="329"/>
        <v>-0.1519054553856404</v>
      </c>
      <c r="AA72" s="572">
        <f t="shared" si="330"/>
        <v>0.11938870708503938</v>
      </c>
      <c r="AB72" s="572">
        <f t="shared" si="331"/>
        <v>-0.98115802460390844</v>
      </c>
      <c r="AC72" s="579">
        <f t="shared" si="100"/>
        <v>1</v>
      </c>
      <c r="AD72" s="580">
        <f t="shared" si="146"/>
        <v>-0.1519054553856404</v>
      </c>
      <c r="AE72" s="572">
        <f t="shared" si="101"/>
        <v>0.11938870708503938</v>
      </c>
      <c r="AF72" s="576">
        <f t="shared" si="102"/>
        <v>-0.98115802460390844</v>
      </c>
      <c r="AG72" s="545">
        <f t="shared" si="103"/>
        <v>6.9377254419692527</v>
      </c>
      <c r="AH72" s="546">
        <f t="shared" si="104"/>
        <v>98.737366663508269</v>
      </c>
      <c r="AI72" s="528">
        <f t="shared" si="105"/>
        <v>-11.139998391583237</v>
      </c>
      <c r="AJ72" s="529">
        <f t="shared" si="106"/>
        <v>-128.16525293739599</v>
      </c>
      <c r="AK72" s="578">
        <f t="shared" si="247"/>
        <v>1.3877787807814457E-17</v>
      </c>
      <c r="AL72" s="572">
        <f t="shared" si="107"/>
        <v>-0.19320696352708439</v>
      </c>
      <c r="AM72" s="577">
        <f t="shared" si="108"/>
        <v>-0.98115802460390844</v>
      </c>
      <c r="AN72" s="524">
        <f t="shared" si="109"/>
        <v>-11.139998391583232</v>
      </c>
      <c r="AO72" s="525">
        <f t="shared" si="604"/>
        <v>0</v>
      </c>
      <c r="AP72" s="528">
        <f t="shared" si="111"/>
        <v>-90</v>
      </c>
      <c r="AQ72" s="529">
        <f t="shared" si="332"/>
        <v>0.42648952949734936</v>
      </c>
      <c r="AR72" s="979"/>
      <c r="AS72" s="954">
        <f t="shared" si="524"/>
        <v>-128.16525293739602</v>
      </c>
      <c r="AT72" s="950">
        <f t="shared" si="333"/>
        <v>-0.1343678099428397</v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>Nose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41"/>
        <v>3.2210000000000001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3.121</v>
      </c>
      <c r="IK72" s="677" cm="1">
        <f t="array" ref="IK72">IFERROR(ROUND(VALUE(IF($IJ72&lt;1,$IJ72+LARGE((IF($M$9:$M$150="",0,$M$9:$M$150)-MOD(IF($M$9:$M$150="",0,$M$9:$M$150),1)),1),$IJ72)),4),"")</f>
        <v>3.121</v>
      </c>
      <c r="IL72" s="482">
        <f t="shared" si="485"/>
        <v>1613</v>
      </c>
      <c r="IM72" s="482" t="str">
        <f t="shared" si="242"/>
        <v>CPS-32193r1</v>
      </c>
      <c r="IN72" s="670">
        <f t="shared" si="486"/>
        <v>12.435217669176666</v>
      </c>
      <c r="IO72" s="702">
        <v>3.5949473586889498E-2</v>
      </c>
      <c r="IP72" s="5">
        <f t="shared" si="487"/>
        <v>1.06</v>
      </c>
      <c r="IQ72" s="714">
        <v>530</v>
      </c>
      <c r="IR72" s="9">
        <f t="shared" si="488"/>
        <v>-5.3405161069965787</v>
      </c>
      <c r="IS72" s="5">
        <f t="shared" si="489"/>
        <v>-0.2261006819196566</v>
      </c>
      <c r="IT72" s="5">
        <f t="shared" si="490"/>
        <v>0.3125</v>
      </c>
      <c r="IU72" s="5">
        <f t="shared" si="491"/>
        <v>0.30054416266436301</v>
      </c>
      <c r="IV72" s="670">
        <f t="shared" si="492"/>
        <v>18.233330700765926</v>
      </c>
      <c r="IW72" s="9">
        <f t="shared" si="493"/>
        <v>-5.3452297634339399</v>
      </c>
      <c r="IX72" s="5">
        <f t="shared" si="494"/>
        <v>-0.22337145781603138</v>
      </c>
      <c r="IY72" s="5">
        <f t="shared" si="495"/>
        <v>0.255</v>
      </c>
      <c r="IZ72" s="5">
        <f t="shared" si="496"/>
        <v>0.255</v>
      </c>
      <c r="JA72" s="705">
        <f t="shared" si="497"/>
        <v>11.139998391583232</v>
      </c>
      <c r="JM72" s="489">
        <f t="shared" si="133"/>
        <v>21</v>
      </c>
      <c r="JN72" s="960">
        <f>($JO72-SMALL($JO$9:$JO$88,1))/((Settings!$C$19/2)-((Settings!$C$19/2)-LARGE($JO$9:$JO$88,1))-SMALL($JO$9:$JO$88,1))</f>
        <v>0.61248896643943984</v>
      </c>
      <c r="JO72" s="162">
        <f t="shared" si="635"/>
        <v>5.3452297634339399</v>
      </c>
      <c r="JP72" s="961">
        <f t="shared" si="636"/>
        <v>-11.139998391583232</v>
      </c>
      <c r="JQ72" s="961">
        <f t="shared" si="637"/>
        <v>0</v>
      </c>
      <c r="JU72" s="962"/>
      <c r="JV72" s="959"/>
      <c r="JW72" s="959"/>
    </row>
    <row r="73" spans="1:283" ht="15" customHeight="1" x14ac:dyDescent="0.25">
      <c r="A73" s="75">
        <f t="shared" ref="A73:A104" si="640">IF($K73="","",IF(AND($A$8="Y",ISNUMBER($K73)),$A$5,0))</f>
        <v>0</v>
      </c>
      <c r="B73" s="578">
        <f t="shared" ref="B73:D73" si="641">IFERROR(O228+($A73*-E73),"")</f>
        <v>4.8389766648018044</v>
      </c>
      <c r="C73" s="572">
        <f t="shared" si="641"/>
        <v>-3.6814362159458174</v>
      </c>
      <c r="D73" s="576">
        <f t="shared" si="641"/>
        <v>-0.45149927270731638</v>
      </c>
      <c r="E73" s="580">
        <f t="shared" ref="E73:K73" si="642">R228</f>
        <v>0.31198978678331146</v>
      </c>
      <c r="F73" s="572">
        <f t="shared" si="642"/>
        <v>-0.23735813987777077</v>
      </c>
      <c r="G73" s="579">
        <f t="shared" si="642"/>
        <v>0.91995841556924118</v>
      </c>
      <c r="H73" s="580">
        <f t="shared" si="642"/>
        <v>0.255</v>
      </c>
      <c r="I73" s="572">
        <f t="shared" si="642"/>
        <v>0.41499999999999992</v>
      </c>
      <c r="J73" s="483">
        <f t="shared" si="94"/>
        <v>3.2240000000000002</v>
      </c>
      <c r="K73" s="806" t="str">
        <f t="shared" si="642"/>
        <v>CPS-32193r1</v>
      </c>
      <c r="L73" s="309"/>
      <c r="M73" s="164">
        <f t="shared" ref="M73:M104" si="643">IF(J73="","",VALUE(J73))</f>
        <v>3.2240000000000002</v>
      </c>
      <c r="N73" s="575">
        <f t="shared" ref="N73:N104" si="644">IF(M73="","",B73)</f>
        <v>4.8389766648018044</v>
      </c>
      <c r="O73" s="572">
        <f t="shared" ref="O73:O104" si="645">IF(M73="","",C73)</f>
        <v>-3.6814362159458174</v>
      </c>
      <c r="P73" s="576">
        <f t="shared" ref="P73:P104" si="646">IF(M73="","",D73)</f>
        <v>-0.45149927270731638</v>
      </c>
      <c r="Q73" s="528">
        <f t="shared" si="144"/>
        <v>322.73655176784462</v>
      </c>
      <c r="R73" s="572">
        <f>IF(M73="","",SQRT(N73^2+O73^2))</f>
        <v>6.0801864917594308</v>
      </c>
      <c r="S73" s="577">
        <f>IF(M73="","",P73)</f>
        <v>-0.45149927270731638</v>
      </c>
      <c r="T73" s="578">
        <f>IF(M73="","",X73*COS(RADIANS(W73)))</f>
        <v>-3.681436215945816</v>
      </c>
      <c r="U73" s="572">
        <f>IF(M73="","",X73*SIN(RADIANS(W73)))</f>
        <v>-4.8389766648018053</v>
      </c>
      <c r="V73" s="579">
        <f>IF(M73="","",Y73)</f>
        <v>-0.45149927270731638</v>
      </c>
      <c r="W73" s="528">
        <f t="shared" si="268"/>
        <v>232.73655176784462</v>
      </c>
      <c r="X73" s="572">
        <f>IF(M73="","",R73)</f>
        <v>6.0801864917594308</v>
      </c>
      <c r="Y73" s="573">
        <f t="shared" si="271"/>
        <v>-0.45149927270731638</v>
      </c>
      <c r="Z73" s="575">
        <f t="shared" ref="Z73:Z104" si="647">IF(M73="","",-E73)</f>
        <v>-0.31198978678331146</v>
      </c>
      <c r="AA73" s="572">
        <f t="shared" ref="AA73:AA104" si="648">IF(M73="","",-F73)</f>
        <v>0.23735813987777077</v>
      </c>
      <c r="AB73" s="572">
        <f t="shared" ref="AB73:AB104" si="649">IF(M73="","",-G73)</f>
        <v>-0.91995841556924118</v>
      </c>
      <c r="AC73" s="579">
        <f>IF(M73="","",SQRT(Z73^2+AA73^2+AB73^2))</f>
        <v>1</v>
      </c>
      <c r="AD73" s="580">
        <f>IF(M73="","",Z73*(1/SQRT(Z73^2+AA73^2+AB73^2)))</f>
        <v>-0.31198978678331146</v>
      </c>
      <c r="AE73" s="572">
        <f>IF(M73="","",AA73*(1/SQRT(Z73^2+AA73^2+AB73^2)))</f>
        <v>0.23735813987777077</v>
      </c>
      <c r="AF73" s="576">
        <f>IF(M73="","",AB73*(1/SQRT(Z73^2+AA73^2+AB73^2)))</f>
        <v>-0.91995841556924118</v>
      </c>
      <c r="AG73" s="545">
        <f>IF(M73="","",DEGREES(ATAN2(-AF73,AE73)))</f>
        <v>14.4673462245692</v>
      </c>
      <c r="AH73" s="546">
        <f>IF(M73="","",DEGREES(ACOS(AD73)))</f>
        <v>108.1791852708125</v>
      </c>
      <c r="AI73" s="528">
        <f>IF(M73="","",DEGREES(-ACOS(-AF73)))</f>
        <v>-23.079996667660751</v>
      </c>
      <c r="AJ73" s="529">
        <f>IF(M73="","",DEGREES(ATAN2(-AE73,AD73)))</f>
        <v>-127.26344823215537</v>
      </c>
      <c r="AK73" s="578">
        <f>IF(M73="","",(COS(RADIANS((90-$Q$8)-W73))*AD73)+(-SIN(RADIANS((90-$Q$8)-W73))*AE73))</f>
        <v>5.5511151231257827E-17</v>
      </c>
      <c r="AL73" s="572">
        <f>IF(M73="","",(SIN(RADIANS((90-$Q$8)-W73))*AD73)+(COS(RADIANS((90-$Q$8)-W73))*AE73))</f>
        <v>-0.39201596092931157</v>
      </c>
      <c r="AM73" s="577">
        <f>IF(M73="","",AF73)</f>
        <v>-0.91995841556924118</v>
      </c>
      <c r="AN73" s="524">
        <f>IF(M73="","",DEGREES(ATAN2(-AM73,AL73)))</f>
        <v>-23.079996667660772</v>
      </c>
      <c r="AO73" s="525">
        <f t="shared" si="604"/>
        <v>0</v>
      </c>
      <c r="AP73" s="528">
        <f>IF(M73="","",DEGREES(ATAN2(AK73,AL73)))</f>
        <v>-90</v>
      </c>
      <c r="AQ73" s="529">
        <f t="shared" ref="AQ73:AQ104" si="650">IF(M73="","",DEGREES(ATAN(($AS$5*SIN(RADIANS(90)))/(($X73*2*PI())-($AS$5*COS(RADIANS(90)))))))</f>
        <v>0.37493818546468527</v>
      </c>
      <c r="AR73" s="979"/>
      <c r="AS73" s="954">
        <f t="shared" si="524"/>
        <v>-127.26344823215538</v>
      </c>
      <c r="AT73" s="950">
        <f t="shared" ref="AT73:AT104" si="651">IF(M73="","",Y73+(((AS73-$AS$9)*$AS$6)*-1))</f>
        <v>-0.36312187810165292</v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>Nose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41"/>
        <v>3.2240000000000002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3.1240000000000001</v>
      </c>
      <c r="IK73" s="677" cm="1">
        <f t="array" ref="IK73">IFERROR(ROUND(VALUE(IF($IJ73&lt;1,$IJ73+LARGE((IF($M$9:$M$150="",0,$M$9:$M$150)-MOD(IF($M$9:$M$150="",0,$M$9:$M$150),1)),1),$IJ73)),4),"")</f>
        <v>3.1240000000000001</v>
      </c>
      <c r="IL73" s="482">
        <f t="shared" ref="IL73:IL104" si="713">IF(ISNUMBER($IK73),INDEX($K$9:$K$150,MATCH($IK73,$M$9:$M$150,0)),$K73)</f>
        <v>1613</v>
      </c>
      <c r="IM73" s="482" t="str">
        <f t="shared" si="242"/>
        <v>CPS-32193r1</v>
      </c>
      <c r="IN73" s="670">
        <f t="shared" ref="IN73:IN104" si="714">IF(ISNUMBER($IK73),IFERROR(IF(INDEX($W$9:$W$150,MATCH($IK73,$M$9:$M$150,0))&lt;$W73,((INDEX($W$9:$W$150,MATCH($IK73,$M$9:$M$150,0))+360)-$W73),INDEX($W$9:$W$150,MATCH($IK73,$M$9:$M$150,0))-$W73),""),"")</f>
        <v>10.913413053452985</v>
      </c>
      <c r="IO73" s="702">
        <v>3.4895147212087897E-2</v>
      </c>
      <c r="IP73" s="5">
        <f t="shared" ref="IP73:IP104" si="715">IF(ISNUMBER($IK73),(($IQ73*12)/60)/$AS$3,"")</f>
        <v>1.24</v>
      </c>
      <c r="IQ73" s="714">
        <v>620</v>
      </c>
      <c r="IR73" s="9">
        <f t="shared" ref="IR73:IR104" si="716">IF(ISNUMBER($IK73),(INDEX($X$9:$X$150,MATCH($IK73,$M$9:$M$150,0))*-1),"")</f>
        <v>-6.0742183198424531</v>
      </c>
      <c r="IS73" s="5">
        <f t="shared" ref="IS73:IS104" si="717">IF(ISNUMBER($IK73),INDEX($Y$9:$Y$150,MATCH($IK73,$M$9:$M$150,0)),"")</f>
        <v>-0.45170136233130925</v>
      </c>
      <c r="IT73" s="5">
        <f t="shared" ref="IT73:IT104" si="718">IF(ISNUMBER($IK73),INDEX($H$9:$H$150,MATCH($IK73,$M$9:$M$150,0)),"")</f>
        <v>0.3125</v>
      </c>
      <c r="IU73" s="5">
        <f t="shared" ref="IU73:IU104" si="719">IF(ISNUMBER($IK73),$IT73*COS(RADIANS(INDEX($AO$9:$AO$150,MATCH($IK73,$M$9:$M$150,0)))),"")</f>
        <v>0.29884524015248648</v>
      </c>
      <c r="IV73" s="670">
        <f t="shared" ref="IV73:IV104" si="720">IF(ISNUMBER($IK73),(-1*INDEX($AN$9:$AN$150,MATCH($IK73,$M$9:$M$150,0))),"")</f>
        <v>27.333329386888966</v>
      </c>
      <c r="IW73" s="9">
        <f t="shared" ref="IW73:IW104" si="721">IF(ISNUMBER($IK73),-$X73,"")</f>
        <v>-6.0801864917594308</v>
      </c>
      <c r="IX73" s="5">
        <f t="shared" ref="IX73:IX104" si="722">IF(ISNUMBER($IK73),$Y73,"")</f>
        <v>-0.45149927270731638</v>
      </c>
      <c r="IY73" s="5">
        <f t="shared" ref="IY73:IY104" si="723">IF(ISNUMBER($IK73),$H73,"")</f>
        <v>0.255</v>
      </c>
      <c r="IZ73" s="5">
        <f t="shared" ref="IZ73:IZ104" si="724">IF(ISNUMBER($IK73),$IY73*COS(RADIANS($AO73)),"")</f>
        <v>0.255</v>
      </c>
      <c r="JA73" s="705">
        <f t="shared" ref="JA73:JA104" si="725">IF(ISNUMBER($IK73),(-1*$AN73),"")</f>
        <v>23.079996667660772</v>
      </c>
      <c r="JM73" s="489">
        <f t="shared" si="133"/>
        <v>24</v>
      </c>
      <c r="JN73" s="960">
        <f>($JO73-SMALL($JO$9:$JO$88,1))/((Settings!$C$19/2)-((Settings!$C$19/2)-LARGE($JO$9:$JO$88,1))-SMALL($JO$9:$JO$88,1))</f>
        <v>0.70248302912032667</v>
      </c>
      <c r="JO73" s="162">
        <f t="shared" si="635"/>
        <v>6.0801864917594308</v>
      </c>
      <c r="JP73" s="961">
        <f t="shared" si="636"/>
        <v>-23.079996667660772</v>
      </c>
      <c r="JQ73" s="961">
        <f t="shared" si="637"/>
        <v>0</v>
      </c>
      <c r="JU73" s="962"/>
      <c r="JV73" s="959"/>
      <c r="JW73" s="959"/>
    </row>
    <row r="74" spans="1:283" ht="15" customHeight="1" x14ac:dyDescent="0.25">
      <c r="A74" s="75">
        <f t="shared" si="640"/>
        <v>0</v>
      </c>
      <c r="B74" s="578">
        <f t="shared" ref="B74:D74" si="726">IFERROR(O229+($A74*-E74),"")</f>
        <v>5.4057669680452136</v>
      </c>
      <c r="C74" s="572">
        <f t="shared" si="726"/>
        <v>-4.0448695292752355</v>
      </c>
      <c r="D74" s="576">
        <f t="shared" si="726"/>
        <v>-0.82691556295996382</v>
      </c>
      <c r="E74" s="580">
        <f t="shared" ref="E74:K74" si="727">R229</f>
        <v>0.45729836143941627</v>
      </c>
      <c r="F74" s="572">
        <f t="shared" si="727"/>
        <v>-0.34217387077687234</v>
      </c>
      <c r="G74" s="579">
        <f t="shared" si="727"/>
        <v>0.82085032178978734</v>
      </c>
      <c r="H74" s="580">
        <f t="shared" si="727"/>
        <v>0.255</v>
      </c>
      <c r="I74" s="572">
        <f t="shared" si="727"/>
        <v>0.41499999999999992</v>
      </c>
      <c r="J74" s="483">
        <f t="shared" ref="J74:J137" si="728">IF(W229=0,"",W229)</f>
        <v>3.2269999999999999</v>
      </c>
      <c r="K74" s="806" t="str">
        <f t="shared" si="727"/>
        <v>CPS-32193r1</v>
      </c>
      <c r="L74" s="309"/>
      <c r="M74" s="164">
        <f t="shared" si="643"/>
        <v>3.2269999999999999</v>
      </c>
      <c r="N74" s="575">
        <f t="shared" si="644"/>
        <v>5.4057669680452136</v>
      </c>
      <c r="O74" s="572">
        <f t="shared" si="645"/>
        <v>-4.0448695292752355</v>
      </c>
      <c r="P74" s="576">
        <f t="shared" si="646"/>
        <v>-0.82691556295996382</v>
      </c>
      <c r="Q74" s="528">
        <f t="shared" ref="Q74:Q129" si="729">IF(M74="","",IF(DEGREES(ATAN2(N74,O74))&lt;0,DEGREES(ATAN2(N74,O74))+360,IF(DEGREES(ATAN2(N74,O74))&gt;360,DEGREES(ATAN2(N74,O74))-360,DEGREES(ATAN2(N74,O74)))))</f>
        <v>323.19429768354325</v>
      </c>
      <c r="R74" s="572">
        <f>IF(M74="","",SQRT(N74^2+O74^2))</f>
        <v>6.7515395297419394</v>
      </c>
      <c r="S74" s="577">
        <f>IF(M74="","",P74)</f>
        <v>-0.82691556295996382</v>
      </c>
      <c r="T74" s="578">
        <f>IF(M74="","",X74*COS(RADIANS(W74)))</f>
        <v>-4.0448695292752381</v>
      </c>
      <c r="U74" s="572">
        <f>IF(M74="","",X74*SIN(RADIANS(W74)))</f>
        <v>-5.405766968045211</v>
      </c>
      <c r="V74" s="579">
        <f>IF(M74="","",Y74)</f>
        <v>-0.82691556295996382</v>
      </c>
      <c r="W74" s="528">
        <f t="shared" si="268"/>
        <v>233.19429768354325</v>
      </c>
      <c r="X74" s="572">
        <f>IF(M74="","",R74)</f>
        <v>6.7515395297419394</v>
      </c>
      <c r="Y74" s="573">
        <f t="shared" si="271"/>
        <v>-0.82691556295996382</v>
      </c>
      <c r="Z74" s="575">
        <f t="shared" si="647"/>
        <v>-0.45729836143941627</v>
      </c>
      <c r="AA74" s="572">
        <f t="shared" si="648"/>
        <v>0.34217387077687234</v>
      </c>
      <c r="AB74" s="572">
        <f t="shared" si="649"/>
        <v>-0.82085032178978734</v>
      </c>
      <c r="AC74" s="579">
        <f>IF(M74="","",SQRT(Z74^2+AA74^2+AB74^2))</f>
        <v>1</v>
      </c>
      <c r="AD74" s="580">
        <f>IF(M74="","",Z74*(1/SQRT(Z74^2+AA74^2+AB74^2)))</f>
        <v>-0.45729836143941627</v>
      </c>
      <c r="AE74" s="572">
        <f>IF(M74="","",AA74*(1/SQRT(Z74^2+AA74^2+AB74^2)))</f>
        <v>0.34217387077687234</v>
      </c>
      <c r="AF74" s="576">
        <f>IF(M74="","",AB74*(1/SQRT(Z74^2+AA74^2+AB74^2)))</f>
        <v>-0.82085032178978734</v>
      </c>
      <c r="AG74" s="545">
        <f>IF(M74="","",DEGREES(ATAN2(-AF74,AE74)))</f>
        <v>22.628958274122056</v>
      </c>
      <c r="AH74" s="546">
        <f>IF(M74="","",DEGREES(ACOS(AD74)))</f>
        <v>117.21291263532576</v>
      </c>
      <c r="AI74" s="528">
        <f>IF(M74="","",DEGREES(-ACOS(-AF74)))</f>
        <v>-34.829994971170919</v>
      </c>
      <c r="AJ74" s="529">
        <f>IF(M74="","",DEGREES(ATAN2(-AE74,AD74)))</f>
        <v>-126.80570231645672</v>
      </c>
      <c r="AK74" s="578">
        <f>IF(M74="","",(COS(RADIANS((90-$Q$8)-W74))*AD74)+(-SIN(RADIANS((90-$Q$8)-W74))*AE74))</f>
        <v>3.3306690738754696E-16</v>
      </c>
      <c r="AL74" s="572">
        <f>IF(M74="","",(SIN(RADIANS((90-$Q$8)-W74))*AD74)+(COS(RADIANS((90-$Q$8)-W74))*AE74))</f>
        <v>-0.57114337010736871</v>
      </c>
      <c r="AM74" s="577">
        <f>IF(M74="","",AF74)</f>
        <v>-0.82085032178978734</v>
      </c>
      <c r="AN74" s="524">
        <f>IF(M74="","",DEGREES(ATAN2(-AM74,AL74)))</f>
        <v>-34.829994971170933</v>
      </c>
      <c r="AO74" s="525">
        <f t="shared" si="604"/>
        <v>0</v>
      </c>
      <c r="AP74" s="528">
        <f>IF(M74="","",DEGREES(ATAN2(AK74,AL74)))</f>
        <v>-89.999999999999972</v>
      </c>
      <c r="AQ74" s="529">
        <f t="shared" si="650"/>
        <v>0.33765635677981798</v>
      </c>
      <c r="AR74" s="979"/>
      <c r="AS74" s="954">
        <f t="shared" si="524"/>
        <v>-126.80570231645675</v>
      </c>
      <c r="AT74" s="950">
        <f t="shared" si="651"/>
        <v>-0.73885604746242439</v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41"/>
        <v>3.2269999999999999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3.1269999999999998</v>
      </c>
      <c r="IK74" s="677" cm="1">
        <f t="array" ref="IK74">IFERROR(ROUND(VALUE(IF($IJ74&lt;1,$IJ74+LARGE((IF($M$9:$M$150="",0,$M$9:$M$150)-MOD(IF($M$9:$M$150="",0,$M$9:$M$150),1)),1),$IJ74)),4),"")</f>
        <v>3.1269999999999998</v>
      </c>
      <c r="IL74" s="482">
        <f t="shared" si="713"/>
        <v>1613</v>
      </c>
      <c r="IM74" s="482" t="str">
        <f t="shared" si="242"/>
        <v>CPS-32193r1</v>
      </c>
      <c r="IN74" s="670">
        <f t="shared" si="714"/>
        <v>9.8156672301588515</v>
      </c>
      <c r="IO74" s="702">
        <v>3.3900382318618499E-2</v>
      </c>
      <c r="IP74" s="5">
        <f t="shared" si="715"/>
        <v>1.44</v>
      </c>
      <c r="IQ74" s="714">
        <v>720</v>
      </c>
      <c r="IR74" s="9">
        <f t="shared" si="716"/>
        <v>-6.7457203450925629</v>
      </c>
      <c r="IS74" s="5">
        <f t="shared" si="717"/>
        <v>-0.82330248308029019</v>
      </c>
      <c r="IT74" s="5">
        <f t="shared" si="718"/>
        <v>0.3125</v>
      </c>
      <c r="IU74" s="5">
        <f t="shared" si="719"/>
        <v>0.2961776327998466</v>
      </c>
      <c r="IV74" s="670">
        <f t="shared" si="720"/>
        <v>36.433328073011502</v>
      </c>
      <c r="IW74" s="9">
        <f t="shared" si="721"/>
        <v>-6.7515395297419394</v>
      </c>
      <c r="IX74" s="5">
        <f t="shared" si="722"/>
        <v>-0.82691556295996382</v>
      </c>
      <c r="IY74" s="5">
        <f t="shared" si="723"/>
        <v>0.255</v>
      </c>
      <c r="IZ74" s="5">
        <f t="shared" si="724"/>
        <v>0.255</v>
      </c>
      <c r="JA74" s="705">
        <f t="shared" si="725"/>
        <v>34.829994971170933</v>
      </c>
      <c r="JM74" s="489">
        <f t="shared" ref="JM74:JM88" si="752">VALUE(RIGHT((M74*1000),2))</f>
        <v>27</v>
      </c>
      <c r="JN74" s="960">
        <f>($JO74-SMALL($JO$9:$JO$88,1))/((Settings!$C$19/2)-((Settings!$C$19/2)-LARGE($JO$9:$JO$88,1))-SMALL($JO$9:$JO$88,1))</f>
        <v>0.78468894009804668</v>
      </c>
      <c r="JO74" s="162">
        <f t="shared" si="635"/>
        <v>6.7515395297419394</v>
      </c>
      <c r="JP74" s="961">
        <f t="shared" si="636"/>
        <v>-34.829994971170933</v>
      </c>
      <c r="JQ74" s="961">
        <f t="shared" si="637"/>
        <v>0</v>
      </c>
      <c r="JU74" s="962"/>
      <c r="JV74" s="959"/>
      <c r="JW74" s="959"/>
    </row>
    <row r="75" spans="1:283" ht="15" customHeight="1" x14ac:dyDescent="0.25">
      <c r="A75" s="75">
        <f t="shared" si="640"/>
        <v>0</v>
      </c>
      <c r="B75" s="578">
        <f t="shared" ref="B75:D75" si="753">IFERROR(O230+($A75*-E75),"")</f>
        <v>5.8829211934390813</v>
      </c>
      <c r="C75" s="572">
        <f t="shared" si="753"/>
        <v>-4.3738887087192859</v>
      </c>
      <c r="D75" s="576">
        <f t="shared" si="753"/>
        <v>-1.3327227133909085</v>
      </c>
      <c r="E75" s="580">
        <f t="shared" ref="E75:K75" si="754">R230</f>
        <v>0.58442235468717763</v>
      </c>
      <c r="F75" s="572">
        <f t="shared" si="754"/>
        <v>-0.43451174242146595</v>
      </c>
      <c r="G75" s="579">
        <f t="shared" si="754"/>
        <v>0.68531019038079133</v>
      </c>
      <c r="H75" s="580">
        <f t="shared" si="754"/>
        <v>0.255</v>
      </c>
      <c r="I75" s="572">
        <f t="shared" si="754"/>
        <v>0.41499999999999992</v>
      </c>
      <c r="J75" s="483">
        <f t="shared" si="728"/>
        <v>3.23</v>
      </c>
      <c r="K75" s="806" t="str">
        <f t="shared" si="754"/>
        <v>CPS-32193r1</v>
      </c>
      <c r="L75" s="309"/>
      <c r="M75" s="164">
        <f t="shared" si="643"/>
        <v>3.23</v>
      </c>
      <c r="N75" s="575">
        <f t="shared" si="644"/>
        <v>5.8829211934390813</v>
      </c>
      <c r="O75" s="572">
        <f t="shared" si="645"/>
        <v>-4.3738887087192859</v>
      </c>
      <c r="P75" s="576">
        <f t="shared" si="646"/>
        <v>-1.3327227133909085</v>
      </c>
      <c r="Q75" s="528">
        <f t="shared" si="729"/>
        <v>323.36959378288606</v>
      </c>
      <c r="R75" s="572">
        <f>IF(M75="","",SQRT(N75^2+O75^2))</f>
        <v>7.330734220013488</v>
      </c>
      <c r="S75" s="577">
        <f>IF(M75="","",P75)</f>
        <v>-1.3327227133909085</v>
      </c>
      <c r="T75" s="578">
        <f>IF(M75="","",X75*COS(RADIANS(W75)))</f>
        <v>-4.3738887087192886</v>
      </c>
      <c r="U75" s="572">
        <f>IF(M75="","",X75*SIN(RADIANS(W75)))</f>
        <v>-5.8829211934390786</v>
      </c>
      <c r="V75" s="579">
        <f>IF(M75="","",Y75)</f>
        <v>-1.3327227133909085</v>
      </c>
      <c r="W75" s="528">
        <f t="shared" si="268"/>
        <v>233.36959378288606</v>
      </c>
      <c r="X75" s="572">
        <f>IF(M75="","",R75)</f>
        <v>7.330734220013488</v>
      </c>
      <c r="Y75" s="573">
        <f t="shared" si="271"/>
        <v>-1.3327227133909085</v>
      </c>
      <c r="Z75" s="575">
        <f t="shared" si="647"/>
        <v>-0.58442235468717763</v>
      </c>
      <c r="AA75" s="572">
        <f t="shared" si="648"/>
        <v>0.43451174242146595</v>
      </c>
      <c r="AB75" s="572">
        <f t="shared" si="649"/>
        <v>-0.68531019038079133</v>
      </c>
      <c r="AC75" s="579">
        <f>IF(M75="","",SQRT(Z75^2+AA75^2+AB75^2))</f>
        <v>1</v>
      </c>
      <c r="AD75" s="580">
        <f>IF(M75="","",Z75*(1/SQRT(Z75^2+AA75^2+AB75^2)))</f>
        <v>-0.58442235468717763</v>
      </c>
      <c r="AE75" s="572">
        <f>IF(M75="","",AA75*(1/SQRT(Z75^2+AA75^2+AB75^2)))</f>
        <v>0.43451174242146595</v>
      </c>
      <c r="AF75" s="576">
        <f>IF(M75="","",AB75*(1/SQRT(Z75^2+AA75^2+AB75^2)))</f>
        <v>-0.68531019038079133</v>
      </c>
      <c r="AG75" s="545">
        <f>IF(M75="","",DEGREES(ATAN2(-AF75,AE75)))</f>
        <v>32.376193075508368</v>
      </c>
      <c r="AH75" s="546">
        <f>IF(M75="","",DEGREES(ACOS(AD75)))</f>
        <v>125.76219249501133</v>
      </c>
      <c r="AI75" s="528">
        <f>IF(M75="","",DEGREES(-ACOS(-AF75)))</f>
        <v>-46.739993251579911</v>
      </c>
      <c r="AJ75" s="529">
        <f>IF(M75="","",DEGREES(ATAN2(-AE75,AD75)))</f>
        <v>-126.63040621711396</v>
      </c>
      <c r="AK75" s="578">
        <f>IF(M75="","",(COS(RADIANS((90-$Q$8)-W75))*AD75)+(-SIN(RADIANS((90-$Q$8)-W75))*AE75))</f>
        <v>2.2204460492503131E-16</v>
      </c>
      <c r="AL75" s="572">
        <f>IF(M75="","",(SIN(RADIANS((90-$Q$8)-W75))*AD75)+(COS(RADIANS((90-$Q$8)-W75))*AE75))</f>
        <v>-0.72825129108038222</v>
      </c>
      <c r="AM75" s="577">
        <f>IF(M75="","",AF75)</f>
        <v>-0.68531019038079133</v>
      </c>
      <c r="AN75" s="524">
        <f>IF(M75="","",DEGREES(ATAN2(-AM75,AL75)))</f>
        <v>-46.739993251579918</v>
      </c>
      <c r="AO75" s="525">
        <f t="shared" si="604"/>
        <v>0</v>
      </c>
      <c r="AP75" s="528">
        <f>IF(M75="","",DEGREES(ATAN2(AK75,AL75)))</f>
        <v>-89.999999999999986</v>
      </c>
      <c r="AQ75" s="529">
        <f t="shared" si="650"/>
        <v>0.31097897937575875</v>
      </c>
      <c r="AR75" s="979"/>
      <c r="AS75" s="954">
        <f t="shared" ref="AS75:AS106" si="755">IF(G75="","",IF(AND(W75&lt;(AS74+180),W75&gt;(AS74-180)),W75,IF(W75&gt;(AS74+180),W75-360,IF(W75&lt;(AS74-180),W75+360,"Error"))))</f>
        <v>-126.63040621711394</v>
      </c>
      <c r="AT75" s="950">
        <f t="shared" si="651"/>
        <v>-1.2447849312956905</v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55">$M75</f>
        <v>3.23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3.13</v>
      </c>
      <c r="IK75" s="677" cm="1">
        <f t="array" ref="IK75">IFERROR(ROUND(VALUE(IF($IJ75&lt;1,$IJ75+LARGE((IF($M$9:$M$150="",0,$M$9:$M$150)-MOD(IF($M$9:$M$150="",0,$M$9:$M$150),1)),1),$IJ75)),4),"")</f>
        <v>3.13</v>
      </c>
      <c r="IL75" s="482">
        <f t="shared" si="713"/>
        <v>1613</v>
      </c>
      <c r="IM75" s="482" t="str">
        <f t="shared" ref="IM75:IM138" si="856">IF(ISNUMBER($IK75),INDEX($K$9:$K$150,MATCH($II75,$M$9:$M$150,0)),"")</f>
        <v>CPS-32193r1</v>
      </c>
      <c r="IN75" s="670">
        <f t="shared" si="714"/>
        <v>9.0303712188891723</v>
      </c>
      <c r="IO75" s="702">
        <v>3.2778268436638502E-2</v>
      </c>
      <c r="IP75" s="5">
        <f t="shared" si="715"/>
        <v>1.68</v>
      </c>
      <c r="IQ75" s="714">
        <v>840</v>
      </c>
      <c r="IR75" s="9">
        <f t="shared" si="716"/>
        <v>-7.3268220976954472</v>
      </c>
      <c r="IS75" s="5">
        <f t="shared" si="717"/>
        <v>-1.3247039953072499</v>
      </c>
      <c r="IT75" s="5">
        <f t="shared" si="718"/>
        <v>0.3125</v>
      </c>
      <c r="IU75" s="5">
        <f t="shared" si="719"/>
        <v>0.29251861062605145</v>
      </c>
      <c r="IV75" s="670">
        <f t="shared" si="720"/>
        <v>45.53332675913439</v>
      </c>
      <c r="IW75" s="9">
        <f t="shared" si="721"/>
        <v>-7.330734220013488</v>
      </c>
      <c r="IX75" s="5">
        <f t="shared" si="722"/>
        <v>-1.3327227133909085</v>
      </c>
      <c r="IY75" s="5">
        <f t="shared" si="723"/>
        <v>0.255</v>
      </c>
      <c r="IZ75" s="5">
        <f t="shared" si="724"/>
        <v>0.255</v>
      </c>
      <c r="JA75" s="705">
        <f t="shared" si="725"/>
        <v>46.739993251579918</v>
      </c>
      <c r="JM75" s="489">
        <f t="shared" si="752"/>
        <v>30</v>
      </c>
      <c r="JN75" s="960">
        <f>($JO75-SMALL($JO$9:$JO$88,1))/((Settings!$C$19/2)-((Settings!$C$19/2)-LARGE($JO$9:$JO$88,1))-SMALL($JO$9:$JO$88,1))</f>
        <v>0.85561023553198734</v>
      </c>
      <c r="JO75" s="162">
        <f t="shared" si="635"/>
        <v>7.330734220013488</v>
      </c>
      <c r="JP75" s="961">
        <f t="shared" si="636"/>
        <v>-46.739993251579918</v>
      </c>
      <c r="JQ75" s="961">
        <f t="shared" si="637"/>
        <v>0</v>
      </c>
      <c r="JU75" s="962"/>
      <c r="JV75" s="959"/>
      <c r="JW75" s="959"/>
    </row>
    <row r="76" spans="1:283" ht="15" customHeight="1" x14ac:dyDescent="0.25">
      <c r="A76" s="75">
        <f t="shared" si="640"/>
        <v>0</v>
      </c>
      <c r="B76" s="578">
        <f t="shared" ref="B76:D76" si="857">IFERROR(O231+($A76*-E76),"")</f>
        <v>6.2563681658748713</v>
      </c>
      <c r="C76" s="572">
        <f t="shared" si="857"/>
        <v>-4.6473613556043141</v>
      </c>
      <c r="D76" s="576">
        <f t="shared" si="857"/>
        <v>-1.9462851712951992</v>
      </c>
      <c r="E76" s="580">
        <f t="shared" ref="E76:K76" si="858">R231</f>
        <v>0.68373033972442887</v>
      </c>
      <c r="F76" s="572">
        <f t="shared" si="858"/>
        <v>-0.50788922170873929</v>
      </c>
      <c r="G76" s="579">
        <f t="shared" si="858"/>
        <v>0.52398603131420252</v>
      </c>
      <c r="H76" s="580">
        <f t="shared" si="858"/>
        <v>0.255</v>
      </c>
      <c r="I76" s="572">
        <f t="shared" si="858"/>
        <v>0.41499999999999992</v>
      </c>
      <c r="J76" s="483">
        <f t="shared" si="728"/>
        <v>3.2330000000000001</v>
      </c>
      <c r="K76" s="806" t="str">
        <f t="shared" si="858"/>
        <v>CPS-32193r1</v>
      </c>
      <c r="L76" s="309"/>
      <c r="M76" s="164">
        <f t="shared" si="643"/>
        <v>3.2330000000000001</v>
      </c>
      <c r="N76" s="575">
        <f t="shared" si="644"/>
        <v>6.2563681658748713</v>
      </c>
      <c r="O76" s="572">
        <f t="shared" si="645"/>
        <v>-4.6473613556043141</v>
      </c>
      <c r="P76" s="576">
        <f t="shared" si="646"/>
        <v>-1.9462851712951992</v>
      </c>
      <c r="Q76" s="528">
        <f t="shared" si="729"/>
        <v>323.39426143132579</v>
      </c>
      <c r="R76" s="572">
        <f t="shared" si="95"/>
        <v>7.7935941770493073</v>
      </c>
      <c r="S76" s="577">
        <f t="shared" si="96"/>
        <v>-1.9462851712951992</v>
      </c>
      <c r="T76" s="578">
        <f t="shared" si="97"/>
        <v>-4.647361355604315</v>
      </c>
      <c r="U76" s="572">
        <f t="shared" si="98"/>
        <v>-6.2563681658748704</v>
      </c>
      <c r="V76" s="579">
        <f t="shared" si="145"/>
        <v>-1.9462851712951992</v>
      </c>
      <c r="W76" s="528">
        <f t="shared" si="268"/>
        <v>233.39426143132579</v>
      </c>
      <c r="X76" s="572">
        <f t="shared" si="99"/>
        <v>7.7935941770493073</v>
      </c>
      <c r="Y76" s="573">
        <f t="shared" ref="Y76:Y129" si="859">IF(M76="","",S76)</f>
        <v>-1.9462851712951992</v>
      </c>
      <c r="Z76" s="575">
        <f t="shared" si="647"/>
        <v>-0.68373033972442887</v>
      </c>
      <c r="AA76" s="572">
        <f t="shared" si="648"/>
        <v>0.50788922170873929</v>
      </c>
      <c r="AB76" s="572">
        <f t="shared" si="649"/>
        <v>-0.52398603131420252</v>
      </c>
      <c r="AC76" s="579">
        <f t="shared" si="100"/>
        <v>1</v>
      </c>
      <c r="AD76" s="580">
        <f t="shared" si="146"/>
        <v>-0.68373033972442887</v>
      </c>
      <c r="AE76" s="572">
        <f t="shared" si="101"/>
        <v>0.50788922170873929</v>
      </c>
      <c r="AF76" s="576">
        <f t="shared" si="102"/>
        <v>-0.52398603131420252</v>
      </c>
      <c r="AG76" s="545">
        <f t="shared" si="103"/>
        <v>44.106283001675493</v>
      </c>
      <c r="AH76" s="546">
        <f t="shared" si="104"/>
        <v>133.13583719375842</v>
      </c>
      <c r="AI76" s="528">
        <f t="shared" si="105"/>
        <v>-58.399991568084438</v>
      </c>
      <c r="AJ76" s="529">
        <f t="shared" si="106"/>
        <v>-126.60573856867423</v>
      </c>
      <c r="AK76" s="578">
        <f t="shared" si="247"/>
        <v>-5.5511151231257827E-17</v>
      </c>
      <c r="AL76" s="572">
        <f t="shared" si="107"/>
        <v>-0.85172685703081585</v>
      </c>
      <c r="AM76" s="577">
        <f t="shared" si="108"/>
        <v>-0.52398603131420252</v>
      </c>
      <c r="AN76" s="524">
        <f t="shared" si="109"/>
        <v>-58.399991568084452</v>
      </c>
      <c r="AO76" s="525">
        <f t="shared" si="604"/>
        <v>0</v>
      </c>
      <c r="AP76" s="528">
        <f t="shared" si="111"/>
        <v>-90</v>
      </c>
      <c r="AQ76" s="529">
        <f t="shared" si="650"/>
        <v>0.29251033272232113</v>
      </c>
      <c r="AR76" s="979"/>
      <c r="AS76" s="954">
        <f t="shared" si="755"/>
        <v>-126.60573856867421</v>
      </c>
      <c r="AT76" s="950">
        <f t="shared" si="651"/>
        <v>-1.8583645195113976</v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55"/>
        <v>3.2330000000000001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3.133</v>
      </c>
      <c r="IK76" s="677" cm="1">
        <f t="array" ref="IK76">IFERROR(ROUND(VALUE(IF($IJ76&lt;1,$IJ76+LARGE((IF($M$9:$M$150="",0,$M$9:$M$150)-MOD(IF($M$9:$M$150="",0,$M$9:$M$150),1)),1),$IJ76)),4),"")</f>
        <v>3.133</v>
      </c>
      <c r="IL76" s="482">
        <f t="shared" si="713"/>
        <v>1613</v>
      </c>
      <c r="IM76" s="482" t="str">
        <f t="shared" si="856"/>
        <v>CPS-32193r1</v>
      </c>
      <c r="IN76" s="670">
        <f t="shared" si="714"/>
        <v>8.4857036455281332</v>
      </c>
      <c r="IO76" s="702">
        <v>3.1415994578149697E-2</v>
      </c>
      <c r="IP76" s="5">
        <f t="shared" si="715"/>
        <v>1.96</v>
      </c>
      <c r="IQ76" s="714">
        <v>980</v>
      </c>
      <c r="IR76" s="9">
        <f t="shared" si="716"/>
        <v>-7.7933235046636913</v>
      </c>
      <c r="IS76" s="5">
        <f t="shared" si="717"/>
        <v>-1.9342058335647938</v>
      </c>
      <c r="IT76" s="5">
        <f t="shared" si="718"/>
        <v>0.3125</v>
      </c>
      <c r="IU76" s="5">
        <f t="shared" si="719"/>
        <v>0.28808224182909187</v>
      </c>
      <c r="IV76" s="670">
        <f t="shared" si="720"/>
        <v>54.633325445257029</v>
      </c>
      <c r="IW76" s="9">
        <f t="shared" si="721"/>
        <v>-7.7935941770493073</v>
      </c>
      <c r="IX76" s="5">
        <f t="shared" si="722"/>
        <v>-1.9462851712951992</v>
      </c>
      <c r="IY76" s="5">
        <f t="shared" si="723"/>
        <v>0.255</v>
      </c>
      <c r="IZ76" s="5">
        <f t="shared" si="724"/>
        <v>0.255</v>
      </c>
      <c r="JA76" s="705">
        <f t="shared" si="725"/>
        <v>58.399991568084452</v>
      </c>
      <c r="JM76" s="489">
        <f t="shared" si="752"/>
        <v>33</v>
      </c>
      <c r="JN76" s="960">
        <f>($JO76-SMALL($JO$9:$JO$88,1))/((Settings!$C$19/2)-((Settings!$C$19/2)-LARGE($JO$9:$JO$88,1))-SMALL($JO$9:$JO$88,1))</f>
        <v>0.91228656269598118</v>
      </c>
      <c r="JO76" s="162">
        <f t="shared" si="635"/>
        <v>7.7935941770493073</v>
      </c>
      <c r="JP76" s="961">
        <f t="shared" si="636"/>
        <v>-58.399991568084452</v>
      </c>
      <c r="JQ76" s="961">
        <f t="shared" si="637"/>
        <v>0</v>
      </c>
      <c r="JU76" s="962"/>
      <c r="JV76" s="959"/>
      <c r="JW76" s="959"/>
    </row>
    <row r="77" spans="1:283" ht="15" customHeight="1" x14ac:dyDescent="0.25">
      <c r="A77" s="75">
        <f t="shared" si="640"/>
        <v>0</v>
      </c>
      <c r="B77" s="578">
        <f t="shared" ref="B77:D77" si="860">IFERROR(O232+($A77*-E77),"")</f>
        <v>6.5175574716667297</v>
      </c>
      <c r="C77" s="572">
        <f t="shared" si="860"/>
        <v>-4.8449034751547213</v>
      </c>
      <c r="D77" s="576">
        <f t="shared" si="860"/>
        <v>-2.6410521744977045</v>
      </c>
      <c r="E77" s="580">
        <f t="shared" ref="E77:K77" si="861">R232</f>
        <v>0.75491375886525136</v>
      </c>
      <c r="F77" s="572">
        <f t="shared" si="861"/>
        <v>-0.56117407628061133</v>
      </c>
      <c r="G77" s="579">
        <f t="shared" si="861"/>
        <v>0.3393948626401701</v>
      </c>
      <c r="H77" s="580">
        <f t="shared" si="861"/>
        <v>0.255</v>
      </c>
      <c r="I77" s="572">
        <f t="shared" si="861"/>
        <v>0.41499999999999992</v>
      </c>
      <c r="J77" s="483">
        <f t="shared" si="728"/>
        <v>3.2360000000000002</v>
      </c>
      <c r="K77" s="806" t="str">
        <f t="shared" si="861"/>
        <v>CPS-32193r1</v>
      </c>
      <c r="L77" s="309"/>
      <c r="M77" s="164">
        <f t="shared" si="643"/>
        <v>3.2360000000000002</v>
      </c>
      <c r="N77" s="575">
        <f t="shared" si="644"/>
        <v>6.5175574716667297</v>
      </c>
      <c r="O77" s="572">
        <f t="shared" si="645"/>
        <v>-4.8449034751547213</v>
      </c>
      <c r="P77" s="576">
        <f t="shared" si="646"/>
        <v>-2.6410521744977045</v>
      </c>
      <c r="Q77" s="528">
        <f t="shared" si="729"/>
        <v>323.37429585302078</v>
      </c>
      <c r="R77" s="572">
        <f t="shared" si="95"/>
        <v>8.1210618197403903</v>
      </c>
      <c r="S77" s="577">
        <f t="shared" si="96"/>
        <v>-2.6410521744977045</v>
      </c>
      <c r="T77" s="578">
        <f t="shared" si="97"/>
        <v>-4.8449034751547195</v>
      </c>
      <c r="U77" s="572">
        <f t="shared" si="98"/>
        <v>-6.5175574716667297</v>
      </c>
      <c r="V77" s="579">
        <f t="shared" si="145"/>
        <v>-2.6410521744977045</v>
      </c>
      <c r="W77" s="528">
        <f t="shared" si="268"/>
        <v>233.37429585302078</v>
      </c>
      <c r="X77" s="572">
        <f t="shared" si="99"/>
        <v>8.1210618197403903</v>
      </c>
      <c r="Y77" s="573">
        <f t="shared" si="859"/>
        <v>-2.6410521744977045</v>
      </c>
      <c r="Z77" s="575">
        <f t="shared" si="647"/>
        <v>-0.75491375886525136</v>
      </c>
      <c r="AA77" s="572">
        <f t="shared" si="648"/>
        <v>0.56117407628061133</v>
      </c>
      <c r="AB77" s="572">
        <f t="shared" si="649"/>
        <v>-0.3393948626401701</v>
      </c>
      <c r="AC77" s="579">
        <f t="shared" si="100"/>
        <v>1</v>
      </c>
      <c r="AD77" s="580">
        <f t="shared" si="146"/>
        <v>-0.75491375886525136</v>
      </c>
      <c r="AE77" s="572">
        <f t="shared" si="101"/>
        <v>0.56117407628061133</v>
      </c>
      <c r="AF77" s="576">
        <f t="shared" si="102"/>
        <v>-0.3393948626401701</v>
      </c>
      <c r="AG77" s="545">
        <f t="shared" si="103"/>
        <v>58.834691846309475</v>
      </c>
      <c r="AH77" s="546">
        <f t="shared" si="104"/>
        <v>139.01783478170472</v>
      </c>
      <c r="AI77" s="528">
        <f t="shared" si="105"/>
        <v>-70.159989870150753</v>
      </c>
      <c r="AJ77" s="529">
        <f t="shared" si="106"/>
        <v>-126.62570414697926</v>
      </c>
      <c r="AK77" s="578">
        <f t="shared" si="247"/>
        <v>-6.6613381477509392E-16</v>
      </c>
      <c r="AL77" s="572">
        <f t="shared" si="107"/>
        <v>-0.94064399600138848</v>
      </c>
      <c r="AM77" s="577">
        <f t="shared" si="108"/>
        <v>-0.3393948626401701</v>
      </c>
      <c r="AN77" s="524">
        <f t="shared" si="109"/>
        <v>-70.159989870150767</v>
      </c>
      <c r="AO77" s="525">
        <f t="shared" si="604"/>
        <v>0</v>
      </c>
      <c r="AP77" s="528">
        <f t="shared" si="111"/>
        <v>-90.000000000000043</v>
      </c>
      <c r="AQ77" s="529">
        <f t="shared" si="650"/>
        <v>0.28071555684478772</v>
      </c>
      <c r="AR77" s="979"/>
      <c r="AS77" s="954">
        <f t="shared" si="755"/>
        <v>-126.62570414697922</v>
      </c>
      <c r="AT77" s="950">
        <f t="shared" si="651"/>
        <v>-2.5531176577289689</v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55"/>
        <v>3.2360000000000002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3.1360000000000001</v>
      </c>
      <c r="IK77" s="677" cm="1">
        <f t="array" ref="IK77">IFERROR(ROUND(VALUE(IF($IJ77&lt;1,$IJ77+LARGE((IF($M$9:$M$150="",0,$M$9:$M$150)-MOD(IF($M$9:$M$150="",0,$M$9:$M$150),1)),1),$IJ77)),4),"")</f>
        <v>3.1360000000000001</v>
      </c>
      <c r="IL77" s="482">
        <f t="shared" si="713"/>
        <v>1613</v>
      </c>
      <c r="IM77" s="482" t="str">
        <f t="shared" si="856"/>
        <v>CPS-32193r1</v>
      </c>
      <c r="IN77" s="670">
        <f t="shared" si="714"/>
        <v>8.1356692772545216</v>
      </c>
      <c r="IO77" s="702">
        <v>2.9811135116700999E-2</v>
      </c>
      <c r="IP77" s="5">
        <f t="shared" si="715"/>
        <v>2.2599999999999998</v>
      </c>
      <c r="IQ77" s="714">
        <v>1130</v>
      </c>
      <c r="IR77" s="9">
        <f t="shared" si="716"/>
        <v>-8.1262245086931202</v>
      </c>
      <c r="IS77" s="5">
        <f t="shared" si="717"/>
        <v>-2.6259079197382862</v>
      </c>
      <c r="IT77" s="5">
        <f t="shared" si="718"/>
        <v>0.3125</v>
      </c>
      <c r="IU77" s="5">
        <f t="shared" si="719"/>
        <v>0.28275846234503049</v>
      </c>
      <c r="IV77" s="670">
        <f t="shared" si="720"/>
        <v>63.733324131379817</v>
      </c>
      <c r="IW77" s="9">
        <f t="shared" si="721"/>
        <v>-8.1210618197403903</v>
      </c>
      <c r="IX77" s="5">
        <f t="shared" si="722"/>
        <v>-2.6410521744977045</v>
      </c>
      <c r="IY77" s="5">
        <f t="shared" si="723"/>
        <v>0.255</v>
      </c>
      <c r="IZ77" s="5">
        <f t="shared" si="724"/>
        <v>0.255</v>
      </c>
      <c r="JA77" s="705">
        <f t="shared" si="725"/>
        <v>70.159989870150767</v>
      </c>
      <c r="JM77" s="489">
        <f t="shared" si="752"/>
        <v>36</v>
      </c>
      <c r="JN77" s="960">
        <f>($JO77-SMALL($JO$9:$JO$88,1))/((Settings!$C$19/2)-((Settings!$C$19/2)-LARGE($JO$9:$JO$88,1))-SMALL($JO$9:$JO$88,1))</f>
        <v>0.95238435679257749</v>
      </c>
      <c r="JO77" s="162">
        <f t="shared" si="635"/>
        <v>8.1210618197403903</v>
      </c>
      <c r="JP77" s="961">
        <f t="shared" si="636"/>
        <v>-70.159989870150767</v>
      </c>
      <c r="JQ77" s="961">
        <f t="shared" si="637"/>
        <v>0</v>
      </c>
      <c r="JU77" s="962"/>
      <c r="JV77" s="959"/>
      <c r="JW77" s="959"/>
    </row>
    <row r="78" spans="1:283" ht="15" customHeight="1" x14ac:dyDescent="0.25">
      <c r="A78" s="75">
        <f t="shared" si="640"/>
        <v>0</v>
      </c>
      <c r="B78" s="578">
        <f t="shared" ref="B78:D78" si="862">IFERROR(O233+($A78*-E78),"")</f>
        <v>6.6690560518117641</v>
      </c>
      <c r="C78" s="572">
        <f t="shared" si="862"/>
        <v>-4.9652991518871925</v>
      </c>
      <c r="D78" s="576">
        <f t="shared" si="862"/>
        <v>-3.3840647600440157</v>
      </c>
      <c r="E78" s="580">
        <f t="shared" ref="E78:K78" si="863">R233</f>
        <v>0.78500784842313265</v>
      </c>
      <c r="F78" s="572">
        <f t="shared" si="863"/>
        <v>-0.58446034546992065</v>
      </c>
      <c r="G78" s="579">
        <f t="shared" si="863"/>
        <v>0.20535038954739093</v>
      </c>
      <c r="H78" s="580">
        <f t="shared" si="863"/>
        <v>0.255</v>
      </c>
      <c r="I78" s="572">
        <f t="shared" si="863"/>
        <v>0.41499999999999992</v>
      </c>
      <c r="J78" s="483">
        <f t="shared" si="728"/>
        <v>3.2389999999999999</v>
      </c>
      <c r="K78" s="806" t="str">
        <f t="shared" si="863"/>
        <v>CPS-32193r1</v>
      </c>
      <c r="L78" s="309"/>
      <c r="M78" s="164">
        <f t="shared" si="643"/>
        <v>3.2389999999999999</v>
      </c>
      <c r="N78" s="575">
        <f t="shared" si="644"/>
        <v>6.6690560518117641</v>
      </c>
      <c r="O78" s="572">
        <f t="shared" si="645"/>
        <v>-4.9652991518871925</v>
      </c>
      <c r="P78" s="576">
        <f t="shared" si="646"/>
        <v>-3.3840647600440157</v>
      </c>
      <c r="Q78" s="528">
        <f t="shared" si="729"/>
        <v>323.33128331189516</v>
      </c>
      <c r="R78" s="572">
        <f>IF(M78="","",SQRT(N78^2+O78^2))</f>
        <v>8.3144755871876121</v>
      </c>
      <c r="S78" s="577">
        <f>IF(M78="","",P78)</f>
        <v>-3.3840647600440157</v>
      </c>
      <c r="T78" s="578">
        <f>IF(M78="","",X78*COS(RADIANS(W78)))</f>
        <v>-4.9652991518871943</v>
      </c>
      <c r="U78" s="572">
        <f>IF(M78="","",X78*SIN(RADIANS(W78)))</f>
        <v>-6.6690560518117623</v>
      </c>
      <c r="V78" s="579">
        <f>IF(M78="","",Y78)</f>
        <v>-3.3840647600440157</v>
      </c>
      <c r="W78" s="528">
        <f t="shared" si="268"/>
        <v>233.33128331189516</v>
      </c>
      <c r="X78" s="572">
        <f>IF(M78="","",R78)</f>
        <v>8.3144755871876121</v>
      </c>
      <c r="Y78" s="573">
        <f t="shared" si="859"/>
        <v>-3.3840647600440157</v>
      </c>
      <c r="Z78" s="575">
        <f t="shared" si="647"/>
        <v>-0.78500784842313265</v>
      </c>
      <c r="AA78" s="572">
        <f t="shared" si="648"/>
        <v>0.58446034546992065</v>
      </c>
      <c r="AB78" s="572">
        <f t="shared" si="649"/>
        <v>-0.20535038954739093</v>
      </c>
      <c r="AC78" s="579">
        <f>IF(M78="","",SQRT(Z78^2+AA78^2+AB78^2))</f>
        <v>1</v>
      </c>
      <c r="AD78" s="580">
        <f>IF(M78="","",Z78*(1/SQRT(Z78^2+AA78^2+AB78^2)))</f>
        <v>-0.78500784842313265</v>
      </c>
      <c r="AE78" s="572">
        <f>IF(M78="","",AA78*(1/SQRT(Z78^2+AA78^2+AB78^2)))</f>
        <v>0.58446034546992065</v>
      </c>
      <c r="AF78" s="576">
        <f>IF(M78="","",AB78*(1/SQRT(Z78^2+AA78^2+AB78^2)))</f>
        <v>-0.20535038954739093</v>
      </c>
      <c r="AG78" s="545">
        <f>IF(M78="","",DEGREES(ATAN2(-AF78,AE78)))</f>
        <v>70.641053175443304</v>
      </c>
      <c r="AH78" s="546">
        <f>IF(M78="","",DEGREES(ACOS(AD78)))</f>
        <v>141.72140415102584</v>
      </c>
      <c r="AI78" s="528">
        <f>IF(M78="","",DEGREES(-ACOS(-AF78)))</f>
        <v>-78.149988716537649</v>
      </c>
      <c r="AJ78" s="529">
        <f>IF(M78="","",DEGREES(ATAN2(-AE78,AD78)))</f>
        <v>-126.66871668810481</v>
      </c>
      <c r="AK78" s="578">
        <f>IF(M78="","",(COS(RADIANS((90-$Q$8)-W78))*AD78)+(-SIN(RADIANS((90-$Q$8)-W78))*AE78))</f>
        <v>4.9960036108132044E-16</v>
      </c>
      <c r="AL78" s="572">
        <f>IF(M78="","",(SIN(RADIANS((90-$Q$8)-W78))*AD78)+(COS(RADIANS((90-$Q$8)-W78))*AE78))</f>
        <v>-0.97868851914832167</v>
      </c>
      <c r="AM78" s="577">
        <f>IF(M78="","",AF78)</f>
        <v>-0.20535038954739093</v>
      </c>
      <c r="AN78" s="524">
        <f>IF(M78="","",DEGREES(ATAN2(-AM78,AL78)))</f>
        <v>-78.149988716537649</v>
      </c>
      <c r="AO78" s="525">
        <f t="shared" si="604"/>
        <v>0</v>
      </c>
      <c r="AP78" s="528">
        <f>IF(M78="","",DEGREES(ATAN2(AK78,AL78)))</f>
        <v>-89.999999999999972</v>
      </c>
      <c r="AQ78" s="529">
        <f t="shared" si="650"/>
        <v>0.27418557018645973</v>
      </c>
      <c r="AR78" s="979"/>
      <c r="AS78" s="954">
        <f t="shared" si="755"/>
        <v>-126.66871668810484</v>
      </c>
      <c r="AT78" s="950">
        <f t="shared" si="651"/>
        <v>-3.296100373455054</v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>Taper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855"/>
        <v>3.2389999999999999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3.1389999999999998</v>
      </c>
      <c r="IK78" s="677" cm="1">
        <f t="array" ref="IK78">IFERROR(ROUND(VALUE(IF($IJ78&lt;1,$IJ78+LARGE((IF($M$9:$M$150="",0,$M$9:$M$150)-MOD(IF($M$9:$M$150="",0,$M$9:$M$150),1)),1),$IJ78)),4),"")</f>
        <v>3.1389999999999998</v>
      </c>
      <c r="IL78" s="482">
        <f t="shared" si="713"/>
        <v>1613</v>
      </c>
      <c r="IM78" s="482" t="str">
        <f t="shared" si="856"/>
        <v>CPS-32193r1</v>
      </c>
      <c r="IN78" s="670">
        <f t="shared" si="714"/>
        <v>7.9386818530318806</v>
      </c>
      <c r="IO78" s="702">
        <v>2.8025871364193499E-2</v>
      </c>
      <c r="IP78" s="5">
        <f t="shared" si="715"/>
        <v>2.64</v>
      </c>
      <c r="IQ78" s="714">
        <v>1320</v>
      </c>
      <c r="IR78" s="9">
        <f t="shared" si="716"/>
        <v>-8.3265251127997395</v>
      </c>
      <c r="IS78" s="5">
        <f t="shared" si="717"/>
        <v>-3.3675101564106322</v>
      </c>
      <c r="IT78" s="5">
        <f t="shared" si="718"/>
        <v>0.3125</v>
      </c>
      <c r="IU78" s="5">
        <f t="shared" si="719"/>
        <v>0.27668551818797416</v>
      </c>
      <c r="IV78" s="670">
        <f t="shared" si="720"/>
        <v>72.833322817502491</v>
      </c>
      <c r="IW78" s="9">
        <f t="shared" si="721"/>
        <v>-8.3144755871876121</v>
      </c>
      <c r="IX78" s="5">
        <f t="shared" si="722"/>
        <v>-3.3840647600440157</v>
      </c>
      <c r="IY78" s="5">
        <f t="shared" si="723"/>
        <v>0.255</v>
      </c>
      <c r="IZ78" s="5">
        <f t="shared" si="724"/>
        <v>0.255</v>
      </c>
      <c r="JA78" s="705">
        <f t="shared" si="725"/>
        <v>78.149988716537649</v>
      </c>
      <c r="JM78" s="489">
        <f t="shared" si="752"/>
        <v>39</v>
      </c>
      <c r="JN78" s="960">
        <f>($JO78-SMALL($JO$9:$JO$88,1))/((Settings!$C$19/2)-((Settings!$C$19/2)-LARGE($JO$9:$JO$88,1))-SMALL($JO$9:$JO$88,1))</f>
        <v>0.97606750716069424</v>
      </c>
      <c r="JO78" s="162">
        <f t="shared" si="635"/>
        <v>8.3144755871876121</v>
      </c>
      <c r="JP78" s="961">
        <f t="shared" si="636"/>
        <v>-78.149988716537649</v>
      </c>
      <c r="JQ78" s="961">
        <f t="shared" si="637"/>
        <v>0</v>
      </c>
      <c r="JU78" s="962"/>
      <c r="JV78" s="959"/>
      <c r="JW78" s="959"/>
    </row>
    <row r="79" spans="1:283" ht="15" customHeight="1" x14ac:dyDescent="0.25">
      <c r="A79" s="75">
        <f t="shared" si="640"/>
        <v>0</v>
      </c>
      <c r="B79" s="578">
        <f t="shared" ref="B79:D79" si="864">IFERROR(O234+($A79*-E79),"")</f>
        <v>6.757092490225018</v>
      </c>
      <c r="C79" s="572">
        <f t="shared" si="864"/>
        <v>-5.0355506862683272</v>
      </c>
      <c r="D79" s="576">
        <f t="shared" si="864"/>
        <v>-4.1422714085274164</v>
      </c>
      <c r="E79" s="580">
        <f t="shared" ref="E79:K79" si="865">R234</f>
        <v>0.79705315578312919</v>
      </c>
      <c r="F79" s="572">
        <f t="shared" si="865"/>
        <v>-0.59398351752654677</v>
      </c>
      <c r="G79" s="579">
        <f t="shared" si="865"/>
        <v>0.10904057851527385</v>
      </c>
      <c r="H79" s="580">
        <f t="shared" si="865"/>
        <v>0.255</v>
      </c>
      <c r="I79" s="572">
        <f t="shared" si="865"/>
        <v>0.41499999999999992</v>
      </c>
      <c r="J79" s="483">
        <f t="shared" si="728"/>
        <v>3.242</v>
      </c>
      <c r="K79" s="806" t="str">
        <f t="shared" si="865"/>
        <v>CPS-32193r1</v>
      </c>
      <c r="L79" s="309"/>
      <c r="M79" s="164">
        <f t="shared" si="643"/>
        <v>3.242</v>
      </c>
      <c r="N79" s="575">
        <f t="shared" si="644"/>
        <v>6.757092490225018</v>
      </c>
      <c r="O79" s="572">
        <f t="shared" si="645"/>
        <v>-5.0355506862683272</v>
      </c>
      <c r="P79" s="576">
        <f t="shared" si="646"/>
        <v>-4.1422714085274164</v>
      </c>
      <c r="Q79" s="528">
        <f t="shared" si="729"/>
        <v>323.30561938324661</v>
      </c>
      <c r="R79" s="572">
        <f>IF(M79="","",SQRT(N79^2+O79^2))</f>
        <v>8.4270439440786564</v>
      </c>
      <c r="S79" s="577">
        <f>IF(M79="","",P79)</f>
        <v>-4.1422714085274164</v>
      </c>
      <c r="T79" s="578">
        <f>IF(M79="","",X79*COS(RADIANS(W79)))</f>
        <v>-5.0355506862683317</v>
      </c>
      <c r="U79" s="572">
        <f>IF(M79="","",X79*SIN(RADIANS(W79)))</f>
        <v>-6.7570924902250153</v>
      </c>
      <c r="V79" s="579">
        <f>IF(M79="","",Y79)</f>
        <v>-4.1422714085274164</v>
      </c>
      <c r="W79" s="528">
        <f t="shared" ref="W79:W129" si="866">IF(M79="","",IF(Q79-$Q$8&lt;0,360+Q79-$Q$8,Q79-$Q$8))</f>
        <v>233.30561938324661</v>
      </c>
      <c r="X79" s="572">
        <f>IF(M79="","",R79)</f>
        <v>8.4270439440786564</v>
      </c>
      <c r="Y79" s="573">
        <f t="shared" si="859"/>
        <v>-4.1422714085274164</v>
      </c>
      <c r="Z79" s="575">
        <f t="shared" si="647"/>
        <v>-0.79705315578312919</v>
      </c>
      <c r="AA79" s="572">
        <f t="shared" si="648"/>
        <v>0.59398351752654677</v>
      </c>
      <c r="AB79" s="572">
        <f t="shared" si="649"/>
        <v>-0.10904057851527385</v>
      </c>
      <c r="AC79" s="579">
        <f>IF(M79="","",SQRT(Z79^2+AA79^2+AB79^2))</f>
        <v>1</v>
      </c>
      <c r="AD79" s="580">
        <f>IF(M79="","",Z79*(1/SQRT(Z79^2+AA79^2+AB79^2)))</f>
        <v>-0.79705315578312919</v>
      </c>
      <c r="AE79" s="572">
        <f>IF(M79="","",AA79*(1/SQRT(Z79^2+AA79^2+AB79^2)))</f>
        <v>0.59398351752654677</v>
      </c>
      <c r="AF79" s="576">
        <f>IF(M79="","",AB79*(1/SQRT(Z79^2+AA79^2+AB79^2)))</f>
        <v>-0.10904057851527385</v>
      </c>
      <c r="AG79" s="545">
        <f>IF(M79="","",DEGREES(ATAN2(-AF79,AE79)))</f>
        <v>79.597741475044344</v>
      </c>
      <c r="AH79" s="546">
        <f>IF(M79="","",DEGREES(ACOS(AD79)))</f>
        <v>142.84961374970476</v>
      </c>
      <c r="AI79" s="528">
        <f>IF(M79="","",DEGREES(-ACOS(-AF79)))</f>
        <v>-83.739987909441652</v>
      </c>
      <c r="AJ79" s="529">
        <f>IF(M79="","",DEGREES(ATAN2(-AE79,AD79)))</f>
        <v>-126.69438061675334</v>
      </c>
      <c r="AK79" s="578">
        <f>IF(M79="","",(COS(RADIANS((90-$Q$8)-W79))*AD79)+(-SIN(RADIANS((90-$Q$8)-W79))*AE79))</f>
        <v>8.8817841970012523E-16</v>
      </c>
      <c r="AL79" s="572">
        <f>IF(M79="","",(SIN(RADIANS((90-$Q$8)-W79))*AD79)+(COS(RADIANS((90-$Q$8)-W79))*AE79))</f>
        <v>-0.99403729921822093</v>
      </c>
      <c r="AM79" s="577">
        <f>IF(M79="","",AF79)</f>
        <v>-0.10904057851527385</v>
      </c>
      <c r="AN79" s="524">
        <f>IF(M79="","",DEGREES(ATAN2(-AM79,AL79)))</f>
        <v>-83.739987909441666</v>
      </c>
      <c r="AO79" s="525">
        <f t="shared" si="604"/>
        <v>0</v>
      </c>
      <c r="AP79" s="528">
        <f>IF(M79="","",DEGREES(ATAN2(AK79,AL79)))</f>
        <v>-89.999999999999943</v>
      </c>
      <c r="AQ79" s="529">
        <f t="shared" si="650"/>
        <v>0.2705230572677616</v>
      </c>
      <c r="AR79" s="979"/>
      <c r="AS79" s="954">
        <f t="shared" si="755"/>
        <v>-126.69438061675339</v>
      </c>
      <c r="AT79" s="950">
        <f t="shared" si="651"/>
        <v>-4.0542891997657824</v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55"/>
        <v>3.242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3.1419999999999999</v>
      </c>
      <c r="IK79" s="677" cm="1">
        <f t="array" ref="IK79">IFERROR(ROUND(VALUE(IF($IJ79&lt;1,$IJ79+LARGE((IF($M$9:$M$150="",0,$M$9:$M$150)-MOD(IF($M$9:$M$150="",0,$M$9:$M$150),1)),1),$IJ79)),4),"")</f>
        <v>3.1419999999999999</v>
      </c>
      <c r="IL79" s="482">
        <f t="shared" si="713"/>
        <v>1613</v>
      </c>
      <c r="IM79" s="482" t="str">
        <f t="shared" si="856"/>
        <v>CPS-32193r1</v>
      </c>
      <c r="IN79" s="670">
        <f t="shared" si="714"/>
        <v>7.8243458018939123</v>
      </c>
      <c r="IO79" s="702">
        <v>2.61416393886632E-2</v>
      </c>
      <c r="IP79" s="5">
        <f t="shared" si="715"/>
        <v>3.1</v>
      </c>
      <c r="IQ79" s="714">
        <v>1550</v>
      </c>
      <c r="IR79" s="9">
        <f t="shared" si="716"/>
        <v>-8.4474254774352406</v>
      </c>
      <c r="IS79" s="5">
        <f t="shared" si="717"/>
        <v>-4.1264124452599349</v>
      </c>
      <c r="IT79" s="5">
        <f t="shared" si="718"/>
        <v>0.3125</v>
      </c>
      <c r="IU79" s="5">
        <f t="shared" si="719"/>
        <v>0.26953553374144279</v>
      </c>
      <c r="IV79" s="670">
        <f t="shared" si="720"/>
        <v>81.933321503625351</v>
      </c>
      <c r="IW79" s="9">
        <f t="shared" si="721"/>
        <v>-8.4270439440786564</v>
      </c>
      <c r="IX79" s="5">
        <f t="shared" si="722"/>
        <v>-4.1422714085274164</v>
      </c>
      <c r="IY79" s="5">
        <f t="shared" si="723"/>
        <v>0.255</v>
      </c>
      <c r="IZ79" s="5">
        <f t="shared" si="724"/>
        <v>0.255</v>
      </c>
      <c r="JA79" s="705">
        <f t="shared" si="725"/>
        <v>83.739987909441666</v>
      </c>
      <c r="JM79" s="489">
        <f t="shared" si="752"/>
        <v>42</v>
      </c>
      <c r="JN79" s="960">
        <f>($JO79-SMALL($JO$9:$JO$88,1))/((Settings!$C$19/2)-((Settings!$C$19/2)-LARGE($JO$9:$JO$88,1))-SMALL($JO$9:$JO$88,1))</f>
        <v>0.98985128976381165</v>
      </c>
      <c r="JO79" s="162">
        <f t="shared" si="635"/>
        <v>8.4270439440786564</v>
      </c>
      <c r="JP79" s="961">
        <f t="shared" si="636"/>
        <v>-83.739987909441666</v>
      </c>
      <c r="JQ79" s="961">
        <f t="shared" si="637"/>
        <v>0</v>
      </c>
      <c r="JU79" s="962"/>
      <c r="JV79" s="959"/>
      <c r="JW79" s="959"/>
    </row>
    <row r="80" spans="1:283" ht="15" customHeight="1" x14ac:dyDescent="0.25">
      <c r="A80" s="75">
        <f t="shared" si="640"/>
        <v>0</v>
      </c>
      <c r="B80" s="578">
        <f t="shared" ref="B80:D80" si="867">IFERROR(O235+($A80*-E80),"")</f>
        <v>-1.5049247554094651E-6</v>
      </c>
      <c r="C80" s="572">
        <f t="shared" si="867"/>
        <v>-3.3178100065146379</v>
      </c>
      <c r="D80" s="576">
        <f t="shared" si="867"/>
        <v>-0.37420112859060373</v>
      </c>
      <c r="E80" s="580">
        <f t="shared" ref="E80:K80" si="868">R235</f>
        <v>0.96592584221622591</v>
      </c>
      <c r="F80" s="572">
        <f t="shared" si="868"/>
        <v>1.35451002204308E-2</v>
      </c>
      <c r="G80" s="579">
        <f t="shared" si="868"/>
        <v>0.25846430623761779</v>
      </c>
      <c r="H80" s="580">
        <f t="shared" si="868"/>
        <v>0.3125</v>
      </c>
      <c r="I80" s="572">
        <f t="shared" si="868"/>
        <v>0.52</v>
      </c>
      <c r="J80" s="483">
        <f t="shared" si="728"/>
        <v>4.1130000000000004</v>
      </c>
      <c r="K80" s="806">
        <f t="shared" si="868"/>
        <v>1613</v>
      </c>
      <c r="L80" s="309"/>
      <c r="M80" s="164">
        <f t="shared" si="643"/>
        <v>4.1130000000000004</v>
      </c>
      <c r="N80" s="575">
        <f t="shared" si="644"/>
        <v>-1.5049247554094651E-6</v>
      </c>
      <c r="O80" s="572">
        <f t="shared" si="645"/>
        <v>-3.3178100065146379</v>
      </c>
      <c r="P80" s="576">
        <f t="shared" si="646"/>
        <v>-0.37420112859060373</v>
      </c>
      <c r="Q80" s="528">
        <f t="shared" si="729"/>
        <v>269.99997401121919</v>
      </c>
      <c r="R80" s="572">
        <f t="shared" si="95"/>
        <v>3.3178100065149794</v>
      </c>
      <c r="S80" s="577">
        <f t="shared" si="96"/>
        <v>-0.37420112859060373</v>
      </c>
      <c r="T80" s="578">
        <f t="shared" si="97"/>
        <v>-3.3178100065146379</v>
      </c>
      <c r="U80" s="572">
        <f t="shared" si="98"/>
        <v>1.5049247568810585E-6</v>
      </c>
      <c r="V80" s="579">
        <f t="shared" si="145"/>
        <v>-0.37420112859060373</v>
      </c>
      <c r="W80" s="528">
        <f t="shared" si="866"/>
        <v>179.99997401121919</v>
      </c>
      <c r="X80" s="572">
        <f t="shared" si="99"/>
        <v>3.3178100065149794</v>
      </c>
      <c r="Y80" s="573">
        <f t="shared" si="859"/>
        <v>-0.37420112859060373</v>
      </c>
      <c r="Z80" s="575">
        <f t="shared" si="647"/>
        <v>-0.96592584221622591</v>
      </c>
      <c r="AA80" s="572">
        <f t="shared" si="648"/>
        <v>-1.35451002204308E-2</v>
      </c>
      <c r="AB80" s="572">
        <f t="shared" si="649"/>
        <v>-0.25846430623761779</v>
      </c>
      <c r="AC80" s="579">
        <f t="shared" si="100"/>
        <v>1</v>
      </c>
      <c r="AD80" s="580">
        <f t="shared" si="146"/>
        <v>-0.96592584221622591</v>
      </c>
      <c r="AE80" s="572">
        <f t="shared" si="101"/>
        <v>-1.35451002204308E-2</v>
      </c>
      <c r="AF80" s="576">
        <f t="shared" si="102"/>
        <v>-0.25846430623761779</v>
      </c>
      <c r="AG80" s="545">
        <f t="shared" si="103"/>
        <v>-2.9999027083031553</v>
      </c>
      <c r="AH80" s="546">
        <f t="shared" si="104"/>
        <v>165.00000352585732</v>
      </c>
      <c r="AI80" s="528">
        <f t="shared" si="105"/>
        <v>-75.021040994812239</v>
      </c>
      <c r="AJ80" s="529">
        <f t="shared" si="106"/>
        <v>-89.196598560733406</v>
      </c>
      <c r="AK80" s="578">
        <f t="shared" si="247"/>
        <v>0.96592583607220728</v>
      </c>
      <c r="AL80" s="572">
        <f t="shared" si="107"/>
        <v>1.3545538354533048E-2</v>
      </c>
      <c r="AM80" s="577">
        <f t="shared" si="108"/>
        <v>-0.25846430623761779</v>
      </c>
      <c r="AN80" s="524">
        <f t="shared" si="109"/>
        <v>2.9999995668537536</v>
      </c>
      <c r="AO80" s="525">
        <f t="shared" si="604"/>
        <v>14.99999783426828</v>
      </c>
      <c r="AP80" s="528">
        <f t="shared" si="111"/>
        <v>0.80342742804741218</v>
      </c>
      <c r="AQ80" s="529">
        <f t="shared" si="650"/>
        <v>0.68708495884994625</v>
      </c>
      <c r="AR80" s="979"/>
      <c r="AS80" s="954">
        <f t="shared" si="755"/>
        <v>-180.00002598878081</v>
      </c>
      <c r="AT80" s="950">
        <f t="shared" si="651"/>
        <v>-0.24920111054283928</v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855"/>
        <v>4.1130000000000004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713"/>
        <v>1613</v>
      </c>
      <c r="IM80" s="482" t="str">
        <f t="shared" si="856"/>
        <v/>
      </c>
      <c r="IN80" s="670" t="str">
        <f t="shared" si="714"/>
        <v/>
      </c>
      <c r="IO80" s="702"/>
      <c r="IP80" s="5" t="str">
        <f t="shared" si="715"/>
        <v/>
      </c>
      <c r="IQ80" s="714"/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>
        <f t="shared" si="752"/>
        <v>13</v>
      </c>
      <c r="JN80" s="960">
        <f>($JO80-SMALL($JO$9:$JO$88,1))/((Settings!$C$19/2)-((Settings!$C$19/2)-LARGE($JO$9:$JO$88,1))-SMALL($JO$9:$JO$88,1))</f>
        <v>0.36423524801939583</v>
      </c>
      <c r="JO80" s="162">
        <f t="shared" si="635"/>
        <v>3.3178100065149794</v>
      </c>
      <c r="JP80" s="961">
        <f t="shared" si="636"/>
        <v>2.9999995668537536</v>
      </c>
      <c r="JQ80" s="961">
        <f t="shared" si="637"/>
        <v>14.99999783426828</v>
      </c>
      <c r="JU80" s="962"/>
      <c r="JV80" s="959"/>
      <c r="JW80" s="959"/>
    </row>
    <row r="81" spans="1:283" ht="15" customHeight="1" x14ac:dyDescent="0.25">
      <c r="A81" s="75">
        <f t="shared" si="640"/>
        <v>0</v>
      </c>
      <c r="B81" s="578">
        <f t="shared" ref="B81:D81" si="869">IFERROR(O236+($A81*-E81),"")</f>
        <v>-3.5498464729824988E-3</v>
      </c>
      <c r="C81" s="572">
        <f t="shared" si="869"/>
        <v>-4.0657107124704988</v>
      </c>
      <c r="D81" s="576">
        <f t="shared" si="869"/>
        <v>-0.198200597773003</v>
      </c>
      <c r="E81" s="580">
        <f t="shared" ref="E81:K81" si="870">R236</f>
        <v>0.96591337846885761</v>
      </c>
      <c r="F81" s="572">
        <f t="shared" si="870"/>
        <v>-1.4689627886060503E-2</v>
      </c>
      <c r="G81" s="579">
        <f t="shared" si="870"/>
        <v>0.25844837033234819</v>
      </c>
      <c r="H81" s="580">
        <f t="shared" si="870"/>
        <v>0.3125</v>
      </c>
      <c r="I81" s="572">
        <f t="shared" si="870"/>
        <v>0.52</v>
      </c>
      <c r="J81" s="483">
        <f t="shared" si="728"/>
        <v>4.1159999999999997</v>
      </c>
      <c r="K81" s="806">
        <f t="shared" si="870"/>
        <v>1613</v>
      </c>
      <c r="L81" s="309"/>
      <c r="M81" s="164">
        <f t="shared" si="643"/>
        <v>4.1159999999999997</v>
      </c>
      <c r="N81" s="575">
        <f t="shared" si="644"/>
        <v>-3.5498464729824988E-3</v>
      </c>
      <c r="O81" s="572">
        <f t="shared" si="645"/>
        <v>-4.0657107124704988</v>
      </c>
      <c r="P81" s="576">
        <f t="shared" si="646"/>
        <v>-0.198200597773003</v>
      </c>
      <c r="Q81" s="528">
        <f t="shared" si="729"/>
        <v>269.9499740184383</v>
      </c>
      <c r="R81" s="572">
        <f t="shared" si="95"/>
        <v>4.0657122621881827</v>
      </c>
      <c r="S81" s="577">
        <f t="shared" si="96"/>
        <v>-0.198200597773003</v>
      </c>
      <c r="T81" s="578">
        <f t="shared" si="97"/>
        <v>-4.0657107124704988</v>
      </c>
      <c r="U81" s="572">
        <f t="shared" si="98"/>
        <v>3.5498464729829919E-3</v>
      </c>
      <c r="V81" s="579">
        <f t="shared" si="145"/>
        <v>-0.198200597773003</v>
      </c>
      <c r="W81" s="528">
        <f t="shared" si="866"/>
        <v>179.9499740184383</v>
      </c>
      <c r="X81" s="572">
        <f t="shared" si="99"/>
        <v>4.0657122621881827</v>
      </c>
      <c r="Y81" s="573">
        <f t="shared" si="859"/>
        <v>-0.198200597773003</v>
      </c>
      <c r="Z81" s="575">
        <f t="shared" si="647"/>
        <v>-0.96591337846885761</v>
      </c>
      <c r="AA81" s="572">
        <f t="shared" si="648"/>
        <v>1.4689627886060503E-2</v>
      </c>
      <c r="AB81" s="572">
        <f t="shared" si="649"/>
        <v>-0.25844837033234819</v>
      </c>
      <c r="AC81" s="579">
        <f t="shared" si="100"/>
        <v>1</v>
      </c>
      <c r="AD81" s="580">
        <f t="shared" si="146"/>
        <v>-0.96591337846885761</v>
      </c>
      <c r="AE81" s="572">
        <f t="shared" si="101"/>
        <v>1.4689627886060503E-2</v>
      </c>
      <c r="AF81" s="576">
        <f t="shared" si="102"/>
        <v>-0.25844837033234819</v>
      </c>
      <c r="AG81" s="545">
        <f t="shared" si="103"/>
        <v>3.2530640549894874</v>
      </c>
      <c r="AH81" s="546">
        <f t="shared" si="104"/>
        <v>164.99724462484502</v>
      </c>
      <c r="AI81" s="528">
        <f t="shared" si="105"/>
        <v>-75.021986169172592</v>
      </c>
      <c r="AJ81" s="529">
        <f t="shared" si="106"/>
        <v>-90.871288069195458</v>
      </c>
      <c r="AK81" s="578">
        <f t="shared" si="247"/>
        <v>0.96592583607220739</v>
      </c>
      <c r="AL81" s="572">
        <f t="shared" si="107"/>
        <v>-1.3846265950089302E-2</v>
      </c>
      <c r="AM81" s="577">
        <f t="shared" si="108"/>
        <v>-0.25844837033234819</v>
      </c>
      <c r="AN81" s="524">
        <f t="shared" si="109"/>
        <v>-3.066666223894813</v>
      </c>
      <c r="AO81" s="525">
        <f t="shared" si="604"/>
        <v>14.999997834268255</v>
      </c>
      <c r="AP81" s="528">
        <f t="shared" si="111"/>
        <v>-0.82126208763376995</v>
      </c>
      <c r="AQ81" s="529">
        <f t="shared" si="650"/>
        <v>0.56070221149872423</v>
      </c>
      <c r="AR81" s="979"/>
      <c r="AS81" s="954">
        <f t="shared" si="755"/>
        <v>-180.0500259815617</v>
      </c>
      <c r="AT81" s="950">
        <f t="shared" si="651"/>
        <v>-7.3165857508029591E-2</v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855"/>
        <v>4.1159999999999997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713"/>
        <v>1613</v>
      </c>
      <c r="IM81" s="482" t="str">
        <f t="shared" si="856"/>
        <v/>
      </c>
      <c r="IN81" s="670" t="str">
        <f t="shared" si="714"/>
        <v/>
      </c>
      <c r="IO81" s="702"/>
      <c r="IP81" s="5" t="str">
        <f t="shared" si="715"/>
        <v/>
      </c>
      <c r="IQ81" s="714"/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>
        <f t="shared" si="752"/>
        <v>16</v>
      </c>
      <c r="JN81" s="960">
        <f>($JO81-SMALL($JO$9:$JO$88,1))/((Settings!$C$19/2)-((Settings!$C$19/2)-LARGE($JO$9:$JO$88,1))-SMALL($JO$9:$JO$88,1))</f>
        <v>0.45581446606340387</v>
      </c>
      <c r="JO81" s="162">
        <f t="shared" si="635"/>
        <v>4.0657122621881827</v>
      </c>
      <c r="JP81" s="961">
        <f t="shared" si="636"/>
        <v>-3.066666223894813</v>
      </c>
      <c r="JQ81" s="961">
        <f t="shared" si="637"/>
        <v>14.999997834268255</v>
      </c>
      <c r="JU81" s="962"/>
      <c r="JV81" s="959"/>
      <c r="JW81" s="959"/>
    </row>
    <row r="82" spans="1:283" ht="15" customHeight="1" x14ac:dyDescent="0.25">
      <c r="A82" s="75">
        <f t="shared" si="640"/>
        <v>0</v>
      </c>
      <c r="B82" s="578">
        <f t="shared" ref="B82:D82" si="871">IFERROR(O237+($A82*-E82),"")</f>
        <v>-3.2895135739162286E-2</v>
      </c>
      <c r="C82" s="572">
        <f t="shared" si="871"/>
        <v>-4.8323026116425476</v>
      </c>
      <c r="D82" s="576">
        <f t="shared" si="871"/>
        <v>-0.16210048889507453</v>
      </c>
      <c r="E82" s="580">
        <f t="shared" ref="E82:K82" si="872">R237</f>
        <v>0.96369209577303849</v>
      </c>
      <c r="F82" s="572">
        <f t="shared" si="872"/>
        <v>-6.2529040244030595E-2</v>
      </c>
      <c r="G82" s="579">
        <f t="shared" si="872"/>
        <v>0.25959133974524173</v>
      </c>
      <c r="H82" s="580">
        <f t="shared" si="872"/>
        <v>0.3125</v>
      </c>
      <c r="I82" s="572">
        <f t="shared" si="872"/>
        <v>0.52</v>
      </c>
      <c r="J82" s="483">
        <f t="shared" si="728"/>
        <v>4.1189999999999998</v>
      </c>
      <c r="K82" s="806">
        <f t="shared" si="872"/>
        <v>1613</v>
      </c>
      <c r="L82" s="309"/>
      <c r="M82" s="164">
        <f t="shared" si="643"/>
        <v>4.1189999999999998</v>
      </c>
      <c r="N82" s="575">
        <f t="shared" si="644"/>
        <v>-3.2895135739162286E-2</v>
      </c>
      <c r="O82" s="572">
        <f t="shared" si="645"/>
        <v>-4.8323026116425476</v>
      </c>
      <c r="P82" s="576">
        <f t="shared" si="646"/>
        <v>-0.16210048889507453</v>
      </c>
      <c r="Q82" s="528">
        <f t="shared" si="729"/>
        <v>269.60997406752824</v>
      </c>
      <c r="R82" s="572">
        <f t="shared" si="95"/>
        <v>4.8324145745623568</v>
      </c>
      <c r="S82" s="577">
        <f t="shared" si="96"/>
        <v>-0.16210048889507453</v>
      </c>
      <c r="T82" s="578">
        <f t="shared" si="97"/>
        <v>-4.8323026116425476</v>
      </c>
      <c r="U82" s="572">
        <f t="shared" si="98"/>
        <v>3.2895135739162529E-2</v>
      </c>
      <c r="V82" s="579">
        <f t="shared" si="145"/>
        <v>-0.16210048889507453</v>
      </c>
      <c r="W82" s="528">
        <f t="shared" si="866"/>
        <v>179.60997406752824</v>
      </c>
      <c r="X82" s="572">
        <f t="shared" si="99"/>
        <v>4.8324145745623568</v>
      </c>
      <c r="Y82" s="573">
        <f t="shared" si="859"/>
        <v>-0.16210048889507453</v>
      </c>
      <c r="Z82" s="575">
        <f t="shared" si="647"/>
        <v>-0.96369209577303849</v>
      </c>
      <c r="AA82" s="572">
        <f t="shared" si="648"/>
        <v>6.2529040244030595E-2</v>
      </c>
      <c r="AB82" s="572">
        <f t="shared" si="649"/>
        <v>-0.25959133974524173</v>
      </c>
      <c r="AC82" s="579">
        <f t="shared" si="100"/>
        <v>1</v>
      </c>
      <c r="AD82" s="580">
        <f t="shared" si="146"/>
        <v>-0.96369209577303849</v>
      </c>
      <c r="AE82" s="572">
        <f t="shared" si="101"/>
        <v>6.2529040244030595E-2</v>
      </c>
      <c r="AF82" s="576">
        <f t="shared" si="102"/>
        <v>-0.25959133974524173</v>
      </c>
      <c r="AG82" s="545">
        <f t="shared" si="103"/>
        <v>13.543122284449181</v>
      </c>
      <c r="AH82" s="546">
        <f t="shared" si="104"/>
        <v>164.51322163717609</v>
      </c>
      <c r="AI82" s="528">
        <f t="shared" si="105"/>
        <v>-74.954184919818275</v>
      </c>
      <c r="AJ82" s="529">
        <f t="shared" si="106"/>
        <v>-93.712425444236843</v>
      </c>
      <c r="AK82" s="578">
        <f t="shared" si="247"/>
        <v>0.96409541453957937</v>
      </c>
      <c r="AL82" s="572">
        <f t="shared" si="107"/>
        <v>-5.5967561971442134E-2</v>
      </c>
      <c r="AM82" s="577">
        <f t="shared" si="108"/>
        <v>-0.25959133974524173</v>
      </c>
      <c r="AN82" s="524">
        <f t="shared" si="109"/>
        <v>-12.166664910017582</v>
      </c>
      <c r="AO82" s="525">
        <f t="shared" si="604"/>
        <v>15.3999977765154</v>
      </c>
      <c r="AP82" s="528">
        <f t="shared" si="111"/>
        <v>-3.3223995117650742</v>
      </c>
      <c r="AQ82" s="529">
        <f t="shared" si="650"/>
        <v>0.47174659407505226</v>
      </c>
      <c r="AR82" s="979"/>
      <c r="AS82" s="954">
        <f t="shared" si="755"/>
        <v>-180.39002593247176</v>
      </c>
      <c r="AT82" s="950">
        <f t="shared" si="651"/>
        <v>-3.6829637553080247E-2</v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855"/>
        <v>4.1189999999999998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713"/>
        <v>1613</v>
      </c>
      <c r="IM82" s="482" t="str">
        <f t="shared" si="856"/>
        <v/>
      </c>
      <c r="IN82" s="670" t="str">
        <f t="shared" si="714"/>
        <v/>
      </c>
      <c r="IO82" s="702"/>
      <c r="IP82" s="5" t="str">
        <f t="shared" si="715"/>
        <v/>
      </c>
      <c r="IQ82" s="714"/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>
        <f t="shared" si="752"/>
        <v>19</v>
      </c>
      <c r="JN82" s="960">
        <f>($JO82-SMALL($JO$9:$JO$88,1))/((Settings!$C$19/2)-((Settings!$C$19/2)-LARGE($JO$9:$JO$88,1))-SMALL($JO$9:$JO$88,1))</f>
        <v>0.54969571552769181</v>
      </c>
      <c r="JO82" s="162">
        <f t="shared" si="635"/>
        <v>4.8324145745623568</v>
      </c>
      <c r="JP82" s="961">
        <f t="shared" si="636"/>
        <v>-12.166664910017582</v>
      </c>
      <c r="JQ82" s="961">
        <f t="shared" si="637"/>
        <v>15.3999977765154</v>
      </c>
      <c r="JU82" s="962"/>
      <c r="JV82" s="959"/>
      <c r="JW82" s="959"/>
    </row>
    <row r="83" spans="1:283" ht="15" customHeight="1" x14ac:dyDescent="0.25">
      <c r="A83" s="75">
        <f t="shared" si="640"/>
        <v>0</v>
      </c>
      <c r="B83" s="578">
        <f t="shared" ref="B83:D83" si="873">IFERROR(O238+($A83*-E83),"")</f>
        <v>-9.073486659310806E-2</v>
      </c>
      <c r="C83" s="572">
        <f t="shared" si="873"/>
        <v>-5.5893804388429436</v>
      </c>
      <c r="D83" s="576">
        <f t="shared" si="873"/>
        <v>-0.28430085745138595</v>
      </c>
      <c r="E83" s="580">
        <f t="shared" ref="E83:K83" si="874">R238</f>
        <v>0.95852470418731095</v>
      </c>
      <c r="F83" s="572">
        <f t="shared" si="874"/>
        <v>-0.11676607888266875</v>
      </c>
      <c r="G83" s="579">
        <f t="shared" si="874"/>
        <v>0.25999245043845876</v>
      </c>
      <c r="H83" s="580">
        <f t="shared" si="874"/>
        <v>0.3125</v>
      </c>
      <c r="I83" s="572">
        <f t="shared" si="874"/>
        <v>0.52</v>
      </c>
      <c r="J83" s="483">
        <f t="shared" si="728"/>
        <v>4.1219999999999999</v>
      </c>
      <c r="K83" s="806">
        <f t="shared" si="874"/>
        <v>1613</v>
      </c>
      <c r="L83" s="309"/>
      <c r="M83" s="164">
        <f t="shared" si="643"/>
        <v>4.1219999999999999</v>
      </c>
      <c r="N83" s="575">
        <f t="shared" si="644"/>
        <v>-9.073486659310806E-2</v>
      </c>
      <c r="O83" s="572">
        <f t="shared" si="645"/>
        <v>-5.5893804388429436</v>
      </c>
      <c r="P83" s="576">
        <f t="shared" si="646"/>
        <v>-0.28430085745138595</v>
      </c>
      <c r="Q83" s="528">
        <f t="shared" si="729"/>
        <v>269.0699741454946</v>
      </c>
      <c r="R83" s="572">
        <f t="shared" si="95"/>
        <v>5.5901168597924507</v>
      </c>
      <c r="S83" s="577">
        <f t="shared" si="96"/>
        <v>-0.28430085745138595</v>
      </c>
      <c r="T83" s="578">
        <f t="shared" si="97"/>
        <v>-5.5893804388429436</v>
      </c>
      <c r="U83" s="572">
        <f t="shared" si="98"/>
        <v>9.0734866593105465E-2</v>
      </c>
      <c r="V83" s="579">
        <f t="shared" si="145"/>
        <v>-0.28430085745138595</v>
      </c>
      <c r="W83" s="528">
        <f t="shared" si="866"/>
        <v>179.0699741454946</v>
      </c>
      <c r="X83" s="572">
        <f t="shared" si="99"/>
        <v>5.5901168597924507</v>
      </c>
      <c r="Y83" s="573">
        <f t="shared" si="859"/>
        <v>-0.28430085745138595</v>
      </c>
      <c r="Z83" s="575">
        <f t="shared" si="647"/>
        <v>-0.95852470418731095</v>
      </c>
      <c r="AA83" s="572">
        <f t="shared" si="648"/>
        <v>0.11676607888266875</v>
      </c>
      <c r="AB83" s="572">
        <f t="shared" si="649"/>
        <v>-0.25999245043845876</v>
      </c>
      <c r="AC83" s="579">
        <f t="shared" si="100"/>
        <v>1</v>
      </c>
      <c r="AD83" s="580">
        <f t="shared" si="146"/>
        <v>-0.95852470418731095</v>
      </c>
      <c r="AE83" s="572">
        <f t="shared" si="101"/>
        <v>0.11676607888266875</v>
      </c>
      <c r="AF83" s="576">
        <f t="shared" si="102"/>
        <v>-0.25999245043845876</v>
      </c>
      <c r="AG83" s="545">
        <f t="shared" si="103"/>
        <v>24.185484621131053</v>
      </c>
      <c r="AH83" s="546">
        <f t="shared" si="104"/>
        <v>163.44058602988824</v>
      </c>
      <c r="AI83" s="528">
        <f t="shared" si="105"/>
        <v>-74.930385818759007</v>
      </c>
      <c r="AJ83" s="529">
        <f t="shared" si="106"/>
        <v>-96.945466706426913</v>
      </c>
      <c r="AK83" s="578">
        <f t="shared" si="247"/>
        <v>0.96029369706621881</v>
      </c>
      <c r="AL83" s="572">
        <f t="shared" si="107"/>
        <v>-0.10119259404669258</v>
      </c>
      <c r="AM83" s="577">
        <f t="shared" si="108"/>
        <v>-0.25999245043845876</v>
      </c>
      <c r="AN83" s="524">
        <f t="shared" si="109"/>
        <v>-21.266663596140415</v>
      </c>
      <c r="AO83" s="525">
        <f t="shared" si="604"/>
        <v>16.199997661009743</v>
      </c>
      <c r="AP83" s="528">
        <f t="shared" si="111"/>
        <v>-6.0154408519215261</v>
      </c>
      <c r="AQ83" s="529">
        <f t="shared" si="650"/>
        <v>0.40780688349381289</v>
      </c>
      <c r="AR83" s="979"/>
      <c r="AS83" s="954">
        <f t="shared" si="755"/>
        <v>-180.9300258545054</v>
      </c>
      <c r="AT83" s="950">
        <f t="shared" si="651"/>
        <v>-0.15865500616353498</v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855"/>
        <v>4.1219999999999999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713"/>
        <v>1613</v>
      </c>
      <c r="IM83" s="482" t="str">
        <f t="shared" si="856"/>
        <v/>
      </c>
      <c r="IN83" s="670" t="str">
        <f t="shared" si="714"/>
        <v/>
      </c>
      <c r="IO83" s="702"/>
      <c r="IP83" s="5" t="str">
        <f t="shared" si="715"/>
        <v/>
      </c>
      <c r="IQ83" s="714"/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>
        <f t="shared" si="752"/>
        <v>22</v>
      </c>
      <c r="JN83" s="960">
        <f>($JO83-SMALL($JO$9:$JO$88,1))/((Settings!$C$19/2)-((Settings!$C$19/2)-LARGE($JO$9:$JO$88,1))-SMALL($JO$9:$JO$88,1))</f>
        <v>0.64247492867376077</v>
      </c>
      <c r="JO83" s="162">
        <f t="shared" si="635"/>
        <v>5.5901168597924507</v>
      </c>
      <c r="JP83" s="961">
        <f t="shared" si="636"/>
        <v>-21.266663596140415</v>
      </c>
      <c r="JQ83" s="961">
        <f t="shared" si="637"/>
        <v>16.199997661009743</v>
      </c>
      <c r="JU83" s="962"/>
      <c r="JV83" s="959"/>
      <c r="JW83" s="959"/>
    </row>
    <row r="84" spans="1:283" ht="15" customHeight="1" x14ac:dyDescent="0.25">
      <c r="A84" s="75">
        <f t="shared" si="640"/>
        <v>0</v>
      </c>
      <c r="B84" s="578">
        <f t="shared" ref="B84:D84" si="875">IFERROR(O239+($A84*-E84),"")</f>
        <v>-0.17168735116621234</v>
      </c>
      <c r="C84" s="572">
        <f t="shared" si="875"/>
        <v>-6.304081559694672</v>
      </c>
      <c r="D84" s="576">
        <f t="shared" si="875"/>
        <v>-0.56000168896509506</v>
      </c>
      <c r="E84" s="580">
        <f t="shared" ref="E84:K84" si="876">R239</f>
        <v>0.94922494459771933</v>
      </c>
      <c r="F84" s="572">
        <f t="shared" si="876"/>
        <v>-0.17792418735303303</v>
      </c>
      <c r="G84" s="579">
        <f t="shared" si="876"/>
        <v>0.25945132126897991</v>
      </c>
      <c r="H84" s="580">
        <f t="shared" si="876"/>
        <v>0.3125</v>
      </c>
      <c r="I84" s="572">
        <f t="shared" si="876"/>
        <v>0.52</v>
      </c>
      <c r="J84" s="483">
        <f t="shared" si="728"/>
        <v>4.125</v>
      </c>
      <c r="K84" s="806">
        <f t="shared" si="876"/>
        <v>1613</v>
      </c>
      <c r="L84" s="309"/>
      <c r="M84" s="164">
        <f t="shared" si="643"/>
        <v>4.125</v>
      </c>
      <c r="N84" s="575">
        <f t="shared" si="644"/>
        <v>-0.17168735116621234</v>
      </c>
      <c r="O84" s="572">
        <f t="shared" si="645"/>
        <v>-6.304081559694672</v>
      </c>
      <c r="P84" s="576">
        <f t="shared" si="646"/>
        <v>-0.56000168896509506</v>
      </c>
      <c r="Q84" s="528">
        <f t="shared" si="729"/>
        <v>268.43997423645533</v>
      </c>
      <c r="R84" s="572">
        <f t="shared" si="95"/>
        <v>6.3064190201597672</v>
      </c>
      <c r="S84" s="577">
        <f t="shared" si="96"/>
        <v>-0.56000168896509506</v>
      </c>
      <c r="T84" s="578">
        <f t="shared" si="97"/>
        <v>-6.304081559694672</v>
      </c>
      <c r="U84" s="572">
        <f t="shared" si="98"/>
        <v>0.17168735116621067</v>
      </c>
      <c r="V84" s="579">
        <f t="shared" si="145"/>
        <v>-0.56000168896509506</v>
      </c>
      <c r="W84" s="528">
        <f t="shared" si="866"/>
        <v>178.43997423645533</v>
      </c>
      <c r="X84" s="572">
        <f t="shared" si="99"/>
        <v>6.3064190201597672</v>
      </c>
      <c r="Y84" s="573">
        <f t="shared" si="859"/>
        <v>-0.56000168896509506</v>
      </c>
      <c r="Z84" s="575">
        <f t="shared" si="647"/>
        <v>-0.94922494459771933</v>
      </c>
      <c r="AA84" s="572">
        <f t="shared" si="648"/>
        <v>0.17792418735303303</v>
      </c>
      <c r="AB84" s="572">
        <f t="shared" si="649"/>
        <v>-0.25945132126897991</v>
      </c>
      <c r="AC84" s="579">
        <f t="shared" si="100"/>
        <v>1</v>
      </c>
      <c r="AD84" s="580">
        <f t="shared" si="146"/>
        <v>-0.94922494459771933</v>
      </c>
      <c r="AE84" s="572">
        <f t="shared" si="101"/>
        <v>0.17792418735303303</v>
      </c>
      <c r="AF84" s="576">
        <f t="shared" si="102"/>
        <v>-0.25945132126897991</v>
      </c>
      <c r="AG84" s="545">
        <f t="shared" si="103"/>
        <v>34.441198776699473</v>
      </c>
      <c r="AH84" s="546">
        <f t="shared" si="104"/>
        <v>161.6634429902806</v>
      </c>
      <c r="AI84" s="528">
        <f t="shared" si="105"/>
        <v>-74.962492010289495</v>
      </c>
      <c r="AJ84" s="529">
        <f t="shared" si="106"/>
        <v>-100.61641960022418</v>
      </c>
      <c r="AK84" s="578">
        <f t="shared" si="247"/>
        <v>0.95371696400905326</v>
      </c>
      <c r="AL84" s="572">
        <f t="shared" si="107"/>
        <v>-0.15201632956078975</v>
      </c>
      <c r="AM84" s="577">
        <f t="shared" si="108"/>
        <v>-0.25945132126897991</v>
      </c>
      <c r="AN84" s="524">
        <f t="shared" si="109"/>
        <v>-30.366662282263142</v>
      </c>
      <c r="AO84" s="525">
        <f t="shared" si="604"/>
        <v>17.499997473312991</v>
      </c>
      <c r="AP84" s="528">
        <f t="shared" si="111"/>
        <v>-9.056393836679506</v>
      </c>
      <c r="AQ84" s="529">
        <f t="shared" si="650"/>
        <v>0.36148825126117162</v>
      </c>
      <c r="AR84" s="979"/>
      <c r="AS84" s="954">
        <f t="shared" si="755"/>
        <v>-181.56002576354467</v>
      </c>
      <c r="AT84" s="950">
        <f t="shared" si="651"/>
        <v>-0.43391833774041122</v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855"/>
        <v>4.125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713"/>
        <v>1613</v>
      </c>
      <c r="IM84" s="482" t="str">
        <f t="shared" si="856"/>
        <v/>
      </c>
      <c r="IN84" s="670" t="str">
        <f t="shared" si="714"/>
        <v/>
      </c>
      <c r="IO84" s="702"/>
      <c r="IP84" s="5" t="str">
        <f t="shared" si="715"/>
        <v/>
      </c>
      <c r="IQ84" s="714"/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>
        <f t="shared" si="752"/>
        <v>25</v>
      </c>
      <c r="JN84" s="960">
        <f>($JO84-SMALL($JO$9:$JO$88,1))/((Settings!$C$19/2)-((Settings!$C$19/2)-LARGE($JO$9:$JO$88,1))-SMALL($JO$9:$JO$88,1))</f>
        <v>0.73018477475602173</v>
      </c>
      <c r="JO84" s="162">
        <f t="shared" si="635"/>
        <v>6.3064190201597672</v>
      </c>
      <c r="JP84" s="961">
        <f t="shared" si="636"/>
        <v>-30.366662282263142</v>
      </c>
      <c r="JQ84" s="961">
        <f t="shared" si="637"/>
        <v>17.499997473312991</v>
      </c>
      <c r="JU84" s="962"/>
      <c r="JV84" s="959"/>
      <c r="JW84" s="959"/>
    </row>
    <row r="85" spans="1:283" ht="15" customHeight="1" x14ac:dyDescent="0.25">
      <c r="A85" s="75">
        <f t="shared" si="640"/>
        <v>0</v>
      </c>
      <c r="B85" s="578">
        <f t="shared" ref="B85:D85" si="877">IFERROR(O240+($A85*-E85),"")</f>
        <v>-0.26682990014657043</v>
      </c>
      <c r="C85" s="572">
        <f t="shared" si="877"/>
        <v>-6.9456975080596388</v>
      </c>
      <c r="D85" s="576">
        <f t="shared" si="877"/>
        <v>-0.97700294664088649</v>
      </c>
      <c r="E85" s="580">
        <f t="shared" ref="E85:K85" si="878">R240</f>
        <v>0.93565571227029576</v>
      </c>
      <c r="F85" s="572">
        <f t="shared" si="878"/>
        <v>-0.24513607092617731</v>
      </c>
      <c r="G85" s="579">
        <f t="shared" si="878"/>
        <v>0.25388323069246183</v>
      </c>
      <c r="H85" s="580">
        <f t="shared" si="878"/>
        <v>0.3125</v>
      </c>
      <c r="I85" s="572">
        <f t="shared" si="878"/>
        <v>0.52</v>
      </c>
      <c r="J85" s="483">
        <f t="shared" si="728"/>
        <v>4.1280000000000001</v>
      </c>
      <c r="K85" s="806">
        <f t="shared" si="878"/>
        <v>1613</v>
      </c>
      <c r="L85" s="309"/>
      <c r="M85" s="164">
        <f t="shared" si="643"/>
        <v>4.1280000000000001</v>
      </c>
      <c r="N85" s="575">
        <f t="shared" si="644"/>
        <v>-0.26682990014657043</v>
      </c>
      <c r="O85" s="572">
        <f t="shared" si="645"/>
        <v>-6.9456975080596388</v>
      </c>
      <c r="P85" s="576">
        <f t="shared" si="646"/>
        <v>-0.97700294664088649</v>
      </c>
      <c r="Q85" s="528">
        <f t="shared" si="729"/>
        <v>267.79997432885989</v>
      </c>
      <c r="R85" s="572">
        <f t="shared" si="95"/>
        <v>6.9508209636760245</v>
      </c>
      <c r="S85" s="577">
        <f t="shared" si="96"/>
        <v>-0.97700294664088649</v>
      </c>
      <c r="T85" s="578">
        <f t="shared" si="97"/>
        <v>-6.9456975080596388</v>
      </c>
      <c r="U85" s="572">
        <f t="shared" si="98"/>
        <v>0.2668299001465671</v>
      </c>
      <c r="V85" s="579">
        <f t="shared" si="145"/>
        <v>-0.97700294664088649</v>
      </c>
      <c r="W85" s="528">
        <f t="shared" si="866"/>
        <v>177.79997432885989</v>
      </c>
      <c r="X85" s="572">
        <f t="shared" si="99"/>
        <v>6.9508209636760245</v>
      </c>
      <c r="Y85" s="573">
        <f t="shared" si="859"/>
        <v>-0.97700294664088649</v>
      </c>
      <c r="Z85" s="575">
        <f t="shared" si="647"/>
        <v>-0.93565571227029576</v>
      </c>
      <c r="AA85" s="572">
        <f t="shared" si="648"/>
        <v>0.24513607092617731</v>
      </c>
      <c r="AB85" s="572">
        <f t="shared" si="649"/>
        <v>-0.25388323069246183</v>
      </c>
      <c r="AC85" s="579">
        <f t="shared" si="100"/>
        <v>1</v>
      </c>
      <c r="AD85" s="580">
        <f t="shared" si="146"/>
        <v>-0.93565571227029576</v>
      </c>
      <c r="AE85" s="572">
        <f t="shared" si="101"/>
        <v>0.24513607092617731</v>
      </c>
      <c r="AF85" s="576">
        <f t="shared" si="102"/>
        <v>-0.25388323069246183</v>
      </c>
      <c r="AG85" s="545">
        <f t="shared" si="103"/>
        <v>43.995782296252735</v>
      </c>
      <c r="AH85" s="546">
        <f t="shared" si="104"/>
        <v>159.33433930342838</v>
      </c>
      <c r="AI85" s="528">
        <f t="shared" si="105"/>
        <v>-75.292578593501133</v>
      </c>
      <c r="AJ85" s="529">
        <f t="shared" si="106"/>
        <v>-104.68117138887671</v>
      </c>
      <c r="AK85" s="578">
        <f t="shared" si="247"/>
        <v>0.94437638614900565</v>
      </c>
      <c r="AL85" s="572">
        <f t="shared" si="107"/>
        <v>-0.20903718917288966</v>
      </c>
      <c r="AM85" s="577">
        <f t="shared" si="108"/>
        <v>-0.25388323069246183</v>
      </c>
      <c r="AN85" s="524">
        <f t="shared" si="109"/>
        <v>-39.466660968385881</v>
      </c>
      <c r="AO85" s="525">
        <f t="shared" si="604"/>
        <v>19.199997227863388</v>
      </c>
      <c r="AP85" s="528">
        <f t="shared" si="111"/>
        <v>-12.481145717736599</v>
      </c>
      <c r="AQ85" s="529">
        <f t="shared" si="650"/>
        <v>0.32797589576368458</v>
      </c>
      <c r="AR85" s="979"/>
      <c r="AS85" s="954">
        <f t="shared" si="755"/>
        <v>-182.20002567114011</v>
      </c>
      <c r="AT85" s="950">
        <f t="shared" si="651"/>
        <v>-0.85047515103592808</v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855"/>
        <v>4.1280000000000001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713"/>
        <v>1613</v>
      </c>
      <c r="IM85" s="482" t="str">
        <f t="shared" si="856"/>
        <v/>
      </c>
      <c r="IN85" s="670" t="str">
        <f t="shared" si="714"/>
        <v/>
      </c>
      <c r="IO85" s="702"/>
      <c r="IP85" s="5" t="str">
        <f t="shared" si="715"/>
        <v/>
      </c>
      <c r="IQ85" s="714"/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>
        <f t="shared" si="752"/>
        <v>28</v>
      </c>
      <c r="JN85" s="960">
        <f>($JO85-SMALL($JO$9:$JO$88,1))/((Settings!$C$19/2)-((Settings!$C$19/2)-LARGE($JO$9:$JO$88,1))-SMALL($JO$9:$JO$88,1))</f>
        <v>0.80909057514050942</v>
      </c>
      <c r="JO85" s="162">
        <f t="shared" si="635"/>
        <v>6.9508209636760245</v>
      </c>
      <c r="JP85" s="961">
        <f t="shared" si="636"/>
        <v>-39.466660968385881</v>
      </c>
      <c r="JQ85" s="961">
        <f t="shared" si="637"/>
        <v>19.199997227863388</v>
      </c>
      <c r="JU85" s="962"/>
      <c r="JV85" s="959"/>
      <c r="JW85" s="959"/>
    </row>
    <row r="86" spans="1:283" ht="15" customHeight="1" x14ac:dyDescent="0.25">
      <c r="A86" s="75">
        <f t="shared" si="640"/>
        <v>0</v>
      </c>
      <c r="B86" s="578">
        <f t="shared" ref="B86:D86" si="879">IFERROR(O241+($A86*-E86),"")</f>
        <v>-0.36488044344711812</v>
      </c>
      <c r="C86" s="572">
        <f t="shared" si="879"/>
        <v>-7.4872369016041542</v>
      </c>
      <c r="D86" s="576">
        <f t="shared" si="879"/>
        <v>-1.5171045755874002</v>
      </c>
      <c r="E86" s="580">
        <f t="shared" ref="E86:K86" si="880">R241</f>
        <v>0.91733050627066592</v>
      </c>
      <c r="F86" s="572">
        <f t="shared" si="880"/>
        <v>-0.31736697809397735</v>
      </c>
      <c r="G86" s="579">
        <f t="shared" si="880"/>
        <v>0.24038083010236216</v>
      </c>
      <c r="H86" s="580">
        <f t="shared" si="880"/>
        <v>0.3125</v>
      </c>
      <c r="I86" s="572">
        <f t="shared" si="880"/>
        <v>0.52</v>
      </c>
      <c r="J86" s="483">
        <f t="shared" si="728"/>
        <v>4.1310000000000002</v>
      </c>
      <c r="K86" s="806">
        <f t="shared" si="880"/>
        <v>1613</v>
      </c>
      <c r="L86" s="309"/>
      <c r="M86" s="164">
        <f t="shared" si="643"/>
        <v>4.1310000000000002</v>
      </c>
      <c r="N86" s="575">
        <f t="shared" si="644"/>
        <v>-0.36488044344711812</v>
      </c>
      <c r="O86" s="572">
        <f t="shared" si="645"/>
        <v>-7.4872369016041542</v>
      </c>
      <c r="P86" s="576">
        <f t="shared" si="646"/>
        <v>-1.5171045755874002</v>
      </c>
      <c r="Q86" s="528">
        <f t="shared" si="729"/>
        <v>267.20997441404529</v>
      </c>
      <c r="R86" s="572">
        <f t="shared" si="95"/>
        <v>7.4961226083057859</v>
      </c>
      <c r="S86" s="577">
        <f t="shared" si="96"/>
        <v>-1.5171045755874002</v>
      </c>
      <c r="T86" s="578">
        <f t="shared" si="97"/>
        <v>-7.4872369016041542</v>
      </c>
      <c r="U86" s="572">
        <f t="shared" si="98"/>
        <v>0.36488044344712217</v>
      </c>
      <c r="V86" s="579">
        <f t="shared" si="145"/>
        <v>-1.5171045755874002</v>
      </c>
      <c r="W86" s="528">
        <f t="shared" si="866"/>
        <v>177.20997441404529</v>
      </c>
      <c r="X86" s="572">
        <f t="shared" si="99"/>
        <v>7.4961226083057859</v>
      </c>
      <c r="Y86" s="573">
        <f t="shared" si="859"/>
        <v>-1.5171045755874002</v>
      </c>
      <c r="Z86" s="575">
        <f t="shared" si="647"/>
        <v>-0.91733050627066592</v>
      </c>
      <c r="AA86" s="572">
        <f t="shared" si="648"/>
        <v>0.31736697809397735</v>
      </c>
      <c r="AB86" s="572">
        <f t="shared" si="649"/>
        <v>-0.24038083010236216</v>
      </c>
      <c r="AC86" s="579">
        <f t="shared" si="100"/>
        <v>1</v>
      </c>
      <c r="AD86" s="580">
        <f t="shared" si="146"/>
        <v>-0.91733050627066592</v>
      </c>
      <c r="AE86" s="572">
        <f t="shared" si="101"/>
        <v>0.31736697809397735</v>
      </c>
      <c r="AF86" s="576">
        <f t="shared" si="102"/>
        <v>-0.24038083010236216</v>
      </c>
      <c r="AG86" s="545">
        <f t="shared" si="103"/>
        <v>52.858899648965973</v>
      </c>
      <c r="AH86" s="546">
        <f t="shared" si="104"/>
        <v>156.53888839088276</v>
      </c>
      <c r="AI86" s="528">
        <f t="shared" si="105"/>
        <v>-76.090981654497043</v>
      </c>
      <c r="AJ86" s="529">
        <f t="shared" si="106"/>
        <v>-109.08398137044398</v>
      </c>
      <c r="AK86" s="578">
        <f t="shared" si="247"/>
        <v>0.93169124708298212</v>
      </c>
      <c r="AL86" s="572">
        <f t="shared" si="107"/>
        <v>-0.27233890032137709</v>
      </c>
      <c r="AM86" s="577">
        <f t="shared" si="108"/>
        <v>-0.24038083010236216</v>
      </c>
      <c r="AN86" s="524">
        <f t="shared" si="109"/>
        <v>-48.566659654508548</v>
      </c>
      <c r="AO86" s="525">
        <f t="shared" si="604"/>
        <v>21.299996924660903</v>
      </c>
      <c r="AP86" s="528">
        <f t="shared" si="111"/>
        <v>-16.293955784489267</v>
      </c>
      <c r="AQ86" s="529">
        <f t="shared" si="650"/>
        <v>0.30411792093613293</v>
      </c>
      <c r="AR86" s="979"/>
      <c r="AS86" s="954">
        <f t="shared" si="755"/>
        <v>-182.79002558595471</v>
      </c>
      <c r="AT86" s="950">
        <f t="shared" si="651"/>
        <v>-1.3901670578193761</v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855"/>
        <v>4.1310000000000002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713"/>
        <v>1613</v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>
        <f t="shared" si="752"/>
        <v>31</v>
      </c>
      <c r="JN86" s="960">
        <f>($JO86-SMALL($JO$9:$JO$88,1))/((Settings!$C$19/2)-((Settings!$C$19/2)-LARGE($JO$9:$JO$88,1))-SMALL($JO$9:$JO$88,1))</f>
        <v>0.87586173117660737</v>
      </c>
      <c r="JO86" s="162">
        <f t="shared" si="635"/>
        <v>7.4961226083057859</v>
      </c>
      <c r="JP86" s="961">
        <f t="shared" si="636"/>
        <v>-48.566659654508548</v>
      </c>
      <c r="JQ86" s="961">
        <f t="shared" si="637"/>
        <v>21.299996924660903</v>
      </c>
      <c r="JU86" s="962"/>
      <c r="JV86" s="959"/>
      <c r="JW86" s="959"/>
    </row>
    <row r="87" spans="1:283" ht="15" customHeight="1" x14ac:dyDescent="0.25">
      <c r="A87" s="75">
        <f t="shared" si="640"/>
        <v>0</v>
      </c>
      <c r="B87" s="578">
        <f t="shared" ref="B87:D87" si="881">IFERROR(O242+($A87*-E87),"")</f>
        <v>-0.45038614150505257</v>
      </c>
      <c r="C87" s="572">
        <f t="shared" si="881"/>
        <v>-7.9071073529668272</v>
      </c>
      <c r="D87" s="576">
        <f t="shared" si="881"/>
        <v>-2.157006505531621</v>
      </c>
      <c r="E87" s="580">
        <f t="shared" ref="E87:K87" si="882">R242</f>
        <v>0.89564297846549135</v>
      </c>
      <c r="F87" s="572">
        <f t="shared" si="882"/>
        <v>-0.38983898987404009</v>
      </c>
      <c r="G87" s="579">
        <f t="shared" si="882"/>
        <v>0.21412430291644072</v>
      </c>
      <c r="H87" s="580">
        <f t="shared" si="882"/>
        <v>0.3125</v>
      </c>
      <c r="I87" s="572">
        <f t="shared" si="882"/>
        <v>0.52</v>
      </c>
      <c r="J87" s="483">
        <f t="shared" si="728"/>
        <v>4.1340000000000003</v>
      </c>
      <c r="K87" s="806">
        <f t="shared" si="882"/>
        <v>1613</v>
      </c>
      <c r="L87" s="309"/>
      <c r="M87" s="164">
        <f t="shared" si="643"/>
        <v>4.1340000000000003</v>
      </c>
      <c r="N87" s="575">
        <f t="shared" si="644"/>
        <v>-0.45038614150505257</v>
      </c>
      <c r="O87" s="572">
        <f t="shared" si="645"/>
        <v>-7.9071073529668272</v>
      </c>
      <c r="P87" s="576">
        <f t="shared" si="646"/>
        <v>-2.157006505531621</v>
      </c>
      <c r="Q87" s="528">
        <f t="shared" si="729"/>
        <v>266.73997448190494</v>
      </c>
      <c r="R87" s="572">
        <f t="shared" si="95"/>
        <v>7.9199238864904427</v>
      </c>
      <c r="S87" s="577">
        <f t="shared" si="96"/>
        <v>-2.157006505531621</v>
      </c>
      <c r="T87" s="578">
        <f t="shared" si="97"/>
        <v>-7.9071073529668272</v>
      </c>
      <c r="U87" s="572">
        <f t="shared" si="98"/>
        <v>0.45038614150504747</v>
      </c>
      <c r="V87" s="579">
        <f t="shared" si="145"/>
        <v>-2.157006505531621</v>
      </c>
      <c r="W87" s="528">
        <f t="shared" si="866"/>
        <v>176.73997448190494</v>
      </c>
      <c r="X87" s="572">
        <f t="shared" si="99"/>
        <v>7.9199238864904427</v>
      </c>
      <c r="Y87" s="573">
        <f t="shared" si="859"/>
        <v>-2.157006505531621</v>
      </c>
      <c r="Z87" s="575">
        <f t="shared" si="647"/>
        <v>-0.89564297846549135</v>
      </c>
      <c r="AA87" s="572">
        <f t="shared" si="648"/>
        <v>0.38983898987404009</v>
      </c>
      <c r="AB87" s="572">
        <f t="shared" si="649"/>
        <v>-0.21412430291644072</v>
      </c>
      <c r="AC87" s="579">
        <f t="shared" si="100"/>
        <v>1</v>
      </c>
      <c r="AD87" s="580">
        <f t="shared" si="146"/>
        <v>-0.89564297846549135</v>
      </c>
      <c r="AE87" s="572">
        <f t="shared" si="101"/>
        <v>0.38983898987404009</v>
      </c>
      <c r="AF87" s="576">
        <f t="shared" si="102"/>
        <v>-0.21412430291644072</v>
      </c>
      <c r="AG87" s="545">
        <f t="shared" si="103"/>
        <v>61.221617125243348</v>
      </c>
      <c r="AH87" s="546">
        <f t="shared" si="104"/>
        <v>153.59113814718262</v>
      </c>
      <c r="AI87" s="528">
        <f t="shared" si="105"/>
        <v>-77.635842837315906</v>
      </c>
      <c r="AJ87" s="529">
        <f t="shared" si="106"/>
        <v>-113.52164234765074</v>
      </c>
      <c r="AK87" s="578">
        <f t="shared" si="247"/>
        <v>0.91636275337125983</v>
      </c>
      <c r="AL87" s="572">
        <f t="shared" si="107"/>
        <v>-0.3382751648205824</v>
      </c>
      <c r="AM87" s="577">
        <f t="shared" si="108"/>
        <v>-0.21412430291644072</v>
      </c>
      <c r="AN87" s="524">
        <f t="shared" si="109"/>
        <v>-57.666658340631358</v>
      </c>
      <c r="AO87" s="525">
        <f t="shared" si="604"/>
        <v>23.599996592582087</v>
      </c>
      <c r="AP87" s="528">
        <f t="shared" si="111"/>
        <v>-20.261616829555681</v>
      </c>
      <c r="AQ87" s="529">
        <f t="shared" si="650"/>
        <v>0.28784461635057046</v>
      </c>
      <c r="AR87" s="979"/>
      <c r="AS87" s="954">
        <f t="shared" si="755"/>
        <v>-183.26002551809506</v>
      </c>
      <c r="AT87" s="950">
        <f t="shared" si="651"/>
        <v>-2.0297425989218327</v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855"/>
        <v>4.1340000000000003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713"/>
        <v>1613</v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>
        <f t="shared" si="752"/>
        <v>34</v>
      </c>
      <c r="JN87" s="960">
        <f>($JO87-SMALL($JO$9:$JO$88,1))/((Settings!$C$19/2)-((Settings!$C$19/2)-LARGE($JO$9:$JO$88,1))-SMALL($JO$9:$JO$88,1))</f>
        <v>0.92775539691674747</v>
      </c>
      <c r="JO87" s="162">
        <f t="shared" si="635"/>
        <v>7.9199238864904427</v>
      </c>
      <c r="JP87" s="961">
        <f t="shared" si="636"/>
        <v>-57.666658340631358</v>
      </c>
      <c r="JQ87" s="961">
        <f t="shared" si="637"/>
        <v>23.599996592582087</v>
      </c>
      <c r="JU87" s="962"/>
      <c r="JV87" s="959"/>
      <c r="JW87" s="959"/>
    </row>
    <row r="88" spans="1:283" ht="15" customHeight="1" x14ac:dyDescent="0.25">
      <c r="A88" s="75">
        <f t="shared" si="640"/>
        <v>0</v>
      </c>
      <c r="B88" s="578">
        <f t="shared" ref="B88:D88" si="883">IFERROR(O243+($A88*-E88),"")</f>
        <v>-0.51376591621614276</v>
      </c>
      <c r="C88" s="572">
        <f t="shared" si="883"/>
        <v>-8.1888237660684826</v>
      </c>
      <c r="D88" s="576">
        <f t="shared" si="883"/>
        <v>-2.8697086550413031</v>
      </c>
      <c r="E88" s="580">
        <f t="shared" ref="E88:K88" si="884">R243</f>
        <v>0.87180692039181273</v>
      </c>
      <c r="F88" s="572">
        <f t="shared" si="884"/>
        <v>-0.45831089837385308</v>
      </c>
      <c r="G88" s="579">
        <f t="shared" si="884"/>
        <v>0.17292719273930066</v>
      </c>
      <c r="H88" s="580">
        <f t="shared" si="884"/>
        <v>0.3125</v>
      </c>
      <c r="I88" s="572">
        <f t="shared" si="884"/>
        <v>0.52</v>
      </c>
      <c r="J88" s="483">
        <f t="shared" si="728"/>
        <v>4.1369999999999996</v>
      </c>
      <c r="K88" s="806">
        <f t="shared" si="884"/>
        <v>1613</v>
      </c>
      <c r="L88" s="309"/>
      <c r="M88" s="164">
        <f t="shared" si="643"/>
        <v>4.1369999999999996</v>
      </c>
      <c r="N88" s="575">
        <f t="shared" si="644"/>
        <v>-0.51376591621614276</v>
      </c>
      <c r="O88" s="572">
        <f t="shared" si="645"/>
        <v>-8.1888237660684826</v>
      </c>
      <c r="P88" s="576">
        <f t="shared" si="646"/>
        <v>-2.8697086550413031</v>
      </c>
      <c r="Q88" s="528">
        <f t="shared" si="729"/>
        <v>266.40997452955099</v>
      </c>
      <c r="R88" s="572">
        <f t="shared" si="95"/>
        <v>8.2049247460530328</v>
      </c>
      <c r="S88" s="577">
        <f t="shared" si="96"/>
        <v>-2.8697086550413031</v>
      </c>
      <c r="T88" s="578">
        <f t="shared" si="97"/>
        <v>-8.1888237660684826</v>
      </c>
      <c r="U88" s="572">
        <f t="shared" si="98"/>
        <v>0.51376591621614487</v>
      </c>
      <c r="V88" s="579">
        <f t="shared" si="145"/>
        <v>-2.8697086550413031</v>
      </c>
      <c r="W88" s="528">
        <f t="shared" si="866"/>
        <v>176.40997452955099</v>
      </c>
      <c r="X88" s="572">
        <f t="shared" si="99"/>
        <v>8.2049247460530328</v>
      </c>
      <c r="Y88" s="573">
        <f t="shared" si="859"/>
        <v>-2.8697086550413031</v>
      </c>
      <c r="Z88" s="575">
        <f t="shared" si="647"/>
        <v>-0.87180692039181273</v>
      </c>
      <c r="AA88" s="572">
        <f t="shared" si="648"/>
        <v>0.45831089837385308</v>
      </c>
      <c r="AB88" s="572">
        <f t="shared" si="649"/>
        <v>-0.17292719273930066</v>
      </c>
      <c r="AC88" s="579">
        <f t="shared" si="100"/>
        <v>1</v>
      </c>
      <c r="AD88" s="580">
        <f t="shared" si="146"/>
        <v>-0.87180692039181273</v>
      </c>
      <c r="AE88" s="572">
        <f t="shared" si="101"/>
        <v>0.45831089837385308</v>
      </c>
      <c r="AF88" s="576">
        <f t="shared" si="102"/>
        <v>-0.17292719273930066</v>
      </c>
      <c r="AG88" s="545">
        <f t="shared" si="103"/>
        <v>69.32779850174002</v>
      </c>
      <c r="AH88" s="546">
        <f t="shared" si="104"/>
        <v>150.6692990782243</v>
      </c>
      <c r="AI88" s="528">
        <f t="shared" si="105"/>
        <v>-80.041943954068515</v>
      </c>
      <c r="AJ88" s="529">
        <f t="shared" si="106"/>
        <v>-117.73100784163628</v>
      </c>
      <c r="AK88" s="578">
        <f t="shared" si="247"/>
        <v>0.89879407502059627</v>
      </c>
      <c r="AL88" s="572">
        <f t="shared" si="107"/>
        <v>-0.40282179275602181</v>
      </c>
      <c r="AM88" s="577">
        <f t="shared" si="108"/>
        <v>-0.17292719273930066</v>
      </c>
      <c r="AN88" s="524">
        <f t="shared" si="109"/>
        <v>-66.766657026754046</v>
      </c>
      <c r="AO88" s="525">
        <f t="shared" si="604"/>
        <v>25.999996246065006</v>
      </c>
      <c r="AP88" s="528">
        <f t="shared" si="111"/>
        <v>-24.140982371187274</v>
      </c>
      <c r="AQ88" s="529">
        <f t="shared" si="650"/>
        <v>0.27784639499228703</v>
      </c>
      <c r="AR88" s="979"/>
      <c r="AS88" s="954">
        <f t="shared" si="755"/>
        <v>-183.59002547044901</v>
      </c>
      <c r="AT88" s="950">
        <f t="shared" si="651"/>
        <v>-2.7422155817979359</v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855"/>
        <v>4.1369999999999996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713"/>
        <v>1613</v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>
        <f t="shared" si="752"/>
        <v>37</v>
      </c>
      <c r="JN88" s="960">
        <f>($JO88-SMALL($JO$9:$JO$88,1))/((Settings!$C$19/2)-((Settings!$C$19/2)-LARGE($JO$9:$JO$88,1))-SMALL($JO$9:$JO$88,1))</f>
        <v>0.96265321366035228</v>
      </c>
      <c r="JO88" s="162">
        <f t="shared" si="635"/>
        <v>8.2049247460530328</v>
      </c>
      <c r="JP88" s="961">
        <f t="shared" si="636"/>
        <v>-66.766657026754046</v>
      </c>
      <c r="JQ88" s="961">
        <f t="shared" si="637"/>
        <v>25.999996246065006</v>
      </c>
      <c r="JU88" s="962"/>
      <c r="JV88" s="959"/>
      <c r="JW88" s="959"/>
    </row>
    <row r="89" spans="1:283" ht="15" customHeight="1" x14ac:dyDescent="0.25">
      <c r="A89" s="75">
        <f t="shared" si="640"/>
        <v>0</v>
      </c>
      <c r="B89" s="578">
        <f t="shared" ref="B89:D89" si="885">IFERROR(O244+($A89*-E89),"")</f>
        <v>-0.55213225902242735</v>
      </c>
      <c r="C89" s="572">
        <f t="shared" si="885"/>
        <v>-8.3568054936507199</v>
      </c>
      <c r="D89" s="576">
        <f t="shared" si="885"/>
        <v>-3.6191109152385206</v>
      </c>
      <c r="E89" s="580">
        <f t="shared" ref="E89:K89" si="886">R244</f>
        <v>0.84546997968873638</v>
      </c>
      <c r="F89" s="572">
        <f t="shared" si="886"/>
        <v>-0.52107390847291768</v>
      </c>
      <c r="G89" s="579">
        <f t="shared" si="886"/>
        <v>0.11688667740117011</v>
      </c>
      <c r="H89" s="580">
        <f t="shared" si="886"/>
        <v>0.3125</v>
      </c>
      <c r="I89" s="572">
        <f t="shared" si="886"/>
        <v>0.52</v>
      </c>
      <c r="J89" s="483">
        <f t="shared" si="728"/>
        <v>4.1399999999999997</v>
      </c>
      <c r="K89" s="806">
        <f t="shared" si="886"/>
        <v>1613</v>
      </c>
      <c r="L89" s="309"/>
      <c r="M89" s="164">
        <f t="shared" si="643"/>
        <v>4.1399999999999997</v>
      </c>
      <c r="N89" s="575">
        <f t="shared" si="644"/>
        <v>-0.55213225902242735</v>
      </c>
      <c r="O89" s="572">
        <f t="shared" si="645"/>
        <v>-8.3568054936507199</v>
      </c>
      <c r="P89" s="576">
        <f t="shared" si="646"/>
        <v>-3.6191109152385206</v>
      </c>
      <c r="Q89" s="528">
        <f t="shared" si="729"/>
        <v>266.21997455698363</v>
      </c>
      <c r="R89" s="572">
        <f t="shared" si="95"/>
        <v>8.3750252590761818</v>
      </c>
      <c r="S89" s="577">
        <f t="shared" si="96"/>
        <v>-3.6191109152385206</v>
      </c>
      <c r="T89" s="578">
        <f t="shared" si="97"/>
        <v>-8.3568054936507199</v>
      </c>
      <c r="U89" s="572">
        <f t="shared" si="98"/>
        <v>0.55213225902242491</v>
      </c>
      <c r="V89" s="579">
        <f t="shared" si="145"/>
        <v>-3.6191109152385206</v>
      </c>
      <c r="W89" s="528">
        <f t="shared" si="866"/>
        <v>176.21997455698363</v>
      </c>
      <c r="X89" s="572">
        <f t="shared" si="99"/>
        <v>8.3750252590761818</v>
      </c>
      <c r="Y89" s="573">
        <f t="shared" si="859"/>
        <v>-3.6191109152385206</v>
      </c>
      <c r="Z89" s="575">
        <f t="shared" si="647"/>
        <v>-0.84546997968873638</v>
      </c>
      <c r="AA89" s="572">
        <f t="shared" si="648"/>
        <v>0.52107390847291768</v>
      </c>
      <c r="AB89" s="572">
        <f t="shared" si="649"/>
        <v>-0.11688667740117011</v>
      </c>
      <c r="AC89" s="579">
        <f t="shared" si="100"/>
        <v>1</v>
      </c>
      <c r="AD89" s="580">
        <f t="shared" si="146"/>
        <v>-0.84546997968873638</v>
      </c>
      <c r="AE89" s="572">
        <f t="shared" si="101"/>
        <v>0.52107390847291768</v>
      </c>
      <c r="AF89" s="576">
        <f t="shared" si="102"/>
        <v>-0.11688667740117011</v>
      </c>
      <c r="AG89" s="545">
        <f t="shared" si="103"/>
        <v>77.356770758961403</v>
      </c>
      <c r="AH89" s="546">
        <f t="shared" si="104"/>
        <v>147.7223253268856</v>
      </c>
      <c r="AI89" s="528">
        <f t="shared" si="105"/>
        <v>-83.28754229594324</v>
      </c>
      <c r="AJ89" s="529">
        <f t="shared" si="106"/>
        <v>-121.64605660762639</v>
      </c>
      <c r="AK89" s="578">
        <f t="shared" si="247"/>
        <v>0.87798300992748146</v>
      </c>
      <c r="AL89" s="572">
        <f t="shared" si="107"/>
        <v>-0.46420182994554726</v>
      </c>
      <c r="AM89" s="577">
        <f t="shared" si="108"/>
        <v>-0.11688667740117011</v>
      </c>
      <c r="AN89" s="524">
        <f t="shared" si="109"/>
        <v>-75.86665571287682</v>
      </c>
      <c r="AO89" s="525">
        <f t="shared" si="604"/>
        <v>28.59999587067151</v>
      </c>
      <c r="AP89" s="528">
        <f t="shared" si="111"/>
        <v>-27.866031164609996</v>
      </c>
      <c r="AQ89" s="529">
        <f t="shared" si="650"/>
        <v>0.2722032960940009</v>
      </c>
      <c r="AR89" s="979"/>
      <c r="AS89" s="954">
        <f t="shared" si="755"/>
        <v>-183.78002544301637</v>
      </c>
      <c r="AT89" s="950">
        <f t="shared" si="651"/>
        <v>-3.4914858975697594</v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855"/>
        <v>4.1399999999999997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713"/>
        <v>1613</v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>
        <f t="shared" si="640"/>
        <v>0</v>
      </c>
      <c r="B90" s="578">
        <f t="shared" ref="B90:D90" si="887">IFERROR(O245+($A90*-E90),"")</f>
        <v>-0.57617661852360103</v>
      </c>
      <c r="C90" s="572">
        <f t="shared" si="887"/>
        <v>-8.45160829723911</v>
      </c>
      <c r="D90" s="576">
        <f t="shared" si="887"/>
        <v>-4.3816132149454567</v>
      </c>
      <c r="E90" s="580">
        <f t="shared" ref="E90:K90" si="888">R245</f>
        <v>0.81627403074710603</v>
      </c>
      <c r="F90" s="572">
        <f t="shared" si="888"/>
        <v>-0.57585346040328877</v>
      </c>
      <c r="G90" s="579">
        <f t="shared" si="888"/>
        <v>4.5711036626076451E-2</v>
      </c>
      <c r="H90" s="580">
        <f t="shared" si="888"/>
        <v>0.3125</v>
      </c>
      <c r="I90" s="572">
        <f t="shared" si="888"/>
        <v>0.52</v>
      </c>
      <c r="J90" s="483">
        <f t="shared" si="728"/>
        <v>4.1429999999999998</v>
      </c>
      <c r="K90" s="806">
        <f t="shared" si="888"/>
        <v>1613</v>
      </c>
      <c r="L90" s="309"/>
      <c r="M90" s="164">
        <f t="shared" si="643"/>
        <v>4.1429999999999998</v>
      </c>
      <c r="N90" s="575">
        <f t="shared" si="644"/>
        <v>-0.57617661852360103</v>
      </c>
      <c r="O90" s="572">
        <f t="shared" si="645"/>
        <v>-8.45160829723911</v>
      </c>
      <c r="P90" s="576">
        <f t="shared" si="646"/>
        <v>-4.3816132149454567</v>
      </c>
      <c r="Q90" s="528">
        <f t="shared" si="729"/>
        <v>266.0999745743095</v>
      </c>
      <c r="R90" s="572">
        <f t="shared" si="95"/>
        <v>8.4712255492162551</v>
      </c>
      <c r="S90" s="577">
        <f t="shared" si="96"/>
        <v>-4.3816132149454567</v>
      </c>
      <c r="T90" s="578">
        <f t="shared" si="97"/>
        <v>-8.45160829723911</v>
      </c>
      <c r="U90" s="572">
        <f t="shared" si="98"/>
        <v>0.5761766185235937</v>
      </c>
      <c r="V90" s="579">
        <f t="shared" si="145"/>
        <v>-4.3816132149454567</v>
      </c>
      <c r="W90" s="528">
        <f t="shared" si="866"/>
        <v>176.0999745743095</v>
      </c>
      <c r="X90" s="572">
        <f t="shared" si="99"/>
        <v>8.4712255492162551</v>
      </c>
      <c r="Y90" s="573">
        <f t="shared" si="859"/>
        <v>-4.3816132149454567</v>
      </c>
      <c r="Z90" s="575">
        <f t="shared" si="647"/>
        <v>-0.81627403074710603</v>
      </c>
      <c r="AA90" s="572">
        <f t="shared" si="648"/>
        <v>0.57585346040328877</v>
      </c>
      <c r="AB90" s="572">
        <f t="shared" si="649"/>
        <v>-4.5711036626076451E-2</v>
      </c>
      <c r="AC90" s="579">
        <f t="shared" si="100"/>
        <v>1</v>
      </c>
      <c r="AD90" s="580">
        <f t="shared" si="146"/>
        <v>-0.81627403074710603</v>
      </c>
      <c r="AE90" s="572">
        <f t="shared" si="101"/>
        <v>0.57585346040328877</v>
      </c>
      <c r="AF90" s="576">
        <f t="shared" si="102"/>
        <v>-4.5711036626076451E-2</v>
      </c>
      <c r="AG90" s="545">
        <f t="shared" si="103"/>
        <v>85.461398823216896</v>
      </c>
      <c r="AH90" s="546">
        <f t="shared" si="104"/>
        <v>144.71353063111124</v>
      </c>
      <c r="AI90" s="528">
        <f t="shared" si="105"/>
        <v>-87.380037581994429</v>
      </c>
      <c r="AJ90" s="529">
        <f t="shared" si="106"/>
        <v>-125.2016625812137</v>
      </c>
      <c r="AK90" s="578">
        <f t="shared" si="247"/>
        <v>0.85355083850084679</v>
      </c>
      <c r="AL90" s="572">
        <f t="shared" si="107"/>
        <v>-0.51900045012029705</v>
      </c>
      <c r="AM90" s="577">
        <f t="shared" si="108"/>
        <v>-4.5711036626076451E-2</v>
      </c>
      <c r="AN90" s="524">
        <f t="shared" si="109"/>
        <v>-84.966654398999566</v>
      </c>
      <c r="AO90" s="525">
        <f t="shared" si="604"/>
        <v>31.399995466401613</v>
      </c>
      <c r="AP90" s="528">
        <f t="shared" si="111"/>
        <v>-31.301637155523192</v>
      </c>
      <c r="AQ90" s="529">
        <f t="shared" si="650"/>
        <v>0.26911216735758797</v>
      </c>
      <c r="AR90" s="979"/>
      <c r="AS90" s="954">
        <f t="shared" si="755"/>
        <v>-183.9000254256905</v>
      </c>
      <c r="AT90" s="950">
        <f t="shared" si="651"/>
        <v>-4.2539048639553938</v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855"/>
        <v>4.1429999999999998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713"/>
        <v>1613</v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>
        <f t="shared" si="640"/>
        <v>0</v>
      </c>
      <c r="B91" s="578">
        <f t="shared" ref="B91:D91" si="889">IFERROR(O246+($A91*-E91),"")</f>
        <v>-0.58473598384237746</v>
      </c>
      <c r="C91" s="572">
        <f t="shared" si="889"/>
        <v>-8.4898126403915946</v>
      </c>
      <c r="D91" s="576">
        <f t="shared" si="889"/>
        <v>-5.1743156057358668</v>
      </c>
      <c r="E91" s="580">
        <f t="shared" ref="E91:K91" si="890">R246</f>
        <v>0.80553699691793923</v>
      </c>
      <c r="F91" s="572">
        <f t="shared" si="890"/>
        <v>-0.59225032633908159</v>
      </c>
      <c r="G91" s="579">
        <f t="shared" si="890"/>
        <v>1.8700201808521926E-2</v>
      </c>
      <c r="H91" s="580">
        <f t="shared" si="890"/>
        <v>0.3125</v>
      </c>
      <c r="I91" s="572">
        <f t="shared" si="890"/>
        <v>0.52</v>
      </c>
      <c r="J91" s="483">
        <f t="shared" si="728"/>
        <v>4.1459999999999999</v>
      </c>
      <c r="K91" s="806">
        <f t="shared" si="890"/>
        <v>1613</v>
      </c>
      <c r="L91" s="309"/>
      <c r="M91" s="164">
        <f t="shared" si="643"/>
        <v>4.1459999999999999</v>
      </c>
      <c r="N91" s="575">
        <f t="shared" si="644"/>
        <v>-0.58473598384237746</v>
      </c>
      <c r="O91" s="572">
        <f t="shared" si="645"/>
        <v>-8.4898126403915946</v>
      </c>
      <c r="P91" s="576">
        <f t="shared" si="646"/>
        <v>-5.1743156057358668</v>
      </c>
      <c r="Q91" s="528">
        <f t="shared" si="729"/>
        <v>266.05997458008471</v>
      </c>
      <c r="R91" s="572">
        <f t="shared" si="95"/>
        <v>8.5099256659358087</v>
      </c>
      <c r="S91" s="577">
        <f t="shared" si="96"/>
        <v>-5.1743156057358668</v>
      </c>
      <c r="T91" s="578">
        <f t="shared" si="97"/>
        <v>-8.4898126403915946</v>
      </c>
      <c r="U91" s="572">
        <f t="shared" si="98"/>
        <v>0.58473598384238223</v>
      </c>
      <c r="V91" s="579">
        <f t="shared" si="145"/>
        <v>-5.1743156057358668</v>
      </c>
      <c r="W91" s="528">
        <f t="shared" si="866"/>
        <v>176.05997458008471</v>
      </c>
      <c r="X91" s="572">
        <f t="shared" si="99"/>
        <v>8.5099256659358087</v>
      </c>
      <c r="Y91" s="573">
        <f t="shared" si="859"/>
        <v>-5.1743156057358668</v>
      </c>
      <c r="Z91" s="575">
        <f t="shared" si="647"/>
        <v>-0.80553699691793923</v>
      </c>
      <c r="AA91" s="572">
        <f t="shared" si="648"/>
        <v>0.59225032633908159</v>
      </c>
      <c r="AB91" s="572">
        <f t="shared" si="649"/>
        <v>-1.8700201808521926E-2</v>
      </c>
      <c r="AC91" s="579">
        <f t="shared" si="100"/>
        <v>1</v>
      </c>
      <c r="AD91" s="580">
        <f t="shared" si="146"/>
        <v>-0.80553699691793923</v>
      </c>
      <c r="AE91" s="572">
        <f t="shared" si="101"/>
        <v>0.59225032633908159</v>
      </c>
      <c r="AF91" s="576">
        <f t="shared" si="102"/>
        <v>-1.8700201808521926E-2</v>
      </c>
      <c r="AG91" s="545">
        <f t="shared" si="103"/>
        <v>88.191496501417362</v>
      </c>
      <c r="AH91" s="546">
        <f t="shared" si="104"/>
        <v>143.66214793242384</v>
      </c>
      <c r="AI91" s="528">
        <f t="shared" si="105"/>
        <v>-88.92849490368927</v>
      </c>
      <c r="AJ91" s="529">
        <f t="shared" si="106"/>
        <v>-126.32422717284638</v>
      </c>
      <c r="AK91" s="578">
        <f t="shared" si="247"/>
        <v>0.84432796925021447</v>
      </c>
      <c r="AL91" s="572">
        <f t="shared" si="107"/>
        <v>-0.53550031073205695</v>
      </c>
      <c r="AM91" s="577">
        <f t="shared" si="108"/>
        <v>-1.8700201808521926E-2</v>
      </c>
      <c r="AN91" s="524">
        <f t="shared" si="109"/>
        <v>-87.999987294373838</v>
      </c>
      <c r="AO91" s="525">
        <f t="shared" si="604"/>
        <v>32.399995322019407</v>
      </c>
      <c r="AP91" s="528">
        <f t="shared" si="111"/>
        <v>-32.384201752931091</v>
      </c>
      <c r="AQ91" s="529">
        <f t="shared" si="650"/>
        <v>0.26788835876402095</v>
      </c>
      <c r="AS91" s="954">
        <f t="shared" si="755"/>
        <v>-183.94002541991529</v>
      </c>
      <c r="AT91" s="950">
        <f t="shared" si="651"/>
        <v>-5.0465794769720365</v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855"/>
        <v>4.1459999999999999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713"/>
        <v>1613</v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>
        <f t="shared" si="640"/>
        <v>0</v>
      </c>
      <c r="B92" s="578">
        <f t="shared" ref="B92:D92" si="891">IFERROR(O247+($A92*-E92),"")</f>
        <v>-1.1536608318690873</v>
      </c>
      <c r="C92" s="572">
        <f t="shared" si="891"/>
        <v>-3.8995304524730838</v>
      </c>
      <c r="D92" s="576">
        <f t="shared" si="891"/>
        <v>-0.19532454719211104</v>
      </c>
      <c r="E92" s="580">
        <f t="shared" ref="E92:K92" si="892">R247</f>
        <v>4.2323974088889479E-2</v>
      </c>
      <c r="F92" s="572">
        <f t="shared" si="892"/>
        <v>0.14306078638546915</v>
      </c>
      <c r="G92" s="579">
        <f t="shared" si="892"/>
        <v>0.98880852171494471</v>
      </c>
      <c r="H92" s="580">
        <f t="shared" si="892"/>
        <v>0.255</v>
      </c>
      <c r="I92" s="572">
        <f t="shared" si="892"/>
        <v>0.41499999999999992</v>
      </c>
      <c r="J92" s="483">
        <f t="shared" si="728"/>
        <v>4.2160000000000002</v>
      </c>
      <c r="K92" s="806" t="str">
        <f t="shared" si="892"/>
        <v>CPS-32193r1</v>
      </c>
      <c r="L92" s="309"/>
      <c r="M92" s="164">
        <f t="shared" si="643"/>
        <v>4.2160000000000002</v>
      </c>
      <c r="N92" s="575">
        <f t="shared" si="644"/>
        <v>-1.1536608318690873</v>
      </c>
      <c r="O92" s="572">
        <f t="shared" si="645"/>
        <v>-3.8995304524730838</v>
      </c>
      <c r="P92" s="576">
        <f t="shared" si="646"/>
        <v>-0.19532454719211104</v>
      </c>
      <c r="Q92" s="528">
        <f t="shared" si="729"/>
        <v>253.51935470837964</v>
      </c>
      <c r="R92" s="572">
        <f t="shared" si="95"/>
        <v>4.0666043654078043</v>
      </c>
      <c r="S92" s="577">
        <f t="shared" si="96"/>
        <v>-0.19532454719211104</v>
      </c>
      <c r="T92" s="578">
        <f t="shared" si="97"/>
        <v>-3.8995304524730843</v>
      </c>
      <c r="U92" s="572">
        <f t="shared" si="98"/>
        <v>1.1536608318690869</v>
      </c>
      <c r="V92" s="579">
        <f t="shared" si="145"/>
        <v>-0.19532454719211104</v>
      </c>
      <c r="W92" s="528">
        <f t="shared" si="866"/>
        <v>163.51935470837964</v>
      </c>
      <c r="X92" s="572">
        <f t="shared" si="99"/>
        <v>4.0666043654078043</v>
      </c>
      <c r="Y92" s="573">
        <f t="shared" si="859"/>
        <v>-0.19532454719211104</v>
      </c>
      <c r="Z92" s="575">
        <f t="shared" si="647"/>
        <v>-4.2323974088889479E-2</v>
      </c>
      <c r="AA92" s="572">
        <f t="shared" si="648"/>
        <v>-0.14306078638546915</v>
      </c>
      <c r="AB92" s="572">
        <f t="shared" si="649"/>
        <v>-0.98880852171494471</v>
      </c>
      <c r="AC92" s="579">
        <f t="shared" si="100"/>
        <v>1</v>
      </c>
      <c r="AD92" s="580">
        <f t="shared" si="146"/>
        <v>-4.2323974088889479E-2</v>
      </c>
      <c r="AE92" s="572">
        <f t="shared" si="101"/>
        <v>-0.14306078638546915</v>
      </c>
      <c r="AF92" s="576">
        <f t="shared" si="102"/>
        <v>-0.98880852171494471</v>
      </c>
      <c r="AG92" s="545">
        <f t="shared" si="103"/>
        <v>-8.2324275788947485</v>
      </c>
      <c r="AH92" s="546">
        <f t="shared" si="104"/>
        <v>92.42570965862771</v>
      </c>
      <c r="AI92" s="528">
        <f t="shared" si="105"/>
        <v>-8.5799987612014199</v>
      </c>
      <c r="AJ92" s="529">
        <f t="shared" si="106"/>
        <v>-16.480645291620377</v>
      </c>
      <c r="AK92" s="578">
        <f t="shared" si="247"/>
        <v>4.8572257327350599E-17</v>
      </c>
      <c r="AL92" s="572">
        <f t="shared" si="107"/>
        <v>0.14919017187437589</v>
      </c>
      <c r="AM92" s="577">
        <f t="shared" si="108"/>
        <v>-0.98880852171494471</v>
      </c>
      <c r="AN92" s="524">
        <f t="shared" si="109"/>
        <v>8.5799987612014501</v>
      </c>
      <c r="AO92" s="525">
        <f t="shared" si="604"/>
        <v>0</v>
      </c>
      <c r="AP92" s="528">
        <f t="shared" si="111"/>
        <v>89.999999999999986</v>
      </c>
      <c r="AQ92" s="529">
        <f t="shared" si="650"/>
        <v>0.56057921642010833</v>
      </c>
      <c r="AS92" s="954">
        <f t="shared" si="755"/>
        <v>-196.48064529162036</v>
      </c>
      <c r="AT92" s="950">
        <f t="shared" si="651"/>
        <v>-5.8879654628485767E-2</v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>Nose</v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855"/>
        <v>4.2160000000000002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4.1159999999999997</v>
      </c>
      <c r="IK92" s="677" cm="1">
        <f t="array" ref="IK92">IFERROR(ROUND(VALUE(IF($IJ92&lt;1,$IJ92+LARGE((IF($M$9:$M$150="",0,$M$9:$M$150)-MOD(IF($M$9:$M$150="",0,$M$9:$M$150),1)),1),$IJ92)),4),"")</f>
        <v>4.1159999999999997</v>
      </c>
      <c r="IL92" s="482">
        <f t="shared" si="713"/>
        <v>1613</v>
      </c>
      <c r="IM92" s="482" t="str">
        <f t="shared" si="856"/>
        <v>CPS-32193r1</v>
      </c>
      <c r="IN92" s="670">
        <f t="shared" si="714"/>
        <v>16.43061931005866</v>
      </c>
      <c r="IO92" s="702">
        <v>3.87785302570645E-2</v>
      </c>
      <c r="IP92" s="5">
        <f t="shared" si="715"/>
        <v>0.84</v>
      </c>
      <c r="IQ92" s="714">
        <v>420</v>
      </c>
      <c r="IR92" s="9">
        <f t="shared" si="716"/>
        <v>-4.0657122621881827</v>
      </c>
      <c r="IS92" s="5">
        <f t="shared" si="717"/>
        <v>-0.198200597773003</v>
      </c>
      <c r="IT92" s="5">
        <f t="shared" si="718"/>
        <v>0.3125</v>
      </c>
      <c r="IU92" s="5">
        <f t="shared" si="719"/>
        <v>0.30185182377256481</v>
      </c>
      <c r="IV92" s="670">
        <f t="shared" si="720"/>
        <v>3.066666223894813</v>
      </c>
      <c r="IW92" s="9">
        <f t="shared" si="721"/>
        <v>-4.0666043654078043</v>
      </c>
      <c r="IX92" s="5">
        <f t="shared" si="722"/>
        <v>-0.19532454719211104</v>
      </c>
      <c r="IY92" s="5">
        <f t="shared" si="723"/>
        <v>0.255</v>
      </c>
      <c r="IZ92" s="5">
        <f t="shared" si="724"/>
        <v>0.255</v>
      </c>
      <c r="JA92" s="705">
        <f t="shared" si="725"/>
        <v>-8.5799987612014501</v>
      </c>
      <c r="JN92" s="960"/>
      <c r="JO92" s="162"/>
      <c r="JP92" s="961"/>
      <c r="JQ92" s="961"/>
    </row>
    <row r="93" spans="1:283" ht="15" customHeight="1" x14ac:dyDescent="0.25">
      <c r="A93" s="75">
        <f t="shared" si="640"/>
        <v>0</v>
      </c>
      <c r="B93" s="578">
        <f t="shared" ref="B93:D93" si="893">IFERROR(O248+($A93*-E93),"")</f>
        <v>-1.1827498923574904</v>
      </c>
      <c r="C93" s="572">
        <f t="shared" si="893"/>
        <v>-4.6889094372190572</v>
      </c>
      <c r="D93" s="576">
        <f t="shared" si="893"/>
        <v>-0.158613107554542</v>
      </c>
      <c r="E93" s="580">
        <f t="shared" ref="E93:K93" si="894">R248</f>
        <v>-1.3738234186297289E-2</v>
      </c>
      <c r="F93" s="572">
        <f t="shared" si="894"/>
        <v>-5.4464038714437182E-2</v>
      </c>
      <c r="G93" s="579">
        <f t="shared" si="894"/>
        <v>0.99842121842855236</v>
      </c>
      <c r="H93" s="580">
        <f t="shared" si="894"/>
        <v>0.255</v>
      </c>
      <c r="I93" s="572">
        <f t="shared" si="894"/>
        <v>0.41499999999999992</v>
      </c>
      <c r="J93" s="483">
        <f t="shared" si="728"/>
        <v>4.2190000000000003</v>
      </c>
      <c r="K93" s="806" t="str">
        <f t="shared" si="894"/>
        <v>CPS-32193r1</v>
      </c>
      <c r="L93" s="309"/>
      <c r="M93" s="164">
        <f t="shared" si="643"/>
        <v>4.2190000000000003</v>
      </c>
      <c r="N93" s="575">
        <f t="shared" si="644"/>
        <v>-1.1827498923574904</v>
      </c>
      <c r="O93" s="572">
        <f t="shared" si="645"/>
        <v>-4.6889094372190572</v>
      </c>
      <c r="P93" s="576">
        <f t="shared" si="646"/>
        <v>-0.158613107554542</v>
      </c>
      <c r="Q93" s="528">
        <f t="shared" si="729"/>
        <v>255.84280475824238</v>
      </c>
      <c r="R93" s="572">
        <f t="shared" si="95"/>
        <v>4.8357800837417733</v>
      </c>
      <c r="S93" s="577">
        <f t="shared" si="96"/>
        <v>-0.158613107554542</v>
      </c>
      <c r="T93" s="578">
        <f t="shared" si="97"/>
        <v>-4.6889094372190572</v>
      </c>
      <c r="U93" s="572">
        <f t="shared" si="98"/>
        <v>1.1827498923574902</v>
      </c>
      <c r="V93" s="579">
        <f t="shared" si="145"/>
        <v>-0.158613107554542</v>
      </c>
      <c r="W93" s="528">
        <f t="shared" si="866"/>
        <v>165.84280475824238</v>
      </c>
      <c r="X93" s="572">
        <f t="shared" si="99"/>
        <v>4.8357800837417733</v>
      </c>
      <c r="Y93" s="573">
        <f t="shared" si="859"/>
        <v>-0.158613107554542</v>
      </c>
      <c r="Z93" s="575">
        <f t="shared" si="647"/>
        <v>1.3738234186297289E-2</v>
      </c>
      <c r="AA93" s="572">
        <f t="shared" si="648"/>
        <v>5.4464038714437182E-2</v>
      </c>
      <c r="AB93" s="572">
        <f t="shared" si="649"/>
        <v>-0.99842121842855236</v>
      </c>
      <c r="AC93" s="579">
        <f t="shared" si="100"/>
        <v>1</v>
      </c>
      <c r="AD93" s="580">
        <f t="shared" si="146"/>
        <v>1.3738234186297289E-2</v>
      </c>
      <c r="AE93" s="572">
        <f t="shared" si="101"/>
        <v>5.4464038714437182E-2</v>
      </c>
      <c r="AF93" s="576">
        <f t="shared" si="102"/>
        <v>-0.99842121842855236</v>
      </c>
      <c r="AG93" s="545">
        <f t="shared" si="103"/>
        <v>3.1223993509139256</v>
      </c>
      <c r="AH93" s="546">
        <f t="shared" si="104"/>
        <v>89.212832400290637</v>
      </c>
      <c r="AI93" s="528">
        <f t="shared" si="105"/>
        <v>-3.2199995350894328</v>
      </c>
      <c r="AJ93" s="529">
        <f t="shared" si="106"/>
        <v>165.84280475824235</v>
      </c>
      <c r="AK93" s="578">
        <f t="shared" si="247"/>
        <v>-1.7347234759768071E-17</v>
      </c>
      <c r="AL93" s="572">
        <f t="shared" si="107"/>
        <v>-5.6170015058260934E-2</v>
      </c>
      <c r="AM93" s="577">
        <f t="shared" si="108"/>
        <v>-0.99842121842855236</v>
      </c>
      <c r="AN93" s="524">
        <f t="shared" si="109"/>
        <v>-3.2199995350895958</v>
      </c>
      <c r="AO93" s="525">
        <f t="shared" si="604"/>
        <v>0</v>
      </c>
      <c r="AP93" s="528">
        <f t="shared" si="111"/>
        <v>-90.000000000000014</v>
      </c>
      <c r="AQ93" s="529">
        <f t="shared" si="650"/>
        <v>0.4714182921696724</v>
      </c>
      <c r="AS93" s="954">
        <f t="shared" si="755"/>
        <v>-194.15719524175762</v>
      </c>
      <c r="AT93" s="950">
        <f t="shared" si="651"/>
        <v>-2.3781721969988096E-2</v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>Nose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855"/>
        <v>4.2190000000000003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4.1189999999999998</v>
      </c>
      <c r="IK93" s="677" cm="1">
        <f t="array" ref="IK93">IFERROR(ROUND(VALUE(IF($IJ93&lt;1,$IJ93+LARGE((IF($M$9:$M$150="",0,$M$9:$M$150)-MOD(IF($M$9:$M$150="",0,$M$9:$M$150),1)),1),$IJ93)),4),"")</f>
        <v>4.1189999999999998</v>
      </c>
      <c r="IL93" s="482">
        <f t="shared" si="713"/>
        <v>1613</v>
      </c>
      <c r="IM93" s="482" t="str">
        <f t="shared" si="856"/>
        <v>CPS-32193r1</v>
      </c>
      <c r="IN93" s="670">
        <f t="shared" si="714"/>
        <v>13.767169309285862</v>
      </c>
      <c r="IO93" s="702">
        <v>3.6853589488742802E-2</v>
      </c>
      <c r="IP93" s="5">
        <f t="shared" si="715"/>
        <v>0.96</v>
      </c>
      <c r="IQ93" s="714">
        <v>480</v>
      </c>
      <c r="IR93" s="9">
        <f t="shared" si="716"/>
        <v>-4.8324145745623568</v>
      </c>
      <c r="IS93" s="5">
        <f t="shared" si="717"/>
        <v>-0.16210048889507453</v>
      </c>
      <c r="IT93" s="5">
        <f t="shared" si="718"/>
        <v>0.3125</v>
      </c>
      <c r="IU93" s="5">
        <f t="shared" si="719"/>
        <v>0.30127981704361856</v>
      </c>
      <c r="IV93" s="670">
        <f t="shared" si="720"/>
        <v>12.166664910017582</v>
      </c>
      <c r="IW93" s="9">
        <f t="shared" si="721"/>
        <v>-4.8357800837417733</v>
      </c>
      <c r="IX93" s="5">
        <f t="shared" si="722"/>
        <v>-0.158613107554542</v>
      </c>
      <c r="IY93" s="5">
        <f t="shared" si="723"/>
        <v>0.255</v>
      </c>
      <c r="IZ93" s="5">
        <f t="shared" si="724"/>
        <v>0.255</v>
      </c>
      <c r="JA93" s="705">
        <f t="shared" si="725"/>
        <v>3.2199995350895958</v>
      </c>
      <c r="JN93" s="960"/>
      <c r="JO93" s="162"/>
      <c r="JP93" s="961"/>
      <c r="JQ93" s="961"/>
    </row>
    <row r="94" spans="1:283" ht="15" customHeight="1" x14ac:dyDescent="0.25">
      <c r="A94" s="75">
        <f t="shared" si="640"/>
        <v>0</v>
      </c>
      <c r="B94" s="578">
        <f t="shared" ref="B94:D94" si="895">IFERROR(O249+($A94*-E94),"")</f>
        <v>-1.2398122257973712</v>
      </c>
      <c r="C94" s="572">
        <f t="shared" si="895"/>
        <v>-5.4562943937313326</v>
      </c>
      <c r="D94" s="576">
        <f t="shared" si="895"/>
        <v>-0.28222020790698304</v>
      </c>
      <c r="E94" s="580">
        <f t="shared" ref="E94:K94" si="896">R249</f>
        <v>-5.7759350113596071E-2</v>
      </c>
      <c r="F94" s="572">
        <f t="shared" si="896"/>
        <v>-0.25419334609940064</v>
      </c>
      <c r="G94" s="579">
        <f t="shared" si="896"/>
        <v>0.9654271594860202</v>
      </c>
      <c r="H94" s="580">
        <f t="shared" si="896"/>
        <v>0.255</v>
      </c>
      <c r="I94" s="572">
        <f t="shared" si="896"/>
        <v>0.41499999999999992</v>
      </c>
      <c r="J94" s="483">
        <f t="shared" si="728"/>
        <v>4.2220000000000004</v>
      </c>
      <c r="K94" s="806" t="str">
        <f t="shared" si="896"/>
        <v>CPS-32193r1</v>
      </c>
      <c r="L94" s="309"/>
      <c r="M94" s="164">
        <f t="shared" si="643"/>
        <v>4.2220000000000004</v>
      </c>
      <c r="N94" s="575">
        <f t="shared" si="644"/>
        <v>-1.2398122257973712</v>
      </c>
      <c r="O94" s="572">
        <f t="shared" si="645"/>
        <v>-5.4562943937313326</v>
      </c>
      <c r="P94" s="576">
        <f t="shared" si="646"/>
        <v>-0.28222020790698304</v>
      </c>
      <c r="Q94" s="528">
        <f t="shared" si="729"/>
        <v>257.19827698428372</v>
      </c>
      <c r="R94" s="572">
        <f t="shared" si="95"/>
        <v>5.5953804934339004</v>
      </c>
      <c r="S94" s="577">
        <f t="shared" si="96"/>
        <v>-0.28222020790698304</v>
      </c>
      <c r="T94" s="578">
        <f t="shared" si="97"/>
        <v>-5.4562943937313326</v>
      </c>
      <c r="U94" s="572">
        <f t="shared" si="98"/>
        <v>1.2398122257973716</v>
      </c>
      <c r="V94" s="579">
        <f t="shared" si="145"/>
        <v>-0.28222020790698304</v>
      </c>
      <c r="W94" s="528">
        <f t="shared" si="866"/>
        <v>167.19827698428372</v>
      </c>
      <c r="X94" s="572">
        <f t="shared" si="99"/>
        <v>5.5953804934339004</v>
      </c>
      <c r="Y94" s="573">
        <f t="shared" si="859"/>
        <v>-0.28222020790698304</v>
      </c>
      <c r="Z94" s="575">
        <f t="shared" si="647"/>
        <v>5.7759350113596071E-2</v>
      </c>
      <c r="AA94" s="572">
        <f t="shared" si="648"/>
        <v>0.25419334609940064</v>
      </c>
      <c r="AB94" s="572">
        <f t="shared" si="649"/>
        <v>-0.9654271594860202</v>
      </c>
      <c r="AC94" s="579">
        <f t="shared" si="100"/>
        <v>1</v>
      </c>
      <c r="AD94" s="580">
        <f t="shared" si="146"/>
        <v>5.7759350113596071E-2</v>
      </c>
      <c r="AE94" s="572">
        <f t="shared" si="101"/>
        <v>0.25419334609940064</v>
      </c>
      <c r="AF94" s="576">
        <f t="shared" si="102"/>
        <v>-0.9654271594860202</v>
      </c>
      <c r="AG94" s="545">
        <f t="shared" si="103"/>
        <v>14.750976081126337</v>
      </c>
      <c r="AH94" s="546">
        <f t="shared" si="104"/>
        <v>86.688790156460797</v>
      </c>
      <c r="AI94" s="528">
        <f t="shared" si="105"/>
        <v>-15.109997818386224</v>
      </c>
      <c r="AJ94" s="529">
        <f t="shared" si="106"/>
        <v>167.19827698428372</v>
      </c>
      <c r="AK94" s="578">
        <f t="shared" si="247"/>
        <v>2.0816681711721685E-17</v>
      </c>
      <c r="AL94" s="572">
        <f t="shared" si="107"/>
        <v>-0.26067297467661404</v>
      </c>
      <c r="AM94" s="577">
        <f t="shared" si="108"/>
        <v>-0.9654271594860202</v>
      </c>
      <c r="AN94" s="524">
        <f t="shared" si="109"/>
        <v>-15.10999781838624</v>
      </c>
      <c r="AO94" s="525">
        <f t="shared" si="604"/>
        <v>0</v>
      </c>
      <c r="AP94" s="528">
        <f t="shared" si="111"/>
        <v>-90</v>
      </c>
      <c r="AQ94" s="529">
        <f t="shared" si="650"/>
        <v>0.40742326818098562</v>
      </c>
      <c r="AS94" s="954">
        <f t="shared" si="755"/>
        <v>-192.80172301571628</v>
      </c>
      <c r="AT94" s="950">
        <f t="shared" si="651"/>
        <v>-0.1483301224794023</v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>Nose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855"/>
        <v>4.2220000000000004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4.1219999999999999</v>
      </c>
      <c r="IK94" s="677" cm="1">
        <f t="array" ref="IK94">IFERROR(ROUND(VALUE(IF($IJ94&lt;1,$IJ94+LARGE((IF($M$9:$M$150="",0,$M$9:$M$150)-MOD(IF($M$9:$M$150="",0,$M$9:$M$150),1)),1),$IJ94)),4),"")</f>
        <v>4.1219999999999999</v>
      </c>
      <c r="IL94" s="482">
        <f t="shared" si="713"/>
        <v>1613</v>
      </c>
      <c r="IM94" s="482" t="str">
        <f t="shared" si="856"/>
        <v>CPS-32193r1</v>
      </c>
      <c r="IN94" s="670">
        <f t="shared" si="714"/>
        <v>11.871697161210875</v>
      </c>
      <c r="IO94" s="702">
        <v>3.5583818935880099E-2</v>
      </c>
      <c r="IP94" s="5">
        <f t="shared" si="715"/>
        <v>1.1200000000000001</v>
      </c>
      <c r="IQ94" s="714">
        <v>560</v>
      </c>
      <c r="IR94" s="9">
        <f t="shared" si="716"/>
        <v>-5.5901168597924507</v>
      </c>
      <c r="IS94" s="5">
        <f t="shared" si="717"/>
        <v>-0.28430085745138595</v>
      </c>
      <c r="IT94" s="5">
        <f t="shared" si="718"/>
        <v>0.3125</v>
      </c>
      <c r="IU94" s="5">
        <f t="shared" si="719"/>
        <v>0.30009178033319339</v>
      </c>
      <c r="IV94" s="670">
        <f t="shared" si="720"/>
        <v>21.266663596140415</v>
      </c>
      <c r="IW94" s="9">
        <f t="shared" si="721"/>
        <v>-5.5953804934339004</v>
      </c>
      <c r="IX94" s="5">
        <f t="shared" si="722"/>
        <v>-0.28222020790698304</v>
      </c>
      <c r="IY94" s="5">
        <f t="shared" si="723"/>
        <v>0.255</v>
      </c>
      <c r="IZ94" s="5">
        <f t="shared" si="724"/>
        <v>0.255</v>
      </c>
      <c r="JA94" s="705">
        <f t="shared" si="725"/>
        <v>15.10999781838624</v>
      </c>
      <c r="JN94" s="960"/>
      <c r="JO94" s="162"/>
      <c r="JP94" s="961"/>
      <c r="JQ94" s="961"/>
    </row>
    <row r="95" spans="1:283" ht="15" customHeight="1" x14ac:dyDescent="0.25">
      <c r="A95" s="75">
        <f t="shared" si="640"/>
        <v>0</v>
      </c>
      <c r="B95" s="578">
        <f t="shared" ref="B95:D95" si="897">IFERROR(O250+($A95*-E95),"")</f>
        <v>-1.3196562837487911</v>
      </c>
      <c r="C95" s="572">
        <f t="shared" si="897"/>
        <v>-6.1730156842350263</v>
      </c>
      <c r="D95" s="576">
        <f t="shared" si="897"/>
        <v>-0.56098441685277001</v>
      </c>
      <c r="E95" s="580">
        <f t="shared" ref="E95:K95" si="898">R250</f>
        <v>-9.4908775167767356E-2</v>
      </c>
      <c r="F95" s="572">
        <f t="shared" si="898"/>
        <v>-0.44395905577614136</v>
      </c>
      <c r="G95" s="579">
        <f t="shared" si="898"/>
        <v>0.89100655507718418</v>
      </c>
      <c r="H95" s="580">
        <f t="shared" si="898"/>
        <v>0.255</v>
      </c>
      <c r="I95" s="572">
        <f t="shared" si="898"/>
        <v>0.41499999999999992</v>
      </c>
      <c r="J95" s="483">
        <f t="shared" si="728"/>
        <v>4.2249999999999996</v>
      </c>
      <c r="K95" s="806" t="str">
        <f t="shared" si="898"/>
        <v>CPS-32193r1</v>
      </c>
      <c r="L95" s="309"/>
      <c r="M95" s="164">
        <f t="shared" si="643"/>
        <v>4.2249999999999996</v>
      </c>
      <c r="N95" s="575">
        <f t="shared" si="644"/>
        <v>-1.3196562837487911</v>
      </c>
      <c r="O95" s="572">
        <f t="shared" si="645"/>
        <v>-6.1730156842350263</v>
      </c>
      <c r="P95" s="576">
        <f t="shared" si="646"/>
        <v>-0.56098441685277001</v>
      </c>
      <c r="Q95" s="528">
        <f t="shared" si="729"/>
        <v>257.93304671752117</v>
      </c>
      <c r="R95" s="572">
        <f t="shared" si="95"/>
        <v>6.3124967600030732</v>
      </c>
      <c r="S95" s="577">
        <f t="shared" si="96"/>
        <v>-0.56098441685277001</v>
      </c>
      <c r="T95" s="578">
        <f t="shared" si="97"/>
        <v>-6.1730156842350263</v>
      </c>
      <c r="U95" s="572">
        <f t="shared" si="98"/>
        <v>1.3196562837487888</v>
      </c>
      <c r="V95" s="579">
        <f t="shared" si="145"/>
        <v>-0.56098441685277001</v>
      </c>
      <c r="W95" s="528">
        <f t="shared" si="866"/>
        <v>167.93304671752117</v>
      </c>
      <c r="X95" s="572">
        <f t="shared" si="99"/>
        <v>6.3124967600030732</v>
      </c>
      <c r="Y95" s="573">
        <f t="shared" si="859"/>
        <v>-0.56098441685277001</v>
      </c>
      <c r="Z95" s="575">
        <f t="shared" si="647"/>
        <v>9.4908775167767356E-2</v>
      </c>
      <c r="AA95" s="572">
        <f t="shared" si="648"/>
        <v>0.44395905577614136</v>
      </c>
      <c r="AB95" s="572">
        <f t="shared" si="649"/>
        <v>-0.89100655507718418</v>
      </c>
      <c r="AC95" s="579">
        <f t="shared" si="100"/>
        <v>1</v>
      </c>
      <c r="AD95" s="580">
        <f t="shared" si="146"/>
        <v>9.4908775167767356E-2</v>
      </c>
      <c r="AE95" s="572">
        <f t="shared" si="101"/>
        <v>0.44395905577614136</v>
      </c>
      <c r="AF95" s="576">
        <f t="shared" si="102"/>
        <v>-0.89100655507718418</v>
      </c>
      <c r="AG95" s="545">
        <f t="shared" si="103"/>
        <v>26.485555724079301</v>
      </c>
      <c r="AH95" s="546">
        <f t="shared" si="104"/>
        <v>84.553930709287599</v>
      </c>
      <c r="AI95" s="528">
        <f t="shared" si="105"/>
        <v>-26.999996101682903</v>
      </c>
      <c r="AJ95" s="529">
        <f t="shared" si="106"/>
        <v>167.93304671752117</v>
      </c>
      <c r="AK95" s="578">
        <f t="shared" si="247"/>
        <v>4.163336342344337E-17</v>
      </c>
      <c r="AL95" s="572">
        <f t="shared" si="107"/>
        <v>-0.45399043911682641</v>
      </c>
      <c r="AM95" s="577">
        <f t="shared" si="108"/>
        <v>-0.89100655507718418</v>
      </c>
      <c r="AN95" s="524">
        <f t="shared" si="109"/>
        <v>-26.99999610168291</v>
      </c>
      <c r="AO95" s="525">
        <f t="shared" si="604"/>
        <v>0</v>
      </c>
      <c r="AP95" s="528">
        <f t="shared" si="111"/>
        <v>-90</v>
      </c>
      <c r="AQ95" s="529">
        <f t="shared" si="650"/>
        <v>0.36114021570359273</v>
      </c>
      <c r="AS95" s="954">
        <f t="shared" si="755"/>
        <v>-192.06695328247883</v>
      </c>
      <c r="AT95" s="950">
        <f t="shared" si="651"/>
        <v>-0.42760458818438196</v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>Nose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855"/>
        <v>4.2249999999999996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4.125</v>
      </c>
      <c r="IK95" s="677" cm="1">
        <f t="array" ref="IK95">IFERROR(ROUND(VALUE(IF($IJ95&lt;1,$IJ95+LARGE((IF($M$9:$M$150="",0,$M$9:$M$150)-MOD(IF($M$9:$M$150="",0,$M$9:$M$150),1)),1),$IJ95)),4),"")</f>
        <v>4.125</v>
      </c>
      <c r="IL95" s="482">
        <f t="shared" si="713"/>
        <v>1613</v>
      </c>
      <c r="IM95" s="482" t="str">
        <f t="shared" si="856"/>
        <v>CPS-32193r1</v>
      </c>
      <c r="IN95" s="670">
        <f t="shared" si="714"/>
        <v>10.506927518934162</v>
      </c>
      <c r="IO95" s="702">
        <v>3.4557396877920303E-2</v>
      </c>
      <c r="IP95" s="5">
        <f t="shared" si="715"/>
        <v>1.3</v>
      </c>
      <c r="IQ95" s="714">
        <v>650</v>
      </c>
      <c r="IR95" s="9">
        <f t="shared" si="716"/>
        <v>-6.3064190201597672</v>
      </c>
      <c r="IS95" s="5">
        <f t="shared" si="717"/>
        <v>-0.56000168896509506</v>
      </c>
      <c r="IT95" s="5">
        <f t="shared" si="718"/>
        <v>0.3125</v>
      </c>
      <c r="IU95" s="5">
        <f t="shared" si="719"/>
        <v>0.29803655125282913</v>
      </c>
      <c r="IV95" s="670">
        <f t="shared" si="720"/>
        <v>30.366662282263142</v>
      </c>
      <c r="IW95" s="9">
        <f t="shared" si="721"/>
        <v>-6.3124967600030732</v>
      </c>
      <c r="IX95" s="5">
        <f t="shared" si="722"/>
        <v>-0.56098441685277001</v>
      </c>
      <c r="IY95" s="5">
        <f t="shared" si="723"/>
        <v>0.255</v>
      </c>
      <c r="IZ95" s="5">
        <f t="shared" si="724"/>
        <v>0.255</v>
      </c>
      <c r="JA95" s="705">
        <f t="shared" si="725"/>
        <v>26.99999610168291</v>
      </c>
      <c r="JN95" s="960"/>
      <c r="JO95" s="162"/>
      <c r="JP95" s="961"/>
      <c r="JQ95" s="961"/>
    </row>
    <row r="96" spans="1:283" ht="15" customHeight="1" x14ac:dyDescent="0.25">
      <c r="A96" s="75">
        <f t="shared" si="640"/>
        <v>0</v>
      </c>
      <c r="B96" s="578">
        <f t="shared" ref="B96:D96" si="899">IFERROR(O251+($A96*-E96),"")</f>
        <v>-1.4134111863085133</v>
      </c>
      <c r="C96" s="572">
        <f t="shared" si="899"/>
        <v>-6.8111434418496168</v>
      </c>
      <c r="D96" s="576">
        <f t="shared" si="899"/>
        <v>-0.9820126552028754</v>
      </c>
      <c r="E96" s="580">
        <f t="shared" ref="E96:K96" si="900">R251</f>
        <v>-0.12728934915335788</v>
      </c>
      <c r="F96" s="572">
        <f t="shared" si="900"/>
        <v>-0.6133997127669234</v>
      </c>
      <c r="G96" s="579">
        <f t="shared" si="900"/>
        <v>0.77944737729340685</v>
      </c>
      <c r="H96" s="580">
        <f t="shared" si="900"/>
        <v>0.255</v>
      </c>
      <c r="I96" s="572">
        <f t="shared" si="900"/>
        <v>0.41499999999999992</v>
      </c>
      <c r="J96" s="483">
        <f t="shared" si="728"/>
        <v>4.2279999999999998</v>
      </c>
      <c r="K96" s="806" t="str">
        <f t="shared" si="900"/>
        <v>CPS-32193r1</v>
      </c>
      <c r="L96" s="309"/>
      <c r="M96" s="164">
        <f t="shared" si="643"/>
        <v>4.2279999999999998</v>
      </c>
      <c r="N96" s="575">
        <f t="shared" si="644"/>
        <v>-1.4134111863085133</v>
      </c>
      <c r="O96" s="572">
        <f t="shared" si="645"/>
        <v>-6.8111434418496168</v>
      </c>
      <c r="P96" s="576">
        <f t="shared" si="646"/>
        <v>-0.9820126552028754</v>
      </c>
      <c r="Q96" s="528">
        <f t="shared" si="729"/>
        <v>258.27668124271031</v>
      </c>
      <c r="R96" s="572">
        <f t="shared" si="95"/>
        <v>6.9562494324911244</v>
      </c>
      <c r="S96" s="577">
        <f t="shared" si="96"/>
        <v>-0.9820126552028754</v>
      </c>
      <c r="T96" s="578">
        <f t="shared" si="97"/>
        <v>-6.811143441849616</v>
      </c>
      <c r="U96" s="572">
        <f t="shared" si="98"/>
        <v>1.4134111863085175</v>
      </c>
      <c r="V96" s="579">
        <f t="shared" si="145"/>
        <v>-0.9820126552028754</v>
      </c>
      <c r="W96" s="528">
        <f t="shared" si="866"/>
        <v>168.27668124271031</v>
      </c>
      <c r="X96" s="572">
        <f t="shared" si="99"/>
        <v>6.9562494324911244</v>
      </c>
      <c r="Y96" s="573">
        <f t="shared" si="859"/>
        <v>-0.9820126552028754</v>
      </c>
      <c r="Z96" s="575">
        <f t="shared" si="647"/>
        <v>0.12728934915335788</v>
      </c>
      <c r="AA96" s="572">
        <f t="shared" si="648"/>
        <v>0.6133997127669234</v>
      </c>
      <c r="AB96" s="572">
        <f t="shared" si="649"/>
        <v>-0.77944737729340685</v>
      </c>
      <c r="AC96" s="579">
        <f t="shared" si="100"/>
        <v>1</v>
      </c>
      <c r="AD96" s="580">
        <f t="shared" si="146"/>
        <v>0.12728934915335788</v>
      </c>
      <c r="AE96" s="572">
        <f t="shared" si="101"/>
        <v>0.6133997127669234</v>
      </c>
      <c r="AF96" s="576">
        <f t="shared" si="102"/>
        <v>-0.77944737729340685</v>
      </c>
      <c r="AG96" s="545">
        <f t="shared" si="103"/>
        <v>38.201593794728439</v>
      </c>
      <c r="AH96" s="546">
        <f t="shared" si="104"/>
        <v>82.687017900743953</v>
      </c>
      <c r="AI96" s="528">
        <f t="shared" si="105"/>
        <v>-38.789994399417722</v>
      </c>
      <c r="AJ96" s="529">
        <f t="shared" si="106"/>
        <v>168.27668124271034</v>
      </c>
      <c r="AK96" s="578">
        <f t="shared" si="247"/>
        <v>2.2204460492503131E-16</v>
      </c>
      <c r="AL96" s="572">
        <f t="shared" si="107"/>
        <v>-0.62646770549680342</v>
      </c>
      <c r="AM96" s="577">
        <f t="shared" si="108"/>
        <v>-0.77944737729340685</v>
      </c>
      <c r="AN96" s="524">
        <f t="shared" si="109"/>
        <v>-38.789994399417729</v>
      </c>
      <c r="AO96" s="525">
        <f t="shared" si="604"/>
        <v>0</v>
      </c>
      <c r="AP96" s="528">
        <f t="shared" si="111"/>
        <v>-89.999999999999986</v>
      </c>
      <c r="AQ96" s="529">
        <f t="shared" si="650"/>
        <v>0.32771995783438274</v>
      </c>
      <c r="AS96" s="954">
        <f t="shared" si="755"/>
        <v>-191.72331875728969</v>
      </c>
      <c r="AT96" s="950">
        <f t="shared" si="651"/>
        <v>-0.84887146162142424</v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>Taper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855"/>
        <v>4.2279999999999998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4.1280000000000001</v>
      </c>
      <c r="IK96" s="677" cm="1">
        <f t="array" ref="IK96">IFERROR(ROUND(VALUE(IF($IJ96&lt;1,$IJ96+LARGE((IF($M$9:$M$150="",0,$M$9:$M$150)-MOD(IF($M$9:$M$150="",0,$M$9:$M$150),1)),1),$IJ96)),4),"")</f>
        <v>4.1280000000000001</v>
      </c>
      <c r="IL96" s="482">
        <f t="shared" si="713"/>
        <v>1613</v>
      </c>
      <c r="IM96" s="482" t="str">
        <f t="shared" si="856"/>
        <v>CPS-32193r1</v>
      </c>
      <c r="IN96" s="670">
        <f t="shared" si="714"/>
        <v>9.5232930861495788</v>
      </c>
      <c r="IO96" s="702">
        <v>3.3551869373702303E-2</v>
      </c>
      <c r="IP96" s="5">
        <f t="shared" si="715"/>
        <v>1.52</v>
      </c>
      <c r="IQ96" s="714">
        <v>760</v>
      </c>
      <c r="IR96" s="9">
        <f t="shared" si="716"/>
        <v>-6.9508209636760245</v>
      </c>
      <c r="IS96" s="5">
        <f t="shared" si="717"/>
        <v>-0.97700294664088649</v>
      </c>
      <c r="IT96" s="5">
        <f t="shared" si="718"/>
        <v>0.3125</v>
      </c>
      <c r="IU96" s="5">
        <f t="shared" si="719"/>
        <v>0.29511762067156433</v>
      </c>
      <c r="IV96" s="670">
        <f t="shared" si="720"/>
        <v>39.466660968385881</v>
      </c>
      <c r="IW96" s="9">
        <f t="shared" si="721"/>
        <v>-6.9562494324911244</v>
      </c>
      <c r="IX96" s="5">
        <f t="shared" si="722"/>
        <v>-0.9820126552028754</v>
      </c>
      <c r="IY96" s="5">
        <f t="shared" si="723"/>
        <v>0.255</v>
      </c>
      <c r="IZ96" s="5">
        <f t="shared" si="724"/>
        <v>0.255</v>
      </c>
      <c r="JA96" s="705">
        <f t="shared" si="725"/>
        <v>38.789994399417729</v>
      </c>
      <c r="JN96" s="960"/>
      <c r="JO96" s="162"/>
      <c r="JP96" s="961"/>
      <c r="JQ96" s="961"/>
    </row>
    <row r="97" spans="1:277" ht="15" customHeight="1" x14ac:dyDescent="0.25">
      <c r="A97" s="75">
        <f t="shared" si="640"/>
        <v>0</v>
      </c>
      <c r="B97" s="578">
        <f t="shared" ref="B97:D97" si="901">IFERROR(O252+($A97*-E97),"")</f>
        <v>-1.509788103066783</v>
      </c>
      <c r="C97" s="572">
        <f t="shared" si="901"/>
        <v>-7.3454822535167024</v>
      </c>
      <c r="D97" s="576">
        <f t="shared" si="901"/>
        <v>-1.5265353843360574</v>
      </c>
      <c r="E97" s="580">
        <f t="shared" ref="E97:K97" si="902">R252</f>
        <v>-0.15566431165736772</v>
      </c>
      <c r="F97" s="572">
        <f t="shared" si="902"/>
        <v>-0.75734431637292399</v>
      </c>
      <c r="G97" s="579">
        <f t="shared" si="902"/>
        <v>0.63419098742718372</v>
      </c>
      <c r="H97" s="580">
        <f t="shared" si="902"/>
        <v>0.255</v>
      </c>
      <c r="I97" s="572">
        <f t="shared" si="902"/>
        <v>0.41499999999999992</v>
      </c>
      <c r="J97" s="483">
        <f t="shared" si="728"/>
        <v>4.2309999999999999</v>
      </c>
      <c r="K97" s="806" t="str">
        <f t="shared" si="902"/>
        <v>CPS-32193r1</v>
      </c>
      <c r="L97" s="309"/>
      <c r="M97" s="164">
        <f t="shared" si="643"/>
        <v>4.2309999999999999</v>
      </c>
      <c r="N97" s="575">
        <f t="shared" si="644"/>
        <v>-1.509788103066783</v>
      </c>
      <c r="O97" s="572">
        <f t="shared" si="645"/>
        <v>-7.3454822535167024</v>
      </c>
      <c r="P97" s="576">
        <f t="shared" si="646"/>
        <v>-1.5265353843360574</v>
      </c>
      <c r="Q97" s="528">
        <f t="shared" si="729"/>
        <v>258.38520237144206</v>
      </c>
      <c r="R97" s="572">
        <f t="shared" si="95"/>
        <v>7.4990379151522362</v>
      </c>
      <c r="S97" s="577">
        <f t="shared" si="96"/>
        <v>-1.5265353843360574</v>
      </c>
      <c r="T97" s="578">
        <f t="shared" si="97"/>
        <v>-7.3454822535167015</v>
      </c>
      <c r="U97" s="572">
        <f t="shared" si="98"/>
        <v>1.5097881030667819</v>
      </c>
      <c r="V97" s="579">
        <f t="shared" si="145"/>
        <v>-1.5265353843360574</v>
      </c>
      <c r="W97" s="528">
        <f t="shared" si="866"/>
        <v>168.38520237144206</v>
      </c>
      <c r="X97" s="572">
        <f t="shared" si="99"/>
        <v>7.4990379151522362</v>
      </c>
      <c r="Y97" s="573">
        <f t="shared" si="859"/>
        <v>-1.5265353843360574</v>
      </c>
      <c r="Z97" s="575">
        <f t="shared" si="647"/>
        <v>0.15566431165736772</v>
      </c>
      <c r="AA97" s="572">
        <f t="shared" si="648"/>
        <v>0.75734431637292399</v>
      </c>
      <c r="AB97" s="572">
        <f t="shared" si="649"/>
        <v>-0.63419098742718372</v>
      </c>
      <c r="AC97" s="579">
        <f t="shared" si="100"/>
        <v>1</v>
      </c>
      <c r="AD97" s="580">
        <f t="shared" si="146"/>
        <v>0.15566431165736772</v>
      </c>
      <c r="AE97" s="572">
        <f t="shared" si="101"/>
        <v>0.75734431637292399</v>
      </c>
      <c r="AF97" s="576">
        <f t="shared" si="102"/>
        <v>-0.63419098742718372</v>
      </c>
      <c r="AG97" s="545">
        <f t="shared" si="103"/>
        <v>50.0576003634363</v>
      </c>
      <c r="AH97" s="546">
        <f t="shared" si="104"/>
        <v>81.044673827337419</v>
      </c>
      <c r="AI97" s="528">
        <f t="shared" si="105"/>
        <v>-50.639992688489663</v>
      </c>
      <c r="AJ97" s="529">
        <f t="shared" si="106"/>
        <v>168.38520237144203</v>
      </c>
      <c r="AK97" s="578">
        <f t="shared" si="247"/>
        <v>-2.4980018054066022E-16</v>
      </c>
      <c r="AL97" s="572">
        <f t="shared" si="107"/>
        <v>-0.77317642971454692</v>
      </c>
      <c r="AM97" s="577">
        <f t="shared" si="108"/>
        <v>-0.63419098742718372</v>
      </c>
      <c r="AN97" s="524">
        <f t="shared" si="109"/>
        <v>-50.63999268848967</v>
      </c>
      <c r="AO97" s="525">
        <f t="shared" si="604"/>
        <v>0</v>
      </c>
      <c r="AP97" s="528">
        <f t="shared" si="111"/>
        <v>-90.000000000000014</v>
      </c>
      <c r="AQ97" s="529">
        <f t="shared" si="650"/>
        <v>0.30399969504841451</v>
      </c>
      <c r="AS97" s="954">
        <f t="shared" si="755"/>
        <v>-191.61479762855794</v>
      </c>
      <c r="AT97" s="950">
        <f t="shared" si="651"/>
        <v>-1.3934695526495589</v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>Taper</v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855"/>
        <v>4.2309999999999999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4.1310000000000002</v>
      </c>
      <c r="IK97" s="677" cm="1">
        <f t="array" ref="IK97">IFERROR(ROUND(VALUE(IF($IJ97&lt;1,$IJ97+LARGE((IF($M$9:$M$150="",0,$M$9:$M$150)-MOD(IF($M$9:$M$150="",0,$M$9:$M$150),1)),1),$IJ97)),4),"")</f>
        <v>4.1310000000000002</v>
      </c>
      <c r="IL97" s="482">
        <f t="shared" si="713"/>
        <v>1613</v>
      </c>
      <c r="IM97" s="482" t="str">
        <f t="shared" si="856"/>
        <v>CPS-32193r1</v>
      </c>
      <c r="IN97" s="670">
        <f t="shared" si="714"/>
        <v>8.8247720426032288</v>
      </c>
      <c r="IO97" s="702">
        <v>3.2349947662025202E-2</v>
      </c>
      <c r="IP97" s="5">
        <f t="shared" si="715"/>
        <v>1.76</v>
      </c>
      <c r="IQ97" s="714">
        <v>880</v>
      </c>
      <c r="IR97" s="9">
        <f t="shared" si="716"/>
        <v>-7.4961226083057859</v>
      </c>
      <c r="IS97" s="5">
        <f t="shared" si="717"/>
        <v>-1.5171045755874002</v>
      </c>
      <c r="IT97" s="5">
        <f t="shared" si="718"/>
        <v>0.3125</v>
      </c>
      <c r="IU97" s="5">
        <f t="shared" si="719"/>
        <v>0.29115351471343193</v>
      </c>
      <c r="IV97" s="670">
        <f t="shared" si="720"/>
        <v>48.566659654508548</v>
      </c>
      <c r="IW97" s="9">
        <f t="shared" si="721"/>
        <v>-7.4990379151522362</v>
      </c>
      <c r="IX97" s="5">
        <f t="shared" si="722"/>
        <v>-1.5265353843360574</v>
      </c>
      <c r="IY97" s="5">
        <f t="shared" si="723"/>
        <v>0.255</v>
      </c>
      <c r="IZ97" s="5">
        <f t="shared" si="724"/>
        <v>0.255</v>
      </c>
      <c r="JA97" s="705">
        <f t="shared" si="725"/>
        <v>50.63999268848967</v>
      </c>
      <c r="JN97" s="960"/>
      <c r="JO97" s="162"/>
      <c r="JP97" s="961"/>
      <c r="JQ97" s="961"/>
    </row>
    <row r="98" spans="1:277" ht="15" customHeight="1" x14ac:dyDescent="0.25">
      <c r="A98" s="75">
        <f t="shared" si="640"/>
        <v>0</v>
      </c>
      <c r="B98" s="578">
        <f t="shared" ref="B98:D98" si="903">IFERROR(O253+($A98*-E98),"")</f>
        <v>-1.5934756648222848</v>
      </c>
      <c r="C98" s="572">
        <f t="shared" si="903"/>
        <v>-7.7565477760529689</v>
      </c>
      <c r="D98" s="576">
        <f t="shared" si="903"/>
        <v>-2.1702765335643828</v>
      </c>
      <c r="E98" s="580">
        <f t="shared" ref="E98:K98" si="904">R253</f>
        <v>-0.17817097009737523</v>
      </c>
      <c r="F98" s="572">
        <f t="shared" si="904"/>
        <v>-0.86728129733950077</v>
      </c>
      <c r="G98" s="579">
        <f t="shared" si="904"/>
        <v>0.46484218472474376</v>
      </c>
      <c r="H98" s="580">
        <f t="shared" si="904"/>
        <v>0.255</v>
      </c>
      <c r="I98" s="572">
        <f t="shared" si="904"/>
        <v>0.41499999999999992</v>
      </c>
      <c r="J98" s="483">
        <f t="shared" si="728"/>
        <v>4.234</v>
      </c>
      <c r="K98" s="806" t="str">
        <f t="shared" si="904"/>
        <v>CPS-32193r1</v>
      </c>
      <c r="L98" s="309"/>
      <c r="M98" s="164">
        <f t="shared" si="643"/>
        <v>4.234</v>
      </c>
      <c r="N98" s="575">
        <f t="shared" si="644"/>
        <v>-1.5934756648222848</v>
      </c>
      <c r="O98" s="572">
        <f t="shared" si="645"/>
        <v>-7.7565477760529689</v>
      </c>
      <c r="P98" s="576">
        <f t="shared" si="646"/>
        <v>-2.1702765335643828</v>
      </c>
      <c r="Q98" s="528">
        <f t="shared" si="729"/>
        <v>258.39089161394577</v>
      </c>
      <c r="R98" s="572">
        <f t="shared" si="95"/>
        <v>7.9185350978936171</v>
      </c>
      <c r="S98" s="577">
        <f t="shared" si="96"/>
        <v>-2.1702765335643828</v>
      </c>
      <c r="T98" s="578">
        <f t="shared" si="97"/>
        <v>-7.7565477760529689</v>
      </c>
      <c r="U98" s="572">
        <f t="shared" si="98"/>
        <v>1.5934756648222856</v>
      </c>
      <c r="V98" s="579">
        <f t="shared" si="145"/>
        <v>-2.1702765335643828</v>
      </c>
      <c r="W98" s="528">
        <f t="shared" si="866"/>
        <v>168.39089161394577</v>
      </c>
      <c r="X98" s="572">
        <f t="shared" si="99"/>
        <v>7.9185350978936171</v>
      </c>
      <c r="Y98" s="573">
        <f t="shared" si="859"/>
        <v>-2.1702765335643828</v>
      </c>
      <c r="Z98" s="575">
        <f t="shared" si="647"/>
        <v>0.17817097009737523</v>
      </c>
      <c r="AA98" s="572">
        <f t="shared" si="648"/>
        <v>0.86728129733950077</v>
      </c>
      <c r="AB98" s="572">
        <f t="shared" si="649"/>
        <v>-0.46484218472474376</v>
      </c>
      <c r="AC98" s="579">
        <f t="shared" si="100"/>
        <v>1</v>
      </c>
      <c r="AD98" s="580">
        <f t="shared" si="146"/>
        <v>0.17817097009737523</v>
      </c>
      <c r="AE98" s="572">
        <f t="shared" si="101"/>
        <v>0.86728129733950077</v>
      </c>
      <c r="AF98" s="576">
        <f t="shared" si="102"/>
        <v>-0.46484218472474376</v>
      </c>
      <c r="AG98" s="545">
        <f t="shared" si="103"/>
        <v>61.809748342892441</v>
      </c>
      <c r="AH98" s="546">
        <f t="shared" si="104"/>
        <v>79.736757922178029</v>
      </c>
      <c r="AI98" s="528">
        <f t="shared" si="105"/>
        <v>-62.299991004994205</v>
      </c>
      <c r="AJ98" s="529">
        <f t="shared" si="106"/>
        <v>168.39089161394577</v>
      </c>
      <c r="AK98" s="578">
        <f t="shared" si="247"/>
        <v>-5.5511151231257827E-17</v>
      </c>
      <c r="AL98" s="572">
        <f t="shared" si="107"/>
        <v>-0.88539355277770537</v>
      </c>
      <c r="AM98" s="577">
        <f t="shared" si="108"/>
        <v>-0.46484218472474376</v>
      </c>
      <c r="AN98" s="524">
        <f t="shared" si="109"/>
        <v>-62.299991004994219</v>
      </c>
      <c r="AO98" s="525">
        <f t="shared" si="604"/>
        <v>0</v>
      </c>
      <c r="AP98" s="528">
        <f t="shared" si="111"/>
        <v>-90</v>
      </c>
      <c r="AQ98" s="529">
        <f t="shared" si="650"/>
        <v>0.28789509899513827</v>
      </c>
      <c r="AS98" s="954">
        <f t="shared" si="755"/>
        <v>-191.60910838605423</v>
      </c>
      <c r="AT98" s="950">
        <f t="shared" si="651"/>
        <v>-2.037214652740734</v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>Taper</v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855"/>
        <v>4.234</v>
      </c>
      <c r="IJ98" s="674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4.1340000000000003</v>
      </c>
      <c r="IK98" s="677" cm="1">
        <f t="array" ref="IK98">IFERROR(ROUND(VALUE(IF($IJ98&lt;1,$IJ98+LARGE((IF($M$9:$M$150="",0,$M$9:$M$150)-MOD(IF($M$9:$M$150="",0,$M$9:$M$150),1)),1),$IJ98)),4),"")</f>
        <v>4.1340000000000003</v>
      </c>
      <c r="IL98" s="482">
        <f t="shared" si="713"/>
        <v>1613</v>
      </c>
      <c r="IM98" s="482" t="str">
        <f t="shared" si="856"/>
        <v>CPS-32193r1</v>
      </c>
      <c r="IN98" s="670">
        <f t="shared" si="714"/>
        <v>8.3490828679591687</v>
      </c>
      <c r="IO98" s="702">
        <v>3.0913463240379399E-2</v>
      </c>
      <c r="IP98" s="5">
        <f t="shared" si="715"/>
        <v>2.06</v>
      </c>
      <c r="IQ98" s="714">
        <v>1030</v>
      </c>
      <c r="IR98" s="9">
        <f t="shared" si="716"/>
        <v>-7.9199238864904427</v>
      </c>
      <c r="IS98" s="5">
        <f t="shared" si="717"/>
        <v>-2.157006505531621</v>
      </c>
      <c r="IT98" s="5">
        <f t="shared" si="718"/>
        <v>0.3125</v>
      </c>
      <c r="IU98" s="5">
        <f t="shared" si="719"/>
        <v>0.28636336042851868</v>
      </c>
      <c r="IV98" s="670">
        <f t="shared" si="720"/>
        <v>57.666658340631358</v>
      </c>
      <c r="IW98" s="9">
        <f t="shared" si="721"/>
        <v>-7.9185350978936171</v>
      </c>
      <c r="IX98" s="5">
        <f t="shared" si="722"/>
        <v>-2.1702765335643828</v>
      </c>
      <c r="IY98" s="5">
        <f t="shared" si="723"/>
        <v>0.255</v>
      </c>
      <c r="IZ98" s="5">
        <f t="shared" si="724"/>
        <v>0.255</v>
      </c>
      <c r="JA98" s="705">
        <f t="shared" si="725"/>
        <v>62.299991004994219</v>
      </c>
      <c r="JN98" s="960"/>
      <c r="JO98" s="162"/>
      <c r="JP98" s="961"/>
      <c r="JQ98" s="961"/>
    </row>
    <row r="99" spans="1:277" ht="15" customHeight="1" x14ac:dyDescent="0.25">
      <c r="A99" s="75">
        <f t="shared" si="640"/>
        <v>0</v>
      </c>
      <c r="B99" s="578">
        <f t="shared" ref="B99:D99" si="905">IFERROR(O254+($A99*-E99),"")</f>
        <v>-1.6549765533782714</v>
      </c>
      <c r="C99" s="572">
        <f t="shared" si="905"/>
        <v>-8.0288763974958197</v>
      </c>
      <c r="D99" s="576">
        <f t="shared" si="905"/>
        <v>-2.88552040837794</v>
      </c>
      <c r="E99" s="580">
        <f t="shared" ref="E99:K99" si="906">R254</f>
        <v>-0.1941116004573139</v>
      </c>
      <c r="F99" s="572">
        <f t="shared" si="906"/>
        <v>-0.94170400433198553</v>
      </c>
      <c r="G99" s="579">
        <f t="shared" si="906"/>
        <v>0.27479857130815666</v>
      </c>
      <c r="H99" s="580">
        <f t="shared" si="906"/>
        <v>0.255</v>
      </c>
      <c r="I99" s="572">
        <f t="shared" si="906"/>
        <v>0.41499999999999992</v>
      </c>
      <c r="J99" s="483">
        <f t="shared" si="728"/>
        <v>4.2370000000000001</v>
      </c>
      <c r="K99" s="806" t="str">
        <f t="shared" si="906"/>
        <v>CPS-32193r1</v>
      </c>
      <c r="L99" s="309"/>
      <c r="M99" s="164">
        <f t="shared" si="643"/>
        <v>4.2370000000000001</v>
      </c>
      <c r="N99" s="575">
        <f t="shared" si="644"/>
        <v>-1.6549765533782714</v>
      </c>
      <c r="O99" s="572">
        <f t="shared" si="645"/>
        <v>-8.0288763974958197</v>
      </c>
      <c r="P99" s="576">
        <f t="shared" si="646"/>
        <v>-2.88552040837794</v>
      </c>
      <c r="Q99" s="528">
        <f t="shared" si="729"/>
        <v>258.35286225650839</v>
      </c>
      <c r="R99" s="572">
        <f t="shared" si="95"/>
        <v>8.1976706202736196</v>
      </c>
      <c r="S99" s="577">
        <f t="shared" si="96"/>
        <v>-2.88552040837794</v>
      </c>
      <c r="T99" s="578">
        <f t="shared" si="97"/>
        <v>-8.0288763974958197</v>
      </c>
      <c r="U99" s="572">
        <f t="shared" si="98"/>
        <v>1.6549765533782708</v>
      </c>
      <c r="V99" s="579">
        <f t="shared" si="145"/>
        <v>-2.88552040837794</v>
      </c>
      <c r="W99" s="528">
        <f t="shared" si="866"/>
        <v>168.35286225650839</v>
      </c>
      <c r="X99" s="572">
        <f t="shared" si="99"/>
        <v>8.1976706202736196</v>
      </c>
      <c r="Y99" s="573">
        <f t="shared" si="859"/>
        <v>-2.88552040837794</v>
      </c>
      <c r="Z99" s="575">
        <f t="shared" si="647"/>
        <v>0.1941116004573139</v>
      </c>
      <c r="AA99" s="572">
        <f t="shared" si="648"/>
        <v>0.94170400433198553</v>
      </c>
      <c r="AB99" s="572">
        <f t="shared" si="649"/>
        <v>-0.27479857130815666</v>
      </c>
      <c r="AC99" s="579">
        <f t="shared" si="100"/>
        <v>1</v>
      </c>
      <c r="AD99" s="580">
        <f t="shared" si="146"/>
        <v>0.1941116004573139</v>
      </c>
      <c r="AE99" s="572">
        <f t="shared" si="101"/>
        <v>0.94170400433198553</v>
      </c>
      <c r="AF99" s="576">
        <f t="shared" si="102"/>
        <v>-0.27479857130815666</v>
      </c>
      <c r="AG99" s="545">
        <f t="shared" si="103"/>
        <v>73.732231200070814</v>
      </c>
      <c r="AH99" s="546">
        <f t="shared" si="104"/>
        <v>78.807169556614554</v>
      </c>
      <c r="AI99" s="528">
        <f t="shared" si="105"/>
        <v>-74.049989308504323</v>
      </c>
      <c r="AJ99" s="529">
        <f t="shared" si="106"/>
        <v>168.35286225650839</v>
      </c>
      <c r="AK99" s="578">
        <f t="shared" si="247"/>
        <v>-8.3266726846886741E-17</v>
      </c>
      <c r="AL99" s="572">
        <f t="shared" si="107"/>
        <v>-0.96150181757862319</v>
      </c>
      <c r="AM99" s="577">
        <f t="shared" si="108"/>
        <v>-0.27479857130815666</v>
      </c>
      <c r="AN99" s="524">
        <f t="shared" si="109"/>
        <v>-74.049989308504337</v>
      </c>
      <c r="AO99" s="525">
        <f t="shared" si="604"/>
        <v>0</v>
      </c>
      <c r="AP99" s="528">
        <f t="shared" si="111"/>
        <v>-90</v>
      </c>
      <c r="AQ99" s="529">
        <f t="shared" si="650"/>
        <v>0.27809225764644196</v>
      </c>
      <c r="AS99" s="954">
        <f t="shared" si="755"/>
        <v>-191.64713774349161</v>
      </c>
      <c r="AT99" s="950">
        <f t="shared" si="651"/>
        <v>-2.7524321182782931</v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>Taper</v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855"/>
        <v>4.2370000000000001</v>
      </c>
      <c r="IJ99" s="674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4.1369999999999996</v>
      </c>
      <c r="IK99" s="677" cm="1">
        <f t="array" ref="IK99">IFERROR(ROUND(VALUE(IF($IJ99&lt;1,$IJ99+LARGE((IF($M$9:$M$150="",0,$M$9:$M$150)-MOD(IF($M$9:$M$150="",0,$M$9:$M$150),1)),1),$IJ99)),4),"")</f>
        <v>4.1369999999999996</v>
      </c>
      <c r="IL99" s="482">
        <f t="shared" si="713"/>
        <v>1613</v>
      </c>
      <c r="IM99" s="482" t="str">
        <f t="shared" si="856"/>
        <v>CPS-32193r1</v>
      </c>
      <c r="IN99" s="670">
        <f t="shared" si="714"/>
        <v>8.0571122730426055</v>
      </c>
      <c r="IO99" s="702">
        <v>2.9227359249259299E-2</v>
      </c>
      <c r="IP99" s="5">
        <f t="shared" si="715"/>
        <v>2.38</v>
      </c>
      <c r="IQ99" s="714">
        <v>1190</v>
      </c>
      <c r="IR99" s="9">
        <f t="shared" si="716"/>
        <v>-8.2049247460530328</v>
      </c>
      <c r="IS99" s="5">
        <f t="shared" si="717"/>
        <v>-2.8697086550413031</v>
      </c>
      <c r="IT99" s="5">
        <f t="shared" si="718"/>
        <v>0.3125</v>
      </c>
      <c r="IU99" s="5">
        <f t="shared" si="719"/>
        <v>0.28087314844393635</v>
      </c>
      <c r="IV99" s="670">
        <f t="shared" si="720"/>
        <v>66.766657026754046</v>
      </c>
      <c r="IW99" s="9">
        <f t="shared" si="721"/>
        <v>-8.1976706202736196</v>
      </c>
      <c r="IX99" s="5">
        <f t="shared" si="722"/>
        <v>-2.88552040837794</v>
      </c>
      <c r="IY99" s="5">
        <f t="shared" si="723"/>
        <v>0.255</v>
      </c>
      <c r="IZ99" s="5">
        <f t="shared" si="724"/>
        <v>0.255</v>
      </c>
      <c r="JA99" s="705">
        <f t="shared" si="725"/>
        <v>74.049989308504337</v>
      </c>
      <c r="JN99" s="960"/>
      <c r="JO99" s="162"/>
      <c r="JP99" s="961"/>
      <c r="JQ99" s="961"/>
    </row>
    <row r="100" spans="1:277" ht="15" customHeight="1" x14ac:dyDescent="0.25">
      <c r="A100" s="75">
        <f t="shared" si="640"/>
        <v>0</v>
      </c>
      <c r="B100" s="578">
        <f t="shared" ref="B100:D100" si="907">IFERROR(O255+($A100*-E100),"")</f>
        <v>-1.6914208103122288</v>
      </c>
      <c r="C100" s="572">
        <f t="shared" si="907"/>
        <v>-8.187392681382164</v>
      </c>
      <c r="D100" s="576">
        <f t="shared" si="907"/>
        <v>-3.6357005532084909</v>
      </c>
      <c r="E100" s="580">
        <f t="shared" ref="E100:K100" si="908">R255</f>
        <v>-0.19924873905377075</v>
      </c>
      <c r="F100" s="572">
        <f t="shared" si="908"/>
        <v>-0.96447179670346761</v>
      </c>
      <c r="G100" s="579">
        <f t="shared" si="908"/>
        <v>0.17347649220879366</v>
      </c>
      <c r="H100" s="580">
        <f t="shared" si="908"/>
        <v>0.255</v>
      </c>
      <c r="I100" s="572">
        <f t="shared" si="908"/>
        <v>0.41499999999999992</v>
      </c>
      <c r="J100" s="483">
        <f t="shared" si="728"/>
        <v>4.24</v>
      </c>
      <c r="K100" s="806" t="str">
        <f t="shared" si="908"/>
        <v>CPS-32193r1</v>
      </c>
      <c r="L100" s="309"/>
      <c r="M100" s="164">
        <f t="shared" si="643"/>
        <v>4.24</v>
      </c>
      <c r="N100" s="575">
        <f t="shared" si="644"/>
        <v>-1.6914208103122288</v>
      </c>
      <c r="O100" s="572">
        <f t="shared" si="645"/>
        <v>-8.187392681382164</v>
      </c>
      <c r="P100" s="576">
        <f t="shared" si="646"/>
        <v>-3.6357005532084909</v>
      </c>
      <c r="Q100" s="528">
        <f t="shared" si="729"/>
        <v>258.32755983818885</v>
      </c>
      <c r="R100" s="572">
        <f t="shared" si="95"/>
        <v>8.3602812917214386</v>
      </c>
      <c r="S100" s="577">
        <f t="shared" si="96"/>
        <v>-3.6357005532084909</v>
      </c>
      <c r="T100" s="578">
        <f t="shared" si="97"/>
        <v>-8.187392681382164</v>
      </c>
      <c r="U100" s="572">
        <f t="shared" si="98"/>
        <v>1.6914208103122257</v>
      </c>
      <c r="V100" s="579">
        <f t="shared" si="145"/>
        <v>-3.6357005532084909</v>
      </c>
      <c r="W100" s="528">
        <f t="shared" si="866"/>
        <v>168.32755983818885</v>
      </c>
      <c r="X100" s="572">
        <f t="shared" si="99"/>
        <v>8.3602812917214386</v>
      </c>
      <c r="Y100" s="573">
        <f t="shared" si="859"/>
        <v>-3.6357005532084909</v>
      </c>
      <c r="Z100" s="575">
        <f t="shared" si="647"/>
        <v>0.19924873905377075</v>
      </c>
      <c r="AA100" s="572">
        <f t="shared" si="648"/>
        <v>0.96447179670346761</v>
      </c>
      <c r="AB100" s="572">
        <f t="shared" si="649"/>
        <v>-0.17347649220879366</v>
      </c>
      <c r="AC100" s="579">
        <f t="shared" si="100"/>
        <v>1</v>
      </c>
      <c r="AD100" s="580">
        <f t="shared" si="146"/>
        <v>0.19924873905377075</v>
      </c>
      <c r="AE100" s="572">
        <f t="shared" si="101"/>
        <v>0.96447179670346761</v>
      </c>
      <c r="AF100" s="576">
        <f t="shared" si="102"/>
        <v>-0.17347649220879366</v>
      </c>
      <c r="AG100" s="545">
        <f t="shared" si="103"/>
        <v>79.803416640371353</v>
      </c>
      <c r="AH100" s="546">
        <f t="shared" si="104"/>
        <v>78.506969215842616</v>
      </c>
      <c r="AI100" s="528">
        <f t="shared" si="105"/>
        <v>-80.009988447986956</v>
      </c>
      <c r="AJ100" s="529">
        <f t="shared" si="106"/>
        <v>168.32755983818885</v>
      </c>
      <c r="AK100" s="578">
        <f t="shared" si="247"/>
        <v>2.7755575615628914E-17</v>
      </c>
      <c r="AL100" s="572">
        <f t="shared" si="107"/>
        <v>-0.98483801036055296</v>
      </c>
      <c r="AM100" s="577">
        <f t="shared" si="108"/>
        <v>-0.17347649220879366</v>
      </c>
      <c r="AN100" s="524">
        <f t="shared" si="109"/>
        <v>-80.009988447986956</v>
      </c>
      <c r="AO100" s="525">
        <f t="shared" si="604"/>
        <v>0</v>
      </c>
      <c r="AP100" s="528">
        <f t="shared" si="111"/>
        <v>-90</v>
      </c>
      <c r="AQ100" s="529">
        <f t="shared" si="650"/>
        <v>0.27268333926753019</v>
      </c>
      <c r="AS100" s="954">
        <f t="shared" si="755"/>
        <v>-191.67244016181115</v>
      </c>
      <c r="AT100" s="950">
        <f t="shared" si="651"/>
        <v>-3.5025946919850108</v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>Taper</v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855"/>
        <v>4.24</v>
      </c>
      <c r="IJ100" s="674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4.1399999999999997</v>
      </c>
      <c r="IK100" s="677" cm="1">
        <f t="array" ref="IK100">IFERROR(ROUND(VALUE(IF($IJ100&lt;1,$IJ100+LARGE((IF($M$9:$M$150="",0,$M$9:$M$150)-MOD(IF($M$9:$M$150="",0,$M$9:$M$150),1)),1),$IJ100)),4),"")</f>
        <v>4.1399999999999997</v>
      </c>
      <c r="IL100" s="482">
        <f t="shared" si="713"/>
        <v>1613</v>
      </c>
      <c r="IM100" s="482" t="str">
        <f t="shared" si="856"/>
        <v>CPS-32193r1</v>
      </c>
      <c r="IN100" s="670">
        <f t="shared" si="714"/>
        <v>7.8924147187947824</v>
      </c>
      <c r="IO100" s="702">
        <v>2.7395015314626001E-2</v>
      </c>
      <c r="IP100" s="5">
        <f t="shared" si="715"/>
        <v>2.78</v>
      </c>
      <c r="IQ100" s="714">
        <v>1390</v>
      </c>
      <c r="IR100" s="9">
        <f t="shared" si="716"/>
        <v>-8.3750252590761818</v>
      </c>
      <c r="IS100" s="5">
        <f t="shared" si="717"/>
        <v>-3.6191109152385206</v>
      </c>
      <c r="IT100" s="5">
        <f t="shared" si="718"/>
        <v>0.3125</v>
      </c>
      <c r="IU100" s="5">
        <f t="shared" si="719"/>
        <v>0.27436969060233796</v>
      </c>
      <c r="IV100" s="670">
        <f t="shared" si="720"/>
        <v>75.86665571287682</v>
      </c>
      <c r="IW100" s="9">
        <f t="shared" si="721"/>
        <v>-8.3602812917214386</v>
      </c>
      <c r="IX100" s="5">
        <f t="shared" si="722"/>
        <v>-3.6357005532084909</v>
      </c>
      <c r="IY100" s="5">
        <f t="shared" si="723"/>
        <v>0.255</v>
      </c>
      <c r="IZ100" s="5">
        <f t="shared" si="724"/>
        <v>0.255</v>
      </c>
      <c r="JA100" s="705">
        <f t="shared" si="725"/>
        <v>80.009988447986956</v>
      </c>
      <c r="JN100" s="960"/>
      <c r="JO100" s="162"/>
      <c r="JP100" s="961"/>
      <c r="JQ100" s="961"/>
    </row>
    <row r="101" spans="1:277" ht="15" customHeight="1" x14ac:dyDescent="0.25">
      <c r="A101" s="75">
        <f t="shared" si="640"/>
        <v>0</v>
      </c>
      <c r="B101" s="578">
        <f t="shared" ref="B101:D101" si="909">IFERROR(O256+($A101*-E101),"")</f>
        <v>-1.7133973508489282</v>
      </c>
      <c r="C101" s="572">
        <f t="shared" si="909"/>
        <v>-8.272045888587451</v>
      </c>
      <c r="D101" s="576">
        <f t="shared" si="909"/>
        <v>-4.3966931825057509</v>
      </c>
      <c r="E101" s="580">
        <f t="shared" ref="E101:K101" si="910">R256</f>
        <v>-0.20223070618111233</v>
      </c>
      <c r="F101" s="572">
        <f t="shared" si="910"/>
        <v>-0.97634193305059214</v>
      </c>
      <c r="G101" s="579">
        <f t="shared" si="910"/>
        <v>7.654522352519301E-2</v>
      </c>
      <c r="H101" s="580">
        <f t="shared" si="910"/>
        <v>0.255</v>
      </c>
      <c r="I101" s="572">
        <f t="shared" si="910"/>
        <v>0.41499999999999992</v>
      </c>
      <c r="J101" s="483">
        <f t="shared" si="728"/>
        <v>4.2430000000000003</v>
      </c>
      <c r="K101" s="806" t="str">
        <f t="shared" si="910"/>
        <v>CPS-32193r1</v>
      </c>
      <c r="L101" s="309"/>
      <c r="M101" s="164">
        <f t="shared" si="643"/>
        <v>4.2430000000000003</v>
      </c>
      <c r="N101" s="575">
        <f t="shared" si="644"/>
        <v>-1.7133973508489282</v>
      </c>
      <c r="O101" s="572">
        <f t="shared" si="645"/>
        <v>-8.272045888587451</v>
      </c>
      <c r="P101" s="576">
        <f t="shared" si="646"/>
        <v>-4.3966931825057509</v>
      </c>
      <c r="Q101" s="528">
        <f t="shared" si="729"/>
        <v>258.29774851399287</v>
      </c>
      <c r="R101" s="572">
        <f t="shared" si="95"/>
        <v>8.4476312457867557</v>
      </c>
      <c r="S101" s="577">
        <f t="shared" si="96"/>
        <v>-4.3966931825057509</v>
      </c>
      <c r="T101" s="578">
        <f t="shared" si="97"/>
        <v>-8.2720458885874528</v>
      </c>
      <c r="U101" s="572">
        <f t="shared" si="98"/>
        <v>1.7133973508489266</v>
      </c>
      <c r="V101" s="579">
        <f t="shared" si="145"/>
        <v>-4.3966931825057509</v>
      </c>
      <c r="W101" s="528">
        <f t="shared" si="866"/>
        <v>168.29774851399287</v>
      </c>
      <c r="X101" s="572">
        <f t="shared" si="99"/>
        <v>8.4476312457867557</v>
      </c>
      <c r="Y101" s="573">
        <f t="shared" si="859"/>
        <v>-4.3966931825057509</v>
      </c>
      <c r="Z101" s="575">
        <f t="shared" si="647"/>
        <v>0.20223070618111233</v>
      </c>
      <c r="AA101" s="572">
        <f t="shared" si="648"/>
        <v>0.97634193305059214</v>
      </c>
      <c r="AB101" s="572">
        <f t="shared" si="649"/>
        <v>-7.654522352519301E-2</v>
      </c>
      <c r="AC101" s="579">
        <f t="shared" si="100"/>
        <v>1</v>
      </c>
      <c r="AD101" s="580">
        <f t="shared" si="146"/>
        <v>0.20223070618111233</v>
      </c>
      <c r="AE101" s="572">
        <f t="shared" si="101"/>
        <v>0.97634193305059214</v>
      </c>
      <c r="AF101" s="576">
        <f t="shared" si="102"/>
        <v>-7.654522352519301E-2</v>
      </c>
      <c r="AG101" s="545">
        <f t="shared" si="103"/>
        <v>85.51717958800765</v>
      </c>
      <c r="AH101" s="546">
        <f t="shared" si="104"/>
        <v>78.332564943719007</v>
      </c>
      <c r="AI101" s="528">
        <f t="shared" si="105"/>
        <v>-85.60998763944707</v>
      </c>
      <c r="AJ101" s="529">
        <f t="shared" si="106"/>
        <v>168.29774851399284</v>
      </c>
      <c r="AK101" s="578">
        <f t="shared" si="247"/>
        <v>-3.3306690738754696E-16</v>
      </c>
      <c r="AL101" s="572">
        <f t="shared" si="107"/>
        <v>-0.99706611052401051</v>
      </c>
      <c r="AM101" s="577">
        <f t="shared" si="108"/>
        <v>-7.654522352519301E-2</v>
      </c>
      <c r="AN101" s="524">
        <f t="shared" si="109"/>
        <v>-85.60998763944707</v>
      </c>
      <c r="AO101" s="525">
        <f t="shared" si="604"/>
        <v>0</v>
      </c>
      <c r="AP101" s="528">
        <f t="shared" si="111"/>
        <v>-90.000000000000014</v>
      </c>
      <c r="AQ101" s="529">
        <f t="shared" si="650"/>
        <v>0.26986378874986783</v>
      </c>
      <c r="AS101" s="954">
        <f t="shared" si="755"/>
        <v>-191.70225148600713</v>
      </c>
      <c r="AT101" s="950">
        <f t="shared" si="651"/>
        <v>-4.2635666189738011</v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>Taper</v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855"/>
        <v>4.2430000000000003</v>
      </c>
      <c r="IJ101" s="674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4.1429999999999998</v>
      </c>
      <c r="IK101" s="677" cm="1">
        <f t="array" ref="IK101">IFERROR(ROUND(VALUE(IF($IJ101&lt;1,$IJ101+LARGE((IF($M$9:$M$150="",0,$M$9:$M$150)-MOD(IF($M$9:$M$150="",0,$M$9:$M$150),1)),1),$IJ101)),4),"")</f>
        <v>4.1429999999999998</v>
      </c>
      <c r="IL101" s="482">
        <f t="shared" si="713"/>
        <v>1613</v>
      </c>
      <c r="IM101" s="482" t="str">
        <f t="shared" si="856"/>
        <v>CPS-32193r1</v>
      </c>
      <c r="IN101" s="670">
        <f t="shared" si="714"/>
        <v>7.8022260603166274</v>
      </c>
      <c r="IO101" s="702">
        <v>2.5496324278366098E-2</v>
      </c>
      <c r="IP101" s="5">
        <f t="shared" si="715"/>
        <v>3.28</v>
      </c>
      <c r="IQ101" s="714">
        <v>1640</v>
      </c>
      <c r="IR101" s="9">
        <f t="shared" si="716"/>
        <v>-8.4712255492162551</v>
      </c>
      <c r="IS101" s="5">
        <f t="shared" si="717"/>
        <v>-4.3816132149454567</v>
      </c>
      <c r="IT101" s="5">
        <f t="shared" si="718"/>
        <v>0.3125</v>
      </c>
      <c r="IU101" s="5">
        <f t="shared" si="719"/>
        <v>0.26673463703151468</v>
      </c>
      <c r="IV101" s="670">
        <f t="shared" si="720"/>
        <v>84.966654398999566</v>
      </c>
      <c r="IW101" s="9">
        <f t="shared" si="721"/>
        <v>-8.4476312457867557</v>
      </c>
      <c r="IX101" s="5">
        <f t="shared" si="722"/>
        <v>-4.3966931825057509</v>
      </c>
      <c r="IY101" s="5">
        <f t="shared" si="723"/>
        <v>0.255</v>
      </c>
      <c r="IZ101" s="5">
        <f t="shared" si="724"/>
        <v>0.255</v>
      </c>
      <c r="JA101" s="705">
        <f t="shared" si="725"/>
        <v>85.60998763944707</v>
      </c>
      <c r="JN101" s="960"/>
      <c r="JO101" s="162"/>
      <c r="JP101" s="961"/>
      <c r="JQ101" s="961"/>
    </row>
    <row r="102" spans="1:277" ht="15" customHeight="1" x14ac:dyDescent="0.25">
      <c r="A102" s="75">
        <f t="shared" si="640"/>
        <v>0</v>
      </c>
      <c r="B102" s="578">
        <f t="shared" ref="B102:D102" si="911">IFERROR(O257+($A102*-E102),"")</f>
        <v>-0.48526724163317159</v>
      </c>
      <c r="C102" s="572">
        <f t="shared" si="911"/>
        <v>-0.33978755283835538</v>
      </c>
      <c r="D102" s="576">
        <f t="shared" si="911"/>
        <v>-1.0931032967995433</v>
      </c>
      <c r="E102" s="580">
        <f t="shared" ref="E102:K102" si="912">R257</f>
        <v>0.56827068396935088</v>
      </c>
      <c r="F102" s="572">
        <f t="shared" si="912"/>
        <v>-0.74924549083357772</v>
      </c>
      <c r="G102" s="579">
        <f t="shared" si="912"/>
        <v>0.34014647463491021</v>
      </c>
      <c r="H102" s="580">
        <f t="shared" si="912"/>
        <v>0.3125</v>
      </c>
      <c r="I102" s="572">
        <f t="shared" si="912"/>
        <v>0.52</v>
      </c>
      <c r="J102" s="483">
        <f t="shared" si="728"/>
        <v>5.1020000000000003</v>
      </c>
      <c r="K102" s="806">
        <f t="shared" si="912"/>
        <v>1613</v>
      </c>
      <c r="L102" s="309"/>
      <c r="M102" s="164">
        <f t="shared" si="643"/>
        <v>5.1020000000000003</v>
      </c>
      <c r="N102" s="575">
        <f t="shared" si="644"/>
        <v>-0.48526724163317159</v>
      </c>
      <c r="O102" s="572">
        <f t="shared" si="645"/>
        <v>-0.33978755283835538</v>
      </c>
      <c r="P102" s="576">
        <f t="shared" si="646"/>
        <v>-1.0931032967995433</v>
      </c>
      <c r="Q102" s="528">
        <f t="shared" si="729"/>
        <v>214.99998195223557</v>
      </c>
      <c r="R102" s="572">
        <f t="shared" si="95"/>
        <v>0.59240178668378873</v>
      </c>
      <c r="S102" s="577">
        <f t="shared" si="96"/>
        <v>-1.0931032967995433</v>
      </c>
      <c r="T102" s="578">
        <f t="shared" si="97"/>
        <v>-0.33978755283835543</v>
      </c>
      <c r="U102" s="572">
        <f t="shared" si="98"/>
        <v>0.48526724163317159</v>
      </c>
      <c r="V102" s="579">
        <f t="shared" si="145"/>
        <v>-1.0931032967995433</v>
      </c>
      <c r="W102" s="528">
        <f t="shared" si="866"/>
        <v>124.99998195223557</v>
      </c>
      <c r="X102" s="572">
        <f t="shared" si="99"/>
        <v>0.59240178668378873</v>
      </c>
      <c r="Y102" s="573">
        <f t="shared" si="859"/>
        <v>-1.0931032967995433</v>
      </c>
      <c r="Z102" s="575">
        <f t="shared" si="647"/>
        <v>-0.56827068396935088</v>
      </c>
      <c r="AA102" s="572">
        <f t="shared" si="648"/>
        <v>0.74924549083357772</v>
      </c>
      <c r="AB102" s="572">
        <f t="shared" si="649"/>
        <v>-0.34014647463491021</v>
      </c>
      <c r="AC102" s="579">
        <f t="shared" si="100"/>
        <v>1</v>
      </c>
      <c r="AD102" s="580">
        <f t="shared" si="146"/>
        <v>-0.56827068396935088</v>
      </c>
      <c r="AE102" s="572">
        <f t="shared" si="101"/>
        <v>0.74924549083357772</v>
      </c>
      <c r="AF102" s="576">
        <f t="shared" si="102"/>
        <v>-0.34014647463491021</v>
      </c>
      <c r="AG102" s="545">
        <f t="shared" si="103"/>
        <v>65.582647427084879</v>
      </c>
      <c r="AH102" s="546">
        <f t="shared" si="104"/>
        <v>124.62972311506782</v>
      </c>
      <c r="AI102" s="528">
        <f t="shared" si="105"/>
        <v>-70.114201655431643</v>
      </c>
      <c r="AJ102" s="529">
        <f t="shared" si="106"/>
        <v>-142.8212373026507</v>
      </c>
      <c r="AK102" s="578">
        <f t="shared" si="247"/>
        <v>0.93969263802333469</v>
      </c>
      <c r="AL102" s="572">
        <f t="shared" si="107"/>
        <v>3.5750829895105696E-2</v>
      </c>
      <c r="AM102" s="577">
        <f t="shared" si="108"/>
        <v>-0.34014647463491021</v>
      </c>
      <c r="AN102" s="524">
        <f t="shared" si="109"/>
        <v>5.9999991337072567</v>
      </c>
      <c r="AO102" s="525">
        <f t="shared" si="604"/>
        <v>19.999997112357665</v>
      </c>
      <c r="AP102" s="528">
        <f t="shared" si="111"/>
        <v>2.1787807451137446</v>
      </c>
      <c r="AQ102" s="529">
        <f t="shared" si="650"/>
        <v>3.8425066682716751</v>
      </c>
      <c r="AS102" s="954">
        <f t="shared" si="755"/>
        <v>-235.00001804776443</v>
      </c>
      <c r="AT102" s="950">
        <f t="shared" si="651"/>
        <v>-0.92990883982192907</v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855"/>
        <v>5.1020000000000003</v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>
        <f t="shared" si="713"/>
        <v>1613</v>
      </c>
      <c r="IM102" s="482" t="str">
        <f t="shared" si="856"/>
        <v/>
      </c>
      <c r="IN102" s="670" t="str">
        <f t="shared" si="714"/>
        <v/>
      </c>
      <c r="IO102" s="702"/>
      <c r="IP102" s="5" t="str">
        <f t="shared" si="715"/>
        <v/>
      </c>
      <c r="IQ102" s="714"/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>
        <f t="shared" si="640"/>
        <v>0</v>
      </c>
      <c r="B103" s="578">
        <f t="shared" ref="B103:D103" si="913">IFERROR(O258+($A103*-E103),"")</f>
        <v>-1.0957013207436364</v>
      </c>
      <c r="C103" s="572">
        <f t="shared" si="913"/>
        <v>-0.76721781005500345</v>
      </c>
      <c r="D103" s="576">
        <f t="shared" si="913"/>
        <v>-0.90480272888503033</v>
      </c>
      <c r="E103" s="580">
        <f t="shared" ref="E103:K103" si="914">R258</f>
        <v>0.56512790748005948</v>
      </c>
      <c r="F103" s="572">
        <f t="shared" si="914"/>
        <v>-0.78347089964357741</v>
      </c>
      <c r="G103" s="579">
        <f t="shared" si="914"/>
        <v>0.25846430623761785</v>
      </c>
      <c r="H103" s="580">
        <f t="shared" si="914"/>
        <v>0.3125</v>
      </c>
      <c r="I103" s="572">
        <f t="shared" si="914"/>
        <v>0.52</v>
      </c>
      <c r="J103" s="483">
        <f t="shared" si="728"/>
        <v>5.1050000000000004</v>
      </c>
      <c r="K103" s="806">
        <f t="shared" si="914"/>
        <v>1613</v>
      </c>
      <c r="L103" s="309"/>
      <c r="M103" s="164">
        <f t="shared" si="643"/>
        <v>5.1050000000000004</v>
      </c>
      <c r="N103" s="575">
        <f t="shared" si="644"/>
        <v>-1.0957013207436364</v>
      </c>
      <c r="O103" s="572">
        <f t="shared" si="645"/>
        <v>-0.76721781005500345</v>
      </c>
      <c r="P103" s="576">
        <f t="shared" si="646"/>
        <v>-0.90480272888503033</v>
      </c>
      <c r="Q103" s="528">
        <f t="shared" si="729"/>
        <v>214.99998195223557</v>
      </c>
      <c r="R103" s="572">
        <f t="shared" si="95"/>
        <v>1.3376040342137669</v>
      </c>
      <c r="S103" s="577">
        <f t="shared" si="96"/>
        <v>-0.90480272888503033</v>
      </c>
      <c r="T103" s="578">
        <f t="shared" si="97"/>
        <v>-0.76721781005500356</v>
      </c>
      <c r="U103" s="572">
        <f t="shared" si="98"/>
        <v>1.0957013207436361</v>
      </c>
      <c r="V103" s="579">
        <f t="shared" si="145"/>
        <v>-0.90480272888503033</v>
      </c>
      <c r="W103" s="528">
        <f t="shared" si="866"/>
        <v>124.99998195223557</v>
      </c>
      <c r="X103" s="572">
        <f t="shared" si="99"/>
        <v>1.3376040342137669</v>
      </c>
      <c r="Y103" s="573">
        <f t="shared" si="859"/>
        <v>-0.90480272888503033</v>
      </c>
      <c r="Z103" s="575">
        <f t="shared" si="647"/>
        <v>-0.56512790748005948</v>
      </c>
      <c r="AA103" s="572">
        <f t="shared" si="648"/>
        <v>0.78347089964357741</v>
      </c>
      <c r="AB103" s="572">
        <f t="shared" si="649"/>
        <v>-0.25846430623761785</v>
      </c>
      <c r="AC103" s="579">
        <f t="shared" si="100"/>
        <v>1</v>
      </c>
      <c r="AD103" s="580">
        <f t="shared" si="146"/>
        <v>-0.56512790748005948</v>
      </c>
      <c r="AE103" s="572">
        <f t="shared" si="101"/>
        <v>0.78347089964357741</v>
      </c>
      <c r="AF103" s="576">
        <f t="shared" si="102"/>
        <v>-0.25846430623761785</v>
      </c>
      <c r="AG103" s="545">
        <f t="shared" si="103"/>
        <v>71.742458059154785</v>
      </c>
      <c r="AH103" s="546">
        <f t="shared" si="104"/>
        <v>124.41117390385294</v>
      </c>
      <c r="AI103" s="528">
        <f t="shared" si="105"/>
        <v>-75.021040994812239</v>
      </c>
      <c r="AJ103" s="529">
        <f t="shared" si="106"/>
        <v>-144.19659061971709</v>
      </c>
      <c r="AK103" s="578">
        <f t="shared" si="247"/>
        <v>0.96592583607220761</v>
      </c>
      <c r="AL103" s="572">
        <f t="shared" si="107"/>
        <v>1.3545538354532316E-2</v>
      </c>
      <c r="AM103" s="577">
        <f t="shared" si="108"/>
        <v>-0.25846430623761785</v>
      </c>
      <c r="AN103" s="524">
        <f t="shared" si="109"/>
        <v>2.999999566853591</v>
      </c>
      <c r="AO103" s="525">
        <f t="shared" si="604"/>
        <v>14.999997834268203</v>
      </c>
      <c r="AP103" s="528">
        <f t="shared" si="111"/>
        <v>0.80342742804736855</v>
      </c>
      <c r="AQ103" s="529">
        <f t="shared" si="650"/>
        <v>1.7038335202581267</v>
      </c>
      <c r="AS103" s="954">
        <f t="shared" si="755"/>
        <v>-235.00001804776443</v>
      </c>
      <c r="AT103" s="950">
        <f t="shared" si="651"/>
        <v>-0.74160827190741618</v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855"/>
        <v>5.1050000000000004</v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>
        <f t="shared" si="713"/>
        <v>1613</v>
      </c>
      <c r="IM103" s="482" t="str">
        <f t="shared" si="856"/>
        <v/>
      </c>
      <c r="IN103" s="670" t="str">
        <f t="shared" si="714"/>
        <v/>
      </c>
      <c r="IO103" s="702"/>
      <c r="IP103" s="5" t="str">
        <f t="shared" si="715"/>
        <v/>
      </c>
      <c r="IQ103" s="714"/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>
        <f t="shared" si="640"/>
        <v>0</v>
      </c>
      <c r="B104" s="578">
        <f t="shared" ref="B104:D104" si="915">IFERROR(O259+($A104*-E104),"")</f>
        <v>-1.7040055976457185</v>
      </c>
      <c r="C104" s="572">
        <f t="shared" si="915"/>
        <v>-1.1931567647102412</v>
      </c>
      <c r="D104" s="576">
        <f t="shared" si="915"/>
        <v>-0.70580212869922032</v>
      </c>
      <c r="E104" s="580">
        <f t="shared" ref="E104:K104" si="916">R259</f>
        <v>0.56512790748005959</v>
      </c>
      <c r="F104" s="572">
        <f t="shared" si="916"/>
        <v>-0.78347089964357719</v>
      </c>
      <c r="G104" s="579">
        <f t="shared" si="916"/>
        <v>0.25846430623761779</v>
      </c>
      <c r="H104" s="580">
        <f t="shared" si="916"/>
        <v>0.3125</v>
      </c>
      <c r="I104" s="572">
        <f t="shared" si="916"/>
        <v>0.52</v>
      </c>
      <c r="J104" s="483">
        <f t="shared" si="728"/>
        <v>5.1079999999999997</v>
      </c>
      <c r="K104" s="806">
        <f t="shared" si="916"/>
        <v>1613</v>
      </c>
      <c r="L104" s="309"/>
      <c r="M104" s="164">
        <f t="shared" si="643"/>
        <v>5.1079999999999997</v>
      </c>
      <c r="N104" s="575">
        <f t="shared" si="644"/>
        <v>-1.7040055976457185</v>
      </c>
      <c r="O104" s="572">
        <f t="shared" si="645"/>
        <v>-1.1931567647102412</v>
      </c>
      <c r="P104" s="576">
        <f t="shared" si="646"/>
        <v>-0.70580212869922032</v>
      </c>
      <c r="Q104" s="528">
        <f t="shared" si="729"/>
        <v>214.99998195223557</v>
      </c>
      <c r="R104" s="572">
        <f t="shared" si="95"/>
        <v>2.0802062739021223</v>
      </c>
      <c r="S104" s="577">
        <f t="shared" si="96"/>
        <v>-0.70580212869922032</v>
      </c>
      <c r="T104" s="578">
        <f t="shared" si="97"/>
        <v>-1.1931567647102412</v>
      </c>
      <c r="U104" s="572">
        <f t="shared" si="98"/>
        <v>1.7040055976457182</v>
      </c>
      <c r="V104" s="579">
        <f t="shared" si="145"/>
        <v>-0.70580212869922032</v>
      </c>
      <c r="W104" s="528">
        <f t="shared" si="866"/>
        <v>124.99998195223557</v>
      </c>
      <c r="X104" s="572">
        <f t="shared" si="99"/>
        <v>2.0802062739021223</v>
      </c>
      <c r="Y104" s="573">
        <f t="shared" si="859"/>
        <v>-0.70580212869922032</v>
      </c>
      <c r="Z104" s="575">
        <f t="shared" si="647"/>
        <v>-0.56512790748005959</v>
      </c>
      <c r="AA104" s="572">
        <f t="shared" si="648"/>
        <v>0.78347089964357719</v>
      </c>
      <c r="AB104" s="572">
        <f t="shared" si="649"/>
        <v>-0.25846430623761779</v>
      </c>
      <c r="AC104" s="579">
        <f t="shared" si="100"/>
        <v>1</v>
      </c>
      <c r="AD104" s="580">
        <f t="shared" si="146"/>
        <v>-0.56512790748005959</v>
      </c>
      <c r="AE104" s="572">
        <f t="shared" si="101"/>
        <v>0.78347089964357719</v>
      </c>
      <c r="AF104" s="576">
        <f t="shared" si="102"/>
        <v>-0.25846430623761779</v>
      </c>
      <c r="AG104" s="545">
        <f t="shared" si="103"/>
        <v>71.742458059154785</v>
      </c>
      <c r="AH104" s="546">
        <f t="shared" si="104"/>
        <v>124.41117390385294</v>
      </c>
      <c r="AI104" s="528">
        <f t="shared" si="105"/>
        <v>-75.021040994812239</v>
      </c>
      <c r="AJ104" s="529">
        <f t="shared" si="106"/>
        <v>-144.19659061971706</v>
      </c>
      <c r="AK104" s="578">
        <f t="shared" si="247"/>
        <v>0.96592583607220739</v>
      </c>
      <c r="AL104" s="572">
        <f t="shared" si="107"/>
        <v>1.3545538354532538E-2</v>
      </c>
      <c r="AM104" s="577">
        <f t="shared" si="108"/>
        <v>-0.25846430623761779</v>
      </c>
      <c r="AN104" s="524">
        <f t="shared" si="109"/>
        <v>2.9999995668536408</v>
      </c>
      <c r="AO104" s="525">
        <f t="shared" si="604"/>
        <v>14.999997834268255</v>
      </c>
      <c r="AP104" s="528">
        <f t="shared" si="111"/>
        <v>0.80342742804738188</v>
      </c>
      <c r="AQ104" s="529">
        <f t="shared" si="650"/>
        <v>1.0957801185735052</v>
      </c>
      <c r="AS104" s="954">
        <f t="shared" si="755"/>
        <v>-235.00001804776443</v>
      </c>
      <c r="AT104" s="950">
        <f t="shared" si="651"/>
        <v>-0.54260767172160618</v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855"/>
        <v>5.1079999999999997</v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>
        <f t="shared" si="713"/>
        <v>1613</v>
      </c>
      <c r="IM104" s="482" t="str">
        <f t="shared" si="856"/>
        <v/>
      </c>
      <c r="IN104" s="670" t="str">
        <f t="shared" si="714"/>
        <v/>
      </c>
      <c r="IO104" s="702"/>
      <c r="IP104" s="5" t="str">
        <f t="shared" si="715"/>
        <v/>
      </c>
      <c r="IQ104" s="714"/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>
        <f t="shared" ref="A105:A136" si="917">IF($K105="","",IF(AND($A$8="Y",ISNUMBER($K105)),$A$5,0))</f>
        <v>0</v>
      </c>
      <c r="B105" s="578">
        <f t="shared" ref="B105:D105" si="918">IFERROR(O260+($A105*-E105),"")</f>
        <v>-2.3122279590782471</v>
      </c>
      <c r="C105" s="572">
        <f t="shared" si="918"/>
        <v>-1.6190383615746551</v>
      </c>
      <c r="D105" s="576">
        <f t="shared" si="918"/>
        <v>-0.50690152881501083</v>
      </c>
      <c r="E105" s="580">
        <f t="shared" ref="E105:K105" si="919">R260</f>
        <v>0.5651279074800597</v>
      </c>
      <c r="F105" s="572">
        <f t="shared" si="919"/>
        <v>-0.78347089964357719</v>
      </c>
      <c r="G105" s="579">
        <f t="shared" si="919"/>
        <v>0.25846430623761785</v>
      </c>
      <c r="H105" s="580">
        <f t="shared" si="919"/>
        <v>0.3125</v>
      </c>
      <c r="I105" s="572">
        <f t="shared" si="919"/>
        <v>0.52</v>
      </c>
      <c r="J105" s="483">
        <f t="shared" si="728"/>
        <v>5.1109999999999998</v>
      </c>
      <c r="K105" s="806">
        <f t="shared" si="919"/>
        <v>1613</v>
      </c>
      <c r="L105" s="309"/>
      <c r="M105" s="164">
        <f t="shared" ref="M105:M136" si="920">IF(J105="","",VALUE(J105))</f>
        <v>5.1109999999999998</v>
      </c>
      <c r="N105" s="575">
        <f t="shared" ref="N105:N136" si="921">IF(M105="","",B105)</f>
        <v>-2.3122279590782471</v>
      </c>
      <c r="O105" s="572">
        <f t="shared" ref="O105:O136" si="922">IF(M105="","",C105)</f>
        <v>-1.6190383615746551</v>
      </c>
      <c r="P105" s="576">
        <f t="shared" ref="P105:P136" si="923">IF(M105="","",D105)</f>
        <v>-0.50690152881501083</v>
      </c>
      <c r="Q105" s="528">
        <f t="shared" si="729"/>
        <v>214.99998195223557</v>
      </c>
      <c r="R105" s="572">
        <f t="shared" si="95"/>
        <v>2.8227085132888767</v>
      </c>
      <c r="S105" s="577">
        <f t="shared" si="96"/>
        <v>-0.50690152881501083</v>
      </c>
      <c r="T105" s="578">
        <f t="shared" si="97"/>
        <v>-1.6190383615746555</v>
      </c>
      <c r="U105" s="572">
        <f t="shared" si="98"/>
        <v>2.3122279590782471</v>
      </c>
      <c r="V105" s="579">
        <f t="shared" si="145"/>
        <v>-0.50690152881501083</v>
      </c>
      <c r="W105" s="528">
        <f t="shared" si="866"/>
        <v>124.99998195223557</v>
      </c>
      <c r="X105" s="572">
        <f t="shared" si="99"/>
        <v>2.8227085132888767</v>
      </c>
      <c r="Y105" s="573">
        <f t="shared" si="859"/>
        <v>-0.50690152881501083</v>
      </c>
      <c r="Z105" s="575">
        <f t="shared" ref="Z105:Z136" si="924">IF(M105="","",-E105)</f>
        <v>-0.5651279074800597</v>
      </c>
      <c r="AA105" s="572">
        <f t="shared" ref="AA105:AA136" si="925">IF(M105="","",-F105)</f>
        <v>0.78347089964357719</v>
      </c>
      <c r="AB105" s="572">
        <f t="shared" ref="AB105:AB136" si="926">IF(M105="","",-G105)</f>
        <v>-0.25846430623761785</v>
      </c>
      <c r="AC105" s="579">
        <f t="shared" si="100"/>
        <v>1</v>
      </c>
      <c r="AD105" s="580">
        <f t="shared" si="146"/>
        <v>-0.5651279074800597</v>
      </c>
      <c r="AE105" s="572">
        <f t="shared" si="101"/>
        <v>0.78347089964357719</v>
      </c>
      <c r="AF105" s="576">
        <f t="shared" si="102"/>
        <v>-0.25846430623761785</v>
      </c>
      <c r="AG105" s="545">
        <f t="shared" si="103"/>
        <v>71.742458059154785</v>
      </c>
      <c r="AH105" s="546">
        <f t="shared" si="104"/>
        <v>124.41117390385295</v>
      </c>
      <c r="AI105" s="528">
        <f t="shared" si="105"/>
        <v>-75.021040994812239</v>
      </c>
      <c r="AJ105" s="529">
        <f t="shared" si="106"/>
        <v>-144.19659061971706</v>
      </c>
      <c r="AK105" s="578">
        <f t="shared" si="247"/>
        <v>0.96592583607220739</v>
      </c>
      <c r="AL105" s="572">
        <f t="shared" si="107"/>
        <v>1.3545538354532594E-2</v>
      </c>
      <c r="AM105" s="577">
        <f t="shared" si="108"/>
        <v>-0.25846430623761785</v>
      </c>
      <c r="AN105" s="524">
        <f t="shared" si="109"/>
        <v>2.9999995668536523</v>
      </c>
      <c r="AO105" s="525">
        <f t="shared" si="604"/>
        <v>14.999997834268255</v>
      </c>
      <c r="AP105" s="528">
        <f t="shared" si="111"/>
        <v>0.80342742804738509</v>
      </c>
      <c r="AQ105" s="529">
        <f t="shared" ref="AQ105:AQ136" si="927">IF(M105="","",DEGREES(ATAN(($AS$5*SIN(RADIANS(90)))/(($X105*2*PI())-($AS$5*COS(RADIANS(90)))))))</f>
        <v>0.80758450569050444</v>
      </c>
      <c r="AS105" s="954">
        <f t="shared" si="755"/>
        <v>-235.00001804776443</v>
      </c>
      <c r="AT105" s="950">
        <f t="shared" ref="AT105:AT136" si="928">IF(M105="","",Y105+(((AS105-$AS$9)*$AS$6)*-1))</f>
        <v>-0.34370707183739663</v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855"/>
        <v>5.1109999999999998</v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>
        <f t="shared" ref="IL105:IL136" si="990">IF(ISNUMBER($IK105),INDEX($K$9:$K$150,MATCH($IK105,$M$9:$M$150,0)),$K105)</f>
        <v>1613</v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92">IF(ISNUMBER($IK105),(($IQ105*12)/60)/$AS$3,"")</f>
        <v/>
      </c>
      <c r="IQ105" s="714"/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>
        <f t="shared" si="917"/>
        <v>0</v>
      </c>
      <c r="B106" s="578">
        <f t="shared" ref="B106:D106" si="1003">IFERROR(O261+($A106*-E106),"")</f>
        <v>-2.9205322359803287</v>
      </c>
      <c r="C106" s="572">
        <f t="shared" si="1003"/>
        <v>-2.0449773162298928</v>
      </c>
      <c r="D106" s="576">
        <f t="shared" si="1003"/>
        <v>-0.30790092862920088</v>
      </c>
      <c r="E106" s="580">
        <f t="shared" ref="E106:K106" si="1004">R261</f>
        <v>0.5651279074800597</v>
      </c>
      <c r="F106" s="572">
        <f t="shared" si="1004"/>
        <v>-0.78347089964357719</v>
      </c>
      <c r="G106" s="579">
        <f t="shared" si="1004"/>
        <v>0.25846430623761785</v>
      </c>
      <c r="H106" s="580">
        <f t="shared" si="1004"/>
        <v>0.3125</v>
      </c>
      <c r="I106" s="572">
        <f t="shared" si="1004"/>
        <v>0.52</v>
      </c>
      <c r="J106" s="483">
        <f t="shared" si="728"/>
        <v>5.1139999999999999</v>
      </c>
      <c r="K106" s="806">
        <f t="shared" si="1004"/>
        <v>1613</v>
      </c>
      <c r="L106" s="309"/>
      <c r="M106" s="164">
        <f t="shared" si="920"/>
        <v>5.1139999999999999</v>
      </c>
      <c r="N106" s="575">
        <f t="shared" si="921"/>
        <v>-2.9205322359803287</v>
      </c>
      <c r="O106" s="572">
        <f t="shared" si="922"/>
        <v>-2.0449773162298928</v>
      </c>
      <c r="P106" s="576">
        <f t="shared" si="923"/>
        <v>-0.30790092862920088</v>
      </c>
      <c r="Q106" s="528">
        <f t="shared" si="729"/>
        <v>214.99998195223557</v>
      </c>
      <c r="R106" s="572">
        <f t="shared" ref="R106:R129" si="1005">IF(M106="","",SQRT(N106^2+O106^2))</f>
        <v>3.5653107529772314</v>
      </c>
      <c r="S106" s="577">
        <f t="shared" ref="S106:S129" si="1006">IF(M106="","",P106)</f>
        <v>-0.30790092862920088</v>
      </c>
      <c r="T106" s="578">
        <f t="shared" ref="T106:T129" si="1007">IF(M106="","",X106*COS(RADIANS(W106)))</f>
        <v>-2.0449773162298932</v>
      </c>
      <c r="U106" s="572">
        <f t="shared" ref="U106:U129" si="1008">IF(M106="","",X106*SIN(RADIANS(W106)))</f>
        <v>2.9205322359803287</v>
      </c>
      <c r="V106" s="579">
        <f t="shared" ref="V106:V129" si="1009">IF(M106="","",Y106)</f>
        <v>-0.30790092862920088</v>
      </c>
      <c r="W106" s="528">
        <f t="shared" si="866"/>
        <v>124.99998195223557</v>
      </c>
      <c r="X106" s="572">
        <f t="shared" ref="X106:X129" si="1010">IF(M106="","",R106)</f>
        <v>3.5653107529772314</v>
      </c>
      <c r="Y106" s="573">
        <f t="shared" si="859"/>
        <v>-0.30790092862920088</v>
      </c>
      <c r="Z106" s="575">
        <f t="shared" si="924"/>
        <v>-0.5651279074800597</v>
      </c>
      <c r="AA106" s="572">
        <f t="shared" si="925"/>
        <v>0.78347089964357719</v>
      </c>
      <c r="AB106" s="572">
        <f t="shared" si="926"/>
        <v>-0.25846430623761785</v>
      </c>
      <c r="AC106" s="579">
        <f t="shared" ref="AC106:AC129" si="1011">IF(M106="","",SQRT(Z106^2+AA106^2+AB106^2))</f>
        <v>1</v>
      </c>
      <c r="AD106" s="580">
        <f t="shared" ref="AD106:AD129" si="1012">IF(M106="","",Z106*(1/SQRT(Z106^2+AA106^2+AB106^2)))</f>
        <v>-0.5651279074800597</v>
      </c>
      <c r="AE106" s="572">
        <f t="shared" ref="AE106:AE129" si="1013">IF(M106="","",AA106*(1/SQRT(Z106^2+AA106^2+AB106^2)))</f>
        <v>0.78347089964357719</v>
      </c>
      <c r="AF106" s="576">
        <f t="shared" ref="AF106:AF129" si="1014">IF(M106="","",AB106*(1/SQRT(Z106^2+AA106^2+AB106^2)))</f>
        <v>-0.25846430623761785</v>
      </c>
      <c r="AG106" s="545">
        <f t="shared" ref="AG106:AG129" si="1015">IF(M106="","",DEGREES(ATAN2(-AF106,AE106)))</f>
        <v>71.742458059154785</v>
      </c>
      <c r="AH106" s="546">
        <f t="shared" ref="AH106:AH129" si="1016">IF(M106="","",DEGREES(ACOS(AD106)))</f>
        <v>124.41117390385295</v>
      </c>
      <c r="AI106" s="528">
        <f t="shared" ref="AI106:AI129" si="1017">IF(M106="","",DEGREES(-ACOS(-AF106)))</f>
        <v>-75.021040994812239</v>
      </c>
      <c r="AJ106" s="529">
        <f t="shared" ref="AJ106:AJ129" si="1018">IF(M106="","",DEGREES(ATAN2(-AE106,AD106)))</f>
        <v>-144.19659061971706</v>
      </c>
      <c r="AK106" s="578">
        <f t="shared" ref="AK106:AK129" si="1019">IF(M106="","",(COS(RADIANS((90-$Q$8)-W106))*AD106)+(-SIN(RADIANS((90-$Q$8)-W106))*AE106))</f>
        <v>0.96592583607220739</v>
      </c>
      <c r="AL106" s="572">
        <f t="shared" ref="AL106:AL129" si="1020">IF(M106="","",(SIN(RADIANS((90-$Q$8)-W106))*AD106)+(COS(RADIANS((90-$Q$8)-W106))*AE106))</f>
        <v>1.3545538354532594E-2</v>
      </c>
      <c r="AM106" s="577">
        <f t="shared" ref="AM106:AM129" si="1021">IF(M106="","",AF106)</f>
        <v>-0.25846430623761785</v>
      </c>
      <c r="AN106" s="524">
        <f t="shared" ref="AN106:AN129" si="1022">IF(M106="","",DEGREES(ATAN2(-AM106,AL106)))</f>
        <v>2.9999995668536523</v>
      </c>
      <c r="AO106" s="525">
        <f t="shared" si="604"/>
        <v>14.999997834268255</v>
      </c>
      <c r="AP106" s="528">
        <f t="shared" ref="AP106:AP129" si="1023">IF(M106="","",DEGREES(ATAN2(AK106,AL106)))</f>
        <v>0.80342742804738509</v>
      </c>
      <c r="AQ106" s="529">
        <f t="shared" si="927"/>
        <v>0.63939223094163289</v>
      </c>
      <c r="AS106" s="954">
        <f t="shared" si="755"/>
        <v>-235.00001804776443</v>
      </c>
      <c r="AT106" s="950">
        <f t="shared" si="928"/>
        <v>-0.14470647165158668</v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855"/>
        <v>5.1139999999999999</v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>
        <f t="shared" si="990"/>
        <v>1613</v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>
        <f t="shared" si="917"/>
        <v>0</v>
      </c>
      <c r="B107" s="578">
        <f t="shared" ref="B107:D107" si="1027">IFERROR(O262+($A107*-E107),"")</f>
        <v>-3.544525339274434</v>
      </c>
      <c r="C107" s="572">
        <f t="shared" si="1027"/>
        <v>-2.4699353719826593</v>
      </c>
      <c r="D107" s="576">
        <f t="shared" si="1027"/>
        <v>-0.16870050880073451</v>
      </c>
      <c r="E107" s="580">
        <f t="shared" ref="E107:K107" si="1028">R262</f>
        <v>0.52926430525698231</v>
      </c>
      <c r="F107" s="572">
        <f t="shared" si="1028"/>
        <v>-0.80794988886488361</v>
      </c>
      <c r="G107" s="579">
        <f t="shared" si="1028"/>
        <v>0.2590294814573546</v>
      </c>
      <c r="H107" s="580">
        <f t="shared" si="1028"/>
        <v>0.3125</v>
      </c>
      <c r="I107" s="572">
        <f t="shared" si="1028"/>
        <v>0.52</v>
      </c>
      <c r="J107" s="483">
        <f t="shared" si="728"/>
        <v>5.117</v>
      </c>
      <c r="K107" s="806">
        <f t="shared" si="1028"/>
        <v>1613</v>
      </c>
      <c r="L107" s="309"/>
      <c r="M107" s="164">
        <f t="shared" si="920"/>
        <v>5.117</v>
      </c>
      <c r="N107" s="575">
        <f t="shared" si="921"/>
        <v>-3.544525339274434</v>
      </c>
      <c r="O107" s="572">
        <f t="shared" si="922"/>
        <v>-2.4699353719826593</v>
      </c>
      <c r="P107" s="576">
        <f t="shared" si="923"/>
        <v>-0.16870050880073451</v>
      </c>
      <c r="Q107" s="528">
        <f t="shared" si="729"/>
        <v>214.86998197100525</v>
      </c>
      <c r="R107" s="572">
        <f t="shared" si="1005"/>
        <v>4.3202130297624972</v>
      </c>
      <c r="S107" s="577">
        <f t="shared" si="1006"/>
        <v>-0.16870050880073451</v>
      </c>
      <c r="T107" s="578">
        <f t="shared" si="1007"/>
        <v>-2.4699353719826593</v>
      </c>
      <c r="U107" s="572">
        <f t="shared" si="1008"/>
        <v>3.5445253392744336</v>
      </c>
      <c r="V107" s="579">
        <f t="shared" si="1009"/>
        <v>-0.16870050880073451</v>
      </c>
      <c r="W107" s="528">
        <f t="shared" si="866"/>
        <v>124.86998197100525</v>
      </c>
      <c r="X107" s="572">
        <f t="shared" si="1010"/>
        <v>4.3202130297624972</v>
      </c>
      <c r="Y107" s="573">
        <f t="shared" si="859"/>
        <v>-0.16870050880073451</v>
      </c>
      <c r="Z107" s="575">
        <f t="shared" si="924"/>
        <v>-0.52926430525698231</v>
      </c>
      <c r="AA107" s="572">
        <f t="shared" si="925"/>
        <v>0.80794988886488361</v>
      </c>
      <c r="AB107" s="572">
        <f t="shared" si="926"/>
        <v>-0.2590294814573546</v>
      </c>
      <c r="AC107" s="579">
        <f t="shared" si="1011"/>
        <v>1</v>
      </c>
      <c r="AD107" s="580">
        <f t="shared" si="1012"/>
        <v>-0.52926430525698231</v>
      </c>
      <c r="AE107" s="572">
        <f t="shared" si="1013"/>
        <v>0.80794988886488361</v>
      </c>
      <c r="AF107" s="576">
        <f t="shared" si="1014"/>
        <v>-0.2590294814573546</v>
      </c>
      <c r="AG107" s="545">
        <f t="shared" si="1015"/>
        <v>72.224101561429933</v>
      </c>
      <c r="AH107" s="546">
        <f t="shared" si="1016"/>
        <v>121.9557603650875</v>
      </c>
      <c r="AI107" s="528">
        <f t="shared" si="1017"/>
        <v>-74.987517191594847</v>
      </c>
      <c r="AJ107" s="529">
        <f t="shared" si="1018"/>
        <v>-146.77236632512691</v>
      </c>
      <c r="AK107" s="578">
        <f t="shared" si="1019"/>
        <v>0.96547264079171891</v>
      </c>
      <c r="AL107" s="572">
        <f t="shared" si="1020"/>
        <v>-2.768226180424177E-2</v>
      </c>
      <c r="AM107" s="577">
        <f t="shared" si="1021"/>
        <v>-0.2590294814573546</v>
      </c>
      <c r="AN107" s="524">
        <f t="shared" si="1022"/>
        <v>-6.0999991192690315</v>
      </c>
      <c r="AO107" s="525">
        <f t="shared" si="604"/>
        <v>15.099997819830044</v>
      </c>
      <c r="AP107" s="528">
        <f t="shared" si="1023"/>
        <v>-1.642348296132164</v>
      </c>
      <c r="AQ107" s="529">
        <f t="shared" si="927"/>
        <v>0.5276735573737561</v>
      </c>
      <c r="AS107" s="954">
        <f t="shared" ref="AS107:AS138" si="1029">IF(G107="","",IF(AND(W107&lt;(AS106+180),W107&gt;(AS106-180)),W107,IF(W107&gt;(AS106+180),W107-360,IF(W107&lt;(AS106-180),W107+360,"Error"))))</f>
        <v>-235.13001802899475</v>
      </c>
      <c r="AT107" s="950">
        <f t="shared" si="928"/>
        <v>-5.4157740583770375E-3</v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855"/>
        <v>5.117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990"/>
        <v>1613</v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>
        <f t="shared" si="917"/>
        <v>0</v>
      </c>
      <c r="B108" s="578">
        <f t="shared" ref="B108:D108" si="1032">IFERROR(O263+($A108*-E108),"")</f>
        <v>-4.1952686064565743</v>
      </c>
      <c r="C108" s="572">
        <f t="shared" si="1032"/>
        <v>-2.8779391401780421</v>
      </c>
      <c r="D108" s="576">
        <f t="shared" si="1032"/>
        <v>-0.18530055886648597</v>
      </c>
      <c r="E108" s="580">
        <f t="shared" ref="E108:K108" si="1033">R263</f>
        <v>0.48670593703470966</v>
      </c>
      <c r="F108" s="572">
        <f t="shared" si="1033"/>
        <v>-0.83412878969079396</v>
      </c>
      <c r="G108" s="579">
        <f t="shared" si="1033"/>
        <v>0.2595120287465239</v>
      </c>
      <c r="H108" s="580">
        <f t="shared" si="1033"/>
        <v>0.3125</v>
      </c>
      <c r="I108" s="572">
        <f t="shared" si="1033"/>
        <v>0.52</v>
      </c>
      <c r="J108" s="483">
        <f t="shared" si="728"/>
        <v>5.12</v>
      </c>
      <c r="K108" s="806">
        <f t="shared" si="1033"/>
        <v>1613</v>
      </c>
      <c r="L108" s="309"/>
      <c r="M108" s="164">
        <f t="shared" si="920"/>
        <v>5.12</v>
      </c>
      <c r="N108" s="575">
        <f t="shared" si="921"/>
        <v>-4.1952686064565743</v>
      </c>
      <c r="O108" s="572">
        <f t="shared" si="922"/>
        <v>-2.8779391401780421</v>
      </c>
      <c r="P108" s="576">
        <f t="shared" si="923"/>
        <v>-0.18530055886648597</v>
      </c>
      <c r="Q108" s="528">
        <f t="shared" si="729"/>
        <v>214.44998203164573</v>
      </c>
      <c r="R108" s="572">
        <f t="shared" si="1005"/>
        <v>5.0875153439462784</v>
      </c>
      <c r="S108" s="577">
        <f t="shared" si="1006"/>
        <v>-0.18530055886648597</v>
      </c>
      <c r="T108" s="578">
        <f t="shared" si="1007"/>
        <v>-2.8779391401780425</v>
      </c>
      <c r="U108" s="572">
        <f t="shared" si="1008"/>
        <v>4.1952686064565743</v>
      </c>
      <c r="V108" s="579">
        <f t="shared" si="1009"/>
        <v>-0.18530055886648597</v>
      </c>
      <c r="W108" s="528">
        <f t="shared" si="866"/>
        <v>124.44998203164573</v>
      </c>
      <c r="X108" s="572">
        <f t="shared" si="1010"/>
        <v>5.0875153439462784</v>
      </c>
      <c r="Y108" s="573">
        <f t="shared" si="859"/>
        <v>-0.18530055886648597</v>
      </c>
      <c r="Z108" s="575">
        <f t="shared" si="924"/>
        <v>-0.48670593703470966</v>
      </c>
      <c r="AA108" s="572">
        <f t="shared" si="925"/>
        <v>0.83412878969079396</v>
      </c>
      <c r="AB108" s="572">
        <f t="shared" si="926"/>
        <v>-0.2595120287465239</v>
      </c>
      <c r="AC108" s="579">
        <f t="shared" si="1011"/>
        <v>1</v>
      </c>
      <c r="AD108" s="580">
        <f t="shared" si="1012"/>
        <v>-0.48670593703470966</v>
      </c>
      <c r="AE108" s="572">
        <f t="shared" si="1013"/>
        <v>0.83412878969079396</v>
      </c>
      <c r="AF108" s="576">
        <f t="shared" si="1014"/>
        <v>-0.2595120287465239</v>
      </c>
      <c r="AG108" s="545">
        <f t="shared" si="1015"/>
        <v>72.718170067071043</v>
      </c>
      <c r="AH108" s="546">
        <f t="shared" si="1016"/>
        <v>119.12430134116411</v>
      </c>
      <c r="AI108" s="528">
        <f t="shared" si="1017"/>
        <v>-74.958890364585429</v>
      </c>
      <c r="AJ108" s="529">
        <f t="shared" si="1018"/>
        <v>-149.7368592832625</v>
      </c>
      <c r="AK108" s="578">
        <f t="shared" si="1019"/>
        <v>0.96316257736919564</v>
      </c>
      <c r="AL108" s="572">
        <f t="shared" si="1020"/>
        <v>-7.0507847019972592E-2</v>
      </c>
      <c r="AM108" s="577">
        <f t="shared" si="1021"/>
        <v>-0.2595120287465239</v>
      </c>
      <c r="AN108" s="524">
        <f t="shared" si="1022"/>
        <v>-15.199997805391837</v>
      </c>
      <c r="AO108" s="525">
        <f t="shared" si="604"/>
        <v>15.599997747638966</v>
      </c>
      <c r="AP108" s="528">
        <f t="shared" si="1023"/>
        <v>-4.1868413149082278</v>
      </c>
      <c r="AQ108" s="529">
        <f t="shared" si="927"/>
        <v>0.44809302755614172</v>
      </c>
      <c r="AS108" s="954">
        <f t="shared" si="1029"/>
        <v>-235.55001796835427</v>
      </c>
      <c r="AT108" s="950">
        <f t="shared" si="928"/>
        <v>-2.1724157499573266E-2</v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855"/>
        <v>5.12</v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>
        <f t="shared" si="990"/>
        <v>1613</v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>
        <f t="shared" si="917"/>
        <v>0</v>
      </c>
      <c r="B109" s="578">
        <f t="shared" ref="B109:D109" si="1034">IFERROR(O264+($A109*-E109),"")</f>
        <v>-4.8448406688944212</v>
      </c>
      <c r="C109" s="572">
        <f t="shared" si="1034"/>
        <v>-3.2519147078016934</v>
      </c>
      <c r="D109" s="576">
        <f t="shared" si="1034"/>
        <v>-0.35960108455687084</v>
      </c>
      <c r="E109" s="580">
        <f t="shared" ref="E109:K109" si="1035">R264</f>
        <v>0.43646833746247848</v>
      </c>
      <c r="F109" s="572">
        <f t="shared" si="1035"/>
        <v>-0.86121951902310312</v>
      </c>
      <c r="G109" s="579">
        <f t="shared" si="1035"/>
        <v>0.26037728481254846</v>
      </c>
      <c r="H109" s="580">
        <f t="shared" si="1035"/>
        <v>0.3125</v>
      </c>
      <c r="I109" s="572">
        <f t="shared" si="1035"/>
        <v>0.52</v>
      </c>
      <c r="J109" s="483">
        <f t="shared" si="728"/>
        <v>5.1230000000000002</v>
      </c>
      <c r="K109" s="806">
        <f t="shared" si="1035"/>
        <v>1613</v>
      </c>
      <c r="L109" s="309"/>
      <c r="M109" s="164">
        <f t="shared" si="920"/>
        <v>5.1230000000000002</v>
      </c>
      <c r="N109" s="575">
        <f t="shared" si="921"/>
        <v>-4.8448406688944212</v>
      </c>
      <c r="O109" s="572">
        <f t="shared" si="922"/>
        <v>-3.2519147078016934</v>
      </c>
      <c r="P109" s="576">
        <f t="shared" si="923"/>
        <v>-0.35960108455687084</v>
      </c>
      <c r="Q109" s="528">
        <f t="shared" si="729"/>
        <v>213.86998211538736</v>
      </c>
      <c r="R109" s="572">
        <f t="shared" si="1005"/>
        <v>5.8350175984130779</v>
      </c>
      <c r="S109" s="577">
        <f t="shared" si="1006"/>
        <v>-0.35960108455687084</v>
      </c>
      <c r="T109" s="578">
        <f t="shared" si="1007"/>
        <v>-3.2519147078016934</v>
      </c>
      <c r="U109" s="572">
        <f t="shared" si="1008"/>
        <v>4.8448406688944221</v>
      </c>
      <c r="V109" s="579">
        <f t="shared" si="1009"/>
        <v>-0.35960108455687084</v>
      </c>
      <c r="W109" s="528">
        <f t="shared" si="866"/>
        <v>123.86998211538736</v>
      </c>
      <c r="X109" s="572">
        <f t="shared" si="1010"/>
        <v>5.8350175984130779</v>
      </c>
      <c r="Y109" s="573">
        <f t="shared" si="859"/>
        <v>-0.35960108455687084</v>
      </c>
      <c r="Z109" s="575">
        <f t="shared" si="924"/>
        <v>-0.43646833746247848</v>
      </c>
      <c r="AA109" s="572">
        <f t="shared" si="925"/>
        <v>0.86121951902310312</v>
      </c>
      <c r="AB109" s="572">
        <f t="shared" si="926"/>
        <v>-0.26037728481254846</v>
      </c>
      <c r="AC109" s="579">
        <f t="shared" si="1011"/>
        <v>1</v>
      </c>
      <c r="AD109" s="580">
        <f t="shared" si="1012"/>
        <v>-0.43646833746247848</v>
      </c>
      <c r="AE109" s="572">
        <f t="shared" si="1013"/>
        <v>0.86121951902310312</v>
      </c>
      <c r="AF109" s="576">
        <f t="shared" si="1014"/>
        <v>-0.26037728481254846</v>
      </c>
      <c r="AG109" s="545">
        <f t="shared" si="1015"/>
        <v>73.178066305875248</v>
      </c>
      <c r="AH109" s="546">
        <f t="shared" si="1016"/>
        <v>115.87876333092227</v>
      </c>
      <c r="AI109" s="528">
        <f t="shared" si="1017"/>
        <v>-74.907549938468222</v>
      </c>
      <c r="AJ109" s="529">
        <f t="shared" si="1018"/>
        <v>-153.12398736294153</v>
      </c>
      <c r="AK109" s="578">
        <f t="shared" si="1019"/>
        <v>0.95832258641577928</v>
      </c>
      <c r="AL109" s="572">
        <f t="shared" si="1020"/>
        <v>-0.1175648328328513</v>
      </c>
      <c r="AM109" s="577">
        <f t="shared" si="1021"/>
        <v>-0.26037728481254846</v>
      </c>
      <c r="AN109" s="524">
        <f t="shared" si="1022"/>
        <v>-24.299996491514634</v>
      </c>
      <c r="AO109" s="525">
        <f t="shared" si="604"/>
        <v>16.599997603256874</v>
      </c>
      <c r="AP109" s="528">
        <f t="shared" si="1023"/>
        <v>-6.9939694783288724</v>
      </c>
      <c r="AQ109" s="529">
        <f t="shared" si="927"/>
        <v>0.39069141782532862</v>
      </c>
      <c r="AS109" s="954">
        <f t="shared" si="1029"/>
        <v>-236.13001788461264</v>
      </c>
      <c r="AT109" s="950">
        <f t="shared" si="928"/>
        <v>-0.19562190547033428</v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855"/>
        <v>5.1230000000000002</v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>
        <f t="shared" si="990"/>
        <v>1613</v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>
        <f t="shared" si="917"/>
        <v>0</v>
      </c>
      <c r="B110" s="578">
        <f t="shared" ref="B110:D110" si="1036">IFERROR(O265+($A110*-E110),"")</f>
        <v>-5.4633420506650507</v>
      </c>
      <c r="C110" s="572">
        <f t="shared" si="1036"/>
        <v>-3.5778327596153194</v>
      </c>
      <c r="D110" s="576">
        <f t="shared" si="1036"/>
        <v>-0.68410206325182243</v>
      </c>
      <c r="E110" s="580">
        <f t="shared" ref="E110:K110" si="1037">R265</f>
        <v>0.37873339897123626</v>
      </c>
      <c r="F110" s="572">
        <f t="shared" si="1037"/>
        <v>-0.88882294064034306</v>
      </c>
      <c r="G110" s="579">
        <f t="shared" si="1037"/>
        <v>0.25798215576885891</v>
      </c>
      <c r="H110" s="580">
        <f t="shared" si="1037"/>
        <v>0.3125</v>
      </c>
      <c r="I110" s="572">
        <f t="shared" si="1037"/>
        <v>0.52</v>
      </c>
      <c r="J110" s="483">
        <f t="shared" si="728"/>
        <v>5.1260000000000003</v>
      </c>
      <c r="K110" s="806">
        <f t="shared" si="1037"/>
        <v>1613</v>
      </c>
      <c r="L110" s="309"/>
      <c r="M110" s="164">
        <f t="shared" si="920"/>
        <v>5.1260000000000003</v>
      </c>
      <c r="N110" s="575">
        <f t="shared" si="921"/>
        <v>-5.4633420506650507</v>
      </c>
      <c r="O110" s="572">
        <f t="shared" si="922"/>
        <v>-3.5778327596153194</v>
      </c>
      <c r="P110" s="576">
        <f t="shared" si="923"/>
        <v>-0.68410206325182243</v>
      </c>
      <c r="Q110" s="528">
        <f t="shared" si="729"/>
        <v>213.21998220923572</v>
      </c>
      <c r="R110" s="572">
        <f t="shared" si="1005"/>
        <v>6.5306196963490057</v>
      </c>
      <c r="S110" s="577">
        <f t="shared" si="1006"/>
        <v>-0.68410206325182243</v>
      </c>
      <c r="T110" s="578">
        <f t="shared" si="1007"/>
        <v>-3.5778327596153177</v>
      </c>
      <c r="U110" s="572">
        <f t="shared" si="1008"/>
        <v>5.4633420506650525</v>
      </c>
      <c r="V110" s="579">
        <f t="shared" si="1009"/>
        <v>-0.68410206325182243</v>
      </c>
      <c r="W110" s="528">
        <f t="shared" si="866"/>
        <v>123.21998220923572</v>
      </c>
      <c r="X110" s="572">
        <f t="shared" si="1010"/>
        <v>6.5306196963490057</v>
      </c>
      <c r="Y110" s="573">
        <f t="shared" si="859"/>
        <v>-0.68410206325182243</v>
      </c>
      <c r="Z110" s="575">
        <f t="shared" si="924"/>
        <v>-0.37873339897123626</v>
      </c>
      <c r="AA110" s="572">
        <f t="shared" si="925"/>
        <v>0.88882294064034306</v>
      </c>
      <c r="AB110" s="572">
        <f t="shared" si="926"/>
        <v>-0.25798215576885891</v>
      </c>
      <c r="AC110" s="579">
        <f t="shared" si="1011"/>
        <v>1</v>
      </c>
      <c r="AD110" s="580">
        <f t="shared" si="1012"/>
        <v>-0.37873339897123626</v>
      </c>
      <c r="AE110" s="572">
        <f t="shared" si="1013"/>
        <v>0.88882294064034306</v>
      </c>
      <c r="AF110" s="576">
        <f t="shared" si="1014"/>
        <v>-0.25798215576885891</v>
      </c>
      <c r="AG110" s="545">
        <f t="shared" si="1015"/>
        <v>73.8145519892566</v>
      </c>
      <c r="AH110" s="546">
        <f t="shared" si="1016"/>
        <v>112.25524852229354</v>
      </c>
      <c r="AI110" s="528">
        <f t="shared" si="1017"/>
        <v>-75.049635972862404</v>
      </c>
      <c r="AJ110" s="529">
        <f t="shared" si="1018"/>
        <v>-156.92082180742472</v>
      </c>
      <c r="AK110" s="578">
        <f t="shared" si="1019"/>
        <v>0.95105653031184822</v>
      </c>
      <c r="AL110" s="572">
        <f t="shared" si="1020"/>
        <v>-0.17010785830184594</v>
      </c>
      <c r="AM110" s="577">
        <f t="shared" si="1021"/>
        <v>-0.25798215576885891</v>
      </c>
      <c r="AN110" s="524">
        <f t="shared" si="1022"/>
        <v>-33.399995177637315</v>
      </c>
      <c r="AO110" s="525">
        <f t="shared" si="604"/>
        <v>17.999997401121888</v>
      </c>
      <c r="AP110" s="528">
        <f t="shared" si="1023"/>
        <v>-10.140804016660432</v>
      </c>
      <c r="AQ110" s="529">
        <f t="shared" si="927"/>
        <v>0.34907842295713754</v>
      </c>
      <c r="AS110" s="954">
        <f t="shared" si="1029"/>
        <v>-236.78001779076428</v>
      </c>
      <c r="AT110" s="950">
        <f t="shared" si="928"/>
        <v>-0.51967149534156942</v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855"/>
        <v>5.1260000000000003</v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>
        <f t="shared" si="990"/>
        <v>1613</v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>
        <f t="shared" si="917"/>
        <v>0</v>
      </c>
      <c r="B111" s="578">
        <f t="shared" ref="B111:D111" si="1038">IFERROR(O266+($A111*-E111),"")</f>
        <v>-6.0198449878440972</v>
      </c>
      <c r="C111" s="572">
        <f t="shared" si="1038"/>
        <v>-3.8483686525935821</v>
      </c>
      <c r="D111" s="576">
        <f t="shared" si="1038"/>
        <v>-1.1444034515208104</v>
      </c>
      <c r="E111" s="580">
        <f t="shared" ref="E111:K111" si="1039">R266</f>
        <v>0.31271176120084809</v>
      </c>
      <c r="F111" s="572">
        <f t="shared" si="1039"/>
        <v>-0.91609682075132426</v>
      </c>
      <c r="G111" s="579">
        <f t="shared" si="1039"/>
        <v>0.25095411814907531</v>
      </c>
      <c r="H111" s="580">
        <f t="shared" si="1039"/>
        <v>0.3125</v>
      </c>
      <c r="I111" s="572">
        <f t="shared" si="1039"/>
        <v>0.52</v>
      </c>
      <c r="J111" s="483">
        <f t="shared" si="728"/>
        <v>5.1289999999999996</v>
      </c>
      <c r="K111" s="806">
        <f t="shared" si="1039"/>
        <v>1613</v>
      </c>
      <c r="L111" s="309"/>
      <c r="M111" s="164">
        <f t="shared" si="920"/>
        <v>5.1289999999999996</v>
      </c>
      <c r="N111" s="575">
        <f t="shared" si="921"/>
        <v>-6.0198449878440972</v>
      </c>
      <c r="O111" s="572">
        <f t="shared" si="922"/>
        <v>-3.8483686525935821</v>
      </c>
      <c r="P111" s="576">
        <f t="shared" si="923"/>
        <v>-1.1444034515208104</v>
      </c>
      <c r="Q111" s="528">
        <f t="shared" si="729"/>
        <v>212.58998230019645</v>
      </c>
      <c r="R111" s="572">
        <f t="shared" si="1005"/>
        <v>7.1448215487817919</v>
      </c>
      <c r="S111" s="577">
        <f t="shared" si="1006"/>
        <v>-1.1444034515208104</v>
      </c>
      <c r="T111" s="578">
        <f t="shared" si="1007"/>
        <v>-3.8483686525935821</v>
      </c>
      <c r="U111" s="572">
        <f t="shared" si="1008"/>
        <v>6.0198449878440972</v>
      </c>
      <c r="V111" s="579">
        <f t="shared" si="1009"/>
        <v>-1.1444034515208104</v>
      </c>
      <c r="W111" s="528">
        <f t="shared" si="866"/>
        <v>122.58998230019645</v>
      </c>
      <c r="X111" s="572">
        <f t="shared" si="1010"/>
        <v>7.1448215487817919</v>
      </c>
      <c r="Y111" s="573">
        <f t="shared" si="859"/>
        <v>-1.1444034515208104</v>
      </c>
      <c r="Z111" s="575">
        <f t="shared" si="924"/>
        <v>-0.31271176120084809</v>
      </c>
      <c r="AA111" s="572">
        <f t="shared" si="925"/>
        <v>0.91609682075132426</v>
      </c>
      <c r="AB111" s="572">
        <f t="shared" si="926"/>
        <v>-0.25095411814907531</v>
      </c>
      <c r="AC111" s="579">
        <f t="shared" si="1011"/>
        <v>1</v>
      </c>
      <c r="AD111" s="580">
        <f t="shared" si="1012"/>
        <v>-0.31271176120084809</v>
      </c>
      <c r="AE111" s="572">
        <f t="shared" si="1013"/>
        <v>0.91609682075132426</v>
      </c>
      <c r="AF111" s="576">
        <f t="shared" si="1014"/>
        <v>-0.25095411814907531</v>
      </c>
      <c r="AG111" s="545">
        <f t="shared" si="1015"/>
        <v>74.68031157721056</v>
      </c>
      <c r="AH111" s="546">
        <f t="shared" si="1016"/>
        <v>108.22273004173422</v>
      </c>
      <c r="AI111" s="528">
        <f t="shared" si="1017"/>
        <v>-75.466020844470492</v>
      </c>
      <c r="AJ111" s="529">
        <f t="shared" si="1018"/>
        <v>-161.15254278973322</v>
      </c>
      <c r="AK111" s="578">
        <f t="shared" si="1019"/>
        <v>0.94028814407938743</v>
      </c>
      <c r="AL111" s="572">
        <f t="shared" si="1020"/>
        <v>-0.2299570322642065</v>
      </c>
      <c r="AM111" s="577">
        <f t="shared" si="1021"/>
        <v>-0.25095411814907531</v>
      </c>
      <c r="AN111" s="524">
        <f t="shared" si="1022"/>
        <v>-42.499993863760039</v>
      </c>
      <c r="AO111" s="525">
        <f t="shared" si="604"/>
        <v>19.899997126795874</v>
      </c>
      <c r="AP111" s="528">
        <f t="shared" si="1023"/>
        <v>-13.742525089929678</v>
      </c>
      <c r="AQ111" s="529">
        <f t="shared" si="927"/>
        <v>0.31907067938821787</v>
      </c>
      <c r="AS111" s="954">
        <f t="shared" si="1029"/>
        <v>-237.41001769980355</v>
      </c>
      <c r="AT111" s="950">
        <f t="shared" si="928"/>
        <v>-0.97953538367372461</v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855"/>
        <v>5.1289999999999996</v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>
        <f t="shared" si="990"/>
        <v>1613</v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>
        <f t="shared" si="917"/>
        <v>0</v>
      </c>
      <c r="B112" s="578">
        <f t="shared" ref="B112:D112" si="1040">IFERROR(O267+($A112*-E112),"")</f>
        <v>-6.4863676104225876</v>
      </c>
      <c r="C112" s="572">
        <f t="shared" si="1040"/>
        <v>-4.0594287796623085</v>
      </c>
      <c r="D112" s="576">
        <f t="shared" si="1040"/>
        <v>-1.7206051893452516</v>
      </c>
      <c r="E112" s="580">
        <f t="shared" ref="E112:K112" si="1041">R267</f>
        <v>0.24302266402825606</v>
      </c>
      <c r="F112" s="572">
        <f t="shared" si="1041"/>
        <v>-0.94169909320674217</v>
      </c>
      <c r="G112" s="579">
        <f t="shared" si="1041"/>
        <v>0.23268606022323085</v>
      </c>
      <c r="H112" s="580">
        <f t="shared" si="1041"/>
        <v>0.3125</v>
      </c>
      <c r="I112" s="572">
        <f t="shared" si="1041"/>
        <v>0.52</v>
      </c>
      <c r="J112" s="483">
        <f t="shared" si="728"/>
        <v>5.1319999999999997</v>
      </c>
      <c r="K112" s="806">
        <f t="shared" si="1041"/>
        <v>1613</v>
      </c>
      <c r="L112" s="309"/>
      <c r="M112" s="164">
        <f t="shared" si="920"/>
        <v>5.1319999999999997</v>
      </c>
      <c r="N112" s="575">
        <f t="shared" si="921"/>
        <v>-6.4863676104225876</v>
      </c>
      <c r="O112" s="572">
        <f t="shared" si="922"/>
        <v>-4.0594287796623085</v>
      </c>
      <c r="P112" s="576">
        <f t="shared" si="923"/>
        <v>-1.7206051893452516</v>
      </c>
      <c r="Q112" s="528">
        <f t="shared" si="729"/>
        <v>212.03998237960664</v>
      </c>
      <c r="R112" s="572">
        <f t="shared" si="1005"/>
        <v>7.6519230782000056</v>
      </c>
      <c r="S112" s="577">
        <f t="shared" si="1006"/>
        <v>-1.7206051893452516</v>
      </c>
      <c r="T112" s="578">
        <f t="shared" si="1007"/>
        <v>-4.0594287796623121</v>
      </c>
      <c r="U112" s="572">
        <f t="shared" si="1008"/>
        <v>6.4863676104225858</v>
      </c>
      <c r="V112" s="579">
        <f t="shared" si="1009"/>
        <v>-1.7206051893452516</v>
      </c>
      <c r="W112" s="528">
        <f t="shared" si="866"/>
        <v>122.03998237960664</v>
      </c>
      <c r="X112" s="572">
        <f t="shared" si="1010"/>
        <v>7.6519230782000056</v>
      </c>
      <c r="Y112" s="573">
        <f t="shared" si="859"/>
        <v>-1.7206051893452516</v>
      </c>
      <c r="Z112" s="575">
        <f t="shared" si="924"/>
        <v>-0.24302266402825606</v>
      </c>
      <c r="AA112" s="572">
        <f t="shared" si="925"/>
        <v>0.94169909320674217</v>
      </c>
      <c r="AB112" s="572">
        <f t="shared" si="926"/>
        <v>-0.23268606022323085</v>
      </c>
      <c r="AC112" s="579">
        <f t="shared" si="1011"/>
        <v>1</v>
      </c>
      <c r="AD112" s="580">
        <f t="shared" si="1012"/>
        <v>-0.24302266402825606</v>
      </c>
      <c r="AE112" s="572">
        <f t="shared" si="1013"/>
        <v>0.94169909320674217</v>
      </c>
      <c r="AF112" s="576">
        <f t="shared" si="1014"/>
        <v>-0.23268606022323085</v>
      </c>
      <c r="AG112" s="545">
        <f t="shared" si="1015"/>
        <v>76.120693146647227</v>
      </c>
      <c r="AH112" s="546">
        <f t="shared" si="1016"/>
        <v>104.06500937730434</v>
      </c>
      <c r="AI112" s="528">
        <f t="shared" si="1017"/>
        <v>-76.544736904963543</v>
      </c>
      <c r="AJ112" s="529">
        <f t="shared" si="1018"/>
        <v>-165.52950378176229</v>
      </c>
      <c r="AK112" s="578">
        <f t="shared" si="1019"/>
        <v>0.92718387533450808</v>
      </c>
      <c r="AL112" s="572">
        <f t="shared" si="1020"/>
        <v>-0.29357666579187536</v>
      </c>
      <c r="AM112" s="577">
        <f t="shared" si="1021"/>
        <v>-0.23268606022323085</v>
      </c>
      <c r="AN112" s="524">
        <f t="shared" si="1022"/>
        <v>-51.59999254988287</v>
      </c>
      <c r="AO112" s="525">
        <f t="shared" si="604"/>
        <v>21.999996823593481</v>
      </c>
      <c r="AP112" s="528">
        <f t="shared" si="1023"/>
        <v>-17.569486161368932</v>
      </c>
      <c r="AQ112" s="529">
        <f t="shared" si="927"/>
        <v>0.29792590207164588</v>
      </c>
      <c r="AS112" s="954">
        <f t="shared" si="1029"/>
        <v>-237.96001762039336</v>
      </c>
      <c r="AT112" s="950">
        <f t="shared" si="928"/>
        <v>-1.5553551771088674</v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855"/>
        <v>5.1319999999999997</v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>
        <f t="shared" si="990"/>
        <v>1613</v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>
        <f t="shared" si="917"/>
        <v>0</v>
      </c>
      <c r="B113" s="578">
        <f t="shared" ref="B113:D113" si="1042">IFERROR(O268+($A113*-E113),"")</f>
        <v>-6.8395063644436878</v>
      </c>
      <c r="C113" s="572">
        <f t="shared" si="1042"/>
        <v>-4.2093351895712816</v>
      </c>
      <c r="D113" s="576">
        <f t="shared" si="1042"/>
        <v>-2.387907201928122</v>
      </c>
      <c r="E113" s="580">
        <f t="shared" ref="E113:K113" si="1043">R268</f>
        <v>0.17051404422069755</v>
      </c>
      <c r="F113" s="572">
        <f t="shared" si="1043"/>
        <v>-0.96439298744551338</v>
      </c>
      <c r="G113" s="579">
        <f t="shared" si="1043"/>
        <v>0.20216608639784256</v>
      </c>
      <c r="H113" s="580">
        <f t="shared" si="1043"/>
        <v>0.3125</v>
      </c>
      <c r="I113" s="572">
        <f t="shared" si="1043"/>
        <v>0.52</v>
      </c>
      <c r="J113" s="483">
        <f t="shared" si="728"/>
        <v>5.1349999999999998</v>
      </c>
      <c r="K113" s="806">
        <f t="shared" si="1043"/>
        <v>1613</v>
      </c>
      <c r="L113" s="309"/>
      <c r="M113" s="164">
        <f t="shared" si="920"/>
        <v>5.1349999999999998</v>
      </c>
      <c r="N113" s="575">
        <f t="shared" si="921"/>
        <v>-6.8395063644436878</v>
      </c>
      <c r="O113" s="572">
        <f t="shared" si="922"/>
        <v>-4.2093351895712816</v>
      </c>
      <c r="P113" s="576">
        <f t="shared" si="923"/>
        <v>-2.387907201928122</v>
      </c>
      <c r="Q113" s="528">
        <f t="shared" si="729"/>
        <v>211.60998244169096</v>
      </c>
      <c r="R113" s="572">
        <f t="shared" si="1005"/>
        <v>8.0310242215690533</v>
      </c>
      <c r="S113" s="577">
        <f t="shared" si="1006"/>
        <v>-2.387907201928122</v>
      </c>
      <c r="T113" s="578">
        <f t="shared" si="1007"/>
        <v>-4.2093351895712825</v>
      </c>
      <c r="U113" s="572">
        <f t="shared" si="1008"/>
        <v>6.8395063644436869</v>
      </c>
      <c r="V113" s="579">
        <f t="shared" si="1009"/>
        <v>-2.387907201928122</v>
      </c>
      <c r="W113" s="528">
        <f t="shared" si="866"/>
        <v>121.60998244169096</v>
      </c>
      <c r="X113" s="572">
        <f t="shared" si="1010"/>
        <v>8.0310242215690533</v>
      </c>
      <c r="Y113" s="573">
        <f t="shared" si="859"/>
        <v>-2.387907201928122</v>
      </c>
      <c r="Z113" s="575">
        <f t="shared" si="924"/>
        <v>-0.17051404422069755</v>
      </c>
      <c r="AA113" s="572">
        <f t="shared" si="925"/>
        <v>0.96439298744551338</v>
      </c>
      <c r="AB113" s="572">
        <f t="shared" si="926"/>
        <v>-0.20216608639784256</v>
      </c>
      <c r="AC113" s="579">
        <f t="shared" si="1011"/>
        <v>1</v>
      </c>
      <c r="AD113" s="580">
        <f t="shared" si="1012"/>
        <v>-0.17051404422069755</v>
      </c>
      <c r="AE113" s="572">
        <f t="shared" si="1013"/>
        <v>0.96439298744551338</v>
      </c>
      <c r="AF113" s="576">
        <f t="shared" si="1014"/>
        <v>-0.20216608639784256</v>
      </c>
      <c r="AG113" s="545">
        <f t="shared" si="1015"/>
        <v>78.160504541386587</v>
      </c>
      <c r="AH113" s="546">
        <f t="shared" si="1016"/>
        <v>99.817708009421892</v>
      </c>
      <c r="AI113" s="528">
        <f t="shared" si="1017"/>
        <v>-78.336345472989905</v>
      </c>
      <c r="AJ113" s="529">
        <f t="shared" si="1018"/>
        <v>-169.9731778788686</v>
      </c>
      <c r="AK113" s="578">
        <f t="shared" si="1019"/>
        <v>0.91068368620656881</v>
      </c>
      <c r="AL113" s="572">
        <f t="shared" si="1020"/>
        <v>-0.36025559980074651</v>
      </c>
      <c r="AM113" s="577">
        <f t="shared" si="1021"/>
        <v>-0.20216608639784256</v>
      </c>
      <c r="AN113" s="524">
        <f t="shared" si="1022"/>
        <v>-60.699991236005623</v>
      </c>
      <c r="AO113" s="525">
        <f t="shared" si="604"/>
        <v>24.399996477076414</v>
      </c>
      <c r="AP113" s="528">
        <f t="shared" si="1023"/>
        <v>-21.583160320559564</v>
      </c>
      <c r="AQ113" s="529">
        <f t="shared" si="927"/>
        <v>0.28386267015370525</v>
      </c>
      <c r="AS113" s="954">
        <f t="shared" si="1029"/>
        <v>-238.39001755830904</v>
      </c>
      <c r="AT113" s="950">
        <f t="shared" si="928"/>
        <v>-2.2223585786237408</v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855"/>
        <v>5.1349999999999998</v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>
        <f t="shared" si="990"/>
        <v>1613</v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>
        <f t="shared" si="917"/>
        <v>0</v>
      </c>
      <c r="B114" s="578">
        <f t="shared" ref="B114:D114" si="1044">IFERROR(O269+($A114*-E114),"")</f>
        <v>-7.063225132968598</v>
      </c>
      <c r="C114" s="572">
        <f t="shared" si="1044"/>
        <v>-4.3012620576856504</v>
      </c>
      <c r="D114" s="576">
        <f t="shared" si="1044"/>
        <v>-3.1176094027099586</v>
      </c>
      <c r="E114" s="580">
        <f t="shared" ref="E114:K114" si="1045">R269</f>
        <v>0.10284072950531284</v>
      </c>
      <c r="F114" s="572">
        <f t="shared" si="1045"/>
        <v>-0.98243842685178473</v>
      </c>
      <c r="G114" s="579">
        <f t="shared" si="1045"/>
        <v>0.15568725638216413</v>
      </c>
      <c r="H114" s="580">
        <f t="shared" si="1045"/>
        <v>0.3125</v>
      </c>
      <c r="I114" s="572">
        <f t="shared" si="1045"/>
        <v>0.52</v>
      </c>
      <c r="J114" s="483">
        <f t="shared" si="728"/>
        <v>5.1379999999999999</v>
      </c>
      <c r="K114" s="806">
        <f t="shared" si="1045"/>
        <v>1613</v>
      </c>
      <c r="L114" s="309"/>
      <c r="M114" s="164">
        <f t="shared" si="920"/>
        <v>5.1379999999999999</v>
      </c>
      <c r="N114" s="575">
        <f t="shared" si="921"/>
        <v>-7.063225132968598</v>
      </c>
      <c r="O114" s="572">
        <f t="shared" si="922"/>
        <v>-4.3012620576856504</v>
      </c>
      <c r="P114" s="576">
        <f t="shared" si="923"/>
        <v>-3.1176094027099586</v>
      </c>
      <c r="Q114" s="528">
        <f t="shared" si="729"/>
        <v>211.33998248067408</v>
      </c>
      <c r="R114" s="572">
        <f t="shared" si="1005"/>
        <v>8.2698249417920255</v>
      </c>
      <c r="S114" s="577">
        <f t="shared" si="1006"/>
        <v>-3.1176094027099586</v>
      </c>
      <c r="T114" s="578">
        <f t="shared" si="1007"/>
        <v>-4.3012620576856495</v>
      </c>
      <c r="U114" s="572">
        <f t="shared" si="1008"/>
        <v>7.0632251329685998</v>
      </c>
      <c r="V114" s="579">
        <f t="shared" si="1009"/>
        <v>-3.1176094027099586</v>
      </c>
      <c r="W114" s="528">
        <f t="shared" si="866"/>
        <v>121.33998248067408</v>
      </c>
      <c r="X114" s="572">
        <f t="shared" si="1010"/>
        <v>8.2698249417920255</v>
      </c>
      <c r="Y114" s="573">
        <f t="shared" si="859"/>
        <v>-3.1176094027099586</v>
      </c>
      <c r="Z114" s="575">
        <f t="shared" si="924"/>
        <v>-0.10284072950531284</v>
      </c>
      <c r="AA114" s="572">
        <f t="shared" si="925"/>
        <v>0.98243842685178473</v>
      </c>
      <c r="AB114" s="572">
        <f t="shared" si="926"/>
        <v>-0.15568725638216413</v>
      </c>
      <c r="AC114" s="579">
        <f t="shared" si="1011"/>
        <v>1</v>
      </c>
      <c r="AD114" s="580">
        <f t="shared" si="1012"/>
        <v>-0.10284072950531284</v>
      </c>
      <c r="AE114" s="572">
        <f t="shared" si="1013"/>
        <v>0.98243842685178473</v>
      </c>
      <c r="AF114" s="576">
        <f t="shared" si="1014"/>
        <v>-0.15568725638216413</v>
      </c>
      <c r="AG114" s="545">
        <f t="shared" si="1015"/>
        <v>80.995204230377539</v>
      </c>
      <c r="AH114" s="546">
        <f t="shared" si="1016"/>
        <v>95.902775950982019</v>
      </c>
      <c r="AI114" s="528">
        <f t="shared" si="1017"/>
        <v>-81.043342965854364</v>
      </c>
      <c r="AJ114" s="529">
        <f t="shared" si="1018"/>
        <v>-174.02409572946911</v>
      </c>
      <c r="AK114" s="578">
        <f t="shared" si="1019"/>
        <v>0.89258584890190407</v>
      </c>
      <c r="AL114" s="572">
        <f t="shared" si="1020"/>
        <v>-0.42314534209921517</v>
      </c>
      <c r="AM114" s="577">
        <f t="shared" si="1021"/>
        <v>-0.15568725638216413</v>
      </c>
      <c r="AN114" s="524">
        <f t="shared" si="1022"/>
        <v>-69.799989922128262</v>
      </c>
      <c r="AO114" s="525">
        <f t="shared" si="604"/>
        <v>26.799996130559272</v>
      </c>
      <c r="AP114" s="528">
        <f t="shared" si="1023"/>
        <v>-25.364078210143212</v>
      </c>
      <c r="AQ114" s="529">
        <f t="shared" si="927"/>
        <v>0.27566593698150482</v>
      </c>
      <c r="AS114" s="954">
        <f t="shared" si="1029"/>
        <v>-238.66001751932592</v>
      </c>
      <c r="AT114" s="950">
        <f t="shared" si="928"/>
        <v>-2.951873279432649</v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855"/>
        <v>5.1379999999999999</v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>
        <f t="shared" si="990"/>
        <v>1613</v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>
        <f t="shared" si="917"/>
        <v>0</v>
      </c>
      <c r="B115" s="578">
        <f t="shared" ref="B115:D115" si="1046">IFERROR(O270+($A115*-E115),"")</f>
        <v>-7.2004514699516617</v>
      </c>
      <c r="C115" s="572">
        <f t="shared" si="1046"/>
        <v>-4.3555940915793325</v>
      </c>
      <c r="D115" s="576">
        <f t="shared" si="1046"/>
        <v>-3.8722116785904226</v>
      </c>
      <c r="E115" s="580">
        <f t="shared" ref="E115:K115" si="1047">R270</f>
        <v>3.7024713167991379E-2</v>
      </c>
      <c r="F115" s="572">
        <f t="shared" si="1047"/>
        <v>-0.99480735259972064</v>
      </c>
      <c r="G115" s="579">
        <f t="shared" si="1047"/>
        <v>9.4802435772310248E-2</v>
      </c>
      <c r="H115" s="580">
        <f t="shared" si="1047"/>
        <v>0.3125</v>
      </c>
      <c r="I115" s="572">
        <f t="shared" si="1047"/>
        <v>0.52</v>
      </c>
      <c r="J115" s="483">
        <f t="shared" si="728"/>
        <v>5.141</v>
      </c>
      <c r="K115" s="806">
        <f t="shared" si="1047"/>
        <v>1613</v>
      </c>
      <c r="L115" s="309"/>
      <c r="M115" s="164">
        <f t="shared" si="920"/>
        <v>5.141</v>
      </c>
      <c r="N115" s="575">
        <f t="shared" si="921"/>
        <v>-7.2004514699516617</v>
      </c>
      <c r="O115" s="572">
        <f t="shared" si="922"/>
        <v>-4.3555940915793325</v>
      </c>
      <c r="P115" s="576">
        <f t="shared" si="923"/>
        <v>-3.8722116785904226</v>
      </c>
      <c r="Q115" s="528">
        <f t="shared" si="729"/>
        <v>211.16998250521908</v>
      </c>
      <c r="R115" s="572">
        <f t="shared" si="1005"/>
        <v>8.4153253806213488</v>
      </c>
      <c r="S115" s="577">
        <f t="shared" si="1006"/>
        <v>-3.8722116785904226</v>
      </c>
      <c r="T115" s="578">
        <f t="shared" si="1007"/>
        <v>-4.3555940915793334</v>
      </c>
      <c r="U115" s="572">
        <f t="shared" si="1008"/>
        <v>7.2004514699516626</v>
      </c>
      <c r="V115" s="579">
        <f t="shared" si="1009"/>
        <v>-3.8722116785904226</v>
      </c>
      <c r="W115" s="528">
        <f t="shared" si="866"/>
        <v>121.16998250521908</v>
      </c>
      <c r="X115" s="572">
        <f t="shared" si="1010"/>
        <v>8.4153253806213488</v>
      </c>
      <c r="Y115" s="573">
        <f t="shared" si="859"/>
        <v>-3.8722116785904226</v>
      </c>
      <c r="Z115" s="575">
        <f t="shared" si="924"/>
        <v>-3.7024713167991379E-2</v>
      </c>
      <c r="AA115" s="572">
        <f t="shared" si="925"/>
        <v>0.99480735259972064</v>
      </c>
      <c r="AB115" s="572">
        <f t="shared" si="926"/>
        <v>-9.4802435772310248E-2</v>
      </c>
      <c r="AC115" s="579">
        <f t="shared" si="1011"/>
        <v>1</v>
      </c>
      <c r="AD115" s="580">
        <f t="shared" si="1012"/>
        <v>-3.7024713167991379E-2</v>
      </c>
      <c r="AE115" s="572">
        <f t="shared" si="1013"/>
        <v>0.99480735259972064</v>
      </c>
      <c r="AF115" s="576">
        <f t="shared" si="1014"/>
        <v>-9.4802435772310248E-2</v>
      </c>
      <c r="AG115" s="545">
        <f t="shared" si="1015"/>
        <v>84.556307377964657</v>
      </c>
      <c r="AH115" s="546">
        <f t="shared" si="1016"/>
        <v>92.121844771824954</v>
      </c>
      <c r="AI115" s="528">
        <f t="shared" si="1017"/>
        <v>-84.56005110445281</v>
      </c>
      <c r="AJ115" s="529">
        <f t="shared" si="1018"/>
        <v>-177.86855100810331</v>
      </c>
      <c r="AK115" s="578">
        <f t="shared" si="1019"/>
        <v>0.87035573254584109</v>
      </c>
      <c r="AL115" s="572">
        <f t="shared" si="1020"/>
        <v>-0.48321154476712302</v>
      </c>
      <c r="AM115" s="577">
        <f t="shared" si="1021"/>
        <v>-9.4802435772310248E-2</v>
      </c>
      <c r="AN115" s="524">
        <f t="shared" si="1022"/>
        <v>-78.89998860825105</v>
      </c>
      <c r="AO115" s="525">
        <f t="shared" si="604"/>
        <v>29.499995740727588</v>
      </c>
      <c r="AP115" s="528">
        <f t="shared" si="1023"/>
        <v>-29.038533513322392</v>
      </c>
      <c r="AQ115" s="529">
        <f t="shared" si="927"/>
        <v>0.2708997621790456</v>
      </c>
      <c r="AS115" s="954">
        <f t="shared" si="1029"/>
        <v>-238.83001749478092</v>
      </c>
      <c r="AT115" s="950">
        <f t="shared" si="928"/>
        <v>-3.7063574997746027</v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>
        <f t="shared" si="855"/>
        <v>5.141</v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>
        <f t="shared" si="990"/>
        <v>1613</v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>
        <f t="shared" si="917"/>
        <v>0</v>
      </c>
      <c r="B116" s="578">
        <f t="shared" ref="B116:D116" si="1048">IFERROR(O271+($A116*-E116),"")</f>
        <v>-7.2898375533066186</v>
      </c>
      <c r="C116" s="572">
        <f t="shared" si="1048"/>
        <v>-4.3905698133788489</v>
      </c>
      <c r="D116" s="576">
        <f t="shared" si="1048"/>
        <v>-4.6681140790320628</v>
      </c>
      <c r="E116" s="580">
        <f t="shared" ref="E116:K116" si="1049">R271</f>
        <v>-2.3105886974729324E-2</v>
      </c>
      <c r="F116" s="572">
        <f t="shared" si="1049"/>
        <v>-0.99955811258747318</v>
      </c>
      <c r="G116" s="579">
        <f t="shared" si="1049"/>
        <v>1.8700201808521433E-2</v>
      </c>
      <c r="H116" s="580">
        <f t="shared" si="1049"/>
        <v>0.3125</v>
      </c>
      <c r="I116" s="572">
        <f t="shared" si="1049"/>
        <v>0.52</v>
      </c>
      <c r="J116" s="483">
        <f t="shared" si="728"/>
        <v>5.1440000000000001</v>
      </c>
      <c r="K116" s="806">
        <f t="shared" si="1049"/>
        <v>1613</v>
      </c>
      <c r="L116" s="309"/>
      <c r="M116" s="164">
        <f t="shared" si="920"/>
        <v>5.1440000000000001</v>
      </c>
      <c r="N116" s="575">
        <f t="shared" si="921"/>
        <v>-7.2898375533066186</v>
      </c>
      <c r="O116" s="572">
        <f t="shared" si="922"/>
        <v>-4.3905698133788489</v>
      </c>
      <c r="P116" s="576">
        <f t="shared" si="923"/>
        <v>-4.6681140790320628</v>
      </c>
      <c r="Q116" s="528">
        <f t="shared" si="729"/>
        <v>211.05998252110109</v>
      </c>
      <c r="R116" s="572">
        <f t="shared" si="1005"/>
        <v>8.5099256659358087</v>
      </c>
      <c r="S116" s="577">
        <f t="shared" si="1006"/>
        <v>-4.6681140790320628</v>
      </c>
      <c r="T116" s="578">
        <f t="shared" si="1007"/>
        <v>-4.3905698133788489</v>
      </c>
      <c r="U116" s="572">
        <f t="shared" si="1008"/>
        <v>7.2898375533066195</v>
      </c>
      <c r="V116" s="579">
        <f t="shared" si="1009"/>
        <v>-4.6681140790320628</v>
      </c>
      <c r="W116" s="528">
        <f t="shared" si="866"/>
        <v>121.05998252110109</v>
      </c>
      <c r="X116" s="572">
        <f t="shared" si="1010"/>
        <v>8.5099256659358087</v>
      </c>
      <c r="Y116" s="573">
        <f t="shared" si="859"/>
        <v>-4.6681140790320628</v>
      </c>
      <c r="Z116" s="575">
        <f t="shared" si="924"/>
        <v>2.3105886974729324E-2</v>
      </c>
      <c r="AA116" s="572">
        <f t="shared" si="925"/>
        <v>0.99955811258747318</v>
      </c>
      <c r="AB116" s="572">
        <f t="shared" si="926"/>
        <v>-1.8700201808521433E-2</v>
      </c>
      <c r="AC116" s="579">
        <f t="shared" si="1011"/>
        <v>1</v>
      </c>
      <c r="AD116" s="580">
        <f t="shared" si="1012"/>
        <v>2.3105886974729324E-2</v>
      </c>
      <c r="AE116" s="572">
        <f t="shared" si="1013"/>
        <v>0.99955811258747318</v>
      </c>
      <c r="AF116" s="576">
        <f t="shared" si="1014"/>
        <v>-1.8700201808521433E-2</v>
      </c>
      <c r="AG116" s="545">
        <f t="shared" si="1015"/>
        <v>88.928208727083884</v>
      </c>
      <c r="AH116" s="546">
        <f t="shared" si="1016"/>
        <v>88.676012367752577</v>
      </c>
      <c r="AI116" s="528">
        <f t="shared" si="1017"/>
        <v>-88.928494903689298</v>
      </c>
      <c r="AJ116" s="529">
        <f t="shared" si="1018"/>
        <v>178.67578076816994</v>
      </c>
      <c r="AK116" s="578">
        <f t="shared" si="1019"/>
        <v>0.84432796925021414</v>
      </c>
      <c r="AL116" s="572">
        <f t="shared" si="1020"/>
        <v>-0.53550031073205751</v>
      </c>
      <c r="AM116" s="577">
        <f t="shared" si="1021"/>
        <v>-1.8700201808521433E-2</v>
      </c>
      <c r="AN116" s="524">
        <f t="shared" si="1022"/>
        <v>-87.999987294373895</v>
      </c>
      <c r="AO116" s="525">
        <f t="shared" si="604"/>
        <v>32.399995322019443</v>
      </c>
      <c r="AP116" s="528">
        <f t="shared" si="1023"/>
        <v>-32.384201752931133</v>
      </c>
      <c r="AQ116" s="529">
        <f t="shared" si="927"/>
        <v>0.26788835876402095</v>
      </c>
      <c r="AS116" s="954">
        <f t="shared" si="1029"/>
        <v>-238.94001747889891</v>
      </c>
      <c r="AT116" s="950">
        <f t="shared" si="928"/>
        <v>-4.5021835113383828</v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>
        <f t="shared" si="855"/>
        <v>5.1440000000000001</v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>
        <f t="shared" si="990"/>
        <v>1613</v>
      </c>
      <c r="IM116" s="482" t="str">
        <f t="shared" si="856"/>
        <v/>
      </c>
      <c r="IN116" s="670" t="str">
        <f t="shared" si="991"/>
        <v/>
      </c>
      <c r="IO116" s="702"/>
      <c r="IP116" s="5" t="str">
        <f t="shared" si="992"/>
        <v/>
      </c>
      <c r="IQ116" s="714"/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>
        <f t="shared" si="917"/>
        <v>0</v>
      </c>
      <c r="B117" s="578">
        <f t="shared" ref="B117:D117" si="1050">IFERROR(O272+($A117*-E117),"")</f>
        <v>-4.0757685120232132</v>
      </c>
      <c r="C117" s="572">
        <f t="shared" si="1050"/>
        <v>-1.4378819937771361</v>
      </c>
      <c r="D117" s="576">
        <f t="shared" si="1050"/>
        <v>-0.16537528030540649</v>
      </c>
      <c r="E117" s="580">
        <f t="shared" ref="E117:K117" si="1051">R272</f>
        <v>7.6614757841941925E-2</v>
      </c>
      <c r="F117" s="572">
        <f t="shared" si="1051"/>
        <v>2.7028762902886E-2</v>
      </c>
      <c r="G117" s="579">
        <f t="shared" si="1051"/>
        <v>0.99669434876333085</v>
      </c>
      <c r="H117" s="580">
        <f t="shared" si="1051"/>
        <v>0.255</v>
      </c>
      <c r="I117" s="572">
        <f t="shared" si="1051"/>
        <v>0.41499999999999992</v>
      </c>
      <c r="J117" s="483">
        <f t="shared" si="728"/>
        <v>5.2169999999999996</v>
      </c>
      <c r="K117" s="806" t="str">
        <f t="shared" si="1051"/>
        <v>CPS-32193r1</v>
      </c>
      <c r="L117" s="309"/>
      <c r="M117" s="164">
        <f t="shared" si="920"/>
        <v>5.2169999999999996</v>
      </c>
      <c r="N117" s="575">
        <f t="shared" si="921"/>
        <v>-4.0757685120232132</v>
      </c>
      <c r="O117" s="572">
        <f t="shared" si="922"/>
        <v>-1.4378819937771361</v>
      </c>
      <c r="P117" s="576">
        <f t="shared" si="923"/>
        <v>-0.16537528030540649</v>
      </c>
      <c r="Q117" s="528">
        <f t="shared" si="729"/>
        <v>199.43222738805309</v>
      </c>
      <c r="R117" s="572">
        <f t="shared" si="1005"/>
        <v>4.3219664033433238</v>
      </c>
      <c r="S117" s="577">
        <f t="shared" si="1006"/>
        <v>-0.16537528030540649</v>
      </c>
      <c r="T117" s="578">
        <f t="shared" si="1007"/>
        <v>-1.4378819937771345</v>
      </c>
      <c r="U117" s="572">
        <f t="shared" si="1008"/>
        <v>4.0757685120232132</v>
      </c>
      <c r="V117" s="579">
        <f t="shared" si="1009"/>
        <v>-0.16537528030540649</v>
      </c>
      <c r="W117" s="528">
        <f t="shared" si="866"/>
        <v>109.43222738805309</v>
      </c>
      <c r="X117" s="572">
        <f t="shared" si="1010"/>
        <v>4.3219664033433238</v>
      </c>
      <c r="Y117" s="573">
        <f t="shared" si="859"/>
        <v>-0.16537528030540649</v>
      </c>
      <c r="Z117" s="575">
        <f t="shared" si="924"/>
        <v>-7.6614757841941925E-2</v>
      </c>
      <c r="AA117" s="572">
        <f t="shared" si="925"/>
        <v>-2.7028762902886E-2</v>
      </c>
      <c r="AB117" s="572">
        <f t="shared" si="926"/>
        <v>-0.99669434876333085</v>
      </c>
      <c r="AC117" s="579">
        <f t="shared" si="1011"/>
        <v>1</v>
      </c>
      <c r="AD117" s="580">
        <f t="shared" si="1012"/>
        <v>-7.6614757841941925E-2</v>
      </c>
      <c r="AE117" s="572">
        <f t="shared" si="1013"/>
        <v>-2.7028762902886E-2</v>
      </c>
      <c r="AF117" s="576">
        <f t="shared" si="1014"/>
        <v>-0.99669434876333085</v>
      </c>
      <c r="AG117" s="545">
        <f t="shared" si="1015"/>
        <v>-1.5533895453365318</v>
      </c>
      <c r="AH117" s="546">
        <f t="shared" si="1016"/>
        <v>94.394008117210674</v>
      </c>
      <c r="AI117" s="528">
        <f t="shared" si="1017"/>
        <v>-4.6599993271793334</v>
      </c>
      <c r="AJ117" s="529">
        <f t="shared" si="1018"/>
        <v>-70.567772611946893</v>
      </c>
      <c r="AK117" s="578">
        <f t="shared" si="1019"/>
        <v>-1.7347234759768071E-17</v>
      </c>
      <c r="AL117" s="572">
        <f t="shared" si="1020"/>
        <v>8.1242692860587939E-2</v>
      </c>
      <c r="AM117" s="577">
        <f t="shared" si="1021"/>
        <v>-0.99669434876333085</v>
      </c>
      <c r="AN117" s="524">
        <f t="shared" si="1022"/>
        <v>4.6599993271793423</v>
      </c>
      <c r="AO117" s="525">
        <f t="shared" si="604"/>
        <v>0</v>
      </c>
      <c r="AP117" s="528">
        <f t="shared" si="1023"/>
        <v>90.000000000000014</v>
      </c>
      <c r="AQ117" s="529">
        <f t="shared" si="927"/>
        <v>0.52745949819206661</v>
      </c>
      <c r="AS117" s="954">
        <f t="shared" si="1029"/>
        <v>-250.56777261194691</v>
      </c>
      <c r="AT117" s="950">
        <f t="shared" si="928"/>
        <v>8.6301173417788757E-3</v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>Nose</v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>
        <f t="shared" si="855"/>
        <v>5.2169999999999996</v>
      </c>
      <c r="IJ117" s="674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5.117</v>
      </c>
      <c r="IK117" s="677" cm="1">
        <f t="array" ref="IK117">IFERROR(ROUND(VALUE(IF($IJ117&lt;1,$IJ117+LARGE((IF($M$9:$M$150="",0,$M$9:$M$150)-MOD(IF($M$9:$M$150="",0,$M$9:$M$150),1)),1),$IJ117)),4),"")</f>
        <v>5.117</v>
      </c>
      <c r="IL117" s="482">
        <f t="shared" si="990"/>
        <v>1613</v>
      </c>
      <c r="IM117" s="482" t="str">
        <f t="shared" si="856"/>
        <v>CPS-32193r1</v>
      </c>
      <c r="IN117" s="670">
        <f t="shared" si="991"/>
        <v>15.437754582952152</v>
      </c>
      <c r="IO117" s="702">
        <v>3.80457949507855E-2</v>
      </c>
      <c r="IP117" s="5">
        <f t="shared" si="992"/>
        <v>0.88</v>
      </c>
      <c r="IQ117" s="714">
        <v>440</v>
      </c>
      <c r="IR117" s="9">
        <f t="shared" si="993"/>
        <v>-4.3202130297624972</v>
      </c>
      <c r="IS117" s="5">
        <f t="shared" si="994"/>
        <v>-0.16870050880073451</v>
      </c>
      <c r="IT117" s="5">
        <f t="shared" si="995"/>
        <v>0.3125</v>
      </c>
      <c r="IU117" s="5">
        <f t="shared" si="996"/>
        <v>0.30171020024741213</v>
      </c>
      <c r="IV117" s="670">
        <f t="shared" si="997"/>
        <v>6.0999991192690315</v>
      </c>
      <c r="IW117" s="9">
        <f t="shared" si="998"/>
        <v>-4.3219664033433238</v>
      </c>
      <c r="IX117" s="5">
        <f t="shared" si="999"/>
        <v>-0.16537528030540649</v>
      </c>
      <c r="IY117" s="5">
        <f t="shared" si="1000"/>
        <v>0.255</v>
      </c>
      <c r="IZ117" s="5">
        <f t="shared" si="1001"/>
        <v>0.255</v>
      </c>
      <c r="JA117" s="705">
        <f t="shared" si="1002"/>
        <v>-4.6599993271793423</v>
      </c>
      <c r="JN117" s="960"/>
      <c r="JO117" s="162"/>
      <c r="JP117" s="961"/>
      <c r="JQ117" s="961"/>
    </row>
    <row r="118" spans="1:277" ht="15" customHeight="1" x14ac:dyDescent="0.25">
      <c r="A118" s="75">
        <f t="shared" si="917"/>
        <v>0</v>
      </c>
      <c r="B118" s="578">
        <f t="shared" ref="B118:D118" si="1052">IFERROR(O273+($A118*-E118),"")</f>
        <v>-4.741035062813669</v>
      </c>
      <c r="C118" s="572">
        <f t="shared" si="1052"/>
        <v>-1.8566258693140285</v>
      </c>
      <c r="D118" s="576">
        <f t="shared" si="1052"/>
        <v>-0.18204030738773261</v>
      </c>
      <c r="E118" s="580">
        <f t="shared" ref="E118:K118" si="1053">R273</f>
        <v>-0.1163811585033787</v>
      </c>
      <c r="F118" s="572">
        <f t="shared" si="1053"/>
        <v>-4.5575758608685318E-2</v>
      </c>
      <c r="G118" s="579">
        <f t="shared" si="1053"/>
        <v>0.99215839268367545</v>
      </c>
      <c r="H118" s="580">
        <f t="shared" si="1053"/>
        <v>0.255</v>
      </c>
      <c r="I118" s="572">
        <f t="shared" si="1053"/>
        <v>0.41499999999999992</v>
      </c>
      <c r="J118" s="483">
        <f t="shared" si="728"/>
        <v>5.22</v>
      </c>
      <c r="K118" s="806" t="str">
        <f t="shared" si="1053"/>
        <v>CPS-32193r1</v>
      </c>
      <c r="L118" s="309"/>
      <c r="M118" s="164">
        <f t="shared" si="920"/>
        <v>5.22</v>
      </c>
      <c r="N118" s="575">
        <f t="shared" si="921"/>
        <v>-4.741035062813669</v>
      </c>
      <c r="O118" s="572">
        <f t="shared" si="922"/>
        <v>-1.8566258693140285</v>
      </c>
      <c r="P118" s="576">
        <f t="shared" si="923"/>
        <v>-0.18204030738773261</v>
      </c>
      <c r="Q118" s="528">
        <f t="shared" si="729"/>
        <v>201.38569391773675</v>
      </c>
      <c r="R118" s="572">
        <f t="shared" si="1005"/>
        <v>5.0916081040703327</v>
      </c>
      <c r="S118" s="577">
        <f t="shared" si="1006"/>
        <v>-0.18204030738773261</v>
      </c>
      <c r="T118" s="578">
        <f t="shared" si="1007"/>
        <v>-1.8566258693140287</v>
      </c>
      <c r="U118" s="572">
        <f t="shared" si="1008"/>
        <v>4.7410350628136699</v>
      </c>
      <c r="V118" s="579">
        <f t="shared" si="1009"/>
        <v>-0.18204030738773261</v>
      </c>
      <c r="W118" s="528">
        <f t="shared" si="866"/>
        <v>111.38569391773675</v>
      </c>
      <c r="X118" s="572">
        <f t="shared" si="1010"/>
        <v>5.0916081040703327</v>
      </c>
      <c r="Y118" s="573">
        <f t="shared" si="859"/>
        <v>-0.18204030738773261</v>
      </c>
      <c r="Z118" s="575">
        <f t="shared" si="924"/>
        <v>0.1163811585033787</v>
      </c>
      <c r="AA118" s="572">
        <f t="shared" si="925"/>
        <v>4.5575758608685318E-2</v>
      </c>
      <c r="AB118" s="572">
        <f t="shared" si="926"/>
        <v>-0.99215839268367545</v>
      </c>
      <c r="AC118" s="579">
        <f t="shared" si="1011"/>
        <v>1</v>
      </c>
      <c r="AD118" s="580">
        <f t="shared" si="1012"/>
        <v>0.1163811585033787</v>
      </c>
      <c r="AE118" s="572">
        <f t="shared" si="1013"/>
        <v>4.5575758608685318E-2</v>
      </c>
      <c r="AF118" s="576">
        <f t="shared" si="1014"/>
        <v>-0.99215839268367545</v>
      </c>
      <c r="AG118" s="545">
        <f t="shared" si="1015"/>
        <v>2.6300883462555693</v>
      </c>
      <c r="AH118" s="546">
        <f t="shared" si="1016"/>
        <v>83.316705434754041</v>
      </c>
      <c r="AI118" s="528">
        <f t="shared" si="1017"/>
        <v>-7.1799989633363923</v>
      </c>
      <c r="AJ118" s="529">
        <f t="shared" si="1018"/>
        <v>111.38569391773672</v>
      </c>
      <c r="AK118" s="578">
        <f t="shared" si="1019"/>
        <v>-4.163336342344337E-17</v>
      </c>
      <c r="AL118" s="572">
        <f t="shared" si="1020"/>
        <v>-0.12498689462237915</v>
      </c>
      <c r="AM118" s="577">
        <f t="shared" si="1021"/>
        <v>-0.99215839268367545</v>
      </c>
      <c r="AN118" s="524">
        <f t="shared" si="1022"/>
        <v>-7.1799989633364039</v>
      </c>
      <c r="AO118" s="525">
        <f t="shared" si="604"/>
        <v>0</v>
      </c>
      <c r="AP118" s="528">
        <f t="shared" si="1023"/>
        <v>-90.000000000000014</v>
      </c>
      <c r="AQ118" s="529">
        <f t="shared" si="927"/>
        <v>0.44773285400216617</v>
      </c>
      <c r="AS118" s="954">
        <f t="shared" si="1029"/>
        <v>-248.61430608226325</v>
      </c>
      <c r="AT118" s="950">
        <f t="shared" si="928"/>
        <v>-9.3914837194942202E-3</v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>Nose</v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>
        <f t="shared" si="855"/>
        <v>5.22</v>
      </c>
      <c r="IJ118" s="674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5.12</v>
      </c>
      <c r="IK118" s="677" cm="1">
        <f t="array" ref="IK118">IFERROR(ROUND(VALUE(IF($IJ118&lt;1,$IJ118+LARGE((IF($M$9:$M$150="",0,$M$9:$M$150)-MOD(IF($M$9:$M$150="",0,$M$9:$M$150),1)),1),$IJ118)),4),"")</f>
        <v>5.12</v>
      </c>
      <c r="IL118" s="482">
        <f t="shared" si="990"/>
        <v>1613</v>
      </c>
      <c r="IM118" s="482" t="str">
        <f t="shared" si="856"/>
        <v>CPS-32193r1</v>
      </c>
      <c r="IN118" s="670">
        <f t="shared" si="991"/>
        <v>13.064288113908987</v>
      </c>
      <c r="IO118" s="702">
        <v>3.63689593115007E-2</v>
      </c>
      <c r="IP118" s="5">
        <f t="shared" si="992"/>
        <v>1.02</v>
      </c>
      <c r="IQ118" s="714">
        <v>510</v>
      </c>
      <c r="IR118" s="9">
        <f t="shared" si="993"/>
        <v>-5.0875153439462784</v>
      </c>
      <c r="IS118" s="5">
        <f t="shared" si="994"/>
        <v>-0.18530055886648597</v>
      </c>
      <c r="IT118" s="5">
        <f t="shared" si="995"/>
        <v>0.3125</v>
      </c>
      <c r="IU118" s="5">
        <f t="shared" si="996"/>
        <v>0.30098830542787364</v>
      </c>
      <c r="IV118" s="670">
        <f t="shared" si="997"/>
        <v>15.199997805391837</v>
      </c>
      <c r="IW118" s="9">
        <f t="shared" si="998"/>
        <v>-5.0916081040703327</v>
      </c>
      <c r="IX118" s="5">
        <f t="shared" si="999"/>
        <v>-0.18204030738773261</v>
      </c>
      <c r="IY118" s="5">
        <f t="shared" si="1000"/>
        <v>0.255</v>
      </c>
      <c r="IZ118" s="5">
        <f t="shared" si="1001"/>
        <v>0.255</v>
      </c>
      <c r="JA118" s="705">
        <f t="shared" si="1002"/>
        <v>7.1799989633364039</v>
      </c>
      <c r="JN118" s="960"/>
      <c r="JO118" s="162"/>
      <c r="JP118" s="961"/>
      <c r="JQ118" s="961"/>
    </row>
    <row r="119" spans="1:277" ht="15" customHeight="1" x14ac:dyDescent="0.25">
      <c r="A119" s="75">
        <f t="shared" si="917"/>
        <v>0</v>
      </c>
      <c r="B119" s="578">
        <f t="shared" ref="B119:D119" si="1054">IFERROR(O274+($A119*-E119),"")</f>
        <v>-5.3959550681574591</v>
      </c>
      <c r="C119" s="572">
        <f t="shared" si="1054"/>
        <v>-2.2354467492079424</v>
      </c>
      <c r="D119" s="576">
        <f t="shared" si="1054"/>
        <v>-0.35841384793183723</v>
      </c>
      <c r="E119" s="580">
        <f t="shared" ref="E119:K119" si="1055">R274</f>
        <v>-0.30260728376632962</v>
      </c>
      <c r="F119" s="572">
        <f t="shared" si="1055"/>
        <v>-0.12536473344154003</v>
      </c>
      <c r="G119" s="579">
        <f t="shared" si="1055"/>
        <v>0.94483464977777765</v>
      </c>
      <c r="H119" s="580">
        <f t="shared" si="1055"/>
        <v>0.255</v>
      </c>
      <c r="I119" s="572">
        <f t="shared" si="1055"/>
        <v>0.41499999999999992</v>
      </c>
      <c r="J119" s="483">
        <f t="shared" si="728"/>
        <v>5.2229999999999999</v>
      </c>
      <c r="K119" s="806" t="str">
        <f t="shared" si="1055"/>
        <v>CPS-32193r1</v>
      </c>
      <c r="L119" s="309"/>
      <c r="M119" s="164">
        <f t="shared" si="920"/>
        <v>5.2229999999999999</v>
      </c>
      <c r="N119" s="575">
        <f t="shared" si="921"/>
        <v>-5.3959550681574591</v>
      </c>
      <c r="O119" s="572">
        <f t="shared" si="922"/>
        <v>-2.2354467492079424</v>
      </c>
      <c r="P119" s="576">
        <f t="shared" si="923"/>
        <v>-0.35841384793183723</v>
      </c>
      <c r="Q119" s="528">
        <f t="shared" si="729"/>
        <v>202.50334406720819</v>
      </c>
      <c r="R119" s="572">
        <f t="shared" si="1005"/>
        <v>5.8406808906255545</v>
      </c>
      <c r="S119" s="577">
        <f t="shared" si="1006"/>
        <v>-0.35841384793183723</v>
      </c>
      <c r="T119" s="578">
        <f t="shared" si="1007"/>
        <v>-2.235446749207942</v>
      </c>
      <c r="U119" s="572">
        <f t="shared" si="1008"/>
        <v>5.3959550681574591</v>
      </c>
      <c r="V119" s="579">
        <f t="shared" si="1009"/>
        <v>-0.35841384793183723</v>
      </c>
      <c r="W119" s="528">
        <f t="shared" si="866"/>
        <v>112.50334406720819</v>
      </c>
      <c r="X119" s="572">
        <f t="shared" si="1010"/>
        <v>5.8406808906255545</v>
      </c>
      <c r="Y119" s="573">
        <f t="shared" si="859"/>
        <v>-0.35841384793183723</v>
      </c>
      <c r="Z119" s="575">
        <f t="shared" si="924"/>
        <v>0.30260728376632962</v>
      </c>
      <c r="AA119" s="572">
        <f t="shared" si="925"/>
        <v>0.12536473344154003</v>
      </c>
      <c r="AB119" s="572">
        <f t="shared" si="926"/>
        <v>-0.94483464977777765</v>
      </c>
      <c r="AC119" s="579">
        <f t="shared" si="1011"/>
        <v>1</v>
      </c>
      <c r="AD119" s="580">
        <f t="shared" si="1012"/>
        <v>0.30260728376632962</v>
      </c>
      <c r="AE119" s="572">
        <f t="shared" si="1013"/>
        <v>0.12536473344154003</v>
      </c>
      <c r="AF119" s="576">
        <f t="shared" si="1014"/>
        <v>-0.94483464977777765</v>
      </c>
      <c r="AG119" s="545">
        <f t="shared" si="1015"/>
        <v>7.5581035036150244</v>
      </c>
      <c r="AH119" s="546">
        <f t="shared" si="1016"/>
        <v>72.385729869345951</v>
      </c>
      <c r="AI119" s="528">
        <f t="shared" si="1017"/>
        <v>-19.119997239413959</v>
      </c>
      <c r="AJ119" s="529">
        <f t="shared" si="1018"/>
        <v>112.50334406720819</v>
      </c>
      <c r="AK119" s="578">
        <f t="shared" si="1019"/>
        <v>1.3877787807814457E-17</v>
      </c>
      <c r="AL119" s="572">
        <f t="shared" si="1020"/>
        <v>-0.32754768290938091</v>
      </c>
      <c r="AM119" s="577">
        <f t="shared" si="1021"/>
        <v>-0.94483464977777765</v>
      </c>
      <c r="AN119" s="524">
        <f t="shared" si="1022"/>
        <v>-19.119997239413969</v>
      </c>
      <c r="AO119" s="525">
        <f t="shared" si="604"/>
        <v>0</v>
      </c>
      <c r="AP119" s="528">
        <f t="shared" si="1023"/>
        <v>-90</v>
      </c>
      <c r="AQ119" s="529">
        <f t="shared" si="927"/>
        <v>0.39031260391303607</v>
      </c>
      <c r="AS119" s="954">
        <f t="shared" si="1029"/>
        <v>-247.49665593279181</v>
      </c>
      <c r="AT119" s="950">
        <f t="shared" si="928"/>
        <v>-0.1865411702007318</v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>Nose</v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>
        <f t="shared" si="855"/>
        <v>5.2229999999999999</v>
      </c>
      <c r="IJ119" s="674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5.1230000000000002</v>
      </c>
      <c r="IK119" s="677" cm="1">
        <f t="array" ref="IK119">IFERROR(ROUND(VALUE(IF($IJ119&lt;1,$IJ119+LARGE((IF($M$9:$M$150="",0,$M$9:$M$150)-MOD(IF($M$9:$M$150="",0,$M$9:$M$150),1)),1),$IJ119)),4),"")</f>
        <v>5.1230000000000002</v>
      </c>
      <c r="IL119" s="482">
        <f t="shared" si="990"/>
        <v>1613</v>
      </c>
      <c r="IM119" s="482" t="str">
        <f t="shared" si="856"/>
        <v>CPS-32193r1</v>
      </c>
      <c r="IN119" s="670">
        <f t="shared" si="991"/>
        <v>11.366638048179169</v>
      </c>
      <c r="IO119" s="702">
        <v>3.5225110935899397E-2</v>
      </c>
      <c r="IP119" s="5">
        <f t="shared" si="992"/>
        <v>1.18</v>
      </c>
      <c r="IQ119" s="714">
        <v>590</v>
      </c>
      <c r="IR119" s="9">
        <f t="shared" si="993"/>
        <v>-5.8350175984130779</v>
      </c>
      <c r="IS119" s="5">
        <f t="shared" si="994"/>
        <v>-0.35960108455687084</v>
      </c>
      <c r="IT119" s="5">
        <f t="shared" si="995"/>
        <v>0.3125</v>
      </c>
      <c r="IU119" s="5">
        <f t="shared" si="996"/>
        <v>0.29947580825493103</v>
      </c>
      <c r="IV119" s="670">
        <f t="shared" si="997"/>
        <v>24.299996491514634</v>
      </c>
      <c r="IW119" s="9">
        <f t="shared" si="998"/>
        <v>-5.8406808906255545</v>
      </c>
      <c r="IX119" s="5">
        <f t="shared" si="999"/>
        <v>-0.35841384793183723</v>
      </c>
      <c r="IY119" s="5">
        <f t="shared" si="1000"/>
        <v>0.255</v>
      </c>
      <c r="IZ119" s="5">
        <f t="shared" si="1001"/>
        <v>0.255</v>
      </c>
      <c r="JA119" s="705">
        <f t="shared" si="1002"/>
        <v>19.119997239413969</v>
      </c>
      <c r="JN119" s="960"/>
      <c r="JO119" s="162"/>
      <c r="JP119" s="961"/>
      <c r="JQ119" s="961"/>
    </row>
    <row r="120" spans="1:277" ht="15" customHeight="1" x14ac:dyDescent="0.25">
      <c r="A120" s="75">
        <f t="shared" si="917"/>
        <v>0</v>
      </c>
      <c r="B120" s="578">
        <f t="shared" ref="B120:D120" si="1056">IFERROR(O275+($A120*-E120),"")</f>
        <v>-6.0135866689964939</v>
      </c>
      <c r="C120" s="572">
        <f t="shared" si="1056"/>
        <v>-2.5622400526568661</v>
      </c>
      <c r="D120" s="576">
        <f t="shared" si="1056"/>
        <v>-0.68631663169742063</v>
      </c>
      <c r="E120" s="580">
        <f t="shared" ref="E120:K120" si="1057">R275</f>
        <v>-0.47258254670054506</v>
      </c>
      <c r="F120" s="572">
        <f t="shared" si="1057"/>
        <v>-0.20135569602504477</v>
      </c>
      <c r="G120" s="579">
        <f t="shared" si="1057"/>
        <v>0.85797530281022494</v>
      </c>
      <c r="H120" s="580">
        <f t="shared" si="1057"/>
        <v>0.255</v>
      </c>
      <c r="I120" s="572">
        <f t="shared" si="1057"/>
        <v>0.41499999999999992</v>
      </c>
      <c r="J120" s="483">
        <f t="shared" si="728"/>
        <v>5.226</v>
      </c>
      <c r="K120" s="806" t="str">
        <f t="shared" si="1057"/>
        <v>CPS-32193r1</v>
      </c>
      <c r="L120" s="309"/>
      <c r="M120" s="164">
        <f t="shared" si="920"/>
        <v>5.226</v>
      </c>
      <c r="N120" s="575">
        <f t="shared" si="921"/>
        <v>-6.0135866689964939</v>
      </c>
      <c r="O120" s="572">
        <f t="shared" si="922"/>
        <v>-2.5622400526568661</v>
      </c>
      <c r="P120" s="576">
        <f t="shared" si="923"/>
        <v>-0.68631663169742063</v>
      </c>
      <c r="Q120" s="528">
        <f t="shared" si="729"/>
        <v>203.07765057967899</v>
      </c>
      <c r="R120" s="572">
        <f t="shared" si="1005"/>
        <v>6.5366886657520569</v>
      </c>
      <c r="S120" s="577">
        <f t="shared" si="1006"/>
        <v>-0.68631663169742063</v>
      </c>
      <c r="T120" s="578">
        <f t="shared" si="1007"/>
        <v>-2.5622400526568634</v>
      </c>
      <c r="U120" s="572">
        <f t="shared" si="1008"/>
        <v>6.0135866689964947</v>
      </c>
      <c r="V120" s="579">
        <f t="shared" si="1009"/>
        <v>-0.68631663169742063</v>
      </c>
      <c r="W120" s="528">
        <f t="shared" si="866"/>
        <v>113.07765057967899</v>
      </c>
      <c r="X120" s="572">
        <f t="shared" si="1010"/>
        <v>6.5366886657520569</v>
      </c>
      <c r="Y120" s="573">
        <f t="shared" si="859"/>
        <v>-0.68631663169742063</v>
      </c>
      <c r="Z120" s="575">
        <f t="shared" si="924"/>
        <v>0.47258254670054506</v>
      </c>
      <c r="AA120" s="572">
        <f t="shared" si="925"/>
        <v>0.20135569602504477</v>
      </c>
      <c r="AB120" s="572">
        <f t="shared" si="926"/>
        <v>-0.85797530281022494</v>
      </c>
      <c r="AC120" s="579">
        <f t="shared" si="1011"/>
        <v>1</v>
      </c>
      <c r="AD120" s="580">
        <f t="shared" si="1012"/>
        <v>0.47258254670054506</v>
      </c>
      <c r="AE120" s="572">
        <f t="shared" si="1013"/>
        <v>0.20135569602504477</v>
      </c>
      <c r="AF120" s="576">
        <f t="shared" si="1014"/>
        <v>-0.85797530281022494</v>
      </c>
      <c r="AG120" s="545">
        <f t="shared" si="1015"/>
        <v>13.207557899482653</v>
      </c>
      <c r="AH120" s="546">
        <f t="shared" si="1016"/>
        <v>61.797933762302208</v>
      </c>
      <c r="AI120" s="528">
        <f t="shared" si="1017"/>
        <v>-30.909995537148784</v>
      </c>
      <c r="AJ120" s="529">
        <f t="shared" si="1018"/>
        <v>113.07765057967899</v>
      </c>
      <c r="AK120" s="578">
        <f t="shared" si="1019"/>
        <v>8.3266726846886741E-17</v>
      </c>
      <c r="AL120" s="572">
        <f t="shared" si="1020"/>
        <v>-0.51369093798479948</v>
      </c>
      <c r="AM120" s="577">
        <f t="shared" si="1021"/>
        <v>-0.85797530281022494</v>
      </c>
      <c r="AN120" s="524">
        <f t="shared" si="1022"/>
        <v>-30.909995537148795</v>
      </c>
      <c r="AO120" s="525">
        <f t="shared" ref="AO120:AO150" si="1058">IF(ROUND(IF(M120="",0,DEGREES(ACOS(AK120))),4)=90,0,IF(M120="","",DEGREES(ACOS(AK120))))</f>
        <v>0</v>
      </c>
      <c r="AP120" s="528">
        <f t="shared" si="1023"/>
        <v>-90</v>
      </c>
      <c r="AQ120" s="529">
        <f t="shared" si="927"/>
        <v>0.34875433012913093</v>
      </c>
      <c r="AS120" s="954">
        <f t="shared" si="1029"/>
        <v>-246.92234942032101</v>
      </c>
      <c r="AT120" s="950">
        <f t="shared" si="928"/>
        <v>-0.51484277793330879</v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>Nose</v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>
        <f t="shared" si="855"/>
        <v>5.226</v>
      </c>
      <c r="IJ120" s="674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5.1260000000000003</v>
      </c>
      <c r="IK120" s="677" cm="1">
        <f t="array" ref="IK120">IFERROR(ROUND(VALUE(IF($IJ120&lt;1,$IJ120+LARGE((IF($M$9:$M$150="",0,$M$9:$M$150)-MOD(IF($M$9:$M$150="",0,$M$9:$M$150),1)),1),$IJ120)),4),"")</f>
        <v>5.1260000000000003</v>
      </c>
      <c r="IL120" s="482">
        <f t="shared" si="990"/>
        <v>1613</v>
      </c>
      <c r="IM120" s="482" t="str">
        <f t="shared" si="856"/>
        <v>CPS-32193r1</v>
      </c>
      <c r="IN120" s="670">
        <f t="shared" si="991"/>
        <v>10.142331629556736</v>
      </c>
      <c r="IO120" s="702">
        <v>3.4234906189854003E-2</v>
      </c>
      <c r="IP120" s="5">
        <f t="shared" si="992"/>
        <v>1.38</v>
      </c>
      <c r="IQ120" s="714">
        <v>690</v>
      </c>
      <c r="IR120" s="9">
        <f t="shared" si="993"/>
        <v>-6.5306196963490057</v>
      </c>
      <c r="IS120" s="5">
        <f t="shared" si="994"/>
        <v>-0.68410206325182243</v>
      </c>
      <c r="IT120" s="5">
        <f t="shared" si="995"/>
        <v>0.3125</v>
      </c>
      <c r="IU120" s="5">
        <f t="shared" si="996"/>
        <v>0.29720516572245259</v>
      </c>
      <c r="IV120" s="670">
        <f t="shared" si="997"/>
        <v>33.399995177637315</v>
      </c>
      <c r="IW120" s="9">
        <f t="shared" si="998"/>
        <v>-6.5366886657520569</v>
      </c>
      <c r="IX120" s="5">
        <f t="shared" si="999"/>
        <v>-0.68631663169742063</v>
      </c>
      <c r="IY120" s="5">
        <f t="shared" si="1000"/>
        <v>0.255</v>
      </c>
      <c r="IZ120" s="5">
        <f t="shared" si="1001"/>
        <v>0.255</v>
      </c>
      <c r="JA120" s="705">
        <f t="shared" si="1002"/>
        <v>30.909995537148795</v>
      </c>
      <c r="JN120" s="960"/>
      <c r="JO120" s="162"/>
      <c r="JP120" s="961"/>
      <c r="JQ120" s="961"/>
    </row>
    <row r="121" spans="1:277" ht="15" customHeight="1" x14ac:dyDescent="0.25">
      <c r="A121" s="75">
        <f t="shared" si="917"/>
        <v>0</v>
      </c>
      <c r="B121" s="578">
        <f t="shared" ref="B121:D121" si="1059">IFERROR(O276+($A121*-E121),"")</f>
        <v>-6.5651370224335954</v>
      </c>
      <c r="C121" s="572">
        <f t="shared" si="1059"/>
        <v>-2.8311419018605015</v>
      </c>
      <c r="D121" s="576">
        <f t="shared" si="1059"/>
        <v>-1.1509539415542065</v>
      </c>
      <c r="E121" s="580">
        <f t="shared" ref="E121:K121" si="1060">R276</f>
        <v>-0.62378329190961002</v>
      </c>
      <c r="F121" s="572">
        <f t="shared" si="1060"/>
        <v>-0.26899956685917575</v>
      </c>
      <c r="G121" s="579">
        <f t="shared" si="1060"/>
        <v>0.73384851145450047</v>
      </c>
      <c r="H121" s="580">
        <f t="shared" si="1060"/>
        <v>0.255</v>
      </c>
      <c r="I121" s="572">
        <f t="shared" si="1060"/>
        <v>0.41499999999999992</v>
      </c>
      <c r="J121" s="483">
        <f t="shared" si="728"/>
        <v>5.2290000000000001</v>
      </c>
      <c r="K121" s="806" t="str">
        <f t="shared" si="1060"/>
        <v>CPS-32193r1</v>
      </c>
      <c r="L121" s="309"/>
      <c r="M121" s="164">
        <f t="shared" si="920"/>
        <v>5.2290000000000001</v>
      </c>
      <c r="N121" s="575">
        <f t="shared" si="921"/>
        <v>-6.5651370224335954</v>
      </c>
      <c r="O121" s="572">
        <f t="shared" si="922"/>
        <v>-2.8311419018605015</v>
      </c>
      <c r="P121" s="576">
        <f t="shared" si="923"/>
        <v>-1.1509539415542065</v>
      </c>
      <c r="Q121" s="528">
        <f t="shared" si="729"/>
        <v>203.32758064778972</v>
      </c>
      <c r="R121" s="572">
        <f t="shared" si="1005"/>
        <v>7.1495726160238808</v>
      </c>
      <c r="S121" s="577">
        <f t="shared" si="1006"/>
        <v>-1.1509539415542065</v>
      </c>
      <c r="T121" s="578">
        <f t="shared" si="1007"/>
        <v>-2.8311419018604997</v>
      </c>
      <c r="U121" s="572">
        <f t="shared" si="1008"/>
        <v>6.5651370224335972</v>
      </c>
      <c r="V121" s="579">
        <f t="shared" si="1009"/>
        <v>-1.1509539415542065</v>
      </c>
      <c r="W121" s="528">
        <f t="shared" si="866"/>
        <v>113.32758064778972</v>
      </c>
      <c r="X121" s="572">
        <f t="shared" si="1010"/>
        <v>7.1495726160238808</v>
      </c>
      <c r="Y121" s="573">
        <f t="shared" si="859"/>
        <v>-1.1509539415542065</v>
      </c>
      <c r="Z121" s="575">
        <f t="shared" si="924"/>
        <v>0.62378329190961002</v>
      </c>
      <c r="AA121" s="572">
        <f t="shared" si="925"/>
        <v>0.26899956685917575</v>
      </c>
      <c r="AB121" s="572">
        <f t="shared" si="926"/>
        <v>-0.73384851145450047</v>
      </c>
      <c r="AC121" s="579">
        <f t="shared" si="1011"/>
        <v>1</v>
      </c>
      <c r="AD121" s="580">
        <f t="shared" si="1012"/>
        <v>0.62378329190961002</v>
      </c>
      <c r="AE121" s="572">
        <f t="shared" si="1013"/>
        <v>0.26899956685917575</v>
      </c>
      <c r="AF121" s="576">
        <f t="shared" si="1014"/>
        <v>-0.73384851145450047</v>
      </c>
      <c r="AG121" s="545">
        <f t="shared" si="1015"/>
        <v>20.130919868992365</v>
      </c>
      <c r="AH121" s="546">
        <f t="shared" si="1016"/>
        <v>51.407060067407329</v>
      </c>
      <c r="AI121" s="528">
        <f t="shared" si="1017"/>
        <v>-42.789993821889276</v>
      </c>
      <c r="AJ121" s="529">
        <f t="shared" si="1018"/>
        <v>113.3275806477897</v>
      </c>
      <c r="AK121" s="578">
        <f t="shared" si="1019"/>
        <v>-5.5511151231257827E-17</v>
      </c>
      <c r="AL121" s="572">
        <f t="shared" si="1020"/>
        <v>-0.67931315476443854</v>
      </c>
      <c r="AM121" s="577">
        <f t="shared" si="1021"/>
        <v>-0.73384851145450047</v>
      </c>
      <c r="AN121" s="524">
        <f t="shared" si="1022"/>
        <v>-42.789993821889283</v>
      </c>
      <c r="AO121" s="525">
        <f t="shared" si="1058"/>
        <v>0</v>
      </c>
      <c r="AP121" s="528">
        <f t="shared" si="1023"/>
        <v>-90</v>
      </c>
      <c r="AQ121" s="529">
        <f t="shared" si="927"/>
        <v>0.31885865343584113</v>
      </c>
      <c r="AS121" s="954">
        <f t="shared" si="1029"/>
        <v>-246.67241935221028</v>
      </c>
      <c r="AT121" s="950">
        <f t="shared" si="928"/>
        <v>-0.97965365033739382</v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>Taper</v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>
        <f t="shared" si="855"/>
        <v>5.2290000000000001</v>
      </c>
      <c r="IJ121" s="674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5.1289999999999996</v>
      </c>
      <c r="IK121" s="677" cm="1">
        <f t="array" ref="IK121">IFERROR(ROUND(VALUE(IF($IJ121&lt;1,$IJ121+LARGE((IF($M$9:$M$150="",0,$M$9:$M$150)-MOD(IF($M$9:$M$150="",0,$M$9:$M$150),1)),1),$IJ121)),4),"")</f>
        <v>5.1289999999999996</v>
      </c>
      <c r="IL121" s="482">
        <f t="shared" si="990"/>
        <v>1613</v>
      </c>
      <c r="IM121" s="482" t="str">
        <f t="shared" si="856"/>
        <v>CPS-32193r1</v>
      </c>
      <c r="IN121" s="670">
        <f t="shared" si="991"/>
        <v>9.2624016524067372</v>
      </c>
      <c r="IO121" s="702">
        <v>3.31865126530193E-2</v>
      </c>
      <c r="IP121" s="5">
        <f t="shared" si="992"/>
        <v>1.6</v>
      </c>
      <c r="IQ121" s="714">
        <v>800</v>
      </c>
      <c r="IR121" s="9">
        <f t="shared" si="993"/>
        <v>-7.1448215487817919</v>
      </c>
      <c r="IS121" s="5">
        <f t="shared" si="994"/>
        <v>-1.1444034515208104</v>
      </c>
      <c r="IT121" s="5">
        <f t="shared" si="995"/>
        <v>0.3125</v>
      </c>
      <c r="IU121" s="5">
        <f t="shared" si="996"/>
        <v>0.29384004502480859</v>
      </c>
      <c r="IV121" s="670">
        <f t="shared" si="997"/>
        <v>42.499993863760039</v>
      </c>
      <c r="IW121" s="9">
        <f t="shared" si="998"/>
        <v>-7.1495726160238808</v>
      </c>
      <c r="IX121" s="5">
        <f t="shared" si="999"/>
        <v>-1.1509539415542065</v>
      </c>
      <c r="IY121" s="5">
        <f t="shared" si="1000"/>
        <v>0.255</v>
      </c>
      <c r="IZ121" s="5">
        <f t="shared" si="1001"/>
        <v>0.255</v>
      </c>
      <c r="JA121" s="705">
        <f t="shared" si="1002"/>
        <v>42.789993821889283</v>
      </c>
      <c r="JN121" s="960"/>
      <c r="JO121" s="162"/>
      <c r="JP121" s="961"/>
      <c r="JQ121" s="961"/>
    </row>
    <row r="122" spans="1:277" ht="15" customHeight="1" x14ac:dyDescent="0.25">
      <c r="A122" s="75">
        <f t="shared" si="917"/>
        <v>0</v>
      </c>
      <c r="B122" s="578">
        <f t="shared" ref="B122:D122" si="1061">IFERROR(O277+($A122*-E122),"")</f>
        <v>-7.0244053821521524</v>
      </c>
      <c r="C122" s="572">
        <f t="shared" si="1061"/>
        <v>-3.039190402202002</v>
      </c>
      <c r="D122" s="576">
        <f t="shared" si="1061"/>
        <v>-1.7313423041641278</v>
      </c>
      <c r="E122" s="580">
        <f t="shared" ref="E122:K122" si="1062">R277</f>
        <v>-0.74736518389693241</v>
      </c>
      <c r="F122" s="572">
        <f t="shared" si="1062"/>
        <v>-0.32335620885587008</v>
      </c>
      <c r="G122" s="579">
        <f t="shared" si="1062"/>
        <v>0.58041885228950263</v>
      </c>
      <c r="H122" s="580">
        <f t="shared" si="1062"/>
        <v>0.255</v>
      </c>
      <c r="I122" s="572">
        <f t="shared" si="1062"/>
        <v>0.41499999999999992</v>
      </c>
      <c r="J122" s="483">
        <f t="shared" si="728"/>
        <v>5.2320000000000002</v>
      </c>
      <c r="K122" s="806" t="str">
        <f t="shared" si="1062"/>
        <v>CPS-32193r1</v>
      </c>
      <c r="L122" s="309"/>
      <c r="M122" s="164">
        <f t="shared" si="920"/>
        <v>5.2320000000000002</v>
      </c>
      <c r="N122" s="575">
        <f t="shared" si="921"/>
        <v>-7.0244053821521524</v>
      </c>
      <c r="O122" s="572">
        <f t="shared" si="922"/>
        <v>-3.039190402202002</v>
      </c>
      <c r="P122" s="576">
        <f t="shared" si="923"/>
        <v>-1.7313423041641278</v>
      </c>
      <c r="Q122" s="528">
        <f t="shared" si="729"/>
        <v>203.39628145794597</v>
      </c>
      <c r="R122" s="572">
        <f t="shared" si="1005"/>
        <v>7.6536886057406912</v>
      </c>
      <c r="S122" s="577">
        <f t="shared" si="1006"/>
        <v>-1.7313423041641278</v>
      </c>
      <c r="T122" s="578">
        <f t="shared" si="1007"/>
        <v>-3.0391904022020029</v>
      </c>
      <c r="U122" s="572">
        <f t="shared" si="1008"/>
        <v>7.0244053821521515</v>
      </c>
      <c r="V122" s="579">
        <f t="shared" si="1009"/>
        <v>-1.7313423041641278</v>
      </c>
      <c r="W122" s="528">
        <f t="shared" si="866"/>
        <v>113.39628145794597</v>
      </c>
      <c r="X122" s="572">
        <f t="shared" si="1010"/>
        <v>7.6536886057406912</v>
      </c>
      <c r="Y122" s="573">
        <f t="shared" si="859"/>
        <v>-1.7313423041641278</v>
      </c>
      <c r="Z122" s="575">
        <f t="shared" si="924"/>
        <v>0.74736518389693241</v>
      </c>
      <c r="AA122" s="572">
        <f t="shared" si="925"/>
        <v>0.32335620885587008</v>
      </c>
      <c r="AB122" s="572">
        <f t="shared" si="926"/>
        <v>-0.58041885228950263</v>
      </c>
      <c r="AC122" s="579">
        <f t="shared" si="1011"/>
        <v>1</v>
      </c>
      <c r="AD122" s="580">
        <f t="shared" si="1012"/>
        <v>0.74736518389693241</v>
      </c>
      <c r="AE122" s="572">
        <f t="shared" si="1013"/>
        <v>0.32335620885587008</v>
      </c>
      <c r="AF122" s="576">
        <f t="shared" si="1014"/>
        <v>-0.58041885228950263</v>
      </c>
      <c r="AG122" s="545">
        <f t="shared" si="1015"/>
        <v>29.122546183359592</v>
      </c>
      <c r="AH122" s="546">
        <f t="shared" si="1016"/>
        <v>41.637345447584927</v>
      </c>
      <c r="AI122" s="528">
        <f t="shared" si="1017"/>
        <v>-54.519992128287058</v>
      </c>
      <c r="AJ122" s="529">
        <f t="shared" si="1018"/>
        <v>113.39628145794596</v>
      </c>
      <c r="AK122" s="578">
        <f t="shared" si="1019"/>
        <v>-3.3306690738754696E-16</v>
      </c>
      <c r="AL122" s="572">
        <f t="shared" si="1020"/>
        <v>-0.81431809258233767</v>
      </c>
      <c r="AM122" s="577">
        <f t="shared" si="1021"/>
        <v>-0.58041885228950263</v>
      </c>
      <c r="AN122" s="524">
        <f t="shared" si="1022"/>
        <v>-54.519992128287065</v>
      </c>
      <c r="AO122" s="525">
        <f t="shared" si="1058"/>
        <v>0</v>
      </c>
      <c r="AP122" s="528">
        <f t="shared" si="1023"/>
        <v>-90.000000000000028</v>
      </c>
      <c r="AQ122" s="529">
        <f t="shared" si="927"/>
        <v>0.2978571787495421</v>
      </c>
      <c r="AS122" s="954">
        <f t="shared" si="1029"/>
        <v>-246.60371854205403</v>
      </c>
      <c r="AT122" s="950">
        <f t="shared" si="928"/>
        <v>-1.560089721843257</v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>Taper</v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>
        <f t="shared" si="855"/>
        <v>5.2320000000000002</v>
      </c>
      <c r="IJ122" s="674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5.1319999999999997</v>
      </c>
      <c r="IK122" s="677" cm="1">
        <f t="array" ref="IK122">IFERROR(ROUND(VALUE(IF($IJ122&lt;1,$IJ122+LARGE((IF($M$9:$M$150="",0,$M$9:$M$150)-MOD(IF($M$9:$M$150="",0,$M$9:$M$150),1)),1),$IJ122)),4),"")</f>
        <v>5.1319999999999997</v>
      </c>
      <c r="IL122" s="482">
        <f t="shared" si="990"/>
        <v>1613</v>
      </c>
      <c r="IM122" s="482" t="str">
        <f t="shared" si="856"/>
        <v>CPS-32193r1</v>
      </c>
      <c r="IN122" s="670">
        <f t="shared" si="991"/>
        <v>8.6437009216606668</v>
      </c>
      <c r="IO122" s="702">
        <v>3.1890031127032703E-2</v>
      </c>
      <c r="IP122" s="5">
        <f t="shared" si="992"/>
        <v>1.86</v>
      </c>
      <c r="IQ122" s="714">
        <v>930</v>
      </c>
      <c r="IR122" s="9">
        <f t="shared" si="993"/>
        <v>-7.6519230782000056</v>
      </c>
      <c r="IS122" s="5">
        <f t="shared" si="994"/>
        <v>-1.7206051893452516</v>
      </c>
      <c r="IT122" s="5">
        <f t="shared" si="995"/>
        <v>0.3125</v>
      </c>
      <c r="IU122" s="5">
        <f t="shared" si="996"/>
        <v>0.28974496104203379</v>
      </c>
      <c r="IV122" s="670">
        <f t="shared" si="997"/>
        <v>51.59999254988287</v>
      </c>
      <c r="IW122" s="9">
        <f t="shared" si="998"/>
        <v>-7.6536886057406912</v>
      </c>
      <c r="IX122" s="5">
        <f t="shared" si="999"/>
        <v>-1.7313423041641278</v>
      </c>
      <c r="IY122" s="5">
        <f t="shared" si="1000"/>
        <v>0.255</v>
      </c>
      <c r="IZ122" s="5">
        <f t="shared" si="1001"/>
        <v>0.255</v>
      </c>
      <c r="JA122" s="705">
        <f t="shared" si="1002"/>
        <v>54.519992128287065</v>
      </c>
      <c r="JN122" s="960"/>
      <c r="JO122" s="162"/>
      <c r="JP122" s="961"/>
      <c r="JQ122" s="961"/>
    </row>
    <row r="123" spans="1:277" ht="15" customHeight="1" x14ac:dyDescent="0.25">
      <c r="A123" s="75">
        <f t="shared" si="917"/>
        <v>0</v>
      </c>
      <c r="B123" s="578">
        <f t="shared" ref="B123:D123" si="1063">IFERROR(O278+($A123*-E123),"")</f>
        <v>-7.368837321852153</v>
      </c>
      <c r="C123" s="572">
        <f t="shared" si="1063"/>
        <v>-3.1853009183820422</v>
      </c>
      <c r="D123" s="576">
        <f t="shared" si="1063"/>
        <v>-2.40221561194498</v>
      </c>
      <c r="E123" s="580">
        <f t="shared" ref="E123:K123" si="1064">R278</f>
        <v>-0.84017582520380407</v>
      </c>
      <c r="F123" s="572">
        <f t="shared" si="1064"/>
        <v>-0.36317979495731412</v>
      </c>
      <c r="G123" s="579">
        <f t="shared" si="1064"/>
        <v>0.40274684266654431</v>
      </c>
      <c r="H123" s="580">
        <f t="shared" si="1064"/>
        <v>0.255</v>
      </c>
      <c r="I123" s="572">
        <f t="shared" si="1064"/>
        <v>0.41499999999999992</v>
      </c>
      <c r="J123" s="483">
        <f t="shared" si="728"/>
        <v>5.2350000000000003</v>
      </c>
      <c r="K123" s="806" t="str">
        <f t="shared" si="1064"/>
        <v>CPS-32193r1</v>
      </c>
      <c r="L123" s="309"/>
      <c r="M123" s="164">
        <f t="shared" si="920"/>
        <v>5.2350000000000003</v>
      </c>
      <c r="N123" s="575">
        <f t="shared" si="921"/>
        <v>-7.368837321852153</v>
      </c>
      <c r="O123" s="572">
        <f t="shared" si="922"/>
        <v>-3.1853009183820422</v>
      </c>
      <c r="P123" s="576">
        <f t="shared" si="923"/>
        <v>-2.40221561194498</v>
      </c>
      <c r="Q123" s="528">
        <f t="shared" si="729"/>
        <v>203.37720716959285</v>
      </c>
      <c r="R123" s="572">
        <f t="shared" si="1005"/>
        <v>8.0278207140273565</v>
      </c>
      <c r="S123" s="577">
        <f t="shared" si="1006"/>
        <v>-2.40221561194498</v>
      </c>
      <c r="T123" s="578">
        <f t="shared" si="1007"/>
        <v>-3.1853009183820431</v>
      </c>
      <c r="U123" s="572">
        <f t="shared" si="1008"/>
        <v>7.3688373218521521</v>
      </c>
      <c r="V123" s="579">
        <f t="shared" si="1009"/>
        <v>-2.40221561194498</v>
      </c>
      <c r="W123" s="528">
        <f t="shared" si="866"/>
        <v>113.37720716959285</v>
      </c>
      <c r="X123" s="572">
        <f t="shared" si="1010"/>
        <v>8.0278207140273565</v>
      </c>
      <c r="Y123" s="573">
        <f t="shared" si="859"/>
        <v>-2.40221561194498</v>
      </c>
      <c r="Z123" s="575">
        <f t="shared" si="924"/>
        <v>0.84017582520380407</v>
      </c>
      <c r="AA123" s="572">
        <f t="shared" si="925"/>
        <v>0.36317979495731412</v>
      </c>
      <c r="AB123" s="572">
        <f t="shared" si="926"/>
        <v>-0.40274684266654431</v>
      </c>
      <c r="AC123" s="579">
        <f t="shared" si="1011"/>
        <v>1</v>
      </c>
      <c r="AD123" s="580">
        <f t="shared" si="1012"/>
        <v>0.84017582520380407</v>
      </c>
      <c r="AE123" s="572">
        <f t="shared" si="1013"/>
        <v>0.36317979495731412</v>
      </c>
      <c r="AF123" s="576">
        <f t="shared" si="1014"/>
        <v>-0.40274684266654431</v>
      </c>
      <c r="AG123" s="545">
        <f t="shared" si="1015"/>
        <v>42.042782800533828</v>
      </c>
      <c r="AH123" s="546">
        <f t="shared" si="1016"/>
        <v>32.841309013059636</v>
      </c>
      <c r="AI123" s="528">
        <f t="shared" si="1017"/>
        <v>-66.249990434684875</v>
      </c>
      <c r="AJ123" s="529">
        <f t="shared" si="1018"/>
        <v>113.37720716959286</v>
      </c>
      <c r="AK123" s="578">
        <f t="shared" si="1019"/>
        <v>5.5511151231257827E-17</v>
      </c>
      <c r="AL123" s="572">
        <f t="shared" si="1020"/>
        <v>-0.91531141188238763</v>
      </c>
      <c r="AM123" s="577">
        <f t="shared" si="1021"/>
        <v>-0.40274684266654431</v>
      </c>
      <c r="AN123" s="524">
        <f t="shared" si="1022"/>
        <v>-66.249990434684875</v>
      </c>
      <c r="AO123" s="525">
        <f t="shared" si="1058"/>
        <v>0</v>
      </c>
      <c r="AP123" s="528">
        <f t="shared" si="1023"/>
        <v>-90</v>
      </c>
      <c r="AQ123" s="529">
        <f t="shared" si="927"/>
        <v>0.28397594389857572</v>
      </c>
      <c r="AS123" s="954">
        <f t="shared" si="1029"/>
        <v>-246.62279283040715</v>
      </c>
      <c r="AT123" s="950">
        <f t="shared" si="928"/>
        <v>-2.2309497835905305</v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>Taper</v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>
        <f t="shared" si="855"/>
        <v>5.2350000000000003</v>
      </c>
      <c r="IJ123" s="674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>5.1349999999999998</v>
      </c>
      <c r="IK123" s="677" cm="1">
        <f t="array" ref="IK123">IFERROR(ROUND(VALUE(IF($IJ123&lt;1,$IJ123+LARGE((IF($M$9:$M$150="",0,$M$9:$M$150)-MOD(IF($M$9:$M$150="",0,$M$9:$M$150),1)),1),$IJ123)),4),"")</f>
        <v>5.1349999999999998</v>
      </c>
      <c r="IL123" s="482">
        <f t="shared" si="990"/>
        <v>1613</v>
      </c>
      <c r="IM123" s="482" t="str">
        <f t="shared" si="856"/>
        <v>CPS-32193r1</v>
      </c>
      <c r="IN123" s="670">
        <f t="shared" si="991"/>
        <v>8.2327752720981096</v>
      </c>
      <c r="IO123" s="702">
        <v>3.0383779156918901E-2</v>
      </c>
      <c r="IP123" s="5">
        <f t="shared" si="992"/>
        <v>2.16</v>
      </c>
      <c r="IQ123" s="714">
        <v>1080</v>
      </c>
      <c r="IR123" s="9">
        <f t="shared" si="993"/>
        <v>-8.0310242215690533</v>
      </c>
      <c r="IS123" s="5">
        <f t="shared" si="994"/>
        <v>-2.387907201928122</v>
      </c>
      <c r="IT123" s="5">
        <f t="shared" si="995"/>
        <v>0.3125</v>
      </c>
      <c r="IU123" s="5">
        <f t="shared" si="996"/>
        <v>0.28458865193955274</v>
      </c>
      <c r="IV123" s="670">
        <f t="shared" si="997"/>
        <v>60.699991236005623</v>
      </c>
      <c r="IW123" s="9">
        <f t="shared" si="998"/>
        <v>-8.0278207140273565</v>
      </c>
      <c r="IX123" s="5">
        <f t="shared" si="999"/>
        <v>-2.40221561194498</v>
      </c>
      <c r="IY123" s="5">
        <f t="shared" si="1000"/>
        <v>0.255</v>
      </c>
      <c r="IZ123" s="5">
        <f t="shared" si="1001"/>
        <v>0.255</v>
      </c>
      <c r="JA123" s="705">
        <f t="shared" si="1002"/>
        <v>66.249990434684875</v>
      </c>
      <c r="JN123" s="960"/>
      <c r="JO123" s="162"/>
      <c r="JP123" s="961"/>
      <c r="JQ123" s="961"/>
    </row>
    <row r="124" spans="1:277" ht="15" customHeight="1" x14ac:dyDescent="0.25">
      <c r="A124" s="75">
        <f t="shared" si="917"/>
        <v>0</v>
      </c>
      <c r="B124" s="578">
        <f t="shared" ref="B124:D124" si="1065">IFERROR(O279+($A124*-E124),"")</f>
        <v>-7.5840432750773807</v>
      </c>
      <c r="C124" s="572">
        <f t="shared" si="1065"/>
        <v>-3.2735067958096153</v>
      </c>
      <c r="D124" s="576">
        <f t="shared" si="1065"/>
        <v>-3.1338529018179879</v>
      </c>
      <c r="E124" s="580">
        <f t="shared" ref="E124:K124" si="1066">R279</f>
        <v>-0.8919274884843017</v>
      </c>
      <c r="F124" s="572">
        <f t="shared" si="1066"/>
        <v>-0.38498339065621617</v>
      </c>
      <c r="G124" s="579">
        <f t="shared" si="1066"/>
        <v>0.2371774529860062</v>
      </c>
      <c r="H124" s="580">
        <f t="shared" si="1066"/>
        <v>0.255</v>
      </c>
      <c r="I124" s="572">
        <f t="shared" si="1066"/>
        <v>0.41499999999999992</v>
      </c>
      <c r="J124" s="483">
        <f t="shared" si="728"/>
        <v>5.2380000000000004</v>
      </c>
      <c r="K124" s="806" t="str">
        <f t="shared" si="1066"/>
        <v>CPS-32193r1</v>
      </c>
      <c r="L124" s="309"/>
      <c r="M124" s="164">
        <f t="shared" si="920"/>
        <v>5.2380000000000004</v>
      </c>
      <c r="N124" s="575">
        <f t="shared" si="921"/>
        <v>-7.5840432750773807</v>
      </c>
      <c r="O124" s="572">
        <f t="shared" si="922"/>
        <v>-3.2735067958096153</v>
      </c>
      <c r="P124" s="576">
        <f t="shared" si="923"/>
        <v>-3.1338529018179879</v>
      </c>
      <c r="Q124" s="528">
        <f t="shared" si="729"/>
        <v>203.34651619664297</v>
      </c>
      <c r="R124" s="572">
        <f t="shared" si="1005"/>
        <v>8.2603607149117995</v>
      </c>
      <c r="S124" s="577">
        <f t="shared" si="1006"/>
        <v>-3.1338529018179879</v>
      </c>
      <c r="T124" s="578">
        <f t="shared" si="1007"/>
        <v>-3.2735067958096158</v>
      </c>
      <c r="U124" s="572">
        <f t="shared" si="1008"/>
        <v>7.5840432750773799</v>
      </c>
      <c r="V124" s="579">
        <f t="shared" si="1009"/>
        <v>-3.1338529018179879</v>
      </c>
      <c r="W124" s="528">
        <f t="shared" si="866"/>
        <v>113.34651619664297</v>
      </c>
      <c r="X124" s="572">
        <f t="shared" si="1010"/>
        <v>8.2603607149117995</v>
      </c>
      <c r="Y124" s="573">
        <f t="shared" si="859"/>
        <v>-3.1338529018179879</v>
      </c>
      <c r="Z124" s="575">
        <f t="shared" si="924"/>
        <v>0.8919274884843017</v>
      </c>
      <c r="AA124" s="572">
        <f t="shared" si="925"/>
        <v>0.38498339065621617</v>
      </c>
      <c r="AB124" s="572">
        <f t="shared" si="926"/>
        <v>-0.2371774529860062</v>
      </c>
      <c r="AC124" s="579">
        <f t="shared" si="1011"/>
        <v>1</v>
      </c>
      <c r="AD124" s="580">
        <f t="shared" si="1012"/>
        <v>0.8919274884843017</v>
      </c>
      <c r="AE124" s="572">
        <f t="shared" si="1013"/>
        <v>0.38498339065621617</v>
      </c>
      <c r="AF124" s="576">
        <f t="shared" si="1014"/>
        <v>-0.2371774529860062</v>
      </c>
      <c r="AG124" s="545">
        <f t="shared" si="1015"/>
        <v>58.36394398640801</v>
      </c>
      <c r="AH124" s="546">
        <f t="shared" si="1016"/>
        <v>26.883537504154454</v>
      </c>
      <c r="AI124" s="528">
        <f t="shared" si="1017"/>
        <v>-76.279988986532231</v>
      </c>
      <c r="AJ124" s="529">
        <f t="shared" si="1018"/>
        <v>113.34651619664295</v>
      </c>
      <c r="AK124" s="578">
        <f t="shared" si="1019"/>
        <v>0</v>
      </c>
      <c r="AL124" s="572">
        <f t="shared" si="1020"/>
        <v>-0.97146634310977076</v>
      </c>
      <c r="AM124" s="577">
        <f t="shared" si="1021"/>
        <v>-0.2371774529860062</v>
      </c>
      <c r="AN124" s="524">
        <f t="shared" si="1022"/>
        <v>-76.279988986532231</v>
      </c>
      <c r="AO124" s="525">
        <f t="shared" si="1058"/>
        <v>0</v>
      </c>
      <c r="AP124" s="528">
        <f t="shared" si="1023"/>
        <v>-90</v>
      </c>
      <c r="AQ124" s="529">
        <f t="shared" si="927"/>
        <v>0.27598177362950493</v>
      </c>
      <c r="AS124" s="954">
        <f t="shared" si="1029"/>
        <v>-246.65348380335703</v>
      </c>
      <c r="AT124" s="950">
        <f t="shared" si="928"/>
        <v>-2.962565760287879</v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>Taper</v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>
        <f t="shared" si="855"/>
        <v>5.2380000000000004</v>
      </c>
      <c r="IJ124" s="674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>5.1379999999999999</v>
      </c>
      <c r="IK124" s="677" cm="1">
        <f t="array" ref="IK124">IFERROR(ROUND(VALUE(IF($IJ124&lt;1,$IJ124+LARGE((IF($M$9:$M$150="",0,$M$9:$M$150)-MOD(IF($M$9:$M$150="",0,$M$9:$M$150),1)),1),$IJ124)),4),"")</f>
        <v>5.1379999999999999</v>
      </c>
      <c r="IL124" s="482">
        <f t="shared" si="990"/>
        <v>1613</v>
      </c>
      <c r="IM124" s="482" t="str">
        <f t="shared" si="856"/>
        <v>CPS-32193r1</v>
      </c>
      <c r="IN124" s="670">
        <f t="shared" si="991"/>
        <v>7.9934662840311148</v>
      </c>
      <c r="IO124" s="702">
        <v>2.8634998578023999E-2</v>
      </c>
      <c r="IP124" s="5">
        <f t="shared" si="992"/>
        <v>2.5</v>
      </c>
      <c r="IQ124" s="714">
        <v>1250</v>
      </c>
      <c r="IR124" s="9">
        <f t="shared" si="993"/>
        <v>-8.2698249417920255</v>
      </c>
      <c r="IS124" s="5">
        <f t="shared" si="994"/>
        <v>-3.1176094027099586</v>
      </c>
      <c r="IT124" s="5">
        <f t="shared" si="995"/>
        <v>0.3125</v>
      </c>
      <c r="IU124" s="5">
        <f t="shared" si="996"/>
        <v>0.27893307778184501</v>
      </c>
      <c r="IV124" s="670">
        <f t="shared" si="997"/>
        <v>69.799989922128262</v>
      </c>
      <c r="IW124" s="9">
        <f t="shared" si="998"/>
        <v>-8.2603607149117995</v>
      </c>
      <c r="IX124" s="5">
        <f t="shared" si="999"/>
        <v>-3.1338529018179879</v>
      </c>
      <c r="IY124" s="5">
        <f t="shared" si="1000"/>
        <v>0.255</v>
      </c>
      <c r="IZ124" s="5">
        <f t="shared" si="1001"/>
        <v>0.255</v>
      </c>
      <c r="JA124" s="705">
        <f t="shared" si="1002"/>
        <v>76.279988986532231</v>
      </c>
      <c r="JN124" s="960"/>
      <c r="JO124" s="162"/>
      <c r="JP124" s="961"/>
      <c r="JQ124" s="961"/>
    </row>
    <row r="125" spans="1:277" ht="15" customHeight="1" x14ac:dyDescent="0.25">
      <c r="A125" s="75">
        <f t="shared" si="917"/>
        <v>0</v>
      </c>
      <c r="B125" s="578">
        <f t="shared" ref="B125:D125" si="1067">IFERROR(O280+($A125*-E125),"")</f>
        <v>-7.7120215631772329</v>
      </c>
      <c r="C125" s="572">
        <f t="shared" si="1067"/>
        <v>-3.3238111758232542</v>
      </c>
      <c r="D125" s="576">
        <f t="shared" si="1067"/>
        <v>-3.8885792865877424</v>
      </c>
      <c r="E125" s="580">
        <f t="shared" ref="E125:K125" si="1068">R280</f>
        <v>-0.90913172162955036</v>
      </c>
      <c r="F125" s="572">
        <f t="shared" si="1068"/>
        <v>-0.39182750617242923</v>
      </c>
      <c r="G125" s="579">
        <f t="shared" si="1068"/>
        <v>0.14124701106071194</v>
      </c>
      <c r="H125" s="580">
        <f t="shared" si="1068"/>
        <v>0.255</v>
      </c>
      <c r="I125" s="572">
        <f t="shared" si="1068"/>
        <v>0.41499999999999992</v>
      </c>
      <c r="J125" s="483">
        <f t="shared" si="728"/>
        <v>5.2409999999999997</v>
      </c>
      <c r="K125" s="806" t="str">
        <f t="shared" si="1068"/>
        <v>CPS-32193r1</v>
      </c>
      <c r="L125" s="309"/>
      <c r="M125" s="164">
        <f t="shared" si="920"/>
        <v>5.2409999999999997</v>
      </c>
      <c r="N125" s="575">
        <f t="shared" si="921"/>
        <v>-7.7120215631772329</v>
      </c>
      <c r="O125" s="572">
        <f t="shared" si="922"/>
        <v>-3.3238111758232542</v>
      </c>
      <c r="P125" s="576">
        <f t="shared" si="923"/>
        <v>-3.8885792865877424</v>
      </c>
      <c r="Q125" s="528">
        <f t="shared" si="729"/>
        <v>203.3156028796154</v>
      </c>
      <c r="R125" s="572">
        <f t="shared" si="1005"/>
        <v>8.397797170891792</v>
      </c>
      <c r="S125" s="577">
        <f t="shared" si="1006"/>
        <v>-3.8885792865877424</v>
      </c>
      <c r="T125" s="578">
        <f t="shared" si="1007"/>
        <v>-3.3238111758232542</v>
      </c>
      <c r="U125" s="572">
        <f t="shared" si="1008"/>
        <v>7.7120215631772338</v>
      </c>
      <c r="V125" s="579">
        <f t="shared" si="1009"/>
        <v>-3.8885792865877424</v>
      </c>
      <c r="W125" s="528">
        <f t="shared" si="866"/>
        <v>113.3156028796154</v>
      </c>
      <c r="X125" s="572">
        <f t="shared" si="1010"/>
        <v>8.397797170891792</v>
      </c>
      <c r="Y125" s="573">
        <f t="shared" si="859"/>
        <v>-3.8885792865877424</v>
      </c>
      <c r="Z125" s="575">
        <f t="shared" si="924"/>
        <v>0.90913172162955036</v>
      </c>
      <c r="AA125" s="572">
        <f t="shared" si="925"/>
        <v>0.39182750617242923</v>
      </c>
      <c r="AB125" s="572">
        <f t="shared" si="926"/>
        <v>-0.14124701106071194</v>
      </c>
      <c r="AC125" s="579">
        <f t="shared" si="1011"/>
        <v>1</v>
      </c>
      <c r="AD125" s="580">
        <f t="shared" si="1012"/>
        <v>0.90913172162955036</v>
      </c>
      <c r="AE125" s="572">
        <f t="shared" si="1013"/>
        <v>0.39182750617242923</v>
      </c>
      <c r="AF125" s="576">
        <f t="shared" si="1014"/>
        <v>-0.14124701106071194</v>
      </c>
      <c r="AG125" s="545">
        <f t="shared" si="1015"/>
        <v>70.176647217715754</v>
      </c>
      <c r="AH125" s="546">
        <f t="shared" si="1016"/>
        <v>24.614363673769297</v>
      </c>
      <c r="AI125" s="528">
        <f t="shared" si="1017"/>
        <v>-81.879988177992374</v>
      </c>
      <c r="AJ125" s="529">
        <f t="shared" si="1018"/>
        <v>113.31560287961538</v>
      </c>
      <c r="AK125" s="578">
        <f t="shared" si="1019"/>
        <v>-5.5511151231257827E-17</v>
      </c>
      <c r="AL125" s="572">
        <f t="shared" si="1020"/>
        <v>-0.98997438444962571</v>
      </c>
      <c r="AM125" s="577">
        <f t="shared" si="1021"/>
        <v>-0.14124701106071194</v>
      </c>
      <c r="AN125" s="524">
        <f t="shared" si="1022"/>
        <v>-81.879988177992374</v>
      </c>
      <c r="AO125" s="525">
        <f t="shared" si="1058"/>
        <v>0</v>
      </c>
      <c r="AP125" s="528">
        <f t="shared" si="1023"/>
        <v>-90</v>
      </c>
      <c r="AQ125" s="529">
        <f t="shared" si="927"/>
        <v>0.27146518627333771</v>
      </c>
      <c r="AS125" s="954">
        <f t="shared" si="1029"/>
        <v>-246.6843971203846</v>
      </c>
      <c r="AT125" s="950">
        <f t="shared" si="928"/>
        <v>-3.7172706774763644</v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>Taper</v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>
        <f t="shared" si="855"/>
        <v>5.2409999999999997</v>
      </c>
      <c r="IJ125" s="674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>5.141</v>
      </c>
      <c r="IK125" s="677" cm="1">
        <f t="array" ref="IK125">IFERROR(ROUND(VALUE(IF($IJ125&lt;1,$IJ125+LARGE((IF($M$9:$M$150="",0,$M$9:$M$150)-MOD(IF($M$9:$M$150="",0,$M$9:$M$150),1)),1),$IJ125)),4),"")</f>
        <v>5.141</v>
      </c>
      <c r="IL125" s="482">
        <f t="shared" si="990"/>
        <v>1613</v>
      </c>
      <c r="IM125" s="482" t="str">
        <f t="shared" si="856"/>
        <v>CPS-32193r1</v>
      </c>
      <c r="IN125" s="670">
        <f t="shared" si="991"/>
        <v>7.8543796256036842</v>
      </c>
      <c r="IO125" s="702">
        <v>2.67665858349279E-2</v>
      </c>
      <c r="IP125" s="5">
        <f t="shared" si="992"/>
        <v>2.94</v>
      </c>
      <c r="IQ125" s="714">
        <v>1470</v>
      </c>
      <c r="IR125" s="9">
        <f t="shared" si="993"/>
        <v>-8.4153253806213488</v>
      </c>
      <c r="IS125" s="5">
        <f t="shared" si="994"/>
        <v>-3.8722116785904226</v>
      </c>
      <c r="IT125" s="5">
        <f t="shared" si="995"/>
        <v>0.3125</v>
      </c>
      <c r="IU125" s="5">
        <f t="shared" si="996"/>
        <v>0.27198616642057533</v>
      </c>
      <c r="IV125" s="670">
        <f t="shared" si="997"/>
        <v>78.89998860825105</v>
      </c>
      <c r="IW125" s="9">
        <f t="shared" si="998"/>
        <v>-8.397797170891792</v>
      </c>
      <c r="IX125" s="5">
        <f t="shared" si="999"/>
        <v>-3.8885792865877424</v>
      </c>
      <c r="IY125" s="5">
        <f t="shared" si="1000"/>
        <v>0.255</v>
      </c>
      <c r="IZ125" s="5">
        <f t="shared" si="1001"/>
        <v>0.255</v>
      </c>
      <c r="JA125" s="705">
        <f t="shared" si="1002"/>
        <v>81.879988177992374</v>
      </c>
      <c r="JN125" s="960"/>
      <c r="JO125" s="162"/>
      <c r="JP125" s="961"/>
      <c r="JQ125" s="961"/>
    </row>
    <row r="126" spans="1:277" ht="15" customHeight="1" x14ac:dyDescent="0.25">
      <c r="A126" s="75">
        <f t="shared" si="917"/>
        <v>0</v>
      </c>
      <c r="B126" s="578">
        <f t="shared" ref="B126:D126" si="1069">IFERROR(O281+($A126*-E126),"")</f>
        <v>-2.6589655845700779</v>
      </c>
      <c r="C126" s="572">
        <f t="shared" si="1069"/>
        <v>1.5351550320529315</v>
      </c>
      <c r="D126" s="576">
        <f t="shared" si="1069"/>
        <v>-0.44060132885360787</v>
      </c>
      <c r="E126" s="580">
        <f t="shared" ref="E126:K126" si="1070">R281</f>
        <v>-0.47123226521557671</v>
      </c>
      <c r="F126" s="572">
        <f t="shared" si="1070"/>
        <v>-0.84328901013881552</v>
      </c>
      <c r="G126" s="579">
        <f t="shared" si="1070"/>
        <v>0.2584643062376179</v>
      </c>
      <c r="H126" s="580">
        <f t="shared" si="1070"/>
        <v>0.3125</v>
      </c>
      <c r="I126" s="572">
        <f t="shared" si="1070"/>
        <v>0.52</v>
      </c>
      <c r="J126" s="483">
        <f t="shared" si="728"/>
        <v>6.1120000000000001</v>
      </c>
      <c r="K126" s="806">
        <f t="shared" si="1070"/>
        <v>1613</v>
      </c>
      <c r="L126" s="309"/>
      <c r="M126" s="164">
        <f t="shared" si="920"/>
        <v>6.1120000000000001</v>
      </c>
      <c r="N126" s="575">
        <f t="shared" si="921"/>
        <v>-2.6589655845700779</v>
      </c>
      <c r="O126" s="572">
        <f t="shared" si="922"/>
        <v>1.5351550320529315</v>
      </c>
      <c r="P126" s="576">
        <f t="shared" si="923"/>
        <v>-0.44060132885360787</v>
      </c>
      <c r="Q126" s="528">
        <f t="shared" si="729"/>
        <v>149.99999133707308</v>
      </c>
      <c r="R126" s="572">
        <f t="shared" si="1005"/>
        <v>3.0703092600527286</v>
      </c>
      <c r="S126" s="577">
        <f t="shared" si="1006"/>
        <v>-0.44060132885360787</v>
      </c>
      <c r="T126" s="578">
        <f t="shared" si="1007"/>
        <v>1.5351550320529315</v>
      </c>
      <c r="U126" s="572">
        <f t="shared" si="1008"/>
        <v>2.6589655845700784</v>
      </c>
      <c r="V126" s="579">
        <f t="shared" si="1009"/>
        <v>-0.44060132885360787</v>
      </c>
      <c r="W126" s="528">
        <f t="shared" si="866"/>
        <v>59.999991337073084</v>
      </c>
      <c r="X126" s="572">
        <f t="shared" si="1010"/>
        <v>3.0703092600527286</v>
      </c>
      <c r="Y126" s="573">
        <f t="shared" si="859"/>
        <v>-0.44060132885360787</v>
      </c>
      <c r="Z126" s="575">
        <f t="shared" si="924"/>
        <v>0.47123226521557671</v>
      </c>
      <c r="AA126" s="572">
        <f t="shared" si="925"/>
        <v>0.84328901013881552</v>
      </c>
      <c r="AB126" s="572">
        <f t="shared" si="926"/>
        <v>-0.2584643062376179</v>
      </c>
      <c r="AC126" s="579">
        <f t="shared" si="1011"/>
        <v>1</v>
      </c>
      <c r="AD126" s="580">
        <f t="shared" si="1012"/>
        <v>0.47123226521557671</v>
      </c>
      <c r="AE126" s="572">
        <f t="shared" si="1013"/>
        <v>0.84328901013881552</v>
      </c>
      <c r="AF126" s="576">
        <f t="shared" si="1014"/>
        <v>-0.2584643062376179</v>
      </c>
      <c r="AG126" s="545">
        <f t="shared" si="1015"/>
        <v>72.959932354577603</v>
      </c>
      <c r="AH126" s="546">
        <f t="shared" si="1016"/>
        <v>61.885684694801938</v>
      </c>
      <c r="AI126" s="528">
        <f t="shared" si="1017"/>
        <v>-75.021040994812239</v>
      </c>
      <c r="AJ126" s="529">
        <f t="shared" si="1018"/>
        <v>150.80341876512045</v>
      </c>
      <c r="AK126" s="578">
        <f t="shared" si="1019"/>
        <v>0.96592583607220739</v>
      </c>
      <c r="AL126" s="572">
        <f t="shared" si="1020"/>
        <v>1.3545538354532372E-2</v>
      </c>
      <c r="AM126" s="577">
        <f t="shared" si="1021"/>
        <v>-0.2584643062376179</v>
      </c>
      <c r="AN126" s="524">
        <f t="shared" si="1022"/>
        <v>2.999999566853603</v>
      </c>
      <c r="AO126" s="525">
        <f t="shared" si="1058"/>
        <v>14.999997834268255</v>
      </c>
      <c r="AP126" s="528">
        <f t="shared" si="1023"/>
        <v>0.80342742804737199</v>
      </c>
      <c r="AQ126" s="529">
        <f t="shared" si="927"/>
        <v>0.74246560593055677</v>
      </c>
      <c r="AS126" s="954">
        <f t="shared" si="1029"/>
        <v>-300.00000866292692</v>
      </c>
      <c r="AT126" s="950">
        <f t="shared" si="928"/>
        <v>-0.23226798950435307</v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>
        <f t="shared" si="855"/>
        <v>6.1120000000000001</v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>
        <f t="shared" si="990"/>
        <v>1613</v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>
        <f t="shared" si="917"/>
        <v>0</v>
      </c>
      <c r="B127" s="578">
        <f t="shared" ref="B127:D127" si="1071">IFERROR(O282+($A127*-E127),"")</f>
        <v>-3.3025544080587124</v>
      </c>
      <c r="C127" s="572">
        <f t="shared" si="1071"/>
        <v>1.9072309255758353</v>
      </c>
      <c r="D127" s="576">
        <f t="shared" si="1071"/>
        <v>-0.24510073922382961</v>
      </c>
      <c r="E127" s="580">
        <f t="shared" ref="E127:K127" si="1072">R282</f>
        <v>-0.48318833416838891</v>
      </c>
      <c r="F127" s="572">
        <f t="shared" si="1072"/>
        <v>-0.83638614119802945</v>
      </c>
      <c r="G127" s="579">
        <f t="shared" si="1072"/>
        <v>0.25881896479092731</v>
      </c>
      <c r="H127" s="580">
        <f t="shared" si="1072"/>
        <v>0.3125</v>
      </c>
      <c r="I127" s="572">
        <f t="shared" si="1072"/>
        <v>0.52</v>
      </c>
      <c r="J127" s="483">
        <f t="shared" si="728"/>
        <v>6.1150000000000002</v>
      </c>
      <c r="K127" s="806">
        <f t="shared" si="1072"/>
        <v>1613</v>
      </c>
      <c r="L127" s="309"/>
      <c r="M127" s="164">
        <f t="shared" si="920"/>
        <v>6.1150000000000002</v>
      </c>
      <c r="N127" s="575">
        <f t="shared" si="921"/>
        <v>-3.3025544080587124</v>
      </c>
      <c r="O127" s="572">
        <f t="shared" si="922"/>
        <v>1.9072309255758353</v>
      </c>
      <c r="P127" s="576">
        <f t="shared" si="923"/>
        <v>-0.24510073922382961</v>
      </c>
      <c r="Q127" s="528">
        <f t="shared" si="729"/>
        <v>149.99349133801152</v>
      </c>
      <c r="R127" s="572">
        <f t="shared" si="1005"/>
        <v>3.813711502153891</v>
      </c>
      <c r="S127" s="577">
        <f t="shared" si="1006"/>
        <v>-0.24510073922382961</v>
      </c>
      <c r="T127" s="578">
        <f t="shared" si="1007"/>
        <v>1.9072309255758364</v>
      </c>
      <c r="U127" s="572">
        <f t="shared" si="1008"/>
        <v>3.302554408058711</v>
      </c>
      <c r="V127" s="579">
        <f t="shared" si="1009"/>
        <v>-0.24510073922382961</v>
      </c>
      <c r="W127" s="528">
        <f t="shared" si="866"/>
        <v>59.993491338011523</v>
      </c>
      <c r="X127" s="572">
        <f t="shared" si="1010"/>
        <v>3.813711502153891</v>
      </c>
      <c r="Y127" s="573">
        <f t="shared" si="859"/>
        <v>-0.24510073922382961</v>
      </c>
      <c r="Z127" s="575">
        <f t="shared" si="924"/>
        <v>0.48318833416838891</v>
      </c>
      <c r="AA127" s="572">
        <f t="shared" si="925"/>
        <v>0.83638614119802945</v>
      </c>
      <c r="AB127" s="572">
        <f t="shared" si="926"/>
        <v>-0.25881896479092731</v>
      </c>
      <c r="AC127" s="579">
        <f t="shared" si="1011"/>
        <v>1</v>
      </c>
      <c r="AD127" s="580">
        <f t="shared" si="1012"/>
        <v>0.48318833416838891</v>
      </c>
      <c r="AE127" s="572">
        <f t="shared" si="1013"/>
        <v>0.83638614119802945</v>
      </c>
      <c r="AF127" s="576">
        <f t="shared" si="1014"/>
        <v>-0.25881896479092731</v>
      </c>
      <c r="AG127" s="545">
        <f t="shared" si="1015"/>
        <v>72.805363525468906</v>
      </c>
      <c r="AH127" s="546">
        <f t="shared" si="1016"/>
        <v>61.106154967794218</v>
      </c>
      <c r="AI127" s="528">
        <f t="shared" si="1017"/>
        <v>-75.000004763839186</v>
      </c>
      <c r="AJ127" s="529">
        <f t="shared" si="1018"/>
        <v>149.98455970148004</v>
      </c>
      <c r="AK127" s="578">
        <f t="shared" si="1019"/>
        <v>0.96592583607220739</v>
      </c>
      <c r="AL127" s="572">
        <f t="shared" si="1020"/>
        <v>-1.5057476532087666E-4</v>
      </c>
      <c r="AM127" s="577">
        <f t="shared" si="1021"/>
        <v>-0.25881896479092731</v>
      </c>
      <c r="AN127" s="524">
        <f t="shared" si="1022"/>
        <v>-3.3333328520518818E-2</v>
      </c>
      <c r="AO127" s="525">
        <f t="shared" si="1058"/>
        <v>14.999997834268255</v>
      </c>
      <c r="AP127" s="528">
        <f t="shared" si="1023"/>
        <v>-8.9316365314938296E-3</v>
      </c>
      <c r="AQ127" s="529">
        <f t="shared" si="927"/>
        <v>0.59774944190566004</v>
      </c>
      <c r="AS127" s="954">
        <f t="shared" si="1029"/>
        <v>-300.00650866198851</v>
      </c>
      <c r="AT127" s="950">
        <f t="shared" si="928"/>
        <v>-3.676288598633759E-2</v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>
        <f t="shared" si="855"/>
        <v>6.1150000000000002</v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>
        <f t="shared" si="990"/>
        <v>1613</v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>
        <f t="shared" si="917"/>
        <v>0</v>
      </c>
      <c r="B128" s="578">
        <f t="shared" ref="B128:D128" si="1073">IFERROR(O283+($A128*-E128),"")</f>
        <v>-3.953095614340862</v>
      </c>
      <c r="C128" s="572">
        <f t="shared" si="1073"/>
        <v>2.3053780219782958</v>
      </c>
      <c r="D128" s="576">
        <f t="shared" si="1073"/>
        <v>-0.15660047230702429</v>
      </c>
      <c r="E128" s="580">
        <f t="shared" ref="E128:K128" si="1074">R283</f>
        <v>-0.52210137080346808</v>
      </c>
      <c r="F128" s="572">
        <f t="shared" si="1074"/>
        <v>-0.81264941071391972</v>
      </c>
      <c r="G128" s="579">
        <f t="shared" si="1074"/>
        <v>0.25886501090618391</v>
      </c>
      <c r="H128" s="580">
        <f t="shared" si="1074"/>
        <v>0.3125</v>
      </c>
      <c r="I128" s="572">
        <f t="shared" si="1074"/>
        <v>0.52</v>
      </c>
      <c r="J128" s="483">
        <f t="shared" si="728"/>
        <v>6.1180000000000003</v>
      </c>
      <c r="K128" s="806">
        <f t="shared" si="1074"/>
        <v>1613</v>
      </c>
      <c r="L128" s="309"/>
      <c r="M128" s="164">
        <f t="shared" si="920"/>
        <v>6.1180000000000003</v>
      </c>
      <c r="N128" s="575">
        <f t="shared" si="921"/>
        <v>-3.953095614340862</v>
      </c>
      <c r="O128" s="572">
        <f t="shared" si="922"/>
        <v>2.3053780219782958</v>
      </c>
      <c r="P128" s="576">
        <f t="shared" si="923"/>
        <v>-0.15660047230702429</v>
      </c>
      <c r="Q128" s="528">
        <f t="shared" si="729"/>
        <v>149.7499913731686</v>
      </c>
      <c r="R128" s="572">
        <f t="shared" si="1005"/>
        <v>4.5762138018608258</v>
      </c>
      <c r="S128" s="577">
        <f t="shared" si="1006"/>
        <v>-0.15660047230702429</v>
      </c>
      <c r="T128" s="578">
        <f t="shared" si="1007"/>
        <v>2.3053780219782953</v>
      </c>
      <c r="U128" s="572">
        <f t="shared" si="1008"/>
        <v>3.953095614340862</v>
      </c>
      <c r="V128" s="579">
        <f t="shared" si="1009"/>
        <v>-0.15660047230702429</v>
      </c>
      <c r="W128" s="528">
        <f t="shared" si="866"/>
        <v>59.749991373168598</v>
      </c>
      <c r="X128" s="572">
        <f t="shared" si="1010"/>
        <v>4.5762138018608258</v>
      </c>
      <c r="Y128" s="573">
        <f t="shared" si="859"/>
        <v>-0.15660047230702429</v>
      </c>
      <c r="Z128" s="575">
        <f t="shared" si="924"/>
        <v>0.52210137080346808</v>
      </c>
      <c r="AA128" s="572">
        <f t="shared" si="925"/>
        <v>0.81264941071391972</v>
      </c>
      <c r="AB128" s="572">
        <f t="shared" si="926"/>
        <v>-0.25886501090618391</v>
      </c>
      <c r="AC128" s="579">
        <f t="shared" si="1011"/>
        <v>1</v>
      </c>
      <c r="AD128" s="580">
        <f t="shared" si="1012"/>
        <v>0.52210137080346808</v>
      </c>
      <c r="AE128" s="572">
        <f t="shared" si="1013"/>
        <v>0.81264941071391972</v>
      </c>
      <c r="AF128" s="576">
        <f t="shared" si="1014"/>
        <v>-0.25886501090618391</v>
      </c>
      <c r="AG128" s="545">
        <f t="shared" si="1015"/>
        <v>72.331007304943341</v>
      </c>
      <c r="AH128" s="546">
        <f t="shared" si="1016"/>
        <v>58.52668685955706</v>
      </c>
      <c r="AI128" s="528">
        <f t="shared" si="1017"/>
        <v>-74.997273431072927</v>
      </c>
      <c r="AJ128" s="529">
        <f t="shared" si="1018"/>
        <v>147.28054647596204</v>
      </c>
      <c r="AK128" s="578">
        <f t="shared" si="1019"/>
        <v>0.96501650451497922</v>
      </c>
      <c r="AL128" s="572">
        <f t="shared" si="1020"/>
        <v>-4.1617930537601766E-2</v>
      </c>
      <c r="AM128" s="577">
        <f t="shared" si="1021"/>
        <v>-0.25886501090618391</v>
      </c>
      <c r="AN128" s="524">
        <f t="shared" si="1022"/>
        <v>-9.1333320146433792</v>
      </c>
      <c r="AO128" s="525">
        <f t="shared" si="1058"/>
        <v>15.199997805391808</v>
      </c>
      <c r="AP128" s="528">
        <f t="shared" si="1023"/>
        <v>-2.4694448972065608</v>
      </c>
      <c r="AQ128" s="529">
        <f t="shared" si="927"/>
        <v>0.49815618020052471</v>
      </c>
      <c r="AS128" s="954">
        <f t="shared" si="1029"/>
        <v>-300.2500086268314</v>
      </c>
      <c r="AT128" s="950">
        <f t="shared" si="928"/>
        <v>5.1906478128275313E-2</v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>
        <f t="shared" si="855"/>
        <v>6.1180000000000003</v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>
        <f t="shared" si="990"/>
        <v>1613</v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>
        <f t="shared" si="917"/>
        <v>0</v>
      </c>
      <c r="B129" s="578">
        <f t="shared" ref="B129:D129" si="1075">IFERROR(O284+($A129*-E129),"")</f>
        <v>-4.5906262442275798</v>
      </c>
      <c r="C129" s="572">
        <f t="shared" si="1075"/>
        <v>2.7289673825274772</v>
      </c>
      <c r="D129" s="576">
        <f t="shared" si="1075"/>
        <v>-0.22610068191965671</v>
      </c>
      <c r="E129" s="580">
        <f t="shared" ref="E129:K129" si="1076">R284</f>
        <v>-0.56512550016122043</v>
      </c>
      <c r="F129" s="572">
        <f t="shared" si="1076"/>
        <v>-0.78289666046713524</v>
      </c>
      <c r="G129" s="579">
        <f t="shared" si="1076"/>
        <v>0.26020374343375208</v>
      </c>
      <c r="H129" s="580">
        <f t="shared" si="1076"/>
        <v>0.3125</v>
      </c>
      <c r="I129" s="572">
        <f t="shared" si="1076"/>
        <v>0.52</v>
      </c>
      <c r="J129" s="483">
        <f t="shared" si="728"/>
        <v>6.1210000000000004</v>
      </c>
      <c r="K129" s="806">
        <f t="shared" si="1076"/>
        <v>1613</v>
      </c>
      <c r="L129" s="309"/>
      <c r="M129" s="164">
        <f t="shared" si="920"/>
        <v>6.1210000000000004</v>
      </c>
      <c r="N129" s="575">
        <f t="shared" si="921"/>
        <v>-4.5906262442275798</v>
      </c>
      <c r="O129" s="572">
        <f t="shared" si="922"/>
        <v>2.7289673825274772</v>
      </c>
      <c r="P129" s="576">
        <f t="shared" si="923"/>
        <v>-0.22610068191965671</v>
      </c>
      <c r="Q129" s="528">
        <f t="shared" si="729"/>
        <v>149.26999144247202</v>
      </c>
      <c r="R129" s="572">
        <f t="shared" si="1005"/>
        <v>5.3405161069965779</v>
      </c>
      <c r="S129" s="577">
        <f t="shared" si="1006"/>
        <v>-0.22610068191965671</v>
      </c>
      <c r="T129" s="578">
        <f t="shared" si="1007"/>
        <v>2.7289673825274772</v>
      </c>
      <c r="U129" s="572">
        <f t="shared" si="1008"/>
        <v>4.5906262442275798</v>
      </c>
      <c r="V129" s="579">
        <f t="shared" si="1009"/>
        <v>-0.22610068191965671</v>
      </c>
      <c r="W129" s="528">
        <f t="shared" si="866"/>
        <v>59.269991442472019</v>
      </c>
      <c r="X129" s="572">
        <f t="shared" si="1010"/>
        <v>5.3405161069965779</v>
      </c>
      <c r="Y129" s="573">
        <f t="shared" si="859"/>
        <v>-0.22610068191965671</v>
      </c>
      <c r="Z129" s="575">
        <f t="shared" si="924"/>
        <v>0.56512550016122043</v>
      </c>
      <c r="AA129" s="572">
        <f t="shared" si="925"/>
        <v>0.78289666046713524</v>
      </c>
      <c r="AB129" s="572">
        <f t="shared" si="926"/>
        <v>-0.26020374343375208</v>
      </c>
      <c r="AC129" s="579">
        <f t="shared" si="1011"/>
        <v>1</v>
      </c>
      <c r="AD129" s="580">
        <f t="shared" si="1012"/>
        <v>0.56512550016122043</v>
      </c>
      <c r="AE129" s="572">
        <f t="shared" si="1013"/>
        <v>0.78289666046713524</v>
      </c>
      <c r="AF129" s="576">
        <f t="shared" si="1014"/>
        <v>-0.26020374343375208</v>
      </c>
      <c r="AG129" s="545">
        <f t="shared" si="1015"/>
        <v>71.615243129373425</v>
      </c>
      <c r="AH129" s="546">
        <f t="shared" si="1016"/>
        <v>55.588993282231364</v>
      </c>
      <c r="AI129" s="528">
        <f t="shared" si="1017"/>
        <v>-74.91784810116981</v>
      </c>
      <c r="AJ129" s="529">
        <f t="shared" si="1018"/>
        <v>144.17677225335555</v>
      </c>
      <c r="AK129" s="578">
        <f t="shared" si="1019"/>
        <v>0.96174132052596162</v>
      </c>
      <c r="AL129" s="572">
        <f t="shared" si="1020"/>
        <v>-8.5718401151922252E-2</v>
      </c>
      <c r="AM129" s="577">
        <f t="shared" si="1021"/>
        <v>-0.26020374343375208</v>
      </c>
      <c r="AN129" s="524">
        <f t="shared" si="1022"/>
        <v>-18.23333070076616</v>
      </c>
      <c r="AO129" s="525">
        <f t="shared" si="1058"/>
        <v>15.899997704324347</v>
      </c>
      <c r="AP129" s="528">
        <f t="shared" si="1023"/>
        <v>-5.0932191891164473</v>
      </c>
      <c r="AQ129" s="529">
        <f t="shared" si="927"/>
        <v>0.42686594457031868</v>
      </c>
      <c r="AS129" s="954">
        <f t="shared" si="1029"/>
        <v>-300.73000855752798</v>
      </c>
      <c r="AT129" s="950">
        <f t="shared" si="928"/>
        <v>-1.726039819915115E-2</v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>
        <f t="shared" si="855"/>
        <v>6.1210000000000004</v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>
        <f t="shared" si="990"/>
        <v>1613</v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>
        <f t="shared" si="917"/>
        <v>0</v>
      </c>
      <c r="B130" s="585">
        <f t="shared" ref="B130:D130" si="1077">IFERROR(O285+($A130*-E130),"")</f>
        <v>-5.1874131927945948</v>
      </c>
      <c r="C130" s="582">
        <f t="shared" si="1077"/>
        <v>3.160201348700785</v>
      </c>
      <c r="D130" s="583">
        <f t="shared" si="1077"/>
        <v>-0.45170136233130836</v>
      </c>
      <c r="E130" s="588">
        <f t="shared" ref="E130:K130" si="1078">R285</f>
        <v>-0.61217943408270914</v>
      </c>
      <c r="F130" s="582">
        <f t="shared" si="1078"/>
        <v>-0.74684501250999302</v>
      </c>
      <c r="G130" s="586">
        <f t="shared" si="1078"/>
        <v>0.25972845006876433</v>
      </c>
      <c r="H130" s="588">
        <f t="shared" si="1078"/>
        <v>0.3125</v>
      </c>
      <c r="I130" s="582">
        <f t="shared" si="1078"/>
        <v>0.52</v>
      </c>
      <c r="J130" s="491">
        <f t="shared" si="728"/>
        <v>6.1239999999999997</v>
      </c>
      <c r="K130" s="807">
        <f t="shared" si="1078"/>
        <v>1613</v>
      </c>
      <c r="L130" s="309"/>
      <c r="M130" s="492">
        <f t="shared" si="920"/>
        <v>6.1239999999999997</v>
      </c>
      <c r="N130" s="581">
        <f t="shared" si="921"/>
        <v>-5.1874131927945948</v>
      </c>
      <c r="O130" s="582">
        <f t="shared" si="922"/>
        <v>3.160201348700785</v>
      </c>
      <c r="P130" s="583">
        <f t="shared" si="923"/>
        <v>-0.45170136233130836</v>
      </c>
      <c r="Q130" s="536">
        <f t="shared" ref="Q130:Q150" si="1079">IF(M130="","",IF(DEGREES(ATAN2(N130,O130))&lt;0,DEGREES(ATAN2(N130,O130))+360,IF(DEGREES(ATAN2(N130,O130))&gt;360,DEGREES(ATAN2(N130,O130))-360,DEGREES(ATAN2(N130,O130)))))</f>
        <v>148.64999153198892</v>
      </c>
      <c r="R130" s="582">
        <f t="shared" ref="R130:R150" si="1080">IF(M130="","",SQRT(N130^2+O130^2))</f>
        <v>6.0742183198424531</v>
      </c>
      <c r="S130" s="584">
        <f t="shared" ref="S130:S150" si="1081">IF(M130="","",P130)</f>
        <v>-0.45170136233130836</v>
      </c>
      <c r="T130" s="585">
        <f t="shared" ref="T130:T150" si="1082">IF(M130="","",X130*COS(RADIANS(W130)))</f>
        <v>3.1602013487007854</v>
      </c>
      <c r="U130" s="582">
        <f t="shared" ref="U130:U150" si="1083">IF(M130="","",X130*SIN(RADIANS(W130)))</f>
        <v>5.1874131927945948</v>
      </c>
      <c r="V130" s="586">
        <f t="shared" ref="V130:V150" si="1084">IF(M130="","",Y130)</f>
        <v>-0.45170136233130836</v>
      </c>
      <c r="W130" s="536">
        <f t="shared" ref="W130:W150" si="1085">IF(M130="","",IF(Q130-$Q$8&lt;0,360+Q130-$Q$8,Q130-$Q$8))</f>
        <v>58.649991531988917</v>
      </c>
      <c r="X130" s="582">
        <f t="shared" ref="X130:X150" si="1086">IF(M130="","",R130)</f>
        <v>6.0742183198424531</v>
      </c>
      <c r="Y130" s="587">
        <f t="shared" ref="Y130:Y150" si="1087">IF(M130="","",S130)</f>
        <v>-0.45170136233130836</v>
      </c>
      <c r="Z130" s="581">
        <f t="shared" si="924"/>
        <v>0.61217943408270914</v>
      </c>
      <c r="AA130" s="582">
        <f t="shared" si="925"/>
        <v>0.74684501250999302</v>
      </c>
      <c r="AB130" s="582">
        <f t="shared" si="926"/>
        <v>-0.25972845006876433</v>
      </c>
      <c r="AC130" s="586">
        <f t="shared" ref="AC130:AC150" si="1088">IF(M130="","",SQRT(Z130^2+AA130^2+AB130^2))</f>
        <v>1</v>
      </c>
      <c r="AD130" s="588">
        <f t="shared" ref="AD130:AD150" si="1089">IF(M130="","",Z130*(1/SQRT(Z130^2+AA130^2+AB130^2)))</f>
        <v>0.61217943408270914</v>
      </c>
      <c r="AE130" s="582">
        <f t="shared" ref="AE130:AE150" si="1090">IF(M130="","",AA130*(1/SQRT(Z130^2+AA130^2+AB130^2)))</f>
        <v>0.74684501250999302</v>
      </c>
      <c r="AF130" s="583">
        <f t="shared" ref="AF130:AF150" si="1091">IF(M130="","",AB130*(1/SQRT(Z130^2+AA130^2+AB130^2)))</f>
        <v>-0.25972845006876433</v>
      </c>
      <c r="AG130" s="547">
        <f t="shared" ref="AG130:AG150" si="1092">IF(M130="","",DEGREES(ATAN2(-AF130,AE130)))</f>
        <v>70.823984669977946</v>
      </c>
      <c r="AH130" s="548">
        <f t="shared" ref="AH130:AH150" si="1093">IF(M130="","",DEGREES(ACOS(AD130)))</f>
        <v>52.252742382344834</v>
      </c>
      <c r="AI130" s="536">
        <f t="shared" ref="AI130:AI150" si="1094">IF(M130="","",DEGREES(-ACOS(-AF130)))</f>
        <v>-74.946050052028184</v>
      </c>
      <c r="AJ130" s="537">
        <f t="shared" ref="AJ130:AJ150" si="1095">IF(M130="","",DEGREES(ATAN2(-AE130,AD130)))</f>
        <v>140.65895914099144</v>
      </c>
      <c r="AK130" s="585">
        <f t="shared" ref="AK130:AK150" si="1096">IF(M130="","",(COS(RADIANS((90-$Q$8)-W130))*AD130)+(-SIN(RADIANS((90-$Q$8)-W130))*AE130))</f>
        <v>0.95630476848795676</v>
      </c>
      <c r="AL130" s="582">
        <f t="shared" ref="AL130:AL150" si="1097">IF(M130="","",(SIN(RADIANS((90-$Q$8)-W130))*AD130)+(COS(RADIANS((90-$Q$8)-W130))*AE130))</f>
        <v>-0.13424724202780869</v>
      </c>
      <c r="AM130" s="584">
        <f t="shared" ref="AM130:AM150" si="1098">IF(M130="","",AF130)</f>
        <v>-0.25972845006876433</v>
      </c>
      <c r="AN130" s="534">
        <f t="shared" ref="AN130:AN150" si="1099">IF(M130="","",DEGREES(ATAN2(-AM130,AL130)))</f>
        <v>-27.333329386888835</v>
      </c>
      <c r="AO130" s="535">
        <f t="shared" si="1058"/>
        <v>16.999997545504005</v>
      </c>
      <c r="AP130" s="536">
        <f t="shared" ref="AP130:AP150" si="1100">IF(M130="","",DEGREES(ATAN2(AK130,AL130)))</f>
        <v>-7.9910323909974865</v>
      </c>
      <c r="AQ130" s="537">
        <f t="shared" si="927"/>
        <v>0.37530656728023026</v>
      </c>
      <c r="AS130" s="955">
        <f t="shared" si="1029"/>
        <v>-301.35000846801108</v>
      </c>
      <c r="AT130" s="951">
        <f t="shared" si="928"/>
        <v>-0.24243052311741178</v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>
        <f t="shared" si="855"/>
        <v>6.1239999999999997</v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>
        <f t="shared" si="990"/>
        <v>1613</v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>
        <f t="shared" si="917"/>
        <v>0</v>
      </c>
      <c r="B131" s="585">
        <f t="shared" ref="B131:D131" si="1222">IFERROR(O286+($A131*-E131),"")</f>
        <v>-5.7213185869234353</v>
      </c>
      <c r="C131" s="582">
        <f t="shared" si="1222"/>
        <v>3.5736894942230397</v>
      </c>
      <c r="D131" s="583">
        <f t="shared" si="1222"/>
        <v>-0.82330248308028886</v>
      </c>
      <c r="E131" s="588">
        <f t="shared" ref="E131:K131" si="1223">R286</f>
        <v>-0.66276022809533286</v>
      </c>
      <c r="F131" s="582">
        <f t="shared" si="1223"/>
        <v>-0.70348843910768188</v>
      </c>
      <c r="G131" s="586">
        <f t="shared" si="1223"/>
        <v>0.25661819128202867</v>
      </c>
      <c r="H131" s="588">
        <f t="shared" si="1223"/>
        <v>0.3125</v>
      </c>
      <c r="I131" s="582">
        <f t="shared" si="1223"/>
        <v>0.52</v>
      </c>
      <c r="J131" s="491">
        <f t="shared" si="728"/>
        <v>6.1269999999999998</v>
      </c>
      <c r="K131" s="807">
        <f t="shared" si="1223"/>
        <v>1613</v>
      </c>
      <c r="L131" s="309"/>
      <c r="M131" s="492">
        <f t="shared" si="920"/>
        <v>6.1269999999999998</v>
      </c>
      <c r="N131" s="581">
        <f t="shared" si="921"/>
        <v>-5.7213185869234353</v>
      </c>
      <c r="O131" s="582">
        <f t="shared" si="922"/>
        <v>3.5736894942230397</v>
      </c>
      <c r="P131" s="583">
        <f t="shared" si="923"/>
        <v>-0.82330248308028886</v>
      </c>
      <c r="Q131" s="536">
        <f t="shared" si="1079"/>
        <v>148.00999162439348</v>
      </c>
      <c r="R131" s="582">
        <f t="shared" si="1080"/>
        <v>6.7457203450925602</v>
      </c>
      <c r="S131" s="584">
        <f t="shared" si="1081"/>
        <v>-0.82330248308028886</v>
      </c>
      <c r="T131" s="585">
        <f t="shared" si="1082"/>
        <v>3.5736894942230411</v>
      </c>
      <c r="U131" s="582">
        <f t="shared" si="1083"/>
        <v>5.7213185869234335</v>
      </c>
      <c r="V131" s="586">
        <f t="shared" si="1084"/>
        <v>-0.82330248308028886</v>
      </c>
      <c r="W131" s="536">
        <f t="shared" si="1085"/>
        <v>58.009991624393479</v>
      </c>
      <c r="X131" s="582">
        <f t="shared" si="1086"/>
        <v>6.7457203450925602</v>
      </c>
      <c r="Y131" s="587">
        <f t="shared" si="1087"/>
        <v>-0.82330248308028886</v>
      </c>
      <c r="Z131" s="581">
        <f t="shared" si="924"/>
        <v>0.66276022809533286</v>
      </c>
      <c r="AA131" s="582">
        <f t="shared" si="925"/>
        <v>0.70348843910768188</v>
      </c>
      <c r="AB131" s="582">
        <f t="shared" si="926"/>
        <v>-0.25661819128202867</v>
      </c>
      <c r="AC131" s="586">
        <f t="shared" si="1088"/>
        <v>1</v>
      </c>
      <c r="AD131" s="588">
        <f t="shared" si="1089"/>
        <v>0.66276022809533286</v>
      </c>
      <c r="AE131" s="582">
        <f t="shared" si="1090"/>
        <v>0.70348843910768188</v>
      </c>
      <c r="AF131" s="583">
        <f t="shared" si="1091"/>
        <v>-0.25661819128202867</v>
      </c>
      <c r="AG131" s="547">
        <f t="shared" si="1092"/>
        <v>69.959064939300774</v>
      </c>
      <c r="AH131" s="548">
        <f t="shared" si="1093"/>
        <v>48.489275226292605</v>
      </c>
      <c r="AI131" s="536">
        <f t="shared" si="1094"/>
        <v>-75.130508234770829</v>
      </c>
      <c r="AJ131" s="537">
        <f t="shared" si="1095"/>
        <v>136.70749570266443</v>
      </c>
      <c r="AK131" s="585">
        <f t="shared" si="1096"/>
        <v>0.94776842495950908</v>
      </c>
      <c r="AL131" s="582">
        <f t="shared" si="1097"/>
        <v>-0.18942575472440831</v>
      </c>
      <c r="AM131" s="584">
        <f t="shared" si="1098"/>
        <v>-0.25661819128202867</v>
      </c>
      <c r="AN131" s="534">
        <f t="shared" si="1099"/>
        <v>-36.43332807301158</v>
      </c>
      <c r="AO131" s="535">
        <f t="shared" si="1058"/>
        <v>18.599997314492636</v>
      </c>
      <c r="AP131" s="536">
        <f t="shared" si="1100"/>
        <v>-11.302495921729038</v>
      </c>
      <c r="AQ131" s="537">
        <f t="shared" si="927"/>
        <v>0.33794762873232198</v>
      </c>
      <c r="AS131" s="955">
        <f t="shared" si="1029"/>
        <v>-301.99000837560652</v>
      </c>
      <c r="AT131" s="951">
        <f t="shared" si="928"/>
        <v>-0.61358719948611762</v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>
        <f t="shared" si="855"/>
        <v>6.1269999999999998</v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>
        <f t="shared" si="990"/>
        <v>1613</v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>
        <f t="shared" si="917"/>
        <v>0</v>
      </c>
      <c r="B132" s="585">
        <f t="shared" ref="B132:D132" si="1224">IFERROR(O287+($A132*-E132),"")</f>
        <v>-6.1724982676664961</v>
      </c>
      <c r="C132" s="582">
        <f t="shared" si="1224"/>
        <v>3.9474785860004875</v>
      </c>
      <c r="D132" s="583">
        <f t="shared" si="1224"/>
        <v>-1.3247039953072497</v>
      </c>
      <c r="E132" s="588">
        <f t="shared" ref="E132:K132" si="1225">R287</f>
        <v>-0.71585686573319951</v>
      </c>
      <c r="F132" s="582">
        <f t="shared" si="1225"/>
        <v>-0.65330308767053769</v>
      </c>
      <c r="G132" s="586">
        <f t="shared" si="1225"/>
        <v>0.24646302648223328</v>
      </c>
      <c r="H132" s="588">
        <f t="shared" si="1225"/>
        <v>0.3125</v>
      </c>
      <c r="I132" s="582">
        <f t="shared" si="1225"/>
        <v>0.52</v>
      </c>
      <c r="J132" s="491">
        <f t="shared" si="728"/>
        <v>6.13</v>
      </c>
      <c r="K132" s="807">
        <f t="shared" si="1225"/>
        <v>1613</v>
      </c>
      <c r="L132" s="309"/>
      <c r="M132" s="492">
        <f t="shared" si="920"/>
        <v>6.13</v>
      </c>
      <c r="N132" s="581">
        <f t="shared" si="921"/>
        <v>-6.1724982676664961</v>
      </c>
      <c r="O132" s="582">
        <f t="shared" si="922"/>
        <v>3.9474785860004875</v>
      </c>
      <c r="P132" s="583">
        <f t="shared" si="923"/>
        <v>-1.3247039953072497</v>
      </c>
      <c r="Q132" s="536">
        <f t="shared" si="1079"/>
        <v>147.39999171246657</v>
      </c>
      <c r="R132" s="582">
        <f t="shared" si="1080"/>
        <v>7.3268220976954463</v>
      </c>
      <c r="S132" s="584">
        <f t="shared" si="1081"/>
        <v>-1.3247039953072497</v>
      </c>
      <c r="T132" s="585">
        <f t="shared" si="1082"/>
        <v>3.9474785860004875</v>
      </c>
      <c r="U132" s="582">
        <f t="shared" si="1083"/>
        <v>6.1724982676664952</v>
      </c>
      <c r="V132" s="586">
        <f t="shared" si="1084"/>
        <v>-1.3247039953072497</v>
      </c>
      <c r="W132" s="536">
        <f t="shared" si="1085"/>
        <v>57.399991712466573</v>
      </c>
      <c r="X132" s="582">
        <f t="shared" si="1086"/>
        <v>7.3268220976954463</v>
      </c>
      <c r="Y132" s="587">
        <f t="shared" si="1087"/>
        <v>-1.3247039953072497</v>
      </c>
      <c r="Z132" s="581">
        <f t="shared" si="924"/>
        <v>0.71585686573319951</v>
      </c>
      <c r="AA132" s="582">
        <f t="shared" si="925"/>
        <v>0.65330308767053769</v>
      </c>
      <c r="AB132" s="582">
        <f t="shared" si="926"/>
        <v>-0.24646302648223328</v>
      </c>
      <c r="AC132" s="586">
        <f t="shared" si="1088"/>
        <v>1</v>
      </c>
      <c r="AD132" s="588">
        <f t="shared" si="1089"/>
        <v>0.71585686573319951</v>
      </c>
      <c r="AE132" s="582">
        <f t="shared" si="1090"/>
        <v>0.65330308767053769</v>
      </c>
      <c r="AF132" s="583">
        <f t="shared" si="1091"/>
        <v>-0.24646302648223328</v>
      </c>
      <c r="AG132" s="547">
        <f t="shared" si="1092"/>
        <v>69.330676033752241</v>
      </c>
      <c r="AH132" s="548">
        <f t="shared" si="1093"/>
        <v>44.286533505965657</v>
      </c>
      <c r="AI132" s="536">
        <f t="shared" si="1094"/>
        <v>-75.73168946122891</v>
      </c>
      <c r="AJ132" s="537">
        <f t="shared" si="1095"/>
        <v>132.38410634118489</v>
      </c>
      <c r="AK132" s="585">
        <f t="shared" si="1096"/>
        <v>0.93605955400336482</v>
      </c>
      <c r="AL132" s="582">
        <f t="shared" si="1097"/>
        <v>-0.25109457966320148</v>
      </c>
      <c r="AM132" s="584">
        <f t="shared" si="1098"/>
        <v>-0.24646302648223328</v>
      </c>
      <c r="AN132" s="534">
        <f t="shared" si="1099"/>
        <v>-45.533326759134304</v>
      </c>
      <c r="AO132" s="535">
        <f t="shared" si="1058"/>
        <v>20.599997025728388</v>
      </c>
      <c r="AP132" s="536">
        <f t="shared" si="1100"/>
        <v>-15.015885371281676</v>
      </c>
      <c r="AQ132" s="537">
        <f t="shared" si="927"/>
        <v>0.31114502188061688</v>
      </c>
      <c r="AS132" s="955">
        <f t="shared" si="1029"/>
        <v>-302.60000828753346</v>
      </c>
      <c r="AT132" s="951">
        <f t="shared" si="928"/>
        <v>-1.1145651006631292</v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>
        <f t="shared" si="855"/>
        <v>6.13</v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>
        <f t="shared" si="990"/>
        <v>1613</v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>
        <f t="shared" si="917"/>
        <v>0</v>
      </c>
      <c r="B133" s="585">
        <f t="shared" ref="B133:D133" si="1226">IFERROR(O288+($A133*-E133),"")</f>
        <v>-6.5271263499248366</v>
      </c>
      <c r="C133" s="582">
        <f t="shared" si="1226"/>
        <v>4.258228840781161</v>
      </c>
      <c r="D133" s="583">
        <f t="shared" si="1226"/>
        <v>-1.934205833564794</v>
      </c>
      <c r="E133" s="588">
        <f t="shared" ref="E133:K133" si="1227">R288</f>
        <v>-0.76836412478156146</v>
      </c>
      <c r="F133" s="582">
        <f t="shared" si="1227"/>
        <v>-0.59942269457551145</v>
      </c>
      <c r="G133" s="586">
        <f t="shared" si="1227"/>
        <v>0.22429668962447588</v>
      </c>
      <c r="H133" s="588">
        <f t="shared" si="1227"/>
        <v>0.3125</v>
      </c>
      <c r="I133" s="582">
        <f t="shared" si="1227"/>
        <v>0.52</v>
      </c>
      <c r="J133" s="491">
        <f t="shared" si="728"/>
        <v>6.133</v>
      </c>
      <c r="K133" s="807">
        <f t="shared" si="1227"/>
        <v>1613</v>
      </c>
      <c r="L133" s="309"/>
      <c r="M133" s="492">
        <f t="shared" si="920"/>
        <v>6.133</v>
      </c>
      <c r="N133" s="581">
        <f t="shared" si="921"/>
        <v>-6.5271263499248366</v>
      </c>
      <c r="O133" s="582">
        <f t="shared" si="922"/>
        <v>4.258228840781161</v>
      </c>
      <c r="P133" s="583">
        <f t="shared" si="923"/>
        <v>-1.934205833564794</v>
      </c>
      <c r="Q133" s="536">
        <f t="shared" si="1079"/>
        <v>146.87999178754524</v>
      </c>
      <c r="R133" s="582">
        <f t="shared" si="1080"/>
        <v>7.7933235046636931</v>
      </c>
      <c r="S133" s="584">
        <f t="shared" si="1081"/>
        <v>-1.934205833564794</v>
      </c>
      <c r="T133" s="585">
        <f t="shared" si="1082"/>
        <v>4.2582288407811646</v>
      </c>
      <c r="U133" s="582">
        <f t="shared" si="1083"/>
        <v>6.527126349924834</v>
      </c>
      <c r="V133" s="586">
        <f t="shared" si="1084"/>
        <v>-1.934205833564794</v>
      </c>
      <c r="W133" s="536">
        <f t="shared" si="1085"/>
        <v>56.879991787545237</v>
      </c>
      <c r="X133" s="582">
        <f t="shared" si="1086"/>
        <v>7.7933235046636931</v>
      </c>
      <c r="Y133" s="587">
        <f t="shared" si="1087"/>
        <v>-1.934205833564794</v>
      </c>
      <c r="Z133" s="581">
        <f t="shared" si="924"/>
        <v>0.76836412478156146</v>
      </c>
      <c r="AA133" s="582">
        <f t="shared" si="925"/>
        <v>0.59942269457551145</v>
      </c>
      <c r="AB133" s="582">
        <f t="shared" si="926"/>
        <v>-0.22429668962447588</v>
      </c>
      <c r="AC133" s="586">
        <f t="shared" si="1088"/>
        <v>1</v>
      </c>
      <c r="AD133" s="588">
        <f t="shared" si="1089"/>
        <v>0.76836412478156146</v>
      </c>
      <c r="AE133" s="582">
        <f t="shared" si="1090"/>
        <v>0.59942269457551145</v>
      </c>
      <c r="AF133" s="583">
        <f t="shared" si="1091"/>
        <v>-0.22429668962447588</v>
      </c>
      <c r="AG133" s="547">
        <f t="shared" si="1092"/>
        <v>69.484761494906323</v>
      </c>
      <c r="AH133" s="548">
        <f t="shared" si="1093"/>
        <v>39.792784897749392</v>
      </c>
      <c r="AI133" s="536">
        <f t="shared" si="1094"/>
        <v>-77.038475559534405</v>
      </c>
      <c r="AJ133" s="537">
        <f t="shared" si="1095"/>
        <v>127.95880545759142</v>
      </c>
      <c r="AK133" s="585">
        <f t="shared" si="1096"/>
        <v>0.92186317385309391</v>
      </c>
      <c r="AL133" s="582">
        <f t="shared" si="1097"/>
        <v>-0.31600519571203595</v>
      </c>
      <c r="AM133" s="584">
        <f t="shared" si="1098"/>
        <v>-0.22429668962447588</v>
      </c>
      <c r="AN133" s="534">
        <f t="shared" si="1099"/>
        <v>-54.633325445257043</v>
      </c>
      <c r="AO133" s="535">
        <f t="shared" si="1058"/>
        <v>22.799996708087718</v>
      </c>
      <c r="AP133" s="536">
        <f t="shared" si="1100"/>
        <v>-18.921186329953812</v>
      </c>
      <c r="AQ133" s="537">
        <f t="shared" si="927"/>
        <v>0.29252049181474687</v>
      </c>
      <c r="AS133" s="955">
        <f t="shared" si="1029"/>
        <v>-303.12000821245476</v>
      </c>
      <c r="AT133" s="951">
        <f t="shared" si="928"/>
        <v>-1.7237058278617003</v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>
        <f t="shared" si="855"/>
        <v>6.133</v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>
        <f t="shared" si="990"/>
        <v>1613</v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>
        <f t="shared" si="917"/>
        <v>0</v>
      </c>
      <c r="B134" s="585">
        <f t="shared" ref="B134:D134" si="1228">IFERROR(O289+($A134*-E134),"")</f>
        <v>-6.7771254717604315</v>
      </c>
      <c r="C134" s="582">
        <f t="shared" si="1228"/>
        <v>4.4839820590297457</v>
      </c>
      <c r="D134" s="583">
        <f t="shared" si="1228"/>
        <v>-2.6259079197382849</v>
      </c>
      <c r="E134" s="588">
        <f t="shared" ref="E134:K134" si="1229">R289</f>
        <v>-0.81770277168476579</v>
      </c>
      <c r="F134" s="582">
        <f t="shared" si="1229"/>
        <v>-0.54392728113155009</v>
      </c>
      <c r="G134" s="586">
        <f t="shared" si="1229"/>
        <v>0.18842847454642189</v>
      </c>
      <c r="H134" s="588">
        <f t="shared" si="1229"/>
        <v>0.3125</v>
      </c>
      <c r="I134" s="582">
        <f t="shared" si="1229"/>
        <v>0.52</v>
      </c>
      <c r="J134" s="491">
        <f t="shared" si="728"/>
        <v>6.1360000000000001</v>
      </c>
      <c r="K134" s="807">
        <f t="shared" si="1229"/>
        <v>1613</v>
      </c>
      <c r="L134" s="309"/>
      <c r="M134" s="492">
        <f t="shared" si="920"/>
        <v>6.1360000000000001</v>
      </c>
      <c r="N134" s="581">
        <f t="shared" si="921"/>
        <v>-6.7771254717604315</v>
      </c>
      <c r="O134" s="582">
        <f t="shared" si="922"/>
        <v>4.4839820590297457</v>
      </c>
      <c r="P134" s="583">
        <f t="shared" si="923"/>
        <v>-2.6259079197382849</v>
      </c>
      <c r="Q134" s="536">
        <f t="shared" si="1079"/>
        <v>146.50999184096665</v>
      </c>
      <c r="R134" s="582">
        <f t="shared" si="1080"/>
        <v>8.1262245086931166</v>
      </c>
      <c r="S134" s="584">
        <f t="shared" si="1081"/>
        <v>-2.6259079197382849</v>
      </c>
      <c r="T134" s="585">
        <f t="shared" si="1082"/>
        <v>4.4839820590297466</v>
      </c>
      <c r="U134" s="582">
        <f t="shared" si="1083"/>
        <v>6.7771254717604306</v>
      </c>
      <c r="V134" s="586">
        <f t="shared" si="1084"/>
        <v>-2.6259079197382849</v>
      </c>
      <c r="W134" s="536">
        <f t="shared" si="1085"/>
        <v>56.509991840966649</v>
      </c>
      <c r="X134" s="582">
        <f t="shared" si="1086"/>
        <v>8.1262245086931166</v>
      </c>
      <c r="Y134" s="587">
        <f t="shared" si="1087"/>
        <v>-2.6259079197382849</v>
      </c>
      <c r="Z134" s="581">
        <f t="shared" si="924"/>
        <v>0.81770277168476579</v>
      </c>
      <c r="AA134" s="582">
        <f t="shared" si="925"/>
        <v>0.54392728113155009</v>
      </c>
      <c r="AB134" s="582">
        <f t="shared" si="926"/>
        <v>-0.18842847454642189</v>
      </c>
      <c r="AC134" s="586">
        <f t="shared" si="1088"/>
        <v>1</v>
      </c>
      <c r="AD134" s="588">
        <f t="shared" si="1089"/>
        <v>0.81770277168476579</v>
      </c>
      <c r="AE134" s="582">
        <f t="shared" si="1090"/>
        <v>0.54392728113155009</v>
      </c>
      <c r="AF134" s="583">
        <f t="shared" si="1091"/>
        <v>-0.18842847454642189</v>
      </c>
      <c r="AG134" s="547">
        <f t="shared" si="1092"/>
        <v>70.892779817159294</v>
      </c>
      <c r="AH134" s="548">
        <f t="shared" si="1093"/>
        <v>35.14451083149504</v>
      </c>
      <c r="AI134" s="536">
        <f t="shared" si="1094"/>
        <v>-79.138914040343877</v>
      </c>
      <c r="AJ134" s="537">
        <f t="shared" si="1095"/>
        <v>123.63143301059617</v>
      </c>
      <c r="AK134" s="585">
        <f t="shared" si="1096"/>
        <v>0.90482707950409746</v>
      </c>
      <c r="AL134" s="582">
        <f t="shared" si="1097"/>
        <v>-0.38181496326911329</v>
      </c>
      <c r="AM134" s="584">
        <f t="shared" si="1098"/>
        <v>-0.18842847454642189</v>
      </c>
      <c r="AN134" s="534">
        <f t="shared" si="1099"/>
        <v>-63.733324131379788</v>
      </c>
      <c r="AO134" s="535">
        <f t="shared" si="1058"/>
        <v>25.19999636157068</v>
      </c>
      <c r="AP134" s="536">
        <f t="shared" si="1100"/>
        <v>-22.878558830370483</v>
      </c>
      <c r="AQ134" s="537">
        <f t="shared" si="927"/>
        <v>0.28053721769937007</v>
      </c>
      <c r="AS134" s="955">
        <f t="shared" si="1029"/>
        <v>-303.49000815903332</v>
      </c>
      <c r="AT134" s="951">
        <f t="shared" si="928"/>
        <v>-2.4151509696278453</v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>
        <f t="shared" si="855"/>
        <v>6.1360000000000001</v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>
        <f t="shared" si="990"/>
        <v>1613</v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>
        <f t="shared" si="917"/>
        <v>0</v>
      </c>
      <c r="B135" s="585">
        <f t="shared" ref="B135:D135" si="1230">IFERROR(O290+($A135*-E135),"")</f>
        <v>-6.9248662979150781</v>
      </c>
      <c r="C135" s="582">
        <f t="shared" si="1230"/>
        <v>4.6235535262484717</v>
      </c>
      <c r="D135" s="583">
        <f t="shared" si="1230"/>
        <v>-3.3675101564106322</v>
      </c>
      <c r="E135" s="588">
        <f t="shared" ref="E135:K135" si="1231">R290</f>
        <v>-0.8610109256541193</v>
      </c>
      <c r="F135" s="582">
        <f t="shared" si="1231"/>
        <v>-0.48973110561037941</v>
      </c>
      <c r="G135" s="586">
        <f t="shared" si="1231"/>
        <v>0.13719923506299969</v>
      </c>
      <c r="H135" s="588">
        <f t="shared" si="1231"/>
        <v>0.3125</v>
      </c>
      <c r="I135" s="582">
        <f t="shared" si="1231"/>
        <v>0.52</v>
      </c>
      <c r="J135" s="491">
        <f t="shared" si="728"/>
        <v>6.1390000000000002</v>
      </c>
      <c r="K135" s="807">
        <f t="shared" si="1231"/>
        <v>1613</v>
      </c>
      <c r="L135" s="309"/>
      <c r="M135" s="492">
        <f t="shared" si="920"/>
        <v>6.1390000000000002</v>
      </c>
      <c r="N135" s="581">
        <f t="shared" si="921"/>
        <v>-6.9248662979150781</v>
      </c>
      <c r="O135" s="582">
        <f t="shared" si="922"/>
        <v>4.6235535262484717</v>
      </c>
      <c r="P135" s="583">
        <f t="shared" si="923"/>
        <v>-3.3675101564106322</v>
      </c>
      <c r="Q135" s="536">
        <f t="shared" si="1079"/>
        <v>146.26999187561833</v>
      </c>
      <c r="R135" s="582">
        <f t="shared" si="1080"/>
        <v>8.3265251127997413</v>
      </c>
      <c r="S135" s="584">
        <f t="shared" si="1081"/>
        <v>-3.3675101564106322</v>
      </c>
      <c r="T135" s="585">
        <f t="shared" si="1082"/>
        <v>4.6235535262484726</v>
      </c>
      <c r="U135" s="582">
        <f t="shared" si="1083"/>
        <v>6.9248662979150764</v>
      </c>
      <c r="V135" s="586">
        <f t="shared" si="1084"/>
        <v>-3.3675101564106322</v>
      </c>
      <c r="W135" s="536">
        <f t="shared" si="1085"/>
        <v>56.269991875618331</v>
      </c>
      <c r="X135" s="582">
        <f t="shared" si="1086"/>
        <v>8.3265251127997413</v>
      </c>
      <c r="Y135" s="587">
        <f t="shared" si="1087"/>
        <v>-3.3675101564106322</v>
      </c>
      <c r="Z135" s="581">
        <f t="shared" si="924"/>
        <v>0.8610109256541193</v>
      </c>
      <c r="AA135" s="582">
        <f t="shared" si="925"/>
        <v>0.48973110561037941</v>
      </c>
      <c r="AB135" s="582">
        <f t="shared" si="926"/>
        <v>-0.13719923506299969</v>
      </c>
      <c r="AC135" s="586">
        <f t="shared" si="1088"/>
        <v>1</v>
      </c>
      <c r="AD135" s="588">
        <f t="shared" si="1089"/>
        <v>0.8610109256541193</v>
      </c>
      <c r="AE135" s="582">
        <f t="shared" si="1090"/>
        <v>0.48973110561037941</v>
      </c>
      <c r="AF135" s="583">
        <f t="shared" si="1091"/>
        <v>-0.13719923506299969</v>
      </c>
      <c r="AG135" s="547">
        <f t="shared" si="1092"/>
        <v>74.349668678137036</v>
      </c>
      <c r="AH135" s="548">
        <f t="shared" si="1093"/>
        <v>30.569720252754298</v>
      </c>
      <c r="AI135" s="536">
        <f t="shared" si="1094"/>
        <v>-82.114189710093157</v>
      </c>
      <c r="AJ135" s="537">
        <f t="shared" si="1095"/>
        <v>119.63062019356532</v>
      </c>
      <c r="AK135" s="585">
        <f t="shared" si="1096"/>
        <v>0.88539365820151805</v>
      </c>
      <c r="AL135" s="582">
        <f t="shared" si="1097"/>
        <v>-0.44413335825477185</v>
      </c>
      <c r="AM135" s="584">
        <f t="shared" si="1098"/>
        <v>-0.13719923506299969</v>
      </c>
      <c r="AN135" s="534">
        <f t="shared" si="1099"/>
        <v>-72.833322817502506</v>
      </c>
      <c r="AO135" s="535">
        <f t="shared" si="1058"/>
        <v>27.699996000615364</v>
      </c>
      <c r="AP135" s="536">
        <f t="shared" si="1100"/>
        <v>-26.639371682053003</v>
      </c>
      <c r="AQ135" s="537">
        <f t="shared" si="927"/>
        <v>0.27378879534025935</v>
      </c>
      <c r="AS135" s="955">
        <f t="shared" si="1029"/>
        <v>-303.7300081243817</v>
      </c>
      <c r="AT135" s="951">
        <f t="shared" si="928"/>
        <v>-3.1565865396575892</v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>
        <f t="shared" si="855"/>
        <v>6.1390000000000002</v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>
        <f t="shared" si="990"/>
        <v>1613</v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>
        <f t="shared" si="917"/>
        <v>0</v>
      </c>
      <c r="B136" s="585">
        <f t="shared" ref="B136:D136" si="1232">IFERROR(O291+($A136*-E136),"")</f>
        <v>-7.0139322375666078</v>
      </c>
      <c r="C136" s="582">
        <f t="shared" si="1232"/>
        <v>4.7078393944192571</v>
      </c>
      <c r="D136" s="583">
        <f t="shared" si="1232"/>
        <v>-4.1264124452599349</v>
      </c>
      <c r="E136" s="588">
        <f t="shared" ref="E136:K136" si="1233">R291</f>
        <v>-0.89669254335220372</v>
      </c>
      <c r="F136" s="582">
        <f t="shared" si="1233"/>
        <v>-0.43692121441890713</v>
      </c>
      <c r="G136" s="586">
        <f t="shared" si="1233"/>
        <v>7.1009401400545E-2</v>
      </c>
      <c r="H136" s="588">
        <f t="shared" si="1233"/>
        <v>0.3125</v>
      </c>
      <c r="I136" s="582">
        <f t="shared" si="1233"/>
        <v>0.52</v>
      </c>
      <c r="J136" s="491">
        <f t="shared" si="728"/>
        <v>6.1420000000000003</v>
      </c>
      <c r="K136" s="807">
        <f t="shared" si="1233"/>
        <v>1613</v>
      </c>
      <c r="L136" s="309"/>
      <c r="M136" s="492">
        <f t="shared" si="920"/>
        <v>6.1420000000000003</v>
      </c>
      <c r="N136" s="581">
        <f t="shared" si="921"/>
        <v>-7.0139322375666078</v>
      </c>
      <c r="O136" s="582">
        <f t="shared" si="922"/>
        <v>4.7078393944192571</v>
      </c>
      <c r="P136" s="583">
        <f t="shared" si="923"/>
        <v>-4.1264124452599349</v>
      </c>
      <c r="Q136" s="536">
        <f t="shared" si="1079"/>
        <v>146.12999189583186</v>
      </c>
      <c r="R136" s="582">
        <f t="shared" si="1080"/>
        <v>8.4474254774352406</v>
      </c>
      <c r="S136" s="584">
        <f t="shared" si="1081"/>
        <v>-4.1264124452599349</v>
      </c>
      <c r="T136" s="585">
        <f t="shared" si="1082"/>
        <v>4.7078393944192563</v>
      </c>
      <c r="U136" s="582">
        <f t="shared" si="1083"/>
        <v>7.0139322375666096</v>
      </c>
      <c r="V136" s="586">
        <f t="shared" si="1084"/>
        <v>-4.1264124452599349</v>
      </c>
      <c r="W136" s="536">
        <f t="shared" si="1085"/>
        <v>56.129991895831864</v>
      </c>
      <c r="X136" s="582">
        <f t="shared" si="1086"/>
        <v>8.4474254774352406</v>
      </c>
      <c r="Y136" s="587">
        <f t="shared" si="1087"/>
        <v>-4.1264124452599349</v>
      </c>
      <c r="Z136" s="581">
        <f t="shared" si="924"/>
        <v>0.89669254335220372</v>
      </c>
      <c r="AA136" s="582">
        <f t="shared" si="925"/>
        <v>0.43692121441890713</v>
      </c>
      <c r="AB136" s="582">
        <f t="shared" si="926"/>
        <v>-7.1009401400545E-2</v>
      </c>
      <c r="AC136" s="586">
        <f t="shared" si="1088"/>
        <v>1</v>
      </c>
      <c r="AD136" s="588">
        <f t="shared" si="1089"/>
        <v>0.89669254335220372</v>
      </c>
      <c r="AE136" s="582">
        <f t="shared" si="1090"/>
        <v>0.43692121441890713</v>
      </c>
      <c r="AF136" s="583">
        <f t="shared" si="1091"/>
        <v>-7.1009401400545E-2</v>
      </c>
      <c r="AG136" s="547">
        <f t="shared" si="1092"/>
        <v>80.768873955092616</v>
      </c>
      <c r="AH136" s="548">
        <f t="shared" si="1093"/>
        <v>26.273333931692584</v>
      </c>
      <c r="AI136" s="536">
        <f t="shared" si="1094"/>
        <v>-85.928034056229734</v>
      </c>
      <c r="AJ136" s="537">
        <f t="shared" si="1095"/>
        <v>115.97806035985491</v>
      </c>
      <c r="AK136" s="585">
        <f t="shared" si="1096"/>
        <v>0.86251370797261728</v>
      </c>
      <c r="AL136" s="582">
        <f t="shared" si="1097"/>
        <v>-0.50102671432974799</v>
      </c>
      <c r="AM136" s="584">
        <f t="shared" si="1098"/>
        <v>-7.1009401400545E-2</v>
      </c>
      <c r="AN136" s="534">
        <f t="shared" si="1099"/>
        <v>-81.933321503625265</v>
      </c>
      <c r="AO136" s="535">
        <f t="shared" si="1058"/>
        <v>30.39999561078368</v>
      </c>
      <c r="AP136" s="536">
        <f t="shared" si="1100"/>
        <v>-30.151931535976949</v>
      </c>
      <c r="AQ136" s="537">
        <f t="shared" si="927"/>
        <v>0.26987036218526717</v>
      </c>
      <c r="AS136" s="955">
        <f t="shared" si="1029"/>
        <v>-303.87000810416816</v>
      </c>
      <c r="AT136" s="951">
        <f t="shared" si="928"/>
        <v>-3.9153916062987069</v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>
        <f t="shared" si="855"/>
        <v>6.1420000000000003</v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>
        <f t="shared" si="990"/>
        <v>1613</v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>
        <f t="shared" ref="A137:A150" si="1234">IF($K137="","",IF(AND($A$8="Y",ISNUMBER($K137)),$A$5,0))</f>
        <v>0</v>
      </c>
      <c r="B137" s="585">
        <f t="shared" ref="B137:D137" si="1235">IFERROR(O292+($A137*-E137),"")</f>
        <v>-7.0600268647894087</v>
      </c>
      <c r="C137" s="582">
        <f t="shared" si="1235"/>
        <v>4.7513004018063159</v>
      </c>
      <c r="D137" s="583">
        <f t="shared" si="1235"/>
        <v>-4.9212148423839643</v>
      </c>
      <c r="E137" s="588">
        <f t="shared" ref="E137:K137" si="1236">R292</f>
        <v>-0.9156722050602496</v>
      </c>
      <c r="F137" s="582">
        <f t="shared" si="1236"/>
        <v>-0.40149061674268421</v>
      </c>
      <c r="G137" s="586">
        <f t="shared" si="1236"/>
        <v>1.8700201808522398E-2</v>
      </c>
      <c r="H137" s="588">
        <f t="shared" si="1236"/>
        <v>0.3125</v>
      </c>
      <c r="I137" s="582">
        <f t="shared" si="1236"/>
        <v>0.52</v>
      </c>
      <c r="J137" s="491">
        <f t="shared" si="728"/>
        <v>6.1449999999999996</v>
      </c>
      <c r="K137" s="807">
        <f t="shared" si="1236"/>
        <v>1613</v>
      </c>
      <c r="L137" s="309"/>
      <c r="M137" s="492">
        <f t="shared" ref="M137:M150" si="1237">IF(J137="","",VALUE(J137))</f>
        <v>6.1449999999999996</v>
      </c>
      <c r="N137" s="581">
        <f t="shared" ref="N137:N150" si="1238">IF(M137="","",B137)</f>
        <v>-7.0600268647894087</v>
      </c>
      <c r="O137" s="582">
        <f t="shared" ref="O137:O150" si="1239">IF(M137="","",C137)</f>
        <v>4.7513004018063159</v>
      </c>
      <c r="P137" s="583">
        <f t="shared" ref="P137:P150" si="1240">IF(M137="","",D137)</f>
        <v>-4.9212148423839643</v>
      </c>
      <c r="Q137" s="536">
        <f t="shared" si="1079"/>
        <v>146.0599919059386</v>
      </c>
      <c r="R137" s="582">
        <f t="shared" si="1080"/>
        <v>8.5099256659358087</v>
      </c>
      <c r="S137" s="584">
        <f t="shared" si="1081"/>
        <v>-4.9212148423839643</v>
      </c>
      <c r="T137" s="585">
        <f t="shared" si="1082"/>
        <v>4.7513004018063159</v>
      </c>
      <c r="U137" s="582">
        <f t="shared" si="1083"/>
        <v>7.0600268647894078</v>
      </c>
      <c r="V137" s="586">
        <f t="shared" si="1084"/>
        <v>-4.9212148423839643</v>
      </c>
      <c r="W137" s="536">
        <f t="shared" si="1085"/>
        <v>56.059991905938602</v>
      </c>
      <c r="X137" s="582">
        <f t="shared" si="1086"/>
        <v>8.5099256659358087</v>
      </c>
      <c r="Y137" s="587">
        <f t="shared" si="1087"/>
        <v>-4.9212148423839643</v>
      </c>
      <c r="Z137" s="581">
        <f t="shared" ref="Z137:Z150" si="1241">IF(M137="","",-E137)</f>
        <v>0.9156722050602496</v>
      </c>
      <c r="AA137" s="582">
        <f t="shared" ref="AA137:AA150" si="1242">IF(M137="","",-F137)</f>
        <v>0.40149061674268421</v>
      </c>
      <c r="AB137" s="582">
        <f t="shared" ref="AB137:AB150" si="1243">IF(M137="","",-G137)</f>
        <v>-1.8700201808522398E-2</v>
      </c>
      <c r="AC137" s="586">
        <f t="shared" si="1088"/>
        <v>1</v>
      </c>
      <c r="AD137" s="588">
        <f t="shared" si="1089"/>
        <v>0.9156722050602496</v>
      </c>
      <c r="AE137" s="582">
        <f t="shared" si="1090"/>
        <v>0.40149061674268421</v>
      </c>
      <c r="AF137" s="583">
        <f t="shared" si="1091"/>
        <v>-1.8700201808522398E-2</v>
      </c>
      <c r="AG137" s="547">
        <f t="shared" si="1092"/>
        <v>87.333265580183877</v>
      </c>
      <c r="AH137" s="548">
        <f t="shared" si="1093"/>
        <v>23.698629856757108</v>
      </c>
      <c r="AI137" s="536">
        <f t="shared" si="1094"/>
        <v>-88.928494903689241</v>
      </c>
      <c r="AJ137" s="537">
        <f t="shared" si="1095"/>
        <v>113.67579015300747</v>
      </c>
      <c r="AK137" s="585">
        <f t="shared" si="1096"/>
        <v>0.84432796925021414</v>
      </c>
      <c r="AL137" s="582">
        <f t="shared" si="1097"/>
        <v>-0.53550031073205751</v>
      </c>
      <c r="AM137" s="584">
        <f t="shared" si="1098"/>
        <v>-1.8700201808522398E-2</v>
      </c>
      <c r="AN137" s="534">
        <f t="shared" si="1099"/>
        <v>-87.999987294373796</v>
      </c>
      <c r="AO137" s="535">
        <f t="shared" si="1058"/>
        <v>32.399995322019443</v>
      </c>
      <c r="AP137" s="536">
        <f t="shared" si="1100"/>
        <v>-32.384201752931133</v>
      </c>
      <c r="AQ137" s="537">
        <f t="shared" ref="AQ137:AQ150" si="1244">IF(M137="","",DEGREES(ATAN(($AS$5*SIN(RADIANS(90)))/(($X137*2*PI())-($AS$5*COS(RADIANS(90)))))))</f>
        <v>0.26788835876402095</v>
      </c>
      <c r="AS137" s="955">
        <f t="shared" si="1029"/>
        <v>-303.9400080940614</v>
      </c>
      <c r="AT137" s="951">
        <f t="shared" ref="AT137:AT150" si="1245">IF(M137="","",Y137+(((AS137-$AS$9)*$AS$6)*-1))</f>
        <v>-4.710145392318644</v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>
        <f t="shared" si="855"/>
        <v>6.1449999999999996</v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>
        <f t="shared" ref="IL137:IL150" si="1278">IF(ISNUMBER($IK137),INDEX($K$9:$K$150,MATCH($IK137,$M$9:$M$150,0)),$K137)</f>
        <v>1613</v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>
        <f t="shared" si="1234"/>
        <v>0</v>
      </c>
      <c r="B138" s="585">
        <f t="shared" ref="B138:D138" si="1291">IFERROR(O293+($A138*-E138),"")</f>
        <v>-2.5737193254212105</v>
      </c>
      <c r="C138" s="582">
        <f t="shared" si="1291"/>
        <v>2.8143273179265473</v>
      </c>
      <c r="D138" s="583">
        <f t="shared" si="1291"/>
        <v>-0.2430614535151322</v>
      </c>
      <c r="E138" s="588">
        <f t="shared" ref="E138:K138" si="1292">R293</f>
        <v>0.14595093582901622</v>
      </c>
      <c r="F138" s="582">
        <f t="shared" si="1292"/>
        <v>-0.15959537690199435</v>
      </c>
      <c r="G138" s="586">
        <f t="shared" si="1292"/>
        <v>0.97633377489572948</v>
      </c>
      <c r="H138" s="588">
        <f t="shared" si="1292"/>
        <v>0.255</v>
      </c>
      <c r="I138" s="582">
        <f t="shared" si="1292"/>
        <v>0.41499999999999992</v>
      </c>
      <c r="J138" s="491">
        <f t="shared" ref="J138:J150" si="1293">IF(W293=0,"",W293)</f>
        <v>6.2149999999999999</v>
      </c>
      <c r="K138" s="807" t="str">
        <f t="shared" si="1292"/>
        <v>CPS-32193r1</v>
      </c>
      <c r="L138" s="309"/>
      <c r="M138" s="492">
        <f t="shared" si="1237"/>
        <v>6.2149999999999999</v>
      </c>
      <c r="N138" s="581">
        <f t="shared" si="1238"/>
        <v>-2.5737193254212105</v>
      </c>
      <c r="O138" s="582">
        <f t="shared" si="1239"/>
        <v>2.8143273179265473</v>
      </c>
      <c r="P138" s="583">
        <f t="shared" si="1240"/>
        <v>-0.2430614535151322</v>
      </c>
      <c r="Q138" s="536">
        <f t="shared" si="1079"/>
        <v>132.44310495230636</v>
      </c>
      <c r="R138" s="582">
        <f t="shared" si="1080"/>
        <v>3.8137212035588344</v>
      </c>
      <c r="S138" s="584">
        <f t="shared" si="1081"/>
        <v>-0.2430614535151322</v>
      </c>
      <c r="T138" s="585">
        <f t="shared" si="1082"/>
        <v>2.8143273179265469</v>
      </c>
      <c r="U138" s="582">
        <f t="shared" si="1083"/>
        <v>2.573719325421211</v>
      </c>
      <c r="V138" s="586">
        <f t="shared" si="1084"/>
        <v>-0.2430614535151322</v>
      </c>
      <c r="W138" s="536">
        <f t="shared" si="1085"/>
        <v>42.443104952306356</v>
      </c>
      <c r="X138" s="582">
        <f t="shared" si="1086"/>
        <v>3.8137212035588344</v>
      </c>
      <c r="Y138" s="587">
        <f t="shared" si="1087"/>
        <v>-0.2430614535151322</v>
      </c>
      <c r="Z138" s="581">
        <f t="shared" si="1241"/>
        <v>-0.14595093582901622</v>
      </c>
      <c r="AA138" s="582">
        <f t="shared" si="1242"/>
        <v>0.15959537690199435</v>
      </c>
      <c r="AB138" s="582">
        <f t="shared" si="1243"/>
        <v>-0.97633377489572948</v>
      </c>
      <c r="AC138" s="586">
        <f t="shared" si="1088"/>
        <v>1</v>
      </c>
      <c r="AD138" s="588">
        <f t="shared" si="1089"/>
        <v>-0.14595093582901622</v>
      </c>
      <c r="AE138" s="582">
        <f t="shared" si="1090"/>
        <v>0.15959537690199435</v>
      </c>
      <c r="AF138" s="583">
        <f t="shared" si="1091"/>
        <v>-0.97633377489572948</v>
      </c>
      <c r="AG138" s="547">
        <f t="shared" si="1092"/>
        <v>9.283687468353337</v>
      </c>
      <c r="AH138" s="548">
        <f t="shared" si="1093"/>
        <v>98.392349648033218</v>
      </c>
      <c r="AI138" s="536">
        <f t="shared" si="1094"/>
        <v>-12.489998196667351</v>
      </c>
      <c r="AJ138" s="537">
        <f t="shared" si="1095"/>
        <v>-137.55689504769364</v>
      </c>
      <c r="AK138" s="585">
        <f t="shared" si="1096"/>
        <v>0</v>
      </c>
      <c r="AL138" s="582">
        <f t="shared" si="1097"/>
        <v>0.21626918411520224</v>
      </c>
      <c r="AM138" s="584">
        <f t="shared" si="1098"/>
        <v>-0.97633377489572948</v>
      </c>
      <c r="AN138" s="534">
        <f t="shared" si="1099"/>
        <v>12.489998196667376</v>
      </c>
      <c r="AO138" s="535">
        <f t="shared" si="1058"/>
        <v>0</v>
      </c>
      <c r="AP138" s="536">
        <f t="shared" si="1100"/>
        <v>90</v>
      </c>
      <c r="AQ138" s="537">
        <f t="shared" si="1244"/>
        <v>0.59774792145140787</v>
      </c>
      <c r="AS138" s="955">
        <f t="shared" si="1029"/>
        <v>-317.55689504769362</v>
      </c>
      <c r="AT138" s="951">
        <f t="shared" si="1245"/>
        <v>-2.2535831954233837E-2</v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>Nose</v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>
        <f t="shared" si="855"/>
        <v>6.2149999999999999</v>
      </c>
      <c r="IJ138" s="674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>0.115</v>
      </c>
      <c r="IK138" s="677" cm="1">
        <f t="array" ref="IK138">IFERROR(ROUND(VALUE(IF($IJ138&lt;1,$IJ138+LARGE((IF($M$9:$M$150="",0,$M$9:$M$150)-MOD(IF($M$9:$M$150="",0,$M$9:$M$150),1)),1),$IJ138)),4),"")</f>
        <v>6.1150000000000002</v>
      </c>
      <c r="IL138" s="482">
        <f t="shared" si="1278"/>
        <v>1613</v>
      </c>
      <c r="IM138" s="482" t="str">
        <f t="shared" si="856"/>
        <v>CPS-32193r1</v>
      </c>
      <c r="IN138" s="670">
        <f t="shared" si="1279"/>
        <v>17.550386385705167</v>
      </c>
      <c r="IO138" s="702">
        <v>3.9633993021877402E-2</v>
      </c>
      <c r="IP138" s="5">
        <f t="shared" si="1280"/>
        <v>0.8</v>
      </c>
      <c r="IQ138" s="714">
        <v>400</v>
      </c>
      <c r="IR138" s="9">
        <f t="shared" si="1281"/>
        <v>-3.813711502153891</v>
      </c>
      <c r="IS138" s="5">
        <f t="shared" si="1282"/>
        <v>-0.24510073922382961</v>
      </c>
      <c r="IT138" s="5">
        <f t="shared" si="1283"/>
        <v>0.3125</v>
      </c>
      <c r="IU138" s="5">
        <f t="shared" si="1284"/>
        <v>0.30185182377256481</v>
      </c>
      <c r="IV138" s="670">
        <f t="shared" si="1285"/>
        <v>3.3333328520518818E-2</v>
      </c>
      <c r="IW138" s="9">
        <f t="shared" si="1286"/>
        <v>-3.8137212035588344</v>
      </c>
      <c r="IX138" s="5">
        <f t="shared" si="1287"/>
        <v>-0.2430614535151322</v>
      </c>
      <c r="IY138" s="5">
        <f t="shared" si="1288"/>
        <v>0.255</v>
      </c>
      <c r="IZ138" s="5">
        <f t="shared" si="1289"/>
        <v>0.255</v>
      </c>
      <c r="JA138" s="705">
        <f t="shared" si="1290"/>
        <v>-12.489998196667376</v>
      </c>
    </row>
    <row r="139" spans="1:277" ht="15" customHeight="1" x14ac:dyDescent="0.25">
      <c r="A139" s="75">
        <f t="shared" si="1234"/>
        <v>0</v>
      </c>
      <c r="B139" s="585">
        <f t="shared" ref="B139:D139" si="1295">IFERROR(O294+($A139*-E139),"")</f>
        <v>-3.2487341874266709</v>
      </c>
      <c r="C139" s="582">
        <f t="shared" si="1295"/>
        <v>3.2266361493443907</v>
      </c>
      <c r="D139" s="583">
        <f t="shared" si="1295"/>
        <v>-0.15302893813500654</v>
      </c>
      <c r="E139" s="588">
        <f t="shared" ref="E139:K139" si="1296">R294</f>
        <v>9.2872727858071564E-3</v>
      </c>
      <c r="F139" s="582">
        <f t="shared" si="1296"/>
        <v>-9.2241003328266558E-3</v>
      </c>
      <c r="G139" s="586">
        <f t="shared" si="1296"/>
        <v>0.99991432759874588</v>
      </c>
      <c r="H139" s="588">
        <f t="shared" si="1296"/>
        <v>0.255</v>
      </c>
      <c r="I139" s="582">
        <f t="shared" si="1296"/>
        <v>0.41499999999999992</v>
      </c>
      <c r="J139" s="491">
        <f t="shared" si="1293"/>
        <v>6.218</v>
      </c>
      <c r="K139" s="807" t="str">
        <f t="shared" si="1296"/>
        <v>CPS-32193r1</v>
      </c>
      <c r="L139" s="309"/>
      <c r="M139" s="492">
        <f t="shared" si="1237"/>
        <v>6.218</v>
      </c>
      <c r="N139" s="581">
        <f t="shared" si="1238"/>
        <v>-3.2487341874266709</v>
      </c>
      <c r="O139" s="582">
        <f t="shared" si="1239"/>
        <v>3.2266361493443907</v>
      </c>
      <c r="P139" s="583">
        <f t="shared" si="1240"/>
        <v>-0.15302893813500654</v>
      </c>
      <c r="Q139" s="536">
        <f t="shared" si="1079"/>
        <v>135.19552849284432</v>
      </c>
      <c r="R139" s="582">
        <f t="shared" si="1080"/>
        <v>4.5788049380608937</v>
      </c>
      <c r="S139" s="584">
        <f t="shared" si="1081"/>
        <v>-0.15302893813500654</v>
      </c>
      <c r="T139" s="585">
        <f t="shared" si="1082"/>
        <v>3.2266361493443902</v>
      </c>
      <c r="U139" s="582">
        <f t="shared" si="1083"/>
        <v>3.2487341874266704</v>
      </c>
      <c r="V139" s="586">
        <f t="shared" si="1084"/>
        <v>-0.15302893813500654</v>
      </c>
      <c r="W139" s="536">
        <f t="shared" si="1085"/>
        <v>45.195528492844318</v>
      </c>
      <c r="X139" s="582">
        <f t="shared" si="1086"/>
        <v>4.5788049380608937</v>
      </c>
      <c r="Y139" s="587">
        <f t="shared" si="1087"/>
        <v>-0.15302893813500654</v>
      </c>
      <c r="Z139" s="581">
        <f t="shared" si="1241"/>
        <v>-9.2872727858071564E-3</v>
      </c>
      <c r="AA139" s="582">
        <f t="shared" si="1242"/>
        <v>9.2241003328266558E-3</v>
      </c>
      <c r="AB139" s="582">
        <f t="shared" si="1243"/>
        <v>-0.99991432759874588</v>
      </c>
      <c r="AC139" s="586">
        <f t="shared" si="1088"/>
        <v>1</v>
      </c>
      <c r="AD139" s="588">
        <f t="shared" si="1089"/>
        <v>-9.2872727858071564E-3</v>
      </c>
      <c r="AE139" s="582">
        <f t="shared" si="1090"/>
        <v>9.2241003328266558E-3</v>
      </c>
      <c r="AF139" s="583">
        <f t="shared" si="1091"/>
        <v>-0.99991432759874588</v>
      </c>
      <c r="AG139" s="547">
        <f t="shared" si="1092"/>
        <v>0.52853230867832768</v>
      </c>
      <c r="AH139" s="548">
        <f t="shared" si="1093"/>
        <v>90.532129183662136</v>
      </c>
      <c r="AI139" s="536">
        <f t="shared" si="1094"/>
        <v>-0.74999989171310932</v>
      </c>
      <c r="AJ139" s="537">
        <f t="shared" si="1095"/>
        <v>-134.80447150715563</v>
      </c>
      <c r="AK139" s="585">
        <f t="shared" si="1096"/>
        <v>-1.474514954580286E-17</v>
      </c>
      <c r="AL139" s="582">
        <f t="shared" si="1097"/>
        <v>1.3089593681548981E-2</v>
      </c>
      <c r="AM139" s="584">
        <f t="shared" si="1098"/>
        <v>-0.99991432759874588</v>
      </c>
      <c r="AN139" s="534">
        <f t="shared" si="1099"/>
        <v>0.74999989171341885</v>
      </c>
      <c r="AO139" s="535">
        <f t="shared" si="1058"/>
        <v>0</v>
      </c>
      <c r="AP139" s="536">
        <f t="shared" si="1100"/>
        <v>90.000000000000057</v>
      </c>
      <c r="AQ139" s="537">
        <f t="shared" si="1244"/>
        <v>0.49787428884786727</v>
      </c>
      <c r="AS139" s="955">
        <f t="shared" ref="AS139:AS150" si="1297">IF(G139="","",IF(AND(W139&lt;(AS138+180),W139&gt;(AS138-180)),W139,IF(W139&gt;(AS138+180),W139-360,IF(W139&lt;(AS138-180),W139+360,"Error"))))</f>
        <v>-314.80447150715565</v>
      </c>
      <c r="AT139" s="951">
        <f t="shared" si="1245"/>
        <v>6.5585278189407126E-2</v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>Nose</v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>
        <f t="shared" ref="II139:II150" si="1298">$M139</f>
        <v>6.218</v>
      </c>
      <c r="IJ139" s="674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>0.11799999999999999</v>
      </c>
      <c r="IK139" s="677" cm="1">
        <f t="array" ref="IK139">IFERROR(ROUND(VALUE(IF($IJ139&lt;1,$IJ139+LARGE((IF($M$9:$M$150="",0,$M$9:$M$150)-MOD(IF($M$9:$M$150="",0,$M$9:$M$150),1)),1),$IJ139)),4),"")</f>
        <v>6.1180000000000003</v>
      </c>
      <c r="IL139" s="482">
        <f t="shared" si="1278"/>
        <v>1613</v>
      </c>
      <c r="IM139" s="482" t="str">
        <f t="shared" ref="IM139:IM150" si="1299">IF(ISNUMBER($IK139),INDEX($K$9:$K$150,MATCH($II139,$M$9:$M$150,0)),"")</f>
        <v>CPS-32193r1</v>
      </c>
      <c r="IN139" s="670">
        <f t="shared" si="1279"/>
        <v>14.55446288032428</v>
      </c>
      <c r="IO139" s="702">
        <v>3.7410461995584503E-2</v>
      </c>
      <c r="IP139" s="5">
        <f t="shared" si="1280"/>
        <v>0.92</v>
      </c>
      <c r="IQ139" s="714">
        <v>460</v>
      </c>
      <c r="IR139" s="9">
        <f t="shared" si="1281"/>
        <v>-4.5762138018608258</v>
      </c>
      <c r="IS139" s="5">
        <f t="shared" si="1282"/>
        <v>-0.15660047230702429</v>
      </c>
      <c r="IT139" s="5">
        <f t="shared" si="1283"/>
        <v>0.3125</v>
      </c>
      <c r="IU139" s="5">
        <f t="shared" si="1284"/>
        <v>0.30156765766093102</v>
      </c>
      <c r="IV139" s="670">
        <f t="shared" si="1285"/>
        <v>9.1333320146433792</v>
      </c>
      <c r="IW139" s="9">
        <f t="shared" si="1286"/>
        <v>-4.5788049380608937</v>
      </c>
      <c r="IX139" s="5">
        <f t="shared" si="1287"/>
        <v>-0.15302893813500654</v>
      </c>
      <c r="IY139" s="5">
        <f t="shared" si="1288"/>
        <v>0.255</v>
      </c>
      <c r="IZ139" s="5">
        <f t="shared" si="1289"/>
        <v>0.255</v>
      </c>
      <c r="JA139" s="705">
        <f t="shared" si="1290"/>
        <v>-0.74999989171341885</v>
      </c>
    </row>
    <row r="140" spans="1:277" ht="15" customHeight="1" x14ac:dyDescent="0.25">
      <c r="A140" s="75">
        <f t="shared" si="1234"/>
        <v>0</v>
      </c>
      <c r="B140" s="585">
        <f t="shared" ref="B140:D140" si="1300">IFERROR(O295+($A140*-E140),"")</f>
        <v>-3.8987248322039676</v>
      </c>
      <c r="C140" s="582">
        <f t="shared" si="1300"/>
        <v>3.656696036951415</v>
      </c>
      <c r="D140" s="583">
        <f t="shared" si="1300"/>
        <v>-0.22337145781603113</v>
      </c>
      <c r="E140" s="588">
        <f t="shared" ref="E140:K140" si="1301">R295</f>
        <v>-0.14092205944274552</v>
      </c>
      <c r="F140" s="582">
        <f t="shared" si="1301"/>
        <v>0.13217376410533008</v>
      </c>
      <c r="G140" s="586">
        <f t="shared" si="1301"/>
        <v>0.98115802460390844</v>
      </c>
      <c r="H140" s="588">
        <f t="shared" si="1301"/>
        <v>0.255</v>
      </c>
      <c r="I140" s="582">
        <f t="shared" si="1301"/>
        <v>0.41499999999999992</v>
      </c>
      <c r="J140" s="491">
        <f t="shared" si="1293"/>
        <v>6.2210000000000001</v>
      </c>
      <c r="K140" s="807" t="str">
        <f t="shared" si="1301"/>
        <v>CPS-32193r1</v>
      </c>
      <c r="L140" s="309"/>
      <c r="M140" s="492">
        <f t="shared" si="1237"/>
        <v>6.2210000000000001</v>
      </c>
      <c r="N140" s="581">
        <f t="shared" si="1238"/>
        <v>-3.8987248322039676</v>
      </c>
      <c r="O140" s="582">
        <f t="shared" si="1239"/>
        <v>3.656696036951415</v>
      </c>
      <c r="P140" s="583">
        <f t="shared" si="1240"/>
        <v>-0.22337145781603113</v>
      </c>
      <c r="Q140" s="536">
        <f t="shared" si="1079"/>
        <v>136.83477377329532</v>
      </c>
      <c r="R140" s="582">
        <f t="shared" si="1080"/>
        <v>5.3452297634339381</v>
      </c>
      <c r="S140" s="584">
        <f t="shared" si="1081"/>
        <v>-0.22337145781603113</v>
      </c>
      <c r="T140" s="585">
        <f t="shared" si="1082"/>
        <v>3.6566960369514159</v>
      </c>
      <c r="U140" s="582">
        <f t="shared" si="1083"/>
        <v>3.8987248322039654</v>
      </c>
      <c r="V140" s="586">
        <f t="shared" si="1084"/>
        <v>-0.22337145781603113</v>
      </c>
      <c r="W140" s="536">
        <f t="shared" si="1085"/>
        <v>46.834773773295325</v>
      </c>
      <c r="X140" s="582">
        <f t="shared" si="1086"/>
        <v>5.3452297634339381</v>
      </c>
      <c r="Y140" s="587">
        <f t="shared" si="1087"/>
        <v>-0.22337145781603113</v>
      </c>
      <c r="Z140" s="581">
        <f t="shared" si="1241"/>
        <v>0.14092205944274552</v>
      </c>
      <c r="AA140" s="582">
        <f t="shared" si="1242"/>
        <v>-0.13217376410533008</v>
      </c>
      <c r="AB140" s="582">
        <f t="shared" si="1243"/>
        <v>-0.98115802460390844</v>
      </c>
      <c r="AC140" s="586">
        <f t="shared" si="1088"/>
        <v>1</v>
      </c>
      <c r="AD140" s="588">
        <f t="shared" si="1089"/>
        <v>0.14092205944274552</v>
      </c>
      <c r="AE140" s="582">
        <f t="shared" si="1090"/>
        <v>-0.13217376410533008</v>
      </c>
      <c r="AF140" s="583">
        <f t="shared" si="1091"/>
        <v>-0.98115802460390844</v>
      </c>
      <c r="AG140" s="547">
        <f t="shared" si="1092"/>
        <v>-7.6722415646508253</v>
      </c>
      <c r="AH140" s="548">
        <f t="shared" si="1093"/>
        <v>81.898794645036148</v>
      </c>
      <c r="AI140" s="536">
        <f t="shared" si="1094"/>
        <v>-11.139998391583237</v>
      </c>
      <c r="AJ140" s="537">
        <f t="shared" si="1095"/>
        <v>46.834773773295318</v>
      </c>
      <c r="AK140" s="585">
        <f t="shared" si="1096"/>
        <v>-1.3877787807814457E-17</v>
      </c>
      <c r="AL140" s="582">
        <f t="shared" si="1097"/>
        <v>-0.19320696352708444</v>
      </c>
      <c r="AM140" s="584">
        <f t="shared" si="1098"/>
        <v>-0.98115802460390844</v>
      </c>
      <c r="AN140" s="534">
        <f t="shared" si="1099"/>
        <v>-11.139998391583234</v>
      </c>
      <c r="AO140" s="535">
        <f t="shared" si="1058"/>
        <v>0</v>
      </c>
      <c r="AP140" s="536">
        <f t="shared" si="1100"/>
        <v>-90</v>
      </c>
      <c r="AQ140" s="537">
        <f t="shared" si="1244"/>
        <v>0.42648952949734947</v>
      </c>
      <c r="AS140" s="955">
        <f t="shared" si="1297"/>
        <v>-313.1652262267047</v>
      </c>
      <c r="AT140" s="951">
        <f t="shared" si="1245"/>
        <v>-5.8956062697084199E-3</v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>Nose</v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>
        <f t="shared" si="1298"/>
        <v>6.2210000000000001</v>
      </c>
      <c r="IJ140" s="674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>0.121</v>
      </c>
      <c r="IK140" s="677" cm="1">
        <f t="array" ref="IK140">IFERROR(ROUND(VALUE(IF($IJ140&lt;1,$IJ140+LARGE((IF($M$9:$M$150="",0,$M$9:$M$150)-MOD(IF($M$9:$M$150="",0,$M$9:$M$150),1)),1),$IJ140)),4),"")</f>
        <v>6.1210000000000004</v>
      </c>
      <c r="IL140" s="482">
        <f t="shared" si="1278"/>
        <v>1613</v>
      </c>
      <c r="IM140" s="482" t="str">
        <f t="shared" si="1299"/>
        <v>CPS-32193r1</v>
      </c>
      <c r="IN140" s="670">
        <f t="shared" si="1279"/>
        <v>12.435217669176694</v>
      </c>
      <c r="IO140" s="702">
        <v>3.5949473586889803E-2</v>
      </c>
      <c r="IP140" s="5">
        <f t="shared" si="1280"/>
        <v>1.06</v>
      </c>
      <c r="IQ140" s="714">
        <v>530</v>
      </c>
      <c r="IR140" s="9">
        <f t="shared" si="1281"/>
        <v>-5.3405161069965779</v>
      </c>
      <c r="IS140" s="5">
        <f t="shared" si="1282"/>
        <v>-0.22610068191965671</v>
      </c>
      <c r="IT140" s="5">
        <f t="shared" si="1283"/>
        <v>0.3125</v>
      </c>
      <c r="IU140" s="5">
        <f t="shared" si="1284"/>
        <v>0.30054416266436301</v>
      </c>
      <c r="IV140" s="670">
        <f t="shared" si="1285"/>
        <v>18.23333070076616</v>
      </c>
      <c r="IW140" s="9">
        <f t="shared" si="1286"/>
        <v>-5.3452297634339381</v>
      </c>
      <c r="IX140" s="5">
        <f t="shared" si="1287"/>
        <v>-0.22337145781603113</v>
      </c>
      <c r="IY140" s="5">
        <f t="shared" si="1288"/>
        <v>0.255</v>
      </c>
      <c r="IZ140" s="5">
        <f t="shared" si="1289"/>
        <v>0.255</v>
      </c>
      <c r="JA140" s="705">
        <f t="shared" si="1290"/>
        <v>11.139998391583234</v>
      </c>
    </row>
    <row r="141" spans="1:277" ht="15" customHeight="1" x14ac:dyDescent="0.25">
      <c r="A141" s="75">
        <f t="shared" si="1234"/>
        <v>0</v>
      </c>
      <c r="B141" s="585">
        <f t="shared" ref="B141:D141" si="1302">IFERROR(O296+($A141*-E141),"")</f>
        <v>-4.4997064962148796</v>
      </c>
      <c r="C141" s="582">
        <f t="shared" si="1302"/>
        <v>4.0891697473320292</v>
      </c>
      <c r="D141" s="583">
        <f t="shared" si="1302"/>
        <v>-0.45149927270731699</v>
      </c>
      <c r="E141" s="588">
        <f t="shared" ref="E141:K141" si="1303">R296</f>
        <v>-0.29011556938331717</v>
      </c>
      <c r="F141" s="582">
        <f t="shared" si="1303"/>
        <v>0.26364648684313102</v>
      </c>
      <c r="G141" s="586">
        <f t="shared" si="1303"/>
        <v>0.91995841556924107</v>
      </c>
      <c r="H141" s="588">
        <f t="shared" si="1303"/>
        <v>0.255</v>
      </c>
      <c r="I141" s="582">
        <f t="shared" si="1303"/>
        <v>0.41499999999999992</v>
      </c>
      <c r="J141" s="491">
        <f t="shared" si="1293"/>
        <v>6.2240000000000002</v>
      </c>
      <c r="K141" s="807" t="str">
        <f t="shared" si="1303"/>
        <v>CPS-32193r1</v>
      </c>
      <c r="L141" s="309"/>
      <c r="M141" s="492">
        <f t="shared" si="1237"/>
        <v>6.2240000000000002</v>
      </c>
      <c r="N141" s="581">
        <f t="shared" si="1238"/>
        <v>-4.4997064962148796</v>
      </c>
      <c r="O141" s="582">
        <f t="shared" si="1239"/>
        <v>4.0891697473320292</v>
      </c>
      <c r="P141" s="583">
        <f t="shared" si="1240"/>
        <v>-0.45149927270731699</v>
      </c>
      <c r="Q141" s="536">
        <f t="shared" si="1079"/>
        <v>137.73657847853596</v>
      </c>
      <c r="R141" s="582">
        <f t="shared" si="1080"/>
        <v>6.0801864917594326</v>
      </c>
      <c r="S141" s="584">
        <f t="shared" si="1081"/>
        <v>-0.45149927270731699</v>
      </c>
      <c r="T141" s="585">
        <f t="shared" si="1082"/>
        <v>4.0891697473320292</v>
      </c>
      <c r="U141" s="582">
        <f t="shared" si="1083"/>
        <v>4.4997064962148796</v>
      </c>
      <c r="V141" s="586">
        <f t="shared" si="1084"/>
        <v>-0.45149927270731699</v>
      </c>
      <c r="W141" s="536">
        <f t="shared" si="1085"/>
        <v>47.736578478535961</v>
      </c>
      <c r="X141" s="582">
        <f t="shared" si="1086"/>
        <v>6.0801864917594326</v>
      </c>
      <c r="Y141" s="587">
        <f t="shared" si="1087"/>
        <v>-0.45149927270731699</v>
      </c>
      <c r="Z141" s="581">
        <f t="shared" si="1241"/>
        <v>0.29011556938331717</v>
      </c>
      <c r="AA141" s="582">
        <f t="shared" si="1242"/>
        <v>-0.26364648684313102</v>
      </c>
      <c r="AB141" s="582">
        <f t="shared" si="1243"/>
        <v>-0.91995841556924107</v>
      </c>
      <c r="AC141" s="586">
        <f t="shared" si="1088"/>
        <v>1</v>
      </c>
      <c r="AD141" s="588">
        <f t="shared" si="1089"/>
        <v>0.29011556938331717</v>
      </c>
      <c r="AE141" s="582">
        <f t="shared" si="1090"/>
        <v>-0.26364648684313102</v>
      </c>
      <c r="AF141" s="583">
        <f t="shared" si="1091"/>
        <v>-0.91995841556924107</v>
      </c>
      <c r="AG141" s="547">
        <f t="shared" si="1092"/>
        <v>-15.991520146848785</v>
      </c>
      <c r="AH141" s="548">
        <f t="shared" si="1093"/>
        <v>73.135124881667124</v>
      </c>
      <c r="AI141" s="536">
        <f t="shared" si="1094"/>
        <v>-23.07999666766078</v>
      </c>
      <c r="AJ141" s="537">
        <f t="shared" si="1095"/>
        <v>47.736578478535947</v>
      </c>
      <c r="AK141" s="585">
        <f t="shared" si="1096"/>
        <v>-8.3266726846886741E-17</v>
      </c>
      <c r="AL141" s="582">
        <f t="shared" si="1097"/>
        <v>-0.39201596092931162</v>
      </c>
      <c r="AM141" s="584">
        <f t="shared" si="1098"/>
        <v>-0.91995841556924107</v>
      </c>
      <c r="AN141" s="534">
        <f t="shared" si="1099"/>
        <v>-23.07999666766078</v>
      </c>
      <c r="AO141" s="535">
        <f t="shared" si="1058"/>
        <v>0</v>
      </c>
      <c r="AP141" s="536">
        <f t="shared" si="1100"/>
        <v>-90.000000000000014</v>
      </c>
      <c r="AQ141" s="537">
        <f t="shared" si="1244"/>
        <v>0.3749381854646851</v>
      </c>
      <c r="AS141" s="955">
        <f t="shared" si="1297"/>
        <v>-312.26342152146401</v>
      </c>
      <c r="AT141" s="951">
        <f t="shared" si="1245"/>
        <v>-0.23464967442852253</v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>Nose</v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>
        <f t="shared" si="1298"/>
        <v>6.2240000000000002</v>
      </c>
      <c r="IJ141" s="674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>0.124</v>
      </c>
      <c r="IK141" s="677" cm="1">
        <f t="array" ref="IK141">IFERROR(ROUND(VALUE(IF($IJ141&lt;1,$IJ141+LARGE((IF($M$9:$M$150="",0,$M$9:$M$150)-MOD(IF($M$9:$M$150="",0,$M$9:$M$150),1)),1),$IJ141)),4),"")</f>
        <v>6.1239999999999997</v>
      </c>
      <c r="IL141" s="482">
        <f t="shared" si="1278"/>
        <v>1613</v>
      </c>
      <c r="IM141" s="482" t="str">
        <f t="shared" si="1299"/>
        <v>CPS-32193r1</v>
      </c>
      <c r="IN141" s="670">
        <f t="shared" si="1279"/>
        <v>10.913413053452956</v>
      </c>
      <c r="IO141" s="702">
        <v>3.4895147212089597E-2</v>
      </c>
      <c r="IP141" s="5">
        <f t="shared" si="1280"/>
        <v>1.24</v>
      </c>
      <c r="IQ141" s="714">
        <v>620</v>
      </c>
      <c r="IR141" s="9">
        <f t="shared" si="1281"/>
        <v>-6.0742183198424531</v>
      </c>
      <c r="IS141" s="5">
        <f t="shared" si="1282"/>
        <v>-0.45170136233130836</v>
      </c>
      <c r="IT141" s="5">
        <f t="shared" si="1283"/>
        <v>0.3125</v>
      </c>
      <c r="IU141" s="5">
        <f t="shared" si="1284"/>
        <v>0.29884524015248648</v>
      </c>
      <c r="IV141" s="670">
        <f t="shared" si="1285"/>
        <v>27.333329386888835</v>
      </c>
      <c r="IW141" s="9">
        <f t="shared" si="1286"/>
        <v>-6.0801864917594326</v>
      </c>
      <c r="IX141" s="5">
        <f t="shared" si="1287"/>
        <v>-0.45149927270731699</v>
      </c>
      <c r="IY141" s="5">
        <f t="shared" si="1288"/>
        <v>0.255</v>
      </c>
      <c r="IZ141" s="5">
        <f t="shared" si="1289"/>
        <v>0.255</v>
      </c>
      <c r="JA141" s="705">
        <f t="shared" si="1290"/>
        <v>23.07999666766078</v>
      </c>
    </row>
    <row r="142" spans="1:277" ht="15" customHeight="1" x14ac:dyDescent="0.25">
      <c r="A142" s="75">
        <f t="shared" si="1234"/>
        <v>0</v>
      </c>
      <c r="B142" s="585">
        <f t="shared" ref="B142:D142" si="1304">IFERROR(O297+($A142*-E142),"")</f>
        <v>-5.0326648826866283</v>
      </c>
      <c r="C142" s="582">
        <f t="shared" si="1304"/>
        <v>4.5006188685824977</v>
      </c>
      <c r="D142" s="583">
        <f t="shared" si="1304"/>
        <v>-0.82691556295996438</v>
      </c>
      <c r="E142" s="588">
        <f t="shared" ref="E142:K142" si="1305">R297</f>
        <v>-0.42573596274693093</v>
      </c>
      <c r="F142" s="582">
        <f t="shared" si="1305"/>
        <v>0.38072777576839173</v>
      </c>
      <c r="G142" s="586">
        <f t="shared" si="1305"/>
        <v>0.82085032178978723</v>
      </c>
      <c r="H142" s="588">
        <f t="shared" si="1305"/>
        <v>0.255</v>
      </c>
      <c r="I142" s="582">
        <f t="shared" si="1305"/>
        <v>0.41499999999999992</v>
      </c>
      <c r="J142" s="491">
        <f t="shared" si="1293"/>
        <v>6.2270000000000003</v>
      </c>
      <c r="K142" s="807" t="str">
        <f t="shared" si="1305"/>
        <v>CPS-32193r1</v>
      </c>
      <c r="L142" s="309"/>
      <c r="M142" s="492">
        <f t="shared" si="1237"/>
        <v>6.2270000000000003</v>
      </c>
      <c r="N142" s="581">
        <f t="shared" si="1238"/>
        <v>-5.0326648826866283</v>
      </c>
      <c r="O142" s="582">
        <f t="shared" si="1239"/>
        <v>4.5006188685824977</v>
      </c>
      <c r="P142" s="583">
        <f t="shared" si="1240"/>
        <v>-0.82691556295996438</v>
      </c>
      <c r="Q142" s="536">
        <f t="shared" si="1079"/>
        <v>138.19432439423463</v>
      </c>
      <c r="R142" s="582">
        <f t="shared" si="1080"/>
        <v>6.7515395297419403</v>
      </c>
      <c r="S142" s="584">
        <f t="shared" si="1081"/>
        <v>-0.82691556295996438</v>
      </c>
      <c r="T142" s="585">
        <f t="shared" si="1082"/>
        <v>4.5006188685824968</v>
      </c>
      <c r="U142" s="582">
        <f t="shared" si="1083"/>
        <v>5.0326648826866291</v>
      </c>
      <c r="V142" s="586">
        <f t="shared" si="1084"/>
        <v>-0.82691556295996438</v>
      </c>
      <c r="W142" s="536">
        <f t="shared" si="1085"/>
        <v>48.194324394234627</v>
      </c>
      <c r="X142" s="582">
        <f t="shared" si="1086"/>
        <v>6.7515395297419403</v>
      </c>
      <c r="Y142" s="587">
        <f t="shared" si="1087"/>
        <v>-0.82691556295996438</v>
      </c>
      <c r="Z142" s="581">
        <f t="shared" si="1241"/>
        <v>0.42573596274693093</v>
      </c>
      <c r="AA142" s="582">
        <f t="shared" si="1242"/>
        <v>-0.38072777576839173</v>
      </c>
      <c r="AB142" s="582">
        <f t="shared" si="1243"/>
        <v>-0.82085032178978723</v>
      </c>
      <c r="AC142" s="586">
        <f t="shared" si="1088"/>
        <v>1</v>
      </c>
      <c r="AD142" s="588">
        <f t="shared" si="1089"/>
        <v>0.42573596274693093</v>
      </c>
      <c r="AE142" s="582">
        <f t="shared" si="1090"/>
        <v>-0.38072777576839173</v>
      </c>
      <c r="AF142" s="583">
        <f t="shared" si="1091"/>
        <v>-0.82085032178978723</v>
      </c>
      <c r="AG142" s="547">
        <f t="shared" si="1092"/>
        <v>-24.882869611665011</v>
      </c>
      <c r="AH142" s="548">
        <f t="shared" si="1093"/>
        <v>64.802743651878174</v>
      </c>
      <c r="AI142" s="536">
        <f t="shared" si="1094"/>
        <v>-34.829994971170926</v>
      </c>
      <c r="AJ142" s="537">
        <f t="shared" si="1095"/>
        <v>48.194324394234599</v>
      </c>
      <c r="AK142" s="585">
        <f t="shared" si="1096"/>
        <v>-3.3306690738754696E-16</v>
      </c>
      <c r="AL142" s="582">
        <f t="shared" si="1097"/>
        <v>-0.57114337010736893</v>
      </c>
      <c r="AM142" s="584">
        <f t="shared" si="1098"/>
        <v>-0.82085032178978723</v>
      </c>
      <c r="AN142" s="534">
        <f t="shared" si="1099"/>
        <v>-34.829994971170947</v>
      </c>
      <c r="AO142" s="535">
        <f t="shared" si="1058"/>
        <v>0</v>
      </c>
      <c r="AP142" s="536">
        <f t="shared" si="1100"/>
        <v>-90.000000000000028</v>
      </c>
      <c r="AQ142" s="537">
        <f t="shared" si="1244"/>
        <v>0.33765635677981792</v>
      </c>
      <c r="AS142" s="955">
        <f t="shared" si="1297"/>
        <v>-311.80567560576537</v>
      </c>
      <c r="AT142" s="951">
        <f t="shared" si="1245"/>
        <v>-0.610383843789294</v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>Taper</v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>
        <f t="shared" si="1298"/>
        <v>6.2270000000000003</v>
      </c>
      <c r="IJ142" s="674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>0.127</v>
      </c>
      <c r="IK142" s="677" cm="1">
        <f t="array" ref="IK142">IFERROR(ROUND(VALUE(IF($IJ142&lt;1,$IJ142+LARGE((IF($M$9:$M$150="",0,$M$9:$M$150)-MOD(IF($M$9:$M$150="",0,$M$9:$M$150),1)),1),$IJ142)),4),"")</f>
        <v>6.1269999999999998</v>
      </c>
      <c r="IL142" s="482">
        <f t="shared" si="1278"/>
        <v>1613</v>
      </c>
      <c r="IM142" s="482" t="str">
        <f t="shared" si="1299"/>
        <v>CPS-32193r1</v>
      </c>
      <c r="IN142" s="670">
        <f t="shared" si="1279"/>
        <v>9.8156672301588515</v>
      </c>
      <c r="IO142" s="702">
        <v>3.3900382318620401E-2</v>
      </c>
      <c r="IP142" s="5">
        <f t="shared" si="1280"/>
        <v>1.44</v>
      </c>
      <c r="IQ142" s="714">
        <v>720</v>
      </c>
      <c r="IR142" s="9">
        <f t="shared" si="1281"/>
        <v>-6.7457203450925602</v>
      </c>
      <c r="IS142" s="5">
        <f t="shared" si="1282"/>
        <v>-0.82330248308028886</v>
      </c>
      <c r="IT142" s="5">
        <f t="shared" si="1283"/>
        <v>0.3125</v>
      </c>
      <c r="IU142" s="5">
        <f t="shared" si="1284"/>
        <v>0.2961776327998466</v>
      </c>
      <c r="IV142" s="670">
        <f t="shared" si="1285"/>
        <v>36.43332807301158</v>
      </c>
      <c r="IW142" s="9">
        <f t="shared" si="1286"/>
        <v>-6.7515395297419403</v>
      </c>
      <c r="IX142" s="5">
        <f t="shared" si="1287"/>
        <v>-0.82691556295996438</v>
      </c>
      <c r="IY142" s="5">
        <f t="shared" si="1288"/>
        <v>0.255</v>
      </c>
      <c r="IZ142" s="5">
        <f t="shared" si="1289"/>
        <v>0.255</v>
      </c>
      <c r="JA142" s="705">
        <f t="shared" si="1290"/>
        <v>34.829994971170947</v>
      </c>
    </row>
    <row r="143" spans="1:277" ht="15" customHeight="1" x14ac:dyDescent="0.25">
      <c r="A143" s="75">
        <f t="shared" si="1234"/>
        <v>0</v>
      </c>
      <c r="B143" s="585">
        <f t="shared" ref="B143:D143" si="1306">IFERROR(O298+($A143*-E143),"")</f>
        <v>-5.4793276534222652</v>
      </c>
      <c r="C143" s="582">
        <f t="shared" si="1306"/>
        <v>4.8699725534050842</v>
      </c>
      <c r="D143" s="583">
        <f t="shared" si="1306"/>
        <v>-1.3327227133909083</v>
      </c>
      <c r="E143" s="588">
        <f t="shared" ref="E143:K143" si="1307">R298</f>
        <v>-0.54432848308199411</v>
      </c>
      <c r="F143" s="582">
        <f t="shared" si="1307"/>
        <v>0.48379380469979066</v>
      </c>
      <c r="G143" s="586">
        <f t="shared" si="1307"/>
        <v>0.68531019038079122</v>
      </c>
      <c r="H143" s="588">
        <f t="shared" si="1307"/>
        <v>0.255</v>
      </c>
      <c r="I143" s="582">
        <f t="shared" si="1307"/>
        <v>0.41499999999999992</v>
      </c>
      <c r="J143" s="491">
        <f t="shared" si="1293"/>
        <v>6.23</v>
      </c>
      <c r="K143" s="807" t="str">
        <f t="shared" si="1307"/>
        <v>CPS-32193r1</v>
      </c>
      <c r="L143" s="309"/>
      <c r="M143" s="492">
        <f t="shared" si="1237"/>
        <v>6.23</v>
      </c>
      <c r="N143" s="581">
        <f t="shared" si="1238"/>
        <v>-5.4793276534222652</v>
      </c>
      <c r="O143" s="582">
        <f t="shared" si="1239"/>
        <v>4.8699725534050842</v>
      </c>
      <c r="P143" s="583">
        <f t="shared" si="1240"/>
        <v>-1.3327227133909083</v>
      </c>
      <c r="Q143" s="536">
        <f t="shared" si="1079"/>
        <v>138.36962049357743</v>
      </c>
      <c r="R143" s="582">
        <f t="shared" si="1080"/>
        <v>7.3307342200134897</v>
      </c>
      <c r="S143" s="584">
        <f t="shared" si="1081"/>
        <v>-1.3327227133909083</v>
      </c>
      <c r="T143" s="585">
        <f t="shared" si="1082"/>
        <v>4.8699725534050833</v>
      </c>
      <c r="U143" s="582">
        <f t="shared" si="1083"/>
        <v>5.4793276534222661</v>
      </c>
      <c r="V143" s="586">
        <f t="shared" si="1084"/>
        <v>-1.3327227133909083</v>
      </c>
      <c r="W143" s="536">
        <f t="shared" si="1085"/>
        <v>48.369620493577429</v>
      </c>
      <c r="X143" s="582">
        <f t="shared" si="1086"/>
        <v>7.3307342200134897</v>
      </c>
      <c r="Y143" s="587">
        <f t="shared" si="1087"/>
        <v>-1.3327227133909083</v>
      </c>
      <c r="Z143" s="581">
        <f t="shared" si="1241"/>
        <v>0.54432848308199411</v>
      </c>
      <c r="AA143" s="582">
        <f t="shared" si="1242"/>
        <v>-0.48379380469979066</v>
      </c>
      <c r="AB143" s="582">
        <f t="shared" si="1243"/>
        <v>-0.68531019038079122</v>
      </c>
      <c r="AC143" s="586">
        <f t="shared" si="1088"/>
        <v>1</v>
      </c>
      <c r="AD143" s="588">
        <f t="shared" si="1089"/>
        <v>0.54432848308199411</v>
      </c>
      <c r="AE143" s="582">
        <f t="shared" si="1090"/>
        <v>-0.48379380469979066</v>
      </c>
      <c r="AF143" s="583">
        <f t="shared" si="1091"/>
        <v>-0.68531019038079122</v>
      </c>
      <c r="AG143" s="547">
        <f t="shared" si="1092"/>
        <v>-35.220128228400071</v>
      </c>
      <c r="AH143" s="548">
        <f t="shared" si="1093"/>
        <v>57.021213545946829</v>
      </c>
      <c r="AI143" s="536">
        <f t="shared" si="1094"/>
        <v>-46.739993251579925</v>
      </c>
      <c r="AJ143" s="537">
        <f t="shared" si="1095"/>
        <v>48.369620493577429</v>
      </c>
      <c r="AK143" s="585">
        <f t="shared" si="1096"/>
        <v>5.5511151231257827E-17</v>
      </c>
      <c r="AL143" s="582">
        <f t="shared" si="1097"/>
        <v>-0.72825129108038245</v>
      </c>
      <c r="AM143" s="584">
        <f t="shared" si="1098"/>
        <v>-0.68531019038079122</v>
      </c>
      <c r="AN143" s="534">
        <f t="shared" si="1099"/>
        <v>-46.739993251579932</v>
      </c>
      <c r="AO143" s="535">
        <f t="shared" si="1058"/>
        <v>0</v>
      </c>
      <c r="AP143" s="536">
        <f t="shared" si="1100"/>
        <v>-90</v>
      </c>
      <c r="AQ143" s="537">
        <f t="shared" si="1244"/>
        <v>0.31097897937575864</v>
      </c>
      <c r="AS143" s="955">
        <f t="shared" si="1297"/>
        <v>-311.63037950642257</v>
      </c>
      <c r="AT143" s="951">
        <f t="shared" si="1245"/>
        <v>-1.1163127276225593</v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>Taper</v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>
        <f t="shared" si="1298"/>
        <v>6.23</v>
      </c>
      <c r="IJ143" s="674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>0.13</v>
      </c>
      <c r="IK143" s="677" cm="1">
        <f t="array" ref="IK143">IFERROR(ROUND(VALUE(IF($IJ143&lt;1,$IJ143+LARGE((IF($M$9:$M$150="",0,$M$9:$M$150)-MOD(IF($M$9:$M$150="",0,$M$9:$M$150),1)),1),$IJ143)),4),"")</f>
        <v>6.13</v>
      </c>
      <c r="IL143" s="482">
        <f t="shared" si="1278"/>
        <v>1613</v>
      </c>
      <c r="IM143" s="482" t="str">
        <f t="shared" si="1299"/>
        <v>CPS-32193r1</v>
      </c>
      <c r="IN143" s="670">
        <f t="shared" si="1279"/>
        <v>9.0303712188891438</v>
      </c>
      <c r="IO143" s="702">
        <v>3.2778268436638697E-2</v>
      </c>
      <c r="IP143" s="5">
        <f t="shared" si="1280"/>
        <v>1.68</v>
      </c>
      <c r="IQ143" s="714">
        <v>840</v>
      </c>
      <c r="IR143" s="9">
        <f t="shared" si="1281"/>
        <v>-7.3268220976954463</v>
      </c>
      <c r="IS143" s="5">
        <f t="shared" si="1282"/>
        <v>-1.3247039953072497</v>
      </c>
      <c r="IT143" s="5">
        <f t="shared" si="1283"/>
        <v>0.3125</v>
      </c>
      <c r="IU143" s="5">
        <f t="shared" si="1284"/>
        <v>0.29251861062605156</v>
      </c>
      <c r="IV143" s="670">
        <f t="shared" si="1285"/>
        <v>45.533326759134304</v>
      </c>
      <c r="IW143" s="9">
        <f t="shared" si="1286"/>
        <v>-7.3307342200134897</v>
      </c>
      <c r="IX143" s="5">
        <f t="shared" si="1287"/>
        <v>-1.3327227133909083</v>
      </c>
      <c r="IY143" s="5">
        <f t="shared" si="1288"/>
        <v>0.255</v>
      </c>
      <c r="IZ143" s="5">
        <f t="shared" si="1289"/>
        <v>0.255</v>
      </c>
      <c r="JA143" s="705">
        <f t="shared" si="1290"/>
        <v>46.739993251579932</v>
      </c>
    </row>
    <row r="144" spans="1:277" ht="15" customHeight="1" x14ac:dyDescent="0.25">
      <c r="A144" s="75">
        <f t="shared" si="1234"/>
        <v>0</v>
      </c>
      <c r="B144" s="585">
        <f t="shared" ref="B144:D144" si="1308">IFERROR(O299+($A144*-E144),"")</f>
        <v>-5.8275189778992402</v>
      </c>
      <c r="C144" s="582">
        <f t="shared" si="1308"/>
        <v>5.1749524402414595</v>
      </c>
      <c r="D144" s="583">
        <f t="shared" si="1308"/>
        <v>-1.9462851712951987</v>
      </c>
      <c r="E144" s="588">
        <f t="shared" ref="E144:K144" si="1309">R299</f>
        <v>-0.63686334065866634</v>
      </c>
      <c r="F144" s="582">
        <f t="shared" si="1309"/>
        <v>0.56554727858303322</v>
      </c>
      <c r="G144" s="586">
        <f t="shared" si="1309"/>
        <v>0.52398603131420263</v>
      </c>
      <c r="H144" s="588">
        <f t="shared" si="1309"/>
        <v>0.255</v>
      </c>
      <c r="I144" s="582">
        <f t="shared" si="1309"/>
        <v>0.41499999999999992</v>
      </c>
      <c r="J144" s="491">
        <f t="shared" si="1293"/>
        <v>6.2329999999999997</v>
      </c>
      <c r="K144" s="807" t="str">
        <f t="shared" si="1309"/>
        <v>CPS-32193r1</v>
      </c>
      <c r="L144" s="309"/>
      <c r="M144" s="492">
        <f t="shared" si="1237"/>
        <v>6.2329999999999997</v>
      </c>
      <c r="N144" s="581">
        <f t="shared" si="1238"/>
        <v>-5.8275189778992402</v>
      </c>
      <c r="O144" s="582">
        <f t="shared" si="1239"/>
        <v>5.1749524402414595</v>
      </c>
      <c r="P144" s="583">
        <f t="shared" si="1240"/>
        <v>-1.9462851712951987</v>
      </c>
      <c r="Q144" s="536">
        <f t="shared" si="1079"/>
        <v>138.3942881420171</v>
      </c>
      <c r="R144" s="582">
        <f t="shared" si="1080"/>
        <v>7.7935941770493056</v>
      </c>
      <c r="S144" s="584">
        <f t="shared" si="1081"/>
        <v>-1.9462851712951987</v>
      </c>
      <c r="T144" s="585">
        <f t="shared" si="1082"/>
        <v>5.1749524402414613</v>
      </c>
      <c r="U144" s="582">
        <f t="shared" si="1083"/>
        <v>5.8275189778992385</v>
      </c>
      <c r="V144" s="586">
        <f t="shared" si="1084"/>
        <v>-1.9462851712951987</v>
      </c>
      <c r="W144" s="536">
        <f t="shared" si="1085"/>
        <v>48.394288142017103</v>
      </c>
      <c r="X144" s="582">
        <f t="shared" si="1086"/>
        <v>7.7935941770493056</v>
      </c>
      <c r="Y144" s="587">
        <f t="shared" si="1087"/>
        <v>-1.9462851712951987</v>
      </c>
      <c r="Z144" s="581">
        <f t="shared" si="1241"/>
        <v>0.63686334065866634</v>
      </c>
      <c r="AA144" s="582">
        <f t="shared" si="1242"/>
        <v>-0.56554727858303322</v>
      </c>
      <c r="AB144" s="582">
        <f t="shared" si="1243"/>
        <v>-0.52398603131420263</v>
      </c>
      <c r="AC144" s="586">
        <f t="shared" si="1088"/>
        <v>1</v>
      </c>
      <c r="AD144" s="588">
        <f t="shared" si="1089"/>
        <v>0.63686334065866634</v>
      </c>
      <c r="AE144" s="582">
        <f t="shared" si="1090"/>
        <v>-0.56554727858303322</v>
      </c>
      <c r="AF144" s="583">
        <f t="shared" si="1091"/>
        <v>-0.52398603131420263</v>
      </c>
      <c r="AG144" s="547">
        <f t="shared" si="1092"/>
        <v>-47.184540880641443</v>
      </c>
      <c r="AH144" s="548">
        <f t="shared" si="1093"/>
        <v>50.441677631695818</v>
      </c>
      <c r="AI144" s="536">
        <f t="shared" si="1094"/>
        <v>-58.399991568084438</v>
      </c>
      <c r="AJ144" s="537">
        <f t="shared" si="1095"/>
        <v>48.39428814201711</v>
      </c>
      <c r="AK144" s="585">
        <f t="shared" si="1096"/>
        <v>1.6653345369377348E-16</v>
      </c>
      <c r="AL144" s="582">
        <f t="shared" si="1097"/>
        <v>-0.85172685703081563</v>
      </c>
      <c r="AM144" s="584">
        <f t="shared" si="1098"/>
        <v>-0.52398603131420263</v>
      </c>
      <c r="AN144" s="534">
        <f t="shared" si="1099"/>
        <v>-58.399991568084438</v>
      </c>
      <c r="AO144" s="535">
        <f t="shared" si="1058"/>
        <v>0</v>
      </c>
      <c r="AP144" s="536">
        <f t="shared" si="1100"/>
        <v>-89.999999999999986</v>
      </c>
      <c r="AQ144" s="537">
        <f t="shared" si="1244"/>
        <v>0.29251033272232124</v>
      </c>
      <c r="AS144" s="955">
        <f t="shared" si="1297"/>
        <v>-311.6057118579829</v>
      </c>
      <c r="AT144" s="951">
        <f t="shared" si="1245"/>
        <v>-1.7298923158382662</v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>Taper</v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>
        <f t="shared" si="1298"/>
        <v>6.2329999999999997</v>
      </c>
      <c r="IJ144" s="674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>0.13300000000000001</v>
      </c>
      <c r="IK144" s="677" cm="1">
        <f t="array" ref="IK144">IFERROR(ROUND(VALUE(IF($IJ144&lt;1,$IJ144+LARGE((IF($M$9:$M$150="",0,$M$9:$M$150)-MOD(IF($M$9:$M$150="",0,$M$9:$M$150),1)),1),$IJ144)),4),"")</f>
        <v>6.133</v>
      </c>
      <c r="IL144" s="482">
        <f t="shared" si="1278"/>
        <v>1613</v>
      </c>
      <c r="IM144" s="482" t="str">
        <f t="shared" si="1299"/>
        <v>CPS-32193r1</v>
      </c>
      <c r="IN144" s="670">
        <f t="shared" si="1279"/>
        <v>8.4857036455281332</v>
      </c>
      <c r="IO144" s="702">
        <v>3.14159945781591E-2</v>
      </c>
      <c r="IP144" s="5">
        <f t="shared" si="1280"/>
        <v>1.96</v>
      </c>
      <c r="IQ144" s="714">
        <v>980</v>
      </c>
      <c r="IR144" s="9">
        <f t="shared" si="1281"/>
        <v>-7.7933235046636931</v>
      </c>
      <c r="IS144" s="5">
        <f t="shared" si="1282"/>
        <v>-1.934205833564794</v>
      </c>
      <c r="IT144" s="5">
        <f t="shared" si="1283"/>
        <v>0.3125</v>
      </c>
      <c r="IU144" s="5">
        <f t="shared" si="1284"/>
        <v>0.28808224182909187</v>
      </c>
      <c r="IV144" s="670">
        <f t="shared" si="1285"/>
        <v>54.633325445257043</v>
      </c>
      <c r="IW144" s="9">
        <f t="shared" si="1286"/>
        <v>-7.7935941770493056</v>
      </c>
      <c r="IX144" s="5">
        <f t="shared" si="1287"/>
        <v>-1.9462851712951987</v>
      </c>
      <c r="IY144" s="5">
        <f t="shared" si="1288"/>
        <v>0.255</v>
      </c>
      <c r="IZ144" s="5">
        <f t="shared" si="1289"/>
        <v>0.255</v>
      </c>
      <c r="JA144" s="705">
        <f t="shared" si="1290"/>
        <v>58.399991568084438</v>
      </c>
    </row>
    <row r="145" spans="1:261" ht="15" customHeight="1" x14ac:dyDescent="0.25">
      <c r="A145" s="75">
        <f t="shared" si="1234"/>
        <v>0</v>
      </c>
      <c r="B145" s="585">
        <f t="shared" ref="B145:D145" si="1310">IFERROR(O300+($A145*-E145),"")</f>
        <v>-6.0704975517279989</v>
      </c>
      <c r="C145" s="582">
        <f t="shared" si="1310"/>
        <v>5.3945068870573785</v>
      </c>
      <c r="D145" s="583">
        <f t="shared" si="1310"/>
        <v>-2.641052174497704</v>
      </c>
      <c r="E145" s="588">
        <f t="shared" ref="E145:K145" si="1311">R300</f>
        <v>-0.70313183195995033</v>
      </c>
      <c r="F145" s="582">
        <f t="shared" si="1311"/>
        <v>0.62483338106898934</v>
      </c>
      <c r="G145" s="586">
        <f t="shared" si="1311"/>
        <v>0.33939486264016933</v>
      </c>
      <c r="H145" s="588">
        <f t="shared" si="1311"/>
        <v>0.255</v>
      </c>
      <c r="I145" s="582">
        <f t="shared" si="1311"/>
        <v>0.41499999999999992</v>
      </c>
      <c r="J145" s="491">
        <f t="shared" si="1293"/>
        <v>6.2359999999999998</v>
      </c>
      <c r="K145" s="807" t="str">
        <f t="shared" si="1311"/>
        <v>CPS-32193r1</v>
      </c>
      <c r="L145" s="309"/>
      <c r="M145" s="492">
        <f t="shared" si="1237"/>
        <v>6.2359999999999998</v>
      </c>
      <c r="N145" s="581">
        <f t="shared" si="1238"/>
        <v>-6.0704975517279989</v>
      </c>
      <c r="O145" s="582">
        <f t="shared" si="1239"/>
        <v>5.3945068870573785</v>
      </c>
      <c r="P145" s="583">
        <f t="shared" si="1240"/>
        <v>-2.641052174497704</v>
      </c>
      <c r="Q145" s="536">
        <f t="shared" si="1079"/>
        <v>138.37432256371213</v>
      </c>
      <c r="R145" s="582">
        <f t="shared" si="1080"/>
        <v>8.1210618197403903</v>
      </c>
      <c r="S145" s="584">
        <f t="shared" si="1081"/>
        <v>-2.641052174497704</v>
      </c>
      <c r="T145" s="585">
        <f t="shared" si="1082"/>
        <v>5.3945068870573785</v>
      </c>
      <c r="U145" s="582">
        <f t="shared" si="1083"/>
        <v>6.0704975517279971</v>
      </c>
      <c r="V145" s="586">
        <f t="shared" si="1084"/>
        <v>-2.641052174497704</v>
      </c>
      <c r="W145" s="536">
        <f t="shared" si="1085"/>
        <v>48.374322563712127</v>
      </c>
      <c r="X145" s="582">
        <f t="shared" si="1086"/>
        <v>8.1210618197403903</v>
      </c>
      <c r="Y145" s="587">
        <f t="shared" si="1087"/>
        <v>-2.641052174497704</v>
      </c>
      <c r="Z145" s="581">
        <f t="shared" si="1241"/>
        <v>0.70313183195995033</v>
      </c>
      <c r="AA145" s="582">
        <f t="shared" si="1242"/>
        <v>-0.62483338106898934</v>
      </c>
      <c r="AB145" s="582">
        <f t="shared" si="1243"/>
        <v>-0.33939486264016933</v>
      </c>
      <c r="AC145" s="586">
        <f t="shared" si="1088"/>
        <v>1</v>
      </c>
      <c r="AD145" s="588">
        <f t="shared" si="1089"/>
        <v>0.70313183195995033</v>
      </c>
      <c r="AE145" s="582">
        <f t="shared" si="1090"/>
        <v>-0.62483338106898934</v>
      </c>
      <c r="AF145" s="583">
        <f t="shared" si="1091"/>
        <v>-0.33939486264016933</v>
      </c>
      <c r="AG145" s="547">
        <f t="shared" si="1092"/>
        <v>-61.490226548185476</v>
      </c>
      <c r="AH145" s="548">
        <f t="shared" si="1093"/>
        <v>45.321185490673891</v>
      </c>
      <c r="AI145" s="536">
        <f t="shared" si="1094"/>
        <v>-70.159989870150795</v>
      </c>
      <c r="AJ145" s="537">
        <f t="shared" si="1095"/>
        <v>48.374322563712106</v>
      </c>
      <c r="AK145" s="585">
        <f t="shared" si="1096"/>
        <v>-3.8857805861880479E-16</v>
      </c>
      <c r="AL145" s="582">
        <f t="shared" si="1097"/>
        <v>-0.94064399600138882</v>
      </c>
      <c r="AM145" s="584">
        <f t="shared" si="1098"/>
        <v>-0.33939486264016933</v>
      </c>
      <c r="AN145" s="534">
        <f t="shared" si="1099"/>
        <v>-70.15998987015081</v>
      </c>
      <c r="AO145" s="535">
        <f t="shared" si="1058"/>
        <v>0</v>
      </c>
      <c r="AP145" s="536">
        <f t="shared" si="1100"/>
        <v>-90.000000000000028</v>
      </c>
      <c r="AQ145" s="537">
        <f t="shared" si="1244"/>
        <v>0.28071555684478772</v>
      </c>
      <c r="AS145" s="955">
        <f t="shared" si="1297"/>
        <v>-311.6256774362879</v>
      </c>
      <c r="AT145" s="951">
        <f t="shared" si="1245"/>
        <v>-2.4246454540558373</v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>Taper</v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>
        <f t="shared" si="1298"/>
        <v>6.2359999999999998</v>
      </c>
      <c r="IJ145" s="674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>0.13600000000000001</v>
      </c>
      <c r="IK145" s="677" cm="1">
        <f t="array" ref="IK145">IFERROR(ROUND(VALUE(IF($IJ145&lt;1,$IJ145+LARGE((IF($M$9:$M$150="",0,$M$9:$M$150)-MOD(IF($M$9:$M$150="",0,$M$9:$M$150),1)),1),$IJ145)),4),"")</f>
        <v>6.1360000000000001</v>
      </c>
      <c r="IL145" s="482">
        <f t="shared" si="1278"/>
        <v>1613</v>
      </c>
      <c r="IM145" s="482" t="str">
        <f t="shared" si="1299"/>
        <v>CPS-32193r1</v>
      </c>
      <c r="IN145" s="670">
        <f t="shared" si="1279"/>
        <v>8.1356692772545216</v>
      </c>
      <c r="IO145" s="702">
        <v>2.98111351166996E-2</v>
      </c>
      <c r="IP145" s="5">
        <f t="shared" si="1280"/>
        <v>2.2599999999999998</v>
      </c>
      <c r="IQ145" s="714">
        <v>1130</v>
      </c>
      <c r="IR145" s="9">
        <f t="shared" si="1281"/>
        <v>-8.1262245086931166</v>
      </c>
      <c r="IS145" s="5">
        <f t="shared" si="1282"/>
        <v>-2.6259079197382849</v>
      </c>
      <c r="IT145" s="5">
        <f t="shared" si="1283"/>
        <v>0.3125</v>
      </c>
      <c r="IU145" s="5">
        <f t="shared" si="1284"/>
        <v>0.28275846234503044</v>
      </c>
      <c r="IV145" s="670">
        <f t="shared" si="1285"/>
        <v>63.733324131379788</v>
      </c>
      <c r="IW145" s="9">
        <f t="shared" si="1286"/>
        <v>-8.1210618197403903</v>
      </c>
      <c r="IX145" s="5">
        <f t="shared" si="1287"/>
        <v>-2.641052174497704</v>
      </c>
      <c r="IY145" s="5">
        <f t="shared" si="1288"/>
        <v>0.255</v>
      </c>
      <c r="IZ145" s="5">
        <f t="shared" si="1289"/>
        <v>0.255</v>
      </c>
      <c r="JA145" s="705">
        <f t="shared" si="1290"/>
        <v>70.15998987015081</v>
      </c>
    </row>
    <row r="146" spans="1:261" ht="15" customHeight="1" x14ac:dyDescent="0.25">
      <c r="A146" s="75">
        <f t="shared" si="1234"/>
        <v>0</v>
      </c>
      <c r="B146" s="585">
        <f t="shared" ref="B146:D146" si="1312">IFERROR(O301+($A146*-E146),"")</f>
        <v>-6.2109265214768419</v>
      </c>
      <c r="C146" s="582">
        <f t="shared" si="1312"/>
        <v>5.5276483277026909</v>
      </c>
      <c r="D146" s="583">
        <f t="shared" si="1312"/>
        <v>-3.3840647600440179</v>
      </c>
      <c r="E146" s="588">
        <f t="shared" ref="E146:K146" si="1313">R301</f>
        <v>-0.73108188437165089</v>
      </c>
      <c r="F146" s="582">
        <f t="shared" si="1313"/>
        <v>0.65065389867142975</v>
      </c>
      <c r="G146" s="586">
        <f t="shared" si="1313"/>
        <v>0.2053503895473909</v>
      </c>
      <c r="H146" s="588">
        <f t="shared" si="1313"/>
        <v>0.255</v>
      </c>
      <c r="I146" s="582">
        <f t="shared" si="1313"/>
        <v>0.41499999999999992</v>
      </c>
      <c r="J146" s="491">
        <f t="shared" si="1293"/>
        <v>6.2389999999999999</v>
      </c>
      <c r="K146" s="807" t="str">
        <f t="shared" si="1313"/>
        <v>CPS-32193r1</v>
      </c>
      <c r="L146" s="309"/>
      <c r="M146" s="492">
        <f t="shared" si="1237"/>
        <v>6.2389999999999999</v>
      </c>
      <c r="N146" s="581">
        <f t="shared" si="1238"/>
        <v>-6.2109265214768419</v>
      </c>
      <c r="O146" s="582">
        <f t="shared" si="1239"/>
        <v>5.5276483277026909</v>
      </c>
      <c r="P146" s="583">
        <f t="shared" si="1240"/>
        <v>-3.3840647600440179</v>
      </c>
      <c r="Q146" s="536">
        <f t="shared" si="1079"/>
        <v>138.33131002258654</v>
      </c>
      <c r="R146" s="582">
        <f t="shared" si="1080"/>
        <v>8.3144755871876104</v>
      </c>
      <c r="S146" s="584">
        <f t="shared" si="1081"/>
        <v>-3.3840647600440179</v>
      </c>
      <c r="T146" s="585">
        <f t="shared" si="1082"/>
        <v>5.5276483277026909</v>
      </c>
      <c r="U146" s="582">
        <f t="shared" si="1083"/>
        <v>6.210926521476841</v>
      </c>
      <c r="V146" s="586">
        <f t="shared" si="1084"/>
        <v>-3.3840647600440179</v>
      </c>
      <c r="W146" s="536">
        <f t="shared" si="1085"/>
        <v>48.331310022586536</v>
      </c>
      <c r="X146" s="582">
        <f t="shared" si="1086"/>
        <v>8.3144755871876104</v>
      </c>
      <c r="Y146" s="587">
        <f t="shared" si="1087"/>
        <v>-3.3840647600440179</v>
      </c>
      <c r="Z146" s="581">
        <f t="shared" si="1241"/>
        <v>0.73108188437165089</v>
      </c>
      <c r="AA146" s="582">
        <f t="shared" si="1242"/>
        <v>-0.65065389867142975</v>
      </c>
      <c r="AB146" s="582">
        <f t="shared" si="1243"/>
        <v>-0.2053503895473909</v>
      </c>
      <c r="AC146" s="586">
        <f t="shared" si="1088"/>
        <v>1</v>
      </c>
      <c r="AD146" s="588">
        <f t="shared" si="1089"/>
        <v>0.73108188437165089</v>
      </c>
      <c r="AE146" s="582">
        <f t="shared" si="1090"/>
        <v>-0.65065389867142975</v>
      </c>
      <c r="AF146" s="583">
        <f t="shared" si="1091"/>
        <v>-0.2053503895473909</v>
      </c>
      <c r="AG146" s="547">
        <f t="shared" si="1092"/>
        <v>-72.483981918377921</v>
      </c>
      <c r="AH146" s="548">
        <f t="shared" si="1093"/>
        <v>43.022830926937914</v>
      </c>
      <c r="AI146" s="536">
        <f t="shared" si="1094"/>
        <v>-78.149988716537649</v>
      </c>
      <c r="AJ146" s="537">
        <f t="shared" si="1095"/>
        <v>48.331310022586536</v>
      </c>
      <c r="AK146" s="585">
        <f t="shared" si="1096"/>
        <v>0</v>
      </c>
      <c r="AL146" s="582">
        <f t="shared" si="1097"/>
        <v>-0.97868851914832178</v>
      </c>
      <c r="AM146" s="584">
        <f t="shared" si="1098"/>
        <v>-0.2053503895473909</v>
      </c>
      <c r="AN146" s="534">
        <f t="shared" si="1099"/>
        <v>-78.149988716537649</v>
      </c>
      <c r="AO146" s="535">
        <f t="shared" si="1058"/>
        <v>0</v>
      </c>
      <c r="AP146" s="536">
        <f t="shared" si="1100"/>
        <v>-90</v>
      </c>
      <c r="AQ146" s="537">
        <f t="shared" si="1244"/>
        <v>0.27418557018645978</v>
      </c>
      <c r="AS146" s="955">
        <f t="shared" si="1297"/>
        <v>-311.66868997741346</v>
      </c>
      <c r="AT146" s="951">
        <f t="shared" si="1245"/>
        <v>-3.1676281697819251</v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>Taper</v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>
        <f t="shared" si="1298"/>
        <v>6.2389999999999999</v>
      </c>
      <c r="IJ146" s="674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>0.13900000000000001</v>
      </c>
      <c r="IK146" s="677" cm="1">
        <f t="array" ref="IK146">IFERROR(ROUND(VALUE(IF($IJ146&lt;1,$IJ146+LARGE((IF($M$9:$M$150="",0,$M$9:$M$150)-MOD(IF($M$9:$M$150="",0,$M$9:$M$150),1)),1),$IJ146)),4),"")</f>
        <v>6.1390000000000002</v>
      </c>
      <c r="IL146" s="482">
        <f t="shared" si="1278"/>
        <v>1613</v>
      </c>
      <c r="IM146" s="482" t="str">
        <f t="shared" si="1299"/>
        <v>CPS-32193r1</v>
      </c>
      <c r="IN146" s="670">
        <f t="shared" si="1279"/>
        <v>7.9386818530317953</v>
      </c>
      <c r="IO146" s="702">
        <v>2.8025871364204001E-2</v>
      </c>
      <c r="IP146" s="5">
        <f t="shared" si="1280"/>
        <v>2.64</v>
      </c>
      <c r="IQ146" s="714">
        <v>1320</v>
      </c>
      <c r="IR146" s="9">
        <f t="shared" si="1281"/>
        <v>-8.3265251127997413</v>
      </c>
      <c r="IS146" s="5">
        <f t="shared" si="1282"/>
        <v>-3.3675101564106322</v>
      </c>
      <c r="IT146" s="5">
        <f t="shared" si="1283"/>
        <v>0.3125</v>
      </c>
      <c r="IU146" s="5">
        <f t="shared" si="1284"/>
        <v>0.27668551818797438</v>
      </c>
      <c r="IV146" s="670">
        <f t="shared" si="1285"/>
        <v>72.833322817502506</v>
      </c>
      <c r="IW146" s="9">
        <f t="shared" si="1286"/>
        <v>-8.3144755871876104</v>
      </c>
      <c r="IX146" s="5">
        <f t="shared" si="1287"/>
        <v>-3.3840647600440179</v>
      </c>
      <c r="IY146" s="5">
        <f t="shared" si="1288"/>
        <v>0.255</v>
      </c>
      <c r="IZ146" s="5">
        <f t="shared" si="1289"/>
        <v>0.255</v>
      </c>
      <c r="JA146" s="705">
        <f t="shared" si="1290"/>
        <v>78.149988716537649</v>
      </c>
    </row>
    <row r="147" spans="1:261" ht="15" customHeight="1" x14ac:dyDescent="0.25">
      <c r="A147" s="75">
        <f t="shared" si="1234"/>
        <v>0</v>
      </c>
      <c r="B147" s="585">
        <f t="shared" ref="B147:D147" si="1314">IFERROR(O302+($A147*-E147),"")</f>
        <v>-6.2925051662077642</v>
      </c>
      <c r="C147" s="582">
        <f t="shared" si="1314"/>
        <v>5.6053053769336545</v>
      </c>
      <c r="D147" s="583">
        <f t="shared" si="1314"/>
        <v>-4.1422714085274137</v>
      </c>
      <c r="E147" s="588">
        <f t="shared" ref="E147:K147" si="1315">R302</f>
        <v>-0.74225136147877746</v>
      </c>
      <c r="F147" s="582">
        <f t="shared" si="1315"/>
        <v>0.66119064468574851</v>
      </c>
      <c r="G147" s="586">
        <f t="shared" si="1315"/>
        <v>0.10904057851527371</v>
      </c>
      <c r="H147" s="588">
        <f t="shared" si="1315"/>
        <v>0.255</v>
      </c>
      <c r="I147" s="582">
        <f t="shared" si="1315"/>
        <v>0.41499999999999992</v>
      </c>
      <c r="J147" s="491">
        <f t="shared" si="1293"/>
        <v>6.242</v>
      </c>
      <c r="K147" s="807" t="str">
        <f t="shared" si="1315"/>
        <v>CPS-32193r1</v>
      </c>
      <c r="L147" s="309"/>
      <c r="M147" s="492">
        <f t="shared" si="1237"/>
        <v>6.242</v>
      </c>
      <c r="N147" s="581">
        <f t="shared" si="1238"/>
        <v>-6.2925051662077642</v>
      </c>
      <c r="O147" s="582">
        <f t="shared" si="1239"/>
        <v>5.6053053769336545</v>
      </c>
      <c r="P147" s="583">
        <f t="shared" si="1240"/>
        <v>-4.1422714085274137</v>
      </c>
      <c r="Q147" s="536">
        <f t="shared" si="1079"/>
        <v>138.30564609393798</v>
      </c>
      <c r="R147" s="582">
        <f t="shared" si="1080"/>
        <v>8.4270439440786546</v>
      </c>
      <c r="S147" s="584">
        <f t="shared" si="1081"/>
        <v>-4.1422714085274137</v>
      </c>
      <c r="T147" s="585">
        <f t="shared" si="1082"/>
        <v>5.6053053769336536</v>
      </c>
      <c r="U147" s="582">
        <f t="shared" si="1083"/>
        <v>6.2925051662077633</v>
      </c>
      <c r="V147" s="586">
        <f t="shared" si="1084"/>
        <v>-4.1422714085274137</v>
      </c>
      <c r="W147" s="536">
        <f t="shared" si="1085"/>
        <v>48.30564609393798</v>
      </c>
      <c r="X147" s="582">
        <f t="shared" si="1086"/>
        <v>8.4270439440786546</v>
      </c>
      <c r="Y147" s="587">
        <f t="shared" si="1087"/>
        <v>-4.1422714085274137</v>
      </c>
      <c r="Z147" s="581">
        <f t="shared" si="1241"/>
        <v>0.74225136147877746</v>
      </c>
      <c r="AA147" s="582">
        <f t="shared" si="1242"/>
        <v>-0.66119064468574851</v>
      </c>
      <c r="AB147" s="582">
        <f t="shared" si="1243"/>
        <v>-0.10904057851527371</v>
      </c>
      <c r="AC147" s="586">
        <f t="shared" si="1088"/>
        <v>1</v>
      </c>
      <c r="AD147" s="588">
        <f t="shared" si="1089"/>
        <v>0.74225136147877746</v>
      </c>
      <c r="AE147" s="582">
        <f t="shared" si="1090"/>
        <v>-0.66119064468574851</v>
      </c>
      <c r="AF147" s="583">
        <f t="shared" si="1091"/>
        <v>-0.10904057851527371</v>
      </c>
      <c r="AG147" s="547">
        <f t="shared" si="1092"/>
        <v>-80.635328756079076</v>
      </c>
      <c r="AH147" s="548">
        <f t="shared" si="1093"/>
        <v>42.076448199434388</v>
      </c>
      <c r="AI147" s="536">
        <f t="shared" si="1094"/>
        <v>-83.739987909441666</v>
      </c>
      <c r="AJ147" s="537">
        <f t="shared" si="1095"/>
        <v>48.305646093937995</v>
      </c>
      <c r="AK147" s="585">
        <f t="shared" si="1096"/>
        <v>1.6653345369377348E-16</v>
      </c>
      <c r="AL147" s="582">
        <f t="shared" si="1097"/>
        <v>-0.9940372992182207</v>
      </c>
      <c r="AM147" s="584">
        <f t="shared" si="1098"/>
        <v>-0.10904057851527371</v>
      </c>
      <c r="AN147" s="534">
        <f t="shared" si="1099"/>
        <v>-83.739987909441666</v>
      </c>
      <c r="AO147" s="535">
        <f t="shared" si="1058"/>
        <v>0</v>
      </c>
      <c r="AP147" s="536">
        <f t="shared" si="1100"/>
        <v>-90</v>
      </c>
      <c r="AQ147" s="537">
        <f t="shared" si="1244"/>
        <v>0.27052305726776166</v>
      </c>
      <c r="AS147" s="955">
        <f t="shared" si="1297"/>
        <v>-311.69435390606202</v>
      </c>
      <c r="AT147" s="951">
        <f t="shared" si="1245"/>
        <v>-3.9258169960926486</v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>Taper</v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>
        <f t="shared" si="1298"/>
        <v>6.242</v>
      </c>
      <c r="IJ147" s="674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>0.14199999999999999</v>
      </c>
      <c r="IK147" s="677" cm="1">
        <f t="array" ref="IK147">IFERROR(ROUND(VALUE(IF($IJ147&lt;1,$IJ147+LARGE((IF($M$9:$M$150="",0,$M$9:$M$150)-MOD(IF($M$9:$M$150="",0,$M$9:$M$150),1)),1),$IJ147)),4),"")</f>
        <v>6.1420000000000003</v>
      </c>
      <c r="IL147" s="482">
        <f t="shared" si="1278"/>
        <v>1613</v>
      </c>
      <c r="IM147" s="482" t="str">
        <f t="shared" si="1299"/>
        <v>CPS-32193r1</v>
      </c>
      <c r="IN147" s="670">
        <f t="shared" si="1279"/>
        <v>7.8243458018938838</v>
      </c>
      <c r="IO147" s="702">
        <v>2.6141639388674202E-2</v>
      </c>
      <c r="IP147" s="5">
        <f t="shared" si="1280"/>
        <v>3.1</v>
      </c>
      <c r="IQ147" s="714">
        <v>1550</v>
      </c>
      <c r="IR147" s="9">
        <f t="shared" si="1281"/>
        <v>-8.4474254774352406</v>
      </c>
      <c r="IS147" s="5">
        <f t="shared" si="1282"/>
        <v>-4.1264124452599349</v>
      </c>
      <c r="IT147" s="5">
        <f t="shared" si="1283"/>
        <v>0.3125</v>
      </c>
      <c r="IU147" s="5">
        <f t="shared" si="1284"/>
        <v>0.2695355337414429</v>
      </c>
      <c r="IV147" s="670">
        <f t="shared" si="1285"/>
        <v>81.933321503625265</v>
      </c>
      <c r="IW147" s="9">
        <f t="shared" si="1286"/>
        <v>-8.4270439440786546</v>
      </c>
      <c r="IX147" s="5">
        <f t="shared" si="1287"/>
        <v>-4.1422714085274137</v>
      </c>
      <c r="IY147" s="5">
        <f t="shared" si="1288"/>
        <v>0.255</v>
      </c>
      <c r="IZ147" s="5">
        <f t="shared" si="1289"/>
        <v>0.255</v>
      </c>
      <c r="JA147" s="705">
        <f t="shared" si="1290"/>
        <v>83.739987909441666</v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47" t="s">
        <v>42</v>
      </c>
      <c r="C157" s="1340"/>
      <c r="D157" s="1340"/>
      <c r="E157" s="1340"/>
      <c r="F157" s="1340"/>
      <c r="G157" s="1340"/>
      <c r="H157" s="1340"/>
      <c r="I157" s="1340"/>
      <c r="J157" s="1340"/>
      <c r="K157" s="1340"/>
      <c r="L157" s="1340"/>
      <c r="M157" s="1341"/>
      <c r="Z157" t="s">
        <v>101</v>
      </c>
      <c r="AA157" s="219">
        <v>0</v>
      </c>
    </row>
    <row r="158" spans="1:261" x14ac:dyDescent="0.25">
      <c r="B158" s="1342"/>
      <c r="C158" s="1343"/>
      <c r="D158" s="1343"/>
      <c r="E158" s="1343"/>
      <c r="F158" s="1343"/>
      <c r="G158" s="1343"/>
      <c r="H158" s="1343"/>
      <c r="I158" s="1343"/>
      <c r="J158" s="1343"/>
      <c r="K158" s="1343"/>
      <c r="L158" s="1343"/>
      <c r="M158" s="1344"/>
      <c r="Z158" t="s">
        <v>102</v>
      </c>
      <c r="AA158" s="219">
        <v>0.01</v>
      </c>
    </row>
    <row r="159" spans="1:261" x14ac:dyDescent="0.25">
      <c r="B159" s="1345"/>
      <c r="C159" s="1346"/>
      <c r="D159" s="1346"/>
      <c r="E159" s="1346"/>
      <c r="F159" s="1346"/>
      <c r="G159" s="1346"/>
      <c r="H159" s="1346"/>
      <c r="I159" s="1346"/>
      <c r="J159" s="1346"/>
      <c r="K159" s="1346"/>
      <c r="L159" s="1346"/>
      <c r="M159" s="1347"/>
    </row>
    <row r="160" spans="1:261" ht="15" customHeight="1" x14ac:dyDescent="0.25">
      <c r="B160" s="1348" t="str">
        <f>CONCATENATE(B162," ; ",E162," ; ",H163)</f>
        <v>Absolute-Point ; Incremental-Vector Point ; Radius</v>
      </c>
      <c r="C160" s="1349"/>
      <c r="D160" s="1349"/>
      <c r="E160" s="1349"/>
      <c r="F160" s="1349"/>
      <c r="G160" s="1349"/>
      <c r="H160" s="1349"/>
      <c r="I160" s="1349"/>
      <c r="J160" s="1349"/>
      <c r="K160" s="1349"/>
      <c r="L160" s="1349"/>
      <c r="M160" s="1350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5"/>
      <c r="L161" s="1145"/>
      <c r="M161" s="1146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338" t="s">
        <v>40</v>
      </c>
      <c r="C162" s="1137"/>
      <c r="D162" s="1339"/>
      <c r="E162" s="1136" t="s">
        <v>41</v>
      </c>
      <c r="F162" s="1137"/>
      <c r="G162" s="1138"/>
      <c r="H162" s="1003" t="s">
        <v>305</v>
      </c>
      <c r="I162" s="1023"/>
      <c r="J162" s="1004"/>
      <c r="K162" s="155"/>
      <c r="L162" s="1351" t="s">
        <v>399</v>
      </c>
      <c r="M162" s="1352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0.34320103509432193</v>
      </c>
      <c r="D164" s="647">
        <v>-1.1530034774584881</v>
      </c>
      <c r="E164" s="648">
        <v>-0.92387955420894774</v>
      </c>
      <c r="F164" s="646">
        <v>-5.9864861255108169E-2</v>
      </c>
      <c r="G164" s="649">
        <v>0.3779719139057594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1613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0.34320103509432193</v>
      </c>
      <c r="Q164" s="162">
        <f t="shared" ref="Q164:Q195" si="1326">IFERROR(INDEX(D$164:D$305,MATCH($W164,$J$164:$J$305,0)),"")</f>
        <v>-1.1530034774584881</v>
      </c>
      <c r="R164" s="162">
        <f>IFERROR(IF($L164="Y",-1*INDEX(E$164:E$305,MATCH($W164,$J$164:$J$305,0)),INDEX(E$164:E$305,MATCH($W164,$J$164:$J$305,0))),"")</f>
        <v>-0.92387955420894774</v>
      </c>
      <c r="S164" s="162">
        <f t="shared" ref="S164:S227" si="1327">IFERROR(IF($L164="Y",-1*INDEX(F$164:F$305,MATCH($W164,$J$164:$J$305,0)),INDEX(F$164:F$305,MATCH($W164,$J$164:$J$305,0))),"")</f>
        <v>-5.9864861255108169E-2</v>
      </c>
      <c r="T164" s="162">
        <f t="shared" ref="T164:T227" si="1328">IFERROR(IF($L164="Y",-1*INDEX(G$164:G$305,MATCH($W164,$J$164:$J$305,0)),INDEX(G$164:G$305,MATCH($W164,$J$164:$J$305,0))),"")</f>
        <v>0.3779719139057594</v>
      </c>
      <c r="U164" s="162">
        <f>IFERROR(IF(ISNUMBER(MATCH($X164,Settings!$AK$52:$AK$60,0)),INDEX(Settings!$AO$14:$AO$60,MATCH($X164,Settings!$AK$14:$AK$60,0))/2,INDEX(Settings!$AM$14:$AM$60,MATCH($X164,Settings!$AK$14:$AK$60,0))/2),"")</f>
        <v>0.3125</v>
      </c>
      <c r="V164" s="162">
        <f t="shared" ref="V164:V195" si="1329">IFERROR(INDEX(I$164:I$305,MATCH($W164,$J$164:$J$305,0)),"")</f>
        <v>0.52</v>
      </c>
      <c r="W164" s="75" cm="1">
        <f t="array" ref="W164:W302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-3.414809992080329E-17</v>
      </c>
      <c r="C165" s="651">
        <v>1.090103287751516</v>
      </c>
      <c r="D165" s="652">
        <v>-0.97110292884643346</v>
      </c>
      <c r="E165" s="653">
        <v>-0.96126170705176617</v>
      </c>
      <c r="F165" s="651">
        <v>-1.4425740483648621E-2</v>
      </c>
      <c r="G165" s="654">
        <v>0.27525956580548266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-3.414809992080329E-17</v>
      </c>
      <c r="P165" s="162">
        <f t="shared" si="1325"/>
        <v>1.090103287751516</v>
      </c>
      <c r="Q165" s="162">
        <f t="shared" si="1326"/>
        <v>-0.97110292884643346</v>
      </c>
      <c r="R165" s="162">
        <f t="shared" ref="R165:R228" si="1331">IFERROR(IF($L165="Y",-1*INDEX(E$164:E$305,MATCH($W165,$J$164:$J$305,0)),INDEX(E$164:E$305,MATCH($W165,$J$164:$J$305,0))),"")</f>
        <v>-0.96126170705176617</v>
      </c>
      <c r="S165" s="162">
        <f t="shared" si="1327"/>
        <v>-1.4425740483648621E-2</v>
      </c>
      <c r="T165" s="162">
        <f t="shared" si="1328"/>
        <v>0.27525956580548266</v>
      </c>
      <c r="U165" s="162">
        <f>IFERROR(IF(ISNUMBER(MATCH($X165,Settings!$AK$52:$AK$60,0)),INDEX(Settings!$AO$14:$AO$60,MATCH($X165,Settings!$AK$14:$AK$60,0))/2,INDEX(Settings!$AM$14:$AM$60,MATCH($X165,Settings!$AK$14:$AK$60,0))/2),"")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-3.414809992080329E-17</v>
      </c>
      <c r="C166" s="651">
        <v>1.8327055274398707</v>
      </c>
      <c r="D166" s="652">
        <v>-0.77220232896222429</v>
      </c>
      <c r="E166" s="653">
        <v>-0.96592583607220739</v>
      </c>
      <c r="F166" s="651">
        <v>-1.3545538354532606E-2</v>
      </c>
      <c r="G166" s="654">
        <v>0.2584643062376179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-3.414809992080329E-17</v>
      </c>
      <c r="P166" s="162">
        <f t="shared" si="1325"/>
        <v>1.8327055274398707</v>
      </c>
      <c r="Q166" s="162">
        <f t="shared" si="1326"/>
        <v>-0.77220232896222429</v>
      </c>
      <c r="R166" s="162">
        <f>IFERROR(IF($L166="Y",-1*INDEX(E$164:E$305,MATCH($W166,$J$164:$J$305,0)),INDEX(E$164:E$305,MATCH($W166,$J$164:$J$305,0))),"")</f>
        <v>-0.96592583607220739</v>
      </c>
      <c r="S166" s="162">
        <f t="shared" si="1327"/>
        <v>-1.3545538354532606E-2</v>
      </c>
      <c r="T166" s="162">
        <f t="shared" si="1328"/>
        <v>0.2584643062376179</v>
      </c>
      <c r="U166" s="162">
        <f>IFERROR(IF(ISNUMBER(MATCH($X166,Settings!$AK$52:$AK$60,0)),INDEX(Settings!$AO$14:$AO$60,MATCH($X166,Settings!$AK$14:$AK$60,0))/2,INDEX(Settings!$AM$14:$AM$60,MATCH($X166,Settings!$AK$14:$AK$60,0))/2),"")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-1.7074049960401645E-17</v>
      </c>
      <c r="C167" s="651">
        <v>2.5752077668266256</v>
      </c>
      <c r="D167" s="652">
        <v>-0.57320172877641407</v>
      </c>
      <c r="E167" s="653">
        <v>-0.96592583607220739</v>
      </c>
      <c r="F167" s="651">
        <v>-1.3545538354532609E-2</v>
      </c>
      <c r="G167" s="654">
        <v>0.2584643062376179</v>
      </c>
      <c r="H167" s="653">
        <v>0.314</v>
      </c>
      <c r="I167" s="942">
        <v>0.52</v>
      </c>
      <c r="J167" s="946">
        <v>1.1100000000000001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-1.7074049960401645E-17</v>
      </c>
      <c r="P167" s="162">
        <f t="shared" si="1325"/>
        <v>2.5752077668266256</v>
      </c>
      <c r="Q167" s="162">
        <f t="shared" si="1326"/>
        <v>-0.57320172877641407</v>
      </c>
      <c r="R167" s="162">
        <f>IFERROR(IF($L167="Y",-1*INDEX(E$164:E$305,MATCH($W167,$J$164:$J$305,0)),INDEX(E$164:E$305,MATCH($W167,$J$164:$J$305,0))),"")</f>
        <v>-0.96592583607220739</v>
      </c>
      <c r="S167" s="162">
        <f t="shared" si="1327"/>
        <v>-1.3545538354532609E-2</v>
      </c>
      <c r="T167" s="162">
        <f t="shared" si="1328"/>
        <v>0.2584643062376179</v>
      </c>
      <c r="U167" s="162">
        <f>IFERROR(IF(ISNUMBER(MATCH($X167,Settings!$AK$52:$AK$60,0)),INDEX(Settings!$AO$14:$AO$60,MATCH($X167,Settings!$AK$14:$AK$60,0))/2,INDEX(Settings!$AM$14:$AM$60,MATCH($X167,Settings!$AK$14:$AK$60,0))/2),"")</f>
        <v>0.3125</v>
      </c>
      <c r="V167" s="162">
        <f t="shared" si="1329"/>
        <v>0.52</v>
      </c>
      <c r="W167" s="75">
        <v>1.1100000000000001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-1.7074049960401645E-17</v>
      </c>
      <c r="C168" s="651">
        <v>3.3178100065149798</v>
      </c>
      <c r="D168" s="652">
        <v>-0.37420112859060395</v>
      </c>
      <c r="E168" s="653">
        <v>-0.96592583607220739</v>
      </c>
      <c r="F168" s="651">
        <v>-1.3545538354532609E-2</v>
      </c>
      <c r="G168" s="654">
        <v>0.2584643062376179</v>
      </c>
      <c r="H168" s="653">
        <v>0.314</v>
      </c>
      <c r="I168" s="942">
        <v>0.52</v>
      </c>
      <c r="J168" s="946">
        <v>1.113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-1.7074049960401645E-17</v>
      </c>
      <c r="P168" s="162">
        <f t="shared" si="1325"/>
        <v>3.3178100065149798</v>
      </c>
      <c r="Q168" s="162">
        <f t="shared" si="1326"/>
        <v>-0.37420112859060395</v>
      </c>
      <c r="R168" s="162">
        <f t="shared" si="1331"/>
        <v>-0.96592583607220739</v>
      </c>
      <c r="S168" s="162">
        <f t="shared" si="1327"/>
        <v>-1.3545538354532609E-2</v>
      </c>
      <c r="T168" s="162">
        <f t="shared" si="1328"/>
        <v>0.2584643062376179</v>
      </c>
      <c r="U168" s="162">
        <f>IFERROR(IF(ISNUMBER(MATCH($X168,Settings!$AK$52:$AK$60,0)),INDEX(Settings!$AO$14:$AO$60,MATCH($X168,Settings!$AK$14:$AK$60,0))/2,INDEX(Settings!$AM$14:$AM$60,MATCH($X168,Settings!$AK$14:$AK$60,0))/2),"")</f>
        <v>0.3125</v>
      </c>
      <c r="V168" s="162">
        <f t="shared" si="1329"/>
        <v>0.52</v>
      </c>
      <c r="W168" s="75">
        <v>1.113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3.5480023081000218E-3</v>
      </c>
      <c r="C169" s="651">
        <v>4.0657107140802538</v>
      </c>
      <c r="D169" s="652">
        <v>-0.19820059777300289</v>
      </c>
      <c r="E169" s="653">
        <v>-0.96591338513182357</v>
      </c>
      <c r="F169" s="651">
        <v>1.4689189757609203E-2</v>
      </c>
      <c r="G169" s="654">
        <v>0.25844837033234824</v>
      </c>
      <c r="H169" s="653">
        <v>0.314</v>
      </c>
      <c r="I169" s="942">
        <v>0.52</v>
      </c>
      <c r="J169" s="946">
        <v>1.1160000000000001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1613</v>
      </c>
      <c r="L169" s="683"/>
      <c r="M169" s="934"/>
      <c r="N169" s="31" t="str">
        <f t="shared" si="1330"/>
        <v>Y</v>
      </c>
      <c r="O169" s="162">
        <f t="shared" si="1324"/>
        <v>3.5480023081000218E-3</v>
      </c>
      <c r="P169" s="162">
        <f t="shared" si="1325"/>
        <v>4.0657107140802538</v>
      </c>
      <c r="Q169" s="162">
        <f t="shared" si="1326"/>
        <v>-0.19820059777300289</v>
      </c>
      <c r="R169" s="162">
        <f t="shared" si="1331"/>
        <v>-0.96591338513182357</v>
      </c>
      <c r="S169" s="162">
        <f t="shared" si="1327"/>
        <v>1.4689189757609203E-2</v>
      </c>
      <c r="T169" s="162">
        <f t="shared" si="1328"/>
        <v>0.25844837033234824</v>
      </c>
      <c r="U169" s="162">
        <f>IFERROR(IF(ISNUMBER(MATCH($X169,Settings!$AK$52:$AK$60,0)),INDEX(Settings!$AO$14:$AO$60,MATCH($X169,Settings!$AK$14:$AK$60,0))/2,INDEX(Settings!$AM$14:$AM$60,MATCH($X169,Settings!$AK$14:$AK$60,0))/2),"")</f>
        <v>0.3125</v>
      </c>
      <c r="V169" s="162">
        <f t="shared" si="1329"/>
        <v>0.52</v>
      </c>
      <c r="W169" s="75">
        <v>1.1160000000000001</v>
      </c>
      <c r="X169" s="937">
        <f t="shared" si="1332"/>
        <v>1613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3.2892943856015606E-2</v>
      </c>
      <c r="C170" s="651">
        <v>4.8323026265629494</v>
      </c>
      <c r="D170" s="652">
        <v>-0.16210048889507486</v>
      </c>
      <c r="E170" s="653">
        <v>-0.96369212413547367</v>
      </c>
      <c r="F170" s="651">
        <v>6.252860312312554E-2</v>
      </c>
      <c r="G170" s="654">
        <v>0.25959133974524173</v>
      </c>
      <c r="H170" s="653">
        <v>0.314</v>
      </c>
      <c r="I170" s="942">
        <v>0.52</v>
      </c>
      <c r="J170" s="946">
        <v>1.119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3.2892943856015606E-2</v>
      </c>
      <c r="P170" s="162">
        <f t="shared" si="1325"/>
        <v>4.8323026265629494</v>
      </c>
      <c r="Q170" s="162">
        <f t="shared" si="1326"/>
        <v>-0.16210048889507486</v>
      </c>
      <c r="R170" s="162">
        <f t="shared" si="1331"/>
        <v>-0.96369212413547367</v>
      </c>
      <c r="S170" s="162">
        <f t="shared" si="1327"/>
        <v>6.252860312312554E-2</v>
      </c>
      <c r="T170" s="162">
        <f t="shared" si="1328"/>
        <v>0.25959133974524173</v>
      </c>
      <c r="U170" s="162">
        <f>IFERROR(IF(ISNUMBER(MATCH($X170,Settings!$AK$52:$AK$60,0)),INDEX(Settings!$AO$14:$AO$60,MATCH($X170,Settings!$AK$14:$AK$60,0))/2,INDEX(Settings!$AM$14:$AM$60,MATCH($X170,Settings!$AK$14:$AK$60,0))/2),"")</f>
        <v>0.3125</v>
      </c>
      <c r="V170" s="162">
        <f t="shared" si="1329"/>
        <v>0.52</v>
      </c>
      <c r="W170" s="75">
        <v>1.119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9.0732331307180045E-2</v>
      </c>
      <c r="C171" s="651">
        <v>5.589380479998777</v>
      </c>
      <c r="D171" s="652">
        <v>-0.28430085745138589</v>
      </c>
      <c r="E171" s="653">
        <v>-0.95852475715111396</v>
      </c>
      <c r="F171" s="651">
        <v>0.11676564410563416</v>
      </c>
      <c r="G171" s="654">
        <v>0.25999245043845859</v>
      </c>
      <c r="H171" s="653">
        <v>0.314</v>
      </c>
      <c r="I171" s="942">
        <v>0.52</v>
      </c>
      <c r="J171" s="946">
        <v>1.1220000000000001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1613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9.0732331307180045E-2</v>
      </c>
      <c r="P171" s="162">
        <f t="shared" si="1325"/>
        <v>5.589380479998777</v>
      </c>
      <c r="Q171" s="162">
        <f t="shared" si="1326"/>
        <v>-0.28430085745138589</v>
      </c>
      <c r="R171" s="162">
        <f>IFERROR(IF($L171="Y",-1*INDEX(E$164:E$305,MATCH($W171,$J$164:$J$305,0)),INDEX(E$164:E$305,MATCH($W171,$J$164:$J$305,0))),"")</f>
        <v>-0.95852475715111396</v>
      </c>
      <c r="S171" s="162">
        <f t="shared" si="1327"/>
        <v>0.11676564410563416</v>
      </c>
      <c r="T171" s="162">
        <f t="shared" si="1328"/>
        <v>0.25999245043845859</v>
      </c>
      <c r="U171" s="162">
        <f>IFERROR(IF(ISNUMBER(MATCH($X171,Settings!$AK$52:$AK$60,0)),INDEX(Settings!$AO$14:$AO$60,MATCH($X171,Settings!$AK$14:$AK$60,0))/2,INDEX(Settings!$AM$14:$AM$60,MATCH($X171,Settings!$AK$14:$AK$60,0))/2),"")</f>
        <v>0.3125</v>
      </c>
      <c r="V171" s="162">
        <f t="shared" si="1329"/>
        <v>0.52</v>
      </c>
      <c r="W171" s="75">
        <v>1.1220000000000001</v>
      </c>
      <c r="X171" s="937">
        <f t="shared" si="1332"/>
        <v>1613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0.17168449169914238</v>
      </c>
      <c r="C172" s="651">
        <v>6.3040816375696522</v>
      </c>
      <c r="D172" s="652">
        <v>-0.56000168896509395</v>
      </c>
      <c r="E172" s="653">
        <v>-0.94922502530221708</v>
      </c>
      <c r="F172" s="651">
        <v>0.1779237567942682</v>
      </c>
      <c r="G172" s="654">
        <v>0.25945132126897996</v>
      </c>
      <c r="H172" s="653">
        <v>0.314</v>
      </c>
      <c r="I172" s="942">
        <v>0.52</v>
      </c>
      <c r="J172" s="946">
        <v>1.125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1613</v>
      </c>
      <c r="L172" s="683"/>
      <c r="M172" s="934"/>
      <c r="N172" s="31" t="str">
        <f t="shared" si="1330"/>
        <v>Y</v>
      </c>
      <c r="O172" s="162">
        <f t="shared" si="1324"/>
        <v>0.17168449169914238</v>
      </c>
      <c r="P172" s="162">
        <f t="shared" si="1325"/>
        <v>6.3040816375696522</v>
      </c>
      <c r="Q172" s="162">
        <f t="shared" si="1326"/>
        <v>-0.56000168896509395</v>
      </c>
      <c r="R172" s="162">
        <f t="shared" si="1331"/>
        <v>-0.94922502530221708</v>
      </c>
      <c r="S172" s="162">
        <f t="shared" si="1327"/>
        <v>0.1779237567942682</v>
      </c>
      <c r="T172" s="162">
        <f t="shared" si="1328"/>
        <v>0.25945132126897996</v>
      </c>
      <c r="U172" s="162">
        <f>IFERROR(IF(ISNUMBER(MATCH($X172,Settings!$AK$52:$AK$60,0)),INDEX(Settings!$AO$14:$AO$60,MATCH($X172,Settings!$AK$14:$AK$60,0))/2,INDEX(Settings!$AM$14:$AM$60,MATCH($X172,Settings!$AK$14:$AK$60,0))/2),"")</f>
        <v>0.3125</v>
      </c>
      <c r="V172" s="162">
        <f t="shared" si="1329"/>
        <v>0.52</v>
      </c>
      <c r="W172" s="75">
        <v>1.125</v>
      </c>
      <c r="X172" s="937">
        <f t="shared" si="1332"/>
        <v>1613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0.26682674964904562</v>
      </c>
      <c r="C173" s="651">
        <v>6.9456976290902457</v>
      </c>
      <c r="D173" s="652">
        <v>-0.97700294664088705</v>
      </c>
      <c r="E173" s="653">
        <v>-0.93565582346141929</v>
      </c>
      <c r="F173" s="651">
        <v>0.24513564652227091</v>
      </c>
      <c r="G173" s="654">
        <v>0.25388323069246171</v>
      </c>
      <c r="H173" s="653">
        <v>0.314</v>
      </c>
      <c r="I173" s="942">
        <v>0.52</v>
      </c>
      <c r="J173" s="946">
        <v>1.1279999999999999</v>
      </c>
      <c r="K173" s="931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1613</v>
      </c>
      <c r="L173" s="683"/>
      <c r="M173" s="934"/>
      <c r="N173" s="31" t="str">
        <f t="shared" si="1330"/>
        <v>Y</v>
      </c>
      <c r="O173" s="162">
        <f t="shared" si="1324"/>
        <v>0.26682674964904562</v>
      </c>
      <c r="P173" s="162">
        <f t="shared" si="1325"/>
        <v>6.9456976290902457</v>
      </c>
      <c r="Q173" s="162">
        <f t="shared" si="1326"/>
        <v>-0.97700294664088705</v>
      </c>
      <c r="R173" s="162">
        <f t="shared" si="1331"/>
        <v>-0.93565582346141929</v>
      </c>
      <c r="S173" s="162">
        <f t="shared" si="1327"/>
        <v>0.24513564652227091</v>
      </c>
      <c r="T173" s="162">
        <f t="shared" si="1328"/>
        <v>0.25388323069246171</v>
      </c>
      <c r="U173" s="162">
        <f>IFERROR(IF(ISNUMBER(MATCH($X173,Settings!$AK$52:$AK$60,0)),INDEX(Settings!$AO$14:$AO$60,MATCH($X173,Settings!$AK$14:$AK$60,0))/2,INDEX(Settings!$AM$14:$AM$60,MATCH($X173,Settings!$AK$14:$AK$60,0))/2),"")</f>
        <v>0.3125</v>
      </c>
      <c r="V173" s="162">
        <f t="shared" si="1329"/>
        <v>0.52</v>
      </c>
      <c r="W173" s="75">
        <v>1.1279999999999999</v>
      </c>
      <c r="X173" s="937">
        <f t="shared" si="1332"/>
        <v>1613</v>
      </c>
      <c r="AK173" s="82" t="str">
        <f t="shared" si="1333"/>
        <v>Y</v>
      </c>
      <c r="AL173" s="419" t="s">
        <v>400</v>
      </c>
    </row>
    <row r="174" spans="2:38" x14ac:dyDescent="0.25">
      <c r="B174" s="650">
        <v>0.36487704731284198</v>
      </c>
      <c r="C174" s="651">
        <v>7.4872370671094313</v>
      </c>
      <c r="D174" s="652">
        <v>-1.5171045755874</v>
      </c>
      <c r="E174" s="653">
        <v>-0.9173306502249936</v>
      </c>
      <c r="F174" s="651">
        <v>0.31736656200218971</v>
      </c>
      <c r="G174" s="654">
        <v>0.24038083010236225</v>
      </c>
      <c r="H174" s="653">
        <v>0.314</v>
      </c>
      <c r="I174" s="942">
        <v>0.52</v>
      </c>
      <c r="J174" s="946">
        <v>1.131</v>
      </c>
      <c r="K174" s="931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1613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0.36487704731284198</v>
      </c>
      <c r="P174" s="162">
        <f t="shared" si="1325"/>
        <v>7.4872370671094313</v>
      </c>
      <c r="Q174" s="162">
        <f t="shared" si="1326"/>
        <v>-1.5171045755874</v>
      </c>
      <c r="R174" s="162">
        <f t="shared" si="1331"/>
        <v>-0.9173306502249936</v>
      </c>
      <c r="S174" s="162">
        <f t="shared" si="1327"/>
        <v>0.31736656200218971</v>
      </c>
      <c r="T174" s="162">
        <f t="shared" si="1328"/>
        <v>0.24038083010236225</v>
      </c>
      <c r="U174" s="162">
        <f>IFERROR(IF(ISNUMBER(MATCH($X174,Settings!$AK$52:$AK$60,0)),INDEX(Settings!$AO$14:$AO$60,MATCH($X174,Settings!$AK$14:$AK$60,0))/2,INDEX(Settings!$AM$14:$AM$60,MATCH($X174,Settings!$AK$14:$AK$60,0))/2),"")</f>
        <v>0.3125</v>
      </c>
      <c r="V174" s="162">
        <f t="shared" si="1329"/>
        <v>0.52</v>
      </c>
      <c r="W174" s="75">
        <v>1.131</v>
      </c>
      <c r="X174" s="937">
        <f t="shared" si="1332"/>
        <v>1613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0.45038255492181506</v>
      </c>
      <c r="C175" s="651">
        <v>7.9071075572565688</v>
      </c>
      <c r="D175" s="652">
        <v>-2.157006505531621</v>
      </c>
      <c r="E175" s="653">
        <v>-0.89564315529238603</v>
      </c>
      <c r="F175" s="651">
        <v>0.38983858361948653</v>
      </c>
      <c r="G175" s="654">
        <v>0.2141243029164408</v>
      </c>
      <c r="H175" s="653">
        <v>0.314</v>
      </c>
      <c r="I175" s="942">
        <v>0.52</v>
      </c>
      <c r="J175" s="946">
        <v>1.1339999999999999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1613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0.45038255492181506</v>
      </c>
      <c r="P175" s="162">
        <f t="shared" si="1325"/>
        <v>7.9071075572565688</v>
      </c>
      <c r="Q175" s="162">
        <f t="shared" si="1326"/>
        <v>-2.157006505531621</v>
      </c>
      <c r="R175" s="162">
        <f t="shared" si="1331"/>
        <v>-0.89564315529238603</v>
      </c>
      <c r="S175" s="162">
        <f t="shared" si="1327"/>
        <v>0.38983858361948653</v>
      </c>
      <c r="T175" s="162">
        <f t="shared" si="1328"/>
        <v>0.2141243029164408</v>
      </c>
      <c r="U175" s="162">
        <f>IFERROR(IF(ISNUMBER(MATCH($X175,Settings!$AK$52:$AK$60,0)),INDEX(Settings!$AO$14:$AO$60,MATCH($X175,Settings!$AK$14:$AK$60,0))/2,INDEX(Settings!$AM$14:$AM$60,MATCH($X175,Settings!$AK$14:$AK$60,0))/2),"")</f>
        <v>0.3125</v>
      </c>
      <c r="V175" s="162">
        <f t="shared" si="1329"/>
        <v>0.52</v>
      </c>
      <c r="W175" s="75">
        <v>1.1339999999999999</v>
      </c>
      <c r="X175" s="937">
        <f t="shared" si="1332"/>
        <v>1613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0.51376220184921084</v>
      </c>
      <c r="C176" s="651">
        <v>8.1888239991066172</v>
      </c>
      <c r="D176" s="652">
        <v>-2.8697086550413031</v>
      </c>
      <c r="E176" s="653">
        <v>-0.8718071282768689</v>
      </c>
      <c r="F176" s="651">
        <v>0.45831050293108494</v>
      </c>
      <c r="G176" s="654">
        <v>0.17292719273930074</v>
      </c>
      <c r="H176" s="653">
        <v>0.314</v>
      </c>
      <c r="I176" s="942">
        <v>0.52</v>
      </c>
      <c r="J176" s="946">
        <v>1.137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1613</v>
      </c>
      <c r="L176" s="683"/>
      <c r="M176" s="934"/>
      <c r="N176" s="31" t="str">
        <f t="shared" si="1330"/>
        <v>Y</v>
      </c>
      <c r="O176" s="162">
        <f t="shared" si="1324"/>
        <v>0.51376220184921084</v>
      </c>
      <c r="P176" s="162">
        <f t="shared" si="1325"/>
        <v>8.1888239991066172</v>
      </c>
      <c r="Q176" s="162">
        <f t="shared" si="1326"/>
        <v>-2.8697086550413031</v>
      </c>
      <c r="R176" s="162">
        <f t="shared" si="1331"/>
        <v>-0.8718071282768689</v>
      </c>
      <c r="S176" s="162">
        <f t="shared" si="1327"/>
        <v>0.45831050293108494</v>
      </c>
      <c r="T176" s="162">
        <f t="shared" si="1328"/>
        <v>0.17292719273930074</v>
      </c>
      <c r="U176" s="162">
        <f>IFERROR(IF(ISNUMBER(MATCH($X176,Settings!$AK$52:$AK$60,0)),INDEX(Settings!$AO$14:$AO$60,MATCH($X176,Settings!$AK$14:$AK$60,0))/2,INDEX(Settings!$AM$14:$AM$60,MATCH($X176,Settings!$AK$14:$AK$60,0))/2),"")</f>
        <v>0.3125</v>
      </c>
      <c r="V176" s="162">
        <f t="shared" si="1329"/>
        <v>0.52</v>
      </c>
      <c r="W176" s="75">
        <v>1.137</v>
      </c>
      <c r="X176" s="937">
        <f t="shared" si="1332"/>
        <v>1613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0.55212846846069386</v>
      </c>
      <c r="C177" s="651">
        <v>8.3568057440914192</v>
      </c>
      <c r="D177" s="652">
        <v>-3.6191109152385219</v>
      </c>
      <c r="E177" s="653">
        <v>-0.84547021604245576</v>
      </c>
      <c r="F177" s="651">
        <v>0.52107352497631054</v>
      </c>
      <c r="G177" s="654">
        <v>0.11688667740117005</v>
      </c>
      <c r="H177" s="653">
        <v>0.314</v>
      </c>
      <c r="I177" s="942">
        <v>0.52</v>
      </c>
      <c r="J177" s="946">
        <v>1.1399999999999999</v>
      </c>
      <c r="K177" s="931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1613</v>
      </c>
      <c r="L177" s="683"/>
      <c r="M177" s="934"/>
      <c r="N177" s="31" t="str">
        <f t="shared" si="1330"/>
        <v>Y</v>
      </c>
      <c r="O177" s="162">
        <f t="shared" si="1324"/>
        <v>0.55212846846069386</v>
      </c>
      <c r="P177" s="162">
        <f t="shared" si="1325"/>
        <v>8.3568057440914192</v>
      </c>
      <c r="Q177" s="162">
        <f t="shared" si="1326"/>
        <v>-3.6191109152385219</v>
      </c>
      <c r="R177" s="162">
        <f t="shared" si="1331"/>
        <v>-0.84547021604245576</v>
      </c>
      <c r="S177" s="162">
        <f t="shared" si="1327"/>
        <v>0.52107352497631054</v>
      </c>
      <c r="T177" s="162">
        <f t="shared" si="1328"/>
        <v>0.11688667740117005</v>
      </c>
      <c r="U177" s="162">
        <f>IFERROR(IF(ISNUMBER(MATCH($X177,Settings!$AK$52:$AK$60,0)),INDEX(Settings!$AO$14:$AO$60,MATCH($X177,Settings!$AK$14:$AK$60,0))/2,INDEX(Settings!$AM$14:$AM$60,MATCH($X177,Settings!$AK$14:$AK$60,0))/2),"")</f>
        <v>0.3125</v>
      </c>
      <c r="V177" s="162">
        <f t="shared" si="1329"/>
        <v>0.52</v>
      </c>
      <c r="W177" s="75">
        <v>1.1399999999999999</v>
      </c>
      <c r="X177" s="937">
        <f t="shared" si="1332"/>
        <v>1613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0.57617278496028035</v>
      </c>
      <c r="C178" s="651">
        <v>8.4516085585860736</v>
      </c>
      <c r="D178" s="652">
        <v>-4.3816132149454567</v>
      </c>
      <c r="E178" s="653">
        <v>-0.81627429194827428</v>
      </c>
      <c r="F178" s="651">
        <v>0.57585309014966046</v>
      </c>
      <c r="G178" s="654">
        <v>4.5711036626076514E-2</v>
      </c>
      <c r="H178" s="653">
        <v>0.314</v>
      </c>
      <c r="I178" s="942">
        <v>0.52</v>
      </c>
      <c r="J178" s="946">
        <v>1.143</v>
      </c>
      <c r="K178" s="931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1613</v>
      </c>
      <c r="L178" s="683"/>
      <c r="M178" s="934"/>
      <c r="N178" s="31" t="str">
        <f t="shared" si="1330"/>
        <v>Y</v>
      </c>
      <c r="O178" s="162">
        <f t="shared" si="1324"/>
        <v>0.57617278496028035</v>
      </c>
      <c r="P178" s="162">
        <f t="shared" si="1325"/>
        <v>8.4516085585860736</v>
      </c>
      <c r="Q178" s="162">
        <f t="shared" si="1326"/>
        <v>-4.3816132149454567</v>
      </c>
      <c r="R178" s="162">
        <f>IFERROR(IF($L178="Y",-1*INDEX(E$164:E$305,MATCH($W178,$J$164:$J$305,0)),INDEX(E$164:E$305,MATCH($W178,$J$164:$J$305,0))),"")</f>
        <v>-0.81627429194827428</v>
      </c>
      <c r="S178" s="162">
        <f t="shared" si="1327"/>
        <v>0.57585309014966046</v>
      </c>
      <c r="T178" s="162">
        <f t="shared" si="1328"/>
        <v>4.5711036626076514E-2</v>
      </c>
      <c r="U178" s="162">
        <f>IFERROR(IF(ISNUMBER(MATCH($X178,Settings!$AK$52:$AK$60,0)),INDEX(Settings!$AO$14:$AO$60,MATCH($X178,Settings!$AK$14:$AK$60,0))/2,INDEX(Settings!$AM$14:$AM$60,MATCH($X178,Settings!$AK$14:$AK$60,0))/2),"")</f>
        <v>0.3125</v>
      </c>
      <c r="V178" s="162">
        <f t="shared" si="1329"/>
        <v>0.52</v>
      </c>
      <c r="W178" s="75">
        <v>1.143</v>
      </c>
      <c r="X178" s="937">
        <f t="shared" si="1332"/>
        <v>1613</v>
      </c>
      <c r="AK178" s="82" t="str">
        <f t="shared" si="1333"/>
        <v>Y</v>
      </c>
      <c r="AL178" s="419" t="s">
        <v>9</v>
      </c>
    </row>
    <row r="179" spans="2:38" x14ac:dyDescent="0.25">
      <c r="B179" s="650">
        <v>0.58473213294995574</v>
      </c>
      <c r="C179" s="651">
        <v>8.4898129056209957</v>
      </c>
      <c r="D179" s="652">
        <v>-5.1743156057358668</v>
      </c>
      <c r="E179" s="653">
        <v>-0.80553726555655947</v>
      </c>
      <c r="F179" s="651">
        <v>0.59224996095566063</v>
      </c>
      <c r="G179" s="654">
        <v>1.8700201808521943E-2</v>
      </c>
      <c r="H179" s="653">
        <v>0.314</v>
      </c>
      <c r="I179" s="942">
        <v>0.52</v>
      </c>
      <c r="J179" s="946">
        <v>1.1459999999999999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1613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0.58473213294995574</v>
      </c>
      <c r="P179" s="162">
        <f t="shared" si="1325"/>
        <v>8.4898129056209957</v>
      </c>
      <c r="Q179" s="162">
        <f t="shared" si="1326"/>
        <v>-5.1743156057358668</v>
      </c>
      <c r="R179" s="162">
        <f>IFERROR(IF($L179="Y",-1*INDEX(E$164:E$305,MATCH($W179,$J$164:$J$305,0)),INDEX(E$164:E$305,MATCH($W179,$J$164:$J$305,0))),"")</f>
        <v>-0.80553726555655947</v>
      </c>
      <c r="S179" s="162">
        <f t="shared" si="1327"/>
        <v>0.59224996095566063</v>
      </c>
      <c r="T179" s="162">
        <f t="shared" si="1328"/>
        <v>1.8700201808521943E-2</v>
      </c>
      <c r="U179" s="162">
        <f>IFERROR(IF(ISNUMBER(MATCH($X179,Settings!$AK$52:$AK$60,0)),INDEX(Settings!$AO$14:$AO$60,MATCH($X179,Settings!$AK$14:$AK$60,0))/2,INDEX(Settings!$AM$14:$AM$60,MATCH($X179,Settings!$AK$14:$AK$60,0))/2),"")</f>
        <v>0.3125</v>
      </c>
      <c r="V179" s="162">
        <f t="shared" si="1329"/>
        <v>0.52</v>
      </c>
      <c r="W179" s="75">
        <v>1.1459999999999999</v>
      </c>
      <c r="X179" s="937">
        <f t="shared" si="1332"/>
        <v>1613</v>
      </c>
      <c r="AK179" s="82" t="str">
        <f t="shared" si="1333"/>
        <v>Y</v>
      </c>
      <c r="AL179" s="419" t="s">
        <v>9</v>
      </c>
    </row>
    <row r="180" spans="2:38" x14ac:dyDescent="0.25">
      <c r="B180" s="650">
        <v>1.1536590630817569</v>
      </c>
      <c r="C180" s="651">
        <v>3.8995309757614618</v>
      </c>
      <c r="D180" s="652">
        <v>-0.19532454719211095</v>
      </c>
      <c r="E180" s="653">
        <v>-4.2323909197972562E-2</v>
      </c>
      <c r="F180" s="651">
        <v>-0.14306080558317716</v>
      </c>
      <c r="G180" s="654">
        <v>0.98880852171494482</v>
      </c>
      <c r="H180" s="653">
        <v>0.25700000000000001</v>
      </c>
      <c r="I180" s="942">
        <v>0.41499999999999992</v>
      </c>
      <c r="J180" s="946">
        <v>1.216</v>
      </c>
      <c r="K180" s="931" t="str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CPS-32193r1</v>
      </c>
      <c r="L180" s="683"/>
      <c r="M180" s="934"/>
      <c r="N180" s="31" t="s">
        <v>9</v>
      </c>
      <c r="O180" s="162">
        <f t="shared" si="1324"/>
        <v>1.1536590630817569</v>
      </c>
      <c r="P180" s="162">
        <f t="shared" si="1325"/>
        <v>3.8995309757614618</v>
      </c>
      <c r="Q180" s="162">
        <f t="shared" si="1326"/>
        <v>-0.19532454719211095</v>
      </c>
      <c r="R180" s="162">
        <f t="shared" si="1331"/>
        <v>-4.2323909197972562E-2</v>
      </c>
      <c r="S180" s="162">
        <f t="shared" si="1327"/>
        <v>-0.14306080558317716</v>
      </c>
      <c r="T180" s="162">
        <f t="shared" si="1328"/>
        <v>0.98880852171494482</v>
      </c>
      <c r="U180" s="162">
        <f>IFERROR(IF(ISNUMBER(MATCH($X180,Settings!$AK$52:$AK$60,0)),INDEX(Settings!$AO$14:$AO$60,MATCH($X180,Settings!$AK$14:$AK$60,0))/2,INDEX(Settings!$AM$14:$AM$60,MATCH($X180,Settings!$AK$14:$AK$60,0))/2),"")</f>
        <v>0.255</v>
      </c>
      <c r="V180" s="162">
        <f t="shared" si="1329"/>
        <v>0.41499999999999992</v>
      </c>
      <c r="W180" s="75">
        <v>1.216</v>
      </c>
      <c r="X180" s="937" t="str">
        <f t="shared" si="1332"/>
        <v>CPS-32193r1</v>
      </c>
      <c r="AK180" s="82" t="str">
        <f t="shared" si="1333"/>
        <v>Y</v>
      </c>
      <c r="AL180" s="419" t="s">
        <v>9</v>
      </c>
    </row>
    <row r="181" spans="2:38" x14ac:dyDescent="0.25">
      <c r="B181" s="650">
        <v>1.182747765515906</v>
      </c>
      <c r="C181" s="651">
        <v>4.688909973701854</v>
      </c>
      <c r="D181" s="652">
        <v>-0.158613107554542</v>
      </c>
      <c r="E181" s="653">
        <v>1.3738209481963758E-2</v>
      </c>
      <c r="F181" s="651">
        <v>5.4464044945954262E-2</v>
      </c>
      <c r="G181" s="654">
        <v>0.99842121842855236</v>
      </c>
      <c r="H181" s="653">
        <v>0.25700000000000001</v>
      </c>
      <c r="I181" s="942">
        <v>0.41499999999999992</v>
      </c>
      <c r="J181" s="946">
        <v>1.2190000000000001</v>
      </c>
      <c r="K181" s="931" t="str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CPS-32193r1</v>
      </c>
      <c r="L181" s="683"/>
      <c r="M181" s="934"/>
      <c r="N181" s="31" t="str">
        <f t="shared" si="1330"/>
        <v>Y</v>
      </c>
      <c r="O181" s="162">
        <f t="shared" si="1324"/>
        <v>1.182747765515906</v>
      </c>
      <c r="P181" s="162">
        <f t="shared" si="1325"/>
        <v>4.688909973701854</v>
      </c>
      <c r="Q181" s="162">
        <f t="shared" si="1326"/>
        <v>-0.158613107554542</v>
      </c>
      <c r="R181" s="162">
        <f t="shared" si="1331"/>
        <v>1.3738209481963758E-2</v>
      </c>
      <c r="S181" s="162">
        <f t="shared" si="1327"/>
        <v>5.4464044945954262E-2</v>
      </c>
      <c r="T181" s="162">
        <f t="shared" si="1328"/>
        <v>0.99842121842855236</v>
      </c>
      <c r="U181" s="162">
        <f>IFERROR(IF(ISNUMBER(MATCH($X181,Settings!$AK$52:$AK$60,0)),INDEX(Settings!$AO$14:$AO$60,MATCH($X181,Settings!$AK$14:$AK$60,0))/2,INDEX(Settings!$AM$14:$AM$60,MATCH($X181,Settings!$AK$14:$AK$60,0))/2),"")</f>
        <v>0.255</v>
      </c>
      <c r="V181" s="162">
        <f t="shared" si="1329"/>
        <v>0.41499999999999992</v>
      </c>
      <c r="W181" s="75">
        <v>1.2190000000000001</v>
      </c>
      <c r="X181" s="937" t="str">
        <f t="shared" si="1332"/>
        <v>CPS-32193r1</v>
      </c>
      <c r="AK181" s="82" t="str">
        <f t="shared" si="1333"/>
        <v>Y</v>
      </c>
      <c r="AL181" s="419" t="s">
        <v>9</v>
      </c>
    </row>
    <row r="182" spans="2:38" x14ac:dyDescent="0.25">
      <c r="B182" s="650">
        <v>1.2398097508777965</v>
      </c>
      <c r="C182" s="651">
        <v>5.4562949560969418</v>
      </c>
      <c r="D182" s="652">
        <v>-0.28222020790698304</v>
      </c>
      <c r="E182" s="653">
        <v>5.7759234814082801E-2</v>
      </c>
      <c r="F182" s="651">
        <v>0.25419337229842626</v>
      </c>
      <c r="G182" s="654">
        <v>0.9654271594860202</v>
      </c>
      <c r="H182" s="653">
        <v>0.25700000000000001</v>
      </c>
      <c r="I182" s="942">
        <v>0.41499999999999992</v>
      </c>
      <c r="J182" s="946">
        <v>1.222</v>
      </c>
      <c r="K182" s="931" t="str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CPS-32193r1</v>
      </c>
      <c r="L182" s="683"/>
      <c r="M182" s="934"/>
      <c r="N182" s="31" t="str">
        <f t="shared" si="1330"/>
        <v>Y</v>
      </c>
      <c r="O182" s="162">
        <f t="shared" si="1324"/>
        <v>1.2398097508777965</v>
      </c>
      <c r="P182" s="162">
        <f t="shared" si="1325"/>
        <v>5.4562949560969418</v>
      </c>
      <c r="Q182" s="162">
        <f t="shared" si="1326"/>
        <v>-0.28222020790698304</v>
      </c>
      <c r="R182" s="162">
        <f t="shared" si="1331"/>
        <v>5.7759234814082801E-2</v>
      </c>
      <c r="S182" s="162">
        <f t="shared" si="1327"/>
        <v>0.25419337229842626</v>
      </c>
      <c r="T182" s="162">
        <f t="shared" si="1328"/>
        <v>0.9654271594860202</v>
      </c>
      <c r="U182" s="162">
        <f>IFERROR(IF(ISNUMBER(MATCH($X182,Settings!$AK$52:$AK$60,0)),INDEX(Settings!$AO$14:$AO$60,MATCH($X182,Settings!$AK$14:$AK$60,0))/2,INDEX(Settings!$AM$14:$AM$60,MATCH($X182,Settings!$AK$14:$AK$60,0))/2),"")</f>
        <v>0.255</v>
      </c>
      <c r="V182" s="162">
        <f t="shared" si="1329"/>
        <v>0.41499999999999992</v>
      </c>
      <c r="W182" s="75">
        <v>1.222</v>
      </c>
      <c r="X182" s="937" t="str">
        <f t="shared" si="1332"/>
        <v>CPS-32193r1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1.3196534837317457</v>
      </c>
      <c r="C183" s="651">
        <v>6.1730162828170121</v>
      </c>
      <c r="D183" s="652">
        <v>-0.56098441685276956</v>
      </c>
      <c r="E183" s="653">
        <v>9.4908573792461218E-2</v>
      </c>
      <c r="F183" s="651">
        <v>0.44395909882574719</v>
      </c>
      <c r="G183" s="654">
        <v>0.8910065550771844</v>
      </c>
      <c r="H183" s="653">
        <v>0.25700000000000001</v>
      </c>
      <c r="I183" s="942">
        <v>0.41499999999999992</v>
      </c>
      <c r="J183" s="946">
        <v>1.2250000000000001</v>
      </c>
      <c r="K183" s="931" t="str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CPS-32193r1</v>
      </c>
      <c r="L183" s="683"/>
      <c r="M183" s="934"/>
      <c r="N183" s="31" t="str">
        <f t="shared" si="1330"/>
        <v>Y</v>
      </c>
      <c r="O183" s="162">
        <f t="shared" si="1324"/>
        <v>1.3196534837317457</v>
      </c>
      <c r="P183" s="162">
        <f t="shared" si="1325"/>
        <v>6.1730162828170121</v>
      </c>
      <c r="Q183" s="162">
        <f t="shared" si="1326"/>
        <v>-0.56098441685276956</v>
      </c>
      <c r="R183" s="162">
        <f t="shared" si="1331"/>
        <v>9.4908573792461218E-2</v>
      </c>
      <c r="S183" s="162">
        <f t="shared" si="1327"/>
        <v>0.44395909882574719</v>
      </c>
      <c r="T183" s="162">
        <f t="shared" si="1328"/>
        <v>0.8910065550771844</v>
      </c>
      <c r="U183" s="162">
        <f>IFERROR(IF(ISNUMBER(MATCH($X183,Settings!$AK$52:$AK$60,0)),INDEX(Settings!$AO$14:$AO$60,MATCH($X183,Settings!$AK$14:$AK$60,0))/2,INDEX(Settings!$AM$14:$AM$60,MATCH($X183,Settings!$AK$14:$AK$60,0))/2),"")</f>
        <v>0.255</v>
      </c>
      <c r="V183" s="162">
        <f t="shared" si="1329"/>
        <v>0.41499999999999992</v>
      </c>
      <c r="W183" s="75">
        <v>1.2250000000000001</v>
      </c>
      <c r="X183" s="937" t="str">
        <f t="shared" si="1332"/>
        <v>CPS-32193r1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1.4134080968432221</v>
      </c>
      <c r="C184" s="651">
        <v>6.8111440829578056</v>
      </c>
      <c r="D184" s="652">
        <v>-0.98201265520287606</v>
      </c>
      <c r="E184" s="653">
        <v>0.12728907092149552</v>
      </c>
      <c r="F184" s="651">
        <v>0.6133997705040104</v>
      </c>
      <c r="G184" s="654">
        <v>0.77944737729340652</v>
      </c>
      <c r="H184" s="653">
        <v>0.25700000000000001</v>
      </c>
      <c r="I184" s="942">
        <v>0.41499999999999992</v>
      </c>
      <c r="J184" s="946">
        <v>1.228</v>
      </c>
      <c r="K184" s="931" t="str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CPS-32193r1</v>
      </c>
      <c r="L184" s="683"/>
      <c r="M184" s="934"/>
      <c r="N184" s="31" t="str">
        <f t="shared" si="1330"/>
        <v>Y</v>
      </c>
      <c r="O184" s="162">
        <f t="shared" si="1324"/>
        <v>1.4134080968432221</v>
      </c>
      <c r="P184" s="162">
        <f t="shared" si="1325"/>
        <v>6.8111440829578056</v>
      </c>
      <c r="Q184" s="162">
        <f t="shared" si="1326"/>
        <v>-0.98201265520287606</v>
      </c>
      <c r="R184" s="162">
        <f t="shared" si="1331"/>
        <v>0.12728907092149552</v>
      </c>
      <c r="S184" s="162">
        <f t="shared" si="1327"/>
        <v>0.6133997705040104</v>
      </c>
      <c r="T184" s="162">
        <f t="shared" si="1328"/>
        <v>0.77944737729340652</v>
      </c>
      <c r="U184" s="162">
        <f>IFERROR(IF(ISNUMBER(MATCH($X184,Settings!$AK$52:$AK$60,0)),INDEX(Settings!$AO$14:$AO$60,MATCH($X184,Settings!$AK$14:$AK$60,0))/2,INDEX(Settings!$AM$14:$AM$60,MATCH($X184,Settings!$AK$14:$AK$60,0))/2),"")</f>
        <v>0.255</v>
      </c>
      <c r="V184" s="162">
        <f t="shared" si="1329"/>
        <v>0.41499999999999992</v>
      </c>
      <c r="W184" s="75">
        <v>1.228</v>
      </c>
      <c r="X184" s="937" t="str">
        <f t="shared" si="1332"/>
        <v>CPS-32193r1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1.5097847712308505</v>
      </c>
      <c r="C185" s="651">
        <v>7.345482938340421</v>
      </c>
      <c r="D185" s="652">
        <v>-1.5265353843360587</v>
      </c>
      <c r="E185" s="653">
        <v>0.15566396813369957</v>
      </c>
      <c r="F185" s="651">
        <v>0.75734438698058926</v>
      </c>
      <c r="G185" s="654">
        <v>0.63419098742718372</v>
      </c>
      <c r="H185" s="653">
        <v>0.25700000000000001</v>
      </c>
      <c r="I185" s="942">
        <v>0.41499999999999992</v>
      </c>
      <c r="J185" s="946">
        <v>1.2310000000000001</v>
      </c>
      <c r="K185" s="931" t="str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CPS-32193r1</v>
      </c>
      <c r="L185" s="683"/>
      <c r="M185" s="934"/>
      <c r="N185" s="31" t="str">
        <f t="shared" si="1330"/>
        <v>Y</v>
      </c>
      <c r="O185" s="162">
        <f t="shared" si="1324"/>
        <v>1.5097847712308505</v>
      </c>
      <c r="P185" s="162">
        <f t="shared" si="1325"/>
        <v>7.345482938340421</v>
      </c>
      <c r="Q185" s="162">
        <f t="shared" si="1326"/>
        <v>-1.5265353843360587</v>
      </c>
      <c r="R185" s="162">
        <f t="shared" si="1331"/>
        <v>0.15566396813369957</v>
      </c>
      <c r="S185" s="162">
        <f t="shared" si="1327"/>
        <v>0.75734438698058926</v>
      </c>
      <c r="T185" s="162">
        <f t="shared" si="1328"/>
        <v>0.63419098742718372</v>
      </c>
      <c r="U185" s="162">
        <f>IFERROR(IF(ISNUMBER(MATCH($X185,Settings!$AK$52:$AK$60,0)),INDEX(Settings!$AO$14:$AO$60,MATCH($X185,Settings!$AK$14:$AK$60,0))/2,INDEX(Settings!$AM$14:$AM$60,MATCH($X185,Settings!$AK$14:$AK$60,0))/2),"")</f>
        <v>0.255</v>
      </c>
      <c r="V185" s="162">
        <f t="shared" si="1329"/>
        <v>0.41499999999999992</v>
      </c>
      <c r="W185" s="75">
        <v>1.2310000000000001</v>
      </c>
      <c r="X185" s="937" t="str">
        <f t="shared" si="1332"/>
        <v>CPS-32193r1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1.5934721465312183</v>
      </c>
      <c r="C186" s="651">
        <v>7.7565484988364686</v>
      </c>
      <c r="D186" s="652">
        <v>-2.170276533564381</v>
      </c>
      <c r="E186" s="653">
        <v>0.17817057670741226</v>
      </c>
      <c r="F186" s="651">
        <v>0.86728137815594497</v>
      </c>
      <c r="G186" s="654">
        <v>0.46484218472474392</v>
      </c>
      <c r="H186" s="653">
        <v>0.25700000000000001</v>
      </c>
      <c r="I186" s="942">
        <v>0.41499999999999992</v>
      </c>
      <c r="J186" s="946">
        <v>1.234</v>
      </c>
      <c r="K186" s="931" t="str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CPS-32193r1</v>
      </c>
      <c r="L186" s="683"/>
      <c r="M186" s="934"/>
      <c r="N186" s="31" t="str">
        <f t="shared" si="1330"/>
        <v>Y</v>
      </c>
      <c r="O186" s="162">
        <f t="shared" si="1324"/>
        <v>1.5934721465312183</v>
      </c>
      <c r="P186" s="162">
        <f t="shared" si="1325"/>
        <v>7.7565484988364686</v>
      </c>
      <c r="Q186" s="162">
        <f t="shared" si="1326"/>
        <v>-2.170276533564381</v>
      </c>
      <c r="R186" s="162">
        <f t="shared" si="1331"/>
        <v>0.17817057670741226</v>
      </c>
      <c r="S186" s="162">
        <f t="shared" si="1327"/>
        <v>0.86728137815594497</v>
      </c>
      <c r="T186" s="162">
        <f t="shared" si="1328"/>
        <v>0.46484218472474392</v>
      </c>
      <c r="U186" s="162">
        <f>IFERROR(IF(ISNUMBER(MATCH($X186,Settings!$AK$52:$AK$60,0)),INDEX(Settings!$AO$14:$AO$60,MATCH($X186,Settings!$AK$14:$AK$60,0))/2,INDEX(Settings!$AM$14:$AM$60,MATCH($X186,Settings!$AK$14:$AK$60,0))/2),"")</f>
        <v>0.255</v>
      </c>
      <c r="V186" s="162">
        <f t="shared" si="1329"/>
        <v>0.41499999999999992</v>
      </c>
      <c r="W186" s="75">
        <v>1.234</v>
      </c>
      <c r="X186" s="937" t="str">
        <f t="shared" si="1332"/>
        <v>CPS-32193r1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1.6549729115617142</v>
      </c>
      <c r="C187" s="651">
        <v>8.0288771481754679</v>
      </c>
      <c r="D187" s="652">
        <v>-2.8855204083779387</v>
      </c>
      <c r="E187" s="653">
        <v>0.19411117330996872</v>
      </c>
      <c r="F187" s="651">
        <v>0.9417040923789296</v>
      </c>
      <c r="G187" s="654">
        <v>0.27479857130815633</v>
      </c>
      <c r="H187" s="653">
        <v>0.25700000000000001</v>
      </c>
      <c r="I187" s="942">
        <v>0.41499999999999992</v>
      </c>
      <c r="J187" s="946">
        <v>1.2370000000000001</v>
      </c>
      <c r="K187" s="931" t="str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CPS-32193r1</v>
      </c>
      <c r="L187" s="683"/>
      <c r="M187" s="934"/>
      <c r="N187" s="31" t="str">
        <f t="shared" si="1330"/>
        <v>Y</v>
      </c>
      <c r="O187" s="162">
        <f t="shared" si="1324"/>
        <v>1.6549729115617142</v>
      </c>
      <c r="P187" s="162">
        <f t="shared" si="1325"/>
        <v>8.0288771481754679</v>
      </c>
      <c r="Q187" s="162">
        <f t="shared" si="1326"/>
        <v>-2.8855204083779387</v>
      </c>
      <c r="R187" s="162">
        <f t="shared" si="1331"/>
        <v>0.19411117330996872</v>
      </c>
      <c r="S187" s="162">
        <f t="shared" si="1327"/>
        <v>0.9417040923789296</v>
      </c>
      <c r="T187" s="162">
        <f t="shared" si="1328"/>
        <v>0.27479857130815633</v>
      </c>
      <c r="U187" s="162">
        <f>IFERROR(IF(ISNUMBER(MATCH($X187,Settings!$AK$52:$AK$60,0)),INDEX(Settings!$AO$14:$AO$60,MATCH($X187,Settings!$AK$14:$AK$60,0))/2,INDEX(Settings!$AM$14:$AM$60,MATCH($X187,Settings!$AK$14:$AK$60,0))/2),"")</f>
        <v>0.255</v>
      </c>
      <c r="V187" s="162">
        <f t="shared" si="1329"/>
        <v>0.41499999999999992</v>
      </c>
      <c r="W187" s="75">
        <v>1.2370000000000001</v>
      </c>
      <c r="X187" s="937" t="str">
        <f t="shared" si="1332"/>
        <v>CPS-32193r1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1.6914170965942998</v>
      </c>
      <c r="C188" s="651">
        <v>8.1873934485925375</v>
      </c>
      <c r="D188" s="652">
        <v>-3.6357005532084909</v>
      </c>
      <c r="E188" s="653">
        <v>0.19924830157918799</v>
      </c>
      <c r="F188" s="651">
        <v>0.96447188708056242</v>
      </c>
      <c r="G188" s="654">
        <v>0.17347649220879391</v>
      </c>
      <c r="H188" s="653">
        <v>0.25700000000000001</v>
      </c>
      <c r="I188" s="942">
        <v>0.41499999999999992</v>
      </c>
      <c r="J188" s="946">
        <v>1.24</v>
      </c>
      <c r="K188" s="931" t="str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CPS-32193r1</v>
      </c>
      <c r="L188" s="683"/>
      <c r="M188" s="934"/>
      <c r="N188" s="31" t="str">
        <f t="shared" si="1330"/>
        <v>Y</v>
      </c>
      <c r="O188" s="162">
        <f t="shared" si="1324"/>
        <v>1.6914170965942998</v>
      </c>
      <c r="P188" s="162">
        <f t="shared" si="1325"/>
        <v>8.1873934485925375</v>
      </c>
      <c r="Q188" s="162">
        <f t="shared" si="1326"/>
        <v>-3.6357005532084909</v>
      </c>
      <c r="R188" s="162">
        <f t="shared" si="1331"/>
        <v>0.19924830157918799</v>
      </c>
      <c r="S188" s="162">
        <f t="shared" si="1327"/>
        <v>0.96447188708056242</v>
      </c>
      <c r="T188" s="162">
        <f t="shared" si="1328"/>
        <v>0.17347649220879391</v>
      </c>
      <c r="U188" s="162">
        <f>IFERROR(IF(ISNUMBER(MATCH($X188,Settings!$AK$52:$AK$60,0)),INDEX(Settings!$AO$14:$AO$60,MATCH($X188,Settings!$AK$14:$AK$60,0))/2,INDEX(Settings!$AM$14:$AM$60,MATCH($X188,Settings!$AK$14:$AK$60,0))/2),"")</f>
        <v>0.255</v>
      </c>
      <c r="V188" s="162">
        <f t="shared" si="1329"/>
        <v>0.41499999999999992</v>
      </c>
      <c r="W188" s="75">
        <v>1.24</v>
      </c>
      <c r="X188" s="937" t="str">
        <f t="shared" si="1332"/>
        <v>CPS-32193r1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1.7133935987331661</v>
      </c>
      <c r="C189" s="651">
        <v>8.2720466657661511</v>
      </c>
      <c r="D189" s="652">
        <v>-4.39669318250575</v>
      </c>
      <c r="E189" s="653">
        <v>0.20223026332235544</v>
      </c>
      <c r="F189" s="651">
        <v>0.9763420247802761</v>
      </c>
      <c r="G189" s="654">
        <v>7.6545223525192524E-2</v>
      </c>
      <c r="H189" s="653">
        <v>0.25700000000000001</v>
      </c>
      <c r="I189" s="942">
        <v>0.41499999999999992</v>
      </c>
      <c r="J189" s="946">
        <v>1.2430000000000001</v>
      </c>
      <c r="K189" s="931" t="str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CPS-32193r1</v>
      </c>
      <c r="L189" s="683"/>
      <c r="M189" s="934"/>
      <c r="N189" s="31" t="str">
        <f t="shared" si="1330"/>
        <v>Y</v>
      </c>
      <c r="O189" s="162">
        <f t="shared" si="1324"/>
        <v>1.7133935987331661</v>
      </c>
      <c r="P189" s="162">
        <f t="shared" si="1325"/>
        <v>8.2720466657661511</v>
      </c>
      <c r="Q189" s="162">
        <f t="shared" si="1326"/>
        <v>-4.39669318250575</v>
      </c>
      <c r="R189" s="162">
        <f t="shared" si="1331"/>
        <v>0.20223026332235544</v>
      </c>
      <c r="S189" s="162">
        <f t="shared" si="1327"/>
        <v>0.9763420247802761</v>
      </c>
      <c r="T189" s="162">
        <f t="shared" si="1328"/>
        <v>7.6545223525192524E-2</v>
      </c>
      <c r="U189" s="162">
        <f>IFERROR(IF(ISNUMBER(MATCH($X189,Settings!$AK$52:$AK$60,0)),INDEX(Settings!$AO$14:$AO$60,MATCH($X189,Settings!$AK$14:$AK$60,0))/2,INDEX(Settings!$AM$14:$AM$60,MATCH($X189,Settings!$AK$14:$AK$60,0))/2),"")</f>
        <v>0.255</v>
      </c>
      <c r="V189" s="162">
        <f t="shared" si="1329"/>
        <v>0.41499999999999992</v>
      </c>
      <c r="W189" s="75">
        <v>1.2430000000000001</v>
      </c>
      <c r="X189" s="937" t="str">
        <f t="shared" si="1332"/>
        <v>CPS-32193r1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3.0876510321203643</v>
      </c>
      <c r="C190" s="651">
        <v>1.7826530422774682</v>
      </c>
      <c r="D190" s="652">
        <v>-0.30790092862920077</v>
      </c>
      <c r="E190" s="653">
        <v>-0.49469307108692029</v>
      </c>
      <c r="F190" s="651">
        <v>0.82974391701277217</v>
      </c>
      <c r="G190" s="654">
        <v>0.25846430623761785</v>
      </c>
      <c r="H190" s="653">
        <v>0.314</v>
      </c>
      <c r="I190" s="942">
        <v>0.52</v>
      </c>
      <c r="J190" s="946">
        <v>2.1139999999999999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>
        <f t="shared" si="1324"/>
        <v>3.0876510321203643</v>
      </c>
      <c r="P190" s="162">
        <f t="shared" si="1325"/>
        <v>1.7826530422774682</v>
      </c>
      <c r="Q190" s="162">
        <f t="shared" si="1326"/>
        <v>-0.30790092862920077</v>
      </c>
      <c r="R190" s="162">
        <f t="shared" si="1331"/>
        <v>-0.49469307108692029</v>
      </c>
      <c r="S190" s="162">
        <f t="shared" si="1327"/>
        <v>0.82974391701277217</v>
      </c>
      <c r="T190" s="162">
        <f t="shared" si="1328"/>
        <v>0.25846430623761785</v>
      </c>
      <c r="U190" s="162">
        <f>IFERROR(IF(ISNUMBER(MATCH($X190,Settings!$AK$52:$AK$60,0)),INDEX(Settings!$AO$14:$AO$60,MATCH($X190,Settings!$AK$14:$AK$60,0))/2,INDEX(Settings!$AM$14:$AM$60,MATCH($X190,Settings!$AK$14:$AK$60,0))/2),"")</f>
        <v>0.3125</v>
      </c>
      <c r="V190" s="162">
        <f t="shared" si="1329"/>
        <v>0.52</v>
      </c>
      <c r="W190" s="75">
        <v>2.1139999999999999</v>
      </c>
      <c r="X190" s="937">
        <f t="shared" si="1332"/>
        <v>1613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3.7463073509595386</v>
      </c>
      <c r="C191" s="651">
        <v>2.1516091314818722</v>
      </c>
      <c r="D191" s="652">
        <v>-0.16870050880073445</v>
      </c>
      <c r="E191" s="653">
        <v>-0.45683244683502577</v>
      </c>
      <c r="F191" s="651">
        <v>0.85100402070416648</v>
      </c>
      <c r="G191" s="654">
        <v>0.25902948145735466</v>
      </c>
      <c r="H191" s="653">
        <v>0.314</v>
      </c>
      <c r="I191" s="942">
        <v>0.52</v>
      </c>
      <c r="J191" s="946">
        <v>2.117</v>
      </c>
      <c r="K191" s="931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>
        <f t="shared" si="1324"/>
        <v>3.7463073509595386</v>
      </c>
      <c r="P191" s="162">
        <f t="shared" si="1325"/>
        <v>2.1516091314818722</v>
      </c>
      <c r="Q191" s="162">
        <f t="shared" si="1326"/>
        <v>-0.16870050880073445</v>
      </c>
      <c r="R191" s="162">
        <f t="shared" si="1331"/>
        <v>-0.45683244683502577</v>
      </c>
      <c r="S191" s="162">
        <f t="shared" si="1327"/>
        <v>0.85100402070416648</v>
      </c>
      <c r="T191" s="162">
        <f t="shared" si="1328"/>
        <v>0.25902948145735466</v>
      </c>
      <c r="U191" s="162">
        <f>IFERROR(IF(ISNUMBER(MATCH($X191,Settings!$AK$52:$AK$60,0)),INDEX(Settings!$AO$14:$AO$60,MATCH($X191,Settings!$AK$14:$AK$60,0))/2,INDEX(Settings!$AM$14:$AM$60,MATCH($X191,Settings!$AK$14:$AK$60,0))/2),"")</f>
        <v>0.3125</v>
      </c>
      <c r="V191" s="162">
        <f t="shared" si="1329"/>
        <v>0.52</v>
      </c>
      <c r="W191" s="75">
        <v>2.117</v>
      </c>
      <c r="X191" s="937">
        <f t="shared" si="1332"/>
        <v>1613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4.4301343692358772</v>
      </c>
      <c r="C192" s="651">
        <v>2.5013440078093749</v>
      </c>
      <c r="D192" s="652">
        <v>-0.18530055886648539</v>
      </c>
      <c r="E192" s="653">
        <v>-0.41215437464178517</v>
      </c>
      <c r="F192" s="651">
        <v>0.87337407701368286</v>
      </c>
      <c r="G192" s="654">
        <v>0.25951202874652379</v>
      </c>
      <c r="H192" s="653">
        <v>0.314</v>
      </c>
      <c r="I192" s="942">
        <v>0.52</v>
      </c>
      <c r="J192" s="946">
        <v>2.12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1613</v>
      </c>
      <c r="L192" s="683"/>
      <c r="M192" s="934"/>
      <c r="N192" s="31" t="str">
        <f t="shared" si="1330"/>
        <v>Y</v>
      </c>
      <c r="O192" s="162">
        <f t="shared" si="1324"/>
        <v>4.4301343692358772</v>
      </c>
      <c r="P192" s="162">
        <f t="shared" si="1325"/>
        <v>2.5013440078093749</v>
      </c>
      <c r="Q192" s="162">
        <f t="shared" si="1326"/>
        <v>-0.18530055886648539</v>
      </c>
      <c r="R192" s="162">
        <f t="shared" si="1331"/>
        <v>-0.41215437464178517</v>
      </c>
      <c r="S192" s="162">
        <f t="shared" si="1327"/>
        <v>0.87337407701368286</v>
      </c>
      <c r="T192" s="162">
        <f t="shared" si="1328"/>
        <v>0.25951202874652379</v>
      </c>
      <c r="U192" s="162">
        <f>IFERROR(IF(ISNUMBER(MATCH($X192,Settings!$AK$52:$AK$60,0)),INDEX(Settings!$AO$14:$AO$60,MATCH($X192,Settings!$AK$14:$AK$60,0))/2,INDEX(Settings!$AM$14:$AM$60,MATCH($X192,Settings!$AK$14:$AK$60,0))/2),"")</f>
        <v>0.3125</v>
      </c>
      <c r="V192" s="162">
        <f t="shared" si="1329"/>
        <v>0.52</v>
      </c>
      <c r="W192" s="75">
        <v>2.12</v>
      </c>
      <c r="X192" s="937">
        <f t="shared" si="1332"/>
        <v>1613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5.1098288715563926</v>
      </c>
      <c r="C193" s="651">
        <v>2.8172822501835078</v>
      </c>
      <c r="D193" s="652">
        <v>-0.35960108455687106</v>
      </c>
      <c r="E193" s="653">
        <v>-0.35974682169613548</v>
      </c>
      <c r="F193" s="651">
        <v>0.89598319952618199</v>
      </c>
      <c r="G193" s="654">
        <v>0.26037728481254857</v>
      </c>
      <c r="H193" s="653">
        <v>0.314</v>
      </c>
      <c r="I193" s="942">
        <v>0.52</v>
      </c>
      <c r="J193" s="946">
        <v>2.1230000000000002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1613</v>
      </c>
      <c r="L193" s="683"/>
      <c r="M193" s="934"/>
      <c r="N193" s="31" t="str">
        <f t="shared" si="1330"/>
        <v>Y</v>
      </c>
      <c r="O193" s="162">
        <f t="shared" si="1324"/>
        <v>5.1098288715563926</v>
      </c>
      <c r="P193" s="162">
        <f t="shared" si="1325"/>
        <v>2.8172822501835078</v>
      </c>
      <c r="Q193" s="162">
        <f t="shared" si="1326"/>
        <v>-0.35960108455687106</v>
      </c>
      <c r="R193" s="162">
        <f t="shared" si="1331"/>
        <v>-0.35974682169613548</v>
      </c>
      <c r="S193" s="162">
        <f t="shared" si="1327"/>
        <v>0.89598319952618199</v>
      </c>
      <c r="T193" s="162">
        <f t="shared" si="1328"/>
        <v>0.26037728481254857</v>
      </c>
      <c r="U193" s="162">
        <f>IFERROR(IF(ISNUMBER(MATCH($X193,Settings!$AK$52:$AK$60,0)),INDEX(Settings!$AO$14:$AO$60,MATCH($X193,Settings!$AK$14:$AK$60,0))/2,INDEX(Settings!$AM$14:$AM$60,MATCH($X193,Settings!$AK$14:$AK$60,0))/2),"")</f>
        <v>0.3125</v>
      </c>
      <c r="V193" s="162">
        <f t="shared" si="1329"/>
        <v>0.52</v>
      </c>
      <c r="W193" s="75">
        <v>2.1230000000000002</v>
      </c>
      <c r="X193" s="937">
        <f t="shared" si="1332"/>
        <v>1613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5.75438241812705</v>
      </c>
      <c r="C194" s="651">
        <v>3.0880538538522679</v>
      </c>
      <c r="D194" s="652">
        <v>-0.68410206325182332</v>
      </c>
      <c r="E194" s="653">
        <v>-0.29982577545560324</v>
      </c>
      <c r="F194" s="651">
        <v>0.91844962391918838</v>
      </c>
      <c r="G194" s="654">
        <v>0.25798215576885897</v>
      </c>
      <c r="H194" s="653">
        <v>0.314</v>
      </c>
      <c r="I194" s="942">
        <v>0.52</v>
      </c>
      <c r="J194" s="946">
        <v>2.1259999999999999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1613</v>
      </c>
      <c r="L194" s="683"/>
      <c r="M194" s="934"/>
      <c r="N194" s="31" t="str">
        <f t="shared" si="1330"/>
        <v>Y</v>
      </c>
      <c r="O194" s="162">
        <f t="shared" si="1324"/>
        <v>5.75438241812705</v>
      </c>
      <c r="P194" s="162">
        <f t="shared" si="1325"/>
        <v>3.0880538538522679</v>
      </c>
      <c r="Q194" s="162">
        <f t="shared" si="1326"/>
        <v>-0.68410206325182332</v>
      </c>
      <c r="R194" s="162">
        <f t="shared" si="1331"/>
        <v>-0.29982577545560324</v>
      </c>
      <c r="S194" s="162">
        <f t="shared" si="1327"/>
        <v>0.91844962391918838</v>
      </c>
      <c r="T194" s="162">
        <f t="shared" si="1328"/>
        <v>0.25798215576885897</v>
      </c>
      <c r="U194" s="162">
        <f>IFERROR(IF(ISNUMBER(MATCH($X194,Settings!$AK$52:$AK$60,0)),INDEX(Settings!$AO$14:$AO$60,MATCH($X194,Settings!$AK$14:$AK$60,0))/2,INDEX(Settings!$AM$14:$AM$60,MATCH($X194,Settings!$AK$14:$AK$60,0))/2),"")</f>
        <v>0.3125</v>
      </c>
      <c r="V194" s="162">
        <f t="shared" si="1329"/>
        <v>0.52</v>
      </c>
      <c r="W194" s="75">
        <v>2.1259999999999999</v>
      </c>
      <c r="X194" s="937">
        <f t="shared" si="1332"/>
        <v>1613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6.3323465477702339</v>
      </c>
      <c r="C195" s="651">
        <v>3.3090575943732121</v>
      </c>
      <c r="D195" s="652">
        <v>-1.1444034515208086</v>
      </c>
      <c r="E195" s="653">
        <v>-0.23167828522651981</v>
      </c>
      <c r="F195" s="651">
        <v>0.93986552375247789</v>
      </c>
      <c r="G195" s="654">
        <v>0.25095411814907514</v>
      </c>
      <c r="H195" s="653">
        <v>0.314</v>
      </c>
      <c r="I195" s="942">
        <v>0.52</v>
      </c>
      <c r="J195" s="946">
        <v>2.129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1613</v>
      </c>
      <c r="L195" s="683"/>
      <c r="M195" s="934"/>
      <c r="N195" s="31" t="str">
        <f t="shared" si="1330"/>
        <v>Y</v>
      </c>
      <c r="O195" s="162">
        <f t="shared" si="1324"/>
        <v>6.3323465477702339</v>
      </c>
      <c r="P195" s="162">
        <f t="shared" si="1325"/>
        <v>3.3090575943732121</v>
      </c>
      <c r="Q195" s="162">
        <f t="shared" si="1326"/>
        <v>-1.1444034515208086</v>
      </c>
      <c r="R195" s="162">
        <f t="shared" si="1331"/>
        <v>-0.23167828522651981</v>
      </c>
      <c r="S195" s="162">
        <f t="shared" si="1327"/>
        <v>0.93986552375247789</v>
      </c>
      <c r="T195" s="162">
        <f t="shared" si="1328"/>
        <v>0.25095411814907514</v>
      </c>
      <c r="U195" s="162">
        <f>IFERROR(IF(ISNUMBER(MATCH($X195,Settings!$AK$52:$AK$60,0)),INDEX(Settings!$AO$14:$AO$60,MATCH($X195,Settings!$AK$14:$AK$60,0))/2,INDEX(Settings!$AM$14:$AM$60,MATCH($X195,Settings!$AK$14:$AK$60,0))/2),"")</f>
        <v>0.3125</v>
      </c>
      <c r="V195" s="162">
        <f t="shared" si="1329"/>
        <v>0.52</v>
      </c>
      <c r="W195" s="75">
        <v>2.129</v>
      </c>
      <c r="X195" s="937">
        <f t="shared" si="1332"/>
        <v>1613</v>
      </c>
      <c r="AK195" s="82" t="str">
        <f t="shared" si="1333"/>
        <v>Y</v>
      </c>
      <c r="AL195" s="419" t="s">
        <v>400</v>
      </c>
    </row>
    <row r="196" spans="2:38" x14ac:dyDescent="0.25">
      <c r="B196" s="650">
        <v>6.8154890878523551</v>
      </c>
      <c r="C196" s="651">
        <v>3.4786542351971845</v>
      </c>
      <c r="D196" s="652">
        <v>-1.7206051893452494</v>
      </c>
      <c r="E196" s="653">
        <v>-0.16002298246761329</v>
      </c>
      <c r="F196" s="651">
        <v>0.95929653520689895</v>
      </c>
      <c r="G196" s="654">
        <v>0.23268606022323088</v>
      </c>
      <c r="H196" s="653">
        <v>0.314</v>
      </c>
      <c r="I196" s="942">
        <v>0.52</v>
      </c>
      <c r="J196" s="946">
        <v>2.1320000000000001</v>
      </c>
      <c r="K196" s="931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>1613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6.8154890878523551</v>
      </c>
      <c r="P196" s="162">
        <f t="shared" ref="P196:P227" si="1335">IFERROR(INDEX(C$164:C$305,MATCH($W196,$J$164:$J$305,0)),"")</f>
        <v>3.4786542351971845</v>
      </c>
      <c r="Q196" s="162">
        <f t="shared" ref="Q196:Q227" si="1336">IFERROR(INDEX(D$164:D$305,MATCH($W196,$J$164:$J$305,0)),"")</f>
        <v>-1.7206051893452494</v>
      </c>
      <c r="R196" s="162">
        <f t="shared" si="1331"/>
        <v>-0.16002298246761329</v>
      </c>
      <c r="S196" s="162">
        <f t="shared" si="1327"/>
        <v>0.95929653520689895</v>
      </c>
      <c r="T196" s="162">
        <f t="shared" si="1328"/>
        <v>0.23268606022323088</v>
      </c>
      <c r="U196" s="162">
        <f>IFERROR(IF(ISNUMBER(MATCH($X196,Settings!$AK$52:$AK$60,0)),INDEX(Settings!$AO$14:$AO$60,MATCH($X196,Settings!$AK$14:$AK$60,0))/2,INDEX(Settings!$AM$14:$AM$60,MATCH($X196,Settings!$AK$14:$AK$60,0))/2),"")</f>
        <v>0.3125</v>
      </c>
      <c r="V196" s="162">
        <f t="shared" ref="V196:V227" si="1337">IFERROR(INDEX(I$164:I$305,MATCH($W196,$J$164:$J$305,0)),"")</f>
        <v>0.52</v>
      </c>
      <c r="W196" s="75">
        <v>2.1320000000000001</v>
      </c>
      <c r="X196" s="937">
        <f t="shared" si="1332"/>
        <v>1613</v>
      </c>
      <c r="AK196" s="82" t="str">
        <f t="shared" si="1333"/>
        <v>Y</v>
      </c>
      <c r="AL196" s="419" t="s">
        <v>400</v>
      </c>
    </row>
    <row r="197" spans="2:38" x14ac:dyDescent="0.25">
      <c r="B197" s="650">
        <v>7.1803492990799764</v>
      </c>
      <c r="C197" s="651">
        <v>3.5972119746590581</v>
      </c>
      <c r="D197" s="652">
        <v>-2.3879072019281216</v>
      </c>
      <c r="E197" s="653">
        <v>-8.5812369458319687E-2</v>
      </c>
      <c r="F197" s="651">
        <v>0.97558449698553984</v>
      </c>
      <c r="G197" s="654">
        <v>0.20216608639784284</v>
      </c>
      <c r="H197" s="653">
        <v>0.314</v>
      </c>
      <c r="I197" s="942">
        <v>0.52</v>
      </c>
      <c r="J197" s="946">
        <v>2.1349999999999998</v>
      </c>
      <c r="K197" s="931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>1613</v>
      </c>
      <c r="L197" s="683"/>
      <c r="M197" s="934"/>
      <c r="N197" s="31" t="str">
        <f t="shared" si="1330"/>
        <v>Y</v>
      </c>
      <c r="O197" s="162">
        <f t="shared" si="1334"/>
        <v>7.1803492990799764</v>
      </c>
      <c r="P197" s="162">
        <f t="shared" si="1335"/>
        <v>3.5972119746590581</v>
      </c>
      <c r="Q197" s="162">
        <f t="shared" si="1336"/>
        <v>-2.3879072019281216</v>
      </c>
      <c r="R197" s="162">
        <f t="shared" si="1331"/>
        <v>-8.5812369458319687E-2</v>
      </c>
      <c r="S197" s="162">
        <f t="shared" si="1327"/>
        <v>0.97558449698553984</v>
      </c>
      <c r="T197" s="162">
        <f t="shared" si="1328"/>
        <v>0.20216608639784284</v>
      </c>
      <c r="U197" s="162">
        <f>IFERROR(IF(ISNUMBER(MATCH($X197,Settings!$AK$52:$AK$60,0)),INDEX(Settings!$AO$14:$AO$60,MATCH($X197,Settings!$AK$14:$AK$60,0))/2,INDEX(Settings!$AM$14:$AM$60,MATCH($X197,Settings!$AK$14:$AK$60,0))/2),"")</f>
        <v>0.3125</v>
      </c>
      <c r="V197" s="162">
        <f t="shared" si="1337"/>
        <v>0.52</v>
      </c>
      <c r="W197" s="75">
        <v>2.1349999999999998</v>
      </c>
      <c r="X197" s="937">
        <f t="shared" si="1332"/>
        <v>1613</v>
      </c>
      <c r="AK197" s="82" t="str">
        <f t="shared" si="1333"/>
        <v>Y</v>
      </c>
      <c r="AL197" s="419" t="s">
        <v>400</v>
      </c>
    </row>
    <row r="198" spans="2:38" x14ac:dyDescent="0.25">
      <c r="B198" s="650">
        <v>7.4112287364030394</v>
      </c>
      <c r="C198" s="651">
        <v>3.6692905560338591</v>
      </c>
      <c r="D198" s="652">
        <v>-3.1176094027099577</v>
      </c>
      <c r="E198" s="653">
        <v>-1.6823803135338423E-2</v>
      </c>
      <c r="F198" s="651">
        <v>0.98766311961531594</v>
      </c>
      <c r="G198" s="654">
        <v>0.15568725638216385</v>
      </c>
      <c r="H198" s="653">
        <v>0.314</v>
      </c>
      <c r="I198" s="942">
        <v>0.52</v>
      </c>
      <c r="J198" s="946">
        <v>2.1379999999999999</v>
      </c>
      <c r="K198" s="931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>1613</v>
      </c>
      <c r="L198" s="683"/>
      <c r="M198" s="934"/>
      <c r="N198" s="31" t="str">
        <f t="shared" si="1330"/>
        <v>Y</v>
      </c>
      <c r="O198" s="162">
        <f t="shared" si="1334"/>
        <v>7.4112287364030394</v>
      </c>
      <c r="P198" s="162">
        <f t="shared" si="1335"/>
        <v>3.6692905560338591</v>
      </c>
      <c r="Q198" s="162">
        <f t="shared" si="1336"/>
        <v>-3.1176094027099577</v>
      </c>
      <c r="R198" s="162">
        <f t="shared" si="1331"/>
        <v>-1.6823803135338423E-2</v>
      </c>
      <c r="S198" s="162">
        <f t="shared" si="1327"/>
        <v>0.98766311961531594</v>
      </c>
      <c r="T198" s="162">
        <f t="shared" si="1328"/>
        <v>0.15568725638216385</v>
      </c>
      <c r="U198" s="162">
        <f>IFERROR(IF(ISNUMBER(MATCH($X198,Settings!$AK$52:$AK$60,0)),INDEX(Settings!$AO$14:$AO$60,MATCH($X198,Settings!$AK$14:$AK$60,0))/2,INDEX(Settings!$AM$14:$AM$60,MATCH($X198,Settings!$AK$14:$AK$60,0))/2),"")</f>
        <v>0.3125</v>
      </c>
      <c r="V198" s="162">
        <f t="shared" si="1337"/>
        <v>0.52</v>
      </c>
      <c r="W198" s="75">
        <v>2.1379999999999999</v>
      </c>
      <c r="X198" s="937">
        <f t="shared" si="1332"/>
        <v>1613</v>
      </c>
      <c r="AK198" s="82" t="str">
        <f t="shared" si="1333"/>
        <v>Y</v>
      </c>
      <c r="AL198" s="419" t="s">
        <v>400</v>
      </c>
    </row>
    <row r="199" spans="2:38" x14ac:dyDescent="0.25">
      <c r="B199" s="650">
        <v>7.5526682531075453</v>
      </c>
      <c r="C199" s="651">
        <v>3.7114557144375655</v>
      </c>
      <c r="D199" s="652">
        <v>-3.8722116785904226</v>
      </c>
      <c r="E199" s="653">
        <v>4.9819789204157215E-2</v>
      </c>
      <c r="F199" s="651">
        <v>0.99424870468876669</v>
      </c>
      <c r="G199" s="654">
        <v>9.4802435772310484E-2</v>
      </c>
      <c r="H199" s="653">
        <v>0.314</v>
      </c>
      <c r="I199" s="942">
        <v>0.52</v>
      </c>
      <c r="J199" s="946">
        <v>2.141</v>
      </c>
      <c r="K199" s="931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>1613</v>
      </c>
      <c r="L199" s="683"/>
      <c r="M199" s="934"/>
      <c r="N199" s="31" t="str">
        <f t="shared" si="1330"/>
        <v>Y</v>
      </c>
      <c r="O199" s="162">
        <f t="shared" si="1334"/>
        <v>7.5526682531075453</v>
      </c>
      <c r="P199" s="162">
        <f t="shared" si="1335"/>
        <v>3.7114557144375655</v>
      </c>
      <c r="Q199" s="162">
        <f t="shared" si="1336"/>
        <v>-3.8722116785904226</v>
      </c>
      <c r="R199" s="162">
        <f t="shared" si="1331"/>
        <v>4.9819789204157215E-2</v>
      </c>
      <c r="S199" s="162">
        <f t="shared" si="1327"/>
        <v>0.99424870468876669</v>
      </c>
      <c r="T199" s="162">
        <f t="shared" si="1328"/>
        <v>9.4802435772310484E-2</v>
      </c>
      <c r="U199" s="162">
        <f>IFERROR(IF(ISNUMBER(MATCH($X199,Settings!$AK$52:$AK$60,0)),INDEX(Settings!$AO$14:$AO$60,MATCH($X199,Settings!$AK$14:$AK$60,0))/2,INDEX(Settings!$AM$14:$AM$60,MATCH($X199,Settings!$AK$14:$AK$60,0))/2),"")</f>
        <v>0.3125</v>
      </c>
      <c r="V199" s="162">
        <f t="shared" si="1337"/>
        <v>0.52</v>
      </c>
      <c r="W199" s="75">
        <v>2.141</v>
      </c>
      <c r="X199" s="937">
        <f t="shared" si="1332"/>
        <v>1613</v>
      </c>
      <c r="AK199" s="82" t="str">
        <f t="shared" si="1333"/>
        <v>Y</v>
      </c>
      <c r="AL199" s="419" t="s">
        <v>400</v>
      </c>
    </row>
    <row r="200" spans="2:38" x14ac:dyDescent="0.25">
      <c r="B200" s="650">
        <v>7.644762542370219</v>
      </c>
      <c r="C200" s="651">
        <v>3.7385077919574079</v>
      </c>
      <c r="D200" s="652">
        <v>-4.6681140790320637</v>
      </c>
      <c r="E200" s="653">
        <v>0.11013563005070962</v>
      </c>
      <c r="F200" s="651">
        <v>0.99374063288448355</v>
      </c>
      <c r="G200" s="654">
        <v>1.870020180852202E-2</v>
      </c>
      <c r="H200" s="653">
        <v>0.314</v>
      </c>
      <c r="I200" s="942">
        <v>0.52</v>
      </c>
      <c r="J200" s="946">
        <v>2.1440000000000001</v>
      </c>
      <c r="K200" s="931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>1613</v>
      </c>
      <c r="L200" s="683"/>
      <c r="M200" s="934"/>
      <c r="N200" s="31" t="str">
        <f t="shared" si="1330"/>
        <v>Y</v>
      </c>
      <c r="O200" s="162">
        <f t="shared" si="1334"/>
        <v>7.644762542370219</v>
      </c>
      <c r="P200" s="162">
        <f t="shared" si="1335"/>
        <v>3.7385077919574079</v>
      </c>
      <c r="Q200" s="162">
        <f t="shared" si="1336"/>
        <v>-4.6681140790320637</v>
      </c>
      <c r="R200" s="162">
        <f t="shared" si="1331"/>
        <v>0.11013563005070962</v>
      </c>
      <c r="S200" s="162">
        <f t="shared" si="1327"/>
        <v>0.99374063288448355</v>
      </c>
      <c r="T200" s="162">
        <f t="shared" si="1328"/>
        <v>1.870020180852202E-2</v>
      </c>
      <c r="U200" s="162">
        <f>IFERROR(IF(ISNUMBER(MATCH($X200,Settings!$AK$52:$AK$60,0)),INDEX(Settings!$AO$14:$AO$60,MATCH($X200,Settings!$AK$14:$AK$60,0))/2,INDEX(Settings!$AM$14:$AM$60,MATCH($X200,Settings!$AK$14:$AK$60,0))/2),"")</f>
        <v>0.3125</v>
      </c>
      <c r="V200" s="162">
        <f t="shared" si="1337"/>
        <v>0.52</v>
      </c>
      <c r="W200" s="75">
        <v>2.1440000000000001</v>
      </c>
      <c r="X200" s="937">
        <f t="shared" si="1332"/>
        <v>1613</v>
      </c>
      <c r="AK200" s="82" t="str">
        <f t="shared" si="1333"/>
        <v>Y</v>
      </c>
      <c r="AL200" s="419" t="s">
        <v>400</v>
      </c>
    </row>
    <row r="201" spans="2:38" x14ac:dyDescent="0.25">
      <c r="B201" s="650">
        <v>4.1855791305048928</v>
      </c>
      <c r="C201" s="651">
        <v>1.0771819409507122</v>
      </c>
      <c r="D201" s="652">
        <v>-0.16537528030540641</v>
      </c>
      <c r="E201" s="653">
        <v>-7.8678936393454274E-2</v>
      </c>
      <c r="F201" s="651">
        <v>-2.0248459478059234E-2</v>
      </c>
      <c r="G201" s="654">
        <v>0.99669434876333096</v>
      </c>
      <c r="H201" s="653">
        <v>0.25700000000000001</v>
      </c>
      <c r="I201" s="942">
        <v>0.41499999999999992</v>
      </c>
      <c r="J201" s="946">
        <v>2.2170000000000001</v>
      </c>
      <c r="K201" s="931" t="str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>CPS-32193r1</v>
      </c>
      <c r="L201" s="683"/>
      <c r="M201" s="934"/>
      <c r="N201" s="31" t="str">
        <f t="shared" si="1330"/>
        <v>Y</v>
      </c>
      <c r="O201" s="162">
        <f t="shared" si="1334"/>
        <v>4.1855791305048928</v>
      </c>
      <c r="P201" s="162">
        <f t="shared" si="1335"/>
        <v>1.0771819409507122</v>
      </c>
      <c r="Q201" s="162">
        <f t="shared" si="1336"/>
        <v>-0.16537528030540641</v>
      </c>
      <c r="R201" s="162">
        <f t="shared" si="1331"/>
        <v>-7.8678936393454274E-2</v>
      </c>
      <c r="S201" s="162">
        <f t="shared" si="1327"/>
        <v>-2.0248459478059234E-2</v>
      </c>
      <c r="T201" s="162">
        <f t="shared" si="1328"/>
        <v>0.99669434876333096</v>
      </c>
      <c r="U201" s="162">
        <f>IFERROR(IF(ISNUMBER(MATCH($X201,Settings!$AK$52:$AK$60,0)),INDEX(Settings!$AO$14:$AO$60,MATCH($X201,Settings!$AK$14:$AK$60,0))/2,INDEX(Settings!$AM$14:$AM$60,MATCH($X201,Settings!$AK$14:$AK$60,0))/2),"")</f>
        <v>0.255</v>
      </c>
      <c r="V201" s="162">
        <f t="shared" si="1337"/>
        <v>0.41499999999999992</v>
      </c>
      <c r="W201" s="75">
        <v>2.2170000000000001</v>
      </c>
      <c r="X201" s="937" t="str">
        <f t="shared" si="1332"/>
        <v>CPS-32193r1</v>
      </c>
      <c r="AK201" s="82" t="str">
        <f t="shared" si="1333"/>
        <v>Y</v>
      </c>
      <c r="AL201" s="419" t="s">
        <v>400</v>
      </c>
    </row>
    <row r="202" spans="2:38" x14ac:dyDescent="0.25">
      <c r="B202" s="650">
        <v>4.8848102331033116</v>
      </c>
      <c r="C202" s="651">
        <v>1.4363502609056973</v>
      </c>
      <c r="D202" s="652">
        <v>-0.18204030738773283</v>
      </c>
      <c r="E202" s="653">
        <v>0.11991049770054532</v>
      </c>
      <c r="F202" s="651">
        <v>3.5258989896950609E-2</v>
      </c>
      <c r="G202" s="654">
        <v>0.99215839268367545</v>
      </c>
      <c r="H202" s="653">
        <v>0.25700000000000001</v>
      </c>
      <c r="I202" s="942">
        <v>0.41499999999999992</v>
      </c>
      <c r="J202" s="946">
        <v>2.2200000000000002</v>
      </c>
      <c r="K202" s="931" t="str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>CPS-32193r1</v>
      </c>
      <c r="L202" s="683"/>
      <c r="M202" s="934"/>
      <c r="N202" s="31" t="str">
        <f t="shared" si="1330"/>
        <v>Y</v>
      </c>
      <c r="O202" s="162">
        <f t="shared" si="1334"/>
        <v>4.8848102331033116</v>
      </c>
      <c r="P202" s="162">
        <f t="shared" si="1335"/>
        <v>1.4363502609056973</v>
      </c>
      <c r="Q202" s="162">
        <f t="shared" si="1336"/>
        <v>-0.18204030738773283</v>
      </c>
      <c r="R202" s="162">
        <f t="shared" si="1331"/>
        <v>0.11991049770054532</v>
      </c>
      <c r="S202" s="162">
        <f t="shared" si="1327"/>
        <v>3.5258989896950609E-2</v>
      </c>
      <c r="T202" s="162">
        <f t="shared" si="1328"/>
        <v>0.99215839268367545</v>
      </c>
      <c r="U202" s="162">
        <f>IFERROR(IF(ISNUMBER(MATCH($X202,Settings!$AK$52:$AK$60,0)),INDEX(Settings!$AO$14:$AO$60,MATCH($X202,Settings!$AK$14:$AK$60,0))/2,INDEX(Settings!$AM$14:$AM$60,MATCH($X202,Settings!$AK$14:$AK$60,0))/2),"")</f>
        <v>0.255</v>
      </c>
      <c r="V202" s="162">
        <f t="shared" si="1337"/>
        <v>0.41499999999999992</v>
      </c>
      <c r="W202" s="75">
        <v>2.2200000000000002</v>
      </c>
      <c r="X202" s="937" t="str">
        <f t="shared" si="1332"/>
        <v>CPS-32193r1</v>
      </c>
      <c r="AK202" s="82" t="str">
        <f t="shared" si="1333"/>
        <v>Y</v>
      </c>
      <c r="AL202" s="419" t="s">
        <v>400</v>
      </c>
    </row>
    <row r="203" spans="2:38" x14ac:dyDescent="0.25">
      <c r="B203" s="650">
        <v>5.5702546265052382</v>
      </c>
      <c r="C203" s="651">
        <v>1.7566492712022814</v>
      </c>
      <c r="D203" s="652">
        <v>-0.35841384793183723</v>
      </c>
      <c r="E203" s="653">
        <v>0.31238207159296405</v>
      </c>
      <c r="F203" s="651">
        <v>9.8513582447257053E-2</v>
      </c>
      <c r="G203" s="654">
        <v>0.94483464977777776</v>
      </c>
      <c r="H203" s="653">
        <v>0.25700000000000001</v>
      </c>
      <c r="I203" s="942">
        <v>0.41499999999999992</v>
      </c>
      <c r="J203" s="946">
        <v>2.2229999999999999</v>
      </c>
      <c r="K203" s="931" t="str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>CPS-32193r1</v>
      </c>
      <c r="L203" s="683"/>
      <c r="M203" s="934"/>
      <c r="N203" s="31" t="str">
        <f t="shared" si="1330"/>
        <v>Y</v>
      </c>
      <c r="O203" s="162">
        <f t="shared" si="1334"/>
        <v>5.5702546265052382</v>
      </c>
      <c r="P203" s="162">
        <f t="shared" si="1335"/>
        <v>1.7566492712022814</v>
      </c>
      <c r="Q203" s="162">
        <f t="shared" si="1336"/>
        <v>-0.35841384793183723</v>
      </c>
      <c r="R203" s="162">
        <f t="shared" si="1331"/>
        <v>0.31238207159296405</v>
      </c>
      <c r="S203" s="162">
        <f t="shared" si="1327"/>
        <v>9.8513582447257053E-2</v>
      </c>
      <c r="T203" s="162">
        <f t="shared" si="1328"/>
        <v>0.94483464977777776</v>
      </c>
      <c r="U203" s="162">
        <f>IFERROR(IF(ISNUMBER(MATCH($X203,Settings!$AK$52:$AK$60,0)),INDEX(Settings!$AO$14:$AO$60,MATCH($X203,Settings!$AK$14:$AK$60,0))/2,INDEX(Settings!$AM$14:$AM$60,MATCH($X203,Settings!$AK$14:$AK$60,0))/2),"")</f>
        <v>0.255</v>
      </c>
      <c r="V203" s="162">
        <f t="shared" si="1337"/>
        <v>0.41499999999999992</v>
      </c>
      <c r="W203" s="75">
        <v>2.2229999999999999</v>
      </c>
      <c r="X203" s="937" t="str">
        <f t="shared" si="1332"/>
        <v>CPS-32193r1</v>
      </c>
      <c r="AK203" s="82" t="str">
        <f t="shared" si="1333"/>
        <v>Y</v>
      </c>
      <c r="AL203" s="419" t="s">
        <v>400</v>
      </c>
    </row>
    <row r="204" spans="2:38" x14ac:dyDescent="0.25">
      <c r="B204" s="650">
        <v>6.2140179855476472</v>
      </c>
      <c r="C204" s="651">
        <v>2.028368602661208</v>
      </c>
      <c r="D204" s="652">
        <v>-0.6863166316974223</v>
      </c>
      <c r="E204" s="653">
        <v>0.48833360297160955</v>
      </c>
      <c r="F204" s="651">
        <v>0.15940097859319968</v>
      </c>
      <c r="G204" s="654">
        <v>0.85797530281022472</v>
      </c>
      <c r="H204" s="653">
        <v>0.25700000000000001</v>
      </c>
      <c r="I204" s="942">
        <v>0.41499999999999992</v>
      </c>
      <c r="J204" s="946">
        <v>2.226</v>
      </c>
      <c r="K204" s="931" t="str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>CPS-32193r1</v>
      </c>
      <c r="L204" s="683"/>
      <c r="M204" s="934"/>
      <c r="N204" s="31" t="str">
        <f t="shared" si="1330"/>
        <v>Y</v>
      </c>
      <c r="O204" s="162">
        <f t="shared" si="1334"/>
        <v>6.2140179855476472</v>
      </c>
      <c r="P204" s="162">
        <f t="shared" si="1335"/>
        <v>2.028368602661208</v>
      </c>
      <c r="Q204" s="162">
        <f t="shared" si="1336"/>
        <v>-0.6863166316974223</v>
      </c>
      <c r="R204" s="162">
        <f t="shared" si="1331"/>
        <v>0.48833360297160955</v>
      </c>
      <c r="S204" s="162">
        <f t="shared" si="1327"/>
        <v>0.15940097859319968</v>
      </c>
      <c r="T204" s="162">
        <f t="shared" si="1328"/>
        <v>0.85797530281022472</v>
      </c>
      <c r="U204" s="162">
        <f>IFERROR(IF(ISNUMBER(MATCH($X204,Settings!$AK$52:$AK$60,0)),INDEX(Settings!$AO$14:$AO$60,MATCH($X204,Settings!$AK$14:$AK$60,0))/2,INDEX(Settings!$AM$14:$AM$60,MATCH($X204,Settings!$AK$14:$AK$60,0))/2),"")</f>
        <v>0.255</v>
      </c>
      <c r="V204" s="162">
        <f t="shared" si="1337"/>
        <v>0.41499999999999992</v>
      </c>
      <c r="W204" s="75">
        <v>2.226</v>
      </c>
      <c r="X204" s="937" t="str">
        <f t="shared" si="1332"/>
        <v>CPS-32193r1</v>
      </c>
      <c r="AK204" s="82" t="str">
        <f t="shared" si="1333"/>
        <v>Y</v>
      </c>
      <c r="AL204" s="419" t="s">
        <v>400</v>
      </c>
    </row>
    <row r="205" spans="2:38" x14ac:dyDescent="0.25">
      <c r="B205" s="650">
        <v>6.7869059606988866</v>
      </c>
      <c r="C205" s="651">
        <v>2.2481761657905008</v>
      </c>
      <c r="D205" s="652">
        <v>-1.1509539415542052</v>
      </c>
      <c r="E205" s="653">
        <v>0.6448545594066506</v>
      </c>
      <c r="F205" s="651">
        <v>0.21360936179968479</v>
      </c>
      <c r="G205" s="654">
        <v>0.73384851145450036</v>
      </c>
      <c r="H205" s="653">
        <v>0.25700000000000001</v>
      </c>
      <c r="I205" s="942">
        <v>0.41499999999999992</v>
      </c>
      <c r="J205" s="946">
        <v>2.2290000000000001</v>
      </c>
      <c r="K205" s="931" t="str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>CPS-32193r1</v>
      </c>
      <c r="L205" s="683"/>
      <c r="M205" s="934"/>
      <c r="N205" s="31" t="str">
        <f t="shared" si="1330"/>
        <v>Y</v>
      </c>
      <c r="O205" s="162">
        <f t="shared" si="1334"/>
        <v>6.7869059606988866</v>
      </c>
      <c r="P205" s="162">
        <f t="shared" si="1335"/>
        <v>2.2481761657905008</v>
      </c>
      <c r="Q205" s="162">
        <f t="shared" si="1336"/>
        <v>-1.1509539415542052</v>
      </c>
      <c r="R205" s="162">
        <f t="shared" si="1331"/>
        <v>0.6448545594066506</v>
      </c>
      <c r="S205" s="162">
        <f t="shared" si="1327"/>
        <v>0.21360936179968479</v>
      </c>
      <c r="T205" s="162">
        <f t="shared" si="1328"/>
        <v>0.73384851145450036</v>
      </c>
      <c r="U205" s="162">
        <f>IFERROR(IF(ISNUMBER(MATCH($X205,Settings!$AK$52:$AK$60,0)),INDEX(Settings!$AO$14:$AO$60,MATCH($X205,Settings!$AK$14:$AK$60,0))/2,INDEX(Settings!$AM$14:$AM$60,MATCH($X205,Settings!$AK$14:$AK$60,0))/2),"")</f>
        <v>0.255</v>
      </c>
      <c r="V205" s="162">
        <f t="shared" si="1337"/>
        <v>0.41499999999999992</v>
      </c>
      <c r="W205" s="75">
        <v>2.2290000000000001</v>
      </c>
      <c r="X205" s="937" t="str">
        <f t="shared" si="1332"/>
        <v>CPS-32193r1</v>
      </c>
      <c r="AK205" s="82" t="str">
        <f t="shared" si="1333"/>
        <v>Y</v>
      </c>
      <c r="AL205" s="419" t="s">
        <v>400</v>
      </c>
    </row>
    <row r="206" spans="2:38" x14ac:dyDescent="0.25">
      <c r="B206" s="650">
        <v>7.2625593609728609</v>
      </c>
      <c r="C206" s="651">
        <v>2.4154048940064601</v>
      </c>
      <c r="D206" s="652">
        <v>-1.7313423041641289</v>
      </c>
      <c r="E206" s="653">
        <v>0.772703697620722</v>
      </c>
      <c r="F206" s="651">
        <v>0.25698823239634966</v>
      </c>
      <c r="G206" s="654">
        <v>0.58041885228950263</v>
      </c>
      <c r="H206" s="653">
        <v>0.25700000000000001</v>
      </c>
      <c r="I206" s="942">
        <v>0.41499999999999992</v>
      </c>
      <c r="J206" s="946">
        <v>2.2320000000000002</v>
      </c>
      <c r="K206" s="931" t="str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>CPS-32193r1</v>
      </c>
      <c r="L206" s="683"/>
      <c r="M206" s="934"/>
      <c r="N206" s="31" t="str">
        <f t="shared" si="1330"/>
        <v>Y</v>
      </c>
      <c r="O206" s="162">
        <f t="shared" si="1334"/>
        <v>7.2625593609728609</v>
      </c>
      <c r="P206" s="162">
        <f t="shared" si="1335"/>
        <v>2.4154048940064601</v>
      </c>
      <c r="Q206" s="162">
        <f t="shared" si="1336"/>
        <v>-1.7313423041641289</v>
      </c>
      <c r="R206" s="162">
        <f t="shared" si="1331"/>
        <v>0.772703697620722</v>
      </c>
      <c r="S206" s="162">
        <f t="shared" si="1327"/>
        <v>0.25698823239634966</v>
      </c>
      <c r="T206" s="162">
        <f t="shared" si="1328"/>
        <v>0.58041885228950263</v>
      </c>
      <c r="U206" s="162">
        <f>IFERROR(IF(ISNUMBER(MATCH($X206,Settings!$AK$52:$AK$60,0)),INDEX(Settings!$AO$14:$AO$60,MATCH($X206,Settings!$AK$14:$AK$60,0))/2,INDEX(Settings!$AM$14:$AM$60,MATCH($X206,Settings!$AK$14:$AK$60,0))/2),"")</f>
        <v>0.255</v>
      </c>
      <c r="V206" s="162">
        <f t="shared" si="1337"/>
        <v>0.41499999999999992</v>
      </c>
      <c r="W206" s="75">
        <v>2.2320000000000002</v>
      </c>
      <c r="X206" s="937" t="str">
        <f t="shared" si="1332"/>
        <v>CPS-32193r1</v>
      </c>
      <c r="AK206" s="82" t="str">
        <f t="shared" si="1333"/>
        <v>Y</v>
      </c>
      <c r="AL206" s="419" t="s">
        <v>9</v>
      </c>
    </row>
    <row r="207" spans="2:38" x14ac:dyDescent="0.25">
      <c r="B207" s="650">
        <v>7.6184150546662579</v>
      </c>
      <c r="C207" s="651">
        <v>2.5309400371010744</v>
      </c>
      <c r="D207" s="652">
        <v>-2.4022156119449805</v>
      </c>
      <c r="E207" s="653">
        <v>0.868632034570478</v>
      </c>
      <c r="F207" s="651">
        <v>0.28857125504817999</v>
      </c>
      <c r="G207" s="654">
        <v>0.40274684266654442</v>
      </c>
      <c r="H207" s="653">
        <v>0.25700000000000001</v>
      </c>
      <c r="I207" s="942">
        <v>0.41499999999999992</v>
      </c>
      <c r="J207" s="946">
        <v>2.2349999999999999</v>
      </c>
      <c r="K207" s="931" t="str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>CPS-32193r1</v>
      </c>
      <c r="L207" s="683"/>
      <c r="M207" s="934"/>
      <c r="N207" s="31" t="str">
        <f t="shared" si="1330"/>
        <v>Y</v>
      </c>
      <c r="O207" s="162">
        <f t="shared" si="1334"/>
        <v>7.6184150546662579</v>
      </c>
      <c r="P207" s="162">
        <f t="shared" si="1335"/>
        <v>2.5309400371010744</v>
      </c>
      <c r="Q207" s="162">
        <f t="shared" si="1336"/>
        <v>-2.4022156119449805</v>
      </c>
      <c r="R207" s="162">
        <f t="shared" si="1331"/>
        <v>0.868632034570478</v>
      </c>
      <c r="S207" s="162">
        <f t="shared" si="1327"/>
        <v>0.28857125504817999</v>
      </c>
      <c r="T207" s="162">
        <f t="shared" si="1328"/>
        <v>0.40274684266654442</v>
      </c>
      <c r="U207" s="162">
        <f>IFERROR(IF(ISNUMBER(MATCH($X207,Settings!$AK$52:$AK$60,0)),INDEX(Settings!$AO$14:$AO$60,MATCH($X207,Settings!$AK$14:$AK$60,0))/2,INDEX(Settings!$AM$14:$AM$60,MATCH($X207,Settings!$AK$14:$AK$60,0))/2),"")</f>
        <v>0.255</v>
      </c>
      <c r="V207" s="162">
        <f t="shared" si="1337"/>
        <v>0.41499999999999992</v>
      </c>
      <c r="W207" s="75">
        <v>2.2349999999999999</v>
      </c>
      <c r="X207" s="937" t="str">
        <f t="shared" si="1332"/>
        <v>CPS-32193r1</v>
      </c>
      <c r="AK207" s="82" t="str">
        <f t="shared" si="1333"/>
        <v>Y</v>
      </c>
      <c r="AL207" s="419" t="s">
        <v>9</v>
      </c>
    </row>
    <row r="208" spans="2:38" x14ac:dyDescent="0.25">
      <c r="B208" s="650">
        <v>7.8404897635073967</v>
      </c>
      <c r="C208" s="651">
        <v>2.6000537319051551</v>
      </c>
      <c r="D208" s="652">
        <v>-3.1338529018179884</v>
      </c>
      <c r="E208" s="653">
        <v>0.92208708331515632</v>
      </c>
      <c r="F208" s="651">
        <v>0.30578140325797915</v>
      </c>
      <c r="G208" s="654">
        <v>0.23717745298600634</v>
      </c>
      <c r="H208" s="653">
        <v>0.25700000000000001</v>
      </c>
      <c r="I208" s="942">
        <v>0.41499999999999992</v>
      </c>
      <c r="J208" s="946">
        <v>2.238</v>
      </c>
      <c r="K208" s="931" t="str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>CPS-32193r1</v>
      </c>
      <c r="L208" s="683"/>
      <c r="M208" s="934"/>
      <c r="N208" s="31" t="str">
        <f t="shared" si="1330"/>
        <v>Y</v>
      </c>
      <c r="O208" s="162">
        <f t="shared" si="1334"/>
        <v>7.8404897635073967</v>
      </c>
      <c r="P208" s="162">
        <f t="shared" si="1335"/>
        <v>2.6000537319051551</v>
      </c>
      <c r="Q208" s="162">
        <f t="shared" si="1336"/>
        <v>-3.1338529018179884</v>
      </c>
      <c r="R208" s="162">
        <f t="shared" si="1331"/>
        <v>0.92208708331515632</v>
      </c>
      <c r="S208" s="162">
        <f t="shared" si="1327"/>
        <v>0.30578140325797915</v>
      </c>
      <c r="T208" s="162">
        <f t="shared" si="1328"/>
        <v>0.23717745298600634</v>
      </c>
      <c r="U208" s="162">
        <f>IFERROR(IF(ISNUMBER(MATCH($X208,Settings!$AK$52:$AK$60,0)),INDEX(Settings!$AO$14:$AO$60,MATCH($X208,Settings!$AK$14:$AK$60,0))/2,INDEX(Settings!$AM$14:$AM$60,MATCH($X208,Settings!$AK$14:$AK$60,0))/2),"")</f>
        <v>0.255</v>
      </c>
      <c r="V208" s="162">
        <f t="shared" si="1337"/>
        <v>0.41499999999999992</v>
      </c>
      <c r="W208" s="75">
        <v>2.238</v>
      </c>
      <c r="X208" s="937" t="str">
        <f t="shared" si="1332"/>
        <v>CPS-32193r1</v>
      </c>
      <c r="AK208" s="82" t="str">
        <f t="shared" si="1333"/>
        <v>Y</v>
      </c>
      <c r="AL208" s="419" t="s">
        <v>9</v>
      </c>
    </row>
    <row r="209" spans="2:38" x14ac:dyDescent="0.25">
      <c r="B209" s="650">
        <v>7.9723653883673569</v>
      </c>
      <c r="C209" s="651">
        <v>2.639012587654781</v>
      </c>
      <c r="D209" s="652">
        <v>-3.8885792865877438</v>
      </c>
      <c r="E209" s="653">
        <v>0.9398223554759122</v>
      </c>
      <c r="F209" s="651">
        <v>0.31110001930910142</v>
      </c>
      <c r="G209" s="654">
        <v>0.14124701106071164</v>
      </c>
      <c r="H209" s="653">
        <v>0.25700000000000001</v>
      </c>
      <c r="I209" s="942">
        <v>0.41499999999999992</v>
      </c>
      <c r="J209" s="946">
        <v>2.2410000000000001</v>
      </c>
      <c r="K209" s="931" t="str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>CPS-32193r1</v>
      </c>
      <c r="L209" s="683"/>
      <c r="M209" s="934"/>
      <c r="N209" s="31" t="str">
        <f t="shared" si="1330"/>
        <v>Y</v>
      </c>
      <c r="O209" s="162">
        <f t="shared" si="1334"/>
        <v>7.9723653883673569</v>
      </c>
      <c r="P209" s="162">
        <f t="shared" si="1335"/>
        <v>2.639012587654781</v>
      </c>
      <c r="Q209" s="162">
        <f t="shared" si="1336"/>
        <v>-3.8885792865877438</v>
      </c>
      <c r="R209" s="162">
        <f t="shared" si="1331"/>
        <v>0.9398223554759122</v>
      </c>
      <c r="S209" s="162">
        <f t="shared" si="1327"/>
        <v>0.31110001930910142</v>
      </c>
      <c r="T209" s="162">
        <f t="shared" si="1328"/>
        <v>0.14124701106071164</v>
      </c>
      <c r="U209" s="162">
        <f>IFERROR(IF(ISNUMBER(MATCH($X209,Settings!$AK$52:$AK$60,0)),INDEX(Settings!$AO$14:$AO$60,MATCH($X209,Settings!$AK$14:$AK$60,0))/2,INDEX(Settings!$AM$14:$AM$60,MATCH($X209,Settings!$AK$14:$AK$60,0))/2),"")</f>
        <v>0.255</v>
      </c>
      <c r="V209" s="162">
        <f t="shared" si="1337"/>
        <v>0.41499999999999992</v>
      </c>
      <c r="W209" s="75">
        <v>2.2410000000000001</v>
      </c>
      <c r="X209" s="937" t="str">
        <f t="shared" si="1332"/>
        <v>CPS-32193r1</v>
      </c>
      <c r="AK209" s="82" t="str">
        <f t="shared" si="1333"/>
        <v>Y</v>
      </c>
      <c r="AL209" s="419" t="s">
        <v>9</v>
      </c>
    </row>
    <row r="210" spans="2:38" x14ac:dyDescent="0.25">
      <c r="B210" s="650">
        <v>0.76266008341096847</v>
      </c>
      <c r="C210" s="651">
        <v>-0.35563481070377551</v>
      </c>
      <c r="D210" s="652">
        <v>-1.0333031164421991</v>
      </c>
      <c r="E210" s="653">
        <v>0.38404787819956893</v>
      </c>
      <c r="F210" s="651">
        <v>0.8732257866138784</v>
      </c>
      <c r="G210" s="654">
        <v>0.29997325354601612</v>
      </c>
      <c r="H210" s="653">
        <v>0.314</v>
      </c>
      <c r="I210" s="942">
        <v>0.52</v>
      </c>
      <c r="J210" s="946">
        <v>3.1030000000000002</v>
      </c>
      <c r="K210" s="931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>1613</v>
      </c>
      <c r="L210" s="683"/>
      <c r="M210" s="934"/>
      <c r="N210" s="31" t="str">
        <f t="shared" si="1330"/>
        <v>Y</v>
      </c>
      <c r="O210" s="162">
        <f t="shared" si="1334"/>
        <v>0.76266008341096847</v>
      </c>
      <c r="P210" s="162">
        <f t="shared" si="1335"/>
        <v>-0.35563481070377551</v>
      </c>
      <c r="Q210" s="162">
        <f t="shared" si="1336"/>
        <v>-1.0333031164421991</v>
      </c>
      <c r="R210" s="162">
        <f t="shared" si="1331"/>
        <v>0.38404787819956893</v>
      </c>
      <c r="S210" s="162">
        <f t="shared" si="1327"/>
        <v>0.8732257866138784</v>
      </c>
      <c r="T210" s="162">
        <f t="shared" si="1328"/>
        <v>0.29997325354601612</v>
      </c>
      <c r="U210" s="162">
        <f>IFERROR(IF(ISNUMBER(MATCH($X210,Settings!$AK$52:$AK$60,0)),INDEX(Settings!$AO$14:$AO$60,MATCH($X210,Settings!$AK$14:$AK$60,0))/2,INDEX(Settings!$AM$14:$AM$60,MATCH($X210,Settings!$AK$14:$AK$60,0))/2),"")</f>
        <v>0.3125</v>
      </c>
      <c r="V210" s="162">
        <f t="shared" si="1337"/>
        <v>0.52</v>
      </c>
      <c r="W210" s="75">
        <v>3.1030000000000002</v>
      </c>
      <c r="X210" s="937">
        <f t="shared" si="1332"/>
        <v>1613</v>
      </c>
      <c r="AK210" s="82" t="str">
        <f t="shared" si="1333"/>
        <v>Y</v>
      </c>
      <c r="AL210" s="419" t="s">
        <v>9</v>
      </c>
    </row>
    <row r="211" spans="2:38" x14ac:dyDescent="0.25">
      <c r="B211" s="650">
        <v>1.4366830234379888</v>
      </c>
      <c r="C211" s="651">
        <v>-0.66993737602807468</v>
      </c>
      <c r="D211" s="652">
        <v>-0.83850252892362731</v>
      </c>
      <c r="E211" s="653">
        <v>0.39594201493107606</v>
      </c>
      <c r="F211" s="651">
        <v>0.88115045435693129</v>
      </c>
      <c r="G211" s="654">
        <v>0.25846430623761779</v>
      </c>
      <c r="H211" s="653">
        <v>0.314</v>
      </c>
      <c r="I211" s="942">
        <v>0.52</v>
      </c>
      <c r="J211" s="946">
        <v>3.1059999999999999</v>
      </c>
      <c r="K211" s="931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>1613</v>
      </c>
      <c r="L211" s="683"/>
      <c r="M211" s="934"/>
      <c r="N211" s="31" t="str">
        <f t="shared" si="1330"/>
        <v>Y</v>
      </c>
      <c r="O211" s="162">
        <f t="shared" si="1334"/>
        <v>1.4366830234379888</v>
      </c>
      <c r="P211" s="162">
        <f t="shared" si="1335"/>
        <v>-0.66993737602807468</v>
      </c>
      <c r="Q211" s="162">
        <f t="shared" si="1336"/>
        <v>-0.83850252892362731</v>
      </c>
      <c r="R211" s="162">
        <f t="shared" si="1331"/>
        <v>0.39594201493107606</v>
      </c>
      <c r="S211" s="162">
        <f t="shared" si="1327"/>
        <v>0.88115045435693129</v>
      </c>
      <c r="T211" s="162">
        <f t="shared" si="1328"/>
        <v>0.25846430623761779</v>
      </c>
      <c r="U211" s="162">
        <f>IFERROR(IF(ISNUMBER(MATCH($X211,Settings!$AK$52:$AK$60,0)),INDEX(Settings!$AO$14:$AO$60,MATCH($X211,Settings!$AK$14:$AK$60,0))/2,INDEX(Settings!$AM$14:$AM$60,MATCH($X211,Settings!$AK$14:$AK$60,0))/2),"")</f>
        <v>0.3125</v>
      </c>
      <c r="V211" s="162">
        <f t="shared" si="1337"/>
        <v>0.52</v>
      </c>
      <c r="W211" s="75">
        <v>3.1059999999999999</v>
      </c>
      <c r="X211" s="937">
        <f t="shared" si="1332"/>
        <v>1613</v>
      </c>
      <c r="AK211" s="82" t="str">
        <f t="shared" si="1333"/>
        <v>Y</v>
      </c>
      <c r="AL211" s="419" t="s">
        <v>9</v>
      </c>
    </row>
    <row r="212" spans="2:38" x14ac:dyDescent="0.25">
      <c r="B212" s="650">
        <v>2.1096183911535498</v>
      </c>
      <c r="C212" s="651">
        <v>-0.98373279723728857</v>
      </c>
      <c r="D212" s="652">
        <v>-0.6395019287378173</v>
      </c>
      <c r="E212" s="653">
        <v>0.39594201493107617</v>
      </c>
      <c r="F212" s="651">
        <v>0.88115045435693129</v>
      </c>
      <c r="G212" s="654">
        <v>0.25846430623761785</v>
      </c>
      <c r="H212" s="653">
        <v>0.314</v>
      </c>
      <c r="I212" s="942">
        <v>0.52</v>
      </c>
      <c r="J212" s="946">
        <v>3.109</v>
      </c>
      <c r="K212" s="931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>1613</v>
      </c>
      <c r="L212" s="683"/>
      <c r="M212" s="934"/>
      <c r="N212" s="31" t="str">
        <f t="shared" si="1330"/>
        <v>Y</v>
      </c>
      <c r="O212" s="162">
        <f t="shared" si="1334"/>
        <v>2.1096183911535498</v>
      </c>
      <c r="P212" s="162">
        <f t="shared" si="1335"/>
        <v>-0.98373279723728857</v>
      </c>
      <c r="Q212" s="162">
        <f t="shared" si="1336"/>
        <v>-0.6395019287378173</v>
      </c>
      <c r="R212" s="162">
        <f t="shared" si="1331"/>
        <v>0.39594201493107617</v>
      </c>
      <c r="S212" s="162">
        <f t="shared" si="1327"/>
        <v>0.88115045435693129</v>
      </c>
      <c r="T212" s="162">
        <f t="shared" si="1328"/>
        <v>0.25846430623761785</v>
      </c>
      <c r="U212" s="162">
        <f>IFERROR(IF(ISNUMBER(MATCH($X212,Settings!$AK$52:$AK$60,0)),INDEX(Settings!$AO$14:$AO$60,MATCH($X212,Settings!$AK$14:$AK$60,0))/2,INDEX(Settings!$AM$14:$AM$60,MATCH($X212,Settings!$AK$14:$AK$60,0))/2),"")</f>
        <v>0.3125</v>
      </c>
      <c r="V212" s="162">
        <f t="shared" si="1337"/>
        <v>0.52</v>
      </c>
      <c r="W212" s="75">
        <v>3.109</v>
      </c>
      <c r="X212" s="937">
        <f t="shared" si="1332"/>
        <v>1613</v>
      </c>
      <c r="AK212" s="82" t="str">
        <f t="shared" si="1333"/>
        <v>Y</v>
      </c>
      <c r="AL212" s="419" t="s">
        <v>9</v>
      </c>
    </row>
    <row r="213" spans="2:38" x14ac:dyDescent="0.25">
      <c r="B213" s="650">
        <v>2.782644389895065</v>
      </c>
      <c r="C213" s="651">
        <v>-1.2975704804560928</v>
      </c>
      <c r="D213" s="652">
        <v>-0.44060132885360775</v>
      </c>
      <c r="E213" s="653">
        <v>0.39594201493107611</v>
      </c>
      <c r="F213" s="651">
        <v>0.88115045435693129</v>
      </c>
      <c r="G213" s="654">
        <v>0.25846430623761785</v>
      </c>
      <c r="H213" s="653">
        <v>0.314</v>
      </c>
      <c r="I213" s="942">
        <v>0.52</v>
      </c>
      <c r="J213" s="946">
        <v>3.1120000000000001</v>
      </c>
      <c r="K213" s="931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>1613</v>
      </c>
      <c r="L213" s="683"/>
      <c r="M213" s="934"/>
      <c r="N213" s="31" t="str">
        <f t="shared" si="1330"/>
        <v>Y</v>
      </c>
      <c r="O213" s="162">
        <f t="shared" si="1334"/>
        <v>2.782644389895065</v>
      </c>
      <c r="P213" s="162">
        <f t="shared" si="1335"/>
        <v>-1.2975704804560928</v>
      </c>
      <c r="Q213" s="162">
        <f t="shared" si="1336"/>
        <v>-0.44060132885360775</v>
      </c>
      <c r="R213" s="162">
        <f t="shared" si="1331"/>
        <v>0.39594201493107611</v>
      </c>
      <c r="S213" s="162">
        <f t="shared" si="1327"/>
        <v>0.88115045435693129</v>
      </c>
      <c r="T213" s="162">
        <f t="shared" si="1328"/>
        <v>0.25846430623761785</v>
      </c>
      <c r="U213" s="162">
        <f>IFERROR(IF(ISNUMBER(MATCH($X213,Settings!$AK$52:$AK$60,0)),INDEX(Settings!$AO$14:$AO$60,MATCH($X213,Settings!$AK$14:$AK$60,0))/2,INDEX(Settings!$AM$14:$AM$60,MATCH($X213,Settings!$AK$14:$AK$60,0))/2),"")</f>
        <v>0.3125</v>
      </c>
      <c r="V213" s="162">
        <f t="shared" si="1337"/>
        <v>0.52</v>
      </c>
      <c r="W213" s="75">
        <v>3.1120000000000001</v>
      </c>
      <c r="X213" s="937">
        <f t="shared" si="1332"/>
        <v>1613</v>
      </c>
      <c r="AK213" s="82" t="str">
        <f t="shared" si="1333"/>
        <v>Y</v>
      </c>
      <c r="AL213" s="419" t="s">
        <v>400</v>
      </c>
    </row>
    <row r="214" spans="2:38" x14ac:dyDescent="0.25">
      <c r="B214" s="650">
        <v>3.4562125678158604</v>
      </c>
      <c r="C214" s="651">
        <v>-1.6121383649465659</v>
      </c>
      <c r="D214" s="652">
        <v>-0.24510073922382949</v>
      </c>
      <c r="E214" s="653">
        <v>0.40845420938149801</v>
      </c>
      <c r="F214" s="651">
        <v>0.87531588715336839</v>
      </c>
      <c r="G214" s="654">
        <v>0.25881896479092731</v>
      </c>
      <c r="H214" s="653">
        <v>0.314</v>
      </c>
      <c r="I214" s="942">
        <v>0.52</v>
      </c>
      <c r="J214" s="946">
        <v>3.1150000000000002</v>
      </c>
      <c r="K214" s="931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>1613</v>
      </c>
      <c r="L214" s="683"/>
      <c r="M214" s="934"/>
      <c r="N214" s="31" t="str">
        <f t="shared" si="1330"/>
        <v>Y</v>
      </c>
      <c r="O214" s="162">
        <f t="shared" si="1334"/>
        <v>3.4562125678158604</v>
      </c>
      <c r="P214" s="162">
        <f t="shared" si="1335"/>
        <v>-1.6121383649465659</v>
      </c>
      <c r="Q214" s="162">
        <f t="shared" si="1336"/>
        <v>-0.24510073922382949</v>
      </c>
      <c r="R214" s="162">
        <f t="shared" si="1331"/>
        <v>0.40845420938149801</v>
      </c>
      <c r="S214" s="162">
        <f t="shared" si="1327"/>
        <v>0.87531588715336839</v>
      </c>
      <c r="T214" s="162">
        <f t="shared" si="1328"/>
        <v>0.25881896479092731</v>
      </c>
      <c r="U214" s="162">
        <f>IFERROR(IF(ISNUMBER(MATCH($X214,Settings!$AK$52:$AK$60,0)),INDEX(Settings!$AO$14:$AO$60,MATCH($X214,Settings!$AK$14:$AK$60,0))/2,INDEX(Settings!$AM$14:$AM$60,MATCH($X214,Settings!$AK$14:$AK$60,0))/2),"")</f>
        <v>0.3125</v>
      </c>
      <c r="V214" s="162">
        <f t="shared" si="1337"/>
        <v>0.52</v>
      </c>
      <c r="W214" s="75">
        <v>3.1150000000000002</v>
      </c>
      <c r="X214" s="937">
        <f t="shared" si="1332"/>
        <v>1613</v>
      </c>
      <c r="AK214" s="82" t="str">
        <f t="shared" si="1333"/>
        <v>Y</v>
      </c>
      <c r="AL214" s="419" t="s">
        <v>400</v>
      </c>
    </row>
    <row r="215" spans="2:38" x14ac:dyDescent="0.25">
      <c r="B215" s="650">
        <v>4.1389789158405632</v>
      </c>
      <c r="C215" s="651">
        <v>-1.9520723077203894</v>
      </c>
      <c r="D215" s="652">
        <v>-0.15660047230702451</v>
      </c>
      <c r="E215" s="653">
        <v>0.44928795309712621</v>
      </c>
      <c r="F215" s="651">
        <v>0.85506095766929724</v>
      </c>
      <c r="G215" s="654">
        <v>0.25886501090618402</v>
      </c>
      <c r="H215" s="653">
        <v>0.314</v>
      </c>
      <c r="I215" s="942">
        <v>0.52</v>
      </c>
      <c r="J215" s="946">
        <v>3.1179999999999999</v>
      </c>
      <c r="K215" s="931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>1613</v>
      </c>
      <c r="L215" s="683"/>
      <c r="M215" s="934"/>
      <c r="N215" s="31" t="str">
        <f t="shared" si="1330"/>
        <v>Y</v>
      </c>
      <c r="O215" s="162">
        <f t="shared" si="1334"/>
        <v>4.1389789158405632</v>
      </c>
      <c r="P215" s="162">
        <f t="shared" si="1335"/>
        <v>-1.9520723077203894</v>
      </c>
      <c r="Q215" s="162">
        <f t="shared" si="1336"/>
        <v>-0.15660047230702451</v>
      </c>
      <c r="R215" s="162">
        <f t="shared" si="1331"/>
        <v>0.44928795309712621</v>
      </c>
      <c r="S215" s="162">
        <f t="shared" si="1327"/>
        <v>0.85506095766929724</v>
      </c>
      <c r="T215" s="162">
        <f t="shared" si="1328"/>
        <v>0.25886501090618402</v>
      </c>
      <c r="U215" s="162">
        <f>IFERROR(IF(ISNUMBER(MATCH($X215,Settings!$AK$52:$AK$60,0)),INDEX(Settings!$AO$14:$AO$60,MATCH($X215,Settings!$AK$14:$AK$60,0))/2,INDEX(Settings!$AM$14:$AM$60,MATCH($X215,Settings!$AK$14:$AK$60,0))/2),"")</f>
        <v>0.3125</v>
      </c>
      <c r="V215" s="162">
        <f t="shared" si="1337"/>
        <v>0.52</v>
      </c>
      <c r="W215" s="75">
        <v>3.1179999999999999</v>
      </c>
      <c r="X215" s="937">
        <f t="shared" si="1332"/>
        <v>1613</v>
      </c>
      <c r="AK215" s="82" t="str">
        <f t="shared" si="1333"/>
        <v>Y</v>
      </c>
      <c r="AL215" s="419" t="s">
        <v>400</v>
      </c>
    </row>
    <row r="216" spans="2:38" x14ac:dyDescent="0.25">
      <c r="B216" s="650">
        <v>4.8110016237254918</v>
      </c>
      <c r="C216" s="651">
        <v>-2.3184856405853735</v>
      </c>
      <c r="D216" s="652">
        <v>-0.2261006819196566</v>
      </c>
      <c r="E216" s="653">
        <v>0.49474147363034982</v>
      </c>
      <c r="F216" s="651">
        <v>0.82917120438009195</v>
      </c>
      <c r="G216" s="654">
        <v>0.26020374343375208</v>
      </c>
      <c r="H216" s="653">
        <v>0.314</v>
      </c>
      <c r="I216" s="942">
        <v>0.52</v>
      </c>
      <c r="J216" s="946">
        <v>3.121</v>
      </c>
      <c r="K216" s="931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>1613</v>
      </c>
      <c r="L216" s="683"/>
      <c r="M216" s="934"/>
      <c r="N216" s="31" t="str">
        <f t="shared" si="1330"/>
        <v>Y</v>
      </c>
      <c r="O216" s="162">
        <f t="shared" si="1334"/>
        <v>4.8110016237254918</v>
      </c>
      <c r="P216" s="162">
        <f t="shared" si="1335"/>
        <v>-2.3184856405853735</v>
      </c>
      <c r="Q216" s="162">
        <f t="shared" si="1336"/>
        <v>-0.2261006819196566</v>
      </c>
      <c r="R216" s="162">
        <f t="shared" si="1331"/>
        <v>0.49474147363034982</v>
      </c>
      <c r="S216" s="162">
        <f t="shared" si="1327"/>
        <v>0.82917120438009195</v>
      </c>
      <c r="T216" s="162">
        <f t="shared" si="1328"/>
        <v>0.26020374343375208</v>
      </c>
      <c r="U216" s="162">
        <f>IFERROR(IF(ISNUMBER(MATCH($X216,Settings!$AK$52:$AK$60,0)),INDEX(Settings!$AO$14:$AO$60,MATCH($X216,Settings!$AK$14:$AK$60,0))/2,INDEX(Settings!$AM$14:$AM$60,MATCH($X216,Settings!$AK$14:$AK$60,0))/2),"")</f>
        <v>0.3125</v>
      </c>
      <c r="V216" s="162">
        <f t="shared" si="1337"/>
        <v>0.52</v>
      </c>
      <c r="W216" s="75">
        <v>3.121</v>
      </c>
      <c r="X216" s="937">
        <f t="shared" si="1332"/>
        <v>1613</v>
      </c>
      <c r="AK216" s="82" t="str">
        <f t="shared" si="1333"/>
        <v>Y</v>
      </c>
      <c r="AL216" s="419" t="s">
        <v>400</v>
      </c>
    </row>
    <row r="217" spans="2:38" x14ac:dyDescent="0.25">
      <c r="B217" s="650">
        <v>5.4431019583744487</v>
      </c>
      <c r="C217" s="651">
        <v>-2.6960655162384159</v>
      </c>
      <c r="D217" s="652">
        <v>-0.45170136233130925</v>
      </c>
      <c r="E217" s="653">
        <v>0.5447584464511811</v>
      </c>
      <c r="F217" s="651">
        <v>0.79735774107045154</v>
      </c>
      <c r="G217" s="654">
        <v>0.25972845006876427</v>
      </c>
      <c r="H217" s="653">
        <v>0.314</v>
      </c>
      <c r="I217" s="942">
        <v>0.52</v>
      </c>
      <c r="J217" s="946">
        <v>3.1240000000000001</v>
      </c>
      <c r="K217" s="931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>1613</v>
      </c>
      <c r="L217" s="683"/>
      <c r="M217" s="934"/>
      <c r="N217" s="31" t="str">
        <f t="shared" si="1330"/>
        <v>Y</v>
      </c>
      <c r="O217" s="162">
        <f t="shared" si="1334"/>
        <v>5.4431019583744487</v>
      </c>
      <c r="P217" s="162">
        <f t="shared" si="1335"/>
        <v>-2.6960655162384159</v>
      </c>
      <c r="Q217" s="162">
        <f t="shared" si="1336"/>
        <v>-0.45170136233130925</v>
      </c>
      <c r="R217" s="162">
        <f t="shared" si="1331"/>
        <v>0.5447584464511811</v>
      </c>
      <c r="S217" s="162">
        <f t="shared" si="1327"/>
        <v>0.79735774107045154</v>
      </c>
      <c r="T217" s="162">
        <f t="shared" si="1328"/>
        <v>0.25972845006876427</v>
      </c>
      <c r="U217" s="162">
        <f>IFERROR(IF(ISNUMBER(MATCH($X217,Settings!$AK$52:$AK$60,0)),INDEX(Settings!$AO$14:$AO$60,MATCH($X217,Settings!$AK$14:$AK$60,0))/2,INDEX(Settings!$AM$14:$AM$60,MATCH($X217,Settings!$AK$14:$AK$60,0))/2),"")</f>
        <v>0.3125</v>
      </c>
      <c r="V217" s="162">
        <f t="shared" si="1337"/>
        <v>0.52</v>
      </c>
      <c r="W217" s="75">
        <v>3.1240000000000001</v>
      </c>
      <c r="X217" s="937">
        <f t="shared" si="1332"/>
        <v>1613</v>
      </c>
      <c r="AK217" s="82" t="str">
        <f t="shared" si="1333"/>
        <v>Y</v>
      </c>
      <c r="AL217" s="419" t="s">
        <v>400</v>
      </c>
    </row>
    <row r="218" spans="2:38" x14ac:dyDescent="0.25">
      <c r="B218" s="650">
        <v>6.0110133773913139</v>
      </c>
      <c r="C218" s="651">
        <v>-3.0614475581035836</v>
      </c>
      <c r="D218" s="652">
        <v>-0.82330248308029019</v>
      </c>
      <c r="E218" s="653">
        <v>0.59892552154938072</v>
      </c>
      <c r="F218" s="651">
        <v>0.75857453393845387</v>
      </c>
      <c r="G218" s="654">
        <v>0.2566181912820289</v>
      </c>
      <c r="H218" s="653">
        <v>0.314</v>
      </c>
      <c r="I218" s="942">
        <v>0.52</v>
      </c>
      <c r="J218" s="946">
        <v>3.1269999999999998</v>
      </c>
      <c r="K218" s="931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>1613</v>
      </c>
      <c r="L218" s="683"/>
      <c r="M218" s="934"/>
      <c r="N218" s="31" t="str">
        <f t="shared" si="1330"/>
        <v>Y</v>
      </c>
      <c r="O218" s="162">
        <f t="shared" si="1334"/>
        <v>6.0110133773913139</v>
      </c>
      <c r="P218" s="162">
        <f t="shared" si="1335"/>
        <v>-3.0614475581035836</v>
      </c>
      <c r="Q218" s="162">
        <f t="shared" si="1336"/>
        <v>-0.82330248308029019</v>
      </c>
      <c r="R218" s="162">
        <f t="shared" si="1331"/>
        <v>0.59892552154938072</v>
      </c>
      <c r="S218" s="162">
        <f t="shared" si="1327"/>
        <v>0.75857453393845387</v>
      </c>
      <c r="T218" s="162">
        <f t="shared" si="1328"/>
        <v>0.2566181912820289</v>
      </c>
      <c r="U218" s="162">
        <f>IFERROR(IF(ISNUMBER(MATCH($X218,Settings!$AK$52:$AK$60,0)),INDEX(Settings!$AO$14:$AO$60,MATCH($X218,Settings!$AK$14:$AK$60,0))/2,INDEX(Settings!$AM$14:$AM$60,MATCH($X218,Settings!$AK$14:$AK$60,0))/2),"")</f>
        <v>0.3125</v>
      </c>
      <c r="V218" s="162">
        <f t="shared" si="1337"/>
        <v>0.52</v>
      </c>
      <c r="W218" s="75">
        <v>3.1269999999999998</v>
      </c>
      <c r="X218" s="937">
        <f t="shared" si="1332"/>
        <v>1613</v>
      </c>
      <c r="AK218" s="82" t="str">
        <f t="shared" si="1333"/>
        <v>Y</v>
      </c>
      <c r="AL218" s="419" t="s">
        <v>400</v>
      </c>
    </row>
    <row r="219" spans="2:38" x14ac:dyDescent="0.25">
      <c r="B219" s="650">
        <v>6.49305389389753</v>
      </c>
      <c r="C219" s="651">
        <v>-3.3944915940712583</v>
      </c>
      <c r="D219" s="652">
        <v>-1.3247039953072499</v>
      </c>
      <c r="E219" s="653">
        <v>0.6561940308807912</v>
      </c>
      <c r="F219" s="651">
        <v>0.71320780310764786</v>
      </c>
      <c r="G219" s="654">
        <v>0.24646302648223309</v>
      </c>
      <c r="H219" s="653">
        <v>0.314</v>
      </c>
      <c r="I219" s="942">
        <v>0.52</v>
      </c>
      <c r="J219" s="946">
        <v>3.13</v>
      </c>
      <c r="K219" s="931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>1613</v>
      </c>
      <c r="L219" s="683"/>
      <c r="M219" s="934"/>
      <c r="N219" s="31" t="str">
        <f t="shared" si="1330"/>
        <v>Y</v>
      </c>
      <c r="O219" s="162">
        <f t="shared" si="1334"/>
        <v>6.49305389389753</v>
      </c>
      <c r="P219" s="162">
        <f t="shared" si="1335"/>
        <v>-3.3944915940712583</v>
      </c>
      <c r="Q219" s="162">
        <f t="shared" si="1336"/>
        <v>-1.3247039953072499</v>
      </c>
      <c r="R219" s="162">
        <f t="shared" si="1331"/>
        <v>0.6561940308807912</v>
      </c>
      <c r="S219" s="162">
        <f t="shared" si="1327"/>
        <v>0.71320780310764786</v>
      </c>
      <c r="T219" s="162">
        <f t="shared" si="1328"/>
        <v>0.24646302648223309</v>
      </c>
      <c r="U219" s="162">
        <f>IFERROR(IF(ISNUMBER(MATCH($X219,Settings!$AK$52:$AK$60,0)),INDEX(Settings!$AO$14:$AO$60,MATCH($X219,Settings!$AK$14:$AK$60,0))/2,INDEX(Settings!$AM$14:$AM$60,MATCH($X219,Settings!$AK$14:$AK$60,0))/2),"")</f>
        <v>0.3125</v>
      </c>
      <c r="V219" s="162">
        <f t="shared" si="1337"/>
        <v>0.52</v>
      </c>
      <c r="W219" s="75">
        <v>3.13</v>
      </c>
      <c r="X219" s="937">
        <f t="shared" si="1332"/>
        <v>1613</v>
      </c>
      <c r="AK219" s="82" t="str">
        <f t="shared" si="1333"/>
        <v>Y</v>
      </c>
      <c r="AL219" s="419" t="s">
        <v>400</v>
      </c>
    </row>
    <row r="220" spans="2:38" x14ac:dyDescent="0.25">
      <c r="B220" s="650">
        <v>6.8734160485938087</v>
      </c>
      <c r="C220" s="651">
        <v>-3.6731516537268951</v>
      </c>
      <c r="D220" s="652">
        <v>-1.9342058335647938</v>
      </c>
      <c r="E220" s="653">
        <v>0.71319744674636221</v>
      </c>
      <c r="F220" s="651">
        <v>0.66410872376288776</v>
      </c>
      <c r="G220" s="654">
        <v>0.22429668962447616</v>
      </c>
      <c r="H220" s="653">
        <v>0.314</v>
      </c>
      <c r="I220" s="942">
        <v>0.52</v>
      </c>
      <c r="J220" s="946">
        <v>3.133</v>
      </c>
      <c r="K220" s="931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>1613</v>
      </c>
      <c r="L220" s="683"/>
      <c r="M220" s="934"/>
      <c r="N220" s="31" t="str">
        <f t="shared" si="1330"/>
        <v>Y</v>
      </c>
      <c r="O220" s="162">
        <f t="shared" si="1334"/>
        <v>6.8734160485938087</v>
      </c>
      <c r="P220" s="162">
        <f t="shared" si="1335"/>
        <v>-3.6731516537268951</v>
      </c>
      <c r="Q220" s="162">
        <f t="shared" si="1336"/>
        <v>-1.9342058335647938</v>
      </c>
      <c r="R220" s="162">
        <f t="shared" si="1331"/>
        <v>0.71319744674636221</v>
      </c>
      <c r="S220" s="162">
        <f t="shared" si="1327"/>
        <v>0.66410872376288776</v>
      </c>
      <c r="T220" s="162">
        <f t="shared" si="1328"/>
        <v>0.22429668962447616</v>
      </c>
      <c r="U220" s="162">
        <f>IFERROR(IF(ISNUMBER(MATCH($X220,Settings!$AK$52:$AK$60,0)),INDEX(Settings!$AO$14:$AO$60,MATCH($X220,Settings!$AK$14:$AK$60,0))/2,INDEX(Settings!$AM$14:$AM$60,MATCH($X220,Settings!$AK$14:$AK$60,0))/2),"")</f>
        <v>0.3125</v>
      </c>
      <c r="V220" s="162">
        <f t="shared" si="1337"/>
        <v>0.52</v>
      </c>
      <c r="W220" s="75">
        <v>3.133</v>
      </c>
      <c r="X220" s="937">
        <f t="shared" si="1332"/>
        <v>1613</v>
      </c>
      <c r="AK220" s="82" t="str">
        <f t="shared" si="1333"/>
        <v>Y</v>
      </c>
      <c r="AL220" s="419" t="s">
        <v>400</v>
      </c>
    </row>
    <row r="221" spans="2:38" x14ac:dyDescent="0.25">
      <c r="B221" s="650">
        <v>7.1421394430225646</v>
      </c>
      <c r="C221" s="651">
        <v>-3.8762570789494952</v>
      </c>
      <c r="D221" s="652">
        <v>-2.6259079197382862</v>
      </c>
      <c r="E221" s="653">
        <v>0.76718506541189813</v>
      </c>
      <c r="F221" s="651">
        <v>0.61312460837015037</v>
      </c>
      <c r="G221" s="654">
        <v>0.18842847454642153</v>
      </c>
      <c r="H221" s="653">
        <v>0.314</v>
      </c>
      <c r="I221" s="942">
        <v>0.52</v>
      </c>
      <c r="J221" s="946">
        <v>3.1360000000000001</v>
      </c>
      <c r="K221" s="931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>1613</v>
      </c>
      <c r="L221" s="683"/>
      <c r="M221" s="934"/>
      <c r="N221" s="31" t="str">
        <f t="shared" si="1330"/>
        <v>Y</v>
      </c>
      <c r="O221" s="162">
        <f t="shared" si="1334"/>
        <v>7.1421394430225646</v>
      </c>
      <c r="P221" s="162">
        <f t="shared" si="1335"/>
        <v>-3.8762570789494952</v>
      </c>
      <c r="Q221" s="162">
        <f t="shared" si="1336"/>
        <v>-2.6259079197382862</v>
      </c>
      <c r="R221" s="162">
        <f t="shared" si="1331"/>
        <v>0.76718506541189813</v>
      </c>
      <c r="S221" s="162">
        <f t="shared" si="1327"/>
        <v>0.61312460837015037</v>
      </c>
      <c r="T221" s="162">
        <f t="shared" si="1328"/>
        <v>0.18842847454642153</v>
      </c>
      <c r="U221" s="162">
        <f>IFERROR(IF(ISNUMBER(MATCH($X221,Settings!$AK$52:$AK$60,0)),INDEX(Settings!$AO$14:$AO$60,MATCH($X221,Settings!$AK$14:$AK$60,0))/2,INDEX(Settings!$AM$14:$AM$60,MATCH($X221,Settings!$AK$14:$AK$60,0))/2),"")</f>
        <v>0.3125</v>
      </c>
      <c r="V221" s="162">
        <f t="shared" si="1337"/>
        <v>0.52</v>
      </c>
      <c r="W221" s="75">
        <v>3.1360000000000001</v>
      </c>
      <c r="X221" s="937">
        <f t="shared" si="1332"/>
        <v>1613</v>
      </c>
      <c r="AK221" s="82" t="str">
        <f t="shared" si="1333"/>
        <v>Y</v>
      </c>
      <c r="AL221" s="419" t="s">
        <v>9</v>
      </c>
    </row>
    <row r="222" spans="2:38" x14ac:dyDescent="0.25">
      <c r="B222" s="650">
        <v>7.3014824668050418</v>
      </c>
      <c r="C222" s="651">
        <v>-4.0024210474440682</v>
      </c>
      <c r="D222" s="652">
        <v>-3.3675101564106322</v>
      </c>
      <c r="E222" s="653">
        <v>0.81505190330204635</v>
      </c>
      <c r="F222" s="651">
        <v>0.56290919767031644</v>
      </c>
      <c r="G222" s="654">
        <v>0.13719923506300008</v>
      </c>
      <c r="H222" s="653">
        <v>0.314</v>
      </c>
      <c r="I222" s="942">
        <v>0.52</v>
      </c>
      <c r="J222" s="946">
        <v>3.1389999999999998</v>
      </c>
      <c r="K222" s="931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>1613</v>
      </c>
      <c r="L222" s="683"/>
      <c r="M222" s="934"/>
      <c r="N222" s="31" t="str">
        <f t="shared" si="1330"/>
        <v>Y</v>
      </c>
      <c r="O222" s="162">
        <f t="shared" si="1334"/>
        <v>7.3014824668050418</v>
      </c>
      <c r="P222" s="162">
        <f t="shared" si="1335"/>
        <v>-4.0024210474440682</v>
      </c>
      <c r="Q222" s="162">
        <f t="shared" si="1336"/>
        <v>-3.3675101564106322</v>
      </c>
      <c r="R222" s="162">
        <f t="shared" si="1331"/>
        <v>0.81505190330204635</v>
      </c>
      <c r="S222" s="162">
        <f t="shared" si="1327"/>
        <v>0.56290919767031644</v>
      </c>
      <c r="T222" s="162">
        <f t="shared" si="1328"/>
        <v>0.13719923506300008</v>
      </c>
      <c r="U222" s="162">
        <f>IFERROR(IF(ISNUMBER(MATCH($X222,Settings!$AK$52:$AK$60,0)),INDEX(Settings!$AO$14:$AO$60,MATCH($X222,Settings!$AK$14:$AK$60,0))/2,INDEX(Settings!$AM$14:$AM$60,MATCH($X222,Settings!$AK$14:$AK$60,0))/2),"")</f>
        <v>0.3125</v>
      </c>
      <c r="V222" s="162">
        <f t="shared" si="1337"/>
        <v>0.52</v>
      </c>
      <c r="W222" s="75">
        <v>3.1389999999999998</v>
      </c>
      <c r="X222" s="937">
        <f t="shared" si="1332"/>
        <v>1613</v>
      </c>
      <c r="AK222" s="82" t="str">
        <f t="shared" si="1333"/>
        <v>Y</v>
      </c>
      <c r="AL222" s="419" t="s">
        <v>9</v>
      </c>
    </row>
    <row r="223" spans="2:38" x14ac:dyDescent="0.25">
      <c r="B223" s="650">
        <v>7.3975554455851835</v>
      </c>
      <c r="C223" s="651">
        <v>-4.0786236191042438</v>
      </c>
      <c r="D223" s="652">
        <v>-4.1264124452599349</v>
      </c>
      <c r="E223" s="653">
        <v>0.85520040388747665</v>
      </c>
      <c r="F223" s="651">
        <v>0.51341010323466874</v>
      </c>
      <c r="G223" s="654">
        <v>7.1009401400544347E-2</v>
      </c>
      <c r="H223" s="653">
        <v>0.314</v>
      </c>
      <c r="I223" s="942">
        <v>0.52</v>
      </c>
      <c r="J223" s="946">
        <v>3.1419999999999999</v>
      </c>
      <c r="K223" s="931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>1613</v>
      </c>
      <c r="L223" s="683"/>
      <c r="M223" s="934"/>
      <c r="N223" s="31" t="str">
        <f t="shared" si="1330"/>
        <v>Y</v>
      </c>
      <c r="O223" s="162">
        <f t="shared" si="1334"/>
        <v>7.3975554455851835</v>
      </c>
      <c r="P223" s="162">
        <f t="shared" si="1335"/>
        <v>-4.0786236191042438</v>
      </c>
      <c r="Q223" s="162">
        <f t="shared" si="1336"/>
        <v>-4.1264124452599349</v>
      </c>
      <c r="R223" s="162">
        <f t="shared" si="1331"/>
        <v>0.85520040388747665</v>
      </c>
      <c r="S223" s="162">
        <f t="shared" si="1327"/>
        <v>0.51341010323466874</v>
      </c>
      <c r="T223" s="162">
        <f t="shared" si="1328"/>
        <v>7.1009401400544347E-2</v>
      </c>
      <c r="U223" s="162">
        <f>IFERROR(IF(ISNUMBER(MATCH($X223,Settings!$AK$52:$AK$60,0)),INDEX(Settings!$AO$14:$AO$60,MATCH($X223,Settings!$AK$14:$AK$60,0))/2,INDEX(Settings!$AM$14:$AM$60,MATCH($X223,Settings!$AK$14:$AK$60,0))/2),"")</f>
        <v>0.3125</v>
      </c>
      <c r="V223" s="162">
        <f t="shared" si="1337"/>
        <v>0.52</v>
      </c>
      <c r="W223" s="75">
        <v>3.1419999999999999</v>
      </c>
      <c r="X223" s="937">
        <f t="shared" si="1332"/>
        <v>1613</v>
      </c>
      <c r="AK223" s="82" t="str">
        <f t="shared" si="1333"/>
        <v>Y</v>
      </c>
      <c r="AL223" s="419" t="s">
        <v>9</v>
      </c>
    </row>
    <row r="224" spans="2:38" x14ac:dyDescent="0.25">
      <c r="B224" s="650">
        <v>7.4472625269033372</v>
      </c>
      <c r="C224" s="651">
        <v>-4.1179018559376033</v>
      </c>
      <c r="D224" s="652">
        <v>-4.9212148423839643</v>
      </c>
      <c r="E224" s="653">
        <v>0.87719580662571395</v>
      </c>
      <c r="F224" s="651">
        <v>0.47976850593862841</v>
      </c>
      <c r="G224" s="654">
        <v>1.8700201808522207E-2</v>
      </c>
      <c r="H224" s="653">
        <v>0.314</v>
      </c>
      <c r="I224" s="942">
        <v>0.52</v>
      </c>
      <c r="J224" s="946">
        <v>3.145</v>
      </c>
      <c r="K224" s="931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>1613</v>
      </c>
      <c r="L224" s="683"/>
      <c r="M224" s="934"/>
      <c r="N224" s="31" t="str">
        <f t="shared" si="1330"/>
        <v>Y</v>
      </c>
      <c r="O224" s="162">
        <f t="shared" si="1334"/>
        <v>7.4472625269033372</v>
      </c>
      <c r="P224" s="162">
        <f t="shared" si="1335"/>
        <v>-4.1179018559376033</v>
      </c>
      <c r="Q224" s="162">
        <f t="shared" si="1336"/>
        <v>-4.9212148423839643</v>
      </c>
      <c r="R224" s="162">
        <f t="shared" si="1331"/>
        <v>0.87719580662571395</v>
      </c>
      <c r="S224" s="162">
        <f t="shared" si="1327"/>
        <v>0.47976850593862841</v>
      </c>
      <c r="T224" s="162">
        <f t="shared" si="1328"/>
        <v>1.8700201808522207E-2</v>
      </c>
      <c r="U224" s="162">
        <f>IFERROR(IF(ISNUMBER(MATCH($X224,Settings!$AK$52:$AK$60,0)),INDEX(Settings!$AO$14:$AO$60,MATCH($X224,Settings!$AK$14:$AK$60,0))/2,INDEX(Settings!$AM$14:$AM$60,MATCH($X224,Settings!$AK$14:$AK$60,0))/2),"")</f>
        <v>0.3125</v>
      </c>
      <c r="V224" s="162">
        <f t="shared" si="1337"/>
        <v>0.52</v>
      </c>
      <c r="W224" s="75">
        <v>3.145</v>
      </c>
      <c r="X224" s="937">
        <f t="shared" si="1332"/>
        <v>1613</v>
      </c>
      <c r="AK224" s="82" t="str">
        <f t="shared" si="1333"/>
        <v>Y</v>
      </c>
      <c r="AL224" s="419" t="s">
        <v>9</v>
      </c>
    </row>
    <row r="225" spans="2:38" x14ac:dyDescent="0.25">
      <c r="B225" s="650">
        <v>2.8092091316452317</v>
      </c>
      <c r="C225" s="651">
        <v>-2.5793048430062089</v>
      </c>
      <c r="D225" s="652">
        <v>-0.24306145351513209</v>
      </c>
      <c r="E225" s="653">
        <v>-0.15930513387893949</v>
      </c>
      <c r="F225" s="651">
        <v>0.14626768035922511</v>
      </c>
      <c r="G225" s="654">
        <v>0.97633377489572937</v>
      </c>
      <c r="H225" s="653">
        <v>0.25700000000000001</v>
      </c>
      <c r="I225" s="942">
        <v>0.41499999999999992</v>
      </c>
      <c r="J225" s="946">
        <v>3.2149999999999999</v>
      </c>
      <c r="K225" s="931" t="str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>CPS-32193r1</v>
      </c>
      <c r="L225" s="683"/>
      <c r="M225" s="934"/>
      <c r="N225" s="31" t="str">
        <f t="shared" si="1330"/>
        <v>Y</v>
      </c>
      <c r="O225" s="162">
        <f t="shared" si="1334"/>
        <v>2.8092091316452317</v>
      </c>
      <c r="P225" s="162">
        <f t="shared" si="1335"/>
        <v>-2.5793048430062089</v>
      </c>
      <c r="Q225" s="162">
        <f t="shared" si="1336"/>
        <v>-0.24306145351513209</v>
      </c>
      <c r="R225" s="162">
        <f t="shared" si="1331"/>
        <v>-0.15930513387893949</v>
      </c>
      <c r="S225" s="162">
        <f t="shared" si="1327"/>
        <v>0.14626768035922511</v>
      </c>
      <c r="T225" s="162">
        <f t="shared" si="1328"/>
        <v>0.97633377489572937</v>
      </c>
      <c r="U225" s="162">
        <f>IFERROR(IF(ISNUMBER(MATCH($X225,Settings!$AK$52:$AK$60,0)),INDEX(Settings!$AO$14:$AO$60,MATCH($X225,Settings!$AK$14:$AK$60,0))/2,INDEX(Settings!$AM$14:$AM$60,MATCH($X225,Settings!$AK$14:$AK$60,0))/2),"")</f>
        <v>0.255</v>
      </c>
      <c r="V225" s="162">
        <f t="shared" si="1337"/>
        <v>0.41499999999999992</v>
      </c>
      <c r="W225" s="75">
        <v>3.2149999999999999</v>
      </c>
      <c r="X225" s="937" t="str">
        <f t="shared" si="1332"/>
        <v>CPS-32193r1</v>
      </c>
      <c r="AK225" s="82" t="str">
        <f t="shared" si="1333"/>
        <v>Y</v>
      </c>
      <c r="AL225" s="419" t="s">
        <v>9</v>
      </c>
    </row>
    <row r="226" spans="2:38" x14ac:dyDescent="0.25">
      <c r="B226" s="650">
        <v>3.5175902766957416</v>
      </c>
      <c r="C226" s="651">
        <v>-2.9312136234171708</v>
      </c>
      <c r="D226" s="652">
        <v>-0.15302893813500654</v>
      </c>
      <c r="E226" s="653">
        <v>-1.0055861318174878E-2</v>
      </c>
      <c r="F226" s="651">
        <v>8.3795653764190507E-3</v>
      </c>
      <c r="G226" s="654">
        <v>0.99991432759874588</v>
      </c>
      <c r="H226" s="653">
        <v>0.25700000000000001</v>
      </c>
      <c r="I226" s="942">
        <v>0.41499999999999992</v>
      </c>
      <c r="J226" s="946">
        <v>3.218</v>
      </c>
      <c r="K226" s="931" t="str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>CPS-32193r1</v>
      </c>
      <c r="L226" s="683"/>
      <c r="M226" s="934"/>
      <c r="N226" s="31" t="str">
        <f t="shared" si="1330"/>
        <v>Y</v>
      </c>
      <c r="O226" s="162">
        <f t="shared" si="1334"/>
        <v>3.5175902766957416</v>
      </c>
      <c r="P226" s="162">
        <f t="shared" si="1335"/>
        <v>-2.9312136234171708</v>
      </c>
      <c r="Q226" s="162">
        <f t="shared" si="1336"/>
        <v>-0.15302893813500654</v>
      </c>
      <c r="R226" s="162">
        <f t="shared" si="1331"/>
        <v>-1.0055861318174878E-2</v>
      </c>
      <c r="S226" s="162">
        <f t="shared" si="1327"/>
        <v>8.3795653764190507E-3</v>
      </c>
      <c r="T226" s="162">
        <f t="shared" si="1328"/>
        <v>0.99991432759874588</v>
      </c>
      <c r="U226" s="162">
        <f>IFERROR(IF(ISNUMBER(MATCH($X226,Settings!$AK$52:$AK$60,0)),INDEX(Settings!$AO$14:$AO$60,MATCH($X226,Settings!$AK$14:$AK$60,0))/2,INDEX(Settings!$AM$14:$AM$60,MATCH($X226,Settings!$AK$14:$AK$60,0))/2),"")</f>
        <v>0.255</v>
      </c>
      <c r="V226" s="162">
        <f t="shared" si="1337"/>
        <v>0.41499999999999992</v>
      </c>
      <c r="W226" s="75">
        <v>3.218</v>
      </c>
      <c r="X226" s="937" t="str">
        <f t="shared" si="1332"/>
        <v>CPS-32193r1</v>
      </c>
      <c r="AK226" s="82" t="str">
        <f t="shared" si="1333"/>
        <v>Y</v>
      </c>
      <c r="AL226" s="419" t="s">
        <v>400</v>
      </c>
    </row>
    <row r="227" spans="2:38" x14ac:dyDescent="0.25">
      <c r="B227" s="650">
        <v>4.2025895264457533</v>
      </c>
      <c r="C227" s="651">
        <v>-3.3029869052281313</v>
      </c>
      <c r="D227" s="652">
        <v>-0.22337145781603138</v>
      </c>
      <c r="E227" s="653">
        <v>0.1519054553856404</v>
      </c>
      <c r="F227" s="651">
        <v>-0.11938870708503938</v>
      </c>
      <c r="G227" s="654">
        <v>0.98115802460390844</v>
      </c>
      <c r="H227" s="653">
        <v>0.25700000000000001</v>
      </c>
      <c r="I227" s="942">
        <v>0.41499999999999992</v>
      </c>
      <c r="J227" s="946">
        <v>3.2210000000000001</v>
      </c>
      <c r="K227" s="931" t="str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>CPS-32193r1</v>
      </c>
      <c r="L227" s="683"/>
      <c r="M227" s="934"/>
      <c r="N227" s="31" t="str">
        <f t="shared" si="1330"/>
        <v>Y</v>
      </c>
      <c r="O227" s="162">
        <f t="shared" si="1334"/>
        <v>4.2025895264457533</v>
      </c>
      <c r="P227" s="162">
        <f t="shared" si="1335"/>
        <v>-3.3029869052281313</v>
      </c>
      <c r="Q227" s="162">
        <f t="shared" si="1336"/>
        <v>-0.22337145781603138</v>
      </c>
      <c r="R227" s="162">
        <f t="shared" si="1331"/>
        <v>0.1519054553856404</v>
      </c>
      <c r="S227" s="162">
        <f t="shared" si="1327"/>
        <v>-0.11938870708503938</v>
      </c>
      <c r="T227" s="162">
        <f t="shared" si="1328"/>
        <v>0.98115802460390844</v>
      </c>
      <c r="U227" s="162">
        <f>IFERROR(IF(ISNUMBER(MATCH($X227,Settings!$AK$52:$AK$60,0)),INDEX(Settings!$AO$14:$AO$60,MATCH($X227,Settings!$AK$14:$AK$60,0))/2,INDEX(Settings!$AM$14:$AM$60,MATCH($X227,Settings!$AK$14:$AK$60,0))/2),"")</f>
        <v>0.255</v>
      </c>
      <c r="V227" s="162">
        <f t="shared" si="1337"/>
        <v>0.41499999999999992</v>
      </c>
      <c r="W227" s="75">
        <v>3.2210000000000001</v>
      </c>
      <c r="X227" s="937" t="str">
        <f t="shared" si="1332"/>
        <v>CPS-32193r1</v>
      </c>
      <c r="AK227" s="82" t="str">
        <f t="shared" si="1333"/>
        <v>Y</v>
      </c>
      <c r="AL227" s="419" t="s">
        <v>400</v>
      </c>
    </row>
    <row r="228" spans="2:38" x14ac:dyDescent="0.25">
      <c r="B228" s="650">
        <v>4.8389766648018044</v>
      </c>
      <c r="C228" s="651">
        <v>-3.6814362159458174</v>
      </c>
      <c r="D228" s="652">
        <v>-0.45149927270731638</v>
      </c>
      <c r="E228" s="653">
        <v>0.31198978678331146</v>
      </c>
      <c r="F228" s="651">
        <v>-0.23735813987777077</v>
      </c>
      <c r="G228" s="654">
        <v>0.91995841556924118</v>
      </c>
      <c r="H228" s="653">
        <v>0.25700000000000001</v>
      </c>
      <c r="I228" s="942">
        <v>0.41499999999999992</v>
      </c>
      <c r="J228" s="946">
        <v>3.2240000000000002</v>
      </c>
      <c r="K228" s="931" t="str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>CPS-32193r1</v>
      </c>
      <c r="L228" s="683"/>
      <c r="M228" s="934"/>
      <c r="N228" s="31" t="str">
        <f t="shared" si="1330"/>
        <v>Y</v>
      </c>
      <c r="O228" s="162">
        <f t="shared" ref="O228:O259" si="1338">IFERROR(INDEX(B$164:B$305,MATCH($W228,$J$164:$J$305,0)),"")</f>
        <v>4.8389766648018044</v>
      </c>
      <c r="P228" s="162">
        <f t="shared" ref="P228:P259" si="1339">IFERROR(INDEX(C$164:C$305,MATCH($W228,$J$164:$J$305,0)),"")</f>
        <v>-3.6814362159458174</v>
      </c>
      <c r="Q228" s="162">
        <f t="shared" ref="Q228:Q259" si="1340">IFERROR(INDEX(D$164:D$305,MATCH($W228,$J$164:$J$305,0)),"")</f>
        <v>-0.45149927270731638</v>
      </c>
      <c r="R228" s="162">
        <f t="shared" si="1331"/>
        <v>0.31198978678331146</v>
      </c>
      <c r="S228" s="162">
        <f t="shared" ref="S228:S291" si="1341">IFERROR(IF($L228="Y",-1*INDEX(F$164:F$305,MATCH($W228,$J$164:$J$305,0)),INDEX(F$164:F$305,MATCH($W228,$J$164:$J$305,0))),"")</f>
        <v>-0.23735813987777077</v>
      </c>
      <c r="T228" s="162">
        <f t="shared" ref="T228:T291" si="1342">IFERROR(IF($L228="Y",-1*INDEX(G$164:G$305,MATCH($W228,$J$164:$J$305,0)),INDEX(G$164:G$305,MATCH($W228,$J$164:$J$305,0))),"")</f>
        <v>0.91995841556924118</v>
      </c>
      <c r="U228" s="162">
        <f>IFERROR(IF(ISNUMBER(MATCH($X228,Settings!$AK$52:$AK$60,0)),INDEX(Settings!$AO$14:$AO$60,MATCH($X228,Settings!$AK$14:$AK$60,0))/2,INDEX(Settings!$AM$14:$AM$60,MATCH($X228,Settings!$AK$14:$AK$60,0))/2),"")</f>
        <v>0.255</v>
      </c>
      <c r="V228" s="162">
        <f t="shared" ref="V228:V259" si="1343">IFERROR(INDEX(I$164:I$305,MATCH($W228,$J$164:$J$305,0)),"")</f>
        <v>0.41499999999999992</v>
      </c>
      <c r="W228" s="75">
        <v>3.2240000000000002</v>
      </c>
      <c r="X228" s="937" t="str">
        <f t="shared" si="1332"/>
        <v>CPS-32193r1</v>
      </c>
      <c r="AK228" s="82" t="str">
        <f t="shared" si="1333"/>
        <v>Y</v>
      </c>
      <c r="AL228" s="419" t="s">
        <v>400</v>
      </c>
    </row>
    <row r="229" spans="2:38" x14ac:dyDescent="0.25">
      <c r="B229" s="650">
        <v>5.4057669680452136</v>
      </c>
      <c r="C229" s="651">
        <v>-4.0448695292752355</v>
      </c>
      <c r="D229" s="652">
        <v>-0.82691556295996382</v>
      </c>
      <c r="E229" s="653">
        <v>0.45729836143941627</v>
      </c>
      <c r="F229" s="651">
        <v>-0.34217387077687234</v>
      </c>
      <c r="G229" s="654">
        <v>0.82085032178978734</v>
      </c>
      <c r="H229" s="653">
        <v>0.25700000000000001</v>
      </c>
      <c r="I229" s="942">
        <v>0.41499999999999992</v>
      </c>
      <c r="J229" s="946">
        <v>3.2269999999999999</v>
      </c>
      <c r="K229" s="931" t="str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>CPS-32193r1</v>
      </c>
      <c r="L229" s="683"/>
      <c r="M229" s="934"/>
      <c r="N229" s="31" t="str">
        <f t="shared" ref="N229:N292" si="1344">IF(M229="Y","N","Y")</f>
        <v>Y</v>
      </c>
      <c r="O229" s="162">
        <f t="shared" si="1338"/>
        <v>5.4057669680452136</v>
      </c>
      <c r="P229" s="162">
        <f t="shared" si="1339"/>
        <v>-4.0448695292752355</v>
      </c>
      <c r="Q229" s="162">
        <f t="shared" si="1340"/>
        <v>-0.82691556295996382</v>
      </c>
      <c r="R229" s="162">
        <f t="shared" ref="R229:R292" si="1345">IFERROR(IF($L229="Y",-1*INDEX(E$164:E$305,MATCH($W229,$J$164:$J$305,0)),INDEX(E$164:E$305,MATCH($W229,$J$164:$J$305,0))),"")</f>
        <v>0.45729836143941627</v>
      </c>
      <c r="S229" s="162">
        <f t="shared" si="1341"/>
        <v>-0.34217387077687234</v>
      </c>
      <c r="T229" s="162">
        <f t="shared" si="1342"/>
        <v>0.82085032178978734</v>
      </c>
      <c r="U229" s="162">
        <f>IFERROR(IF(ISNUMBER(MATCH($X229,Settings!$AK$52:$AK$60,0)),INDEX(Settings!$AO$14:$AO$60,MATCH($X229,Settings!$AK$14:$AK$60,0))/2,INDEX(Settings!$AM$14:$AM$60,MATCH($X229,Settings!$AK$14:$AK$60,0))/2),"")</f>
        <v>0.255</v>
      </c>
      <c r="V229" s="162">
        <f t="shared" si="1343"/>
        <v>0.41499999999999992</v>
      </c>
      <c r="W229" s="75">
        <v>3.2269999999999999</v>
      </c>
      <c r="X229" s="937" t="str">
        <f t="shared" ref="X229:X292" si="1346">IFERROR(INDEX(K$164:K$305,MATCH($W229,$J$164:$J$305,0)),"")</f>
        <v>CPS-32193r1</v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>
        <v>5.8829211934390813</v>
      </c>
      <c r="C230" s="651">
        <v>-4.3738887087192859</v>
      </c>
      <c r="D230" s="652">
        <v>-1.3327227133909085</v>
      </c>
      <c r="E230" s="653">
        <v>0.58442235468717763</v>
      </c>
      <c r="F230" s="651">
        <v>-0.43451174242146595</v>
      </c>
      <c r="G230" s="654">
        <v>0.68531019038079133</v>
      </c>
      <c r="H230" s="653">
        <v>0.25700000000000001</v>
      </c>
      <c r="I230" s="942">
        <v>0.41499999999999992</v>
      </c>
      <c r="J230" s="946">
        <v>3.23</v>
      </c>
      <c r="K230" s="931" t="str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>CPS-32193r1</v>
      </c>
      <c r="L230" s="683"/>
      <c r="M230" s="934"/>
      <c r="N230" s="31" t="str">
        <f t="shared" si="1344"/>
        <v>Y</v>
      </c>
      <c r="O230" s="162">
        <f t="shared" si="1338"/>
        <v>5.8829211934390813</v>
      </c>
      <c r="P230" s="162">
        <f t="shared" si="1339"/>
        <v>-4.3738887087192859</v>
      </c>
      <c r="Q230" s="162">
        <f t="shared" si="1340"/>
        <v>-1.3327227133909085</v>
      </c>
      <c r="R230" s="162">
        <f t="shared" si="1345"/>
        <v>0.58442235468717763</v>
      </c>
      <c r="S230" s="162">
        <f t="shared" si="1341"/>
        <v>-0.43451174242146595</v>
      </c>
      <c r="T230" s="162">
        <f t="shared" si="1342"/>
        <v>0.68531019038079133</v>
      </c>
      <c r="U230" s="162">
        <f>IFERROR(IF(ISNUMBER(MATCH($X230,Settings!$AK$52:$AK$60,0)),INDEX(Settings!$AO$14:$AO$60,MATCH($X230,Settings!$AK$14:$AK$60,0))/2,INDEX(Settings!$AM$14:$AM$60,MATCH($X230,Settings!$AK$14:$AK$60,0))/2),"")</f>
        <v>0.255</v>
      </c>
      <c r="V230" s="162">
        <f t="shared" si="1343"/>
        <v>0.41499999999999992</v>
      </c>
      <c r="W230" s="75">
        <v>3.23</v>
      </c>
      <c r="X230" s="937" t="str">
        <f t="shared" si="1346"/>
        <v>CPS-32193r1</v>
      </c>
      <c r="AK230" s="82" t="str">
        <f t="shared" si="1347"/>
        <v>Y</v>
      </c>
      <c r="AL230" s="419" t="s">
        <v>400</v>
      </c>
    </row>
    <row r="231" spans="2:38" x14ac:dyDescent="0.25">
      <c r="B231" s="650">
        <v>6.2563681658748713</v>
      </c>
      <c r="C231" s="651">
        <v>-4.6473613556043141</v>
      </c>
      <c r="D231" s="652">
        <v>-1.9462851712951992</v>
      </c>
      <c r="E231" s="653">
        <v>0.68373033972442887</v>
      </c>
      <c r="F231" s="651">
        <v>-0.50788922170873929</v>
      </c>
      <c r="G231" s="654">
        <v>0.52398603131420252</v>
      </c>
      <c r="H231" s="653">
        <v>0.25700000000000001</v>
      </c>
      <c r="I231" s="942">
        <v>0.41499999999999992</v>
      </c>
      <c r="J231" s="946">
        <v>3.2330000000000001</v>
      </c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>CPS-32193r1</v>
      </c>
      <c r="L231" s="683"/>
      <c r="M231" s="934"/>
      <c r="N231" s="31" t="str">
        <f t="shared" si="1344"/>
        <v>Y</v>
      </c>
      <c r="O231" s="162">
        <f t="shared" si="1338"/>
        <v>6.2563681658748713</v>
      </c>
      <c r="P231" s="162">
        <f t="shared" si="1339"/>
        <v>-4.6473613556043141</v>
      </c>
      <c r="Q231" s="162">
        <f t="shared" si="1340"/>
        <v>-1.9462851712951992</v>
      </c>
      <c r="R231" s="162">
        <f t="shared" si="1345"/>
        <v>0.68373033972442887</v>
      </c>
      <c r="S231" s="162">
        <f t="shared" si="1341"/>
        <v>-0.50788922170873929</v>
      </c>
      <c r="T231" s="162">
        <f t="shared" si="1342"/>
        <v>0.52398603131420252</v>
      </c>
      <c r="U231" s="162">
        <f>IFERROR(IF(ISNUMBER(MATCH($X231,Settings!$AK$52:$AK$60,0)),INDEX(Settings!$AO$14:$AO$60,MATCH($X231,Settings!$AK$14:$AK$60,0))/2,INDEX(Settings!$AM$14:$AM$60,MATCH($X231,Settings!$AK$14:$AK$60,0))/2),"")</f>
        <v>0.255</v>
      </c>
      <c r="V231" s="162">
        <f t="shared" si="1343"/>
        <v>0.41499999999999992</v>
      </c>
      <c r="W231" s="75">
        <v>3.2330000000000001</v>
      </c>
      <c r="X231" s="937" t="str">
        <f t="shared" si="1346"/>
        <v>CPS-32193r1</v>
      </c>
      <c r="AK231" s="82" t="str">
        <f t="shared" si="1347"/>
        <v>Y</v>
      </c>
      <c r="AL231" s="419" t="s">
        <v>400</v>
      </c>
    </row>
    <row r="232" spans="2:38" x14ac:dyDescent="0.25">
      <c r="B232" s="650">
        <v>6.5175574716667297</v>
      </c>
      <c r="C232" s="651">
        <v>-4.8449034751547213</v>
      </c>
      <c r="D232" s="652">
        <v>-2.6410521744977045</v>
      </c>
      <c r="E232" s="653">
        <v>0.75491375886525136</v>
      </c>
      <c r="F232" s="651">
        <v>-0.56117407628061133</v>
      </c>
      <c r="G232" s="654">
        <v>0.3393948626401701</v>
      </c>
      <c r="H232" s="653">
        <v>0.25700000000000001</v>
      </c>
      <c r="I232" s="942">
        <v>0.41499999999999992</v>
      </c>
      <c r="J232" s="946">
        <v>3.2360000000000002</v>
      </c>
      <c r="K232" s="931" t="str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>CPS-32193r1</v>
      </c>
      <c r="L232" s="683"/>
      <c r="M232" s="934"/>
      <c r="N232" s="31" t="str">
        <f t="shared" si="1344"/>
        <v>Y</v>
      </c>
      <c r="O232" s="162">
        <f t="shared" si="1338"/>
        <v>6.5175574716667297</v>
      </c>
      <c r="P232" s="162">
        <f t="shared" si="1339"/>
        <v>-4.8449034751547213</v>
      </c>
      <c r="Q232" s="162">
        <f t="shared" si="1340"/>
        <v>-2.6410521744977045</v>
      </c>
      <c r="R232" s="162">
        <f t="shared" si="1345"/>
        <v>0.75491375886525136</v>
      </c>
      <c r="S232" s="162">
        <f t="shared" si="1341"/>
        <v>-0.56117407628061133</v>
      </c>
      <c r="T232" s="162">
        <f t="shared" si="1342"/>
        <v>0.3393948626401701</v>
      </c>
      <c r="U232" s="162">
        <f>IFERROR(IF(ISNUMBER(MATCH($X232,Settings!$AK$52:$AK$60,0)),INDEX(Settings!$AO$14:$AO$60,MATCH($X232,Settings!$AK$14:$AK$60,0))/2,INDEX(Settings!$AM$14:$AM$60,MATCH($X232,Settings!$AK$14:$AK$60,0))/2),"")</f>
        <v>0.255</v>
      </c>
      <c r="V232" s="162">
        <f t="shared" si="1343"/>
        <v>0.41499999999999992</v>
      </c>
      <c r="W232" s="75">
        <v>3.2360000000000002</v>
      </c>
      <c r="X232" s="937" t="str">
        <f t="shared" si="1346"/>
        <v>CPS-32193r1</v>
      </c>
      <c r="AK232" s="82" t="str">
        <f t="shared" si="1347"/>
        <v>Y</v>
      </c>
      <c r="AL232" s="419" t="s">
        <v>400</v>
      </c>
    </row>
    <row r="233" spans="2:38" x14ac:dyDescent="0.25">
      <c r="B233" s="650">
        <v>6.6690560518117641</v>
      </c>
      <c r="C233" s="651">
        <v>-4.9652991518871925</v>
      </c>
      <c r="D233" s="652">
        <v>-3.3840647600440157</v>
      </c>
      <c r="E233" s="653">
        <v>0.78500784842313265</v>
      </c>
      <c r="F233" s="651">
        <v>-0.58446034546992065</v>
      </c>
      <c r="G233" s="654">
        <v>0.20535038954739093</v>
      </c>
      <c r="H233" s="653">
        <v>0.25700000000000001</v>
      </c>
      <c r="I233" s="942">
        <v>0.41499999999999992</v>
      </c>
      <c r="J233" s="946">
        <v>3.2389999999999999</v>
      </c>
      <c r="K233" s="931" t="str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>CPS-32193r1</v>
      </c>
      <c r="L233" s="683"/>
      <c r="M233" s="934"/>
      <c r="N233" s="31" t="str">
        <f t="shared" si="1344"/>
        <v>Y</v>
      </c>
      <c r="O233" s="162">
        <f t="shared" si="1338"/>
        <v>6.6690560518117641</v>
      </c>
      <c r="P233" s="162">
        <f t="shared" si="1339"/>
        <v>-4.9652991518871925</v>
      </c>
      <c r="Q233" s="162">
        <f t="shared" si="1340"/>
        <v>-3.3840647600440157</v>
      </c>
      <c r="R233" s="162">
        <f t="shared" si="1345"/>
        <v>0.78500784842313265</v>
      </c>
      <c r="S233" s="162">
        <f t="shared" si="1341"/>
        <v>-0.58446034546992065</v>
      </c>
      <c r="T233" s="162">
        <f t="shared" si="1342"/>
        <v>0.20535038954739093</v>
      </c>
      <c r="U233" s="162">
        <f>IFERROR(IF(ISNUMBER(MATCH($X233,Settings!$AK$52:$AK$60,0)),INDEX(Settings!$AO$14:$AO$60,MATCH($X233,Settings!$AK$14:$AK$60,0))/2,INDEX(Settings!$AM$14:$AM$60,MATCH($X233,Settings!$AK$14:$AK$60,0))/2),"")</f>
        <v>0.255</v>
      </c>
      <c r="V233" s="162">
        <f t="shared" si="1343"/>
        <v>0.41499999999999992</v>
      </c>
      <c r="W233" s="75">
        <v>3.2389999999999999</v>
      </c>
      <c r="X233" s="937" t="str">
        <f t="shared" si="1346"/>
        <v>CPS-32193r1</v>
      </c>
      <c r="AK233" s="82" t="str">
        <f t="shared" si="1347"/>
        <v>Y</v>
      </c>
      <c r="AL233" s="419" t="s">
        <v>400</v>
      </c>
    </row>
    <row r="234" spans="2:38" x14ac:dyDescent="0.25">
      <c r="B234" s="650">
        <v>6.757092490225018</v>
      </c>
      <c r="C234" s="651">
        <v>-5.0355506862683272</v>
      </c>
      <c r="D234" s="652">
        <v>-4.1422714085274164</v>
      </c>
      <c r="E234" s="653">
        <v>0.79705315578312919</v>
      </c>
      <c r="F234" s="651">
        <v>-0.59398351752654677</v>
      </c>
      <c r="G234" s="654">
        <v>0.10904057851527385</v>
      </c>
      <c r="H234" s="653">
        <v>0.25700000000000001</v>
      </c>
      <c r="I234" s="942">
        <v>0.41499999999999992</v>
      </c>
      <c r="J234" s="946">
        <v>3.242</v>
      </c>
      <c r="K234" s="931" t="str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>CPS-32193r1</v>
      </c>
      <c r="L234" s="683"/>
      <c r="M234" s="934"/>
      <c r="N234" s="31" t="str">
        <f t="shared" si="1344"/>
        <v>Y</v>
      </c>
      <c r="O234" s="162">
        <f t="shared" si="1338"/>
        <v>6.757092490225018</v>
      </c>
      <c r="P234" s="162">
        <f t="shared" si="1339"/>
        <v>-5.0355506862683272</v>
      </c>
      <c r="Q234" s="162">
        <f t="shared" si="1340"/>
        <v>-4.1422714085274164</v>
      </c>
      <c r="R234" s="162">
        <f t="shared" si="1345"/>
        <v>0.79705315578312919</v>
      </c>
      <c r="S234" s="162">
        <f t="shared" si="1341"/>
        <v>-0.59398351752654677</v>
      </c>
      <c r="T234" s="162">
        <f t="shared" si="1342"/>
        <v>0.10904057851527385</v>
      </c>
      <c r="U234" s="162">
        <f>IFERROR(IF(ISNUMBER(MATCH($X234,Settings!$AK$52:$AK$60,0)),INDEX(Settings!$AO$14:$AO$60,MATCH($X234,Settings!$AK$14:$AK$60,0))/2,INDEX(Settings!$AM$14:$AM$60,MATCH($X234,Settings!$AK$14:$AK$60,0))/2),"")</f>
        <v>0.255</v>
      </c>
      <c r="V234" s="162">
        <f t="shared" si="1343"/>
        <v>0.41499999999999992</v>
      </c>
      <c r="W234" s="75">
        <v>3.242</v>
      </c>
      <c r="X234" s="937" t="str">
        <f t="shared" si="1346"/>
        <v>CPS-32193r1</v>
      </c>
      <c r="AK234" s="82" t="str">
        <f t="shared" si="1347"/>
        <v>Y</v>
      </c>
      <c r="AL234" s="419" t="s">
        <v>400</v>
      </c>
    </row>
    <row r="235" spans="2:38" x14ac:dyDescent="0.25">
      <c r="B235" s="650">
        <v>-1.5049247554094651E-6</v>
      </c>
      <c r="C235" s="651">
        <v>-3.3178100065146379</v>
      </c>
      <c r="D235" s="652">
        <v>-0.37420112859060373</v>
      </c>
      <c r="E235" s="653">
        <v>0.96592584221622591</v>
      </c>
      <c r="F235" s="651">
        <v>1.35451002204308E-2</v>
      </c>
      <c r="G235" s="654">
        <v>0.25846430623761779</v>
      </c>
      <c r="H235" s="653">
        <v>0.314</v>
      </c>
      <c r="I235" s="942">
        <v>0.52</v>
      </c>
      <c r="J235" s="946">
        <v>4.1130000000000004</v>
      </c>
      <c r="K235" s="931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>1613</v>
      </c>
      <c r="L235" s="683"/>
      <c r="M235" s="934"/>
      <c r="N235" s="31" t="str">
        <f t="shared" si="1344"/>
        <v>Y</v>
      </c>
      <c r="O235" s="162">
        <f t="shared" si="1338"/>
        <v>-1.5049247554094651E-6</v>
      </c>
      <c r="P235" s="162">
        <f t="shared" si="1339"/>
        <v>-3.3178100065146379</v>
      </c>
      <c r="Q235" s="162">
        <f t="shared" si="1340"/>
        <v>-0.37420112859060373</v>
      </c>
      <c r="R235" s="162">
        <f t="shared" si="1345"/>
        <v>0.96592584221622591</v>
      </c>
      <c r="S235" s="162">
        <f t="shared" si="1341"/>
        <v>1.35451002204308E-2</v>
      </c>
      <c r="T235" s="162">
        <f t="shared" si="1342"/>
        <v>0.25846430623761779</v>
      </c>
      <c r="U235" s="162">
        <f>IFERROR(IF(ISNUMBER(MATCH($X235,Settings!$AK$52:$AK$60,0)),INDEX(Settings!$AO$14:$AO$60,MATCH($X235,Settings!$AK$14:$AK$60,0))/2,INDEX(Settings!$AM$14:$AM$60,MATCH($X235,Settings!$AK$14:$AK$60,0))/2),"")</f>
        <v>0.3125</v>
      </c>
      <c r="V235" s="162">
        <f t="shared" si="1343"/>
        <v>0.52</v>
      </c>
      <c r="W235" s="75">
        <v>4.1130000000000004</v>
      </c>
      <c r="X235" s="937">
        <f t="shared" si="1346"/>
        <v>1613</v>
      </c>
      <c r="AK235" s="82" t="str">
        <f t="shared" si="1347"/>
        <v>Y</v>
      </c>
      <c r="AL235" s="419" t="s">
        <v>400</v>
      </c>
    </row>
    <row r="236" spans="2:38" x14ac:dyDescent="0.25">
      <c r="B236" s="650">
        <v>-3.5498464729824988E-3</v>
      </c>
      <c r="C236" s="651">
        <v>-4.0657107124704988</v>
      </c>
      <c r="D236" s="652">
        <v>-0.198200597773003</v>
      </c>
      <c r="E236" s="653">
        <v>0.96591337846885761</v>
      </c>
      <c r="F236" s="651">
        <v>-1.4689627886060503E-2</v>
      </c>
      <c r="G236" s="654">
        <v>0.25844837033234819</v>
      </c>
      <c r="H236" s="653">
        <v>0.314</v>
      </c>
      <c r="I236" s="942">
        <v>0.52</v>
      </c>
      <c r="J236" s="946">
        <v>4.1159999999999997</v>
      </c>
      <c r="K236" s="931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>1613</v>
      </c>
      <c r="L236" s="683"/>
      <c r="M236" s="934"/>
      <c r="N236" s="31" t="str">
        <f t="shared" si="1344"/>
        <v>Y</v>
      </c>
      <c r="O236" s="162">
        <f t="shared" si="1338"/>
        <v>-3.5498464729824988E-3</v>
      </c>
      <c r="P236" s="162">
        <f t="shared" si="1339"/>
        <v>-4.0657107124704988</v>
      </c>
      <c r="Q236" s="162">
        <f t="shared" si="1340"/>
        <v>-0.198200597773003</v>
      </c>
      <c r="R236" s="162">
        <f t="shared" si="1345"/>
        <v>0.96591337846885761</v>
      </c>
      <c r="S236" s="162">
        <f t="shared" si="1341"/>
        <v>-1.4689627886060503E-2</v>
      </c>
      <c r="T236" s="162">
        <f t="shared" si="1342"/>
        <v>0.25844837033234819</v>
      </c>
      <c r="U236" s="162">
        <f>IFERROR(IF(ISNUMBER(MATCH($X236,Settings!$AK$52:$AK$60,0)),INDEX(Settings!$AO$14:$AO$60,MATCH($X236,Settings!$AK$14:$AK$60,0))/2,INDEX(Settings!$AM$14:$AM$60,MATCH($X236,Settings!$AK$14:$AK$60,0))/2),"")</f>
        <v>0.3125</v>
      </c>
      <c r="V236" s="162">
        <f t="shared" si="1343"/>
        <v>0.52</v>
      </c>
      <c r="W236" s="75">
        <v>4.1159999999999997</v>
      </c>
      <c r="X236" s="937">
        <f t="shared" si="1346"/>
        <v>1613</v>
      </c>
      <c r="AK236" s="82" t="str">
        <f t="shared" si="1347"/>
        <v>Y</v>
      </c>
      <c r="AL236" s="419" t="s">
        <v>400</v>
      </c>
    </row>
    <row r="237" spans="2:38" x14ac:dyDescent="0.25">
      <c r="B237" s="650">
        <v>-3.2895135739162286E-2</v>
      </c>
      <c r="C237" s="651">
        <v>-4.8323026116425476</v>
      </c>
      <c r="D237" s="652">
        <v>-0.16210048889507453</v>
      </c>
      <c r="E237" s="653">
        <v>0.96369209577303849</v>
      </c>
      <c r="F237" s="651">
        <v>-6.2529040244030595E-2</v>
      </c>
      <c r="G237" s="654">
        <v>0.25959133974524173</v>
      </c>
      <c r="H237" s="653">
        <v>0.314</v>
      </c>
      <c r="I237" s="942">
        <v>0.52</v>
      </c>
      <c r="J237" s="946">
        <v>4.1189999999999998</v>
      </c>
      <c r="K237" s="931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>1613</v>
      </c>
      <c r="L237" s="683"/>
      <c r="M237" s="934"/>
      <c r="N237" s="31" t="str">
        <f t="shared" si="1344"/>
        <v>Y</v>
      </c>
      <c r="O237" s="162">
        <f t="shared" si="1338"/>
        <v>-3.2895135739162286E-2</v>
      </c>
      <c r="P237" s="162">
        <f t="shared" si="1339"/>
        <v>-4.8323026116425476</v>
      </c>
      <c r="Q237" s="162">
        <f t="shared" si="1340"/>
        <v>-0.16210048889507453</v>
      </c>
      <c r="R237" s="162">
        <f t="shared" si="1345"/>
        <v>0.96369209577303849</v>
      </c>
      <c r="S237" s="162">
        <f t="shared" si="1341"/>
        <v>-6.2529040244030595E-2</v>
      </c>
      <c r="T237" s="162">
        <f t="shared" si="1342"/>
        <v>0.25959133974524173</v>
      </c>
      <c r="U237" s="162">
        <f>IFERROR(IF(ISNUMBER(MATCH($X237,Settings!$AK$52:$AK$60,0)),INDEX(Settings!$AO$14:$AO$60,MATCH($X237,Settings!$AK$14:$AK$60,0))/2,INDEX(Settings!$AM$14:$AM$60,MATCH($X237,Settings!$AK$14:$AK$60,0))/2),"")</f>
        <v>0.3125</v>
      </c>
      <c r="V237" s="162">
        <f t="shared" si="1343"/>
        <v>0.52</v>
      </c>
      <c r="W237" s="75">
        <v>4.1189999999999998</v>
      </c>
      <c r="X237" s="937">
        <f t="shared" si="1346"/>
        <v>1613</v>
      </c>
      <c r="AK237" s="82" t="str">
        <f t="shared" si="1347"/>
        <v>Y</v>
      </c>
      <c r="AL237" s="419" t="s">
        <v>9</v>
      </c>
    </row>
    <row r="238" spans="2:38" x14ac:dyDescent="0.25">
      <c r="B238" s="650">
        <v>-9.073486659310806E-2</v>
      </c>
      <c r="C238" s="651">
        <v>-5.5893804388429436</v>
      </c>
      <c r="D238" s="652">
        <v>-0.28430085745138595</v>
      </c>
      <c r="E238" s="653">
        <v>0.95852470418731095</v>
      </c>
      <c r="F238" s="651">
        <v>-0.11676607888266875</v>
      </c>
      <c r="G238" s="654">
        <v>0.25999245043845876</v>
      </c>
      <c r="H238" s="653">
        <v>0.314</v>
      </c>
      <c r="I238" s="942">
        <v>0.52</v>
      </c>
      <c r="J238" s="946">
        <v>4.1219999999999999</v>
      </c>
      <c r="K238" s="931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>1613</v>
      </c>
      <c r="L238" s="683"/>
      <c r="M238" s="934"/>
      <c r="N238" s="31" t="str">
        <f t="shared" si="1344"/>
        <v>Y</v>
      </c>
      <c r="O238" s="162">
        <f t="shared" si="1338"/>
        <v>-9.073486659310806E-2</v>
      </c>
      <c r="P238" s="162">
        <f t="shared" si="1339"/>
        <v>-5.5893804388429436</v>
      </c>
      <c r="Q238" s="162">
        <f t="shared" si="1340"/>
        <v>-0.28430085745138595</v>
      </c>
      <c r="R238" s="162">
        <f t="shared" si="1345"/>
        <v>0.95852470418731095</v>
      </c>
      <c r="S238" s="162">
        <f t="shared" si="1341"/>
        <v>-0.11676607888266875</v>
      </c>
      <c r="T238" s="162">
        <f t="shared" si="1342"/>
        <v>0.25999245043845876</v>
      </c>
      <c r="U238" s="162">
        <f>IFERROR(IF(ISNUMBER(MATCH($X238,Settings!$AK$52:$AK$60,0)),INDEX(Settings!$AO$14:$AO$60,MATCH($X238,Settings!$AK$14:$AK$60,0))/2,INDEX(Settings!$AM$14:$AM$60,MATCH($X238,Settings!$AK$14:$AK$60,0))/2),"")</f>
        <v>0.3125</v>
      </c>
      <c r="V238" s="162">
        <f t="shared" si="1343"/>
        <v>0.52</v>
      </c>
      <c r="W238" s="75">
        <v>4.1219999999999999</v>
      </c>
      <c r="X238" s="937">
        <f t="shared" si="1346"/>
        <v>1613</v>
      </c>
      <c r="AK238" s="82" t="str">
        <f t="shared" si="1347"/>
        <v>Y</v>
      </c>
      <c r="AL238" s="419" t="s">
        <v>9</v>
      </c>
    </row>
    <row r="239" spans="2:38" x14ac:dyDescent="0.25">
      <c r="B239" s="650">
        <v>-0.17168735116621234</v>
      </c>
      <c r="C239" s="651">
        <v>-6.304081559694672</v>
      </c>
      <c r="D239" s="652">
        <v>-0.56000168896509506</v>
      </c>
      <c r="E239" s="653">
        <v>0.94922494459771933</v>
      </c>
      <c r="F239" s="651">
        <v>-0.17792418735303303</v>
      </c>
      <c r="G239" s="654">
        <v>0.25945132126897991</v>
      </c>
      <c r="H239" s="653">
        <v>0.314</v>
      </c>
      <c r="I239" s="942">
        <v>0.52</v>
      </c>
      <c r="J239" s="946">
        <v>4.125</v>
      </c>
      <c r="K239" s="931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>1613</v>
      </c>
      <c r="L239" s="683"/>
      <c r="M239" s="934"/>
      <c r="N239" s="31" t="str">
        <f t="shared" si="1344"/>
        <v>Y</v>
      </c>
      <c r="O239" s="162">
        <f t="shared" si="1338"/>
        <v>-0.17168735116621234</v>
      </c>
      <c r="P239" s="162">
        <f t="shared" si="1339"/>
        <v>-6.304081559694672</v>
      </c>
      <c r="Q239" s="162">
        <f t="shared" si="1340"/>
        <v>-0.56000168896509506</v>
      </c>
      <c r="R239" s="162">
        <f t="shared" si="1345"/>
        <v>0.94922494459771933</v>
      </c>
      <c r="S239" s="162">
        <f t="shared" si="1341"/>
        <v>-0.17792418735303303</v>
      </c>
      <c r="T239" s="162">
        <f t="shared" si="1342"/>
        <v>0.25945132126897991</v>
      </c>
      <c r="U239" s="162">
        <f>IFERROR(IF(ISNUMBER(MATCH($X239,Settings!$AK$52:$AK$60,0)),INDEX(Settings!$AO$14:$AO$60,MATCH($X239,Settings!$AK$14:$AK$60,0))/2,INDEX(Settings!$AM$14:$AM$60,MATCH($X239,Settings!$AK$14:$AK$60,0))/2),"")</f>
        <v>0.3125</v>
      </c>
      <c r="V239" s="162">
        <f t="shared" si="1343"/>
        <v>0.52</v>
      </c>
      <c r="W239" s="75">
        <v>4.125</v>
      </c>
      <c r="X239" s="937">
        <f t="shared" si="1346"/>
        <v>1613</v>
      </c>
      <c r="AK239" s="82" t="str">
        <f t="shared" si="1347"/>
        <v>Y</v>
      </c>
      <c r="AL239" s="419" t="s">
        <v>9</v>
      </c>
    </row>
    <row r="240" spans="2:38" x14ac:dyDescent="0.25">
      <c r="B240" s="650">
        <v>-0.26682990014657043</v>
      </c>
      <c r="C240" s="651">
        <v>-6.9456975080596388</v>
      </c>
      <c r="D240" s="652">
        <v>-0.97700294664088649</v>
      </c>
      <c r="E240" s="653">
        <v>0.93565571227029576</v>
      </c>
      <c r="F240" s="651">
        <v>-0.24513607092617731</v>
      </c>
      <c r="G240" s="654">
        <v>0.25388323069246183</v>
      </c>
      <c r="H240" s="653">
        <v>0.314</v>
      </c>
      <c r="I240" s="942">
        <v>0.52</v>
      </c>
      <c r="J240" s="946">
        <v>4.1280000000000001</v>
      </c>
      <c r="K240" s="931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>1613</v>
      </c>
      <c r="L240" s="683"/>
      <c r="M240" s="934"/>
      <c r="N240" s="31" t="str">
        <f t="shared" si="1344"/>
        <v>Y</v>
      </c>
      <c r="O240" s="162">
        <f t="shared" si="1338"/>
        <v>-0.26682990014657043</v>
      </c>
      <c r="P240" s="162">
        <f t="shared" si="1339"/>
        <v>-6.9456975080596388</v>
      </c>
      <c r="Q240" s="162">
        <f t="shared" si="1340"/>
        <v>-0.97700294664088649</v>
      </c>
      <c r="R240" s="162">
        <f t="shared" si="1345"/>
        <v>0.93565571227029576</v>
      </c>
      <c r="S240" s="162">
        <f t="shared" si="1341"/>
        <v>-0.24513607092617731</v>
      </c>
      <c r="T240" s="162">
        <f t="shared" si="1342"/>
        <v>0.25388323069246183</v>
      </c>
      <c r="U240" s="162">
        <f>IFERROR(IF(ISNUMBER(MATCH($X240,Settings!$AK$52:$AK$60,0)),INDEX(Settings!$AO$14:$AO$60,MATCH($X240,Settings!$AK$14:$AK$60,0))/2,INDEX(Settings!$AM$14:$AM$60,MATCH($X240,Settings!$AK$14:$AK$60,0))/2),"")</f>
        <v>0.3125</v>
      </c>
      <c r="V240" s="162">
        <f t="shared" si="1343"/>
        <v>0.52</v>
      </c>
      <c r="W240" s="75">
        <v>4.1280000000000001</v>
      </c>
      <c r="X240" s="937">
        <f t="shared" si="1346"/>
        <v>1613</v>
      </c>
      <c r="AK240" s="82" t="str">
        <f t="shared" si="1347"/>
        <v>Y</v>
      </c>
      <c r="AL240" s="419" t="s">
        <v>9</v>
      </c>
    </row>
    <row r="241" spans="2:38" x14ac:dyDescent="0.25">
      <c r="B241" s="650">
        <v>-0.36488044344711812</v>
      </c>
      <c r="C241" s="651">
        <v>-7.4872369016041542</v>
      </c>
      <c r="D241" s="652">
        <v>-1.5171045755874002</v>
      </c>
      <c r="E241" s="653">
        <v>0.91733050627066592</v>
      </c>
      <c r="F241" s="651">
        <v>-0.31736697809397735</v>
      </c>
      <c r="G241" s="654">
        <v>0.24038083010236216</v>
      </c>
      <c r="H241" s="653">
        <v>0.314</v>
      </c>
      <c r="I241" s="942">
        <v>0.52</v>
      </c>
      <c r="J241" s="946">
        <v>4.1310000000000002</v>
      </c>
      <c r="K241" s="931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>1613</v>
      </c>
      <c r="L241" s="683"/>
      <c r="M241" s="934"/>
      <c r="N241" s="31" t="str">
        <f t="shared" si="1344"/>
        <v>Y</v>
      </c>
      <c r="O241" s="162">
        <f t="shared" si="1338"/>
        <v>-0.36488044344711812</v>
      </c>
      <c r="P241" s="162">
        <f t="shared" si="1339"/>
        <v>-7.4872369016041542</v>
      </c>
      <c r="Q241" s="162">
        <f t="shared" si="1340"/>
        <v>-1.5171045755874002</v>
      </c>
      <c r="R241" s="162">
        <f t="shared" si="1345"/>
        <v>0.91733050627066592</v>
      </c>
      <c r="S241" s="162">
        <f t="shared" si="1341"/>
        <v>-0.31736697809397735</v>
      </c>
      <c r="T241" s="162">
        <f t="shared" si="1342"/>
        <v>0.24038083010236216</v>
      </c>
      <c r="U241" s="162">
        <f>IFERROR(IF(ISNUMBER(MATCH($X241,Settings!$AK$52:$AK$60,0)),INDEX(Settings!$AO$14:$AO$60,MATCH($X241,Settings!$AK$14:$AK$60,0))/2,INDEX(Settings!$AM$14:$AM$60,MATCH($X241,Settings!$AK$14:$AK$60,0))/2),"")</f>
        <v>0.3125</v>
      </c>
      <c r="V241" s="162">
        <f t="shared" si="1343"/>
        <v>0.52</v>
      </c>
      <c r="W241" s="75">
        <v>4.1310000000000002</v>
      </c>
      <c r="X241" s="937">
        <f t="shared" si="1346"/>
        <v>1613</v>
      </c>
      <c r="AK241" s="82" t="str">
        <f t="shared" si="1347"/>
        <v>Y</v>
      </c>
      <c r="AL241" s="419" t="s">
        <v>9</v>
      </c>
    </row>
    <row r="242" spans="2:38" x14ac:dyDescent="0.25">
      <c r="B242" s="650">
        <v>-0.45038614150505257</v>
      </c>
      <c r="C242" s="651">
        <v>-7.9071073529668272</v>
      </c>
      <c r="D242" s="652">
        <v>-2.157006505531621</v>
      </c>
      <c r="E242" s="653">
        <v>0.89564297846549135</v>
      </c>
      <c r="F242" s="651">
        <v>-0.38983898987404009</v>
      </c>
      <c r="G242" s="654">
        <v>0.21412430291644072</v>
      </c>
      <c r="H242" s="653">
        <v>0.314</v>
      </c>
      <c r="I242" s="942">
        <v>0.52</v>
      </c>
      <c r="J242" s="946">
        <v>4.1340000000000003</v>
      </c>
      <c r="K242" s="931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>1613</v>
      </c>
      <c r="L242" s="683"/>
      <c r="M242" s="934"/>
      <c r="N242" s="31" t="str">
        <f t="shared" si="1344"/>
        <v>Y</v>
      </c>
      <c r="O242" s="162">
        <f t="shared" si="1338"/>
        <v>-0.45038614150505257</v>
      </c>
      <c r="P242" s="162">
        <f t="shared" si="1339"/>
        <v>-7.9071073529668272</v>
      </c>
      <c r="Q242" s="162">
        <f t="shared" si="1340"/>
        <v>-2.157006505531621</v>
      </c>
      <c r="R242" s="162">
        <f t="shared" si="1345"/>
        <v>0.89564297846549135</v>
      </c>
      <c r="S242" s="162">
        <f t="shared" si="1341"/>
        <v>-0.38983898987404009</v>
      </c>
      <c r="T242" s="162">
        <f t="shared" si="1342"/>
        <v>0.21412430291644072</v>
      </c>
      <c r="U242" s="162">
        <f>IFERROR(IF(ISNUMBER(MATCH($X242,Settings!$AK$52:$AK$60,0)),INDEX(Settings!$AO$14:$AO$60,MATCH($X242,Settings!$AK$14:$AK$60,0))/2,INDEX(Settings!$AM$14:$AM$60,MATCH($X242,Settings!$AK$14:$AK$60,0))/2),"")</f>
        <v>0.3125</v>
      </c>
      <c r="V242" s="162">
        <f t="shared" si="1343"/>
        <v>0.52</v>
      </c>
      <c r="W242" s="75">
        <v>4.1340000000000003</v>
      </c>
      <c r="X242" s="937">
        <f t="shared" si="1346"/>
        <v>1613</v>
      </c>
      <c r="AK242" s="82" t="str">
        <f t="shared" si="1347"/>
        <v>Y</v>
      </c>
      <c r="AL242" s="419" t="s">
        <v>9</v>
      </c>
    </row>
    <row r="243" spans="2:38" x14ac:dyDescent="0.25">
      <c r="B243" s="650">
        <v>-0.51376591621614276</v>
      </c>
      <c r="C243" s="651">
        <v>-8.1888237660684826</v>
      </c>
      <c r="D243" s="652">
        <v>-2.8697086550413031</v>
      </c>
      <c r="E243" s="653">
        <v>0.87180692039181273</v>
      </c>
      <c r="F243" s="651">
        <v>-0.45831089837385308</v>
      </c>
      <c r="G243" s="654">
        <v>0.17292719273930066</v>
      </c>
      <c r="H243" s="653">
        <v>0.314</v>
      </c>
      <c r="I243" s="942">
        <v>0.52</v>
      </c>
      <c r="J243" s="946">
        <v>4.1369999999999996</v>
      </c>
      <c r="K243" s="931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>1613</v>
      </c>
      <c r="L243" s="683"/>
      <c r="M243" s="934"/>
      <c r="N243" s="31" t="str">
        <f t="shared" si="1344"/>
        <v>Y</v>
      </c>
      <c r="O243" s="162">
        <f t="shared" si="1338"/>
        <v>-0.51376591621614276</v>
      </c>
      <c r="P243" s="162">
        <f t="shared" si="1339"/>
        <v>-8.1888237660684826</v>
      </c>
      <c r="Q243" s="162">
        <f t="shared" si="1340"/>
        <v>-2.8697086550413031</v>
      </c>
      <c r="R243" s="162">
        <f t="shared" si="1345"/>
        <v>0.87180692039181273</v>
      </c>
      <c r="S243" s="162">
        <f t="shared" si="1341"/>
        <v>-0.45831089837385308</v>
      </c>
      <c r="T243" s="162">
        <f t="shared" si="1342"/>
        <v>0.17292719273930066</v>
      </c>
      <c r="U243" s="162">
        <f>IFERROR(IF(ISNUMBER(MATCH($X243,Settings!$AK$52:$AK$60,0)),INDEX(Settings!$AO$14:$AO$60,MATCH($X243,Settings!$AK$14:$AK$60,0))/2,INDEX(Settings!$AM$14:$AM$60,MATCH($X243,Settings!$AK$14:$AK$60,0))/2),"")</f>
        <v>0.3125</v>
      </c>
      <c r="V243" s="162">
        <f t="shared" si="1343"/>
        <v>0.52</v>
      </c>
      <c r="W243" s="75">
        <v>4.1369999999999996</v>
      </c>
      <c r="X243" s="937">
        <f t="shared" si="1346"/>
        <v>1613</v>
      </c>
      <c r="AK243" s="82" t="str">
        <f t="shared" si="1347"/>
        <v>Y</v>
      </c>
      <c r="AL243" s="419" t="s">
        <v>9</v>
      </c>
    </row>
    <row r="244" spans="2:38" x14ac:dyDescent="0.25">
      <c r="B244" s="650">
        <v>-0.55213225902242735</v>
      </c>
      <c r="C244" s="651">
        <v>-8.3568054936507199</v>
      </c>
      <c r="D244" s="652">
        <v>-3.6191109152385206</v>
      </c>
      <c r="E244" s="653">
        <v>0.84546997968873638</v>
      </c>
      <c r="F244" s="651">
        <v>-0.52107390847291768</v>
      </c>
      <c r="G244" s="654">
        <v>0.11688667740117011</v>
      </c>
      <c r="H244" s="653">
        <v>0.314</v>
      </c>
      <c r="I244" s="942">
        <v>0.52</v>
      </c>
      <c r="J244" s="946">
        <v>4.1399999999999997</v>
      </c>
      <c r="K244" s="931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>1613</v>
      </c>
      <c r="L244" s="683"/>
      <c r="M244" s="934"/>
      <c r="N244" s="31" t="str">
        <f t="shared" si="1344"/>
        <v>Y</v>
      </c>
      <c r="O244" s="162">
        <f t="shared" si="1338"/>
        <v>-0.55213225902242735</v>
      </c>
      <c r="P244" s="162">
        <f t="shared" si="1339"/>
        <v>-8.3568054936507199</v>
      </c>
      <c r="Q244" s="162">
        <f t="shared" si="1340"/>
        <v>-3.6191109152385206</v>
      </c>
      <c r="R244" s="162">
        <f t="shared" si="1345"/>
        <v>0.84546997968873638</v>
      </c>
      <c r="S244" s="162">
        <f t="shared" si="1341"/>
        <v>-0.52107390847291768</v>
      </c>
      <c r="T244" s="162">
        <f t="shared" si="1342"/>
        <v>0.11688667740117011</v>
      </c>
      <c r="U244" s="162">
        <f>IFERROR(IF(ISNUMBER(MATCH($X244,Settings!$AK$52:$AK$60,0)),INDEX(Settings!$AO$14:$AO$60,MATCH($X244,Settings!$AK$14:$AK$60,0))/2,INDEX(Settings!$AM$14:$AM$60,MATCH($X244,Settings!$AK$14:$AK$60,0))/2),"")</f>
        <v>0.3125</v>
      </c>
      <c r="V244" s="162">
        <f t="shared" si="1343"/>
        <v>0.52</v>
      </c>
      <c r="W244" s="75">
        <v>4.1399999999999997</v>
      </c>
      <c r="X244" s="937">
        <f t="shared" si="1346"/>
        <v>1613</v>
      </c>
      <c r="AK244" s="82" t="str">
        <f t="shared" si="1347"/>
        <v>Y</v>
      </c>
      <c r="AL244" s="419" t="s">
        <v>400</v>
      </c>
    </row>
    <row r="245" spans="2:38" x14ac:dyDescent="0.25">
      <c r="B245" s="650">
        <v>-0.57617661852360103</v>
      </c>
      <c r="C245" s="651">
        <v>-8.45160829723911</v>
      </c>
      <c r="D245" s="652">
        <v>-4.3816132149454567</v>
      </c>
      <c r="E245" s="653">
        <v>0.81627403074710603</v>
      </c>
      <c r="F245" s="651">
        <v>-0.57585346040328877</v>
      </c>
      <c r="G245" s="654">
        <v>4.5711036626076451E-2</v>
      </c>
      <c r="H245" s="653">
        <v>0.314</v>
      </c>
      <c r="I245" s="942">
        <v>0.52</v>
      </c>
      <c r="J245" s="946">
        <v>4.1429999999999998</v>
      </c>
      <c r="K245" s="931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>1613</v>
      </c>
      <c r="L245" s="683"/>
      <c r="M245" s="934"/>
      <c r="N245" s="31" t="str">
        <f t="shared" si="1344"/>
        <v>Y</v>
      </c>
      <c r="O245" s="162">
        <f t="shared" si="1338"/>
        <v>-0.57617661852360103</v>
      </c>
      <c r="P245" s="162">
        <f t="shared" si="1339"/>
        <v>-8.45160829723911</v>
      </c>
      <c r="Q245" s="162">
        <f t="shared" si="1340"/>
        <v>-4.3816132149454567</v>
      </c>
      <c r="R245" s="162">
        <f t="shared" si="1345"/>
        <v>0.81627403074710603</v>
      </c>
      <c r="S245" s="162">
        <f t="shared" si="1341"/>
        <v>-0.57585346040328877</v>
      </c>
      <c r="T245" s="162">
        <f t="shared" si="1342"/>
        <v>4.5711036626076451E-2</v>
      </c>
      <c r="U245" s="162">
        <f>IFERROR(IF(ISNUMBER(MATCH($X245,Settings!$AK$52:$AK$60,0)),INDEX(Settings!$AO$14:$AO$60,MATCH($X245,Settings!$AK$14:$AK$60,0))/2,INDEX(Settings!$AM$14:$AM$60,MATCH($X245,Settings!$AK$14:$AK$60,0))/2),"")</f>
        <v>0.3125</v>
      </c>
      <c r="V245" s="162">
        <f t="shared" si="1343"/>
        <v>0.52</v>
      </c>
      <c r="W245" s="75">
        <v>4.1429999999999998</v>
      </c>
      <c r="X245" s="937">
        <f t="shared" si="1346"/>
        <v>1613</v>
      </c>
      <c r="AK245" s="82" t="str">
        <f t="shared" si="1347"/>
        <v>Y</v>
      </c>
      <c r="AL245" s="419" t="s">
        <v>400</v>
      </c>
    </row>
    <row r="246" spans="2:38" x14ac:dyDescent="0.25">
      <c r="B246" s="650">
        <v>-0.58473598384237746</v>
      </c>
      <c r="C246" s="651">
        <v>-8.4898126403915946</v>
      </c>
      <c r="D246" s="652">
        <v>-5.1743156057358668</v>
      </c>
      <c r="E246" s="653">
        <v>0.80553699691793923</v>
      </c>
      <c r="F246" s="651">
        <v>-0.59225032633908159</v>
      </c>
      <c r="G246" s="654">
        <v>1.8700201808521926E-2</v>
      </c>
      <c r="H246" s="653">
        <v>0.314</v>
      </c>
      <c r="I246" s="942">
        <v>0.52</v>
      </c>
      <c r="J246" s="946">
        <v>4.1459999999999999</v>
      </c>
      <c r="K246" s="931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>1613</v>
      </c>
      <c r="L246" s="683"/>
      <c r="M246" s="934"/>
      <c r="N246" s="31" t="str">
        <f t="shared" si="1344"/>
        <v>Y</v>
      </c>
      <c r="O246" s="162">
        <f t="shared" si="1338"/>
        <v>-0.58473598384237746</v>
      </c>
      <c r="P246" s="162">
        <f t="shared" si="1339"/>
        <v>-8.4898126403915946</v>
      </c>
      <c r="Q246" s="162">
        <f t="shared" si="1340"/>
        <v>-5.1743156057358668</v>
      </c>
      <c r="R246" s="162">
        <f t="shared" si="1345"/>
        <v>0.80553699691793923</v>
      </c>
      <c r="S246" s="162">
        <f t="shared" si="1341"/>
        <v>-0.59225032633908159</v>
      </c>
      <c r="T246" s="162">
        <f t="shared" si="1342"/>
        <v>1.8700201808521926E-2</v>
      </c>
      <c r="U246" s="162">
        <f>IFERROR(IF(ISNUMBER(MATCH($X246,Settings!$AK$52:$AK$60,0)),INDEX(Settings!$AO$14:$AO$60,MATCH($X246,Settings!$AK$14:$AK$60,0))/2,INDEX(Settings!$AM$14:$AM$60,MATCH($X246,Settings!$AK$14:$AK$60,0))/2),"")</f>
        <v>0.3125</v>
      </c>
      <c r="V246" s="162">
        <f t="shared" si="1343"/>
        <v>0.52</v>
      </c>
      <c r="W246" s="75">
        <v>4.1459999999999999</v>
      </c>
      <c r="X246" s="937">
        <f t="shared" si="1346"/>
        <v>1613</v>
      </c>
      <c r="AK246" s="82" t="str">
        <f t="shared" si="1347"/>
        <v>Y</v>
      </c>
      <c r="AL246" s="419" t="s">
        <v>400</v>
      </c>
    </row>
    <row r="247" spans="2:38" x14ac:dyDescent="0.25">
      <c r="B247" s="650">
        <v>-1.1536608318690873</v>
      </c>
      <c r="C247" s="651">
        <v>-3.8995304524730838</v>
      </c>
      <c r="D247" s="652">
        <v>-0.19532454719211104</v>
      </c>
      <c r="E247" s="653">
        <v>4.2323974088889479E-2</v>
      </c>
      <c r="F247" s="651">
        <v>0.14306078638546915</v>
      </c>
      <c r="G247" s="654">
        <v>0.98880852171494471</v>
      </c>
      <c r="H247" s="653">
        <v>0.25700000000000001</v>
      </c>
      <c r="I247" s="942">
        <v>0.41499999999999992</v>
      </c>
      <c r="J247" s="946">
        <v>4.2160000000000002</v>
      </c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>CPS-32193r1</v>
      </c>
      <c r="L247" s="683"/>
      <c r="M247" s="934"/>
      <c r="N247" s="31" t="str">
        <f t="shared" si="1344"/>
        <v>Y</v>
      </c>
      <c r="O247" s="162">
        <f t="shared" si="1338"/>
        <v>-1.1536608318690873</v>
      </c>
      <c r="P247" s="162">
        <f t="shared" si="1339"/>
        <v>-3.8995304524730838</v>
      </c>
      <c r="Q247" s="162">
        <f t="shared" si="1340"/>
        <v>-0.19532454719211104</v>
      </c>
      <c r="R247" s="162">
        <f t="shared" si="1345"/>
        <v>4.2323974088889479E-2</v>
      </c>
      <c r="S247" s="162">
        <f t="shared" si="1341"/>
        <v>0.14306078638546915</v>
      </c>
      <c r="T247" s="162">
        <f t="shared" si="1342"/>
        <v>0.98880852171494471</v>
      </c>
      <c r="U247" s="162">
        <f>IFERROR(IF(ISNUMBER(MATCH($X247,Settings!$AK$52:$AK$60,0)),INDEX(Settings!$AO$14:$AO$60,MATCH($X247,Settings!$AK$14:$AK$60,0))/2,INDEX(Settings!$AM$14:$AM$60,MATCH($X247,Settings!$AK$14:$AK$60,0))/2),"")</f>
        <v>0.255</v>
      </c>
      <c r="V247" s="162">
        <f t="shared" si="1343"/>
        <v>0.41499999999999992</v>
      </c>
      <c r="W247" s="75">
        <v>4.2160000000000002</v>
      </c>
      <c r="X247" s="937" t="str">
        <f t="shared" si="1346"/>
        <v>CPS-32193r1</v>
      </c>
      <c r="AK247" s="82" t="str">
        <f t="shared" si="1347"/>
        <v>Y</v>
      </c>
      <c r="AL247" s="419" t="s">
        <v>400</v>
      </c>
    </row>
    <row r="248" spans="2:38" x14ac:dyDescent="0.25">
      <c r="B248" s="650">
        <v>-1.1827498923574904</v>
      </c>
      <c r="C248" s="651">
        <v>-4.6889094372190572</v>
      </c>
      <c r="D248" s="652">
        <v>-0.158613107554542</v>
      </c>
      <c r="E248" s="653">
        <v>-1.3738234186297289E-2</v>
      </c>
      <c r="F248" s="651">
        <v>-5.4464038714437182E-2</v>
      </c>
      <c r="G248" s="654">
        <v>0.99842121842855236</v>
      </c>
      <c r="H248" s="653">
        <v>0.25700000000000001</v>
      </c>
      <c r="I248" s="942">
        <v>0.41499999999999992</v>
      </c>
      <c r="J248" s="946">
        <v>4.2190000000000003</v>
      </c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>CPS-32193r1</v>
      </c>
      <c r="L248" s="683"/>
      <c r="M248" s="934"/>
      <c r="N248" s="31" t="str">
        <f t="shared" si="1344"/>
        <v>Y</v>
      </c>
      <c r="O248" s="162">
        <f t="shared" si="1338"/>
        <v>-1.1827498923574904</v>
      </c>
      <c r="P248" s="162">
        <f t="shared" si="1339"/>
        <v>-4.6889094372190572</v>
      </c>
      <c r="Q248" s="162">
        <f t="shared" si="1340"/>
        <v>-0.158613107554542</v>
      </c>
      <c r="R248" s="162">
        <f t="shared" si="1345"/>
        <v>-1.3738234186297289E-2</v>
      </c>
      <c r="S248" s="162">
        <f t="shared" si="1341"/>
        <v>-5.4464038714437182E-2</v>
      </c>
      <c r="T248" s="162">
        <f t="shared" si="1342"/>
        <v>0.99842121842855236</v>
      </c>
      <c r="U248" s="162">
        <f>IFERROR(IF(ISNUMBER(MATCH($X248,Settings!$AK$52:$AK$60,0)),INDEX(Settings!$AO$14:$AO$60,MATCH($X248,Settings!$AK$14:$AK$60,0))/2,INDEX(Settings!$AM$14:$AM$60,MATCH($X248,Settings!$AK$14:$AK$60,0))/2),"")</f>
        <v>0.255</v>
      </c>
      <c r="V248" s="162">
        <f t="shared" si="1343"/>
        <v>0.41499999999999992</v>
      </c>
      <c r="W248" s="75">
        <v>4.2190000000000003</v>
      </c>
      <c r="X248" s="937" t="str">
        <f t="shared" si="1346"/>
        <v>CPS-32193r1</v>
      </c>
      <c r="AK248" s="82" t="str">
        <f t="shared" si="1347"/>
        <v>Y</v>
      </c>
      <c r="AL248" s="419" t="s">
        <v>400</v>
      </c>
    </row>
    <row r="249" spans="2:38" x14ac:dyDescent="0.25">
      <c r="B249" s="650">
        <v>-1.2398122257973712</v>
      </c>
      <c r="C249" s="651">
        <v>-5.4562943937313326</v>
      </c>
      <c r="D249" s="652">
        <v>-0.28222020790698304</v>
      </c>
      <c r="E249" s="653">
        <v>-5.7759350113596071E-2</v>
      </c>
      <c r="F249" s="651">
        <v>-0.25419334609940064</v>
      </c>
      <c r="G249" s="654">
        <v>0.9654271594860202</v>
      </c>
      <c r="H249" s="653">
        <v>0.25700000000000001</v>
      </c>
      <c r="I249" s="942">
        <v>0.41499999999999992</v>
      </c>
      <c r="J249" s="946">
        <v>4.2220000000000004</v>
      </c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>CPS-32193r1</v>
      </c>
      <c r="L249" s="683"/>
      <c r="M249" s="934"/>
      <c r="N249" s="31" t="str">
        <f t="shared" si="1344"/>
        <v>Y</v>
      </c>
      <c r="O249" s="162">
        <f t="shared" si="1338"/>
        <v>-1.2398122257973712</v>
      </c>
      <c r="P249" s="162">
        <f t="shared" si="1339"/>
        <v>-5.4562943937313326</v>
      </c>
      <c r="Q249" s="162">
        <f t="shared" si="1340"/>
        <v>-0.28222020790698304</v>
      </c>
      <c r="R249" s="162">
        <f t="shared" si="1345"/>
        <v>-5.7759350113596071E-2</v>
      </c>
      <c r="S249" s="162">
        <f t="shared" si="1341"/>
        <v>-0.25419334609940064</v>
      </c>
      <c r="T249" s="162">
        <f t="shared" si="1342"/>
        <v>0.9654271594860202</v>
      </c>
      <c r="U249" s="162">
        <f>IFERROR(IF(ISNUMBER(MATCH($X249,Settings!$AK$52:$AK$60,0)),INDEX(Settings!$AO$14:$AO$60,MATCH($X249,Settings!$AK$14:$AK$60,0))/2,INDEX(Settings!$AM$14:$AM$60,MATCH($X249,Settings!$AK$14:$AK$60,0))/2),"")</f>
        <v>0.255</v>
      </c>
      <c r="V249" s="162">
        <f t="shared" si="1343"/>
        <v>0.41499999999999992</v>
      </c>
      <c r="W249" s="75">
        <v>4.2220000000000004</v>
      </c>
      <c r="X249" s="937" t="str">
        <f t="shared" si="1346"/>
        <v>CPS-32193r1</v>
      </c>
      <c r="AK249" s="82" t="str">
        <f t="shared" si="1347"/>
        <v>Y</v>
      </c>
      <c r="AL249" s="419" t="s">
        <v>400</v>
      </c>
    </row>
    <row r="250" spans="2:38" x14ac:dyDescent="0.25">
      <c r="B250" s="650">
        <v>-1.3196562837487911</v>
      </c>
      <c r="C250" s="651">
        <v>-6.1730156842350263</v>
      </c>
      <c r="D250" s="652">
        <v>-0.56098441685277001</v>
      </c>
      <c r="E250" s="653">
        <v>-9.4908775167767356E-2</v>
      </c>
      <c r="F250" s="651">
        <v>-0.44395905577614136</v>
      </c>
      <c r="G250" s="654">
        <v>0.89100655507718418</v>
      </c>
      <c r="H250" s="653">
        <v>0.25700000000000001</v>
      </c>
      <c r="I250" s="942">
        <v>0.41499999999999992</v>
      </c>
      <c r="J250" s="946">
        <v>4.2249999999999996</v>
      </c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>CPS-32193r1</v>
      </c>
      <c r="L250" s="683"/>
      <c r="M250" s="934"/>
      <c r="N250" s="31" t="str">
        <f t="shared" si="1344"/>
        <v>Y</v>
      </c>
      <c r="O250" s="162">
        <f t="shared" si="1338"/>
        <v>-1.3196562837487911</v>
      </c>
      <c r="P250" s="162">
        <f t="shared" si="1339"/>
        <v>-6.1730156842350263</v>
      </c>
      <c r="Q250" s="162">
        <f t="shared" si="1340"/>
        <v>-0.56098441685277001</v>
      </c>
      <c r="R250" s="162">
        <f t="shared" si="1345"/>
        <v>-9.4908775167767356E-2</v>
      </c>
      <c r="S250" s="162">
        <f t="shared" si="1341"/>
        <v>-0.44395905577614136</v>
      </c>
      <c r="T250" s="162">
        <f t="shared" si="1342"/>
        <v>0.89100655507718418</v>
      </c>
      <c r="U250" s="162">
        <f>IFERROR(IF(ISNUMBER(MATCH($X250,Settings!$AK$52:$AK$60,0)),INDEX(Settings!$AO$14:$AO$60,MATCH($X250,Settings!$AK$14:$AK$60,0))/2,INDEX(Settings!$AM$14:$AM$60,MATCH($X250,Settings!$AK$14:$AK$60,0))/2),"")</f>
        <v>0.255</v>
      </c>
      <c r="V250" s="162">
        <f t="shared" si="1343"/>
        <v>0.41499999999999992</v>
      </c>
      <c r="W250" s="75">
        <v>4.2249999999999996</v>
      </c>
      <c r="X250" s="937" t="str">
        <f t="shared" si="1346"/>
        <v>CPS-32193r1</v>
      </c>
      <c r="AK250" s="82" t="str">
        <f t="shared" si="1347"/>
        <v>Y</v>
      </c>
      <c r="AL250" s="419" t="s">
        <v>400</v>
      </c>
    </row>
    <row r="251" spans="2:38" x14ac:dyDescent="0.25">
      <c r="B251" s="650">
        <v>-1.4134111863085133</v>
      </c>
      <c r="C251" s="651">
        <v>-6.8111434418496168</v>
      </c>
      <c r="D251" s="652">
        <v>-0.9820126552028754</v>
      </c>
      <c r="E251" s="653">
        <v>-0.12728934915335788</v>
      </c>
      <c r="F251" s="651">
        <v>-0.6133997127669234</v>
      </c>
      <c r="G251" s="654">
        <v>0.77944737729340685</v>
      </c>
      <c r="H251" s="653">
        <v>0.25700000000000001</v>
      </c>
      <c r="I251" s="942">
        <v>0.41499999999999992</v>
      </c>
      <c r="J251" s="946">
        <v>4.2279999999999998</v>
      </c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>CPS-32193r1</v>
      </c>
      <c r="L251" s="683"/>
      <c r="M251" s="934"/>
      <c r="N251" s="31" t="str">
        <f t="shared" si="1344"/>
        <v>Y</v>
      </c>
      <c r="O251" s="162">
        <f t="shared" si="1338"/>
        <v>-1.4134111863085133</v>
      </c>
      <c r="P251" s="162">
        <f t="shared" si="1339"/>
        <v>-6.8111434418496168</v>
      </c>
      <c r="Q251" s="162">
        <f t="shared" si="1340"/>
        <v>-0.9820126552028754</v>
      </c>
      <c r="R251" s="162">
        <f t="shared" si="1345"/>
        <v>-0.12728934915335788</v>
      </c>
      <c r="S251" s="162">
        <f t="shared" si="1341"/>
        <v>-0.6133997127669234</v>
      </c>
      <c r="T251" s="162">
        <f t="shared" si="1342"/>
        <v>0.77944737729340685</v>
      </c>
      <c r="U251" s="162">
        <f>IFERROR(IF(ISNUMBER(MATCH($X251,Settings!$AK$52:$AK$60,0)),INDEX(Settings!$AO$14:$AO$60,MATCH($X251,Settings!$AK$14:$AK$60,0))/2,INDEX(Settings!$AM$14:$AM$60,MATCH($X251,Settings!$AK$14:$AK$60,0))/2),"")</f>
        <v>0.255</v>
      </c>
      <c r="V251" s="162">
        <f t="shared" si="1343"/>
        <v>0.41499999999999992</v>
      </c>
      <c r="W251" s="75">
        <v>4.2279999999999998</v>
      </c>
      <c r="X251" s="937" t="str">
        <f t="shared" si="1346"/>
        <v>CPS-32193r1</v>
      </c>
      <c r="AK251" s="82" t="str">
        <f t="shared" si="1347"/>
        <v>Y</v>
      </c>
      <c r="AL251" s="419" t="s">
        <v>400</v>
      </c>
    </row>
    <row r="252" spans="2:38" x14ac:dyDescent="0.25">
      <c r="B252" s="650">
        <v>-1.509788103066783</v>
      </c>
      <c r="C252" s="651">
        <v>-7.3454822535167024</v>
      </c>
      <c r="D252" s="652">
        <v>-1.5265353843360574</v>
      </c>
      <c r="E252" s="653">
        <v>-0.15566431165736772</v>
      </c>
      <c r="F252" s="651">
        <v>-0.75734431637292399</v>
      </c>
      <c r="G252" s="654">
        <v>0.63419098742718372</v>
      </c>
      <c r="H252" s="653">
        <v>0.25700000000000001</v>
      </c>
      <c r="I252" s="942">
        <v>0.41499999999999992</v>
      </c>
      <c r="J252" s="946">
        <v>4.2309999999999999</v>
      </c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>CPS-32193r1</v>
      </c>
      <c r="L252" s="683"/>
      <c r="M252" s="934"/>
      <c r="N252" s="31" t="str">
        <f t="shared" si="1344"/>
        <v>Y</v>
      </c>
      <c r="O252" s="162">
        <f t="shared" si="1338"/>
        <v>-1.509788103066783</v>
      </c>
      <c r="P252" s="162">
        <f t="shared" si="1339"/>
        <v>-7.3454822535167024</v>
      </c>
      <c r="Q252" s="162">
        <f t="shared" si="1340"/>
        <v>-1.5265353843360574</v>
      </c>
      <c r="R252" s="162">
        <f t="shared" si="1345"/>
        <v>-0.15566431165736772</v>
      </c>
      <c r="S252" s="162">
        <f t="shared" si="1341"/>
        <v>-0.75734431637292399</v>
      </c>
      <c r="T252" s="162">
        <f t="shared" si="1342"/>
        <v>0.63419098742718372</v>
      </c>
      <c r="U252" s="162">
        <f>IFERROR(IF(ISNUMBER(MATCH($X252,Settings!$AK$52:$AK$60,0)),INDEX(Settings!$AO$14:$AO$60,MATCH($X252,Settings!$AK$14:$AK$60,0))/2,INDEX(Settings!$AM$14:$AM$60,MATCH($X252,Settings!$AK$14:$AK$60,0))/2),"")</f>
        <v>0.255</v>
      </c>
      <c r="V252" s="162">
        <f t="shared" si="1343"/>
        <v>0.41499999999999992</v>
      </c>
      <c r="W252" s="75">
        <v>4.2309999999999999</v>
      </c>
      <c r="X252" s="937" t="str">
        <f t="shared" si="1346"/>
        <v>CPS-32193r1</v>
      </c>
      <c r="AK252" s="82" t="str">
        <f t="shared" si="1347"/>
        <v>Y</v>
      </c>
      <c r="AL252" s="419" t="s">
        <v>9</v>
      </c>
    </row>
    <row r="253" spans="2:38" x14ac:dyDescent="0.25">
      <c r="B253" s="650">
        <v>-1.5934756648222848</v>
      </c>
      <c r="C253" s="651">
        <v>-7.7565477760529689</v>
      </c>
      <c r="D253" s="652">
        <v>-2.1702765335643828</v>
      </c>
      <c r="E253" s="653">
        <v>-0.17817097009737523</v>
      </c>
      <c r="F253" s="651">
        <v>-0.86728129733950077</v>
      </c>
      <c r="G253" s="654">
        <v>0.46484218472474376</v>
      </c>
      <c r="H253" s="653">
        <v>0.25700000000000001</v>
      </c>
      <c r="I253" s="942">
        <v>0.41499999999999992</v>
      </c>
      <c r="J253" s="946">
        <v>4.234</v>
      </c>
      <c r="K253" s="931" t="str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>CPS-32193r1</v>
      </c>
      <c r="L253" s="683"/>
      <c r="M253" s="934"/>
      <c r="N253" s="31" t="str">
        <f t="shared" si="1344"/>
        <v>Y</v>
      </c>
      <c r="O253" s="162">
        <f t="shared" si="1338"/>
        <v>-1.5934756648222848</v>
      </c>
      <c r="P253" s="162">
        <f t="shared" si="1339"/>
        <v>-7.7565477760529689</v>
      </c>
      <c r="Q253" s="162">
        <f t="shared" si="1340"/>
        <v>-2.1702765335643828</v>
      </c>
      <c r="R253" s="162">
        <f t="shared" si="1345"/>
        <v>-0.17817097009737523</v>
      </c>
      <c r="S253" s="162">
        <f t="shared" si="1341"/>
        <v>-0.86728129733950077</v>
      </c>
      <c r="T253" s="162">
        <f t="shared" si="1342"/>
        <v>0.46484218472474376</v>
      </c>
      <c r="U253" s="162">
        <f>IFERROR(IF(ISNUMBER(MATCH($X253,Settings!$AK$52:$AK$60,0)),INDEX(Settings!$AO$14:$AO$60,MATCH($X253,Settings!$AK$14:$AK$60,0))/2,INDEX(Settings!$AM$14:$AM$60,MATCH($X253,Settings!$AK$14:$AK$60,0))/2),"")</f>
        <v>0.255</v>
      </c>
      <c r="V253" s="162">
        <f t="shared" si="1343"/>
        <v>0.41499999999999992</v>
      </c>
      <c r="W253" s="75">
        <v>4.234</v>
      </c>
      <c r="X253" s="937" t="str">
        <f t="shared" si="1346"/>
        <v>CPS-32193r1</v>
      </c>
      <c r="AK253" s="82" t="str">
        <f t="shared" si="1347"/>
        <v>Y</v>
      </c>
      <c r="AL253" s="419" t="s">
        <v>9</v>
      </c>
    </row>
    <row r="254" spans="2:38" x14ac:dyDescent="0.25">
      <c r="B254" s="650">
        <v>-1.6549765533782714</v>
      </c>
      <c r="C254" s="651">
        <v>-8.0288763974958197</v>
      </c>
      <c r="D254" s="652">
        <v>-2.88552040837794</v>
      </c>
      <c r="E254" s="653">
        <v>-0.1941116004573139</v>
      </c>
      <c r="F254" s="651">
        <v>-0.94170400433198553</v>
      </c>
      <c r="G254" s="654">
        <v>0.27479857130815666</v>
      </c>
      <c r="H254" s="653">
        <v>0.25700000000000001</v>
      </c>
      <c r="I254" s="942">
        <v>0.41499999999999992</v>
      </c>
      <c r="J254" s="946">
        <v>4.2370000000000001</v>
      </c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>CPS-32193r1</v>
      </c>
      <c r="L254" s="683"/>
      <c r="M254" s="934"/>
      <c r="N254" s="31" t="str">
        <f t="shared" si="1344"/>
        <v>Y</v>
      </c>
      <c r="O254" s="162">
        <f t="shared" si="1338"/>
        <v>-1.6549765533782714</v>
      </c>
      <c r="P254" s="162">
        <f t="shared" si="1339"/>
        <v>-8.0288763974958197</v>
      </c>
      <c r="Q254" s="162">
        <f t="shared" si="1340"/>
        <v>-2.88552040837794</v>
      </c>
      <c r="R254" s="162">
        <f t="shared" si="1345"/>
        <v>-0.1941116004573139</v>
      </c>
      <c r="S254" s="162">
        <f t="shared" si="1341"/>
        <v>-0.94170400433198553</v>
      </c>
      <c r="T254" s="162">
        <f t="shared" si="1342"/>
        <v>0.27479857130815666</v>
      </c>
      <c r="U254" s="162">
        <f>IFERROR(IF(ISNUMBER(MATCH($X254,Settings!$AK$52:$AK$60,0)),INDEX(Settings!$AO$14:$AO$60,MATCH($X254,Settings!$AK$14:$AK$60,0))/2,INDEX(Settings!$AM$14:$AM$60,MATCH($X254,Settings!$AK$14:$AK$60,0))/2),"")</f>
        <v>0.255</v>
      </c>
      <c r="V254" s="162">
        <f t="shared" si="1343"/>
        <v>0.41499999999999992</v>
      </c>
      <c r="W254" s="75">
        <v>4.2370000000000001</v>
      </c>
      <c r="X254" s="937" t="str">
        <f t="shared" si="1346"/>
        <v>CPS-32193r1</v>
      </c>
      <c r="AK254" s="82" t="str">
        <f t="shared" si="1347"/>
        <v>Y</v>
      </c>
      <c r="AL254" s="419" t="s">
        <v>9</v>
      </c>
    </row>
    <row r="255" spans="2:38" x14ac:dyDescent="0.25">
      <c r="B255" s="650">
        <v>-1.6914208103122288</v>
      </c>
      <c r="C255" s="651">
        <v>-8.187392681382164</v>
      </c>
      <c r="D255" s="652">
        <v>-3.6357005532084909</v>
      </c>
      <c r="E255" s="653">
        <v>-0.19924873905377075</v>
      </c>
      <c r="F255" s="651">
        <v>-0.96447179670346761</v>
      </c>
      <c r="G255" s="654">
        <v>0.17347649220879366</v>
      </c>
      <c r="H255" s="653">
        <v>0.25700000000000001</v>
      </c>
      <c r="I255" s="942">
        <v>0.41499999999999992</v>
      </c>
      <c r="J255" s="946">
        <v>4.24</v>
      </c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>CPS-32193r1</v>
      </c>
      <c r="L255" s="683"/>
      <c r="M255" s="934"/>
      <c r="N255" s="31" t="str">
        <f t="shared" si="1344"/>
        <v>Y</v>
      </c>
      <c r="O255" s="162">
        <f t="shared" si="1338"/>
        <v>-1.6914208103122288</v>
      </c>
      <c r="P255" s="162">
        <f t="shared" si="1339"/>
        <v>-8.187392681382164</v>
      </c>
      <c r="Q255" s="162">
        <f t="shared" si="1340"/>
        <v>-3.6357005532084909</v>
      </c>
      <c r="R255" s="162">
        <f t="shared" si="1345"/>
        <v>-0.19924873905377075</v>
      </c>
      <c r="S255" s="162">
        <f t="shared" si="1341"/>
        <v>-0.96447179670346761</v>
      </c>
      <c r="T255" s="162">
        <f t="shared" si="1342"/>
        <v>0.17347649220879366</v>
      </c>
      <c r="U255" s="162">
        <f>IFERROR(IF(ISNUMBER(MATCH($X255,Settings!$AK$52:$AK$60,0)),INDEX(Settings!$AO$14:$AO$60,MATCH($X255,Settings!$AK$14:$AK$60,0))/2,INDEX(Settings!$AM$14:$AM$60,MATCH($X255,Settings!$AK$14:$AK$60,0))/2),"")</f>
        <v>0.255</v>
      </c>
      <c r="V255" s="162">
        <f t="shared" si="1343"/>
        <v>0.41499999999999992</v>
      </c>
      <c r="W255" s="75">
        <v>4.24</v>
      </c>
      <c r="X255" s="937" t="str">
        <f t="shared" si="1346"/>
        <v>CPS-32193r1</v>
      </c>
      <c r="AK255" s="82" t="str">
        <f t="shared" si="1347"/>
        <v>Y</v>
      </c>
      <c r="AL255" s="419" t="s">
        <v>9</v>
      </c>
    </row>
    <row r="256" spans="2:38" x14ac:dyDescent="0.25">
      <c r="B256" s="650">
        <v>-1.7133973508489282</v>
      </c>
      <c r="C256" s="651">
        <v>-8.272045888587451</v>
      </c>
      <c r="D256" s="652">
        <v>-4.3966931825057509</v>
      </c>
      <c r="E256" s="653">
        <v>-0.20223070618111233</v>
      </c>
      <c r="F256" s="651">
        <v>-0.97634193305059214</v>
      </c>
      <c r="G256" s="654">
        <v>7.654522352519301E-2</v>
      </c>
      <c r="H256" s="653">
        <v>0.25700000000000001</v>
      </c>
      <c r="I256" s="942">
        <v>0.41499999999999992</v>
      </c>
      <c r="J256" s="946">
        <v>4.2430000000000003</v>
      </c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>CPS-32193r1</v>
      </c>
      <c r="L256" s="683"/>
      <c r="M256" s="934"/>
      <c r="N256" s="31" t="str">
        <f t="shared" si="1344"/>
        <v>Y</v>
      </c>
      <c r="O256" s="162">
        <f t="shared" si="1338"/>
        <v>-1.7133973508489282</v>
      </c>
      <c r="P256" s="162">
        <f t="shared" si="1339"/>
        <v>-8.272045888587451</v>
      </c>
      <c r="Q256" s="162">
        <f t="shared" si="1340"/>
        <v>-4.3966931825057509</v>
      </c>
      <c r="R256" s="162">
        <f t="shared" si="1345"/>
        <v>-0.20223070618111233</v>
      </c>
      <c r="S256" s="162">
        <f t="shared" si="1341"/>
        <v>-0.97634193305059214</v>
      </c>
      <c r="T256" s="162">
        <f t="shared" si="1342"/>
        <v>7.654522352519301E-2</v>
      </c>
      <c r="U256" s="162">
        <f>IFERROR(IF(ISNUMBER(MATCH($X256,Settings!$AK$52:$AK$60,0)),INDEX(Settings!$AO$14:$AO$60,MATCH($X256,Settings!$AK$14:$AK$60,0))/2,INDEX(Settings!$AM$14:$AM$60,MATCH($X256,Settings!$AK$14:$AK$60,0))/2),"")</f>
        <v>0.255</v>
      </c>
      <c r="V256" s="162">
        <f t="shared" si="1343"/>
        <v>0.41499999999999992</v>
      </c>
      <c r="W256" s="75">
        <v>4.2430000000000003</v>
      </c>
      <c r="X256" s="937" t="str">
        <f t="shared" si="1346"/>
        <v>CPS-32193r1</v>
      </c>
      <c r="AK256" s="82" t="str">
        <f t="shared" si="1347"/>
        <v>Y</v>
      </c>
      <c r="AL256" s="419" t="s">
        <v>9</v>
      </c>
    </row>
    <row r="257" spans="2:24" x14ac:dyDescent="0.25">
      <c r="B257" s="650">
        <v>-0.48526724163317159</v>
      </c>
      <c r="C257" s="651">
        <v>-0.33978755283835538</v>
      </c>
      <c r="D257" s="652">
        <v>-1.0931032967995433</v>
      </c>
      <c r="E257" s="653">
        <v>0.56827068396935088</v>
      </c>
      <c r="F257" s="651">
        <v>-0.74924549083357772</v>
      </c>
      <c r="G257" s="654">
        <v>0.34014647463491021</v>
      </c>
      <c r="H257" s="653">
        <v>0.314</v>
      </c>
      <c r="I257" s="942">
        <v>0.52</v>
      </c>
      <c r="J257" s="946">
        <v>5.1020000000000003</v>
      </c>
      <c r="K257" s="931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>1613</v>
      </c>
      <c r="L257" s="683"/>
      <c r="M257" s="934"/>
      <c r="N257" s="31" t="str">
        <f t="shared" si="1344"/>
        <v>Y</v>
      </c>
      <c r="O257" s="162">
        <f t="shared" si="1338"/>
        <v>-0.48526724163317159</v>
      </c>
      <c r="P257" s="162">
        <f t="shared" si="1339"/>
        <v>-0.33978755283835538</v>
      </c>
      <c r="Q257" s="162">
        <f t="shared" si="1340"/>
        <v>-1.0931032967995433</v>
      </c>
      <c r="R257" s="162">
        <f t="shared" si="1345"/>
        <v>0.56827068396935088</v>
      </c>
      <c r="S257" s="162">
        <f t="shared" si="1341"/>
        <v>-0.74924549083357772</v>
      </c>
      <c r="T257" s="162">
        <f t="shared" si="1342"/>
        <v>0.34014647463491021</v>
      </c>
      <c r="U257" s="162">
        <f>IFERROR(IF(ISNUMBER(MATCH($X257,Settings!$AK$52:$AK$60,0)),INDEX(Settings!$AO$14:$AO$60,MATCH($X257,Settings!$AK$14:$AK$60,0))/2,INDEX(Settings!$AM$14:$AM$60,MATCH($X257,Settings!$AK$14:$AK$60,0))/2),"")</f>
        <v>0.3125</v>
      </c>
      <c r="V257" s="162">
        <f t="shared" si="1343"/>
        <v>0.52</v>
      </c>
      <c r="W257" s="75">
        <v>5.1020000000000003</v>
      </c>
      <c r="X257" s="937">
        <f t="shared" si="1346"/>
        <v>1613</v>
      </c>
    </row>
    <row r="258" spans="2:24" x14ac:dyDescent="0.25">
      <c r="B258" s="650">
        <v>-1.0957013207436364</v>
      </c>
      <c r="C258" s="651">
        <v>-0.76721781005500345</v>
      </c>
      <c r="D258" s="652">
        <v>-0.90480272888503033</v>
      </c>
      <c r="E258" s="653">
        <v>0.56512790748005948</v>
      </c>
      <c r="F258" s="651">
        <v>-0.78347089964357741</v>
      </c>
      <c r="G258" s="654">
        <v>0.25846430623761785</v>
      </c>
      <c r="H258" s="653">
        <v>0.314</v>
      </c>
      <c r="I258" s="942">
        <v>0.52</v>
      </c>
      <c r="J258" s="946">
        <v>5.1050000000000004</v>
      </c>
      <c r="K258" s="931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>1613</v>
      </c>
      <c r="L258" s="683"/>
      <c r="M258" s="934"/>
      <c r="N258" s="31" t="str">
        <f t="shared" si="1344"/>
        <v>Y</v>
      </c>
      <c r="O258" s="162">
        <f t="shared" si="1338"/>
        <v>-1.0957013207436364</v>
      </c>
      <c r="P258" s="162">
        <f t="shared" si="1339"/>
        <v>-0.76721781005500345</v>
      </c>
      <c r="Q258" s="162">
        <f t="shared" si="1340"/>
        <v>-0.90480272888503033</v>
      </c>
      <c r="R258" s="162">
        <f t="shared" si="1345"/>
        <v>0.56512790748005948</v>
      </c>
      <c r="S258" s="162">
        <f t="shared" si="1341"/>
        <v>-0.78347089964357741</v>
      </c>
      <c r="T258" s="162">
        <f t="shared" si="1342"/>
        <v>0.25846430623761785</v>
      </c>
      <c r="U258" s="162">
        <f>IFERROR(IF(ISNUMBER(MATCH($X258,Settings!$AK$52:$AK$60,0)),INDEX(Settings!$AO$14:$AO$60,MATCH($X258,Settings!$AK$14:$AK$60,0))/2,INDEX(Settings!$AM$14:$AM$60,MATCH($X258,Settings!$AK$14:$AK$60,0))/2),"")</f>
        <v>0.3125</v>
      </c>
      <c r="V258" s="162">
        <f t="shared" si="1343"/>
        <v>0.52</v>
      </c>
      <c r="W258" s="75">
        <v>5.1050000000000004</v>
      </c>
      <c r="X258" s="937">
        <f t="shared" si="1346"/>
        <v>1613</v>
      </c>
    </row>
    <row r="259" spans="2:24" x14ac:dyDescent="0.25">
      <c r="B259" s="650">
        <v>-1.7040055976457185</v>
      </c>
      <c r="C259" s="651">
        <v>-1.1931567647102412</v>
      </c>
      <c r="D259" s="652">
        <v>-0.70580212869922032</v>
      </c>
      <c r="E259" s="653">
        <v>0.56512790748005959</v>
      </c>
      <c r="F259" s="651">
        <v>-0.78347089964357719</v>
      </c>
      <c r="G259" s="654">
        <v>0.25846430623761779</v>
      </c>
      <c r="H259" s="653">
        <v>0.314</v>
      </c>
      <c r="I259" s="942">
        <v>0.52</v>
      </c>
      <c r="J259" s="946">
        <v>5.1079999999999997</v>
      </c>
      <c r="K259" s="931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>1613</v>
      </c>
      <c r="L259" s="683"/>
      <c r="M259" s="934"/>
      <c r="N259" s="31" t="str">
        <f t="shared" si="1344"/>
        <v>Y</v>
      </c>
      <c r="O259" s="162">
        <f t="shared" si="1338"/>
        <v>-1.7040055976457185</v>
      </c>
      <c r="P259" s="162">
        <f t="shared" si="1339"/>
        <v>-1.1931567647102412</v>
      </c>
      <c r="Q259" s="162">
        <f t="shared" si="1340"/>
        <v>-0.70580212869922032</v>
      </c>
      <c r="R259" s="162">
        <f t="shared" si="1345"/>
        <v>0.56512790748005959</v>
      </c>
      <c r="S259" s="162">
        <f t="shared" si="1341"/>
        <v>-0.78347089964357719</v>
      </c>
      <c r="T259" s="162">
        <f t="shared" si="1342"/>
        <v>0.25846430623761779</v>
      </c>
      <c r="U259" s="162">
        <f>IFERROR(IF(ISNUMBER(MATCH($X259,Settings!$AK$52:$AK$60,0)),INDEX(Settings!$AO$14:$AO$60,MATCH($X259,Settings!$AK$14:$AK$60,0))/2,INDEX(Settings!$AM$14:$AM$60,MATCH($X259,Settings!$AK$14:$AK$60,0))/2),"")</f>
        <v>0.3125</v>
      </c>
      <c r="V259" s="162">
        <f t="shared" si="1343"/>
        <v>0.52</v>
      </c>
      <c r="W259" s="75">
        <v>5.1079999999999997</v>
      </c>
      <c r="X259" s="937">
        <f t="shared" si="1346"/>
        <v>1613</v>
      </c>
    </row>
    <row r="260" spans="2:24" x14ac:dyDescent="0.25">
      <c r="B260" s="650">
        <v>-2.3122279590782471</v>
      </c>
      <c r="C260" s="651">
        <v>-1.6190383615746551</v>
      </c>
      <c r="D260" s="652">
        <v>-0.50690152881501083</v>
      </c>
      <c r="E260" s="653">
        <v>0.5651279074800597</v>
      </c>
      <c r="F260" s="651">
        <v>-0.78347089964357719</v>
      </c>
      <c r="G260" s="654">
        <v>0.25846430623761785</v>
      </c>
      <c r="H260" s="653">
        <v>0.314</v>
      </c>
      <c r="I260" s="942">
        <v>0.52</v>
      </c>
      <c r="J260" s="946">
        <v>5.1109999999999998</v>
      </c>
      <c r="K260" s="931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>1613</v>
      </c>
      <c r="L260" s="683"/>
      <c r="M260" s="934"/>
      <c r="N260" s="31" t="str">
        <f t="shared" si="1344"/>
        <v>Y</v>
      </c>
      <c r="O260" s="162">
        <f t="shared" ref="O260:O291" si="1348">IFERROR(INDEX(B$164:B$305,MATCH($W260,$J$164:$J$305,0)),"")</f>
        <v>-2.3122279590782471</v>
      </c>
      <c r="P260" s="162">
        <f t="shared" ref="P260:P291" si="1349">IFERROR(INDEX(C$164:C$305,MATCH($W260,$J$164:$J$305,0)),"")</f>
        <v>-1.6190383615746551</v>
      </c>
      <c r="Q260" s="162">
        <f t="shared" ref="Q260:Q291" si="1350">IFERROR(INDEX(D$164:D$305,MATCH($W260,$J$164:$J$305,0)),"")</f>
        <v>-0.50690152881501083</v>
      </c>
      <c r="R260" s="162">
        <f t="shared" si="1345"/>
        <v>0.5651279074800597</v>
      </c>
      <c r="S260" s="162">
        <f t="shared" si="1341"/>
        <v>-0.78347089964357719</v>
      </c>
      <c r="T260" s="162">
        <f t="shared" si="1342"/>
        <v>0.25846430623761785</v>
      </c>
      <c r="U260" s="162">
        <f>IFERROR(IF(ISNUMBER(MATCH($X260,Settings!$AK$52:$AK$60,0)),INDEX(Settings!$AO$14:$AO$60,MATCH($X260,Settings!$AK$14:$AK$60,0))/2,INDEX(Settings!$AM$14:$AM$60,MATCH($X260,Settings!$AK$14:$AK$60,0))/2),"")</f>
        <v>0.3125</v>
      </c>
      <c r="V260" s="162">
        <f t="shared" ref="V260:V291" si="1351">IFERROR(INDEX(I$164:I$305,MATCH($W260,$J$164:$J$305,0)),"")</f>
        <v>0.52</v>
      </c>
      <c r="W260" s="75">
        <v>5.1109999999999998</v>
      </c>
      <c r="X260" s="937">
        <f t="shared" si="1346"/>
        <v>1613</v>
      </c>
    </row>
    <row r="261" spans="2:24" x14ac:dyDescent="0.25">
      <c r="B261" s="650">
        <v>-2.9205322359803287</v>
      </c>
      <c r="C261" s="651">
        <v>-2.0449773162298928</v>
      </c>
      <c r="D261" s="652">
        <v>-0.30790092862920088</v>
      </c>
      <c r="E261" s="653">
        <v>0.5651279074800597</v>
      </c>
      <c r="F261" s="651">
        <v>-0.78347089964357719</v>
      </c>
      <c r="G261" s="654">
        <v>0.25846430623761785</v>
      </c>
      <c r="H261" s="653">
        <v>0.314</v>
      </c>
      <c r="I261" s="942">
        <v>0.52</v>
      </c>
      <c r="J261" s="946">
        <v>5.1139999999999999</v>
      </c>
      <c r="K261" s="931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>1613</v>
      </c>
      <c r="L261" s="683"/>
      <c r="M261" s="934"/>
      <c r="N261" s="31" t="str">
        <f t="shared" si="1344"/>
        <v>Y</v>
      </c>
      <c r="O261" s="162">
        <f t="shared" si="1348"/>
        <v>-2.9205322359803287</v>
      </c>
      <c r="P261" s="162">
        <f t="shared" si="1349"/>
        <v>-2.0449773162298928</v>
      </c>
      <c r="Q261" s="162">
        <f t="shared" si="1350"/>
        <v>-0.30790092862920088</v>
      </c>
      <c r="R261" s="162">
        <f t="shared" si="1345"/>
        <v>0.5651279074800597</v>
      </c>
      <c r="S261" s="162">
        <f t="shared" si="1341"/>
        <v>-0.78347089964357719</v>
      </c>
      <c r="T261" s="162">
        <f t="shared" si="1342"/>
        <v>0.25846430623761785</v>
      </c>
      <c r="U261" s="162">
        <f>IFERROR(IF(ISNUMBER(MATCH($X261,Settings!$AK$52:$AK$60,0)),INDEX(Settings!$AO$14:$AO$60,MATCH($X261,Settings!$AK$14:$AK$60,0))/2,INDEX(Settings!$AM$14:$AM$60,MATCH($X261,Settings!$AK$14:$AK$60,0))/2),"")</f>
        <v>0.3125</v>
      </c>
      <c r="V261" s="162">
        <f t="shared" si="1351"/>
        <v>0.52</v>
      </c>
      <c r="W261" s="75">
        <v>5.1139999999999999</v>
      </c>
      <c r="X261" s="937">
        <f t="shared" si="1346"/>
        <v>1613</v>
      </c>
    </row>
    <row r="262" spans="2:24" x14ac:dyDescent="0.25">
      <c r="B262" s="650">
        <v>-3.544525339274434</v>
      </c>
      <c r="C262" s="651">
        <v>-2.4699353719826593</v>
      </c>
      <c r="D262" s="652">
        <v>-0.16870050880073451</v>
      </c>
      <c r="E262" s="653">
        <v>0.52926430525698231</v>
      </c>
      <c r="F262" s="651">
        <v>-0.80794988886488361</v>
      </c>
      <c r="G262" s="654">
        <v>0.2590294814573546</v>
      </c>
      <c r="H262" s="653">
        <v>0.314</v>
      </c>
      <c r="I262" s="942">
        <v>0.52</v>
      </c>
      <c r="J262" s="946">
        <v>5.117</v>
      </c>
      <c r="K262" s="931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>1613</v>
      </c>
      <c r="L262" s="683"/>
      <c r="M262" s="934"/>
      <c r="N262" s="31" t="str">
        <f t="shared" si="1344"/>
        <v>Y</v>
      </c>
      <c r="O262" s="162">
        <f t="shared" si="1348"/>
        <v>-3.544525339274434</v>
      </c>
      <c r="P262" s="162">
        <f t="shared" si="1349"/>
        <v>-2.4699353719826593</v>
      </c>
      <c r="Q262" s="162">
        <f t="shared" si="1350"/>
        <v>-0.16870050880073451</v>
      </c>
      <c r="R262" s="162">
        <f t="shared" si="1345"/>
        <v>0.52926430525698231</v>
      </c>
      <c r="S262" s="162">
        <f t="shared" si="1341"/>
        <v>-0.80794988886488361</v>
      </c>
      <c r="T262" s="162">
        <f t="shared" si="1342"/>
        <v>0.2590294814573546</v>
      </c>
      <c r="U262" s="162">
        <f>IFERROR(IF(ISNUMBER(MATCH($X262,Settings!$AK$52:$AK$60,0)),INDEX(Settings!$AO$14:$AO$60,MATCH($X262,Settings!$AK$14:$AK$60,0))/2,INDEX(Settings!$AM$14:$AM$60,MATCH($X262,Settings!$AK$14:$AK$60,0))/2),"")</f>
        <v>0.3125</v>
      </c>
      <c r="V262" s="162">
        <f t="shared" si="1351"/>
        <v>0.52</v>
      </c>
      <c r="W262" s="75">
        <v>5.117</v>
      </c>
      <c r="X262" s="937">
        <f t="shared" si="1346"/>
        <v>1613</v>
      </c>
    </row>
    <row r="263" spans="2:24" x14ac:dyDescent="0.25">
      <c r="B263" s="650">
        <v>-4.1952686064565743</v>
      </c>
      <c r="C263" s="651">
        <v>-2.8779391401780421</v>
      </c>
      <c r="D263" s="652">
        <v>-0.18530055886648597</v>
      </c>
      <c r="E263" s="653">
        <v>0.48670593703470966</v>
      </c>
      <c r="F263" s="651">
        <v>-0.83412878969079396</v>
      </c>
      <c r="G263" s="654">
        <v>0.2595120287465239</v>
      </c>
      <c r="H263" s="653">
        <v>0.314</v>
      </c>
      <c r="I263" s="942">
        <v>0.52</v>
      </c>
      <c r="J263" s="946">
        <v>5.12</v>
      </c>
      <c r="K263" s="931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>1613</v>
      </c>
      <c r="L263" s="683"/>
      <c r="M263" s="934"/>
      <c r="N263" s="31" t="str">
        <f t="shared" si="1344"/>
        <v>Y</v>
      </c>
      <c r="O263" s="162">
        <f t="shared" si="1348"/>
        <v>-4.1952686064565743</v>
      </c>
      <c r="P263" s="162">
        <f t="shared" si="1349"/>
        <v>-2.8779391401780421</v>
      </c>
      <c r="Q263" s="162">
        <f t="shared" si="1350"/>
        <v>-0.18530055886648597</v>
      </c>
      <c r="R263" s="162">
        <f t="shared" si="1345"/>
        <v>0.48670593703470966</v>
      </c>
      <c r="S263" s="162">
        <f t="shared" si="1341"/>
        <v>-0.83412878969079396</v>
      </c>
      <c r="T263" s="162">
        <f t="shared" si="1342"/>
        <v>0.2595120287465239</v>
      </c>
      <c r="U263" s="162">
        <f>IFERROR(IF(ISNUMBER(MATCH($X263,Settings!$AK$52:$AK$60,0)),INDEX(Settings!$AO$14:$AO$60,MATCH($X263,Settings!$AK$14:$AK$60,0))/2,INDEX(Settings!$AM$14:$AM$60,MATCH($X263,Settings!$AK$14:$AK$60,0))/2),"")</f>
        <v>0.3125</v>
      </c>
      <c r="V263" s="162">
        <f t="shared" si="1351"/>
        <v>0.52</v>
      </c>
      <c r="W263" s="75">
        <v>5.12</v>
      </c>
      <c r="X263" s="937">
        <f t="shared" si="1346"/>
        <v>1613</v>
      </c>
    </row>
    <row r="264" spans="2:24" x14ac:dyDescent="0.25">
      <c r="B264" s="650">
        <v>-4.8448406688944212</v>
      </c>
      <c r="C264" s="651">
        <v>-3.2519147078016934</v>
      </c>
      <c r="D264" s="652">
        <v>-0.35960108455687084</v>
      </c>
      <c r="E264" s="653">
        <v>0.43646833746247848</v>
      </c>
      <c r="F264" s="651">
        <v>-0.86121951902310312</v>
      </c>
      <c r="G264" s="654">
        <v>0.26037728481254846</v>
      </c>
      <c r="H264" s="653">
        <v>0.314</v>
      </c>
      <c r="I264" s="942">
        <v>0.52</v>
      </c>
      <c r="J264" s="946">
        <v>5.1230000000000002</v>
      </c>
      <c r="K264" s="931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>1613</v>
      </c>
      <c r="L264" s="683"/>
      <c r="M264" s="934"/>
      <c r="N264" s="31" t="str">
        <f t="shared" si="1344"/>
        <v>Y</v>
      </c>
      <c r="O264" s="162">
        <f t="shared" si="1348"/>
        <v>-4.8448406688944212</v>
      </c>
      <c r="P264" s="162">
        <f t="shared" si="1349"/>
        <v>-3.2519147078016934</v>
      </c>
      <c r="Q264" s="162">
        <f t="shared" si="1350"/>
        <v>-0.35960108455687084</v>
      </c>
      <c r="R264" s="162">
        <f t="shared" si="1345"/>
        <v>0.43646833746247848</v>
      </c>
      <c r="S264" s="162">
        <f t="shared" si="1341"/>
        <v>-0.86121951902310312</v>
      </c>
      <c r="T264" s="162">
        <f t="shared" si="1342"/>
        <v>0.26037728481254846</v>
      </c>
      <c r="U264" s="162">
        <f>IFERROR(IF(ISNUMBER(MATCH($X264,Settings!$AK$52:$AK$60,0)),INDEX(Settings!$AO$14:$AO$60,MATCH($X264,Settings!$AK$14:$AK$60,0))/2,INDEX(Settings!$AM$14:$AM$60,MATCH($X264,Settings!$AK$14:$AK$60,0))/2),"")</f>
        <v>0.3125</v>
      </c>
      <c r="V264" s="162">
        <f t="shared" si="1351"/>
        <v>0.52</v>
      </c>
      <c r="W264" s="75">
        <v>5.1230000000000002</v>
      </c>
      <c r="X264" s="937">
        <f t="shared" si="1346"/>
        <v>1613</v>
      </c>
    </row>
    <row r="265" spans="2:24" x14ac:dyDescent="0.25">
      <c r="B265" s="650">
        <v>-5.4633420506650507</v>
      </c>
      <c r="C265" s="651">
        <v>-3.5778327596153194</v>
      </c>
      <c r="D265" s="652">
        <v>-0.68410206325182243</v>
      </c>
      <c r="E265" s="653">
        <v>0.37873339897123626</v>
      </c>
      <c r="F265" s="651">
        <v>-0.88882294064034306</v>
      </c>
      <c r="G265" s="654">
        <v>0.25798215576885891</v>
      </c>
      <c r="H265" s="653">
        <v>0.314</v>
      </c>
      <c r="I265" s="942">
        <v>0.52</v>
      </c>
      <c r="J265" s="946">
        <v>5.1260000000000003</v>
      </c>
      <c r="K265" s="931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>1613</v>
      </c>
      <c r="L265" s="683"/>
      <c r="M265" s="934"/>
      <c r="N265" s="31" t="str">
        <f t="shared" si="1344"/>
        <v>Y</v>
      </c>
      <c r="O265" s="162">
        <f t="shared" si="1348"/>
        <v>-5.4633420506650507</v>
      </c>
      <c r="P265" s="162">
        <f t="shared" si="1349"/>
        <v>-3.5778327596153194</v>
      </c>
      <c r="Q265" s="162">
        <f t="shared" si="1350"/>
        <v>-0.68410206325182243</v>
      </c>
      <c r="R265" s="162">
        <f t="shared" si="1345"/>
        <v>0.37873339897123626</v>
      </c>
      <c r="S265" s="162">
        <f t="shared" si="1341"/>
        <v>-0.88882294064034306</v>
      </c>
      <c r="T265" s="162">
        <f t="shared" si="1342"/>
        <v>0.25798215576885891</v>
      </c>
      <c r="U265" s="162">
        <f>IFERROR(IF(ISNUMBER(MATCH($X265,Settings!$AK$52:$AK$60,0)),INDEX(Settings!$AO$14:$AO$60,MATCH($X265,Settings!$AK$14:$AK$60,0))/2,INDEX(Settings!$AM$14:$AM$60,MATCH($X265,Settings!$AK$14:$AK$60,0))/2),"")</f>
        <v>0.3125</v>
      </c>
      <c r="V265" s="162">
        <f t="shared" si="1351"/>
        <v>0.52</v>
      </c>
      <c r="W265" s="75">
        <v>5.1260000000000003</v>
      </c>
      <c r="X265" s="937">
        <f t="shared" si="1346"/>
        <v>1613</v>
      </c>
    </row>
    <row r="266" spans="2:24" x14ac:dyDescent="0.25">
      <c r="B266" s="650">
        <v>-6.0198449878440972</v>
      </c>
      <c r="C266" s="651">
        <v>-3.8483686525935821</v>
      </c>
      <c r="D266" s="652">
        <v>-1.1444034515208104</v>
      </c>
      <c r="E266" s="653">
        <v>0.31271176120084809</v>
      </c>
      <c r="F266" s="651">
        <v>-0.91609682075132426</v>
      </c>
      <c r="G266" s="654">
        <v>0.25095411814907531</v>
      </c>
      <c r="H266" s="653">
        <v>0.314</v>
      </c>
      <c r="I266" s="942">
        <v>0.52</v>
      </c>
      <c r="J266" s="946">
        <v>5.1289999999999996</v>
      </c>
      <c r="K266" s="931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>1613</v>
      </c>
      <c r="L266" s="683"/>
      <c r="M266" s="934"/>
      <c r="N266" s="31" t="str">
        <f t="shared" si="1344"/>
        <v>Y</v>
      </c>
      <c r="O266" s="162">
        <f t="shared" si="1348"/>
        <v>-6.0198449878440972</v>
      </c>
      <c r="P266" s="162">
        <f t="shared" si="1349"/>
        <v>-3.8483686525935821</v>
      </c>
      <c r="Q266" s="162">
        <f t="shared" si="1350"/>
        <v>-1.1444034515208104</v>
      </c>
      <c r="R266" s="162">
        <f t="shared" si="1345"/>
        <v>0.31271176120084809</v>
      </c>
      <c r="S266" s="162">
        <f t="shared" si="1341"/>
        <v>-0.91609682075132426</v>
      </c>
      <c r="T266" s="162">
        <f t="shared" si="1342"/>
        <v>0.25095411814907531</v>
      </c>
      <c r="U266" s="162">
        <f>IFERROR(IF(ISNUMBER(MATCH($X266,Settings!$AK$52:$AK$60,0)),INDEX(Settings!$AO$14:$AO$60,MATCH($X266,Settings!$AK$14:$AK$60,0))/2,INDEX(Settings!$AM$14:$AM$60,MATCH($X266,Settings!$AK$14:$AK$60,0))/2),"")</f>
        <v>0.3125</v>
      </c>
      <c r="V266" s="162">
        <f t="shared" si="1351"/>
        <v>0.52</v>
      </c>
      <c r="W266" s="75">
        <v>5.1289999999999996</v>
      </c>
      <c r="X266" s="937">
        <f t="shared" si="1346"/>
        <v>1613</v>
      </c>
    </row>
    <row r="267" spans="2:24" x14ac:dyDescent="0.25">
      <c r="B267" s="650">
        <v>-6.4863676104225876</v>
      </c>
      <c r="C267" s="651">
        <v>-4.0594287796623085</v>
      </c>
      <c r="D267" s="652">
        <v>-1.7206051893452516</v>
      </c>
      <c r="E267" s="653">
        <v>0.24302266402825606</v>
      </c>
      <c r="F267" s="651">
        <v>-0.94169909320674217</v>
      </c>
      <c r="G267" s="654">
        <v>0.23268606022323085</v>
      </c>
      <c r="H267" s="653">
        <v>0.314</v>
      </c>
      <c r="I267" s="942">
        <v>0.52</v>
      </c>
      <c r="J267" s="946">
        <v>5.1319999999999997</v>
      </c>
      <c r="K267" s="931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>1613</v>
      </c>
      <c r="L267" s="683"/>
      <c r="M267" s="934"/>
      <c r="N267" s="31" t="str">
        <f t="shared" si="1344"/>
        <v>Y</v>
      </c>
      <c r="O267" s="162">
        <f t="shared" si="1348"/>
        <v>-6.4863676104225876</v>
      </c>
      <c r="P267" s="162">
        <f t="shared" si="1349"/>
        <v>-4.0594287796623085</v>
      </c>
      <c r="Q267" s="162">
        <f t="shared" si="1350"/>
        <v>-1.7206051893452516</v>
      </c>
      <c r="R267" s="162">
        <f t="shared" si="1345"/>
        <v>0.24302266402825606</v>
      </c>
      <c r="S267" s="162">
        <f t="shared" si="1341"/>
        <v>-0.94169909320674217</v>
      </c>
      <c r="T267" s="162">
        <f t="shared" si="1342"/>
        <v>0.23268606022323085</v>
      </c>
      <c r="U267" s="162">
        <f>IFERROR(IF(ISNUMBER(MATCH($X267,Settings!$AK$52:$AK$60,0)),INDEX(Settings!$AO$14:$AO$60,MATCH($X267,Settings!$AK$14:$AK$60,0))/2,INDEX(Settings!$AM$14:$AM$60,MATCH($X267,Settings!$AK$14:$AK$60,0))/2),"")</f>
        <v>0.3125</v>
      </c>
      <c r="V267" s="162">
        <f t="shared" si="1351"/>
        <v>0.52</v>
      </c>
      <c r="W267" s="75">
        <v>5.1319999999999997</v>
      </c>
      <c r="X267" s="937">
        <f t="shared" si="1346"/>
        <v>1613</v>
      </c>
    </row>
    <row r="268" spans="2:24" x14ac:dyDescent="0.25">
      <c r="B268" s="650">
        <v>-6.8395063644436878</v>
      </c>
      <c r="C268" s="651">
        <v>-4.2093351895712816</v>
      </c>
      <c r="D268" s="652">
        <v>-2.387907201928122</v>
      </c>
      <c r="E268" s="653">
        <v>0.17051404422069755</v>
      </c>
      <c r="F268" s="651">
        <v>-0.96439298744551338</v>
      </c>
      <c r="G268" s="654">
        <v>0.20216608639784256</v>
      </c>
      <c r="H268" s="653">
        <v>0.314</v>
      </c>
      <c r="I268" s="942">
        <v>0.52</v>
      </c>
      <c r="J268" s="946">
        <v>5.1349999999999998</v>
      </c>
      <c r="K268" s="931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>1613</v>
      </c>
      <c r="L268" s="683"/>
      <c r="M268" s="934"/>
      <c r="N268" s="31" t="str">
        <f t="shared" si="1344"/>
        <v>Y</v>
      </c>
      <c r="O268" s="162">
        <f t="shared" si="1348"/>
        <v>-6.8395063644436878</v>
      </c>
      <c r="P268" s="162">
        <f t="shared" si="1349"/>
        <v>-4.2093351895712816</v>
      </c>
      <c r="Q268" s="162">
        <f t="shared" si="1350"/>
        <v>-2.387907201928122</v>
      </c>
      <c r="R268" s="162">
        <f t="shared" si="1345"/>
        <v>0.17051404422069755</v>
      </c>
      <c r="S268" s="162">
        <f t="shared" si="1341"/>
        <v>-0.96439298744551338</v>
      </c>
      <c r="T268" s="162">
        <f t="shared" si="1342"/>
        <v>0.20216608639784256</v>
      </c>
      <c r="U268" s="162">
        <f>IFERROR(IF(ISNUMBER(MATCH($X268,Settings!$AK$52:$AK$60,0)),INDEX(Settings!$AO$14:$AO$60,MATCH($X268,Settings!$AK$14:$AK$60,0))/2,INDEX(Settings!$AM$14:$AM$60,MATCH($X268,Settings!$AK$14:$AK$60,0))/2),"")</f>
        <v>0.3125</v>
      </c>
      <c r="V268" s="162">
        <f t="shared" si="1351"/>
        <v>0.52</v>
      </c>
      <c r="W268" s="75">
        <v>5.1349999999999998</v>
      </c>
      <c r="X268" s="937">
        <f t="shared" si="1346"/>
        <v>1613</v>
      </c>
    </row>
    <row r="269" spans="2:24" x14ac:dyDescent="0.25">
      <c r="B269" s="650">
        <v>-7.063225132968598</v>
      </c>
      <c r="C269" s="651">
        <v>-4.3012620576856504</v>
      </c>
      <c r="D269" s="652">
        <v>-3.1176094027099586</v>
      </c>
      <c r="E269" s="653">
        <v>0.10284072950531284</v>
      </c>
      <c r="F269" s="651">
        <v>-0.98243842685178473</v>
      </c>
      <c r="G269" s="654">
        <v>0.15568725638216413</v>
      </c>
      <c r="H269" s="653">
        <v>0.314</v>
      </c>
      <c r="I269" s="942">
        <v>0.52</v>
      </c>
      <c r="J269" s="946">
        <v>5.1379999999999999</v>
      </c>
      <c r="K269" s="931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>1613</v>
      </c>
      <c r="L269" s="683"/>
      <c r="M269" s="934"/>
      <c r="N269" s="31" t="str">
        <f t="shared" si="1344"/>
        <v>Y</v>
      </c>
      <c r="O269" s="162">
        <f t="shared" si="1348"/>
        <v>-7.063225132968598</v>
      </c>
      <c r="P269" s="162">
        <f t="shared" si="1349"/>
        <v>-4.3012620576856504</v>
      </c>
      <c r="Q269" s="162">
        <f t="shared" si="1350"/>
        <v>-3.1176094027099586</v>
      </c>
      <c r="R269" s="162">
        <f t="shared" si="1345"/>
        <v>0.10284072950531284</v>
      </c>
      <c r="S269" s="162">
        <f t="shared" si="1341"/>
        <v>-0.98243842685178473</v>
      </c>
      <c r="T269" s="162">
        <f t="shared" si="1342"/>
        <v>0.15568725638216413</v>
      </c>
      <c r="U269" s="162">
        <f>IFERROR(IF(ISNUMBER(MATCH($X269,Settings!$AK$52:$AK$60,0)),INDEX(Settings!$AO$14:$AO$60,MATCH($X269,Settings!$AK$14:$AK$60,0))/2,INDEX(Settings!$AM$14:$AM$60,MATCH($X269,Settings!$AK$14:$AK$60,0))/2),"")</f>
        <v>0.3125</v>
      </c>
      <c r="V269" s="162">
        <f t="shared" si="1351"/>
        <v>0.52</v>
      </c>
      <c r="W269" s="75">
        <v>5.1379999999999999</v>
      </c>
      <c r="X269" s="937">
        <f t="shared" si="1346"/>
        <v>1613</v>
      </c>
    </row>
    <row r="270" spans="2:24" x14ac:dyDescent="0.25">
      <c r="B270" s="650">
        <v>-7.2004514699516617</v>
      </c>
      <c r="C270" s="651">
        <v>-4.3555940915793325</v>
      </c>
      <c r="D270" s="652">
        <v>-3.8722116785904226</v>
      </c>
      <c r="E270" s="653">
        <v>3.7024713167991379E-2</v>
      </c>
      <c r="F270" s="651">
        <v>-0.99480735259972064</v>
      </c>
      <c r="G270" s="654">
        <v>9.4802435772310248E-2</v>
      </c>
      <c r="H270" s="653">
        <v>0.314</v>
      </c>
      <c r="I270" s="942">
        <v>0.52</v>
      </c>
      <c r="J270" s="946">
        <v>5.141</v>
      </c>
      <c r="K270" s="931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>1613</v>
      </c>
      <c r="L270" s="683"/>
      <c r="M270" s="934"/>
      <c r="N270" s="31" t="str">
        <f t="shared" si="1344"/>
        <v>Y</v>
      </c>
      <c r="O270" s="162">
        <f t="shared" si="1348"/>
        <v>-7.2004514699516617</v>
      </c>
      <c r="P270" s="162">
        <f t="shared" si="1349"/>
        <v>-4.3555940915793325</v>
      </c>
      <c r="Q270" s="162">
        <f t="shared" si="1350"/>
        <v>-3.8722116785904226</v>
      </c>
      <c r="R270" s="162">
        <f t="shared" si="1345"/>
        <v>3.7024713167991379E-2</v>
      </c>
      <c r="S270" s="162">
        <f t="shared" si="1341"/>
        <v>-0.99480735259972064</v>
      </c>
      <c r="T270" s="162">
        <f t="shared" si="1342"/>
        <v>9.4802435772310248E-2</v>
      </c>
      <c r="U270" s="162">
        <f>IFERROR(IF(ISNUMBER(MATCH($X270,Settings!$AK$52:$AK$60,0)),INDEX(Settings!$AO$14:$AO$60,MATCH($X270,Settings!$AK$14:$AK$60,0))/2,INDEX(Settings!$AM$14:$AM$60,MATCH($X270,Settings!$AK$14:$AK$60,0))/2),"")</f>
        <v>0.3125</v>
      </c>
      <c r="V270" s="162">
        <f t="shared" si="1351"/>
        <v>0.52</v>
      </c>
      <c r="W270" s="75">
        <v>5.141</v>
      </c>
      <c r="X270" s="937">
        <f t="shared" si="1346"/>
        <v>1613</v>
      </c>
    </row>
    <row r="271" spans="2:24" x14ac:dyDescent="0.25">
      <c r="B271" s="650">
        <v>-7.2898375533066186</v>
      </c>
      <c r="C271" s="651">
        <v>-4.3905698133788489</v>
      </c>
      <c r="D271" s="652">
        <v>-4.6681140790320628</v>
      </c>
      <c r="E271" s="653">
        <v>-2.3105886974729324E-2</v>
      </c>
      <c r="F271" s="651">
        <v>-0.99955811258747318</v>
      </c>
      <c r="G271" s="654">
        <v>1.8700201808521433E-2</v>
      </c>
      <c r="H271" s="653">
        <v>0.314</v>
      </c>
      <c r="I271" s="942">
        <v>0.52</v>
      </c>
      <c r="J271" s="946">
        <v>5.1440000000000001</v>
      </c>
      <c r="K271" s="931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>1613</v>
      </c>
      <c r="L271" s="683"/>
      <c r="M271" s="934"/>
      <c r="N271" s="31" t="str">
        <f t="shared" si="1344"/>
        <v>Y</v>
      </c>
      <c r="O271" s="162">
        <f t="shared" si="1348"/>
        <v>-7.2898375533066186</v>
      </c>
      <c r="P271" s="162">
        <f t="shared" si="1349"/>
        <v>-4.3905698133788489</v>
      </c>
      <c r="Q271" s="162">
        <f t="shared" si="1350"/>
        <v>-4.6681140790320628</v>
      </c>
      <c r="R271" s="162">
        <f t="shared" si="1345"/>
        <v>-2.3105886974729324E-2</v>
      </c>
      <c r="S271" s="162">
        <f t="shared" si="1341"/>
        <v>-0.99955811258747318</v>
      </c>
      <c r="T271" s="162">
        <f t="shared" si="1342"/>
        <v>1.8700201808521433E-2</v>
      </c>
      <c r="U271" s="162">
        <f>IFERROR(IF(ISNUMBER(MATCH($X271,Settings!$AK$52:$AK$60,0)),INDEX(Settings!$AO$14:$AO$60,MATCH($X271,Settings!$AK$14:$AK$60,0))/2,INDEX(Settings!$AM$14:$AM$60,MATCH($X271,Settings!$AK$14:$AK$60,0))/2),"")</f>
        <v>0.3125</v>
      </c>
      <c r="V271" s="162">
        <f t="shared" si="1351"/>
        <v>0.52</v>
      </c>
      <c r="W271" s="75">
        <v>5.1440000000000001</v>
      </c>
      <c r="X271" s="937">
        <f t="shared" si="1346"/>
        <v>1613</v>
      </c>
    </row>
    <row r="272" spans="2:24" x14ac:dyDescent="0.25">
      <c r="B272" s="650">
        <v>-4.0757685120232132</v>
      </c>
      <c r="C272" s="651">
        <v>-1.4378819937771361</v>
      </c>
      <c r="D272" s="652">
        <v>-0.16537528030540649</v>
      </c>
      <c r="E272" s="653">
        <v>7.6614757841941925E-2</v>
      </c>
      <c r="F272" s="651">
        <v>2.7028762902886E-2</v>
      </c>
      <c r="G272" s="654">
        <v>0.99669434876333085</v>
      </c>
      <c r="H272" s="653">
        <v>0.25700000000000001</v>
      </c>
      <c r="I272" s="942">
        <v>0.41499999999999992</v>
      </c>
      <c r="J272" s="946">
        <v>5.2169999999999996</v>
      </c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>CPS-32193r1</v>
      </c>
      <c r="L272" s="683"/>
      <c r="M272" s="934"/>
      <c r="N272" s="31" t="str">
        <f t="shared" si="1344"/>
        <v>Y</v>
      </c>
      <c r="O272" s="162">
        <f t="shared" si="1348"/>
        <v>-4.0757685120232132</v>
      </c>
      <c r="P272" s="162">
        <f t="shared" si="1349"/>
        <v>-1.4378819937771361</v>
      </c>
      <c r="Q272" s="162">
        <f t="shared" si="1350"/>
        <v>-0.16537528030540649</v>
      </c>
      <c r="R272" s="162">
        <f t="shared" si="1345"/>
        <v>7.6614757841941925E-2</v>
      </c>
      <c r="S272" s="162">
        <f t="shared" si="1341"/>
        <v>2.7028762902886E-2</v>
      </c>
      <c r="T272" s="162">
        <f t="shared" si="1342"/>
        <v>0.99669434876333085</v>
      </c>
      <c r="U272" s="162">
        <f>IFERROR(IF(ISNUMBER(MATCH($X272,Settings!$AK$52:$AK$60,0)),INDEX(Settings!$AO$14:$AO$60,MATCH($X272,Settings!$AK$14:$AK$60,0))/2,INDEX(Settings!$AM$14:$AM$60,MATCH($X272,Settings!$AK$14:$AK$60,0))/2),"")</f>
        <v>0.255</v>
      </c>
      <c r="V272" s="162">
        <f t="shared" si="1351"/>
        <v>0.41499999999999992</v>
      </c>
      <c r="W272" s="75">
        <v>5.2169999999999996</v>
      </c>
      <c r="X272" s="937" t="str">
        <f t="shared" si="1346"/>
        <v>CPS-32193r1</v>
      </c>
    </row>
    <row r="273" spans="2:24" x14ac:dyDescent="0.25">
      <c r="B273" s="650">
        <v>-4.741035062813669</v>
      </c>
      <c r="C273" s="651">
        <v>-1.8566258693140285</v>
      </c>
      <c r="D273" s="652">
        <v>-0.18204030738773261</v>
      </c>
      <c r="E273" s="653">
        <v>-0.1163811585033787</v>
      </c>
      <c r="F273" s="651">
        <v>-4.5575758608685318E-2</v>
      </c>
      <c r="G273" s="654">
        <v>0.99215839268367545</v>
      </c>
      <c r="H273" s="653">
        <v>0.25700000000000001</v>
      </c>
      <c r="I273" s="942">
        <v>0.41499999999999992</v>
      </c>
      <c r="J273" s="946">
        <v>5.22</v>
      </c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>CPS-32193r1</v>
      </c>
      <c r="L273" s="683"/>
      <c r="M273" s="934"/>
      <c r="N273" s="31" t="str">
        <f t="shared" si="1344"/>
        <v>Y</v>
      </c>
      <c r="O273" s="162">
        <f t="shared" si="1348"/>
        <v>-4.741035062813669</v>
      </c>
      <c r="P273" s="162">
        <f t="shared" si="1349"/>
        <v>-1.8566258693140285</v>
      </c>
      <c r="Q273" s="162">
        <f t="shared" si="1350"/>
        <v>-0.18204030738773261</v>
      </c>
      <c r="R273" s="162">
        <f t="shared" si="1345"/>
        <v>-0.1163811585033787</v>
      </c>
      <c r="S273" s="162">
        <f t="shared" si="1341"/>
        <v>-4.5575758608685318E-2</v>
      </c>
      <c r="T273" s="162">
        <f t="shared" si="1342"/>
        <v>0.99215839268367545</v>
      </c>
      <c r="U273" s="162">
        <f>IFERROR(IF(ISNUMBER(MATCH($X273,Settings!$AK$52:$AK$60,0)),INDEX(Settings!$AO$14:$AO$60,MATCH($X273,Settings!$AK$14:$AK$60,0))/2,INDEX(Settings!$AM$14:$AM$60,MATCH($X273,Settings!$AK$14:$AK$60,0))/2),"")</f>
        <v>0.255</v>
      </c>
      <c r="V273" s="162">
        <f t="shared" si="1351"/>
        <v>0.41499999999999992</v>
      </c>
      <c r="W273" s="75">
        <v>5.22</v>
      </c>
      <c r="X273" s="937" t="str">
        <f t="shared" si="1346"/>
        <v>CPS-32193r1</v>
      </c>
    </row>
    <row r="274" spans="2:24" x14ac:dyDescent="0.25">
      <c r="B274" s="650">
        <v>-5.3959550681574591</v>
      </c>
      <c r="C274" s="651">
        <v>-2.2354467492079424</v>
      </c>
      <c r="D274" s="652">
        <v>-0.35841384793183723</v>
      </c>
      <c r="E274" s="653">
        <v>-0.30260728376632962</v>
      </c>
      <c r="F274" s="651">
        <v>-0.12536473344154003</v>
      </c>
      <c r="G274" s="654">
        <v>0.94483464977777765</v>
      </c>
      <c r="H274" s="653">
        <v>0.25700000000000001</v>
      </c>
      <c r="I274" s="942">
        <v>0.41499999999999992</v>
      </c>
      <c r="J274" s="946">
        <v>5.2229999999999999</v>
      </c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>CPS-32193r1</v>
      </c>
      <c r="L274" s="683"/>
      <c r="M274" s="934"/>
      <c r="N274" s="31" t="str">
        <f t="shared" si="1344"/>
        <v>Y</v>
      </c>
      <c r="O274" s="162">
        <f t="shared" si="1348"/>
        <v>-5.3959550681574591</v>
      </c>
      <c r="P274" s="162">
        <f t="shared" si="1349"/>
        <v>-2.2354467492079424</v>
      </c>
      <c r="Q274" s="162">
        <f t="shared" si="1350"/>
        <v>-0.35841384793183723</v>
      </c>
      <c r="R274" s="162">
        <f t="shared" si="1345"/>
        <v>-0.30260728376632962</v>
      </c>
      <c r="S274" s="162">
        <f t="shared" si="1341"/>
        <v>-0.12536473344154003</v>
      </c>
      <c r="T274" s="162">
        <f t="shared" si="1342"/>
        <v>0.94483464977777765</v>
      </c>
      <c r="U274" s="162">
        <f>IFERROR(IF(ISNUMBER(MATCH($X274,Settings!$AK$52:$AK$60,0)),INDEX(Settings!$AO$14:$AO$60,MATCH($X274,Settings!$AK$14:$AK$60,0))/2,INDEX(Settings!$AM$14:$AM$60,MATCH($X274,Settings!$AK$14:$AK$60,0))/2),"")</f>
        <v>0.255</v>
      </c>
      <c r="V274" s="162">
        <f t="shared" si="1351"/>
        <v>0.41499999999999992</v>
      </c>
      <c r="W274" s="75">
        <v>5.2229999999999999</v>
      </c>
      <c r="X274" s="937" t="str">
        <f t="shared" si="1346"/>
        <v>CPS-32193r1</v>
      </c>
    </row>
    <row r="275" spans="2:24" x14ac:dyDescent="0.25">
      <c r="B275" s="650">
        <v>-6.0135866689964939</v>
      </c>
      <c r="C275" s="651">
        <v>-2.5622400526568661</v>
      </c>
      <c r="D275" s="652">
        <v>-0.68631663169742063</v>
      </c>
      <c r="E275" s="653">
        <v>-0.47258254670054506</v>
      </c>
      <c r="F275" s="651">
        <v>-0.20135569602504477</v>
      </c>
      <c r="G275" s="654">
        <v>0.85797530281022494</v>
      </c>
      <c r="H275" s="653">
        <v>0.25700000000000001</v>
      </c>
      <c r="I275" s="942">
        <v>0.41499999999999992</v>
      </c>
      <c r="J275" s="946">
        <v>5.226</v>
      </c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>CPS-32193r1</v>
      </c>
      <c r="L275" s="683"/>
      <c r="M275" s="934"/>
      <c r="N275" s="31" t="str">
        <f t="shared" si="1344"/>
        <v>Y</v>
      </c>
      <c r="O275" s="162">
        <f t="shared" si="1348"/>
        <v>-6.0135866689964939</v>
      </c>
      <c r="P275" s="162">
        <f t="shared" si="1349"/>
        <v>-2.5622400526568661</v>
      </c>
      <c r="Q275" s="162">
        <f t="shared" si="1350"/>
        <v>-0.68631663169742063</v>
      </c>
      <c r="R275" s="162">
        <f t="shared" si="1345"/>
        <v>-0.47258254670054506</v>
      </c>
      <c r="S275" s="162">
        <f t="shared" si="1341"/>
        <v>-0.20135569602504477</v>
      </c>
      <c r="T275" s="162">
        <f t="shared" si="1342"/>
        <v>0.85797530281022494</v>
      </c>
      <c r="U275" s="162">
        <f>IFERROR(IF(ISNUMBER(MATCH($X275,Settings!$AK$52:$AK$60,0)),INDEX(Settings!$AO$14:$AO$60,MATCH($X275,Settings!$AK$14:$AK$60,0))/2,INDEX(Settings!$AM$14:$AM$60,MATCH($X275,Settings!$AK$14:$AK$60,0))/2),"")</f>
        <v>0.255</v>
      </c>
      <c r="V275" s="162">
        <f t="shared" si="1351"/>
        <v>0.41499999999999992</v>
      </c>
      <c r="W275" s="75">
        <v>5.226</v>
      </c>
      <c r="X275" s="937" t="str">
        <f t="shared" si="1346"/>
        <v>CPS-32193r1</v>
      </c>
    </row>
    <row r="276" spans="2:24" x14ac:dyDescent="0.25">
      <c r="B276" s="650">
        <v>-6.5651370224335954</v>
      </c>
      <c r="C276" s="651">
        <v>-2.8311419018605015</v>
      </c>
      <c r="D276" s="652">
        <v>-1.1509539415542065</v>
      </c>
      <c r="E276" s="653">
        <v>-0.62378329190961002</v>
      </c>
      <c r="F276" s="651">
        <v>-0.26899956685917575</v>
      </c>
      <c r="G276" s="654">
        <v>0.73384851145450047</v>
      </c>
      <c r="H276" s="653">
        <v>0.25700000000000001</v>
      </c>
      <c r="I276" s="942">
        <v>0.41499999999999992</v>
      </c>
      <c r="J276" s="946">
        <v>5.2290000000000001</v>
      </c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>CPS-32193r1</v>
      </c>
      <c r="L276" s="683"/>
      <c r="M276" s="934"/>
      <c r="N276" s="31" t="str">
        <f t="shared" si="1344"/>
        <v>Y</v>
      </c>
      <c r="O276" s="162">
        <f t="shared" si="1348"/>
        <v>-6.5651370224335954</v>
      </c>
      <c r="P276" s="162">
        <f t="shared" si="1349"/>
        <v>-2.8311419018605015</v>
      </c>
      <c r="Q276" s="162">
        <f t="shared" si="1350"/>
        <v>-1.1509539415542065</v>
      </c>
      <c r="R276" s="162">
        <f t="shared" si="1345"/>
        <v>-0.62378329190961002</v>
      </c>
      <c r="S276" s="162">
        <f t="shared" si="1341"/>
        <v>-0.26899956685917575</v>
      </c>
      <c r="T276" s="162">
        <f t="shared" si="1342"/>
        <v>0.73384851145450047</v>
      </c>
      <c r="U276" s="162">
        <f>IFERROR(IF(ISNUMBER(MATCH($X276,Settings!$AK$52:$AK$60,0)),INDEX(Settings!$AO$14:$AO$60,MATCH($X276,Settings!$AK$14:$AK$60,0))/2,INDEX(Settings!$AM$14:$AM$60,MATCH($X276,Settings!$AK$14:$AK$60,0))/2),"")</f>
        <v>0.255</v>
      </c>
      <c r="V276" s="162">
        <f t="shared" si="1351"/>
        <v>0.41499999999999992</v>
      </c>
      <c r="W276" s="75">
        <v>5.2290000000000001</v>
      </c>
      <c r="X276" s="937" t="str">
        <f t="shared" si="1346"/>
        <v>CPS-32193r1</v>
      </c>
    </row>
    <row r="277" spans="2:24" x14ac:dyDescent="0.25">
      <c r="B277" s="650">
        <v>-7.0244053821521524</v>
      </c>
      <c r="C277" s="651">
        <v>-3.039190402202002</v>
      </c>
      <c r="D277" s="652">
        <v>-1.7313423041641278</v>
      </c>
      <c r="E277" s="653">
        <v>-0.74736518389693241</v>
      </c>
      <c r="F277" s="651">
        <v>-0.32335620885587008</v>
      </c>
      <c r="G277" s="654">
        <v>0.58041885228950263</v>
      </c>
      <c r="H277" s="653">
        <v>0.25700000000000001</v>
      </c>
      <c r="I277" s="942">
        <v>0.41499999999999992</v>
      </c>
      <c r="J277" s="946">
        <v>5.2320000000000002</v>
      </c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>CPS-32193r1</v>
      </c>
      <c r="L277" s="683"/>
      <c r="M277" s="934"/>
      <c r="N277" s="31" t="str">
        <f t="shared" si="1344"/>
        <v>Y</v>
      </c>
      <c r="O277" s="162">
        <f t="shared" si="1348"/>
        <v>-7.0244053821521524</v>
      </c>
      <c r="P277" s="162">
        <f t="shared" si="1349"/>
        <v>-3.039190402202002</v>
      </c>
      <c r="Q277" s="162">
        <f t="shared" si="1350"/>
        <v>-1.7313423041641278</v>
      </c>
      <c r="R277" s="162">
        <f t="shared" si="1345"/>
        <v>-0.74736518389693241</v>
      </c>
      <c r="S277" s="162">
        <f t="shared" si="1341"/>
        <v>-0.32335620885587008</v>
      </c>
      <c r="T277" s="162">
        <f t="shared" si="1342"/>
        <v>0.58041885228950263</v>
      </c>
      <c r="U277" s="162">
        <f>IFERROR(IF(ISNUMBER(MATCH($X277,Settings!$AK$52:$AK$60,0)),INDEX(Settings!$AO$14:$AO$60,MATCH($X277,Settings!$AK$14:$AK$60,0))/2,INDEX(Settings!$AM$14:$AM$60,MATCH($X277,Settings!$AK$14:$AK$60,0))/2),"")</f>
        <v>0.255</v>
      </c>
      <c r="V277" s="162">
        <f t="shared" si="1351"/>
        <v>0.41499999999999992</v>
      </c>
      <c r="W277" s="75">
        <v>5.2320000000000002</v>
      </c>
      <c r="X277" s="937" t="str">
        <f t="shared" si="1346"/>
        <v>CPS-32193r1</v>
      </c>
    </row>
    <row r="278" spans="2:24" x14ac:dyDescent="0.25">
      <c r="B278" s="650">
        <v>-7.368837321852153</v>
      </c>
      <c r="C278" s="651">
        <v>-3.1853009183820422</v>
      </c>
      <c r="D278" s="652">
        <v>-2.40221561194498</v>
      </c>
      <c r="E278" s="653">
        <v>-0.84017582520380407</v>
      </c>
      <c r="F278" s="651">
        <v>-0.36317979495731412</v>
      </c>
      <c r="G278" s="654">
        <v>0.40274684266654431</v>
      </c>
      <c r="H278" s="653">
        <v>0.25700000000000001</v>
      </c>
      <c r="I278" s="942">
        <v>0.41499999999999992</v>
      </c>
      <c r="J278" s="946">
        <v>5.2350000000000003</v>
      </c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>CPS-32193r1</v>
      </c>
      <c r="L278" s="683"/>
      <c r="M278" s="934"/>
      <c r="N278" s="31" t="str">
        <f t="shared" si="1344"/>
        <v>Y</v>
      </c>
      <c r="O278" s="162">
        <f t="shared" si="1348"/>
        <v>-7.368837321852153</v>
      </c>
      <c r="P278" s="162">
        <f t="shared" si="1349"/>
        <v>-3.1853009183820422</v>
      </c>
      <c r="Q278" s="162">
        <f t="shared" si="1350"/>
        <v>-2.40221561194498</v>
      </c>
      <c r="R278" s="162">
        <f t="shared" si="1345"/>
        <v>-0.84017582520380407</v>
      </c>
      <c r="S278" s="162">
        <f t="shared" si="1341"/>
        <v>-0.36317979495731412</v>
      </c>
      <c r="T278" s="162">
        <f t="shared" si="1342"/>
        <v>0.40274684266654431</v>
      </c>
      <c r="U278" s="162">
        <f>IFERROR(IF(ISNUMBER(MATCH($X278,Settings!$AK$52:$AK$60,0)),INDEX(Settings!$AO$14:$AO$60,MATCH($X278,Settings!$AK$14:$AK$60,0))/2,INDEX(Settings!$AM$14:$AM$60,MATCH($X278,Settings!$AK$14:$AK$60,0))/2),"")</f>
        <v>0.255</v>
      </c>
      <c r="V278" s="162">
        <f t="shared" si="1351"/>
        <v>0.41499999999999992</v>
      </c>
      <c r="W278" s="75">
        <v>5.2350000000000003</v>
      </c>
      <c r="X278" s="937" t="str">
        <f t="shared" si="1346"/>
        <v>CPS-32193r1</v>
      </c>
    </row>
    <row r="279" spans="2:24" x14ac:dyDescent="0.25">
      <c r="B279" s="650">
        <v>-7.5840432750773807</v>
      </c>
      <c r="C279" s="651">
        <v>-3.2735067958096153</v>
      </c>
      <c r="D279" s="652">
        <v>-3.1338529018179879</v>
      </c>
      <c r="E279" s="653">
        <v>-0.8919274884843017</v>
      </c>
      <c r="F279" s="651">
        <v>-0.38498339065621617</v>
      </c>
      <c r="G279" s="654">
        <v>0.2371774529860062</v>
      </c>
      <c r="H279" s="653">
        <v>0.25700000000000001</v>
      </c>
      <c r="I279" s="942">
        <v>0.41499999999999992</v>
      </c>
      <c r="J279" s="946">
        <v>5.2380000000000004</v>
      </c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>CPS-32193r1</v>
      </c>
      <c r="L279" s="683"/>
      <c r="M279" s="934"/>
      <c r="N279" s="31" t="str">
        <f t="shared" si="1344"/>
        <v>Y</v>
      </c>
      <c r="O279" s="162">
        <f t="shared" si="1348"/>
        <v>-7.5840432750773807</v>
      </c>
      <c r="P279" s="162">
        <f t="shared" si="1349"/>
        <v>-3.2735067958096153</v>
      </c>
      <c r="Q279" s="162">
        <f t="shared" si="1350"/>
        <v>-3.1338529018179879</v>
      </c>
      <c r="R279" s="162">
        <f t="shared" si="1345"/>
        <v>-0.8919274884843017</v>
      </c>
      <c r="S279" s="162">
        <f t="shared" si="1341"/>
        <v>-0.38498339065621617</v>
      </c>
      <c r="T279" s="162">
        <f t="shared" si="1342"/>
        <v>0.2371774529860062</v>
      </c>
      <c r="U279" s="162">
        <f>IFERROR(IF(ISNUMBER(MATCH($X279,Settings!$AK$52:$AK$60,0)),INDEX(Settings!$AO$14:$AO$60,MATCH($X279,Settings!$AK$14:$AK$60,0))/2,INDEX(Settings!$AM$14:$AM$60,MATCH($X279,Settings!$AK$14:$AK$60,0))/2),"")</f>
        <v>0.255</v>
      </c>
      <c r="V279" s="162">
        <f t="shared" si="1351"/>
        <v>0.41499999999999992</v>
      </c>
      <c r="W279" s="75">
        <v>5.2380000000000004</v>
      </c>
      <c r="X279" s="937" t="str">
        <f t="shared" si="1346"/>
        <v>CPS-32193r1</v>
      </c>
    </row>
    <row r="280" spans="2:24" x14ac:dyDescent="0.25">
      <c r="B280" s="650">
        <v>-7.7120215631772329</v>
      </c>
      <c r="C280" s="651">
        <v>-3.3238111758232542</v>
      </c>
      <c r="D280" s="652">
        <v>-3.8885792865877424</v>
      </c>
      <c r="E280" s="653">
        <v>-0.90913172162955036</v>
      </c>
      <c r="F280" s="651">
        <v>-0.39182750617242923</v>
      </c>
      <c r="G280" s="654">
        <v>0.14124701106071194</v>
      </c>
      <c r="H280" s="653">
        <v>0.25700000000000001</v>
      </c>
      <c r="I280" s="942">
        <v>0.41499999999999992</v>
      </c>
      <c r="J280" s="946">
        <v>5.2409999999999997</v>
      </c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>CPS-32193r1</v>
      </c>
      <c r="L280" s="683"/>
      <c r="M280" s="934"/>
      <c r="N280" s="31" t="str">
        <f t="shared" si="1344"/>
        <v>Y</v>
      </c>
      <c r="O280" s="162">
        <f t="shared" si="1348"/>
        <v>-7.7120215631772329</v>
      </c>
      <c r="P280" s="162">
        <f t="shared" si="1349"/>
        <v>-3.3238111758232542</v>
      </c>
      <c r="Q280" s="162">
        <f t="shared" si="1350"/>
        <v>-3.8885792865877424</v>
      </c>
      <c r="R280" s="162">
        <f t="shared" si="1345"/>
        <v>-0.90913172162955036</v>
      </c>
      <c r="S280" s="162">
        <f t="shared" si="1341"/>
        <v>-0.39182750617242923</v>
      </c>
      <c r="T280" s="162">
        <f t="shared" si="1342"/>
        <v>0.14124701106071194</v>
      </c>
      <c r="U280" s="162">
        <f>IFERROR(IF(ISNUMBER(MATCH($X280,Settings!$AK$52:$AK$60,0)),INDEX(Settings!$AO$14:$AO$60,MATCH($X280,Settings!$AK$14:$AK$60,0))/2,INDEX(Settings!$AM$14:$AM$60,MATCH($X280,Settings!$AK$14:$AK$60,0))/2),"")</f>
        <v>0.255</v>
      </c>
      <c r="V280" s="162">
        <f t="shared" si="1351"/>
        <v>0.41499999999999992</v>
      </c>
      <c r="W280" s="75">
        <v>5.2409999999999997</v>
      </c>
      <c r="X280" s="937" t="str">
        <f t="shared" si="1346"/>
        <v>CPS-32193r1</v>
      </c>
    </row>
    <row r="281" spans="2:24" x14ac:dyDescent="0.25">
      <c r="B281" s="650">
        <v>-2.6589655845700779</v>
      </c>
      <c r="C281" s="651">
        <v>1.5351550320529315</v>
      </c>
      <c r="D281" s="652">
        <v>-0.44060132885360787</v>
      </c>
      <c r="E281" s="653">
        <v>-0.47123226521557671</v>
      </c>
      <c r="F281" s="651">
        <v>-0.84328901013881552</v>
      </c>
      <c r="G281" s="654">
        <v>0.2584643062376179</v>
      </c>
      <c r="H281" s="653">
        <v>0.314</v>
      </c>
      <c r="I281" s="942">
        <v>0.52</v>
      </c>
      <c r="J281" s="946">
        <v>6.1120000000000001</v>
      </c>
      <c r="K281" s="931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>1613</v>
      </c>
      <c r="L281" s="683"/>
      <c r="M281" s="934"/>
      <c r="N281" s="31" t="str">
        <f t="shared" si="1344"/>
        <v>Y</v>
      </c>
      <c r="O281" s="162">
        <f t="shared" si="1348"/>
        <v>-2.6589655845700779</v>
      </c>
      <c r="P281" s="162">
        <f t="shared" si="1349"/>
        <v>1.5351550320529315</v>
      </c>
      <c r="Q281" s="162">
        <f t="shared" si="1350"/>
        <v>-0.44060132885360787</v>
      </c>
      <c r="R281" s="162">
        <f t="shared" si="1345"/>
        <v>-0.47123226521557671</v>
      </c>
      <c r="S281" s="162">
        <f t="shared" si="1341"/>
        <v>-0.84328901013881552</v>
      </c>
      <c r="T281" s="162">
        <f t="shared" si="1342"/>
        <v>0.2584643062376179</v>
      </c>
      <c r="U281" s="162">
        <f>IFERROR(IF(ISNUMBER(MATCH($X281,Settings!$AK$52:$AK$60,0)),INDEX(Settings!$AO$14:$AO$60,MATCH($X281,Settings!$AK$14:$AK$60,0))/2,INDEX(Settings!$AM$14:$AM$60,MATCH($X281,Settings!$AK$14:$AK$60,0))/2),"")</f>
        <v>0.3125</v>
      </c>
      <c r="V281" s="162">
        <f t="shared" si="1351"/>
        <v>0.52</v>
      </c>
      <c r="W281" s="75">
        <v>6.1120000000000001</v>
      </c>
      <c r="X281" s="937">
        <f t="shared" si="1346"/>
        <v>1613</v>
      </c>
    </row>
    <row r="282" spans="2:24" x14ac:dyDescent="0.25">
      <c r="B282" s="650">
        <v>-3.3025544080587124</v>
      </c>
      <c r="C282" s="651">
        <v>1.9072309255758353</v>
      </c>
      <c r="D282" s="652">
        <v>-0.24510073922382961</v>
      </c>
      <c r="E282" s="653">
        <v>-0.48318833416838891</v>
      </c>
      <c r="F282" s="651">
        <v>-0.83638614119802945</v>
      </c>
      <c r="G282" s="654">
        <v>0.25881896479092731</v>
      </c>
      <c r="H282" s="653">
        <v>0.314</v>
      </c>
      <c r="I282" s="942">
        <v>0.52</v>
      </c>
      <c r="J282" s="946">
        <v>6.1150000000000002</v>
      </c>
      <c r="K282" s="931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>1613</v>
      </c>
      <c r="L282" s="683"/>
      <c r="M282" s="934"/>
      <c r="N282" s="31" t="str">
        <f t="shared" si="1344"/>
        <v>Y</v>
      </c>
      <c r="O282" s="162">
        <f t="shared" si="1348"/>
        <v>-3.3025544080587124</v>
      </c>
      <c r="P282" s="162">
        <f t="shared" si="1349"/>
        <v>1.9072309255758353</v>
      </c>
      <c r="Q282" s="162">
        <f t="shared" si="1350"/>
        <v>-0.24510073922382961</v>
      </c>
      <c r="R282" s="162">
        <f t="shared" si="1345"/>
        <v>-0.48318833416838891</v>
      </c>
      <c r="S282" s="162">
        <f t="shared" si="1341"/>
        <v>-0.83638614119802945</v>
      </c>
      <c r="T282" s="162">
        <f t="shared" si="1342"/>
        <v>0.25881896479092731</v>
      </c>
      <c r="U282" s="162">
        <f>IFERROR(IF(ISNUMBER(MATCH($X282,Settings!$AK$52:$AK$60,0)),INDEX(Settings!$AO$14:$AO$60,MATCH($X282,Settings!$AK$14:$AK$60,0))/2,INDEX(Settings!$AM$14:$AM$60,MATCH($X282,Settings!$AK$14:$AK$60,0))/2),"")</f>
        <v>0.3125</v>
      </c>
      <c r="V282" s="162">
        <f t="shared" si="1351"/>
        <v>0.52</v>
      </c>
      <c r="W282" s="75">
        <v>6.1150000000000002</v>
      </c>
      <c r="X282" s="937">
        <f t="shared" si="1346"/>
        <v>1613</v>
      </c>
    </row>
    <row r="283" spans="2:24" x14ac:dyDescent="0.25">
      <c r="B283" s="650">
        <v>-3.953095614340862</v>
      </c>
      <c r="C283" s="651">
        <v>2.3053780219782958</v>
      </c>
      <c r="D283" s="652">
        <v>-0.15660047230702429</v>
      </c>
      <c r="E283" s="653">
        <v>-0.52210137080346808</v>
      </c>
      <c r="F283" s="651">
        <v>-0.81264941071391972</v>
      </c>
      <c r="G283" s="654">
        <v>0.25886501090618391</v>
      </c>
      <c r="H283" s="653">
        <v>0.314</v>
      </c>
      <c r="I283" s="942">
        <v>0.52</v>
      </c>
      <c r="J283" s="946">
        <v>6.1180000000000003</v>
      </c>
      <c r="K283" s="931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>1613</v>
      </c>
      <c r="L283" s="683"/>
      <c r="M283" s="934"/>
      <c r="N283" s="31" t="str">
        <f t="shared" si="1344"/>
        <v>Y</v>
      </c>
      <c r="O283" s="162">
        <f t="shared" si="1348"/>
        <v>-3.953095614340862</v>
      </c>
      <c r="P283" s="162">
        <f t="shared" si="1349"/>
        <v>2.3053780219782958</v>
      </c>
      <c r="Q283" s="162">
        <f t="shared" si="1350"/>
        <v>-0.15660047230702429</v>
      </c>
      <c r="R283" s="162">
        <f t="shared" si="1345"/>
        <v>-0.52210137080346808</v>
      </c>
      <c r="S283" s="162">
        <f t="shared" si="1341"/>
        <v>-0.81264941071391972</v>
      </c>
      <c r="T283" s="162">
        <f t="shared" si="1342"/>
        <v>0.25886501090618391</v>
      </c>
      <c r="U283" s="162">
        <f>IFERROR(IF(ISNUMBER(MATCH($X283,Settings!$AK$52:$AK$60,0)),INDEX(Settings!$AO$14:$AO$60,MATCH($X283,Settings!$AK$14:$AK$60,0))/2,INDEX(Settings!$AM$14:$AM$60,MATCH($X283,Settings!$AK$14:$AK$60,0))/2),"")</f>
        <v>0.3125</v>
      </c>
      <c r="V283" s="162">
        <f t="shared" si="1351"/>
        <v>0.52</v>
      </c>
      <c r="W283" s="75">
        <v>6.1180000000000003</v>
      </c>
      <c r="X283" s="937">
        <f t="shared" si="1346"/>
        <v>1613</v>
      </c>
    </row>
    <row r="284" spans="2:24" x14ac:dyDescent="0.25">
      <c r="B284" s="650">
        <v>-4.5906262442275798</v>
      </c>
      <c r="C284" s="651">
        <v>2.7289673825274772</v>
      </c>
      <c r="D284" s="652">
        <v>-0.22610068191965671</v>
      </c>
      <c r="E284" s="653">
        <v>-0.56512550016122043</v>
      </c>
      <c r="F284" s="651">
        <v>-0.78289666046713524</v>
      </c>
      <c r="G284" s="654">
        <v>0.26020374343375208</v>
      </c>
      <c r="H284" s="653">
        <v>0.314</v>
      </c>
      <c r="I284" s="942">
        <v>0.52</v>
      </c>
      <c r="J284" s="946">
        <v>6.1210000000000004</v>
      </c>
      <c r="K284" s="931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>1613</v>
      </c>
      <c r="L284" s="683"/>
      <c r="M284" s="934"/>
      <c r="N284" s="31" t="str">
        <f t="shared" si="1344"/>
        <v>Y</v>
      </c>
      <c r="O284" s="162">
        <f t="shared" si="1348"/>
        <v>-4.5906262442275798</v>
      </c>
      <c r="P284" s="162">
        <f t="shared" si="1349"/>
        <v>2.7289673825274772</v>
      </c>
      <c r="Q284" s="162">
        <f t="shared" si="1350"/>
        <v>-0.22610068191965671</v>
      </c>
      <c r="R284" s="162">
        <f t="shared" si="1345"/>
        <v>-0.56512550016122043</v>
      </c>
      <c r="S284" s="162">
        <f t="shared" si="1341"/>
        <v>-0.78289666046713524</v>
      </c>
      <c r="T284" s="162">
        <f t="shared" si="1342"/>
        <v>0.26020374343375208</v>
      </c>
      <c r="U284" s="162">
        <f>IFERROR(IF(ISNUMBER(MATCH($X284,Settings!$AK$52:$AK$60,0)),INDEX(Settings!$AO$14:$AO$60,MATCH($X284,Settings!$AK$14:$AK$60,0))/2,INDEX(Settings!$AM$14:$AM$60,MATCH($X284,Settings!$AK$14:$AK$60,0))/2),"")</f>
        <v>0.3125</v>
      </c>
      <c r="V284" s="162">
        <f t="shared" si="1351"/>
        <v>0.52</v>
      </c>
      <c r="W284" s="75">
        <v>6.1210000000000004</v>
      </c>
      <c r="X284" s="937">
        <f t="shared" si="1346"/>
        <v>1613</v>
      </c>
    </row>
    <row r="285" spans="2:24" x14ac:dyDescent="0.25">
      <c r="B285" s="655">
        <v>-5.1874131927945948</v>
      </c>
      <c r="C285" s="656">
        <v>3.160201348700785</v>
      </c>
      <c r="D285" s="657">
        <v>-0.45170136233130836</v>
      </c>
      <c r="E285" s="658">
        <v>-0.61217943408270914</v>
      </c>
      <c r="F285" s="656">
        <v>-0.74684501250999302</v>
      </c>
      <c r="G285" s="659">
        <v>0.25972845006876433</v>
      </c>
      <c r="H285" s="658">
        <v>0.314</v>
      </c>
      <c r="I285" s="943">
        <v>0.52</v>
      </c>
      <c r="J285" s="947">
        <v>6.1239999999999997</v>
      </c>
      <c r="K285" s="932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>1613</v>
      </c>
      <c r="L285" s="683"/>
      <c r="M285" s="934"/>
      <c r="N285" s="31" t="str">
        <f t="shared" si="1344"/>
        <v>Y</v>
      </c>
      <c r="O285" s="162">
        <f t="shared" si="1348"/>
        <v>-5.1874131927945948</v>
      </c>
      <c r="P285" s="162">
        <f t="shared" si="1349"/>
        <v>3.160201348700785</v>
      </c>
      <c r="Q285" s="162">
        <f t="shared" si="1350"/>
        <v>-0.45170136233130836</v>
      </c>
      <c r="R285" s="162">
        <f t="shared" si="1345"/>
        <v>-0.61217943408270914</v>
      </c>
      <c r="S285" s="162">
        <f t="shared" si="1341"/>
        <v>-0.74684501250999302</v>
      </c>
      <c r="T285" s="162">
        <f t="shared" si="1342"/>
        <v>0.25972845006876433</v>
      </c>
      <c r="U285" s="162">
        <f>IFERROR(IF(ISNUMBER(MATCH($X285,Settings!$AK$52:$AK$60,0)),INDEX(Settings!$AO$14:$AO$60,MATCH($X285,Settings!$AK$14:$AK$60,0))/2,INDEX(Settings!$AM$14:$AM$60,MATCH($X285,Settings!$AK$14:$AK$60,0))/2),"")</f>
        <v>0.3125</v>
      </c>
      <c r="V285" s="162">
        <f t="shared" si="1351"/>
        <v>0.52</v>
      </c>
      <c r="W285" s="75">
        <v>6.1239999999999997</v>
      </c>
      <c r="X285" s="937">
        <f t="shared" si="1346"/>
        <v>1613</v>
      </c>
    </row>
    <row r="286" spans="2:24" x14ac:dyDescent="0.25">
      <c r="B286" s="655">
        <v>-5.7213185869234353</v>
      </c>
      <c r="C286" s="656">
        <v>3.5736894942230397</v>
      </c>
      <c r="D286" s="657">
        <v>-0.82330248308028886</v>
      </c>
      <c r="E286" s="658">
        <v>-0.66276022809533286</v>
      </c>
      <c r="F286" s="656">
        <v>-0.70348843910768188</v>
      </c>
      <c r="G286" s="659">
        <v>0.25661819128202867</v>
      </c>
      <c r="H286" s="658">
        <v>0.314</v>
      </c>
      <c r="I286" s="943">
        <v>0.52</v>
      </c>
      <c r="J286" s="947">
        <v>6.1269999999999998</v>
      </c>
      <c r="K286" s="932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>1613</v>
      </c>
      <c r="L286" s="683"/>
      <c r="M286" s="934"/>
      <c r="N286" s="31" t="str">
        <f t="shared" si="1344"/>
        <v>Y</v>
      </c>
      <c r="O286" s="162">
        <f t="shared" si="1348"/>
        <v>-5.7213185869234353</v>
      </c>
      <c r="P286" s="162">
        <f t="shared" si="1349"/>
        <v>3.5736894942230397</v>
      </c>
      <c r="Q286" s="162">
        <f t="shared" si="1350"/>
        <v>-0.82330248308028886</v>
      </c>
      <c r="R286" s="162">
        <f t="shared" si="1345"/>
        <v>-0.66276022809533286</v>
      </c>
      <c r="S286" s="162">
        <f t="shared" si="1341"/>
        <v>-0.70348843910768188</v>
      </c>
      <c r="T286" s="162">
        <f t="shared" si="1342"/>
        <v>0.25661819128202867</v>
      </c>
      <c r="U286" s="162">
        <f>IFERROR(IF(ISNUMBER(MATCH($X286,Settings!$AK$52:$AK$60,0)),INDEX(Settings!$AO$14:$AO$60,MATCH($X286,Settings!$AK$14:$AK$60,0))/2,INDEX(Settings!$AM$14:$AM$60,MATCH($X286,Settings!$AK$14:$AK$60,0))/2),"")</f>
        <v>0.3125</v>
      </c>
      <c r="V286" s="162">
        <f t="shared" si="1351"/>
        <v>0.52</v>
      </c>
      <c r="W286" s="75">
        <v>6.1269999999999998</v>
      </c>
      <c r="X286" s="937">
        <f t="shared" si="1346"/>
        <v>1613</v>
      </c>
    </row>
    <row r="287" spans="2:24" x14ac:dyDescent="0.25">
      <c r="B287" s="655">
        <v>-6.1724982676664961</v>
      </c>
      <c r="C287" s="656">
        <v>3.9474785860004875</v>
      </c>
      <c r="D287" s="657">
        <v>-1.3247039953072497</v>
      </c>
      <c r="E287" s="658">
        <v>-0.71585686573319951</v>
      </c>
      <c r="F287" s="656">
        <v>-0.65330308767053769</v>
      </c>
      <c r="G287" s="659">
        <v>0.24646302648223328</v>
      </c>
      <c r="H287" s="658">
        <v>0.314</v>
      </c>
      <c r="I287" s="943">
        <v>0.52</v>
      </c>
      <c r="J287" s="947">
        <v>6.13</v>
      </c>
      <c r="K287" s="932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>1613</v>
      </c>
      <c r="L287" s="683"/>
      <c r="M287" s="934"/>
      <c r="N287" s="31" t="str">
        <f t="shared" si="1344"/>
        <v>Y</v>
      </c>
      <c r="O287" s="162">
        <f t="shared" si="1348"/>
        <v>-6.1724982676664961</v>
      </c>
      <c r="P287" s="162">
        <f t="shared" si="1349"/>
        <v>3.9474785860004875</v>
      </c>
      <c r="Q287" s="162">
        <f t="shared" si="1350"/>
        <v>-1.3247039953072497</v>
      </c>
      <c r="R287" s="162">
        <f t="shared" si="1345"/>
        <v>-0.71585686573319951</v>
      </c>
      <c r="S287" s="162">
        <f t="shared" si="1341"/>
        <v>-0.65330308767053769</v>
      </c>
      <c r="T287" s="162">
        <f t="shared" si="1342"/>
        <v>0.24646302648223328</v>
      </c>
      <c r="U287" s="162">
        <f>IFERROR(IF(ISNUMBER(MATCH($X287,Settings!$AK$52:$AK$60,0)),INDEX(Settings!$AO$14:$AO$60,MATCH($X287,Settings!$AK$14:$AK$60,0))/2,INDEX(Settings!$AM$14:$AM$60,MATCH($X287,Settings!$AK$14:$AK$60,0))/2),"")</f>
        <v>0.3125</v>
      </c>
      <c r="V287" s="162">
        <f t="shared" si="1351"/>
        <v>0.52</v>
      </c>
      <c r="W287" s="75">
        <v>6.13</v>
      </c>
      <c r="X287" s="937">
        <f t="shared" si="1346"/>
        <v>1613</v>
      </c>
    </row>
    <row r="288" spans="2:24" x14ac:dyDescent="0.25">
      <c r="B288" s="655">
        <v>-6.5271263499248366</v>
      </c>
      <c r="C288" s="656">
        <v>4.258228840781161</v>
      </c>
      <c r="D288" s="657">
        <v>-1.934205833564794</v>
      </c>
      <c r="E288" s="658">
        <v>-0.76836412478156146</v>
      </c>
      <c r="F288" s="656">
        <v>-0.59942269457551145</v>
      </c>
      <c r="G288" s="659">
        <v>0.22429668962447588</v>
      </c>
      <c r="H288" s="658">
        <v>0.314</v>
      </c>
      <c r="I288" s="943">
        <v>0.52</v>
      </c>
      <c r="J288" s="947">
        <v>6.133</v>
      </c>
      <c r="K288" s="932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>1613</v>
      </c>
      <c r="L288" s="683"/>
      <c r="M288" s="934"/>
      <c r="N288" s="31" t="str">
        <f t="shared" si="1344"/>
        <v>Y</v>
      </c>
      <c r="O288" s="162">
        <f t="shared" si="1348"/>
        <v>-6.5271263499248366</v>
      </c>
      <c r="P288" s="162">
        <f t="shared" si="1349"/>
        <v>4.258228840781161</v>
      </c>
      <c r="Q288" s="162">
        <f t="shared" si="1350"/>
        <v>-1.934205833564794</v>
      </c>
      <c r="R288" s="162">
        <f t="shared" si="1345"/>
        <v>-0.76836412478156146</v>
      </c>
      <c r="S288" s="162">
        <f t="shared" si="1341"/>
        <v>-0.59942269457551145</v>
      </c>
      <c r="T288" s="162">
        <f t="shared" si="1342"/>
        <v>0.22429668962447588</v>
      </c>
      <c r="U288" s="162">
        <f>IFERROR(IF(ISNUMBER(MATCH($X288,Settings!$AK$52:$AK$60,0)),INDEX(Settings!$AO$14:$AO$60,MATCH($X288,Settings!$AK$14:$AK$60,0))/2,INDEX(Settings!$AM$14:$AM$60,MATCH($X288,Settings!$AK$14:$AK$60,0))/2),"")</f>
        <v>0.3125</v>
      </c>
      <c r="V288" s="162">
        <f t="shared" si="1351"/>
        <v>0.52</v>
      </c>
      <c r="W288" s="75">
        <v>6.133</v>
      </c>
      <c r="X288" s="937">
        <f t="shared" si="1346"/>
        <v>1613</v>
      </c>
    </row>
    <row r="289" spans="2:24" x14ac:dyDescent="0.25">
      <c r="B289" s="655">
        <v>-6.7771254717604315</v>
      </c>
      <c r="C289" s="656">
        <v>4.4839820590297457</v>
      </c>
      <c r="D289" s="657">
        <v>-2.6259079197382849</v>
      </c>
      <c r="E289" s="658">
        <v>-0.81770277168476579</v>
      </c>
      <c r="F289" s="656">
        <v>-0.54392728113155009</v>
      </c>
      <c r="G289" s="659">
        <v>0.18842847454642189</v>
      </c>
      <c r="H289" s="658">
        <v>0.314</v>
      </c>
      <c r="I289" s="943">
        <v>0.52</v>
      </c>
      <c r="J289" s="947">
        <v>6.1360000000000001</v>
      </c>
      <c r="K289" s="932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>1613</v>
      </c>
      <c r="L289" s="683"/>
      <c r="M289" s="934"/>
      <c r="N289" s="31" t="str">
        <f t="shared" si="1344"/>
        <v>Y</v>
      </c>
      <c r="O289" s="162">
        <f t="shared" si="1348"/>
        <v>-6.7771254717604315</v>
      </c>
      <c r="P289" s="162">
        <f t="shared" si="1349"/>
        <v>4.4839820590297457</v>
      </c>
      <c r="Q289" s="162">
        <f t="shared" si="1350"/>
        <v>-2.6259079197382849</v>
      </c>
      <c r="R289" s="162">
        <f t="shared" si="1345"/>
        <v>-0.81770277168476579</v>
      </c>
      <c r="S289" s="162">
        <f t="shared" si="1341"/>
        <v>-0.54392728113155009</v>
      </c>
      <c r="T289" s="162">
        <f t="shared" si="1342"/>
        <v>0.18842847454642189</v>
      </c>
      <c r="U289" s="162">
        <f>IFERROR(IF(ISNUMBER(MATCH($X289,Settings!$AK$52:$AK$60,0)),INDEX(Settings!$AO$14:$AO$60,MATCH($X289,Settings!$AK$14:$AK$60,0))/2,INDEX(Settings!$AM$14:$AM$60,MATCH($X289,Settings!$AK$14:$AK$60,0))/2),"")</f>
        <v>0.3125</v>
      </c>
      <c r="V289" s="162">
        <f t="shared" si="1351"/>
        <v>0.52</v>
      </c>
      <c r="W289" s="75">
        <v>6.1360000000000001</v>
      </c>
      <c r="X289" s="937">
        <f t="shared" si="1346"/>
        <v>1613</v>
      </c>
    </row>
    <row r="290" spans="2:24" x14ac:dyDescent="0.25">
      <c r="B290" s="655">
        <v>-6.9248662979150781</v>
      </c>
      <c r="C290" s="656">
        <v>4.6235535262484717</v>
      </c>
      <c r="D290" s="657">
        <v>-3.3675101564106322</v>
      </c>
      <c r="E290" s="658">
        <v>-0.8610109256541193</v>
      </c>
      <c r="F290" s="656">
        <v>-0.48973110561037941</v>
      </c>
      <c r="G290" s="659">
        <v>0.13719923506299969</v>
      </c>
      <c r="H290" s="658">
        <v>0.314</v>
      </c>
      <c r="I290" s="943">
        <v>0.52</v>
      </c>
      <c r="J290" s="947">
        <v>6.1390000000000002</v>
      </c>
      <c r="K290" s="932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>1613</v>
      </c>
      <c r="L290" s="683"/>
      <c r="M290" s="934"/>
      <c r="N290" s="31" t="str">
        <f t="shared" si="1344"/>
        <v>Y</v>
      </c>
      <c r="O290" s="162">
        <f t="shared" si="1348"/>
        <v>-6.9248662979150781</v>
      </c>
      <c r="P290" s="162">
        <f t="shared" si="1349"/>
        <v>4.6235535262484717</v>
      </c>
      <c r="Q290" s="162">
        <f t="shared" si="1350"/>
        <v>-3.3675101564106322</v>
      </c>
      <c r="R290" s="162">
        <f t="shared" si="1345"/>
        <v>-0.8610109256541193</v>
      </c>
      <c r="S290" s="162">
        <f t="shared" si="1341"/>
        <v>-0.48973110561037941</v>
      </c>
      <c r="T290" s="162">
        <f t="shared" si="1342"/>
        <v>0.13719923506299969</v>
      </c>
      <c r="U290" s="162">
        <f>IFERROR(IF(ISNUMBER(MATCH($X290,Settings!$AK$52:$AK$60,0)),INDEX(Settings!$AO$14:$AO$60,MATCH($X290,Settings!$AK$14:$AK$60,0))/2,INDEX(Settings!$AM$14:$AM$60,MATCH($X290,Settings!$AK$14:$AK$60,0))/2),"")</f>
        <v>0.3125</v>
      </c>
      <c r="V290" s="162">
        <f t="shared" si="1351"/>
        <v>0.52</v>
      </c>
      <c r="W290" s="75">
        <v>6.1390000000000002</v>
      </c>
      <c r="X290" s="937">
        <f t="shared" si="1346"/>
        <v>1613</v>
      </c>
    </row>
    <row r="291" spans="2:24" x14ac:dyDescent="0.25">
      <c r="B291" s="655">
        <v>-7.0139322375666078</v>
      </c>
      <c r="C291" s="656">
        <v>4.7078393944192571</v>
      </c>
      <c r="D291" s="657">
        <v>-4.1264124452599349</v>
      </c>
      <c r="E291" s="658">
        <v>-0.89669254335220372</v>
      </c>
      <c r="F291" s="656">
        <v>-0.43692121441890713</v>
      </c>
      <c r="G291" s="659">
        <v>7.1009401400545E-2</v>
      </c>
      <c r="H291" s="658">
        <v>0.314</v>
      </c>
      <c r="I291" s="943">
        <v>0.52</v>
      </c>
      <c r="J291" s="947">
        <v>6.1420000000000003</v>
      </c>
      <c r="K291" s="932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>1613</v>
      </c>
      <c r="L291" s="683"/>
      <c r="M291" s="934"/>
      <c r="N291" s="31" t="str">
        <f t="shared" si="1344"/>
        <v>Y</v>
      </c>
      <c r="O291" s="162">
        <f t="shared" si="1348"/>
        <v>-7.0139322375666078</v>
      </c>
      <c r="P291" s="162">
        <f t="shared" si="1349"/>
        <v>4.7078393944192571</v>
      </c>
      <c r="Q291" s="162">
        <f t="shared" si="1350"/>
        <v>-4.1264124452599349</v>
      </c>
      <c r="R291" s="162">
        <f t="shared" si="1345"/>
        <v>-0.89669254335220372</v>
      </c>
      <c r="S291" s="162">
        <f t="shared" si="1341"/>
        <v>-0.43692121441890713</v>
      </c>
      <c r="T291" s="162">
        <f t="shared" si="1342"/>
        <v>7.1009401400545E-2</v>
      </c>
      <c r="U291" s="162">
        <f>IFERROR(IF(ISNUMBER(MATCH($X291,Settings!$AK$52:$AK$60,0)),INDEX(Settings!$AO$14:$AO$60,MATCH($X291,Settings!$AK$14:$AK$60,0))/2,INDEX(Settings!$AM$14:$AM$60,MATCH($X291,Settings!$AK$14:$AK$60,0))/2),"")</f>
        <v>0.3125</v>
      </c>
      <c r="V291" s="162">
        <f t="shared" si="1351"/>
        <v>0.52</v>
      </c>
      <c r="W291" s="75">
        <v>6.1420000000000003</v>
      </c>
      <c r="X291" s="937">
        <f t="shared" si="1346"/>
        <v>1613</v>
      </c>
    </row>
    <row r="292" spans="2:24" x14ac:dyDescent="0.25">
      <c r="B292" s="655">
        <v>-7.0600268647894087</v>
      </c>
      <c r="C292" s="656">
        <v>4.7513004018063159</v>
      </c>
      <c r="D292" s="657">
        <v>-4.9212148423839643</v>
      </c>
      <c r="E292" s="658">
        <v>-0.9156722050602496</v>
      </c>
      <c r="F292" s="656">
        <v>-0.40149061674268421</v>
      </c>
      <c r="G292" s="659">
        <v>1.8700201808522398E-2</v>
      </c>
      <c r="H292" s="658">
        <v>0.314</v>
      </c>
      <c r="I292" s="943">
        <v>0.52</v>
      </c>
      <c r="J292" s="947">
        <v>6.1449999999999996</v>
      </c>
      <c r="K292" s="932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>1613</v>
      </c>
      <c r="L292" s="683"/>
      <c r="M292" s="934"/>
      <c r="N292" s="31" t="str">
        <f t="shared" si="1344"/>
        <v>Y</v>
      </c>
      <c r="O292" s="162">
        <f t="shared" ref="O292:O305" si="1352">IFERROR(INDEX(B$164:B$305,MATCH($W292,$J$164:$J$305,0)),"")</f>
        <v>-7.0600268647894087</v>
      </c>
      <c r="P292" s="162">
        <f t="shared" ref="P292:P305" si="1353">IFERROR(INDEX(C$164:C$305,MATCH($W292,$J$164:$J$305,0)),"")</f>
        <v>4.7513004018063159</v>
      </c>
      <c r="Q292" s="162">
        <f t="shared" ref="Q292:Q305" si="1354">IFERROR(INDEX(D$164:D$305,MATCH($W292,$J$164:$J$305,0)),"")</f>
        <v>-4.9212148423839643</v>
      </c>
      <c r="R292" s="162">
        <f t="shared" si="1345"/>
        <v>-0.9156722050602496</v>
      </c>
      <c r="S292" s="162">
        <f t="shared" ref="S292:S305" si="1355">IFERROR(IF($L292="Y",-1*INDEX(F$164:F$305,MATCH($W292,$J$164:$J$305,0)),INDEX(F$164:F$305,MATCH($W292,$J$164:$J$305,0))),"")</f>
        <v>-0.40149061674268421</v>
      </c>
      <c r="T292" s="162">
        <f t="shared" ref="T292:T305" si="1356">IFERROR(IF($L292="Y",-1*INDEX(G$164:G$305,MATCH($W292,$J$164:$J$305,0)),INDEX(G$164:G$305,MATCH($W292,$J$164:$J$305,0))),"")</f>
        <v>1.8700201808522398E-2</v>
      </c>
      <c r="U292" s="162">
        <f>IFERROR(IF(ISNUMBER(MATCH($X292,Settings!$AK$52:$AK$60,0)),INDEX(Settings!$AO$14:$AO$60,MATCH($X292,Settings!$AK$14:$AK$60,0))/2,INDEX(Settings!$AM$14:$AM$60,MATCH($X292,Settings!$AK$14:$AK$60,0))/2),"")</f>
        <v>0.3125</v>
      </c>
      <c r="V292" s="162">
        <f t="shared" ref="V292:V305" si="1357">IFERROR(INDEX(I$164:I$305,MATCH($W292,$J$164:$J$305,0)),"")</f>
        <v>0.52</v>
      </c>
      <c r="W292" s="75">
        <v>6.1449999999999996</v>
      </c>
      <c r="X292" s="937">
        <f t="shared" si="1346"/>
        <v>1613</v>
      </c>
    </row>
    <row r="293" spans="2:24" x14ac:dyDescent="0.25">
      <c r="B293" s="655">
        <v>-2.5737193254212105</v>
      </c>
      <c r="C293" s="656">
        <v>2.8143273179265473</v>
      </c>
      <c r="D293" s="657">
        <v>-0.2430614535151322</v>
      </c>
      <c r="E293" s="658">
        <v>0.14595093582901622</v>
      </c>
      <c r="F293" s="656">
        <v>-0.15959537690199435</v>
      </c>
      <c r="G293" s="659">
        <v>0.97633377489572948</v>
      </c>
      <c r="H293" s="658">
        <v>0.25700000000000001</v>
      </c>
      <c r="I293" s="943">
        <v>0.41499999999999992</v>
      </c>
      <c r="J293" s="947">
        <v>6.2149999999999999</v>
      </c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>CPS-32193r1</v>
      </c>
      <c r="L293" s="683"/>
      <c r="M293" s="934"/>
      <c r="N293" s="31" t="str">
        <f t="shared" ref="N293:N305" si="1358">IF(M293="Y","N","Y")</f>
        <v>Y</v>
      </c>
      <c r="O293" s="162">
        <f t="shared" si="1352"/>
        <v>-2.5737193254212105</v>
      </c>
      <c r="P293" s="162">
        <f t="shared" si="1353"/>
        <v>2.8143273179265473</v>
      </c>
      <c r="Q293" s="162">
        <f t="shared" si="1354"/>
        <v>-0.2430614535151322</v>
      </c>
      <c r="R293" s="162">
        <f t="shared" ref="R293:R305" si="1359">IFERROR(IF($L293="Y",-1*INDEX(E$164:E$305,MATCH($W293,$J$164:$J$305,0)),INDEX(E$164:E$305,MATCH($W293,$J$164:$J$305,0))),"")</f>
        <v>0.14595093582901622</v>
      </c>
      <c r="S293" s="162">
        <f t="shared" si="1355"/>
        <v>-0.15959537690199435</v>
      </c>
      <c r="T293" s="162">
        <f t="shared" si="1356"/>
        <v>0.97633377489572948</v>
      </c>
      <c r="U293" s="162">
        <f>IFERROR(IF(ISNUMBER(MATCH($X293,Settings!$AK$52:$AK$60,0)),INDEX(Settings!$AO$14:$AO$60,MATCH($X293,Settings!$AK$14:$AK$60,0))/2,INDEX(Settings!$AM$14:$AM$60,MATCH($X293,Settings!$AK$14:$AK$60,0))/2),"")</f>
        <v>0.255</v>
      </c>
      <c r="V293" s="162">
        <f t="shared" si="1357"/>
        <v>0.41499999999999992</v>
      </c>
      <c r="W293" s="75">
        <v>6.2149999999999999</v>
      </c>
      <c r="X293" s="937" t="str">
        <f t="shared" ref="X293:X305" si="1360">IFERROR(INDEX(K$164:K$305,MATCH($W293,$J$164:$J$305,0)),"")</f>
        <v>CPS-32193r1</v>
      </c>
    </row>
    <row r="294" spans="2:24" x14ac:dyDescent="0.25">
      <c r="B294" s="655">
        <v>-3.2487341874266709</v>
      </c>
      <c r="C294" s="656">
        <v>3.2266361493443907</v>
      </c>
      <c r="D294" s="657">
        <v>-0.15302893813500654</v>
      </c>
      <c r="E294" s="658">
        <v>9.2872727858071564E-3</v>
      </c>
      <c r="F294" s="656">
        <v>-9.2241003328266558E-3</v>
      </c>
      <c r="G294" s="659">
        <v>0.99991432759874588</v>
      </c>
      <c r="H294" s="658">
        <v>0.25700000000000001</v>
      </c>
      <c r="I294" s="943">
        <v>0.41499999999999992</v>
      </c>
      <c r="J294" s="947">
        <v>6.218</v>
      </c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>CPS-32193r1</v>
      </c>
      <c r="L294" s="683"/>
      <c r="M294" s="934"/>
      <c r="N294" s="31" t="str">
        <f t="shared" si="1358"/>
        <v>Y</v>
      </c>
      <c r="O294" s="162">
        <f t="shared" si="1352"/>
        <v>-3.2487341874266709</v>
      </c>
      <c r="P294" s="162">
        <f t="shared" si="1353"/>
        <v>3.2266361493443907</v>
      </c>
      <c r="Q294" s="162">
        <f t="shared" si="1354"/>
        <v>-0.15302893813500654</v>
      </c>
      <c r="R294" s="162">
        <f t="shared" si="1359"/>
        <v>9.2872727858071564E-3</v>
      </c>
      <c r="S294" s="162">
        <f t="shared" si="1355"/>
        <v>-9.2241003328266558E-3</v>
      </c>
      <c r="T294" s="162">
        <f t="shared" si="1356"/>
        <v>0.99991432759874588</v>
      </c>
      <c r="U294" s="162">
        <f>IFERROR(IF(ISNUMBER(MATCH($X294,Settings!$AK$52:$AK$60,0)),INDEX(Settings!$AO$14:$AO$60,MATCH($X294,Settings!$AK$14:$AK$60,0))/2,INDEX(Settings!$AM$14:$AM$60,MATCH($X294,Settings!$AK$14:$AK$60,0))/2),"")</f>
        <v>0.255</v>
      </c>
      <c r="V294" s="162">
        <f t="shared" si="1357"/>
        <v>0.41499999999999992</v>
      </c>
      <c r="W294" s="75">
        <v>6.218</v>
      </c>
      <c r="X294" s="937" t="str">
        <f t="shared" si="1360"/>
        <v>CPS-32193r1</v>
      </c>
    </row>
    <row r="295" spans="2:24" x14ac:dyDescent="0.25">
      <c r="B295" s="655">
        <v>-3.8987248322039676</v>
      </c>
      <c r="C295" s="656">
        <v>3.656696036951415</v>
      </c>
      <c r="D295" s="657">
        <v>-0.22337145781603113</v>
      </c>
      <c r="E295" s="658">
        <v>-0.14092205944274552</v>
      </c>
      <c r="F295" s="656">
        <v>0.13217376410533008</v>
      </c>
      <c r="G295" s="659">
        <v>0.98115802460390844</v>
      </c>
      <c r="H295" s="658">
        <v>0.25700000000000001</v>
      </c>
      <c r="I295" s="943">
        <v>0.41499999999999992</v>
      </c>
      <c r="J295" s="947">
        <v>6.2210000000000001</v>
      </c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>CPS-32193r1</v>
      </c>
      <c r="L295" s="683"/>
      <c r="M295" s="934"/>
      <c r="N295" s="31" t="str">
        <f t="shared" si="1358"/>
        <v>Y</v>
      </c>
      <c r="O295" s="162">
        <f t="shared" si="1352"/>
        <v>-3.8987248322039676</v>
      </c>
      <c r="P295" s="162">
        <f t="shared" si="1353"/>
        <v>3.656696036951415</v>
      </c>
      <c r="Q295" s="162">
        <f t="shared" si="1354"/>
        <v>-0.22337145781603113</v>
      </c>
      <c r="R295" s="162">
        <f t="shared" si="1359"/>
        <v>-0.14092205944274552</v>
      </c>
      <c r="S295" s="162">
        <f t="shared" si="1355"/>
        <v>0.13217376410533008</v>
      </c>
      <c r="T295" s="162">
        <f t="shared" si="1356"/>
        <v>0.98115802460390844</v>
      </c>
      <c r="U295" s="162">
        <f>IFERROR(IF(ISNUMBER(MATCH($X295,Settings!$AK$52:$AK$60,0)),INDEX(Settings!$AO$14:$AO$60,MATCH($X295,Settings!$AK$14:$AK$60,0))/2,INDEX(Settings!$AM$14:$AM$60,MATCH($X295,Settings!$AK$14:$AK$60,0))/2),"")</f>
        <v>0.255</v>
      </c>
      <c r="V295" s="162">
        <f t="shared" si="1357"/>
        <v>0.41499999999999992</v>
      </c>
      <c r="W295" s="75">
        <v>6.2210000000000001</v>
      </c>
      <c r="X295" s="937" t="str">
        <f t="shared" si="1360"/>
        <v>CPS-32193r1</v>
      </c>
    </row>
    <row r="296" spans="2:24" x14ac:dyDescent="0.25">
      <c r="B296" s="655">
        <v>-4.4997064962148796</v>
      </c>
      <c r="C296" s="656">
        <v>4.0891697473320292</v>
      </c>
      <c r="D296" s="657">
        <v>-0.45149927270731699</v>
      </c>
      <c r="E296" s="658">
        <v>-0.29011556938331717</v>
      </c>
      <c r="F296" s="656">
        <v>0.26364648684313102</v>
      </c>
      <c r="G296" s="659">
        <v>0.91995841556924107</v>
      </c>
      <c r="H296" s="658">
        <v>0.25700000000000001</v>
      </c>
      <c r="I296" s="943">
        <v>0.41499999999999992</v>
      </c>
      <c r="J296" s="947">
        <v>6.2240000000000002</v>
      </c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>CPS-32193r1</v>
      </c>
      <c r="L296" s="683"/>
      <c r="M296" s="934"/>
      <c r="N296" s="31" t="str">
        <f t="shared" si="1358"/>
        <v>Y</v>
      </c>
      <c r="O296" s="162">
        <f t="shared" si="1352"/>
        <v>-4.4997064962148796</v>
      </c>
      <c r="P296" s="162">
        <f t="shared" si="1353"/>
        <v>4.0891697473320292</v>
      </c>
      <c r="Q296" s="162">
        <f t="shared" si="1354"/>
        <v>-0.45149927270731699</v>
      </c>
      <c r="R296" s="162">
        <f t="shared" si="1359"/>
        <v>-0.29011556938331717</v>
      </c>
      <c r="S296" s="162">
        <f t="shared" si="1355"/>
        <v>0.26364648684313102</v>
      </c>
      <c r="T296" s="162">
        <f t="shared" si="1356"/>
        <v>0.91995841556924107</v>
      </c>
      <c r="U296" s="162">
        <f>IFERROR(IF(ISNUMBER(MATCH($X296,Settings!$AK$52:$AK$60,0)),INDEX(Settings!$AO$14:$AO$60,MATCH($X296,Settings!$AK$14:$AK$60,0))/2,INDEX(Settings!$AM$14:$AM$60,MATCH($X296,Settings!$AK$14:$AK$60,0))/2),"")</f>
        <v>0.255</v>
      </c>
      <c r="V296" s="162">
        <f t="shared" si="1357"/>
        <v>0.41499999999999992</v>
      </c>
      <c r="W296" s="75">
        <v>6.2240000000000002</v>
      </c>
      <c r="X296" s="937" t="str">
        <f t="shared" si="1360"/>
        <v>CPS-32193r1</v>
      </c>
    </row>
    <row r="297" spans="2:24" x14ac:dyDescent="0.25">
      <c r="B297" s="655">
        <v>-5.0326648826866283</v>
      </c>
      <c r="C297" s="656">
        <v>4.5006188685824977</v>
      </c>
      <c r="D297" s="657">
        <v>-0.82691556295996438</v>
      </c>
      <c r="E297" s="658">
        <v>-0.42573596274693093</v>
      </c>
      <c r="F297" s="656">
        <v>0.38072777576839173</v>
      </c>
      <c r="G297" s="659">
        <v>0.82085032178978723</v>
      </c>
      <c r="H297" s="658">
        <v>0.25700000000000001</v>
      </c>
      <c r="I297" s="943">
        <v>0.41499999999999992</v>
      </c>
      <c r="J297" s="947">
        <v>6.2270000000000003</v>
      </c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>CPS-32193r1</v>
      </c>
      <c r="L297" s="683"/>
      <c r="M297" s="934"/>
      <c r="N297" s="31" t="str">
        <f t="shared" si="1358"/>
        <v>Y</v>
      </c>
      <c r="O297" s="162">
        <f t="shared" si="1352"/>
        <v>-5.0326648826866283</v>
      </c>
      <c r="P297" s="162">
        <f t="shared" si="1353"/>
        <v>4.5006188685824977</v>
      </c>
      <c r="Q297" s="162">
        <f t="shared" si="1354"/>
        <v>-0.82691556295996438</v>
      </c>
      <c r="R297" s="162">
        <f t="shared" si="1359"/>
        <v>-0.42573596274693093</v>
      </c>
      <c r="S297" s="162">
        <f t="shared" si="1355"/>
        <v>0.38072777576839173</v>
      </c>
      <c r="T297" s="162">
        <f t="shared" si="1356"/>
        <v>0.82085032178978723</v>
      </c>
      <c r="U297" s="162">
        <f>IFERROR(IF(ISNUMBER(MATCH($X297,Settings!$AK$52:$AK$60,0)),INDEX(Settings!$AO$14:$AO$60,MATCH($X297,Settings!$AK$14:$AK$60,0))/2,INDEX(Settings!$AM$14:$AM$60,MATCH($X297,Settings!$AK$14:$AK$60,0))/2),"")</f>
        <v>0.255</v>
      </c>
      <c r="V297" s="162">
        <f t="shared" si="1357"/>
        <v>0.41499999999999992</v>
      </c>
      <c r="W297" s="75">
        <v>6.2270000000000003</v>
      </c>
      <c r="X297" s="937" t="str">
        <f t="shared" si="1360"/>
        <v>CPS-32193r1</v>
      </c>
    </row>
    <row r="298" spans="2:24" x14ac:dyDescent="0.25">
      <c r="B298" s="655">
        <v>-5.4793276534222652</v>
      </c>
      <c r="C298" s="656">
        <v>4.8699725534050842</v>
      </c>
      <c r="D298" s="657">
        <v>-1.3327227133909083</v>
      </c>
      <c r="E298" s="658">
        <v>-0.54432848308199411</v>
      </c>
      <c r="F298" s="656">
        <v>0.48379380469979066</v>
      </c>
      <c r="G298" s="659">
        <v>0.68531019038079122</v>
      </c>
      <c r="H298" s="658">
        <v>0.25700000000000001</v>
      </c>
      <c r="I298" s="943">
        <v>0.41499999999999992</v>
      </c>
      <c r="J298" s="947">
        <v>6.23</v>
      </c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>CPS-32193r1</v>
      </c>
      <c r="L298" s="683"/>
      <c r="M298" s="934"/>
      <c r="N298" s="31" t="str">
        <f t="shared" si="1358"/>
        <v>Y</v>
      </c>
      <c r="O298" s="162">
        <f t="shared" si="1352"/>
        <v>-5.4793276534222652</v>
      </c>
      <c r="P298" s="162">
        <f t="shared" si="1353"/>
        <v>4.8699725534050842</v>
      </c>
      <c r="Q298" s="162">
        <f t="shared" si="1354"/>
        <v>-1.3327227133909083</v>
      </c>
      <c r="R298" s="162">
        <f t="shared" si="1359"/>
        <v>-0.54432848308199411</v>
      </c>
      <c r="S298" s="162">
        <f t="shared" si="1355"/>
        <v>0.48379380469979066</v>
      </c>
      <c r="T298" s="162">
        <f t="shared" si="1356"/>
        <v>0.68531019038079122</v>
      </c>
      <c r="U298" s="162">
        <f>IFERROR(IF(ISNUMBER(MATCH($X298,Settings!$AK$52:$AK$60,0)),INDEX(Settings!$AO$14:$AO$60,MATCH($X298,Settings!$AK$14:$AK$60,0))/2,INDEX(Settings!$AM$14:$AM$60,MATCH($X298,Settings!$AK$14:$AK$60,0))/2),"")</f>
        <v>0.255</v>
      </c>
      <c r="V298" s="162">
        <f t="shared" si="1357"/>
        <v>0.41499999999999992</v>
      </c>
      <c r="W298" s="75">
        <v>6.23</v>
      </c>
      <c r="X298" s="937" t="str">
        <f t="shared" si="1360"/>
        <v>CPS-32193r1</v>
      </c>
    </row>
    <row r="299" spans="2:24" x14ac:dyDescent="0.25">
      <c r="B299" s="655">
        <v>-5.8275189778992402</v>
      </c>
      <c r="C299" s="656">
        <v>5.1749524402414595</v>
      </c>
      <c r="D299" s="657">
        <v>-1.9462851712951987</v>
      </c>
      <c r="E299" s="658">
        <v>-0.63686334065866634</v>
      </c>
      <c r="F299" s="656">
        <v>0.56554727858303322</v>
      </c>
      <c r="G299" s="659">
        <v>0.52398603131420263</v>
      </c>
      <c r="H299" s="658">
        <v>0.25700000000000001</v>
      </c>
      <c r="I299" s="943">
        <v>0.41499999999999992</v>
      </c>
      <c r="J299" s="947">
        <v>6.2329999999999997</v>
      </c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>CPS-32193r1</v>
      </c>
      <c r="L299" s="683"/>
      <c r="M299" s="934"/>
      <c r="N299" s="31" t="str">
        <f t="shared" si="1358"/>
        <v>Y</v>
      </c>
      <c r="O299" s="162">
        <f t="shared" si="1352"/>
        <v>-5.8275189778992402</v>
      </c>
      <c r="P299" s="162">
        <f t="shared" si="1353"/>
        <v>5.1749524402414595</v>
      </c>
      <c r="Q299" s="162">
        <f t="shared" si="1354"/>
        <v>-1.9462851712951987</v>
      </c>
      <c r="R299" s="162">
        <f t="shared" si="1359"/>
        <v>-0.63686334065866634</v>
      </c>
      <c r="S299" s="162">
        <f t="shared" si="1355"/>
        <v>0.56554727858303322</v>
      </c>
      <c r="T299" s="162">
        <f t="shared" si="1356"/>
        <v>0.52398603131420263</v>
      </c>
      <c r="U299" s="162">
        <f>IFERROR(IF(ISNUMBER(MATCH($X299,Settings!$AK$52:$AK$60,0)),INDEX(Settings!$AO$14:$AO$60,MATCH($X299,Settings!$AK$14:$AK$60,0))/2,INDEX(Settings!$AM$14:$AM$60,MATCH($X299,Settings!$AK$14:$AK$60,0))/2),"")</f>
        <v>0.255</v>
      </c>
      <c r="V299" s="162">
        <f t="shared" si="1357"/>
        <v>0.41499999999999992</v>
      </c>
      <c r="W299" s="75">
        <v>6.2329999999999997</v>
      </c>
      <c r="X299" s="937" t="str">
        <f t="shared" si="1360"/>
        <v>CPS-32193r1</v>
      </c>
    </row>
    <row r="300" spans="2:24" x14ac:dyDescent="0.25">
      <c r="B300" s="655">
        <v>-6.0704975517279989</v>
      </c>
      <c r="C300" s="656">
        <v>5.3945068870573785</v>
      </c>
      <c r="D300" s="657">
        <v>-2.641052174497704</v>
      </c>
      <c r="E300" s="658">
        <v>-0.70313183195995033</v>
      </c>
      <c r="F300" s="656">
        <v>0.62483338106898934</v>
      </c>
      <c r="G300" s="659">
        <v>0.33939486264016933</v>
      </c>
      <c r="H300" s="658">
        <v>0.25700000000000001</v>
      </c>
      <c r="I300" s="943">
        <v>0.41499999999999992</v>
      </c>
      <c r="J300" s="947">
        <v>6.2359999999999998</v>
      </c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>CPS-32193r1</v>
      </c>
      <c r="L300" s="683"/>
      <c r="M300" s="934"/>
      <c r="N300" s="31" t="str">
        <f t="shared" si="1358"/>
        <v>Y</v>
      </c>
      <c r="O300" s="162">
        <f t="shared" si="1352"/>
        <v>-6.0704975517279989</v>
      </c>
      <c r="P300" s="162">
        <f t="shared" si="1353"/>
        <v>5.3945068870573785</v>
      </c>
      <c r="Q300" s="162">
        <f t="shared" si="1354"/>
        <v>-2.641052174497704</v>
      </c>
      <c r="R300" s="162">
        <f t="shared" si="1359"/>
        <v>-0.70313183195995033</v>
      </c>
      <c r="S300" s="162">
        <f t="shared" si="1355"/>
        <v>0.62483338106898934</v>
      </c>
      <c r="T300" s="162">
        <f t="shared" si="1356"/>
        <v>0.33939486264016933</v>
      </c>
      <c r="U300" s="162">
        <f>IFERROR(IF(ISNUMBER(MATCH($X300,Settings!$AK$52:$AK$60,0)),INDEX(Settings!$AO$14:$AO$60,MATCH($X300,Settings!$AK$14:$AK$60,0))/2,INDEX(Settings!$AM$14:$AM$60,MATCH($X300,Settings!$AK$14:$AK$60,0))/2),"")</f>
        <v>0.255</v>
      </c>
      <c r="V300" s="162">
        <f t="shared" si="1357"/>
        <v>0.41499999999999992</v>
      </c>
      <c r="W300" s="75">
        <v>6.2359999999999998</v>
      </c>
      <c r="X300" s="937" t="str">
        <f t="shared" si="1360"/>
        <v>CPS-32193r1</v>
      </c>
    </row>
    <row r="301" spans="2:24" x14ac:dyDescent="0.25">
      <c r="B301" s="655">
        <v>-6.2109265214768419</v>
      </c>
      <c r="C301" s="656">
        <v>5.5276483277026909</v>
      </c>
      <c r="D301" s="657">
        <v>-3.3840647600440179</v>
      </c>
      <c r="E301" s="658">
        <v>-0.73108188437165089</v>
      </c>
      <c r="F301" s="656">
        <v>0.65065389867142975</v>
      </c>
      <c r="G301" s="659">
        <v>0.2053503895473909</v>
      </c>
      <c r="H301" s="658">
        <v>0.25700000000000001</v>
      </c>
      <c r="I301" s="943">
        <v>0.41499999999999992</v>
      </c>
      <c r="J301" s="947">
        <v>6.2389999999999999</v>
      </c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>CPS-32193r1</v>
      </c>
      <c r="L301" s="683"/>
      <c r="M301" s="934"/>
      <c r="N301" s="31" t="str">
        <f t="shared" si="1358"/>
        <v>Y</v>
      </c>
      <c r="O301" s="162">
        <f t="shared" si="1352"/>
        <v>-6.2109265214768419</v>
      </c>
      <c r="P301" s="162">
        <f t="shared" si="1353"/>
        <v>5.5276483277026909</v>
      </c>
      <c r="Q301" s="162">
        <f t="shared" si="1354"/>
        <v>-3.3840647600440179</v>
      </c>
      <c r="R301" s="162">
        <f t="shared" si="1359"/>
        <v>-0.73108188437165089</v>
      </c>
      <c r="S301" s="162">
        <f t="shared" si="1355"/>
        <v>0.65065389867142975</v>
      </c>
      <c r="T301" s="162">
        <f t="shared" si="1356"/>
        <v>0.2053503895473909</v>
      </c>
      <c r="U301" s="162">
        <f>IFERROR(IF(ISNUMBER(MATCH($X301,Settings!$AK$52:$AK$60,0)),INDEX(Settings!$AO$14:$AO$60,MATCH($X301,Settings!$AK$14:$AK$60,0))/2,INDEX(Settings!$AM$14:$AM$60,MATCH($X301,Settings!$AK$14:$AK$60,0))/2),"")</f>
        <v>0.255</v>
      </c>
      <c r="V301" s="162">
        <f t="shared" si="1357"/>
        <v>0.41499999999999992</v>
      </c>
      <c r="W301" s="75">
        <v>6.2389999999999999</v>
      </c>
      <c r="X301" s="937" t="str">
        <f t="shared" si="1360"/>
        <v>CPS-32193r1</v>
      </c>
    </row>
    <row r="302" spans="2:24" x14ac:dyDescent="0.25">
      <c r="B302" s="655">
        <v>-6.2925051662077642</v>
      </c>
      <c r="C302" s="656">
        <v>5.6053053769336545</v>
      </c>
      <c r="D302" s="657">
        <v>-4.1422714085274137</v>
      </c>
      <c r="E302" s="658">
        <v>-0.74225136147877746</v>
      </c>
      <c r="F302" s="656">
        <v>0.66119064468574851</v>
      </c>
      <c r="G302" s="659">
        <v>0.10904057851527371</v>
      </c>
      <c r="H302" s="658">
        <v>0.25700000000000001</v>
      </c>
      <c r="I302" s="943">
        <v>0.41499999999999992</v>
      </c>
      <c r="J302" s="947">
        <v>6.242</v>
      </c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>CPS-32193r1</v>
      </c>
      <c r="L302" s="683"/>
      <c r="M302" s="934"/>
      <c r="N302" s="31" t="str">
        <f t="shared" si="1358"/>
        <v>Y</v>
      </c>
      <c r="O302" s="162">
        <f t="shared" si="1352"/>
        <v>-6.2925051662077642</v>
      </c>
      <c r="P302" s="162">
        <f t="shared" si="1353"/>
        <v>5.6053053769336545</v>
      </c>
      <c r="Q302" s="162">
        <f t="shared" si="1354"/>
        <v>-4.1422714085274137</v>
      </c>
      <c r="R302" s="162">
        <f t="shared" si="1359"/>
        <v>-0.74225136147877746</v>
      </c>
      <c r="S302" s="162">
        <f t="shared" si="1355"/>
        <v>0.66119064468574851</v>
      </c>
      <c r="T302" s="162">
        <f t="shared" si="1356"/>
        <v>0.10904057851527371</v>
      </c>
      <c r="U302" s="162">
        <f>IFERROR(IF(ISNUMBER(MATCH($X302,Settings!$AK$52:$AK$60,0)),INDEX(Settings!$AO$14:$AO$60,MATCH($X302,Settings!$AK$14:$AK$60,0))/2,INDEX(Settings!$AM$14:$AM$60,MATCH($X302,Settings!$AK$14:$AK$60,0))/2),"")</f>
        <v>0.255</v>
      </c>
      <c r="V302" s="162">
        <f t="shared" si="1357"/>
        <v>0.41499999999999992</v>
      </c>
      <c r="W302" s="75">
        <v>6.242</v>
      </c>
      <c r="X302" s="937" t="str">
        <f t="shared" si="1360"/>
        <v>CPS-32193r1</v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N303" s="31" t="str">
        <f t="shared" si="1358"/>
        <v>Y</v>
      </c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9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60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N304" s="31" t="str">
        <f t="shared" si="1358"/>
        <v>Y</v>
      </c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9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60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N305" s="31" t="str">
        <f t="shared" si="1358"/>
        <v>Y</v>
      </c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9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60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sheetPr codeName="Sheet3"/>
  <dimension ref="C3:I86"/>
  <sheetViews>
    <sheetView workbookViewId="0">
      <selection activeCell="A10" sqref="A10"/>
    </sheetView>
  </sheetViews>
  <sheetFormatPr defaultRowHeight="15" x14ac:dyDescent="0.25"/>
  <sheetData>
    <row r="3" spans="3:9" x14ac:dyDescent="0.25">
      <c r="D3" s="1099" t="s">
        <v>11</v>
      </c>
      <c r="E3" s="1100"/>
      <c r="F3" s="1171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172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topLeftCell="A29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35" t="str">
        <f>CONCATENATE(Settings!$C$19," ",Settings!$B$28)</f>
        <v>17.5 4288r00</v>
      </c>
      <c r="D1" s="1135"/>
      <c r="E1" s="1135"/>
      <c r="F1" s="1135"/>
      <c r="G1" s="1135"/>
      <c r="H1" s="1135"/>
      <c r="I1" s="1135"/>
      <c r="J1" s="1135"/>
      <c r="K1" s="1135"/>
      <c r="M1" s="103" t="s">
        <v>310</v>
      </c>
      <c r="N1" s="1428" t="s">
        <v>312</v>
      </c>
      <c r="O1" s="1428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24" t="str">
        <f>Settings!B28</f>
        <v>4288r00</v>
      </c>
      <c r="C2" s="1425"/>
      <c r="D2" s="1425"/>
      <c r="E2" s="1425"/>
      <c r="F2" s="1425"/>
      <c r="G2" s="1425"/>
      <c r="H2" s="1425"/>
      <c r="I2" s="1425"/>
      <c r="J2" s="1425"/>
      <c r="K2" s="1426"/>
      <c r="L2" s="1098" t="str" cm="1">
        <f t="array" ref="L2">IF(OR($K$9:$K$150="Undefined"),"Undefined Element","")</f>
        <v/>
      </c>
      <c r="M2" s="1421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418" t="str">
        <f>M2</f>
        <v>CS-Name</v>
      </c>
      <c r="AW2" s="1340"/>
      <c r="AX2" s="1340"/>
      <c r="AY2" s="1340"/>
      <c r="AZ2" s="1340"/>
      <c r="BA2" s="1340"/>
      <c r="BB2" s="1340"/>
      <c r="BC2" s="1341"/>
      <c r="BF2" s="1394" t="s">
        <v>313</v>
      </c>
      <c r="BG2" s="1395"/>
      <c r="BH2" s="1395"/>
      <c r="BI2" s="1395"/>
      <c r="BJ2" s="1395"/>
      <c r="BK2" s="1396"/>
      <c r="BM2" s="1384" t="s">
        <v>270</v>
      </c>
      <c r="BN2" s="1090"/>
      <c r="BO2" s="1090"/>
      <c r="BP2" s="1091"/>
      <c r="BR2" s="1384" t="s">
        <v>270</v>
      </c>
      <c r="BS2" s="1090"/>
      <c r="BT2" s="1090"/>
      <c r="BU2" s="10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41"/>
      <c r="C3" s="1142"/>
      <c r="D3" s="1142"/>
      <c r="E3" s="1142"/>
      <c r="F3" s="1142"/>
      <c r="G3" s="1142"/>
      <c r="H3" s="1142"/>
      <c r="I3" s="1142"/>
      <c r="J3" s="1142"/>
      <c r="K3" s="1143"/>
      <c r="L3" s="1098"/>
      <c r="M3" s="1422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207"/>
      <c r="AA3" s="1193"/>
      <c r="AB3" s="1193"/>
      <c r="AC3" s="1193"/>
      <c r="AD3" s="1193"/>
      <c r="AE3" s="1193"/>
      <c r="AF3" s="1193"/>
      <c r="AG3" s="1193"/>
      <c r="AH3" s="1193"/>
      <c r="AI3" s="1193"/>
      <c r="AJ3" s="1193"/>
      <c r="AK3" s="1193"/>
      <c r="AL3" s="1193"/>
      <c r="AM3" s="1193"/>
      <c r="AN3" s="1193"/>
      <c r="AO3" s="1193"/>
      <c r="AP3" s="1193"/>
      <c r="AQ3" s="1208"/>
      <c r="AS3" s="415">
        <v>100</v>
      </c>
      <c r="AT3" s="412" t="s">
        <v>45</v>
      </c>
      <c r="AV3" s="1419"/>
      <c r="AW3" s="1346"/>
      <c r="AX3" s="1346"/>
      <c r="AY3" s="1346"/>
      <c r="AZ3" s="1346"/>
      <c r="BA3" s="1346"/>
      <c r="BB3" s="1346"/>
      <c r="BC3" s="134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6" t="s">
        <v>307</v>
      </c>
      <c r="C4" s="980"/>
      <c r="D4" s="980"/>
      <c r="E4" s="980"/>
      <c r="F4" s="980"/>
      <c r="G4" s="980"/>
      <c r="H4" s="980"/>
      <c r="I4" s="980"/>
      <c r="J4" s="980"/>
      <c r="K4" s="1427"/>
      <c r="L4" s="1098"/>
      <c r="M4" s="1422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Q4</f>
        <v>Polar XY; Cartesian Z</v>
      </c>
      <c r="X4" s="1139"/>
      <c r="Y4" s="1140"/>
      <c r="Z4" s="1429" t="s">
        <v>3</v>
      </c>
      <c r="AA4" s="1404"/>
      <c r="AB4" s="1404"/>
      <c r="AC4" s="1404"/>
      <c r="AD4" s="1404"/>
      <c r="AE4" s="1404"/>
      <c r="AF4" s="1404"/>
      <c r="AG4" s="1403" t="s">
        <v>31</v>
      </c>
      <c r="AH4" s="1404"/>
      <c r="AI4" s="1404"/>
      <c r="AJ4" s="1405"/>
      <c r="AK4" s="1387" t="s">
        <v>32</v>
      </c>
      <c r="AL4" s="1388"/>
      <c r="AM4" s="1388"/>
      <c r="AN4" s="1388"/>
      <c r="AO4" s="1388"/>
      <c r="AP4" s="1388"/>
      <c r="AQ4" s="1389"/>
      <c r="AS4" s="416">
        <v>0</v>
      </c>
      <c r="AT4" s="413" t="s">
        <v>46</v>
      </c>
      <c r="AV4" s="1419"/>
      <c r="AW4" s="1401"/>
      <c r="AX4" s="1401"/>
      <c r="AY4" s="1401"/>
      <c r="AZ4" s="1402"/>
      <c r="BA4" s="1401" t="str">
        <f>Z2</f>
        <v>PDC Orientation</v>
      </c>
      <c r="BB4" s="1401"/>
      <c r="BC4" s="140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5" t="s">
        <v>372</v>
      </c>
      <c r="IF4" s="1005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41" t="str">
        <f>CONCATENATE(B7," ; ",E7," ; ",H8)</f>
        <v>Absolute-Point ; Incremental-Vector Point ; Radius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422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&amp; Z; Z Axis")</f>
        <v>Relative to 's θ &amp; Z; Z Axis</v>
      </c>
      <c r="U5" s="1104"/>
      <c r="V5" s="1179"/>
      <c r="W5" s="1104" t="str">
        <f>CONCATENATE("Relative to ",M8,"'s θ &amp; Z; Z Axis")</f>
        <v>Relative to 's θ &amp; Z;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</v>
      </c>
      <c r="AT5" s="413" t="s">
        <v>47</v>
      </c>
      <c r="AV5" s="1419"/>
      <c r="AW5" s="1168" t="str">
        <f>W4</f>
        <v>Polar XY; Cartesian Z</v>
      </c>
      <c r="AX5" s="1139"/>
      <c r="AY5" s="1139"/>
      <c r="AZ5" s="1311" t="s">
        <v>104</v>
      </c>
      <c r="BA5" s="1139" t="str">
        <f>AK4</f>
        <v>Polar Z Projection → XZ Plane</v>
      </c>
      <c r="BB5" s="1139"/>
      <c r="BC5" s="1212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422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Q6</f>
        <v>Projected XY</v>
      </c>
      <c r="X6" s="1158"/>
      <c r="Y6" s="1129" t="str">
        <f>S6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68" t="str">
        <f>AD6</f>
        <v>Unit Vector</v>
      </c>
      <c r="AL6" s="1139"/>
      <c r="AM6" s="1212"/>
      <c r="AN6" s="34" t="s">
        <v>15</v>
      </c>
      <c r="AO6" s="35" t="s">
        <v>16</v>
      </c>
      <c r="AP6" s="680" t="s">
        <v>17</v>
      </c>
      <c r="AQ6" s="1430" t="s">
        <v>108</v>
      </c>
      <c r="AS6" s="168">
        <f>(AS5/360)</f>
        <v>0</v>
      </c>
      <c r="AT6" s="414" t="s">
        <v>48</v>
      </c>
      <c r="AV6" s="1419"/>
      <c r="AW6" s="1103" t="str">
        <f>W5</f>
        <v>Relative to 's θ &amp; Z; Z Axis</v>
      </c>
      <c r="AX6" s="1104"/>
      <c r="AY6" s="1104"/>
      <c r="AZ6" s="1415"/>
      <c r="BA6" s="1104" t="str">
        <f>AK5</f>
        <v>Vector Along X Axis</v>
      </c>
      <c r="BB6" s="1104"/>
      <c r="BC6" s="1105"/>
      <c r="BD6" s="417"/>
      <c r="BF6" s="410">
        <f>SUM(AZ9:AZ150)</f>
        <v>0</v>
      </c>
      <c r="BG6" s="1408" t="s">
        <v>309</v>
      </c>
      <c r="BH6" s="1408"/>
      <c r="BI6" s="1408"/>
      <c r="BJ6" s="1408"/>
      <c r="BK6" s="140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61" t="s">
        <v>40</v>
      </c>
      <c r="C7" s="1162"/>
      <c r="D7" s="1163"/>
      <c r="E7" s="1164" t="s">
        <v>41</v>
      </c>
      <c r="F7" s="1162"/>
      <c r="G7" s="1165"/>
      <c r="H7" s="1003" t="s">
        <v>305</v>
      </c>
      <c r="I7" s="1023"/>
      <c r="J7" s="1004"/>
      <c r="K7" s="488"/>
      <c r="L7" s="1098"/>
      <c r="M7" s="1423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Q7</f>
        <v>&lt; θ°</v>
      </c>
      <c r="X7" s="27" t="str">
        <f>R7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31"/>
      <c r="AS7" s="1406" t="s">
        <v>54</v>
      </c>
      <c r="AT7" s="1385" t="s">
        <v>53</v>
      </c>
      <c r="AV7" s="1419"/>
      <c r="AW7" s="1414" t="str">
        <f>$W$6</f>
        <v>Projected XY</v>
      </c>
      <c r="AX7" s="1158"/>
      <c r="AY7" s="1416" t="str">
        <f>$Y$6</f>
        <v>Z</v>
      </c>
      <c r="AZ7" s="141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8"/>
      <c r="BH7" s="1408"/>
      <c r="BI7" s="1408"/>
      <c r="BJ7" s="1408"/>
      <c r="BK7" s="140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29" t="s">
        <v>33</v>
      </c>
      <c r="IH7" s="1268" t="s">
        <v>376</v>
      </c>
      <c r="II7" s="1025" t="s">
        <v>324</v>
      </c>
      <c r="IJ7" s="1026"/>
      <c r="IK7" s="1026"/>
      <c r="IL7" s="1023"/>
      <c r="IM7" s="1023"/>
      <c r="IN7" s="1023"/>
      <c r="IO7" s="1004"/>
      <c r="IP7" s="1003" t="s">
        <v>320</v>
      </c>
      <c r="IQ7" s="1023"/>
      <c r="IR7" s="1023"/>
      <c r="IS7" s="1023"/>
      <c r="IT7" s="1023"/>
      <c r="IU7" s="1003" t="s">
        <v>319</v>
      </c>
      <c r="IV7" s="1023"/>
      <c r="IW7" s="1023"/>
      <c r="IX7" s="1023"/>
      <c r="IY7" s="1004"/>
      <c r="JA7" s="725"/>
      <c r="JB7" s="1383" t="s">
        <v>355</v>
      </c>
      <c r="JC7" s="1087"/>
      <c r="JD7" s="1087"/>
      <c r="JE7" s="10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9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7"/>
      <c r="AT8" s="1386"/>
      <c r="AV8" s="1420"/>
      <c r="AW8" s="46" t="str">
        <f>$W$7</f>
        <v>&lt; θ°</v>
      </c>
      <c r="AX8" s="27" t="str">
        <f>$X$7</f>
        <v>r</v>
      </c>
      <c r="AY8" s="1417"/>
      <c r="AZ8" s="131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70"/>
      <c r="IH8" s="126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89" t="s">
        <v>356</v>
      </c>
      <c r="JC19" s="1090"/>
      <c r="JD19" s="1090"/>
      <c r="JE19" s="1090"/>
      <c r="JF19" s="1090"/>
      <c r="JG19" s="1090"/>
      <c r="JH19" s="1090"/>
      <c r="JI19" s="10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2" t="s">
        <v>360</v>
      </c>
      <c r="JC20" s="1093"/>
      <c r="JD20" s="1093"/>
      <c r="JE20" s="1093"/>
      <c r="JF20" s="1306" t="s">
        <v>361</v>
      </c>
      <c r="JG20" s="1307"/>
      <c r="JH20" s="1307"/>
      <c r="JI20" s="1308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4"/>
      <c r="JC21" s="1095"/>
      <c r="JD21" s="1095"/>
      <c r="JE21" s="1095"/>
      <c r="JF21" s="1309" t="s">
        <v>349</v>
      </c>
      <c r="JG21" s="1310"/>
      <c r="JH21" s="1096" t="s">
        <v>362</v>
      </c>
      <c r="JI21" s="109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12" t="str">
        <f>$W$6</f>
        <v>Projected XY</v>
      </c>
      <c r="AX152" s="1413"/>
      <c r="AY152" s="1399" t="str">
        <f>$Y$6</f>
        <v>Z</v>
      </c>
      <c r="AZ152" s="1397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0"/>
      <c r="AZ153" s="1398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47" t="s">
        <v>42</v>
      </c>
      <c r="C157" s="1148"/>
      <c r="D157" s="1148"/>
      <c r="E157" s="1148"/>
      <c r="F157" s="1148"/>
      <c r="G157" s="1148"/>
      <c r="H157" s="1148"/>
      <c r="I157" s="1148"/>
      <c r="J157" s="1148"/>
      <c r="K157" s="1149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50"/>
      <c r="C158" s="1111"/>
      <c r="D158" s="1111"/>
      <c r="E158" s="1111"/>
      <c r="F158" s="1111"/>
      <c r="G158" s="1111"/>
      <c r="H158" s="1111"/>
      <c r="I158" s="1111"/>
      <c r="J158" s="1111"/>
      <c r="K158" s="1151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52"/>
      <c r="C159" s="1153"/>
      <c r="D159" s="1153"/>
      <c r="E159" s="1153"/>
      <c r="F159" s="1153"/>
      <c r="G159" s="1153"/>
      <c r="H159" s="1153"/>
      <c r="I159" s="1153"/>
      <c r="J159" s="1153"/>
      <c r="K159" s="1154"/>
      <c r="AQ159" s="162"/>
      <c r="BD159" s="417"/>
    </row>
    <row r="160" spans="1:259" ht="15" customHeight="1" x14ac:dyDescent="0.25">
      <c r="B160" s="1141" t="str">
        <f>CONCATENATE(B162," ; ",E162," ; ",H163)</f>
        <v>Absolute-Point ; Incremental-Vector Point ; Radius</v>
      </c>
      <c r="C160" s="1142"/>
      <c r="D160" s="1142"/>
      <c r="E160" s="1142"/>
      <c r="F160" s="1142"/>
      <c r="G160" s="1142"/>
      <c r="H160" s="1142"/>
      <c r="I160" s="1142"/>
      <c r="J160" s="1142"/>
      <c r="K160" s="1143"/>
      <c r="AQ160" s="162"/>
      <c r="BD160" s="417"/>
    </row>
    <row r="161" spans="2:56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6"/>
      <c r="AQ161" s="162"/>
      <c r="BD161" s="417"/>
    </row>
    <row r="162" spans="2:56" ht="15" customHeight="1" x14ac:dyDescent="0.25">
      <c r="B162" s="1161" t="s">
        <v>40</v>
      </c>
      <c r="C162" s="1162"/>
      <c r="D162" s="1163"/>
      <c r="E162" s="1164" t="s">
        <v>41</v>
      </c>
      <c r="F162" s="1162"/>
      <c r="G162" s="1165"/>
      <c r="H162" s="1003" t="s">
        <v>305</v>
      </c>
      <c r="I162" s="1023"/>
      <c r="J162" s="1004"/>
      <c r="K162" s="488"/>
      <c r="M162" s="1363" t="s">
        <v>304</v>
      </c>
      <c r="N162" s="1409"/>
      <c r="O162" s="1390" t="s">
        <v>283</v>
      </c>
      <c r="P162" s="1391"/>
      <c r="Q162" s="1392"/>
      <c r="R162" s="1393" t="s">
        <v>41</v>
      </c>
      <c r="S162" s="1391"/>
      <c r="T162" s="1392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10"/>
      <c r="N163" s="141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1.1220000000000001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1.125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1.1279999999999999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1.131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1.1339999999999999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1.137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1.1399999999999999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1.143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1.1459999999999999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1.216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1.2190000000000001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1.222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1.2250000000000001</v>
      </c>
      <c r="N183" s="810" t="str">
        <f>Assy.Model!K28</f>
        <v>CPS-32193r1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1.228</v>
      </c>
      <c r="N184" s="810" t="str">
        <f>Assy.Model!K29</f>
        <v>CPS-32193r1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1.2310000000000001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1.234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1.2370000000000001</v>
      </c>
      <c r="N187" s="810" t="str">
        <f>Assy.Model!K32</f>
        <v>CPS-32193r1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1.24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1.2430000000000001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2.1139999999999999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2.117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2.12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2.1230000000000002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2.1259999999999999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2.129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2.1320000000000001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2.1349999999999998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2.1379999999999999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2.141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2.1440000000000001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2.2170000000000001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2.2200000000000002</v>
      </c>
      <c r="N202" s="810" t="str">
        <f>Assy.Model!K47</f>
        <v>CPS-32193r1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2.2229999999999999</v>
      </c>
      <c r="N203" s="810" t="str">
        <f>Assy.Model!K48</f>
        <v>CPS-32193r1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2.226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2.2290000000000001</v>
      </c>
      <c r="N205" s="810" t="str">
        <f>Assy.Model!K50</f>
        <v>CPS-32193r1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2.2320000000000002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2.2349999999999999</v>
      </c>
      <c r="N207" s="810" t="str">
        <f>Assy.Model!K52</f>
        <v>CPS-32193r1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2.238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2.2410000000000001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3.1030000000000002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3.1059999999999999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3.109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3.1120000000000001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3.1150000000000002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3.1179999999999999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3.121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3.1240000000000001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3.1269999999999998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3.13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3.133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3.1360000000000001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3.1389999999999998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3.1419999999999999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3.145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3.2149999999999999</v>
      </c>
      <c r="N225" s="810" t="str">
        <f>Assy.Model!K70</f>
        <v>CPS-32193r1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3.218</v>
      </c>
      <c r="N226" s="810" t="str">
        <f>Assy.Model!K71</f>
        <v>CPS-32193r1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3.2210000000000001</v>
      </c>
      <c r="N227" s="810" t="str">
        <f>Assy.Model!K72</f>
        <v>CPS-32193r1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3.2240000000000002</v>
      </c>
      <c r="N228" s="810" t="str">
        <f>Assy.Model!K73</f>
        <v>CPS-32193r1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3.2269999999999999</v>
      </c>
      <c r="N229" s="810" t="str">
        <f>Assy.Model!K74</f>
        <v>CPS-32193r1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3.23</v>
      </c>
      <c r="N230" s="810" t="str">
        <f>Assy.Model!K75</f>
        <v>CPS-32193r1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3.2330000000000001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3.2360000000000002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3.2389999999999999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3.242</v>
      </c>
      <c r="N234" s="810" t="str">
        <f>Assy.Model!K79</f>
        <v>CPS-32193r1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4.1130000000000004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4.1159999999999997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4.1189999999999998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4.1219999999999999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4.125</v>
      </c>
      <c r="N239" s="810">
        <f>Assy.Model!K84</f>
        <v>1613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4.1280000000000001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4.1310000000000002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4.1340000000000003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4.1369999999999996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4.1399999999999997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4.1429999999999998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4.1459999999999999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4.2160000000000002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4.2190000000000003</v>
      </c>
      <c r="N248" s="810" t="str">
        <f>Assy.Model!K93</f>
        <v>CPS-32193r1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4.2220000000000004</v>
      </c>
      <c r="N249" s="810" t="str">
        <f>Assy.Model!K94</f>
        <v>CPS-32193r1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4.2249999999999996</v>
      </c>
      <c r="N250" s="810" t="str">
        <f>Assy.Model!K95</f>
        <v>CPS-32193r1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4.2279999999999998</v>
      </c>
      <c r="N251" s="810" t="str">
        <f>Assy.Model!K96</f>
        <v>CPS-32193r1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4.2309999999999999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4.234</v>
      </c>
      <c r="N253" s="810" t="str">
        <f>Assy.Model!K98</f>
        <v>CPS-32193r1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4.2370000000000001</v>
      </c>
      <c r="N254" s="810" t="str">
        <f>Assy.Model!K99</f>
        <v>CPS-32193r1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4.24</v>
      </c>
      <c r="N255" s="810" t="str">
        <f>Assy.Model!K100</f>
        <v>CPS-32193r1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4.2430000000000003</v>
      </c>
      <c r="N256" s="810" t="str">
        <f>Assy.Model!K101</f>
        <v>CPS-32193r1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5.1020000000000003</v>
      </c>
      <c r="N257" s="810">
        <f>Assy.Model!K102</f>
        <v>1613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5.1050000000000004</v>
      </c>
      <c r="N258" s="810">
        <f>Assy.Model!K103</f>
        <v>1613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5.1079999999999997</v>
      </c>
      <c r="N259" s="810">
        <f>Assy.Model!K104</f>
        <v>1613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5.1109999999999998</v>
      </c>
      <c r="N260" s="810">
        <f>Assy.Model!K105</f>
        <v>1613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5.1139999999999999</v>
      </c>
      <c r="N261" s="810">
        <f>Assy.Model!K106</f>
        <v>1613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5.117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5.12</v>
      </c>
      <c r="N263" s="810">
        <f>Assy.Model!K108</f>
        <v>1613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5.1230000000000002</v>
      </c>
      <c r="N264" s="810">
        <f>Assy.Model!K109</f>
        <v>1613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5.1260000000000003</v>
      </c>
      <c r="N265" s="810">
        <f>Assy.Model!K110</f>
        <v>1613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5.1289999999999996</v>
      </c>
      <c r="N266" s="810">
        <f>Assy.Model!K111</f>
        <v>1613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5.1319999999999997</v>
      </c>
      <c r="N267" s="810">
        <f>Assy.Model!K112</f>
        <v>1613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5.1349999999999998</v>
      </c>
      <c r="N268" s="810">
        <f>Assy.Model!K113</f>
        <v>1613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5.1379999999999999</v>
      </c>
      <c r="N269" s="810">
        <f>Assy.Model!K114</f>
        <v>1613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5.141</v>
      </c>
      <c r="N270" s="810">
        <f>Assy.Model!K115</f>
        <v>1613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5.1440000000000001</v>
      </c>
      <c r="N271" s="810">
        <f>Assy.Model!K116</f>
        <v>1613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>
        <f>Assy.Model!$M117</f>
        <v>5.2169999999999996</v>
      </c>
      <c r="N272" s="810" t="str">
        <f>Assy.Model!K117</f>
        <v>CPS-32193r1</v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>
        <f>Assy.Model!$M118</f>
        <v>5.22</v>
      </c>
      <c r="N273" s="810" t="str">
        <f>Assy.Model!K118</f>
        <v>CPS-32193r1</v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>
        <f>Assy.Model!$M119</f>
        <v>5.2229999999999999</v>
      </c>
      <c r="N274" s="810" t="str">
        <f>Assy.Model!K119</f>
        <v>CPS-32193r1</v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>
        <f>Assy.Model!$M120</f>
        <v>5.226</v>
      </c>
      <c r="N275" s="810" t="str">
        <f>Assy.Model!K120</f>
        <v>CPS-32193r1</v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>
        <f>Assy.Model!$M121</f>
        <v>5.2290000000000001</v>
      </c>
      <c r="N276" s="810" t="str">
        <f>Assy.Model!K121</f>
        <v>CPS-32193r1</v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>
        <f>Assy.Model!$M122</f>
        <v>5.2320000000000002</v>
      </c>
      <c r="N277" s="810" t="str">
        <f>Assy.Model!K122</f>
        <v>CPS-32193r1</v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>
        <f>Assy.Model!$M123</f>
        <v>5.2350000000000003</v>
      </c>
      <c r="N278" s="810" t="str">
        <f>Assy.Model!K123</f>
        <v>CPS-32193r1</v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>
        <f>Assy.Model!$M124</f>
        <v>5.2380000000000004</v>
      </c>
      <c r="N279" s="810" t="str">
        <f>Assy.Model!K124</f>
        <v>CPS-32193r1</v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>
        <f>Assy.Model!$M125</f>
        <v>5.2409999999999997</v>
      </c>
      <c r="N280" s="810" t="str">
        <f>Assy.Model!K125</f>
        <v>CPS-32193r1</v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>
        <f>Assy.Model!$M126</f>
        <v>6.1120000000000001</v>
      </c>
      <c r="N281" s="810">
        <f>Assy.Model!K126</f>
        <v>1613</v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>
        <f>Assy.Model!$M127</f>
        <v>6.1150000000000002</v>
      </c>
      <c r="N282" s="810">
        <f>Assy.Model!K127</f>
        <v>1613</v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>
        <f>Assy.Model!$M128</f>
        <v>6.1180000000000003</v>
      </c>
      <c r="N283" s="810">
        <f>Assy.Model!K128</f>
        <v>1613</v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>
        <f>Assy.Model!$M129</f>
        <v>6.1210000000000004</v>
      </c>
      <c r="N284" s="810">
        <f>Assy.Model!K129</f>
        <v>1613</v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>
        <f>Assy.Model!$M130</f>
        <v>6.1239999999999997</v>
      </c>
      <c r="N285" s="810">
        <f>Assy.Model!K130</f>
        <v>1613</v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>
        <f>Assy.Model!$M131</f>
        <v>6.1269999999999998</v>
      </c>
      <c r="N286" s="810">
        <f>Assy.Model!K131</f>
        <v>1613</v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>
        <f>Assy.Model!$M132</f>
        <v>6.13</v>
      </c>
      <c r="N287" s="810">
        <f>Assy.Model!K132</f>
        <v>1613</v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>
        <f>Assy.Model!$M133</f>
        <v>6.133</v>
      </c>
      <c r="N288" s="810">
        <f>Assy.Model!K133</f>
        <v>1613</v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>
        <f>Assy.Model!$M134</f>
        <v>6.1360000000000001</v>
      </c>
      <c r="N289" s="810">
        <f>Assy.Model!K134</f>
        <v>1613</v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>
        <f>Assy.Model!$M135</f>
        <v>6.1390000000000002</v>
      </c>
      <c r="N290" s="810">
        <f>Assy.Model!K135</f>
        <v>1613</v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>
        <f>Assy.Model!$M136</f>
        <v>6.1420000000000003</v>
      </c>
      <c r="N291" s="810">
        <f>Assy.Model!K136</f>
        <v>1613</v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>
        <f>Assy.Model!$M137</f>
        <v>6.1449999999999996</v>
      </c>
      <c r="N292" s="810">
        <f>Assy.Model!K137</f>
        <v>1613</v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>
        <f>Assy.Model!$M138</f>
        <v>6.2149999999999999</v>
      </c>
      <c r="N293" s="810" t="str">
        <f>Assy.Model!K138</f>
        <v>CPS-32193r1</v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>
        <f>Assy.Model!$M139</f>
        <v>6.218</v>
      </c>
      <c r="N294" s="810" t="str">
        <f>Assy.Model!K139</f>
        <v>CPS-32193r1</v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>
        <f>Assy.Model!$M140</f>
        <v>6.2210000000000001</v>
      </c>
      <c r="N295" s="810" t="str">
        <f>Assy.Model!K140</f>
        <v>CPS-32193r1</v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>
        <f>Assy.Model!$M141</f>
        <v>6.2240000000000002</v>
      </c>
      <c r="N296" s="810" t="str">
        <f>Assy.Model!K141</f>
        <v>CPS-32193r1</v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>
        <f>Assy.Model!$M142</f>
        <v>6.2270000000000003</v>
      </c>
      <c r="N297" s="810" t="str">
        <f>Assy.Model!K142</f>
        <v>CPS-32193r1</v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>
        <f>Assy.Model!$M143</f>
        <v>6.23</v>
      </c>
      <c r="N298" s="810" t="str">
        <f>Assy.Model!K143</f>
        <v>CPS-32193r1</v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>
        <f>Assy.Model!$M144</f>
        <v>6.2329999999999997</v>
      </c>
      <c r="N299" s="810" t="str">
        <f>Assy.Model!K144</f>
        <v>CPS-32193r1</v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>
        <f>Assy.Model!$M145</f>
        <v>6.2359999999999998</v>
      </c>
      <c r="N300" s="810" t="str">
        <f>Assy.Model!K145</f>
        <v>CPS-32193r1</v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>
        <f>Assy.Model!$M146</f>
        <v>6.2389999999999999</v>
      </c>
      <c r="N301" s="810" t="str">
        <f>Assy.Model!K146</f>
        <v>CPS-32193r1</v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>
        <f>Assy.Model!$M147</f>
        <v>6.242</v>
      </c>
      <c r="N302" s="810" t="str">
        <f>Assy.Model!K147</f>
        <v>CPS-32193r1</v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384" t="s">
        <v>33</v>
      </c>
      <c r="C7" s="1432" t="s">
        <v>105</v>
      </c>
      <c r="D7" s="1392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>
        <v>3.1019999999999999</v>
      </c>
      <c r="C9" s="841">
        <v>0.52049999999999996</v>
      </c>
      <c r="D9" s="842">
        <v>-0.3241</v>
      </c>
      <c r="E9" s="843">
        <v>3.6499999999999998E-2</v>
      </c>
    </row>
    <row r="10" spans="2:5" x14ac:dyDescent="0.25">
      <c r="B10" s="844">
        <v>5.1029999999999998</v>
      </c>
      <c r="C10" s="845">
        <v>0.75870000000000004</v>
      </c>
      <c r="D10" s="846">
        <v>-0.1903</v>
      </c>
      <c r="E10" s="847">
        <v>3.6600000000000001E-2</v>
      </c>
    </row>
    <row r="11" spans="2:5" x14ac:dyDescent="0.25">
      <c r="B11" s="844">
        <v>3.105</v>
      </c>
      <c r="C11" s="845">
        <v>1.228</v>
      </c>
      <c r="D11" s="846">
        <v>-7.7799999999999994E-2</v>
      </c>
      <c r="E11" s="847">
        <v>3.6499999999999998E-2</v>
      </c>
    </row>
    <row r="12" spans="2:5" x14ac:dyDescent="0.25">
      <c r="B12" s="844">
        <v>5.1059999999999999</v>
      </c>
      <c r="C12" s="845">
        <v>1.466</v>
      </c>
      <c r="D12" s="846">
        <v>5.6099999999999997E-2</v>
      </c>
      <c r="E12" s="847">
        <v>3.6499999999999998E-2</v>
      </c>
    </row>
    <row r="13" spans="2:5" x14ac:dyDescent="0.25">
      <c r="B13" s="844">
        <v>3.1080000000000001</v>
      </c>
      <c r="C13" s="845">
        <v>1.9300999999999999</v>
      </c>
      <c r="D13" s="846">
        <v>0.1676</v>
      </c>
      <c r="E13" s="847">
        <v>3.5499999999999997E-2</v>
      </c>
    </row>
    <row r="14" spans="2:5" x14ac:dyDescent="0.25">
      <c r="B14" s="844">
        <v>5.109</v>
      </c>
      <c r="C14" s="845">
        <v>2.1475</v>
      </c>
      <c r="D14" s="846">
        <v>0.314</v>
      </c>
      <c r="E14" s="847">
        <v>2.4199999999999999E-2</v>
      </c>
    </row>
    <row r="15" spans="2:5" x14ac:dyDescent="0.25">
      <c r="B15" s="844">
        <v>2.11</v>
      </c>
      <c r="C15" s="845">
        <v>2.2181999999999999</v>
      </c>
      <c r="D15" s="846">
        <v>0.2752</v>
      </c>
      <c r="E15" s="847">
        <v>1.4E-2</v>
      </c>
    </row>
    <row r="16" spans="2:5" x14ac:dyDescent="0.25">
      <c r="B16" s="844">
        <v>4.1120000000000001</v>
      </c>
      <c r="C16" s="845">
        <v>2.4817</v>
      </c>
      <c r="D16" s="846">
        <v>0.4052</v>
      </c>
      <c r="E16" s="847">
        <v>1.43E-2</v>
      </c>
    </row>
    <row r="17" spans="2:5" x14ac:dyDescent="0.25">
      <c r="B17" s="844">
        <v>3.113</v>
      </c>
      <c r="C17" s="845">
        <v>2.6654</v>
      </c>
      <c r="D17" s="846">
        <v>0.4022</v>
      </c>
      <c r="E17" s="847">
        <v>2.8000000000000001E-2</v>
      </c>
    </row>
    <row r="18" spans="2:5" x14ac:dyDescent="0.25">
      <c r="B18" s="844">
        <v>6.1139999999999999</v>
      </c>
      <c r="C18" s="845">
        <v>2.7526999999999999</v>
      </c>
      <c r="D18" s="846">
        <v>0.51090000000000002</v>
      </c>
      <c r="E18" s="847">
        <v>1.3899999999999999E-2</v>
      </c>
    </row>
    <row r="19" spans="2:5" x14ac:dyDescent="0.25">
      <c r="B19" s="844">
        <v>5.1150000000000002</v>
      </c>
      <c r="C19" s="845">
        <v>2.9386000000000001</v>
      </c>
      <c r="D19" s="846">
        <v>0.49130000000000001</v>
      </c>
      <c r="E19" s="847">
        <v>2.8000000000000001E-2</v>
      </c>
    </row>
    <row r="20" spans="2:5" x14ac:dyDescent="0.25">
      <c r="B20" s="844">
        <v>2.1160000000000001</v>
      </c>
      <c r="C20" s="845">
        <v>3.0289000000000001</v>
      </c>
      <c r="D20" s="846">
        <v>0.438</v>
      </c>
      <c r="E20" s="847">
        <v>1.4500000000000001E-2</v>
      </c>
    </row>
    <row r="21" spans="2:5" x14ac:dyDescent="0.25">
      <c r="B21" s="844">
        <v>4.1180000000000003</v>
      </c>
      <c r="C21" s="845">
        <v>3.3029000000000002</v>
      </c>
      <c r="D21" s="846">
        <v>0.49370000000000003</v>
      </c>
      <c r="E21" s="847">
        <v>1.47E-2</v>
      </c>
    </row>
    <row r="22" spans="2:5" x14ac:dyDescent="0.25">
      <c r="B22" s="844">
        <v>3.1190000000000002</v>
      </c>
      <c r="C22" s="845">
        <v>3.4861</v>
      </c>
      <c r="D22" s="846">
        <v>0.43869999999999998</v>
      </c>
      <c r="E22" s="847">
        <v>2.8400000000000002E-2</v>
      </c>
    </row>
    <row r="23" spans="2:5" x14ac:dyDescent="0.25">
      <c r="B23" s="844">
        <v>6.12</v>
      </c>
      <c r="C23" s="845">
        <v>3.5802</v>
      </c>
      <c r="D23" s="846">
        <v>0.52249999999999996</v>
      </c>
      <c r="E23" s="847">
        <v>1.4E-2</v>
      </c>
    </row>
    <row r="24" spans="2:5" x14ac:dyDescent="0.25">
      <c r="B24" s="844">
        <v>5.1210000000000004</v>
      </c>
      <c r="C24" s="845">
        <v>3.7591999999999999</v>
      </c>
      <c r="D24" s="846">
        <v>0.44979999999999998</v>
      </c>
      <c r="E24" s="847">
        <v>2.76E-2</v>
      </c>
    </row>
    <row r="25" spans="2:5" x14ac:dyDescent="0.25">
      <c r="B25" s="844">
        <v>2.1219999999999999</v>
      </c>
      <c r="C25" s="845">
        <v>3.855</v>
      </c>
      <c r="D25" s="846">
        <v>0.36980000000000002</v>
      </c>
      <c r="E25" s="847">
        <v>1.4200000000000001E-2</v>
      </c>
    </row>
    <row r="26" spans="2:5" x14ac:dyDescent="0.25">
      <c r="B26" s="844">
        <v>4.1239999999999997</v>
      </c>
      <c r="C26" s="845">
        <v>4.1193</v>
      </c>
      <c r="D26" s="846">
        <v>0.34599999999999997</v>
      </c>
      <c r="E26" s="847">
        <v>1.4E-2</v>
      </c>
    </row>
    <row r="27" spans="2:5" x14ac:dyDescent="0.25">
      <c r="B27" s="844">
        <v>3.125</v>
      </c>
      <c r="C27" s="845">
        <v>4.2831999999999999</v>
      </c>
      <c r="D27" s="846">
        <v>0.2404</v>
      </c>
      <c r="E27" s="847">
        <v>2.63E-2</v>
      </c>
    </row>
    <row r="28" spans="2:5" x14ac:dyDescent="0.25">
      <c r="B28" s="844">
        <v>6.1260000000000003</v>
      </c>
      <c r="C28" s="845">
        <v>4.3784999999999998</v>
      </c>
      <c r="D28" s="846">
        <v>0.29520000000000002</v>
      </c>
      <c r="E28" s="847">
        <v>1.29E-2</v>
      </c>
    </row>
    <row r="29" spans="2:5" x14ac:dyDescent="0.25">
      <c r="B29" s="844">
        <v>5.1269999999999998</v>
      </c>
      <c r="C29" s="845">
        <v>4.5328999999999997</v>
      </c>
      <c r="D29" s="846">
        <v>0.17499999999999999</v>
      </c>
      <c r="E29" s="847">
        <v>2.4899999999999999E-2</v>
      </c>
    </row>
    <row r="30" spans="2:5" x14ac:dyDescent="0.25">
      <c r="B30" s="844">
        <v>2.1280000000000001</v>
      </c>
      <c r="C30" s="845">
        <v>4.6271000000000004</v>
      </c>
      <c r="D30" s="846">
        <v>6.54E-2</v>
      </c>
      <c r="E30" s="847">
        <v>1.2699999999999999E-2</v>
      </c>
    </row>
    <row r="31" spans="2:5" x14ac:dyDescent="0.25">
      <c r="B31" s="844">
        <v>4.13</v>
      </c>
      <c r="C31" s="845">
        <v>4.8586999999999998</v>
      </c>
      <c r="D31" s="846">
        <v>-3.1E-2</v>
      </c>
      <c r="E31" s="847">
        <v>1.2E-2</v>
      </c>
    </row>
    <row r="32" spans="2:5" x14ac:dyDescent="0.25">
      <c r="B32" s="844">
        <v>3.1309999999999998</v>
      </c>
      <c r="C32" s="845">
        <v>4.9903000000000004</v>
      </c>
      <c r="D32" s="846">
        <v>-0.17580000000000001</v>
      </c>
      <c r="E32" s="847">
        <v>2.2100000000000002E-2</v>
      </c>
    </row>
    <row r="33" spans="2:5" x14ac:dyDescent="0.25">
      <c r="B33" s="844">
        <v>6.1319999999999997</v>
      </c>
      <c r="C33" s="845">
        <v>5.0782999999999996</v>
      </c>
      <c r="D33" s="846">
        <v>-0.15110000000000001</v>
      </c>
      <c r="E33" s="847">
        <v>1.0699999999999999E-2</v>
      </c>
    </row>
    <row r="34" spans="2:5" x14ac:dyDescent="0.25">
      <c r="B34" s="844">
        <v>5.133</v>
      </c>
      <c r="C34" s="845">
        <v>5.1969000000000003</v>
      </c>
      <c r="D34" s="846">
        <v>-0.30580000000000002</v>
      </c>
      <c r="E34" s="847">
        <v>2.0199999999999999E-2</v>
      </c>
    </row>
    <row r="35" spans="2:5" x14ac:dyDescent="0.25">
      <c r="B35" s="844">
        <v>2.1339999999999999</v>
      </c>
      <c r="C35" s="845">
        <v>5.2811000000000003</v>
      </c>
      <c r="D35" s="846">
        <v>-0.44569999999999999</v>
      </c>
      <c r="E35" s="847">
        <v>1.01E-2</v>
      </c>
    </row>
    <row r="36" spans="2:5" x14ac:dyDescent="0.25">
      <c r="B36" s="844">
        <v>4.1360000000000001</v>
      </c>
      <c r="C36" s="845">
        <v>5.4622999999999999</v>
      </c>
      <c r="D36" s="846">
        <v>-0.60089999999999999</v>
      </c>
      <c r="E36" s="847">
        <v>9.1999999999999998E-3</v>
      </c>
    </row>
    <row r="37" spans="2:5" x14ac:dyDescent="0.25">
      <c r="B37" s="844">
        <v>3.137</v>
      </c>
      <c r="C37" s="845">
        <v>5.5541999999999998</v>
      </c>
      <c r="D37" s="846">
        <v>-0.77049999999999996</v>
      </c>
      <c r="E37" s="847">
        <v>1.6299999999999999E-2</v>
      </c>
    </row>
    <row r="38" spans="2:5" x14ac:dyDescent="0.25">
      <c r="B38" s="844">
        <v>6.1379999999999999</v>
      </c>
      <c r="C38" s="845">
        <v>5.6275000000000004</v>
      </c>
      <c r="D38" s="846">
        <v>-0.77790000000000004</v>
      </c>
      <c r="E38" s="847">
        <v>8.0000000000000002E-3</v>
      </c>
    </row>
    <row r="39" spans="2:5" x14ac:dyDescent="0.25">
      <c r="B39" s="844">
        <v>5.1390000000000002</v>
      </c>
      <c r="C39" s="845">
        <v>5.7027999999999999</v>
      </c>
      <c r="D39" s="846">
        <v>-0.95030000000000003</v>
      </c>
      <c r="E39" s="847">
        <v>1.3599999999999999E-2</v>
      </c>
    </row>
    <row r="40" spans="2:5" x14ac:dyDescent="0.25">
      <c r="B40" s="844">
        <v>2.14</v>
      </c>
      <c r="C40" s="845">
        <v>5.7678000000000003</v>
      </c>
      <c r="D40" s="846">
        <v>-1.1188</v>
      </c>
      <c r="E40" s="847">
        <v>7.1000000000000004E-3</v>
      </c>
    </row>
    <row r="41" spans="2:5" x14ac:dyDescent="0.25">
      <c r="B41" s="844">
        <v>4.1420000000000003</v>
      </c>
      <c r="C41" s="845">
        <v>5.8871000000000002</v>
      </c>
      <c r="D41" s="846">
        <v>-1.3185</v>
      </c>
      <c r="E41" s="847">
        <v>5.7000000000000002E-3</v>
      </c>
    </row>
    <row r="42" spans="2:5" x14ac:dyDescent="0.25">
      <c r="B42" s="844">
        <v>3.1429999999999998</v>
      </c>
      <c r="C42" s="845">
        <v>5.9362000000000004</v>
      </c>
      <c r="D42" s="846">
        <v>-1.4961</v>
      </c>
      <c r="E42" s="847">
        <v>9.4999999999999998E-3</v>
      </c>
    </row>
    <row r="43" spans="2:5" x14ac:dyDescent="0.25">
      <c r="B43" s="844">
        <v>6.1440000000000001</v>
      </c>
      <c r="C43" s="845">
        <v>5.9837999999999996</v>
      </c>
      <c r="D43" s="846">
        <v>-1.5334000000000001</v>
      </c>
      <c r="E43" s="847">
        <v>4.3E-3</v>
      </c>
    </row>
    <row r="44" spans="2:5" x14ac:dyDescent="0.25">
      <c r="B44" s="844">
        <v>5.1449999999999996</v>
      </c>
      <c r="C44" s="845">
        <v>6.0179</v>
      </c>
      <c r="D44" s="846">
        <v>-1.7060999999999999</v>
      </c>
      <c r="E44" s="847">
        <v>7.1000000000000004E-3</v>
      </c>
    </row>
    <row r="45" spans="2:5" x14ac:dyDescent="0.25">
      <c r="B45" s="844">
        <v>2.1459999999999999</v>
      </c>
      <c r="C45" s="845">
        <v>6.0556000000000001</v>
      </c>
      <c r="D45" s="846">
        <v>-1.9123000000000001</v>
      </c>
      <c r="E45" s="847">
        <v>3.0999999999999999E-3</v>
      </c>
    </row>
    <row r="46" spans="2:5" x14ac:dyDescent="0.25">
      <c r="B46" s="844">
        <v>4.1479999999999997</v>
      </c>
      <c r="C46" s="845">
        <v>6.1013999999999999</v>
      </c>
      <c r="D46" s="846">
        <v>-2.1448999999999998</v>
      </c>
      <c r="E46" s="847">
        <v>1.9E-3</v>
      </c>
    </row>
    <row r="47" spans="2:5" x14ac:dyDescent="0.25">
      <c r="B47" s="844">
        <v>3.149</v>
      </c>
      <c r="C47" s="845">
        <v>6.1096000000000004</v>
      </c>
      <c r="D47" s="846">
        <v>-2.2854999999999999</v>
      </c>
      <c r="E47" s="847">
        <v>2E-3</v>
      </c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2024-08-06T17:54:33Z</dcterms:modified>
</cp:coreProperties>
</file>