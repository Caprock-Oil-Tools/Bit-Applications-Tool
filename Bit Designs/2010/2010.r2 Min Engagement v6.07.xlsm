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10\"/>
    </mc:Choice>
  </mc:AlternateContent>
  <xr:revisionPtr revIDLastSave="0" documentId="13_ncr:1_{C5F6A3D8-0D2C-46D7-AA4A-89094B7D644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V15" i="1"/>
  <c r="IU15" i="1"/>
  <c r="IE15" i="1" s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V9" i="1"/>
  <c r="IK9" i="1"/>
  <c r="IU9" i="1"/>
  <c r="IE9" i="1" s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W12" i="1"/>
  <c r="IU12" i="1"/>
  <c r="IE12" i="1" s="1"/>
  <c r="IN12" i="1"/>
  <c r="IK12" i="1"/>
  <c r="IR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K13" i="1"/>
  <c r="IN13" i="1"/>
  <c r="IR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W14" i="1"/>
  <c r="IN14" i="1"/>
  <c r="IR14" i="1"/>
  <c r="IU14" i="1"/>
  <c r="IE14" i="1" s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U11" i="1" l="1"/>
  <c r="IE11" i="1" s="1"/>
  <c r="IR11" i="1"/>
  <c r="IV11" i="1"/>
  <c r="IR10" i="1"/>
  <c r="IW11" i="1"/>
  <c r="IN11" i="1"/>
  <c r="IK11" i="1"/>
  <c r="IV10" i="1"/>
  <c r="IK10" i="1"/>
  <c r="IU10" i="1"/>
  <c r="IE10" i="1" s="1"/>
  <c r="IW10" i="1"/>
  <c r="IN10" i="1"/>
  <c r="JA9" i="1" a="1"/>
  <c r="JA9" i="1" s="1"/>
  <c r="IF85" i="1"/>
  <c r="IF129" i="1"/>
  <c r="IF73" i="1"/>
  <c r="IF49" i="1"/>
  <c r="IF138" i="1"/>
  <c r="IF150" i="1"/>
  <c r="IF48" i="1"/>
  <c r="IF148" i="1"/>
  <c r="IF127" i="1"/>
  <c r="IF128" i="1"/>
  <c r="IF86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08" i="1"/>
  <c r="IF92" i="1"/>
  <c r="IF131" i="1"/>
  <c r="IF123" i="1"/>
  <c r="IF141" i="1"/>
  <c r="IF89" i="1"/>
  <c r="IF124" i="1"/>
  <c r="IF107" i="1"/>
  <c r="IF146" i="1"/>
  <c r="IF134" i="1"/>
  <c r="IF84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72" i="1"/>
  <c r="IF144" i="1"/>
  <c r="IF120" i="1"/>
  <c r="IF70" i="1"/>
  <c r="IF139" i="1"/>
  <c r="IF126" i="1"/>
  <c r="IF38" i="1"/>
  <c r="IF57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31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20" i="1" l="1"/>
  <c r="JA23" i="1" a="1"/>
  <c r="JA23" i="1" s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12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IQ55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11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68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19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IQ10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76" i="1" l="1"/>
  <c r="IV16" i="1"/>
  <c r="IQ32" i="1"/>
  <c r="IQ64" i="1"/>
  <c r="IV55" i="1"/>
  <c r="IQ54" i="1"/>
  <c r="IQ77" i="1"/>
  <c r="IV26" i="1"/>
  <c r="IQ15" i="1"/>
  <c r="IV25" i="1"/>
  <c r="IQ14" i="1"/>
  <c r="IV24" i="1"/>
  <c r="IQ13" i="1"/>
  <c r="IV20" i="1"/>
  <c r="IQ9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AG75" i="1" s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68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10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11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GM11" i="1"/>
  <c r="EH35" i="1"/>
  <c r="GO38" i="1"/>
  <c r="BL35" i="1"/>
  <c r="CT28" i="1"/>
  <c r="BO11" i="1"/>
  <c r="AE51" i="1"/>
  <c r="R23" i="1"/>
  <c r="X23" i="1" s="1"/>
  <c r="IP12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IP9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IP55" i="1" s="1"/>
  <c r="Q39" i="1"/>
  <c r="AC33" i="1"/>
  <c r="R25" i="1"/>
  <c r="X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IP20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16" i="1" l="1"/>
  <c r="IE16" i="1" s="1"/>
  <c r="IP32" i="1"/>
  <c r="IP19" i="1"/>
  <c r="IP31" i="1"/>
  <c r="IP54" i="1"/>
  <c r="IU26" i="1"/>
  <c r="IE26" i="1" s="1"/>
  <c r="IP15" i="1"/>
  <c r="IU25" i="1"/>
  <c r="IE25" i="1" s="1"/>
  <c r="IP14" i="1"/>
  <c r="IU24" i="1"/>
  <c r="IE24" i="1" s="1"/>
  <c r="IP13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IL55" i="1" s="1"/>
  <c r="W40" i="1"/>
  <c r="W37" i="1"/>
  <c r="W38" i="1"/>
  <c r="W35" i="1"/>
  <c r="W36" i="1"/>
  <c r="W33" i="1"/>
  <c r="W34" i="1"/>
  <c r="W31" i="1"/>
  <c r="W32" i="1"/>
  <c r="IL32" i="1" s="1"/>
  <c r="W29" i="1"/>
  <c r="W30" i="1"/>
  <c r="W27" i="1"/>
  <c r="W28" i="1"/>
  <c r="W25" i="1"/>
  <c r="IL14" i="1" s="1"/>
  <c r="W26" i="1"/>
  <c r="W23" i="1"/>
  <c r="IL12" i="1" s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5" i="1" l="1"/>
  <c r="IL23" i="1"/>
  <c r="IL13" i="1"/>
  <c r="IL11" i="1"/>
  <c r="IL9" i="1"/>
  <c r="IL10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IX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IT55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T15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IT12" i="1" s="1"/>
  <c r="AL22" i="1"/>
  <c r="AN22" i="1" s="1"/>
  <c r="IT11" i="1" s="1"/>
  <c r="U22" i="1"/>
  <c r="AK22" i="1"/>
  <c r="T22" i="1"/>
  <c r="AK21" i="1"/>
  <c r="AO21" i="1" s="1"/>
  <c r="IS10" i="1" s="1"/>
  <c r="T21" i="1"/>
  <c r="AL21" i="1"/>
  <c r="AN21" i="1" s="1"/>
  <c r="IT10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IY14" i="1" s="1"/>
  <c r="T14" i="1"/>
  <c r="AK13" i="1"/>
  <c r="U13" i="1"/>
  <c r="AL13" i="1"/>
  <c r="AN13" i="1" s="1"/>
  <c r="IY13" i="1" s="1"/>
  <c r="AK12" i="1"/>
  <c r="U12" i="1"/>
  <c r="AL12" i="1"/>
  <c r="AN12" i="1" s="1"/>
  <c r="IY12" i="1" s="1"/>
  <c r="AL11" i="1"/>
  <c r="AN11" i="1" s="1"/>
  <c r="IY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16" i="1" l="1"/>
  <c r="IT32" i="1"/>
  <c r="IF11" i="1"/>
  <c r="IY25" i="1"/>
  <c r="IT14" i="1"/>
  <c r="IX25" i="1"/>
  <c r="IS14" i="1"/>
  <c r="IY24" i="1"/>
  <c r="IT13" i="1"/>
  <c r="IT20" i="1"/>
  <c r="IY20" i="1"/>
  <c r="IT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IS77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55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S15" i="1" s="1"/>
  <c r="AP26" i="1"/>
  <c r="AO24" i="1"/>
  <c r="AP24" i="1"/>
  <c r="AO23" i="1"/>
  <c r="IS12" i="1" s="1"/>
  <c r="AP23" i="1"/>
  <c r="AP21" i="1"/>
  <c r="AO22" i="1"/>
  <c r="IS11" i="1" s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AP18" i="1"/>
  <c r="AP15" i="1"/>
  <c r="AO15" i="1"/>
  <c r="IX15" i="1" s="1"/>
  <c r="IF15" i="1" s="1"/>
  <c r="AO16" i="1"/>
  <c r="IS32" i="1" s="1"/>
  <c r="AP16" i="1"/>
  <c r="AO13" i="1"/>
  <c r="IX13" i="1" s="1"/>
  <c r="IF13" i="1" s="1"/>
  <c r="AP13" i="1"/>
  <c r="AO14" i="1"/>
  <c r="IX14" i="1" s="1"/>
  <c r="IF14" i="1" s="1"/>
  <c r="AP14" i="1"/>
  <c r="AP11" i="1"/>
  <c r="AO12" i="1"/>
  <c r="IX12" i="1" s="1"/>
  <c r="IF12" i="1" s="1"/>
  <c r="AP12" i="1"/>
  <c r="AO10" i="1"/>
  <c r="IX10" i="1" s="1"/>
  <c r="AP10" i="1"/>
  <c r="AN10" i="1"/>
  <c r="IY10" i="1" s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8" i="1" l="1"/>
  <c r="IF25" i="1"/>
  <c r="IX24" i="1"/>
  <c r="IF24" i="1" s="1"/>
  <c r="IS13" i="1"/>
  <c r="IF10" i="1"/>
  <c r="IT21" i="1"/>
  <c r="IS20" i="1"/>
  <c r="IX20" i="1"/>
  <c r="IF20" i="1" s="1"/>
  <c r="IS9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<sst xmlns="http://schemas.openxmlformats.org/spreadsheetml/2006/main" count="734" uniqueCount="391">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</sst>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F33" sqref="F33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10.625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5.3125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10.625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28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91.13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-0.15080045481417184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-1.7074049960401645E-17</v>
      </c>
      <c r="C9" s="703">
        <v>0.29580089213549071</v>
      </c>
      <c r="D9" s="704">
        <v>-0.69750000000000001</v>
      </c>
      <c r="E9" s="705">
        <v>-0.93969263802333458</v>
      </c>
      <c r="F9" s="703">
        <v>0</v>
      </c>
      <c r="G9" s="706">
        <v>0.3420200959662259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-1.7074049960401645E-17</v>
      </c>
      <c r="O9" s="624">
        <f t="shared" ref="O9:O40" si="3">IF(M9="","",C9)</f>
        <v>0.29580089213549071</v>
      </c>
      <c r="P9" s="625">
        <f t="shared" ref="P9:P40" si="4">IF(M9="","",D9)</f>
        <v>-0.69750000000000001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-0.69750000000000001</v>
      </c>
      <c r="T9" s="627">
        <f>IF(M9="","",X9*COS(RADIANS(W9)))</f>
        <v>0.29574336575773824</v>
      </c>
      <c r="U9" s="624">
        <f>IF(M9="","",X9*SIN(RADIANS(W9)))</f>
        <v>-5.8334722453141528E-3</v>
      </c>
      <c r="V9" s="628">
        <f>IF(M9="","",Y9)</f>
        <v>-0.69750000000000001</v>
      </c>
      <c r="W9" s="583">
        <f t="shared" ref="W9:W14" si="5">IF(M9="","",IF(Q9-$Q$8&lt;0,360+Q9-$Q$8,Q9-$Q$8))</f>
        <v>358.87</v>
      </c>
      <c r="X9" s="629">
        <f>IF(M9="","",R9)</f>
        <v>0.29580089213549071</v>
      </c>
      <c r="Y9" s="630">
        <f>IF(M9="","",S9)</f>
        <v>-0.69750000000000001</v>
      </c>
      <c r="Z9" s="623">
        <f t="shared" ref="Z9:Z40" si="6">IF(M9="","",-E9)</f>
        <v>0.93969263802333458</v>
      </c>
      <c r="AA9" s="624">
        <f t="shared" ref="AA9:AA40" si="7">IF(M9="","",-F9)</f>
        <v>0</v>
      </c>
      <c r="AB9" s="624">
        <f t="shared" ref="AB9:AB40" si="8">IF(M9="","",-G9)</f>
        <v>-0.3420200959662259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0</v>
      </c>
      <c r="AF9" s="625">
        <f>IF(M9="","",AB9*(1/SQRT(Z9^2+AA9^2+AB9^2)))</f>
        <v>-0.3420200959662259</v>
      </c>
      <c r="AG9" s="599">
        <f>IF(M9="","",DEGREES(ATAN2(-AF9,AE9)))</f>
        <v>0</v>
      </c>
      <c r="AH9" s="600">
        <f>IF(M9="","",DEGREES(ACOS(AD9)))</f>
        <v>19.999997112357679</v>
      </c>
      <c r="AI9" s="583">
        <f>IF(M9="","",DEGREES(-ACOS(-AF9)))</f>
        <v>-70.00000288764231</v>
      </c>
      <c r="AJ9" s="601">
        <f>IF(M9="","",DEGREES(ATAN2(-AE9,AD9)))</f>
        <v>90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2.3025259671265871E-16</v>
      </c>
      <c r="AM9" s="626">
        <f>IF(M9="","",AF9)</f>
        <v>-0.3420200959662259</v>
      </c>
      <c r="AN9" s="581">
        <f>IF(M9="","",DEGREES(ATAN2(-AM9,AL9)))</f>
        <v>3.8572300777513093E-14</v>
      </c>
      <c r="AO9" s="582">
        <f>IF(ROUND(IF(M9="",0,DEGREES(ACOS(AK9))),4)=90,0,IF(M9="","",DEGREES(ACOS(AK9))))</f>
        <v>19.999997112357679</v>
      </c>
      <c r="AP9" s="781">
        <f>IF(M9="","",DEGREES(ATAN2(AK9,AL9)))</f>
        <v>1.4039167148647554E-14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358.87</v>
      </c>
      <c r="AT9" s="71">
        <f t="shared" ref="AT9:AT40" si="10">IF(M9="","",Y9+(((AS9-$AS$9)*$AS$6)*-1))</f>
        <v>-0.69750000000000001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41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1.0525031743495739</v>
      </c>
      <c r="D10" s="709">
        <v>-0.54950165729699851</v>
      </c>
      <c r="E10" s="710">
        <v>-0.96592583607220739</v>
      </c>
      <c r="F10" s="708">
        <v>0</v>
      </c>
      <c r="G10" s="711">
        <v>0.25881900859134593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1.0525031743495739</v>
      </c>
      <c r="P10" s="633">
        <f t="shared" si="4"/>
        <v>-0.54950165729699851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1.0525031743495739</v>
      </c>
      <c r="S10" s="634">
        <f t="shared" ref="S10:S105" si="80">IF(M10="","",P10)</f>
        <v>-0.54950165729699851</v>
      </c>
      <c r="T10" s="635">
        <f t="shared" ref="T10:T105" si="81">IF(M10="","",X10*COS(RADIANS(W10)))</f>
        <v>1.0522984870183214</v>
      </c>
      <c r="U10" s="629">
        <f t="shared" ref="U10:U105" si="82">IF(M10="","",X10*SIN(RADIANS(W10)))</f>
        <v>-2.0756354084493393E-2</v>
      </c>
      <c r="V10" s="636">
        <f>IF(M10="","",Y10)</f>
        <v>-0.54950165729699851</v>
      </c>
      <c r="W10" s="585">
        <f t="shared" si="5"/>
        <v>358.87</v>
      </c>
      <c r="X10" s="629">
        <f t="shared" ref="X10:X105" si="83">IF(M10="","",R10)</f>
        <v>1.0525031743495739</v>
      </c>
      <c r="Y10" s="630">
        <f>IF(M10="","",S10)</f>
        <v>-0.54950165729699851</v>
      </c>
      <c r="Z10" s="632">
        <f t="shared" si="6"/>
        <v>0.96592583607220739</v>
      </c>
      <c r="AA10" s="629">
        <f t="shared" si="7"/>
        <v>0</v>
      </c>
      <c r="AB10" s="629">
        <f t="shared" si="8"/>
        <v>-0.25881900859134593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-0.25881900859134593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-75.000002165731729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2.3668050912403637E-16</v>
      </c>
      <c r="AM10" s="634">
        <f t="shared" ref="AM10:AM105" si="92">IF(M10="","",AF10)</f>
        <v>-0.25881900859134593</v>
      </c>
      <c r="AN10" s="581">
        <f t="shared" ref="AN10:AN105" si="93">IF(M10="","",DEGREES(ATAN2(-AM10,AL10)))</f>
        <v>5.2394893016634035E-14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1.4039167148647554E-14</v>
      </c>
      <c r="AQ10" s="586">
        <f t="shared" si="9"/>
        <v>2.1649735648370618</v>
      </c>
      <c r="AS10" s="52">
        <f>IF($M10="","",IF(AND($W10&lt;($AS$9+180),$W10&gt;($AS$9-180)),$W10,IF($W10&gt;($AS$9+180),$W10-360,IF($W10&lt;($AS$9-180),$W10+360,"Error"))))</f>
        <v>358.87</v>
      </c>
      <c r="AT10" s="72">
        <f t="shared" si="10"/>
        <v>-0.54950165729699851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-5.0155790909012114E-2</v>
      </c>
      <c r="C11" s="708">
        <v>1.7956050651918654</v>
      </c>
      <c r="D11" s="709">
        <v>-0.35020105620638553</v>
      </c>
      <c r="E11" s="710">
        <v>-0.96554923611658972</v>
      </c>
      <c r="F11" s="708">
        <v>-2.6970232228569375E-2</v>
      </c>
      <c r="G11" s="711">
        <v>0.25881900859134582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-5.0155790909012114E-2</v>
      </c>
      <c r="O11" s="629">
        <f t="shared" si="3"/>
        <v>1.7956050651918654</v>
      </c>
      <c r="P11" s="633">
        <f t="shared" si="4"/>
        <v>-0.35020105620638553</v>
      </c>
      <c r="Q11" s="585">
        <f t="shared" ref="Q11:Q73" si="113">IF(M11="","",IF(DEGREES(ATAN2(N11,O11))&lt;0,DEGREES(ATAN2(N11,O11))+360,IF(DEGREES(ATAN2(N11,O11))&gt;360,DEGREES(ATAN2(N11,O11))-360,DEGREES(ATAN2(N11,O11)))))</f>
        <v>91.6</v>
      </c>
      <c r="R11" s="629">
        <f t="shared" si="79"/>
        <v>1.7963054176571398</v>
      </c>
      <c r="S11" s="634">
        <f t="shared" si="80"/>
        <v>-0.35020105620638553</v>
      </c>
      <c r="T11" s="635">
        <f t="shared" si="81"/>
        <v>1.7962449813110106</v>
      </c>
      <c r="U11" s="629">
        <f t="shared" si="82"/>
        <v>1.473501338303556E-2</v>
      </c>
      <c r="V11" s="636">
        <f t="shared" ref="V11:V105" si="114">IF(M11="","",Y11)</f>
        <v>-0.35020105620638553</v>
      </c>
      <c r="W11" s="585">
        <f t="shared" si="5"/>
        <v>0.46999999999999886</v>
      </c>
      <c r="X11" s="629">
        <f>IF(M11="","",R11)</f>
        <v>1.7963054176571398</v>
      </c>
      <c r="Y11" s="630">
        <f>IF(M11="","",S11)</f>
        <v>-0.35020105620638553</v>
      </c>
      <c r="Z11" s="632">
        <f t="shared" si="6"/>
        <v>0.96554923611658972</v>
      </c>
      <c r="AA11" s="629">
        <f t="shared" si="7"/>
        <v>2.6970232228569375E-2</v>
      </c>
      <c r="AB11" s="629">
        <f t="shared" si="8"/>
        <v>-0.25881900859134582</v>
      </c>
      <c r="AC11" s="636">
        <f t="shared" si="84"/>
        <v>1</v>
      </c>
      <c r="AD11" s="637">
        <f t="shared" ref="AD11:AD105" si="115">IF(M11="","",Z11*(1/SQRT(Z11^2+AA11^2+AB11^2)))</f>
        <v>0.96554923611658972</v>
      </c>
      <c r="AE11" s="629">
        <f t="shared" si="85"/>
        <v>2.6970232228569375E-2</v>
      </c>
      <c r="AF11" s="633">
        <f t="shared" si="86"/>
        <v>-0.25881900859134582</v>
      </c>
      <c r="AG11" s="602">
        <f>IF(M11="","",DEGREES(ATAN2(-AF11,AE11)))</f>
        <v>5.9490352466251633</v>
      </c>
      <c r="AH11" s="603">
        <f t="shared" si="88"/>
        <v>15.083142129654252</v>
      </c>
      <c r="AI11" s="585">
        <f t="shared" si="89"/>
        <v>-75.000002165731729</v>
      </c>
      <c r="AJ11" s="586">
        <f t="shared" si="90"/>
        <v>91.6</v>
      </c>
      <c r="AK11" s="635">
        <f>IF(M11="","",(COS(RADIANS((90-$Q$8)-W11))*AD11)+(-SIN(RADIANS((90-$Q$8)-W11))*AE11))</f>
        <v>0.96592583607220739</v>
      </c>
      <c r="AL11" s="629">
        <f t="shared" si="91"/>
        <v>7.6327832942979512E-17</v>
      </c>
      <c r="AM11" s="634">
        <f t="shared" si="92"/>
        <v>-0.25881900859134582</v>
      </c>
      <c r="AN11" s="581">
        <f>IF(M11="","",DEGREES(ATAN2(-AM11,AL11)))</f>
        <v>1.6896991881756883E-14</v>
      </c>
      <c r="AO11" s="582">
        <f>IF(ROUND(IF(M11="",0,DEGREES(ACOS(AK11))),4)=90,0,IF(M11="","",DEGREES(ACOS(AK11))))</f>
        <v>14.999997834268255</v>
      </c>
      <c r="AP11" s="585">
        <f t="shared" si="95"/>
        <v>4.5275346446840608E-15</v>
      </c>
      <c r="AQ11" s="586">
        <f t="shared" si="9"/>
        <v>1.2689122240438633</v>
      </c>
      <c r="AS11" s="52">
        <f t="shared" ref="AS11:AS42" si="116">IF(G11="","",IF(AND(W11&lt;(AS10+180),W11&gt;(AS10-180)),W11,IF(W11&gt;(AS10+180),W11-360,IF(W11&lt;(AS10-180),W11+360,"Error"))))</f>
        <v>360.47</v>
      </c>
      <c r="AT11" s="72">
        <f t="shared" si="10"/>
        <v>-0.35131216731749665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-5.0101204324613464E-2</v>
      </c>
      <c r="C12" s="708">
        <v>2.5400135926556255</v>
      </c>
      <c r="D12" s="709">
        <v>-0.15080045481417184</v>
      </c>
      <c r="E12" s="710">
        <v>-0.96573798601494232</v>
      </c>
      <c r="F12" s="708">
        <v>-1.904896741548082E-2</v>
      </c>
      <c r="G12" s="711">
        <v>0.25881900859134593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-5.0101204324613464E-2</v>
      </c>
      <c r="O12" s="629">
        <f t="shared" si="3"/>
        <v>2.5400135926556255</v>
      </c>
      <c r="P12" s="633">
        <f t="shared" si="4"/>
        <v>-0.15080045481417184</v>
      </c>
      <c r="Q12" s="585">
        <f>IF(M12="","",IF(DEGREES(ATAN2(N12,O12))&lt;0,DEGREES(ATAN2(N12,O12))+360,IF(DEGREES(ATAN2(N12,O12))&gt;360,DEGREES(ATAN2(N12,O12))-360,DEGREES(ATAN2(N12,O12)))))</f>
        <v>91.13</v>
      </c>
      <c r="R12" s="629">
        <f t="shared" si="79"/>
        <v>2.5405076621711093</v>
      </c>
      <c r="S12" s="634">
        <f t="shared" si="80"/>
        <v>-0.15080045481417184</v>
      </c>
      <c r="T12" s="635">
        <f>IF(M12="","",X12*COS(RADIANS(W12)))</f>
        <v>2.5405076621711093</v>
      </c>
      <c r="U12" s="629">
        <f t="shared" si="82"/>
        <v>0</v>
      </c>
      <c r="V12" s="636">
        <f t="shared" si="114"/>
        <v>-0.15080045481417184</v>
      </c>
      <c r="W12" s="585">
        <f>IF(M12="","",IF(Q12-$Q$8&lt;0,360+Q12-$Q$8,Q12-$Q$8))</f>
        <v>0</v>
      </c>
      <c r="X12" s="629">
        <f t="shared" si="83"/>
        <v>2.5405076621711093</v>
      </c>
      <c r="Y12" s="630">
        <f>IF(M12="","",S12)</f>
        <v>-0.15080045481417184</v>
      </c>
      <c r="Z12" s="632">
        <f t="shared" si="6"/>
        <v>0.96573798601494232</v>
      </c>
      <c r="AA12" s="629">
        <f t="shared" si="7"/>
        <v>1.904896741548082E-2</v>
      </c>
      <c r="AB12" s="629">
        <f t="shared" si="8"/>
        <v>-0.25881900859134593</v>
      </c>
      <c r="AC12" s="636">
        <f t="shared" si="84"/>
        <v>1</v>
      </c>
      <c r="AD12" s="637">
        <f t="shared" si="115"/>
        <v>0.96573798601494232</v>
      </c>
      <c r="AE12" s="629">
        <f t="shared" si="85"/>
        <v>1.904896741548082E-2</v>
      </c>
      <c r="AF12" s="633">
        <f t="shared" si="86"/>
        <v>-0.25881900859134593</v>
      </c>
      <c r="AG12" s="602">
        <f t="shared" si="87"/>
        <v>4.209355064162847</v>
      </c>
      <c r="AH12" s="603">
        <f t="shared" si="88"/>
        <v>15.041526773194342</v>
      </c>
      <c r="AI12" s="585">
        <f t="shared" si="89"/>
        <v>-75.000002165731729</v>
      </c>
      <c r="AJ12" s="586">
        <f t="shared" si="90"/>
        <v>91.13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8.6736173798840355E-17</v>
      </c>
      <c r="AM12" s="634">
        <f t="shared" si="92"/>
        <v>-0.25881900859134593</v>
      </c>
      <c r="AN12" s="581">
        <f>IF(M12="","",DEGREES(ATAN2(-AM12,AL12)))</f>
        <v>1.9201127138360089E-14</v>
      </c>
      <c r="AO12" s="582">
        <f t="shared" si="94"/>
        <v>14.999997834268255</v>
      </c>
      <c r="AP12" s="585">
        <f t="shared" si="95"/>
        <v>5.1449257325955233E-15</v>
      </c>
      <c r="AQ12" s="586">
        <f t="shared" si="9"/>
        <v>0.89727745974728523</v>
      </c>
      <c r="AS12" s="52">
        <f t="shared" si="116"/>
        <v>360</v>
      </c>
      <c r="AT12" s="72">
        <f>IF(M12="","",Y12+(((AS12-$AS$9)*$AS$6)*-1))</f>
        <v>-0.15158517703639407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-3.5830040962295744E-2</v>
      </c>
      <c r="C13" s="708">
        <v>3.3110161255400028</v>
      </c>
      <c r="D13" s="709">
        <v>-6.9200208707829503E-2</v>
      </c>
      <c r="E13" s="710">
        <v>-0.96533997509360536</v>
      </c>
      <c r="F13" s="708">
        <v>5.8927139290812301E-2</v>
      </c>
      <c r="G13" s="711">
        <v>0.25425641533947346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110</v>
      </c>
      <c r="M13" s="168">
        <f t="shared" si="1"/>
        <v>1.113</v>
      </c>
      <c r="N13" s="632">
        <f t="shared" si="2"/>
        <v>-3.5830040962295744E-2</v>
      </c>
      <c r="O13" s="629">
        <f t="shared" si="3"/>
        <v>3.3110161255400028</v>
      </c>
      <c r="P13" s="633">
        <f t="shared" si="4"/>
        <v>-6.9200208707829503E-2</v>
      </c>
      <c r="Q13" s="585">
        <f t="shared" si="113"/>
        <v>90.62</v>
      </c>
      <c r="R13" s="629">
        <f t="shared" si="79"/>
        <v>3.3112099866093194</v>
      </c>
      <c r="S13" s="634">
        <f t="shared" si="80"/>
        <v>-6.9200208707829503E-2</v>
      </c>
      <c r="T13" s="635">
        <f>IF(M13="","",X13*COS(RADIANS(W13)))</f>
        <v>3.3110788122512762</v>
      </c>
      <c r="U13" s="629">
        <f t="shared" si="82"/>
        <v>-2.9473284207353422E-2</v>
      </c>
      <c r="V13" s="636">
        <f t="shared" si="114"/>
        <v>-6.9200208707829503E-2</v>
      </c>
      <c r="W13" s="585">
        <f t="shared" si="5"/>
        <v>359.49</v>
      </c>
      <c r="X13" s="629">
        <f t="shared" si="83"/>
        <v>3.3112099866093194</v>
      </c>
      <c r="Y13" s="630">
        <f>IF(M13="","",S13)</f>
        <v>-6.9200208707829503E-2</v>
      </c>
      <c r="Z13" s="632">
        <f t="shared" si="6"/>
        <v>0.96533997509360536</v>
      </c>
      <c r="AA13" s="629">
        <f t="shared" si="7"/>
        <v>-5.8927139290812301E-2</v>
      </c>
      <c r="AB13" s="629">
        <f t="shared" si="8"/>
        <v>-0.25425641533947346</v>
      </c>
      <c r="AC13" s="636">
        <f t="shared" si="84"/>
        <v>1</v>
      </c>
      <c r="AD13" s="637">
        <f>IF(M13="","",Z13*(1/SQRT(Z13^2+AA13^2+AB13^2)))</f>
        <v>0.96533997509360536</v>
      </c>
      <c r="AE13" s="629">
        <f t="shared" si="85"/>
        <v>-5.8927139290812301E-2</v>
      </c>
      <c r="AF13" s="633">
        <f t="shared" si="86"/>
        <v>-0.25425641533947346</v>
      </c>
      <c r="AG13" s="602">
        <f>IF(M13="","",DEGREES(ATAN2(-AF13,AE13)))</f>
        <v>-13.048645552235042</v>
      </c>
      <c r="AH13" s="603">
        <f t="shared" si="88"/>
        <v>15.129149047284715</v>
      </c>
      <c r="AI13" s="585">
        <f t="shared" si="89"/>
        <v>-75.270471255220542</v>
      </c>
      <c r="AJ13" s="586">
        <f t="shared" si="90"/>
        <v>86.506834670325205</v>
      </c>
      <c r="AK13" s="635">
        <f t="shared" si="211"/>
        <v>0.96464581686634043</v>
      </c>
      <c r="AL13" s="629">
        <f t="shared" si="91"/>
        <v>-6.9369469228128436E-2</v>
      </c>
      <c r="AM13" s="634">
        <f t="shared" si="92"/>
        <v>-0.25425641533947346</v>
      </c>
      <c r="AN13" s="581">
        <f t="shared" si="93"/>
        <v>-15.260741935095954</v>
      </c>
      <c r="AO13" s="582">
        <f t="shared" si="94"/>
        <v>15.28079394333338</v>
      </c>
      <c r="AP13" s="585">
        <f t="shared" si="95"/>
        <v>-4.1131653296747981</v>
      </c>
      <c r="AQ13" s="586">
        <f t="shared" si="9"/>
        <v>0.68845434900797275</v>
      </c>
      <c r="AS13" s="52">
        <f t="shared" si="116"/>
        <v>359.49</v>
      </c>
      <c r="AT13" s="72">
        <f t="shared" si="10"/>
        <v>-6.9630764263385062E-2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2.8327945348121844E-2</v>
      </c>
      <c r="C14" s="708">
        <v>4.0576133544751567</v>
      </c>
      <c r="D14" s="709">
        <v>-0.30710092621639346</v>
      </c>
      <c r="E14" s="710">
        <v>-0.95752824743069342</v>
      </c>
      <c r="F14" s="708">
        <v>0.20991950501977499</v>
      </c>
      <c r="G14" s="711">
        <v>0.19767007053309188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2.8327945348121844E-2</v>
      </c>
      <c r="O14" s="629">
        <f t="shared" si="3"/>
        <v>4.0576133544751567</v>
      </c>
      <c r="P14" s="633">
        <f t="shared" si="4"/>
        <v>-0.30710092621639346</v>
      </c>
      <c r="Q14" s="585">
        <f t="shared" si="113"/>
        <v>89.6</v>
      </c>
      <c r="R14" s="629">
        <f t="shared" si="79"/>
        <v>4.0577122380601089</v>
      </c>
      <c r="S14" s="634">
        <f t="shared" si="80"/>
        <v>-0.30710092621639346</v>
      </c>
      <c r="T14" s="635">
        <f t="shared" si="81"/>
        <v>4.0562655895016304</v>
      </c>
      <c r="U14" s="629">
        <f t="shared" si="82"/>
        <v>-0.10834239395438254</v>
      </c>
      <c r="V14" s="636">
        <f t="shared" si="114"/>
        <v>-0.30710092621639346</v>
      </c>
      <c r="W14" s="585">
        <f t="shared" si="5"/>
        <v>358.47</v>
      </c>
      <c r="X14" s="629">
        <f t="shared" si="83"/>
        <v>4.0577122380601089</v>
      </c>
      <c r="Y14" s="630">
        <f t="shared" ref="Y14:Y75" si="223">IF(M14="","",S14)</f>
        <v>-0.30710092621639346</v>
      </c>
      <c r="Z14" s="632">
        <f t="shared" si="6"/>
        <v>0.95752824743069342</v>
      </c>
      <c r="AA14" s="629">
        <f t="shared" si="7"/>
        <v>-0.20991950501977499</v>
      </c>
      <c r="AB14" s="629">
        <f t="shared" si="8"/>
        <v>-0.19767007053309188</v>
      </c>
      <c r="AC14" s="636">
        <f t="shared" si="84"/>
        <v>1</v>
      </c>
      <c r="AD14" s="637">
        <f>IF(M14="","",Z14*(1/SQRT(Z14^2+AA14^2+AB14^2)))</f>
        <v>0.95752824743069342</v>
      </c>
      <c r="AE14" s="629">
        <f t="shared" si="85"/>
        <v>-0.20991950501977499</v>
      </c>
      <c r="AF14" s="633">
        <f t="shared" si="86"/>
        <v>-0.19767007053309188</v>
      </c>
      <c r="AG14" s="602">
        <f t="shared" si="87"/>
        <v>-46.721412303328385</v>
      </c>
      <c r="AH14" s="603">
        <f t="shared" si="88"/>
        <v>16.758569162913918</v>
      </c>
      <c r="AI14" s="585">
        <f t="shared" si="89"/>
        <v>-78.599255935430264</v>
      </c>
      <c r="AJ14" s="586">
        <f t="shared" si="90"/>
        <v>77.634635761166663</v>
      </c>
      <c r="AK14" s="635">
        <f>IF(M14="","",(COS(RADIANS((90-$Q$8)-W14))*AD14)+(-SIN(RADIANS((90-$Q$8)-W14))*AE14))</f>
        <v>0.95897041584890119</v>
      </c>
      <c r="AL14" s="629">
        <f t="shared" si="91"/>
        <v>-0.20322963549154935</v>
      </c>
      <c r="AM14" s="634">
        <f t="shared" si="92"/>
        <v>-0.19767007053309188</v>
      </c>
      <c r="AN14" s="581">
        <f t="shared" si="93"/>
        <v>-45.794510910778826</v>
      </c>
      <c r="AO14" s="582">
        <f t="shared" si="94"/>
        <v>16.469575129731371</v>
      </c>
      <c r="AP14" s="585">
        <f>IF(M14="","",DEGREES(ATAN2(AK14,AL14)))</f>
        <v>-11.965364238833347</v>
      </c>
      <c r="AQ14" s="586">
        <f t="shared" si="9"/>
        <v>0.56180759890170129</v>
      </c>
      <c r="AS14" s="52">
        <f t="shared" si="116"/>
        <v>358.47</v>
      </c>
      <c r="AT14" s="72">
        <f t="shared" si="10"/>
        <v>-0.30682314843861569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0.1141924649926131</v>
      </c>
      <c r="C15" s="708">
        <v>4.6393088361587482</v>
      </c>
      <c r="D15" s="709">
        <v>-0.82490248790590381</v>
      </c>
      <c r="E15" s="710">
        <v>-0.9438443143854196</v>
      </c>
      <c r="F15" s="708">
        <v>0.31619172382042093</v>
      </c>
      <c r="G15" s="711">
        <v>9.5815990261480147E-2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120</v>
      </c>
      <c r="M15" s="168">
        <f t="shared" si="1"/>
        <v>1.119</v>
      </c>
      <c r="N15" s="632">
        <f t="shared" si="2"/>
        <v>0.1141924649926131</v>
      </c>
      <c r="O15" s="629">
        <f t="shared" si="3"/>
        <v>4.6393088361587482</v>
      </c>
      <c r="P15" s="633">
        <f t="shared" si="4"/>
        <v>-0.82490248790590381</v>
      </c>
      <c r="Q15" s="585">
        <f t="shared" si="113"/>
        <v>88.59</v>
      </c>
      <c r="R15" s="629">
        <f t="shared" si="79"/>
        <v>4.6407139963934139</v>
      </c>
      <c r="S15" s="634">
        <f t="shared" si="80"/>
        <v>-0.82490248790590381</v>
      </c>
      <c r="T15" s="635">
        <f t="shared" si="81"/>
        <v>4.6361546157605558</v>
      </c>
      <c r="U15" s="629">
        <f t="shared" si="82"/>
        <v>-0.20566179782309346</v>
      </c>
      <c r="V15" s="636">
        <f t="shared" si="114"/>
        <v>-0.82490248790590381</v>
      </c>
      <c r="W15" s="585">
        <f t="shared" ref="W15:W78" si="224">IF(M15="","",IF(Q15-$Q$8&lt;0,360+Q15-$Q$8,Q15-$Q$8))</f>
        <v>357.46000000000004</v>
      </c>
      <c r="X15" s="629">
        <f>IF(M15="","",R15)</f>
        <v>4.6407139963934139</v>
      </c>
      <c r="Y15" s="630">
        <f>IF(M15="","",S15)</f>
        <v>-0.82490248790590381</v>
      </c>
      <c r="Z15" s="632">
        <f t="shared" si="6"/>
        <v>0.9438443143854196</v>
      </c>
      <c r="AA15" s="629">
        <f t="shared" si="7"/>
        <v>-0.31619172382042093</v>
      </c>
      <c r="AB15" s="629">
        <f t="shared" si="8"/>
        <v>-9.5815990261480147E-2</v>
      </c>
      <c r="AC15" s="636">
        <f t="shared" si="84"/>
        <v>1</v>
      </c>
      <c r="AD15" s="637">
        <f t="shared" si="115"/>
        <v>0.9438443143854196</v>
      </c>
      <c r="AE15" s="629">
        <f t="shared" si="85"/>
        <v>-0.31619172382042093</v>
      </c>
      <c r="AF15" s="633">
        <f t="shared" si="86"/>
        <v>-9.5815990261480147E-2</v>
      </c>
      <c r="AG15" s="602">
        <f t="shared" si="87"/>
        <v>-73.141548724650434</v>
      </c>
      <c r="AH15" s="603">
        <f t="shared" si="88"/>
        <v>19.292481504012066</v>
      </c>
      <c r="AI15" s="585">
        <f t="shared" si="89"/>
        <v>-84.501713136300012</v>
      </c>
      <c r="AJ15" s="586">
        <f t="shared" si="90"/>
        <v>71.478938836098251</v>
      </c>
      <c r="AK15" s="635">
        <f t="shared" si="211"/>
        <v>0.95133894988376255</v>
      </c>
      <c r="AL15" s="629">
        <f t="shared" si="91"/>
        <v>-0.29287112941406823</v>
      </c>
      <c r="AM15" s="634">
        <f t="shared" si="92"/>
        <v>-9.5815990261480147E-2</v>
      </c>
      <c r="AN15" s="581">
        <f>IF(M15="","",DEGREES(ATAN2(-AM15,AL15)))</f>
        <v>-71.883925894785079</v>
      </c>
      <c r="AO15" s="582">
        <f t="shared" si="94"/>
        <v>17.947559263244148</v>
      </c>
      <c r="AP15" s="585">
        <f t="shared" si="95"/>
        <v>-17.111061163901777</v>
      </c>
      <c r="AQ15" s="586">
        <f t="shared" si="9"/>
        <v>0.49123276606569238</v>
      </c>
      <c r="AS15" s="52">
        <f t="shared" si="116"/>
        <v>357.46000000000004</v>
      </c>
      <c r="AT15" s="72">
        <f t="shared" si="10"/>
        <v>-0.82392332123923717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0.17688655297226749</v>
      </c>
      <c r="C16" s="708">
        <v>4.9659656563374277</v>
      </c>
      <c r="D16" s="709">
        <v>-1.5038045354744796</v>
      </c>
      <c r="E16" s="710">
        <v>-0.88903637100524091</v>
      </c>
      <c r="F16" s="708">
        <v>0.45448212592252712</v>
      </c>
      <c r="G16" s="711">
        <v>5.5320233610966552E-2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0.17688655297226749</v>
      </c>
      <c r="O16" s="629">
        <f t="shared" si="3"/>
        <v>4.9659656563374277</v>
      </c>
      <c r="P16" s="633">
        <f t="shared" si="4"/>
        <v>-1.5038045354744796</v>
      </c>
      <c r="Q16" s="585">
        <f>IF(M16="","",IF(DEGREES(ATAN2(N16,O16))&lt;0,DEGREES(ATAN2(N16,O16))+360,IF(DEGREES(ATAN2(N16,O16))&gt;360,DEGREES(ATAN2(N16,O16))-360,DEGREES(ATAN2(N16,O16)))))</f>
        <v>87.96</v>
      </c>
      <c r="R16" s="629">
        <f t="shared" si="79"/>
        <v>4.9691149868508004</v>
      </c>
      <c r="S16" s="634">
        <f t="shared" si="80"/>
        <v>-1.5038045354744796</v>
      </c>
      <c r="T16" s="635">
        <f t="shared" si="81"/>
        <v>4.9615115223283199</v>
      </c>
      <c r="U16" s="629">
        <f t="shared" si="82"/>
        <v>-0.2747856734776184</v>
      </c>
      <c r="V16" s="636">
        <f t="shared" si="114"/>
        <v>-1.5038045354744796</v>
      </c>
      <c r="W16" s="585">
        <f>IF(M16="","",IF(Q16-$Q$8&lt;0,360+Q16-$Q$8,Q16-$Q$8))</f>
        <v>356.83</v>
      </c>
      <c r="X16" s="629">
        <f t="shared" si="83"/>
        <v>4.9691149868508004</v>
      </c>
      <c r="Y16" s="630">
        <f t="shared" si="223"/>
        <v>-1.5038045354744796</v>
      </c>
      <c r="Z16" s="632">
        <f t="shared" si="6"/>
        <v>0.88903637100524091</v>
      </c>
      <c r="AA16" s="629">
        <f t="shared" si="7"/>
        <v>-0.45448212592252712</v>
      </c>
      <c r="AB16" s="629">
        <f t="shared" si="8"/>
        <v>-5.5320233610966552E-2</v>
      </c>
      <c r="AC16" s="636">
        <f t="shared" si="84"/>
        <v>1</v>
      </c>
      <c r="AD16" s="637">
        <f t="shared" si="115"/>
        <v>0.88903637100524091</v>
      </c>
      <c r="AE16" s="629">
        <f t="shared" si="85"/>
        <v>-0.45448212592252712</v>
      </c>
      <c r="AF16" s="633">
        <f t="shared" si="86"/>
        <v>-5.5320233610966552E-2</v>
      </c>
      <c r="AG16" s="602">
        <f t="shared" si="87"/>
        <v>-83.060013520965796</v>
      </c>
      <c r="AH16" s="603">
        <f t="shared" si="88"/>
        <v>27.247593627419864</v>
      </c>
      <c r="AI16" s="585">
        <f t="shared" si="89"/>
        <v>-86.828765184430409</v>
      </c>
      <c r="AJ16" s="586">
        <f t="shared" si="90"/>
        <v>62.923537810797946</v>
      </c>
      <c r="AK16" s="635">
        <f t="shared" si="211"/>
        <v>0.90465120533219101</v>
      </c>
      <c r="AL16" s="629">
        <f t="shared" si="91"/>
        <v>-0.42254688313161415</v>
      </c>
      <c r="AM16" s="634">
        <f t="shared" si="92"/>
        <v>-5.5320233610966552E-2</v>
      </c>
      <c r="AN16" s="581">
        <f t="shared" si="93"/>
        <v>-82.541205146751849</v>
      </c>
      <c r="AO16" s="582">
        <f t="shared" si="94"/>
        <v>25.223652821004375</v>
      </c>
      <c r="AP16" s="585">
        <f t="shared" si="95"/>
        <v>-25.03646218920202</v>
      </c>
      <c r="AQ16" s="586">
        <f t="shared" si="9"/>
        <v>0.45876940220070084</v>
      </c>
      <c r="AS16" s="52">
        <f t="shared" si="116"/>
        <v>356.83</v>
      </c>
      <c r="AT16" s="72">
        <f t="shared" si="10"/>
        <v>-1.5023878688078129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0.193851342985809</v>
      </c>
      <c r="C17" s="708">
        <v>5.0460930943071283</v>
      </c>
      <c r="D17" s="709">
        <v>-2.2431067652100043</v>
      </c>
      <c r="E17" s="710">
        <v>-0.86760027180495347</v>
      </c>
      <c r="F17" s="708">
        <v>0.49700526412782703</v>
      </c>
      <c r="G17" s="711">
        <v>-1.5985486955354067E-2</v>
      </c>
      <c r="H17" s="710">
        <v>0.314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1.125</v>
      </c>
      <c r="N17" s="632">
        <f t="shared" si="2"/>
        <v>0.193851342985809</v>
      </c>
      <c r="O17" s="629">
        <f t="shared" si="3"/>
        <v>5.0460930943071283</v>
      </c>
      <c r="P17" s="633">
        <f t="shared" si="4"/>
        <v>-2.2431067652100043</v>
      </c>
      <c r="Q17" s="585">
        <f>IF(M17="","",IF(DEGREES(ATAN2(N17,O17))&lt;0,DEGREES(ATAN2(N17,O17))+360,IF(DEGREES(ATAN2(N17,O17))&gt;360,DEGREES(ATAN2(N17,O17))-360,DEGREES(ATAN2(N17,O17)))))</f>
        <v>87.8</v>
      </c>
      <c r="R17" s="629">
        <f>IF(M17="","",SQRT(N17^2+O17^2))</f>
        <v>5.0498152302427348</v>
      </c>
      <c r="S17" s="634">
        <f>IF(M17="","",P17)</f>
        <v>-2.2431067652100043</v>
      </c>
      <c r="T17" s="635">
        <f>IF(M17="","",X17*COS(RADIANS(W17)))</f>
        <v>5.0412888157389251</v>
      </c>
      <c r="U17" s="629">
        <f>IF(M17="","",X17*SIN(RADIANS(W17)))</f>
        <v>-0.29332735279395333</v>
      </c>
      <c r="V17" s="636">
        <f>IF(M17="","",Y17)</f>
        <v>-2.2431067652100043</v>
      </c>
      <c r="W17" s="585">
        <f t="shared" si="224"/>
        <v>356.67</v>
      </c>
      <c r="X17" s="629">
        <f>IF(M17="","",R17)</f>
        <v>5.0498152302427348</v>
      </c>
      <c r="Y17" s="630">
        <f t="shared" si="223"/>
        <v>-2.2431067652100043</v>
      </c>
      <c r="Z17" s="632">
        <f t="shared" si="6"/>
        <v>0.86760027180495347</v>
      </c>
      <c r="AA17" s="629">
        <f t="shared" si="7"/>
        <v>-0.49700526412782703</v>
      </c>
      <c r="AB17" s="629">
        <f t="shared" si="8"/>
        <v>1.5985486955354067E-2</v>
      </c>
      <c r="AC17" s="636">
        <f>IF(M17="","",SQRT(Z17^2+AA17^2+AB17^2))</f>
        <v>1</v>
      </c>
      <c r="AD17" s="637">
        <f>IF(M17="","",Z17*(1/SQRT(Z17^2+AA17^2+AB17^2)))</f>
        <v>0.86760027180495347</v>
      </c>
      <c r="AE17" s="629">
        <f>IF(M17="","",AA17*(1/SQRT(Z17^2+AA17^2+AB17^2)))</f>
        <v>-0.49700526412782703</v>
      </c>
      <c r="AF17" s="633">
        <f>IF(M17="","",AB17*(1/SQRT(Z17^2+AA17^2+AB17^2)))</f>
        <v>1.5985486955354067E-2</v>
      </c>
      <c r="AG17" s="602">
        <f>IF(M17="","",DEGREES(ATAN2(-AF17,AE17)))</f>
        <v>-91.842204429889449</v>
      </c>
      <c r="AH17" s="603">
        <f>IF(M17="","",DEGREES(ACOS(AD17)))</f>
        <v>29.819038144167536</v>
      </c>
      <c r="AI17" s="585">
        <f>IF(M17="","",DEGREES(-ACOS(-AF17)))</f>
        <v>-90.915939948068129</v>
      </c>
      <c r="AJ17" s="586">
        <f>IF(M17="","",DEGREES(ATAN2(-AE17,AD17)))</f>
        <v>60.193739367678262</v>
      </c>
      <c r="AK17" s="635">
        <f>IF(M17="","",(COS(RADIANS((90-$Q$8)-W17))*AD17)+(-SIN(RADIANS((90-$Q$8)-W17))*AE17))</f>
        <v>0.88603972107729678</v>
      </c>
      <c r="AL17" s="629">
        <f>IF(M17="","",(SIN(RADIANS((90-$Q$8)-W17))*AD17)+(COS(RADIANS((90-$Q$8)-W17))*AE17))</f>
        <v>-0.46333365610547494</v>
      </c>
      <c r="AM17" s="634">
        <f>IF(M17="","",AF17)</f>
        <v>1.5985486955354067E-2</v>
      </c>
      <c r="AN17" s="581">
        <f>IF(M17="","",DEGREES(ATAN2(-AM17,AL17)))</f>
        <v>-91.975979465186128</v>
      </c>
      <c r="AO17" s="582">
        <f t="shared" si="94"/>
        <v>27.620257473727143</v>
      </c>
      <c r="AP17" s="585">
        <f>IF(M17="","",DEGREES(ATAN2(AK17,AL17)))</f>
        <v>-27.606260632321764</v>
      </c>
      <c r="AQ17" s="586">
        <f t="shared" si="9"/>
        <v>0.45143819183770062</v>
      </c>
      <c r="AS17" s="52">
        <f t="shared" si="116"/>
        <v>356.67</v>
      </c>
      <c r="AT17" s="72">
        <f t="shared" si="10"/>
        <v>-2.2415789874322267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0.22657429618966515</v>
      </c>
      <c r="C18" s="708">
        <v>5.1075770036589896</v>
      </c>
      <c r="D18" s="709">
        <v>-2.9576089201485023</v>
      </c>
      <c r="E18" s="710">
        <v>-0.82128655495588454</v>
      </c>
      <c r="F18" s="708">
        <v>0.57040121779683917</v>
      </c>
      <c r="G18" s="711">
        <v>1.1438766742001644E-2</v>
      </c>
      <c r="H18" s="710">
        <v>0.26600000000000001</v>
      </c>
      <c r="I18" s="708">
        <v>0.52</v>
      </c>
      <c r="J18" s="570">
        <v>1.1279999999999999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1.1279999999999999</v>
      </c>
      <c r="N18" s="632">
        <f t="shared" si="2"/>
        <v>0.22657429618966515</v>
      </c>
      <c r="O18" s="629">
        <f t="shared" si="3"/>
        <v>5.1075770036589896</v>
      </c>
      <c r="P18" s="633">
        <f t="shared" si="4"/>
        <v>-2.9576089201485023</v>
      </c>
      <c r="Q18" s="585">
        <f t="shared" si="113"/>
        <v>87.460000000000008</v>
      </c>
      <c r="R18" s="629">
        <f>IF(M18="","",SQRT(N18^2+O18^2))</f>
        <v>5.1125999999999987</v>
      </c>
      <c r="S18" s="634">
        <f>IF(M18="","",P18)</f>
        <v>-2.9576089201485023</v>
      </c>
      <c r="T18" s="635">
        <f>IF(M18="","",X18*COS(RADIANS(W18)))</f>
        <v>5.1021154404406603</v>
      </c>
      <c r="U18" s="629">
        <f>IF(M18="","",X18*SIN(RADIANS(W18)))</f>
        <v>-0.32725646275816972</v>
      </c>
      <c r="V18" s="636">
        <f>IF(M18="","",Y18)</f>
        <v>-2.9576089201485023</v>
      </c>
      <c r="W18" s="585">
        <f t="shared" si="224"/>
        <v>356.33000000000004</v>
      </c>
      <c r="X18" s="629">
        <f>IF(M18="","",R18)</f>
        <v>5.1125999999999987</v>
      </c>
      <c r="Y18" s="630">
        <f t="shared" si="223"/>
        <v>-2.9576089201485023</v>
      </c>
      <c r="Z18" s="632">
        <f t="shared" si="6"/>
        <v>0.82128655495588454</v>
      </c>
      <c r="AA18" s="629">
        <f t="shared" si="7"/>
        <v>-0.57040121779683917</v>
      </c>
      <c r="AB18" s="629">
        <f t="shared" si="8"/>
        <v>-1.1438766742001644E-2</v>
      </c>
      <c r="AC18" s="636">
        <f>IF(M18="","",SQRT(Z18^2+AA18^2+AB18^2))</f>
        <v>1</v>
      </c>
      <c r="AD18" s="637">
        <f>IF(M18="","",Z18*(1/SQRT(Z18^2+AA18^2+AB18^2)))</f>
        <v>0.82128655495588454</v>
      </c>
      <c r="AE18" s="629">
        <f>IF(M18="","",AA18*(1/SQRT(Z18^2+AA18^2+AB18^2)))</f>
        <v>-0.57040121779683917</v>
      </c>
      <c r="AF18" s="633">
        <f>IF(M18="","",AB18*(1/SQRT(Z18^2+AA18^2+AB18^2)))</f>
        <v>-1.1438766742001644E-2</v>
      </c>
      <c r="AG18" s="602">
        <f>IF(M18="","",DEGREES(ATAN2(-AF18,AE18)))</f>
        <v>-88.851150382312468</v>
      </c>
      <c r="AH18" s="603">
        <f>IF(M18="","",DEGREES(ACOS(AD18)))</f>
        <v>34.786209020859602</v>
      </c>
      <c r="AI18" s="585">
        <f>IF(M18="","",DEGREES(-ACOS(-AF18)))</f>
        <v>-89.344592649480973</v>
      </c>
      <c r="AJ18" s="586">
        <f>IF(M18="","",DEGREES(ATAN2(-AE18,AD18)))</f>
        <v>55.219187949983748</v>
      </c>
      <c r="AK18" s="635">
        <f>IF(M18="","",(COS(RADIANS((90-$Q$8)-W18))*AD18)+(-SIN(RADIANS((90-$Q$8)-W18))*AE18))</f>
        <v>0.84575804404315547</v>
      </c>
      <c r="AL18" s="629">
        <f>IF(M18="","",(SIN(RADIANS((90-$Q$8)-W18))*AD18)+(COS(RADIANS((90-$Q$8)-W18))*AE18))</f>
        <v>-0.53344398539276661</v>
      </c>
      <c r="AM18" s="634">
        <f>IF(M18="","",AF18)</f>
        <v>-1.1438766742001644E-2</v>
      </c>
      <c r="AN18" s="581">
        <f>IF(M18="","",DEGREES(ATAN2(-AM18,AL18)))</f>
        <v>-88.771581177851587</v>
      </c>
      <c r="AO18" s="582">
        <f t="shared" si="94"/>
        <v>32.246754791789094</v>
      </c>
      <c r="AP18" s="585">
        <f>IF(M18="","",DEGREES(ATAN2(AK18,AL18)))</f>
        <v>-32.240812050016302</v>
      </c>
      <c r="AQ18" s="586">
        <f t="shared" si="9"/>
        <v>0.44589457578570152</v>
      </c>
      <c r="AS18" s="52">
        <f t="shared" si="116"/>
        <v>356.33000000000004</v>
      </c>
      <c r="AT18" s="72">
        <f t="shared" si="10"/>
        <v>-2.9558450312596136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1.1279999999999999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0.8763730091554176</v>
      </c>
      <c r="C19" s="708">
        <v>2.9229571955409064</v>
      </c>
      <c r="D19" s="709">
        <v>-6.4906251518671992E-2</v>
      </c>
      <c r="E19" s="710">
        <v>-0.90527336929904478</v>
      </c>
      <c r="F19" s="708">
        <v>0.30020812688074577</v>
      </c>
      <c r="G19" s="711">
        <v>0.30059142934007527</v>
      </c>
      <c r="H19" s="710">
        <v>0.26600000000000001</v>
      </c>
      <c r="I19" s="708">
        <v>0.52</v>
      </c>
      <c r="J19" s="570">
        <v>1.212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1.212</v>
      </c>
      <c r="N19" s="632">
        <f t="shared" si="2"/>
        <v>0.8763730091554176</v>
      </c>
      <c r="O19" s="629">
        <f t="shared" si="3"/>
        <v>2.9229571955409064</v>
      </c>
      <c r="P19" s="633">
        <f t="shared" si="4"/>
        <v>-6.4906251518671992E-2</v>
      </c>
      <c r="Q19" s="585">
        <f t="shared" si="113"/>
        <v>73.310002409737464</v>
      </c>
      <c r="R19" s="629">
        <f>IF(M19="","",SQRT(N19^2+O19^2))</f>
        <v>3.0515092033517583</v>
      </c>
      <c r="S19" s="634">
        <f>IF(M19="","",P19)</f>
        <v>-6.4906251518671992E-2</v>
      </c>
      <c r="T19" s="635">
        <f>IF(M19="","",X19*COS(RADIANS(W19)))</f>
        <v>2.9051058471994122</v>
      </c>
      <c r="U19" s="629">
        <f>IF(M19="","",X19*SIN(RADIANS(W19)))</f>
        <v>-0.9338460444357356</v>
      </c>
      <c r="V19" s="636">
        <f>IF(M19="","",Y19)</f>
        <v>-6.4906251518671992E-2</v>
      </c>
      <c r="W19" s="585">
        <f t="shared" si="224"/>
        <v>342.18000240973748</v>
      </c>
      <c r="X19" s="629">
        <f>IF(M19="","",R19)</f>
        <v>3.0515092033517583</v>
      </c>
      <c r="Y19" s="630">
        <f t="shared" si="223"/>
        <v>-6.4906251518671992E-2</v>
      </c>
      <c r="Z19" s="632">
        <f t="shared" si="6"/>
        <v>0.90527336929904478</v>
      </c>
      <c r="AA19" s="629">
        <f t="shared" si="7"/>
        <v>-0.30020812688074577</v>
      </c>
      <c r="AB19" s="629">
        <f t="shared" si="8"/>
        <v>-0.30059142934007527</v>
      </c>
      <c r="AC19" s="636">
        <f>IF(M19="","",SQRT(Z19^2+AA19^2+AB19^2))</f>
        <v>1</v>
      </c>
      <c r="AD19" s="637">
        <f>IF(M19="","",Z19*(1/SQRT(Z19^2+AA19^2+AB19^2)))</f>
        <v>0.90527336929904478</v>
      </c>
      <c r="AE19" s="629">
        <f>IF(M19="","",AA19*(1/SQRT(Z19^2+AA19^2+AB19^2)))</f>
        <v>-0.30020812688074577</v>
      </c>
      <c r="AF19" s="633">
        <f>IF(M19="","",AB19*(1/SQRT(Z19^2+AA19^2+AB19^2)))</f>
        <v>-0.30059142934007527</v>
      </c>
      <c r="AG19" s="602">
        <f>IF(M19="","",DEGREES(ATAN2(-AF19,AE19)))</f>
        <v>-44.963446027898144</v>
      </c>
      <c r="AH19" s="603">
        <f>IF(M19="","",DEGREES(ACOS(AD19)))</f>
        <v>25.139873493057635</v>
      </c>
      <c r="AI19" s="585">
        <f>IF(M19="","",DEGREES(-ACOS(-AF19)))</f>
        <v>-72.506870805683363</v>
      </c>
      <c r="AJ19" s="586">
        <f>IF(M19="","",DEGREES(ATAN2(-AE19,AD19)))</f>
        <v>71.653368393410773</v>
      </c>
      <c r="AK19" s="635">
        <f>IF(M19="","",(COS(RADIANS((90-$Q$8)-W19))*AD19)+(-SIN(RADIANS((90-$Q$8)-W19))*AE19))</f>
        <v>0.95335436152582487</v>
      </c>
      <c r="AL19" s="629">
        <f>IF(M19="","",(SIN(RADIANS((90-$Q$8)-W19))*AD19)+(COS(RADIANS((90-$Q$8)-W19))*AE19))</f>
        <v>-2.7572703294700907E-2</v>
      </c>
      <c r="AM19" s="634">
        <f>IF(M19="","",AF19)</f>
        <v>-0.30059142934007527</v>
      </c>
      <c r="AN19" s="581">
        <f>IF(M19="","",DEGREES(ATAN2(-AM19,AL19)))</f>
        <v>-5.2409708606017613</v>
      </c>
      <c r="AO19" s="582">
        <f t="shared" si="94"/>
        <v>17.568955317367493</v>
      </c>
      <c r="AP19" s="585">
        <f>IF(M19="","",DEGREES(ATAN2(AK19,AL19)))</f>
        <v>-1.6566340163267086</v>
      </c>
      <c r="AQ19" s="586">
        <f t="shared" si="9"/>
        <v>0.74703934880030942</v>
      </c>
      <c r="AS19" s="52">
        <f t="shared" si="116"/>
        <v>342.18000240973748</v>
      </c>
      <c r="AT19" s="72">
        <f t="shared" si="10"/>
        <v>-5.3315975414323022E-2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1.212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0.112</v>
      </c>
      <c r="II19" s="734" cm="1">
        <f t="array" ref="II19">IFERROR(ROUND(VALUE(IF($IH19&lt;1,$IH19+LARGE((IF($M$9:$M$150="",0,$M$9:$M$150)-MOD(IF($M$9:$M$150="",0,$M$9:$M$150),1)),1),$IH19)),4),"")</f>
        <v>6.1120000000000001</v>
      </c>
      <c r="IJ19" s="533">
        <f t="shared" si="112"/>
        <v>1613</v>
      </c>
      <c r="IK19" s="533">
        <f t="shared" si="66"/>
        <v>1313</v>
      </c>
      <c r="IL19" s="727">
        <f t="shared" si="225"/>
        <v>72.549989649246129</v>
      </c>
      <c r="IM19" s="759">
        <v>4.8723577082382501E-2</v>
      </c>
      <c r="IN19" s="5">
        <f t="shared" si="226"/>
        <v>0.26</v>
      </c>
      <c r="IO19" s="771">
        <v>130</v>
      </c>
      <c r="IP19" s="9">
        <f t="shared" si="227"/>
        <v>-3.0515092033517566</v>
      </c>
      <c r="IQ19" s="5">
        <f t="shared" si="228"/>
        <v>-6.3900192722981294E-2</v>
      </c>
      <c r="IR19" s="5">
        <f t="shared" si="71"/>
        <v>0.314</v>
      </c>
      <c r="IS19" s="5">
        <f t="shared" si="229"/>
        <v>0.3031853978204474</v>
      </c>
      <c r="IT19" s="727">
        <f t="shared" si="230"/>
        <v>6.083237575202169</v>
      </c>
      <c r="IU19" s="9">
        <f t="shared" si="231"/>
        <v>-3.0515092033517583</v>
      </c>
      <c r="IV19" s="5">
        <f t="shared" si="232"/>
        <v>-6.4906251518671992E-2</v>
      </c>
      <c r="IW19" s="5">
        <f t="shared" si="76"/>
        <v>0.26600000000000001</v>
      </c>
      <c r="IX19" s="5">
        <f t="shared" si="233"/>
        <v>0.25359226016586944</v>
      </c>
      <c r="IY19" s="762">
        <f t="shared" si="234"/>
        <v>5.2409708606017613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0.95139821713051842</v>
      </c>
      <c r="C20" s="708">
        <v>3.7000895136605907</v>
      </c>
      <c r="D20" s="709">
        <v>-0.19407144573371049</v>
      </c>
      <c r="E20" s="710">
        <v>-0.87610066225558159</v>
      </c>
      <c r="F20" s="708">
        <v>0.40403557173102433</v>
      </c>
      <c r="G20" s="711">
        <v>0.26306441487079868</v>
      </c>
      <c r="H20" s="710">
        <v>0.26600000000000001</v>
      </c>
      <c r="I20" s="708">
        <v>0.52</v>
      </c>
      <c r="J20" s="570">
        <v>1.2150000000000001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1.2150000000000001</v>
      </c>
      <c r="N20" s="632">
        <f t="shared" si="2"/>
        <v>0.95139821713051842</v>
      </c>
      <c r="O20" s="629">
        <f t="shared" si="3"/>
        <v>3.7000895136605907</v>
      </c>
      <c r="P20" s="633">
        <f t="shared" si="4"/>
        <v>-0.19407144573371049</v>
      </c>
      <c r="Q20" s="585">
        <f t="shared" si="113"/>
        <v>75.580002081990088</v>
      </c>
      <c r="R20" s="629">
        <f>IF(M20="","",SQRT(N20^2+O20^2))</f>
        <v>3.8204477455738348</v>
      </c>
      <c r="S20" s="634">
        <f>IF(M20="","",P20)</f>
        <v>-0.19407144573371049</v>
      </c>
      <c r="T20" s="635">
        <f>IF(M20="","",X20*COS(RADIANS(W20)))</f>
        <v>3.6806074634228474</v>
      </c>
      <c r="U20" s="629">
        <f>IF(M20="","",X20*SIN(RADIANS(W20)))</f>
        <v>-1.0241824431497699</v>
      </c>
      <c r="V20" s="636">
        <f>IF(M20="","",Y20)</f>
        <v>-0.19407144573371049</v>
      </c>
      <c r="W20" s="585">
        <f t="shared" si="224"/>
        <v>344.45000208199008</v>
      </c>
      <c r="X20" s="629">
        <f>IF(M20="","",R20)</f>
        <v>3.8204477455738348</v>
      </c>
      <c r="Y20" s="630">
        <f t="shared" si="223"/>
        <v>-0.19407144573371049</v>
      </c>
      <c r="Z20" s="632">
        <f t="shared" si="6"/>
        <v>0.87610066225558159</v>
      </c>
      <c r="AA20" s="629">
        <f t="shared" si="7"/>
        <v>-0.40403557173102433</v>
      </c>
      <c r="AB20" s="629">
        <f t="shared" si="8"/>
        <v>-0.26306441487079868</v>
      </c>
      <c r="AC20" s="636">
        <f>IF(M20="","",SQRT(Z20^2+AA20^2+AB20^2))</f>
        <v>1</v>
      </c>
      <c r="AD20" s="637">
        <f>IF(M20="","",Z20*(1/SQRT(Z20^2+AA20^2+AB20^2)))</f>
        <v>0.87610066225558159</v>
      </c>
      <c r="AE20" s="629">
        <f>IF(M20="","",AA20*(1/SQRT(Z20^2+AA20^2+AB20^2)))</f>
        <v>-0.40403557173102433</v>
      </c>
      <c r="AF20" s="633">
        <f>IF(M20="","",AB20*(1/SQRT(Z20^2+AA20^2+AB20^2)))</f>
        <v>-0.26306441487079868</v>
      </c>
      <c r="AG20" s="602">
        <f>IF(M20="","",DEGREES(ATAN2(-AF20,AE20)))</f>
        <v>-56.932161959112662</v>
      </c>
      <c r="AH20" s="603">
        <f>IF(M20="","",DEGREES(ACOS(AD20)))</f>
        <v>28.824492522476884</v>
      </c>
      <c r="AI20" s="585">
        <f>IF(M20="","",DEGREES(-ACOS(-AF20)))</f>
        <v>-74.748028319392631</v>
      </c>
      <c r="AJ20" s="586">
        <f>IF(M20="","",DEGREES(ATAN2(-AE20,AD20)))</f>
        <v>65.242037730367727</v>
      </c>
      <c r="AK20" s="635">
        <f>IF(M20="","",(COS(RADIANS((90-$Q$8)-W20))*AD20)+(-SIN(RADIANS((90-$Q$8)-W20))*AE20))</f>
        <v>0.94911639614129761</v>
      </c>
      <c r="AL20" s="629">
        <f>IF(M20="","",(SIN(RADIANS((90-$Q$8)-W20))*AD20)+(COS(RADIANS((90-$Q$8)-W20))*AE20))</f>
        <v>-0.17313341735332269</v>
      </c>
      <c r="AM20" s="634">
        <f>IF(M20="","",AF20)</f>
        <v>-0.26306441487079868</v>
      </c>
      <c r="AN20" s="581">
        <f>IF(M20="","",DEGREES(ATAN2(-AM20,AL20)))</f>
        <v>-33.350544721265059</v>
      </c>
      <c r="AO20" s="582">
        <f t="shared" si="94"/>
        <v>18.356315976016408</v>
      </c>
      <c r="AP20" s="585">
        <f>IF(M20="","",DEGREES(ATAN2(AK20,AL20)))</f>
        <v>-10.337964351622318</v>
      </c>
      <c r="AQ20" s="586">
        <f t="shared" si="9"/>
        <v>0.59669556167502236</v>
      </c>
      <c r="AS20" s="52">
        <f t="shared" si="116"/>
        <v>344.45000208199008</v>
      </c>
      <c r="AT20" s="72">
        <f t="shared" si="10"/>
        <v>-0.18405755829064804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1.2150000000000001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0.115</v>
      </c>
      <c r="II20" s="734" cm="1">
        <f t="array" ref="II20">IFERROR(ROUND(VALUE(IF($IH20&lt;1,$IH20+LARGE((IF($M$9:$M$150="",0,$M$9:$M$150)-MOD(IF($M$9:$M$150="",0,$M$9:$M$150),1)),1),$IH20)),4),"")</f>
        <v>6.1150000000000002</v>
      </c>
      <c r="IJ20" s="533">
        <f t="shared" si="112"/>
        <v>1613</v>
      </c>
      <c r="IK20" s="533">
        <f t="shared" si="66"/>
        <v>1313</v>
      </c>
      <c r="IL20" s="727">
        <f t="shared" si="225"/>
        <v>69.379989976993556</v>
      </c>
      <c r="IM20" s="759">
        <v>4.8073368682871202E-2</v>
      </c>
      <c r="IN20" s="5">
        <f t="shared" si="226"/>
        <v>0.26</v>
      </c>
      <c r="IO20" s="771">
        <v>130</v>
      </c>
      <c r="IP20" s="9">
        <f t="shared" si="227"/>
        <v>-3.8207115232659543</v>
      </c>
      <c r="IQ20" s="5">
        <f t="shared" si="228"/>
        <v>-0.19310058239135661</v>
      </c>
      <c r="IR20" s="5">
        <f t="shared" si="71"/>
        <v>0.314</v>
      </c>
      <c r="IS20" s="5">
        <f t="shared" si="229"/>
        <v>0.30183764165242533</v>
      </c>
      <c r="IT20" s="727">
        <f t="shared" si="230"/>
        <v>36.050934507812755</v>
      </c>
      <c r="IU20" s="9">
        <f t="shared" si="231"/>
        <v>-3.8204477455738348</v>
      </c>
      <c r="IV20" s="5">
        <f t="shared" si="232"/>
        <v>-0.19407144573371049</v>
      </c>
      <c r="IW20" s="5">
        <f t="shared" si="76"/>
        <v>0.26600000000000001</v>
      </c>
      <c r="IX20" s="5">
        <f t="shared" si="233"/>
        <v>0.25246496137358521</v>
      </c>
      <c r="IY20" s="762">
        <f t="shared" si="234"/>
        <v>33.350544721265059</v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1.0651483524622689</v>
      </c>
      <c r="C21" s="708">
        <v>4.3397775660189799</v>
      </c>
      <c r="D21" s="709">
        <v>-0.62455506737416977</v>
      </c>
      <c r="E21" s="710">
        <v>-0.8453306032384903</v>
      </c>
      <c r="F21" s="708">
        <v>0.50701322641294688</v>
      </c>
      <c r="G21" s="711">
        <v>0.168385746043969</v>
      </c>
      <c r="H21" s="710">
        <v>0.26600000000000001</v>
      </c>
      <c r="I21" s="708">
        <v>0.52</v>
      </c>
      <c r="J21" s="570">
        <v>1.218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1.218</v>
      </c>
      <c r="N21" s="632">
        <f t="shared" si="2"/>
        <v>1.0651483524622689</v>
      </c>
      <c r="O21" s="629">
        <f t="shared" si="3"/>
        <v>4.3397775660189799</v>
      </c>
      <c r="P21" s="633">
        <f t="shared" si="4"/>
        <v>-0.62455506737416977</v>
      </c>
      <c r="Q21" s="585">
        <f t="shared" si="113"/>
        <v>76.210001991029415</v>
      </c>
      <c r="R21" s="629">
        <f>IF(M21="","",SQRT(N21^2+O21^2))</f>
        <v>4.4685803489782643</v>
      </c>
      <c r="S21" s="634">
        <f>IF(M21="","",P21)</f>
        <v>-0.62455506737416977</v>
      </c>
      <c r="T21" s="635">
        <f>IF(M21="","",X21*COS(RADIANS(W21)))</f>
        <v>4.3179278515431543</v>
      </c>
      <c r="U21" s="629">
        <f>IF(M21="","",X21*SIN(RADIANS(W21)))</f>
        <v>-1.1505257077278328</v>
      </c>
      <c r="V21" s="636">
        <f>IF(M21="","",Y21)</f>
        <v>-0.62455506737416977</v>
      </c>
      <c r="W21" s="585">
        <f t="shared" si="224"/>
        <v>345.08000199102941</v>
      </c>
      <c r="X21" s="629">
        <f>IF(M21="","",R21)</f>
        <v>4.4685803489782643</v>
      </c>
      <c r="Y21" s="630">
        <f t="shared" si="223"/>
        <v>-0.62455506737416977</v>
      </c>
      <c r="Z21" s="632">
        <f t="shared" si="6"/>
        <v>0.8453306032384903</v>
      </c>
      <c r="AA21" s="629">
        <f t="shared" si="7"/>
        <v>-0.50701322641294688</v>
      </c>
      <c r="AB21" s="629">
        <f t="shared" si="8"/>
        <v>-0.168385746043969</v>
      </c>
      <c r="AC21" s="636">
        <f>IF(M21="","",SQRT(Z21^2+AA21^2+AB21^2))</f>
        <v>1</v>
      </c>
      <c r="AD21" s="637">
        <f>IF(M21="","",Z21*(1/SQRT(Z21^2+AA21^2+AB21^2)))</f>
        <v>0.8453306032384903</v>
      </c>
      <c r="AE21" s="629">
        <f>IF(M21="","",AA21*(1/SQRT(Z21^2+AA21^2+AB21^2)))</f>
        <v>-0.50701322641294688</v>
      </c>
      <c r="AF21" s="633">
        <f>IF(M21="","",AB21*(1/SQRT(Z21^2+AA21^2+AB21^2)))</f>
        <v>-0.168385746043969</v>
      </c>
      <c r="AG21" s="602">
        <f>IF(M21="","",DEGREES(ATAN2(-AF21,AE21)))</f>
        <v>-71.62799580366945</v>
      </c>
      <c r="AH21" s="603">
        <f>IF(M21="","",DEGREES(ACOS(AD21)))</f>
        <v>32.292625403662463</v>
      </c>
      <c r="AI21" s="585">
        <f>IF(M21="","",DEGREES(-ACOS(-AF21)))</f>
        <v>-80.306023829898805</v>
      </c>
      <c r="AJ21" s="586">
        <f>IF(M21="","",DEGREES(ATAN2(-AE21,AD21)))</f>
        <v>59.045471070188576</v>
      </c>
      <c r="AK21" s="635">
        <f>IF(M21="","",(COS(RADIANS((90-$Q$8)-W21))*AD21)+(-SIN(RADIANS((90-$Q$8)-W21))*AE21))</f>
        <v>0.94181837673710189</v>
      </c>
      <c r="AL21" s="629">
        <f>IF(M21="","",(SIN(RADIANS((90-$Q$8)-W21))*AD21)+(COS(RADIANS((90-$Q$8)-W21))*AE21))</f>
        <v>-0.29090270842586941</v>
      </c>
      <c r="AM21" s="634">
        <f>IF(M21="","",AF21)</f>
        <v>-0.168385746043969</v>
      </c>
      <c r="AN21" s="581">
        <f>IF(M21="","",DEGREES(ATAN2(-AM21,AL21)))</f>
        <v>-59.936080550857895</v>
      </c>
      <c r="AO21" s="582">
        <f>IF(ROUND(IF(M21="",0,DEGREES(ACOS(AK21))),4)=90,0,IF(M21="","",DEGREES(ACOS(AK21))))</f>
        <v>19.640793873542631</v>
      </c>
      <c r="AP21" s="585">
        <f>IF(M21="","",DEGREES(ATAN2(AK21,AL21)))</f>
        <v>-17.164530920840818</v>
      </c>
      <c r="AQ21" s="586">
        <f t="shared" si="9"/>
        <v>0.51015450294783415</v>
      </c>
      <c r="AS21" s="52">
        <f t="shared" si="116"/>
        <v>345.08000199102941</v>
      </c>
      <c r="AT21" s="72">
        <f t="shared" si="10"/>
        <v>-0.61497867986794019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1.218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0.11799999999999999</v>
      </c>
      <c r="II21" s="734" cm="1">
        <f t="array" ref="II21">IFERROR(ROUND(VALUE(IF($IH21&lt;1,$IH21+LARGE((IF($M$9:$M$150="",0,$M$9:$M$150)-MOD(IF($M$9:$M$150="",0,$M$9:$M$150),1)),1),$IH21)),4),"")</f>
        <v>6.1180000000000003</v>
      </c>
      <c r="IJ21" s="533">
        <f t="shared" si="112"/>
        <v>1613</v>
      </c>
      <c r="IK21" s="533">
        <f t="shared" si="66"/>
        <v>1313</v>
      </c>
      <c r="IL21" s="727">
        <f t="shared" si="225"/>
        <v>67.689990067954227</v>
      </c>
      <c r="IM21" s="759">
        <v>4.7477294506752199E-2</v>
      </c>
      <c r="IN21" s="5">
        <f t="shared" si="226"/>
        <v>0.26</v>
      </c>
      <c r="IO21" s="771">
        <v>130</v>
      </c>
      <c r="IP21" s="9">
        <f t="shared" si="227"/>
        <v>-4.4691134788462534</v>
      </c>
      <c r="IQ21" s="5">
        <f t="shared" si="228"/>
        <v>-0.62370188108487434</v>
      </c>
      <c r="IR21" s="5">
        <f t="shared" si="71"/>
        <v>0.314</v>
      </c>
      <c r="IS21" s="5">
        <f t="shared" si="229"/>
        <v>0.29951672824849335</v>
      </c>
      <c r="IT21" s="727">
        <f t="shared" si="230"/>
        <v>63.63716526656146</v>
      </c>
      <c r="IU21" s="9">
        <f t="shared" si="231"/>
        <v>-4.4685803489782643</v>
      </c>
      <c r="IV21" s="5">
        <f t="shared" si="232"/>
        <v>-0.62455506737416977</v>
      </c>
      <c r="IW21" s="5">
        <f t="shared" si="76"/>
        <v>0.26600000000000001</v>
      </c>
      <c r="IX21" s="5">
        <f t="shared" si="233"/>
        <v>0.25052368821206916</v>
      </c>
      <c r="IY21" s="762">
        <f t="shared" si="234"/>
        <v>59.936080550857895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1.170557885218974</v>
      </c>
      <c r="C22" s="708">
        <v>4.7442063715278779</v>
      </c>
      <c r="D22" s="709">
        <v>-1.256375702226016</v>
      </c>
      <c r="E22" s="710">
        <v>-0.78127261314608809</v>
      </c>
      <c r="F22" s="708">
        <v>0.61577024407615144</v>
      </c>
      <c r="G22" s="711">
        <v>0.1021768587219242</v>
      </c>
      <c r="H22" s="710">
        <v>0.26600000000000001</v>
      </c>
      <c r="I22" s="708">
        <v>0.52</v>
      </c>
      <c r="J22" s="570">
        <v>1.2210000000000001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1.2210000000000001</v>
      </c>
      <c r="N22" s="632">
        <f t="shared" si="2"/>
        <v>1.170557885218974</v>
      </c>
      <c r="O22" s="629">
        <f t="shared" si="3"/>
        <v>4.7442063715278779</v>
      </c>
      <c r="P22" s="633">
        <f t="shared" si="4"/>
        <v>-1.256375702226016</v>
      </c>
      <c r="Q22" s="585">
        <f t="shared" si="113"/>
        <v>76.140002001136111</v>
      </c>
      <c r="R22" s="629">
        <f t="shared" si="79"/>
        <v>4.8864813371478286</v>
      </c>
      <c r="S22" s="634">
        <f t="shared" si="80"/>
        <v>-1.256375702226016</v>
      </c>
      <c r="T22" s="635">
        <f t="shared" si="81"/>
        <v>4.7201992297929243</v>
      </c>
      <c r="U22" s="629">
        <f t="shared" si="82"/>
        <v>-1.263890457815201</v>
      </c>
      <c r="V22" s="636">
        <f t="shared" si="114"/>
        <v>-1.256375702226016</v>
      </c>
      <c r="W22" s="585">
        <f t="shared" si="224"/>
        <v>345.01000200113612</v>
      </c>
      <c r="X22" s="629">
        <f t="shared" si="83"/>
        <v>4.8864813371478286</v>
      </c>
      <c r="Y22" s="630">
        <f t="shared" si="223"/>
        <v>-1.256375702226016</v>
      </c>
      <c r="Z22" s="632">
        <f t="shared" si="6"/>
        <v>0.78127261314608809</v>
      </c>
      <c r="AA22" s="629">
        <f t="shared" si="7"/>
        <v>-0.61577024407615144</v>
      </c>
      <c r="AB22" s="629">
        <f t="shared" si="8"/>
        <v>-0.1021768587219242</v>
      </c>
      <c r="AC22" s="636">
        <f t="shared" si="84"/>
        <v>1</v>
      </c>
      <c r="AD22" s="637">
        <f t="shared" si="115"/>
        <v>0.78127261314608809</v>
      </c>
      <c r="AE22" s="629">
        <f t="shared" si="85"/>
        <v>-0.61577024407615144</v>
      </c>
      <c r="AF22" s="633">
        <f t="shared" si="86"/>
        <v>-0.1021768587219242</v>
      </c>
      <c r="AG22" s="602">
        <f t="shared" si="87"/>
        <v>-80.57855947272914</v>
      </c>
      <c r="AH22" s="603">
        <f t="shared" si="88"/>
        <v>38.622757209320284</v>
      </c>
      <c r="AI22" s="585">
        <f t="shared" si="89"/>
        <v>-84.135462480077564</v>
      </c>
      <c r="AJ22" s="586">
        <f t="shared" si="90"/>
        <v>51.756125428154903</v>
      </c>
      <c r="AK22" s="635">
        <f t="shared" si="211"/>
        <v>0.90603297514252235</v>
      </c>
      <c r="AL22" s="629">
        <f t="shared" si="91"/>
        <v>-0.41068739632001072</v>
      </c>
      <c r="AM22" s="634">
        <f t="shared" si="92"/>
        <v>-0.1021768587219242</v>
      </c>
      <c r="AN22" s="581">
        <f t="shared" si="93"/>
        <v>-76.028769808348159</v>
      </c>
      <c r="AO22" s="582">
        <f t="shared" si="94"/>
        <v>25.037231234449717</v>
      </c>
      <c r="AP22" s="585">
        <f t="shared" si="95"/>
        <v>-24.383876572981187</v>
      </c>
      <c r="AQ22" s="586">
        <f t="shared" si="9"/>
        <v>0.46652715789848387</v>
      </c>
      <c r="AS22" s="52">
        <f t="shared" si="116"/>
        <v>345.01000200113612</v>
      </c>
      <c r="AT22" s="72">
        <f t="shared" si="10"/>
        <v>-1.246750703615694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1.2210000000000001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0.121</v>
      </c>
      <c r="II22" s="734" cm="1">
        <f t="array" ref="II22">IFERROR(ROUND(VALUE(IF($IH22&lt;1,$IH22+LARGE((IF($M$9:$M$150="",0,$M$9:$M$150)-MOD(IF($M$9:$M$150="",0,$M$9:$M$150),1)),1),$IH22)),4),"")</f>
        <v>6.1210000000000004</v>
      </c>
      <c r="IJ22" s="533">
        <f t="shared" si="112"/>
        <v>1613</v>
      </c>
      <c r="IK22" s="533">
        <f t="shared" si="66"/>
        <v>1313</v>
      </c>
      <c r="IL22" s="727">
        <f t="shared" si="225"/>
        <v>66.979990057847488</v>
      </c>
      <c r="IM22" s="759">
        <v>4.7056448776411602E-2</v>
      </c>
      <c r="IN22" s="5">
        <f t="shared" si="226"/>
        <v>0.3</v>
      </c>
      <c r="IO22" s="771">
        <v>150</v>
      </c>
      <c r="IP22" s="9">
        <f t="shared" si="227"/>
        <v>-4.8870147392364531</v>
      </c>
      <c r="IQ22" s="5">
        <f t="shared" si="228"/>
        <v>-1.2559037878058237</v>
      </c>
      <c r="IR22" s="5">
        <f t="shared" si="71"/>
        <v>0.314</v>
      </c>
      <c r="IS22" s="5">
        <f t="shared" si="229"/>
        <v>0.28936374766396178</v>
      </c>
      <c r="IT22" s="727">
        <f t="shared" si="230"/>
        <v>78.749553649641783</v>
      </c>
      <c r="IU22" s="9">
        <f t="shared" si="231"/>
        <v>-4.8864813371478286</v>
      </c>
      <c r="IV22" s="5">
        <f t="shared" si="232"/>
        <v>-1.256375702226016</v>
      </c>
      <c r="IW22" s="5">
        <f t="shared" si="76"/>
        <v>0.26600000000000001</v>
      </c>
      <c r="IX22" s="5">
        <f t="shared" si="233"/>
        <v>0.24100477138791096</v>
      </c>
      <c r="IY22" s="762">
        <f t="shared" si="234"/>
        <v>76.028769808348159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2.5099683989114183</v>
      </c>
      <c r="C23" s="708">
        <v>1.2258183354433525</v>
      </c>
      <c r="D23" s="709">
        <v>-9.1100274758428718E-2</v>
      </c>
      <c r="E23" s="710">
        <v>-0.4238878850972565</v>
      </c>
      <c r="F23" s="708">
        <v>0.86794687721056296</v>
      </c>
      <c r="G23" s="711">
        <v>0.25881900859134604</v>
      </c>
      <c r="H23" s="710">
        <v>0.314</v>
      </c>
      <c r="I23" s="708">
        <v>0.52</v>
      </c>
      <c r="J23" s="570">
        <v>2.1110000000000002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2.1110000000000002</v>
      </c>
      <c r="N23" s="632">
        <f t="shared" si="2"/>
        <v>2.5099683989114183</v>
      </c>
      <c r="O23" s="629">
        <f t="shared" si="3"/>
        <v>1.2258183354433525</v>
      </c>
      <c r="P23" s="633">
        <f t="shared" si="4"/>
        <v>-9.1100274758428718E-2</v>
      </c>
      <c r="Q23" s="585">
        <f t="shared" si="113"/>
        <v>26.029957407275951</v>
      </c>
      <c r="R23" s="629">
        <f t="shared" si="79"/>
        <v>2.7933084246182087</v>
      </c>
      <c r="S23" s="634">
        <f t="shared" si="80"/>
        <v>-9.1100274758428718E-2</v>
      </c>
      <c r="T23" s="635">
        <f t="shared" si="81"/>
        <v>1.1760810010692999</v>
      </c>
      <c r="U23" s="629">
        <f t="shared" si="82"/>
        <v>-2.5336545608995107</v>
      </c>
      <c r="V23" s="636">
        <f t="shared" si="114"/>
        <v>-9.1100274758428718E-2</v>
      </c>
      <c r="W23" s="585">
        <f t="shared" si="224"/>
        <v>294.89995740727596</v>
      </c>
      <c r="X23" s="629">
        <f t="shared" si="83"/>
        <v>2.7933084246182087</v>
      </c>
      <c r="Y23" s="630">
        <f t="shared" si="223"/>
        <v>-9.1100274758428718E-2</v>
      </c>
      <c r="Z23" s="632">
        <f t="shared" si="6"/>
        <v>0.4238878850972565</v>
      </c>
      <c r="AA23" s="629">
        <f t="shared" si="7"/>
        <v>-0.86794687721056296</v>
      </c>
      <c r="AB23" s="629">
        <f t="shared" si="8"/>
        <v>-0.25881900859134604</v>
      </c>
      <c r="AC23" s="636">
        <f t="shared" si="84"/>
        <v>1</v>
      </c>
      <c r="AD23" s="637">
        <f t="shared" si="115"/>
        <v>0.4238878850972565</v>
      </c>
      <c r="AE23" s="629">
        <f t="shared" si="85"/>
        <v>-0.86794687721056296</v>
      </c>
      <c r="AF23" s="633">
        <f t="shared" si="86"/>
        <v>-0.25881900859134604</v>
      </c>
      <c r="AG23" s="602">
        <f t="shared" si="87"/>
        <v>-73.395586184211027</v>
      </c>
      <c r="AH23" s="603">
        <f t="shared" si="88"/>
        <v>64.919709551310916</v>
      </c>
      <c r="AI23" s="585">
        <f t="shared" si="89"/>
        <v>-75.000002165731729</v>
      </c>
      <c r="AJ23" s="586">
        <f t="shared" si="90"/>
        <v>26.029957407275951</v>
      </c>
      <c r="AK23" s="635">
        <f t="shared" si="211"/>
        <v>0.96592583607220739</v>
      </c>
      <c r="AL23" s="629">
        <f t="shared" si="91"/>
        <v>2.7755575615628914E-16</v>
      </c>
      <c r="AM23" s="634">
        <f t="shared" si="92"/>
        <v>-0.25881900859134604</v>
      </c>
      <c r="AN23" s="581">
        <f t="shared" si="93"/>
        <v>6.1443606842752256E-14</v>
      </c>
      <c r="AO23" s="582">
        <f t="shared" si="94"/>
        <v>14.999997834268255</v>
      </c>
      <c r="AP23" s="585">
        <f t="shared" si="95"/>
        <v>1.6463762344305673E-14</v>
      </c>
      <c r="AQ23" s="586">
        <f t="shared" si="9"/>
        <v>0.81608333865267491</v>
      </c>
      <c r="AS23" s="52">
        <f t="shared" si="116"/>
        <v>294.89995740727596</v>
      </c>
      <c r="AT23" s="72">
        <f t="shared" si="10"/>
        <v>-4.6676634069037021E-2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2.1110000000000002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22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8</v>
      </c>
      <c r="JG23" s="801">
        <v>14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120</v>
      </c>
    </row>
    <row r="24" spans="1:269" ht="15" customHeight="1" x14ac:dyDescent="0.25">
      <c r="A24" s="79"/>
      <c r="B24" s="707">
        <v>3.2277663879607359</v>
      </c>
      <c r="C24" s="708">
        <v>1.5257552460828958</v>
      </c>
      <c r="D24" s="709">
        <v>-0.11430034472983977</v>
      </c>
      <c r="E24" s="710">
        <v>-0.30572265343894212</v>
      </c>
      <c r="F24" s="708">
        <v>0.9208685234023708</v>
      </c>
      <c r="G24" s="711">
        <v>0.24193970691267258</v>
      </c>
      <c r="H24" s="710">
        <v>0.314</v>
      </c>
      <c r="I24" s="708">
        <v>0.52</v>
      </c>
      <c r="J24" s="570">
        <v>2.1139999999999999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2.1139999999999999</v>
      </c>
      <c r="N24" s="632">
        <f t="shared" si="2"/>
        <v>3.2277663879607359</v>
      </c>
      <c r="O24" s="629">
        <f t="shared" si="3"/>
        <v>1.5257552460828958</v>
      </c>
      <c r="P24" s="633">
        <f t="shared" si="4"/>
        <v>-0.11430034472983977</v>
      </c>
      <c r="Q24" s="585">
        <f t="shared" si="113"/>
        <v>25.299957407275944</v>
      </c>
      <c r="R24" s="629">
        <f t="shared" si="79"/>
        <v>3.5702107677556763</v>
      </c>
      <c r="S24" s="634">
        <f t="shared" si="80"/>
        <v>-0.11430034472983977</v>
      </c>
      <c r="T24" s="635">
        <f t="shared" si="81"/>
        <v>1.4618039284428328</v>
      </c>
      <c r="U24" s="629">
        <f t="shared" si="82"/>
        <v>-3.2572279933998596</v>
      </c>
      <c r="V24" s="636">
        <f t="shared" si="114"/>
        <v>-0.11430034472983977</v>
      </c>
      <c r="W24" s="585">
        <f t="shared" si="224"/>
        <v>294.16995740727594</v>
      </c>
      <c r="X24" s="629">
        <f t="shared" si="83"/>
        <v>3.5702107677556763</v>
      </c>
      <c r="Y24" s="630">
        <f t="shared" si="223"/>
        <v>-0.11430034472983977</v>
      </c>
      <c r="Z24" s="632">
        <f t="shared" si="6"/>
        <v>0.30572265343894212</v>
      </c>
      <c r="AA24" s="629">
        <f t="shared" si="7"/>
        <v>-0.9208685234023708</v>
      </c>
      <c r="AB24" s="629">
        <f t="shared" si="8"/>
        <v>-0.24193970691267258</v>
      </c>
      <c r="AC24" s="636">
        <f t="shared" si="84"/>
        <v>1</v>
      </c>
      <c r="AD24" s="637">
        <f t="shared" si="115"/>
        <v>0.30572265343894212</v>
      </c>
      <c r="AE24" s="629">
        <f t="shared" si="85"/>
        <v>-0.9208685234023708</v>
      </c>
      <c r="AF24" s="633">
        <f t="shared" si="86"/>
        <v>-0.24193970691267258</v>
      </c>
      <c r="AG24" s="602">
        <f t="shared" si="87"/>
        <v>-75.279372949592428</v>
      </c>
      <c r="AH24" s="603">
        <f t="shared" si="88"/>
        <v>72.198354257857105</v>
      </c>
      <c r="AI24" s="585">
        <f t="shared" si="89"/>
        <v>-75.998948242921671</v>
      </c>
      <c r="AJ24" s="586">
        <f t="shared" si="90"/>
        <v>18.365847172652721</v>
      </c>
      <c r="AK24" s="635">
        <f>IF(M24="","",(COS(RADIANS((90-$Q$8)-W24))*AD24)+(-SIN(RADIANS((90-$Q$8)-W24))*AE24))</f>
        <v>0.96319422958375533</v>
      </c>
      <c r="AL24" s="629">
        <f t="shared" si="91"/>
        <v>-0.11714117258917267</v>
      </c>
      <c r="AM24" s="634">
        <f t="shared" si="92"/>
        <v>-0.24193970691267258</v>
      </c>
      <c r="AN24" s="581">
        <f t="shared" si="93"/>
        <v>-25.835108171907859</v>
      </c>
      <c r="AO24" s="582">
        <f t="shared" si="94"/>
        <v>15.593252536446556</v>
      </c>
      <c r="AP24" s="585">
        <f t="shared" si="95"/>
        <v>-6.9341102346232129</v>
      </c>
      <c r="AQ24" s="586">
        <f t="shared" si="9"/>
        <v>0.63851475562917459</v>
      </c>
      <c r="AS24" s="52">
        <f t="shared" si="116"/>
        <v>294.16995740727594</v>
      </c>
      <c r="AT24" s="72">
        <f t="shared" si="10"/>
        <v>-6.9369759596003611E-2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2.1139999999999999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3.8975550852222876</v>
      </c>
      <c r="C25" s="708">
        <v>1.7548988363391413</v>
      </c>
      <c r="D25" s="709">
        <v>-0.45110136052170308</v>
      </c>
      <c r="E25" s="710">
        <v>-0.17468447714607194</v>
      </c>
      <c r="F25" s="708">
        <v>0.97028262508144991</v>
      </c>
      <c r="G25" s="711">
        <v>0.16744241072456542</v>
      </c>
      <c r="H25" s="710">
        <v>0.314</v>
      </c>
      <c r="I25" s="708">
        <v>0.52</v>
      </c>
      <c r="J25" s="570">
        <v>2.117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2.117</v>
      </c>
      <c r="N25" s="632">
        <f t="shared" si="2"/>
        <v>3.8975550852222876</v>
      </c>
      <c r="O25" s="629">
        <f t="shared" si="3"/>
        <v>1.7548988363391413</v>
      </c>
      <c r="P25" s="633">
        <f t="shared" si="4"/>
        <v>-0.45110136052170308</v>
      </c>
      <c r="Q25" s="585">
        <f t="shared" si="113"/>
        <v>24.239957407275956</v>
      </c>
      <c r="R25" s="629">
        <f>IF(M25="","",SQRT(N25^2+O25^2))</f>
        <v>4.2744128916292805</v>
      </c>
      <c r="S25" s="634">
        <f>IF(M25="","",P25)</f>
        <v>-0.45110136052170308</v>
      </c>
      <c r="T25" s="635">
        <f>IF(M25="","",X25*COS(RADIANS(W25)))</f>
        <v>1.6776940915436316</v>
      </c>
      <c r="U25" s="629">
        <f>IF(M25="","",X25*SIN(RADIANS(W25)))</f>
        <v>-3.9314053598333225</v>
      </c>
      <c r="V25" s="636">
        <f>IF(M25="","",Y25)</f>
        <v>-0.45110136052170308</v>
      </c>
      <c r="W25" s="585">
        <f t="shared" si="224"/>
        <v>293.10995740727594</v>
      </c>
      <c r="X25" s="629">
        <f>IF(M25="","",R25)</f>
        <v>4.2744128916292805</v>
      </c>
      <c r="Y25" s="630">
        <f t="shared" si="223"/>
        <v>-0.45110136052170308</v>
      </c>
      <c r="Z25" s="632">
        <f t="shared" si="6"/>
        <v>0.17468447714607194</v>
      </c>
      <c r="AA25" s="629">
        <f t="shared" si="7"/>
        <v>-0.97028262508144991</v>
      </c>
      <c r="AB25" s="629">
        <f t="shared" si="8"/>
        <v>-0.16744241072456542</v>
      </c>
      <c r="AC25" s="636">
        <f>IF(M25="","",SQRT(Z25^2+AA25^2+AB25^2))</f>
        <v>1</v>
      </c>
      <c r="AD25" s="637">
        <f>IF(M25="","",Z25*(1/SQRT(Z25^2+AA25^2+AB25^2)))</f>
        <v>0.17468447714607194</v>
      </c>
      <c r="AE25" s="629">
        <f>IF(M25="","",AA25*(1/SQRT(Z25^2+AA25^2+AB25^2)))</f>
        <v>-0.97028262508144991</v>
      </c>
      <c r="AF25" s="633">
        <f>IF(M25="","",AB25*(1/SQRT(Z25^2+AA25^2+AB25^2)))</f>
        <v>-0.16744241072456542</v>
      </c>
      <c r="AG25" s="602">
        <f>IF(M25="","",DEGREES(ATAN2(-AF25,AE25)))</f>
        <v>-80.208859245766845</v>
      </c>
      <c r="AH25" s="603">
        <f>IF(M25="","",DEGREES(ACOS(AD25)))</f>
        <v>79.939702843795217</v>
      </c>
      <c r="AI25" s="585">
        <f>IF(M25="","",DEGREES(-ACOS(-AF25)))</f>
        <v>-80.360851426877744</v>
      </c>
      <c r="AJ25" s="586">
        <f>IF(M25="","",DEGREES(ATAN2(-AE25,AD25)))</f>
        <v>10.205895808086748</v>
      </c>
      <c r="AK25" s="635">
        <f>IF(M25="","",(COS(RADIANS((90-$Q$8)-W25))*AD25)+(-SIN(RADIANS((90-$Q$8)-W25))*AE25))</f>
        <v>0.95645499599849271</v>
      </c>
      <c r="AL25" s="629">
        <f>IF(M25="","",(SIN(RADIANS((90-$Q$8)-W25))*AD25)+(COS(RADIANS((90-$Q$8)-W25))*AE25))</f>
        <v>-0.23907505039269469</v>
      </c>
      <c r="AM25" s="634">
        <f>IF(M25="","",AF25)</f>
        <v>-0.16744241072456542</v>
      </c>
      <c r="AN25" s="581">
        <f>IF(M25="","",DEGREES(ATAN2(-AM25,AL25)))</f>
        <v>-54.993526519300822</v>
      </c>
      <c r="AO25" s="582">
        <f>IF(ROUND(IF(M25="",0,DEGREES(ACOS(AK25))),4)=90,0,IF(M25="","",DEGREES(ACOS(AK25))))</f>
        <v>16.970532830104027</v>
      </c>
      <c r="AP25" s="585">
        <f>IF(M25="","",DEGREES(ATAN2(AK25,AL25)))</f>
        <v>-14.034061599189195</v>
      </c>
      <c r="AQ25" s="586">
        <f t="shared" si="9"/>
        <v>0.53332723048867647</v>
      </c>
      <c r="AS25" s="52">
        <f t="shared" si="116"/>
        <v>293.10995740727594</v>
      </c>
      <c r="AT25" s="72">
        <f t="shared" si="10"/>
        <v>-0.40543466427675579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2.117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4.3834128480482812</v>
      </c>
      <c r="C26" s="708">
        <v>1.8905134098122711</v>
      </c>
      <c r="D26" s="709">
        <v>-1.0321031128229883</v>
      </c>
      <c r="E26" s="710">
        <v>-9.2297269609094235E-2</v>
      </c>
      <c r="F26" s="708">
        <v>0.99393767483852835</v>
      </c>
      <c r="G26" s="711">
        <v>5.9742050176457492E-2</v>
      </c>
      <c r="H26" s="710">
        <v>0.314</v>
      </c>
      <c r="I26" s="708">
        <v>0.52</v>
      </c>
      <c r="J26" s="570">
        <v>2.12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2.12</v>
      </c>
      <c r="N26" s="632">
        <f t="shared" si="2"/>
        <v>4.3834128480482812</v>
      </c>
      <c r="O26" s="629">
        <f t="shared" si="3"/>
        <v>1.8905134098122711</v>
      </c>
      <c r="P26" s="633">
        <f t="shared" si="4"/>
        <v>-1.0321031128229883</v>
      </c>
      <c r="Q26" s="585">
        <f t="shared" si="113"/>
        <v>23.329957407275948</v>
      </c>
      <c r="R26" s="629">
        <f>IF(M26="","",SQRT(N26^2+O26^2))</f>
        <v>4.7737143975226219</v>
      </c>
      <c r="S26" s="634">
        <f>IF(M26="","",P26)</f>
        <v>-1.0321031128229883</v>
      </c>
      <c r="T26" s="635">
        <f>IF(M26="","",X26*COS(RADIANS(W26)))</f>
        <v>1.80370071836968</v>
      </c>
      <c r="U26" s="629">
        <f>IF(M26="","",X26*SIN(RADIANS(W26)))</f>
        <v>-4.4198430817923242</v>
      </c>
      <c r="V26" s="636">
        <f>IF(M26="","",Y26)</f>
        <v>-1.0321031128229883</v>
      </c>
      <c r="W26" s="585">
        <f t="shared" si="224"/>
        <v>292.19995740727597</v>
      </c>
      <c r="X26" s="629">
        <f>IF(M26="","",R26)</f>
        <v>4.7737143975226219</v>
      </c>
      <c r="Y26" s="630">
        <f t="shared" si="223"/>
        <v>-1.0321031128229883</v>
      </c>
      <c r="Z26" s="632">
        <f t="shared" si="6"/>
        <v>9.2297269609094235E-2</v>
      </c>
      <c r="AA26" s="629">
        <f t="shared" si="7"/>
        <v>-0.99393767483852835</v>
      </c>
      <c r="AB26" s="629">
        <f t="shared" si="8"/>
        <v>-5.9742050176457492E-2</v>
      </c>
      <c r="AC26" s="636">
        <f>IF(M26="","",SQRT(Z26^2+AA26^2+AB26^2))</f>
        <v>1</v>
      </c>
      <c r="AD26" s="637">
        <f>IF(M26="","",Z26*(1/SQRT(Z26^2+AA26^2+AB26^2)))</f>
        <v>9.2297269609094235E-2</v>
      </c>
      <c r="AE26" s="629">
        <f>IF(M26="","",AA26*(1/SQRT(Z26^2+AA26^2+AB26^2)))</f>
        <v>-0.99393767483852835</v>
      </c>
      <c r="AF26" s="633">
        <f>IF(M26="","",AB26*(1/SQRT(Z26^2+AA26^2+AB26^2)))</f>
        <v>-5.9742050176457492E-2</v>
      </c>
      <c r="AG26" s="602">
        <f>IF(M26="","",DEGREES(ATAN2(-AF26,AE26)))</f>
        <v>-86.560293279025828</v>
      </c>
      <c r="AH26" s="603">
        <f>IF(M26="","",DEGREES(ACOS(AD26)))</f>
        <v>84.704218825057026</v>
      </c>
      <c r="AI26" s="585">
        <f>IF(M26="","",DEGREES(-ACOS(-AF26)))</f>
        <v>-86.57499322890493</v>
      </c>
      <c r="AJ26" s="586">
        <f>IF(M26="","",DEGREES(ATAN2(-AE26,AD26)))</f>
        <v>5.3052843180856142</v>
      </c>
      <c r="AK26" s="635">
        <f>IF(M26="","",(COS(RADIANS((90-$Q$8)-W26))*AD26)+(-SIN(RADIANS((90-$Q$8)-W26))*AE26))</f>
        <v>0.94922486403524275</v>
      </c>
      <c r="AL26" s="629">
        <f>IF(M26="","",(SIN(RADIANS((90-$Q$8)-W26))*AD26)+(COS(RADIANS((90-$Q$8)-W26))*AE26))</f>
        <v>-0.308873833365646</v>
      </c>
      <c r="AM26" s="634">
        <f>IF(M26="","",AF26)</f>
        <v>-5.9742050176457492E-2</v>
      </c>
      <c r="AN26" s="581">
        <f>IF(M26="","",DEGREES(ATAN2(-AM26,AL26)))</f>
        <v>-79.05308636321179</v>
      </c>
      <c r="AO26" s="582">
        <f t="shared" si="94"/>
        <v>18.336571682049513</v>
      </c>
      <c r="AP26" s="585">
        <f>IF(M26="","",DEGREES(ATAN2(AK26,AL26)))</f>
        <v>-18.02467308919034</v>
      </c>
      <c r="AQ26" s="586">
        <f t="shared" si="9"/>
        <v>0.47754717861558671</v>
      </c>
      <c r="AS26" s="52">
        <f t="shared" si="116"/>
        <v>292.19995740727597</v>
      </c>
      <c r="AT26" s="72">
        <f t="shared" si="10"/>
        <v>-0.98580447213359657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4.6277093304028414</v>
      </c>
      <c r="C27" s="708">
        <v>1.9320137390934893</v>
      </c>
      <c r="D27" s="709">
        <v>-1.7450052629358734</v>
      </c>
      <c r="E27" s="710">
        <v>8.4157823116471159E-2</v>
      </c>
      <c r="F27" s="708">
        <v>0.99593559233691165</v>
      </c>
      <c r="G27" s="711">
        <v>3.2089822760834143E-2</v>
      </c>
      <c r="H27" s="710">
        <v>0.314</v>
      </c>
      <c r="I27" s="708">
        <v>0.52</v>
      </c>
      <c r="J27" s="570">
        <v>2.1230000000000002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2.1230000000000002</v>
      </c>
      <c r="N27" s="632">
        <f t="shared" si="2"/>
        <v>4.6277093304028414</v>
      </c>
      <c r="O27" s="629">
        <f t="shared" si="3"/>
        <v>1.9320137390934893</v>
      </c>
      <c r="P27" s="633">
        <f t="shared" si="4"/>
        <v>-1.7450052629358734</v>
      </c>
      <c r="Q27" s="585">
        <f t="shared" si="113"/>
        <v>22.65995740727595</v>
      </c>
      <c r="R27" s="629">
        <f t="shared" si="79"/>
        <v>5.0148151246824169</v>
      </c>
      <c r="S27" s="634">
        <f t="shared" si="80"/>
        <v>-1.7450052629358734</v>
      </c>
      <c r="T27" s="635">
        <f t="shared" si="81"/>
        <v>1.840375220038422</v>
      </c>
      <c r="U27" s="629">
        <f t="shared" si="82"/>
        <v>-4.6649104797640071</v>
      </c>
      <c r="V27" s="636">
        <f t="shared" si="114"/>
        <v>-1.7450052629358734</v>
      </c>
      <c r="W27" s="585">
        <f t="shared" si="224"/>
        <v>291.52995740727596</v>
      </c>
      <c r="X27" s="629">
        <f t="shared" si="83"/>
        <v>5.0148151246824169</v>
      </c>
      <c r="Y27" s="630">
        <f t="shared" si="223"/>
        <v>-1.7450052629358734</v>
      </c>
      <c r="Z27" s="632">
        <f t="shared" si="6"/>
        <v>-8.4157823116471159E-2</v>
      </c>
      <c r="AA27" s="629">
        <f t="shared" si="7"/>
        <v>-0.99593559233691165</v>
      </c>
      <c r="AB27" s="629">
        <f t="shared" si="8"/>
        <v>-3.2089822760834143E-2</v>
      </c>
      <c r="AC27" s="636">
        <f t="shared" si="84"/>
        <v>1</v>
      </c>
      <c r="AD27" s="637">
        <f t="shared" si="115"/>
        <v>-8.4157823116471159E-2</v>
      </c>
      <c r="AE27" s="629">
        <f t="shared" si="85"/>
        <v>-0.99593559233691165</v>
      </c>
      <c r="AF27" s="633">
        <f t="shared" si="86"/>
        <v>-3.2089822760834143E-2</v>
      </c>
      <c r="AG27" s="602">
        <f t="shared" si="87"/>
        <v>-88.154523695495229</v>
      </c>
      <c r="AH27" s="603">
        <f t="shared" si="88"/>
        <v>94.827598163775633</v>
      </c>
      <c r="AI27" s="585">
        <f t="shared" si="89"/>
        <v>-88.161072890423171</v>
      </c>
      <c r="AJ27" s="586">
        <f t="shared" si="90"/>
        <v>-4.8300916189356009</v>
      </c>
      <c r="AK27" s="635">
        <f t="shared" si="211"/>
        <v>0.88663415341879936</v>
      </c>
      <c r="AL27" s="629">
        <f t="shared" si="91"/>
        <v>-0.46135682640068015</v>
      </c>
      <c r="AM27" s="634">
        <f t="shared" si="92"/>
        <v>-3.2089822760834143E-2</v>
      </c>
      <c r="AN27" s="581">
        <f t="shared" si="93"/>
        <v>-86.021181763607473</v>
      </c>
      <c r="AO27" s="582">
        <f t="shared" si="94"/>
        <v>27.546703505365034</v>
      </c>
      <c r="AP27" s="585">
        <f t="shared" si="95"/>
        <v>-27.490049026211544</v>
      </c>
      <c r="AQ27" s="586">
        <f t="shared" si="9"/>
        <v>0.45458880122158768</v>
      </c>
      <c r="AS27" s="52">
        <f t="shared" si="116"/>
        <v>291.52995740727596</v>
      </c>
      <c r="AT27" s="72">
        <f t="shared" si="10"/>
        <v>-1.6982413444687039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2.1230000000000002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4.7247926245866267</v>
      </c>
      <c r="C28" s="708">
        <v>1.9532057644373439</v>
      </c>
      <c r="D28" s="709">
        <v>-2.4583072244328013</v>
      </c>
      <c r="E28" s="710">
        <v>0.1702485721630374</v>
      </c>
      <c r="F28" s="708">
        <v>0.98534558575215281</v>
      </c>
      <c r="G28" s="711">
        <v>1.0464239828763752E-2</v>
      </c>
      <c r="H28" s="710">
        <v>0.26600000000000001</v>
      </c>
      <c r="I28" s="708">
        <v>0.52</v>
      </c>
      <c r="J28" s="570">
        <v>2.1259999999999999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2.1259999999999999</v>
      </c>
      <c r="N28" s="632">
        <f t="shared" si="2"/>
        <v>4.7247926245866267</v>
      </c>
      <c r="O28" s="629">
        <f t="shared" si="3"/>
        <v>1.9532057644373439</v>
      </c>
      <c r="P28" s="633">
        <f t="shared" si="4"/>
        <v>-2.4583072244328013</v>
      </c>
      <c r="Q28" s="585">
        <f t="shared" si="113"/>
        <v>22.45995783510314</v>
      </c>
      <c r="R28" s="629">
        <f t="shared" si="79"/>
        <v>5.1125999358036474</v>
      </c>
      <c r="S28" s="634">
        <f t="shared" si="80"/>
        <v>-2.4583072244328013</v>
      </c>
      <c r="T28" s="635">
        <f t="shared" si="81"/>
        <v>1.8596485500109969</v>
      </c>
      <c r="U28" s="629">
        <f t="shared" si="82"/>
        <v>-4.7623928202135382</v>
      </c>
      <c r="V28" s="636">
        <f t="shared" si="114"/>
        <v>-2.4583072244328013</v>
      </c>
      <c r="W28" s="585">
        <f t="shared" si="224"/>
        <v>291.32995783510313</v>
      </c>
      <c r="X28" s="629">
        <f t="shared" si="83"/>
        <v>5.1125999358036474</v>
      </c>
      <c r="Y28" s="630">
        <f t="shared" si="223"/>
        <v>-2.4583072244328013</v>
      </c>
      <c r="Z28" s="632">
        <f t="shared" si="6"/>
        <v>-0.1702485721630374</v>
      </c>
      <c r="AA28" s="629">
        <f t="shared" si="7"/>
        <v>-0.98534558575215281</v>
      </c>
      <c r="AB28" s="629">
        <f t="shared" si="8"/>
        <v>-1.0464239828763752E-2</v>
      </c>
      <c r="AC28" s="636">
        <f t="shared" si="84"/>
        <v>1</v>
      </c>
      <c r="AD28" s="637">
        <f t="shared" si="115"/>
        <v>-0.1702485721630374</v>
      </c>
      <c r="AE28" s="629">
        <f t="shared" si="85"/>
        <v>-0.98534558575215281</v>
      </c>
      <c r="AF28" s="633">
        <f t="shared" si="86"/>
        <v>-1.0464239828763752E-2</v>
      </c>
      <c r="AG28" s="602">
        <f t="shared" si="87"/>
        <v>-89.39154927109918</v>
      </c>
      <c r="AH28" s="603">
        <f t="shared" si="88"/>
        <v>99.802271876947515</v>
      </c>
      <c r="AI28" s="585">
        <f t="shared" si="89"/>
        <v>-89.400432279517233</v>
      </c>
      <c r="AJ28" s="586">
        <f t="shared" si="90"/>
        <v>-9.8028138958635882</v>
      </c>
      <c r="AK28" s="635">
        <f t="shared" si="211"/>
        <v>0.84556255485989973</v>
      </c>
      <c r="AL28" s="629">
        <f t="shared" si="91"/>
        <v>-0.53377379619423537</v>
      </c>
      <c r="AM28" s="634">
        <f t="shared" si="92"/>
        <v>-1.0464239828763752E-2</v>
      </c>
      <c r="AN28" s="581">
        <f t="shared" si="93"/>
        <v>-88.87690255428916</v>
      </c>
      <c r="AO28" s="582">
        <f t="shared" si="94"/>
        <v>32.267740840344452</v>
      </c>
      <c r="AP28" s="585">
        <f t="shared" si="95"/>
        <v>-32.262771730966691</v>
      </c>
      <c r="AQ28" s="586">
        <f t="shared" si="9"/>
        <v>0.44589458138434984</v>
      </c>
      <c r="AS28" s="52">
        <f t="shared" si="116"/>
        <v>291.32995783510313</v>
      </c>
      <c r="AT28" s="72">
        <f t="shared" si="10"/>
        <v>-2.4114044173738449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2.1259999999999999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3.2657711640541915</v>
      </c>
      <c r="C29" s="708">
        <v>0.54650030268178429</v>
      </c>
      <c r="D29" s="709">
        <v>-6.9605532930689051E-2</v>
      </c>
      <c r="E29" s="710">
        <v>-8.5903348150786069E-2</v>
      </c>
      <c r="F29" s="708">
        <v>0.95132173616983107</v>
      </c>
      <c r="G29" s="711">
        <v>0.29598575821701834</v>
      </c>
      <c r="H29" s="710">
        <v>0.26600000000000001</v>
      </c>
      <c r="I29" s="708">
        <v>0.52</v>
      </c>
      <c r="J29" s="570">
        <v>2.2130000000000001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2.2130000000000001</v>
      </c>
      <c r="N29" s="632">
        <f t="shared" si="2"/>
        <v>3.2657711640541915</v>
      </c>
      <c r="O29" s="629">
        <f t="shared" si="3"/>
        <v>0.54650030268178429</v>
      </c>
      <c r="P29" s="633">
        <f t="shared" si="4"/>
        <v>-6.9605532930689051E-2</v>
      </c>
      <c r="Q29" s="585">
        <f t="shared" si="113"/>
        <v>9.4999596451987376</v>
      </c>
      <c r="R29" s="629">
        <f>IF(M29="","",SQRT(N29^2+O29^2))</f>
        <v>3.3111816435827182</v>
      </c>
      <c r="S29" s="634">
        <f>IF(M29="","",P29)</f>
        <v>-6.9605532930689051E-2</v>
      </c>
      <c r="T29" s="635">
        <f>IF(M29="","",X29*COS(RADIANS(W29)))</f>
        <v>0.48198993731354456</v>
      </c>
      <c r="U29" s="629">
        <f>IF(M29="","",X29*SIN(RADIANS(W29)))</f>
        <v>-3.275913548481955</v>
      </c>
      <c r="V29" s="636">
        <f>IF(M29="","",Y29)</f>
        <v>-6.9605532930689051E-2</v>
      </c>
      <c r="W29" s="585">
        <f t="shared" si="224"/>
        <v>278.36995964519872</v>
      </c>
      <c r="X29" s="629">
        <f>IF(M29="","",R29)</f>
        <v>3.3111816435827182</v>
      </c>
      <c r="Y29" s="630">
        <f t="shared" si="223"/>
        <v>-6.9605532930689051E-2</v>
      </c>
      <c r="Z29" s="632">
        <f t="shared" si="6"/>
        <v>8.5903348150786069E-2</v>
      </c>
      <c r="AA29" s="629">
        <f t="shared" si="7"/>
        <v>-0.95132173616983107</v>
      </c>
      <c r="AB29" s="629">
        <f t="shared" si="8"/>
        <v>-0.29598575821701834</v>
      </c>
      <c r="AC29" s="636">
        <f>IF(M29="","",SQRT(Z29^2+AA29^2+AB29^2))</f>
        <v>1</v>
      </c>
      <c r="AD29" s="637">
        <f>IF(M29="","",Z29*(1/SQRT(Z29^2+AA29^2+AB29^2)))</f>
        <v>8.5903348150786069E-2</v>
      </c>
      <c r="AE29" s="629">
        <f>IF(M29="","",AA29*(1/SQRT(Z29^2+AA29^2+AB29^2)))</f>
        <v>-0.95132173616983107</v>
      </c>
      <c r="AF29" s="633">
        <f>IF(M29="","",AB29*(1/SQRT(Z29^2+AA29^2+AB29^2)))</f>
        <v>-0.29598575821701834</v>
      </c>
      <c r="AG29" s="602">
        <f>IF(M29="","",DEGREES(ATAN2(-AF29,AE29)))</f>
        <v>-72.717458523192164</v>
      </c>
      <c r="AH29" s="603">
        <f>IF(M29="","",DEGREES(ACOS(AD29)))</f>
        <v>85.072027082580263</v>
      </c>
      <c r="AI29" s="585">
        <f>IF(M29="","",DEGREES(-ACOS(-AF29)))</f>
        <v>-72.783342842147917</v>
      </c>
      <c r="AJ29" s="586">
        <f>IF(M29="","",DEGREES(ATAN2(-AE29,AD29)))</f>
        <v>5.1597547077770596</v>
      </c>
      <c r="AK29" s="635">
        <f>IF(M29="","",(COS(RADIANS((90-$Q$8)-W29))*AD29)+(-SIN(RADIANS((90-$Q$8)-W29))*AE29))</f>
        <v>0.95245312367545498</v>
      </c>
      <c r="AL29" s="629">
        <f>IF(M29="","",(SIN(RADIANS((90-$Q$8)-W29))*AD29)+(COS(RADIANS((90-$Q$8)-W29))*AE29))</f>
        <v>-7.2287468717373113E-2</v>
      </c>
      <c r="AM29" s="634">
        <f>IF(M29="","",AF29)</f>
        <v>-0.29598575821701834</v>
      </c>
      <c r="AN29" s="581">
        <f>IF(M29="","",DEGREES(ATAN2(-AM29,AL29)))</f>
        <v>-13.724466768692722</v>
      </c>
      <c r="AO29" s="582">
        <f t="shared" si="94"/>
        <v>17.739223433649723</v>
      </c>
      <c r="AP29" s="585">
        <f>IF(M29="","",DEGREES(ATAN2(AK29,AL29)))</f>
        <v>-4.3402049374216372</v>
      </c>
      <c r="AQ29" s="586">
        <f t="shared" si="9"/>
        <v>0.68846024146688523</v>
      </c>
      <c r="AS29" s="52">
        <f t="shared" si="116"/>
        <v>278.36995964519872</v>
      </c>
      <c r="AT29" s="72">
        <f t="shared" si="10"/>
        <v>-1.3702727128743715E-2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Nose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2.2130000000000001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1.113</v>
      </c>
      <c r="II29" s="734" cm="1">
        <f t="array" ref="II29">IFERROR(ROUND(VALUE(IF($IH29&lt;1,$IH29+LARGE((IF($M$9:$M$150="",0,$M$9:$M$150)-MOD(IF($M$9:$M$150="",0,$M$9:$M$150),1)),1),$IH29)),4),"")</f>
        <v>1.113</v>
      </c>
      <c r="IJ29" s="533">
        <f t="shared" si="112"/>
        <v>1613</v>
      </c>
      <c r="IK29" s="533">
        <f t="shared" si="66"/>
        <v>1313</v>
      </c>
      <c r="IL29" s="727">
        <f t="shared" si="225"/>
        <v>81.12004035480129</v>
      </c>
      <c r="IM29" s="759">
        <v>4.8286892385321203E-2</v>
      </c>
      <c r="IN29" s="5">
        <f t="shared" si="226"/>
        <v>0.22</v>
      </c>
      <c r="IO29" s="771">
        <v>110</v>
      </c>
      <c r="IP29" s="9">
        <f t="shared" si="227"/>
        <v>-3.3112099866093194</v>
      </c>
      <c r="IQ29" s="5">
        <f t="shared" si="228"/>
        <v>-6.9200208707829503E-2</v>
      </c>
      <c r="IR29" s="5">
        <f t="shared" si="71"/>
        <v>0.314</v>
      </c>
      <c r="IS29" s="5">
        <f t="shared" si="229"/>
        <v>0.30289878649603091</v>
      </c>
      <c r="IT29" s="727">
        <f t="shared" si="230"/>
        <v>15.260741935095954</v>
      </c>
      <c r="IU29" s="9">
        <f t="shared" si="231"/>
        <v>-3.3111816435827182</v>
      </c>
      <c r="IV29" s="5">
        <f t="shared" si="232"/>
        <v>-6.9605532930689051E-2</v>
      </c>
      <c r="IW29" s="5">
        <f t="shared" si="76"/>
        <v>0.26600000000000001</v>
      </c>
      <c r="IX29" s="5">
        <f t="shared" si="233"/>
        <v>0.25335253089767101</v>
      </c>
      <c r="IY29" s="762">
        <f t="shared" si="234"/>
        <v>13.724466768692722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22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120</v>
      </c>
    </row>
    <row r="30" spans="1:269" ht="15" customHeight="1" x14ac:dyDescent="0.25">
      <c r="A30" s="79"/>
      <c r="B30" s="707">
        <v>3.9820706922349833</v>
      </c>
      <c r="C30" s="708">
        <v>0.77908324107219673</v>
      </c>
      <c r="D30" s="709">
        <v>-0.30748075896795735</v>
      </c>
      <c r="E30" s="710">
        <v>3.2138497400200618E-2</v>
      </c>
      <c r="F30" s="708">
        <v>0.97108888253674708</v>
      </c>
      <c r="G30" s="711">
        <v>0.23654492004350736</v>
      </c>
      <c r="H30" s="710">
        <v>0.26600000000000001</v>
      </c>
      <c r="I30" s="708">
        <v>0.52</v>
      </c>
      <c r="J30" s="570">
        <v>2.2160000000000002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2.2160000000000002</v>
      </c>
      <c r="N30" s="632">
        <f t="shared" si="2"/>
        <v>3.9820706922349833</v>
      </c>
      <c r="O30" s="629">
        <f t="shared" si="3"/>
        <v>0.77908324107219673</v>
      </c>
      <c r="P30" s="633">
        <f t="shared" si="4"/>
        <v>-0.30748075896795735</v>
      </c>
      <c r="Q30" s="585">
        <f t="shared" si="113"/>
        <v>11.069959418518836</v>
      </c>
      <c r="R30" s="629">
        <f>IF(M30="","",SQRT(N30^2+O30^2))</f>
        <v>4.0575679531557274</v>
      </c>
      <c r="S30" s="634">
        <f>IF(M30="","",P30)</f>
        <v>-0.30748075896795735</v>
      </c>
      <c r="T30" s="635">
        <f>IF(M30="","",X30*COS(RADIANS(W30)))</f>
        <v>0.70040154227530049</v>
      </c>
      <c r="U30" s="629">
        <f>IF(M30="","",X30*SIN(RADIANS(W30)))</f>
        <v>-3.9966605277474767</v>
      </c>
      <c r="V30" s="636">
        <f>IF(M30="","",Y30)</f>
        <v>-0.30748075896795735</v>
      </c>
      <c r="W30" s="585">
        <f t="shared" si="224"/>
        <v>279.93995941851887</v>
      </c>
      <c r="X30" s="629">
        <f>IF(M30="","",R30)</f>
        <v>4.0575679531557274</v>
      </c>
      <c r="Y30" s="630">
        <f t="shared" si="223"/>
        <v>-0.30748075896795735</v>
      </c>
      <c r="Z30" s="632">
        <f t="shared" si="6"/>
        <v>-3.2138497400200618E-2</v>
      </c>
      <c r="AA30" s="629">
        <f t="shared" si="7"/>
        <v>-0.97108888253674708</v>
      </c>
      <c r="AB30" s="629">
        <f t="shared" si="8"/>
        <v>-0.23654492004350736</v>
      </c>
      <c r="AC30" s="636">
        <f>IF(M30="","",SQRT(Z30^2+AA30^2+AB30^2))</f>
        <v>1</v>
      </c>
      <c r="AD30" s="637">
        <f>IF(M30="","",Z30*(1/SQRT(Z30^2+AA30^2+AB30^2)))</f>
        <v>-3.2138497400200618E-2</v>
      </c>
      <c r="AE30" s="629">
        <f>IF(M30="","",AA30*(1/SQRT(Z30^2+AA30^2+AB30^2)))</f>
        <v>-0.97108888253674708</v>
      </c>
      <c r="AF30" s="633">
        <f>IF(M30="","",AB30*(1/SQRT(Z30^2+AA30^2+AB30^2)))</f>
        <v>-0.23654492004350736</v>
      </c>
      <c r="AG30" s="602">
        <f>IF(M30="","",DEGREES(ATAN2(-AF30,AE30)))</f>
        <v>-76.310082487329794</v>
      </c>
      <c r="AH30" s="603">
        <f>IF(M30="","",DEGREES(ACOS(AD30)))</f>
        <v>91.841717400193545</v>
      </c>
      <c r="AI30" s="585">
        <f>IF(M30="","",DEGREES(-ACOS(-AF30)))</f>
        <v>-76.317291967457464</v>
      </c>
      <c r="AJ30" s="586">
        <f>IF(M30="","",DEGREES(ATAN2(-AE30,AD30)))</f>
        <v>-1.895530306375047</v>
      </c>
      <c r="AK30" s="635">
        <f>IF(M30="","",(COS(RADIANS((90-$Q$8)-W30))*AD30)+(-SIN(RADIANS((90-$Q$8)-W30))*AE30))</f>
        <v>0.94684945719739921</v>
      </c>
      <c r="AL30" s="629">
        <f>IF(M30="","",(SIN(RADIANS((90-$Q$8)-W30))*AD30)+(COS(RADIANS((90-$Q$8)-W30))*AE30))</f>
        <v>-0.21799680320271098</v>
      </c>
      <c r="AM30" s="634">
        <f>IF(M30="","",AF30)</f>
        <v>-0.23654492004350736</v>
      </c>
      <c r="AN30" s="581">
        <f>IF(M30="","",DEGREES(ATAN2(-AM30,AL30)))</f>
        <v>-42.663273839924145</v>
      </c>
      <c r="AO30" s="582">
        <f>IF(ROUND(IF(M30="",0,DEGREES(ACOS(AK30))),4)=90,0,IF(M30="","",DEGREES(ACOS(AK30))))</f>
        <v>18.764374323349664</v>
      </c>
      <c r="AP30" s="585">
        <f>IF(M30="","",DEGREES(ATAN2(AK30,AL30)))</f>
        <v>-12.965489724893885</v>
      </c>
      <c r="AQ30" s="586">
        <f t="shared" si="9"/>
        <v>0.56182757519309301</v>
      </c>
      <c r="AS30" s="52">
        <f t="shared" si="116"/>
        <v>279.93995941851887</v>
      </c>
      <c r="AT30" s="72">
        <f t="shared" si="10"/>
        <v>-0.25266823078637324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2.2160000000000002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1.1160000000000001</v>
      </c>
      <c r="II30" s="734" cm="1">
        <f t="array" ref="II30">IFERROR(ROUND(VALUE(IF($IH30&lt;1,$IH30+LARGE((IF($M$9:$M$150="",0,$M$9:$M$150)-MOD(IF($M$9:$M$150="",0,$M$9:$M$150),1)),1),$IH30)),4),"")</f>
        <v>1.1160000000000001</v>
      </c>
      <c r="IJ30" s="533">
        <f t="shared" si="112"/>
        <v>1613</v>
      </c>
      <c r="IK30" s="533">
        <f t="shared" si="66"/>
        <v>1313</v>
      </c>
      <c r="IL30" s="727">
        <f t="shared" si="225"/>
        <v>78.53004058148116</v>
      </c>
      <c r="IM30" s="759">
        <v>4.77638513295119E-2</v>
      </c>
      <c r="IN30" s="5">
        <f t="shared" si="226"/>
        <v>0.24</v>
      </c>
      <c r="IO30" s="771">
        <v>120</v>
      </c>
      <c r="IP30" s="9">
        <f t="shared" si="227"/>
        <v>-4.0577122380601089</v>
      </c>
      <c r="IQ30" s="5">
        <f t="shared" si="228"/>
        <v>-0.30710092621639346</v>
      </c>
      <c r="IR30" s="5">
        <f t="shared" si="71"/>
        <v>0.314</v>
      </c>
      <c r="IS30" s="5">
        <f t="shared" si="229"/>
        <v>0.30111671057655498</v>
      </c>
      <c r="IT30" s="727">
        <f t="shared" si="230"/>
        <v>45.794510910778826</v>
      </c>
      <c r="IU30" s="9">
        <f t="shared" si="231"/>
        <v>-4.0575679531557274</v>
      </c>
      <c r="IV30" s="5">
        <f t="shared" si="232"/>
        <v>-0.30748075896795735</v>
      </c>
      <c r="IW30" s="5">
        <f t="shared" si="76"/>
        <v>0.26600000000000001</v>
      </c>
      <c r="IX30" s="5">
        <f t="shared" si="233"/>
        <v>0.25186195561450819</v>
      </c>
      <c r="IY30" s="762">
        <f t="shared" si="234"/>
        <v>42.663273839924145</v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4.5495544717102705</v>
      </c>
      <c r="C31" s="708">
        <v>0.91404288325281968</v>
      </c>
      <c r="D31" s="709">
        <v>-0.82522397311464346</v>
      </c>
      <c r="E31" s="710">
        <v>0.12684845382037521</v>
      </c>
      <c r="F31" s="708">
        <v>0.98356911079599763</v>
      </c>
      <c r="G31" s="711">
        <v>0.12845728492908004</v>
      </c>
      <c r="H31" s="710">
        <v>0.26600000000000001</v>
      </c>
      <c r="I31" s="708">
        <v>0.52</v>
      </c>
      <c r="J31" s="570">
        <v>2.2189999999999999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2.2189999999999999</v>
      </c>
      <c r="N31" s="632">
        <f t="shared" si="2"/>
        <v>4.5495544717102705</v>
      </c>
      <c r="O31" s="629">
        <f t="shared" si="3"/>
        <v>0.91404288325281968</v>
      </c>
      <c r="P31" s="633">
        <f t="shared" si="4"/>
        <v>-0.82522397311464346</v>
      </c>
      <c r="Q31" s="585">
        <f t="shared" si="113"/>
        <v>11.359959376648002</v>
      </c>
      <c r="R31" s="629">
        <f>IF(M31="","",SQRT(N31^2+O31^2))</f>
        <v>4.6404655244365349</v>
      </c>
      <c r="S31" s="634">
        <f>IF(M31="","",P31)</f>
        <v>-0.82522397311464346</v>
      </c>
      <c r="T31" s="635">
        <f>IF(M31="","",X31*COS(RADIANS(W31)))</f>
        <v>0.82414362323547807</v>
      </c>
      <c r="U31" s="629">
        <f>IF(M31="","",X31*SIN(RADIANS(W31)))</f>
        <v>-4.5666954761363652</v>
      </c>
      <c r="V31" s="636">
        <f>IF(M31="","",Y31)</f>
        <v>-0.82522397311464346</v>
      </c>
      <c r="W31" s="585">
        <f t="shared" si="224"/>
        <v>280.22995937664803</v>
      </c>
      <c r="X31" s="629">
        <f>IF(M31="","",R31)</f>
        <v>4.6404655244365349</v>
      </c>
      <c r="Y31" s="630">
        <f t="shared" si="223"/>
        <v>-0.82522397311464346</v>
      </c>
      <c r="Z31" s="632">
        <f t="shared" si="6"/>
        <v>-0.12684845382037521</v>
      </c>
      <c r="AA31" s="629">
        <f t="shared" si="7"/>
        <v>-0.98356911079599763</v>
      </c>
      <c r="AB31" s="629">
        <f t="shared" si="8"/>
        <v>-0.12845728492908004</v>
      </c>
      <c r="AC31" s="636">
        <f>IF(M31="","",SQRT(Z31^2+AA31^2+AB31^2))</f>
        <v>1</v>
      </c>
      <c r="AD31" s="637">
        <f>IF(M31="","",Z31*(1/SQRT(Z31^2+AA31^2+AB31^2)))</f>
        <v>-0.12684845382037521</v>
      </c>
      <c r="AE31" s="629">
        <f>IF(M31="","",AA31*(1/SQRT(Z31^2+AA31^2+AB31^2)))</f>
        <v>-0.98356911079599763</v>
      </c>
      <c r="AF31" s="633">
        <f>IF(M31="","",AB31*(1/SQRT(Z31^2+AA31^2+AB31^2)))</f>
        <v>-0.12845728492908004</v>
      </c>
      <c r="AG31" s="602">
        <f>IF(M31="","",DEGREES(ATAN2(-AF31,AE31)))</f>
        <v>-82.559103386191339</v>
      </c>
      <c r="AH31" s="603">
        <f>IF(M31="","",DEGREES(ACOS(AD31)))</f>
        <v>97.287514211821374</v>
      </c>
      <c r="AI31" s="585">
        <f>IF(M31="","",DEGREES(-ACOS(-AF31)))</f>
        <v>-82.619546197689942</v>
      </c>
      <c r="AJ31" s="586">
        <f>IF(M31="","",DEGREES(ATAN2(-AE31,AD31)))</f>
        <v>-7.348729988705677</v>
      </c>
      <c r="AK31" s="635">
        <f>IF(M31="","",(COS(RADIANS((90-$Q$8)-W31))*AD31)+(-SIN(RADIANS((90-$Q$8)-W31))*AE31))</f>
        <v>0.93931444956078147</v>
      </c>
      <c r="AL31" s="629">
        <f>IF(M31="","",(SIN(RADIANS((90-$Q$8)-W31))*AD31)+(COS(RADIANS((90-$Q$8)-W31))*AE31))</f>
        <v>-0.31809918389548775</v>
      </c>
      <c r="AM31" s="634">
        <f>IF(M31="","",AF31)</f>
        <v>-0.12845728492908004</v>
      </c>
      <c r="AN31" s="581">
        <f>IF(M31="","",DEGREES(ATAN2(-AM31,AL31)))</f>
        <v>-68.009775573771236</v>
      </c>
      <c r="AO31" s="582">
        <f t="shared" si="94"/>
        <v>20.063255944754857</v>
      </c>
      <c r="AP31" s="585">
        <f>IF(M31="","",DEGREES(ATAN2(AK31,AL31)))</f>
        <v>-18.708689365353688</v>
      </c>
      <c r="AQ31" s="586">
        <f t="shared" si="9"/>
        <v>0.49125906764777127</v>
      </c>
      <c r="AS31" s="52">
        <f t="shared" si="116"/>
        <v>280.22995937664803</v>
      </c>
      <c r="AT31" s="72">
        <f t="shared" si="10"/>
        <v>-0.77061283379287127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2.2189999999999999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1.119</v>
      </c>
      <c r="II31" s="734" cm="1">
        <f t="array" ref="II31">IFERROR(ROUND(VALUE(IF($IH31&lt;1,$IH31+LARGE((IF($M$9:$M$150="",0,$M$9:$M$150)-MOD(IF($M$9:$M$150="",0,$M$9:$M$150),1)),1),$IH31)),4),"")</f>
        <v>1.119</v>
      </c>
      <c r="IJ31" s="533">
        <f t="shared" si="112"/>
        <v>1613</v>
      </c>
      <c r="IK31" s="533">
        <f t="shared" si="66"/>
        <v>1313</v>
      </c>
      <c r="IL31" s="727">
        <f t="shared" si="225"/>
        <v>77.230040623352011</v>
      </c>
      <c r="IM31" s="759">
        <v>4.7283365593276498E-2</v>
      </c>
      <c r="IN31" s="5">
        <f t="shared" si="226"/>
        <v>0.24</v>
      </c>
      <c r="IO31" s="771">
        <v>120</v>
      </c>
      <c r="IP31" s="9">
        <f t="shared" si="227"/>
        <v>-4.6407139963934139</v>
      </c>
      <c r="IQ31" s="5">
        <f t="shared" si="228"/>
        <v>-0.82490248790590381</v>
      </c>
      <c r="IR31" s="5">
        <f t="shared" si="71"/>
        <v>0.314</v>
      </c>
      <c r="IS31" s="5">
        <f t="shared" si="229"/>
        <v>0.29872043026350142</v>
      </c>
      <c r="IT31" s="727">
        <f t="shared" si="230"/>
        <v>71.883925894785079</v>
      </c>
      <c r="IU31" s="9">
        <f t="shared" si="231"/>
        <v>-4.6404655244365349</v>
      </c>
      <c r="IV31" s="5">
        <f t="shared" si="232"/>
        <v>-0.82522397311464346</v>
      </c>
      <c r="IW31" s="5">
        <f t="shared" si="76"/>
        <v>0.26600000000000001</v>
      </c>
      <c r="IX31" s="5">
        <f t="shared" si="233"/>
        <v>0.24985764358316789</v>
      </c>
      <c r="IY31" s="762">
        <f t="shared" si="234"/>
        <v>68.009775573771236</v>
      </c>
    </row>
    <row r="32" spans="1:269" ht="15" customHeight="1" x14ac:dyDescent="0.25">
      <c r="A32" s="79"/>
      <c r="B32" s="707">
        <v>4.8741848292896872</v>
      </c>
      <c r="C32" s="708">
        <v>0.96245909611265967</v>
      </c>
      <c r="D32" s="709">
        <v>-1.5043944606526229</v>
      </c>
      <c r="E32" s="710">
        <v>0.27370215933465369</v>
      </c>
      <c r="F32" s="708">
        <v>0.95862617326450861</v>
      </c>
      <c r="G32" s="711">
        <v>7.8249523371022436E-2</v>
      </c>
      <c r="H32" s="710">
        <v>0.26600000000000001</v>
      </c>
      <c r="I32" s="708">
        <v>0.52</v>
      </c>
      <c r="J32" s="570">
        <v>2.222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2.222</v>
      </c>
      <c r="N32" s="632">
        <f t="shared" si="2"/>
        <v>4.8741848292896872</v>
      </c>
      <c r="O32" s="629">
        <f t="shared" si="3"/>
        <v>0.96245909611265967</v>
      </c>
      <c r="P32" s="633">
        <f t="shared" si="4"/>
        <v>-1.5043944606526229</v>
      </c>
      <c r="Q32" s="585">
        <f t="shared" si="113"/>
        <v>11.169959404080613</v>
      </c>
      <c r="R32" s="629">
        <f t="shared" si="79"/>
        <v>4.9683000374139779</v>
      </c>
      <c r="S32" s="634">
        <f t="shared" si="80"/>
        <v>-1.5043944606526229</v>
      </c>
      <c r="T32" s="635">
        <f t="shared" si="81"/>
        <v>0.86614840380860136</v>
      </c>
      <c r="U32" s="629">
        <f t="shared" si="82"/>
        <v>-4.8922175140060506</v>
      </c>
      <c r="V32" s="636">
        <f t="shared" si="114"/>
        <v>-1.5043944606526229</v>
      </c>
      <c r="W32" s="585">
        <f t="shared" si="224"/>
        <v>280.03995940408061</v>
      </c>
      <c r="X32" s="629">
        <f t="shared" si="83"/>
        <v>4.9683000374139779</v>
      </c>
      <c r="Y32" s="630">
        <f t="shared" si="223"/>
        <v>-1.5043944606526229</v>
      </c>
      <c r="Z32" s="632">
        <f t="shared" si="6"/>
        <v>-0.27370215933465369</v>
      </c>
      <c r="AA32" s="629">
        <f t="shared" si="7"/>
        <v>-0.95862617326450861</v>
      </c>
      <c r="AB32" s="629">
        <f t="shared" si="8"/>
        <v>-7.8249523371022436E-2</v>
      </c>
      <c r="AC32" s="636">
        <f t="shared" si="84"/>
        <v>1</v>
      </c>
      <c r="AD32" s="637">
        <f t="shared" si="115"/>
        <v>-0.27370215933465369</v>
      </c>
      <c r="AE32" s="629">
        <f t="shared" si="85"/>
        <v>-0.95862617326450861</v>
      </c>
      <c r="AF32" s="633">
        <f t="shared" si="86"/>
        <v>-7.8249523371022436E-2</v>
      </c>
      <c r="AG32" s="602">
        <f t="shared" si="87"/>
        <v>-85.333478537530297</v>
      </c>
      <c r="AH32" s="603">
        <f t="shared" si="88"/>
        <v>105.88468626057853</v>
      </c>
      <c r="AI32" s="585">
        <f t="shared" si="89"/>
        <v>-85.512044641918777</v>
      </c>
      <c r="AJ32" s="586">
        <f t="shared" si="90"/>
        <v>-15.934839281289584</v>
      </c>
      <c r="AK32" s="635">
        <f t="shared" si="211"/>
        <v>0.88744519948588585</v>
      </c>
      <c r="AL32" s="629">
        <f t="shared" si="91"/>
        <v>-0.45422244550623436</v>
      </c>
      <c r="AM32" s="634">
        <f t="shared" si="92"/>
        <v>-7.8249523371022436E-2</v>
      </c>
      <c r="AN32" s="581">
        <f t="shared" si="93"/>
        <v>-80.225517778161745</v>
      </c>
      <c r="AO32" s="582">
        <f t="shared" si="94"/>
        <v>27.446053141407731</v>
      </c>
      <c r="AP32" s="585">
        <f t="shared" si="95"/>
        <v>-27.104798685370174</v>
      </c>
      <c r="AQ32" s="586">
        <f t="shared" si="9"/>
        <v>0.45884465085303411</v>
      </c>
      <c r="AS32" s="52">
        <f t="shared" si="116"/>
        <v>280.03995940408061</v>
      </c>
      <c r="AT32" s="72">
        <f t="shared" si="10"/>
        <v>-1.4496513769054566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2.222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1.1220000000000001</v>
      </c>
      <c r="II32" s="734" cm="1">
        <f t="array" ref="II32">IFERROR(ROUND(VALUE(IF($IH32&lt;1,$IH32+LARGE((IF($M$9:$M$150="",0,$M$9:$M$150)-MOD(IF($M$9:$M$150="",0,$M$9:$M$150),1)),1),$IH32)),4),"")</f>
        <v>1.1220000000000001</v>
      </c>
      <c r="IJ32" s="533">
        <f t="shared" si="112"/>
        <v>1613</v>
      </c>
      <c r="IK32" s="533">
        <f t="shared" si="66"/>
        <v>1313</v>
      </c>
      <c r="IL32" s="727">
        <f t="shared" si="225"/>
        <v>76.790040595919379</v>
      </c>
      <c r="IM32" s="759">
        <v>4.6971027921682298E-2</v>
      </c>
      <c r="IN32" s="5">
        <f t="shared" si="226"/>
        <v>0.26</v>
      </c>
      <c r="IO32" s="771">
        <v>130</v>
      </c>
      <c r="IP32" s="9">
        <f t="shared" si="227"/>
        <v>-4.9691149868508004</v>
      </c>
      <c r="IQ32" s="5">
        <f t="shared" si="228"/>
        <v>-1.5038045354744796</v>
      </c>
      <c r="IR32" s="5">
        <f t="shared" si="71"/>
        <v>0.314</v>
      </c>
      <c r="IS32" s="5">
        <f t="shared" si="229"/>
        <v>0.28406047847430799</v>
      </c>
      <c r="IT32" s="727">
        <f t="shared" si="230"/>
        <v>82.541205146751849</v>
      </c>
      <c r="IU32" s="9">
        <f t="shared" si="231"/>
        <v>-4.9683000374139779</v>
      </c>
      <c r="IV32" s="5">
        <f t="shared" si="232"/>
        <v>-1.5043944606526229</v>
      </c>
      <c r="IW32" s="5">
        <f t="shared" si="76"/>
        <v>0.26600000000000001</v>
      </c>
      <c r="IX32" s="5">
        <f t="shared" si="233"/>
        <v>0.23606042306324565</v>
      </c>
      <c r="IY32" s="762">
        <f t="shared" si="234"/>
        <v>80.225517778161745</v>
      </c>
    </row>
    <row r="33" spans="1:267" ht="15" customHeight="1" x14ac:dyDescent="0.25">
      <c r="A33" s="79"/>
      <c r="B33" s="707">
        <v>0.68647596618516737</v>
      </c>
      <c r="C33" s="708">
        <v>-0.41968537366813757</v>
      </c>
      <c r="D33" s="709">
        <v>-0.61590185756000237</v>
      </c>
      <c r="E33" s="710">
        <v>0.50383261596653883</v>
      </c>
      <c r="F33" s="708">
        <v>0.82411492880550774</v>
      </c>
      <c r="G33" s="711">
        <v>0.25881900859134593</v>
      </c>
      <c r="H33" s="710">
        <v>0.314</v>
      </c>
      <c r="I33" s="708">
        <v>0.52</v>
      </c>
      <c r="J33" s="570">
        <v>3.1030000000000002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3.1030000000000002</v>
      </c>
      <c r="N33" s="632">
        <f t="shared" si="2"/>
        <v>0.68647596618516737</v>
      </c>
      <c r="O33" s="629">
        <f t="shared" si="3"/>
        <v>-0.41968537366813757</v>
      </c>
      <c r="P33" s="633">
        <f t="shared" si="4"/>
        <v>-0.61590185756000237</v>
      </c>
      <c r="Q33" s="585">
        <f t="shared" si="113"/>
        <v>328.5599660702029</v>
      </c>
      <c r="R33" s="629">
        <f t="shared" si="79"/>
        <v>0.80460242668091886</v>
      </c>
      <c r="S33" s="634">
        <f t="shared" si="80"/>
        <v>-0.61590185756000237</v>
      </c>
      <c r="T33" s="635">
        <f t="shared" si="81"/>
        <v>-0.43314170737875529</v>
      </c>
      <c r="U33" s="629">
        <f t="shared" si="82"/>
        <v>-0.67806587168935151</v>
      </c>
      <c r="V33" s="636">
        <f t="shared" si="114"/>
        <v>-0.61590185756000237</v>
      </c>
      <c r="W33" s="585">
        <f t="shared" si="224"/>
        <v>237.42996607020291</v>
      </c>
      <c r="X33" s="629">
        <f t="shared" si="83"/>
        <v>0.80460242668091886</v>
      </c>
      <c r="Y33" s="630">
        <f t="shared" si="223"/>
        <v>-0.61590185756000237</v>
      </c>
      <c r="Z33" s="632">
        <f t="shared" si="6"/>
        <v>-0.50383261596653883</v>
      </c>
      <c r="AA33" s="629">
        <f t="shared" si="7"/>
        <v>-0.82411492880550774</v>
      </c>
      <c r="AB33" s="629">
        <f t="shared" si="8"/>
        <v>-0.25881900859134593</v>
      </c>
      <c r="AC33" s="636">
        <f t="shared" si="84"/>
        <v>1</v>
      </c>
      <c r="AD33" s="637">
        <f t="shared" si="115"/>
        <v>-0.50383261596653883</v>
      </c>
      <c r="AE33" s="629">
        <f t="shared" si="85"/>
        <v>-0.82411492880550774</v>
      </c>
      <c r="AF33" s="633">
        <f t="shared" si="86"/>
        <v>-0.25881900859134593</v>
      </c>
      <c r="AG33" s="602">
        <f t="shared" si="87"/>
        <v>-72.564742082635178</v>
      </c>
      <c r="AH33" s="603">
        <f t="shared" si="88"/>
        <v>120.25388943169936</v>
      </c>
      <c r="AI33" s="585">
        <f t="shared" si="89"/>
        <v>-75.000002165731729</v>
      </c>
      <c r="AJ33" s="586">
        <f t="shared" si="90"/>
        <v>-31.440033929797121</v>
      </c>
      <c r="AK33" s="635">
        <f t="shared" si="211"/>
        <v>0.96592583607220739</v>
      </c>
      <c r="AL33" s="629">
        <f t="shared" si="91"/>
        <v>-5.5511151231257827E-16</v>
      </c>
      <c r="AM33" s="634">
        <f t="shared" si="92"/>
        <v>-0.25881900859134593</v>
      </c>
      <c r="AN33" s="581">
        <f t="shared" si="93"/>
        <v>-1.2288721368550456E-13</v>
      </c>
      <c r="AO33" s="582">
        <f t="shared" si="94"/>
        <v>14.999997834268255</v>
      </c>
      <c r="AP33" s="585">
        <f t="shared" si="95"/>
        <v>-3.2927524688611347E-14</v>
      </c>
      <c r="AQ33" s="586">
        <f t="shared" si="9"/>
        <v>2.8310516650253246</v>
      </c>
      <c r="AS33" s="52">
        <f t="shared" si="116"/>
        <v>237.42996607020291</v>
      </c>
      <c r="AT33" s="72">
        <f t="shared" si="10"/>
        <v>-0.53156850066430994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3.1030000000000002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1.2963886640084605</v>
      </c>
      <c r="C34" s="708">
        <v>-0.84671922965792312</v>
      </c>
      <c r="D34" s="709">
        <v>-0.41660125646938967</v>
      </c>
      <c r="E34" s="710">
        <v>0.52820040889687292</v>
      </c>
      <c r="F34" s="708">
        <v>0.80871320555124437</v>
      </c>
      <c r="G34" s="711">
        <v>0.25881900859134599</v>
      </c>
      <c r="H34" s="710">
        <v>0.314</v>
      </c>
      <c r="I34" s="708">
        <v>0.52</v>
      </c>
      <c r="J34" s="570">
        <v>3.1059999999999999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3.1059999999999999</v>
      </c>
      <c r="N34" s="632">
        <f t="shared" si="2"/>
        <v>1.2963886640084605</v>
      </c>
      <c r="O34" s="629">
        <f t="shared" si="3"/>
        <v>-0.84671922965792312</v>
      </c>
      <c r="P34" s="633">
        <f t="shared" si="4"/>
        <v>-0.41660125646938967</v>
      </c>
      <c r="Q34" s="585">
        <f t="shared" si="113"/>
        <v>326.84996607020287</v>
      </c>
      <c r="R34" s="629">
        <f>IF(M34="","",SQRT(N34^2+O34^2))</f>
        <v>1.5484046699884846</v>
      </c>
      <c r="S34" s="634">
        <f>IF(M34="","",P34)</f>
        <v>-0.41660125646938967</v>
      </c>
      <c r="T34" s="635">
        <f>IF(M34="","",X34*COS(RADIANS(W34)))</f>
        <v>-0.87212056819390049</v>
      </c>
      <c r="U34" s="629">
        <f>IF(M34="","",X34*SIN(RADIANS(W34)))</f>
        <v>-1.2794384457938164</v>
      </c>
      <c r="V34" s="636">
        <f>IF(M34="","",Y34)</f>
        <v>-0.41660125646938967</v>
      </c>
      <c r="W34" s="585">
        <f t="shared" si="224"/>
        <v>235.71996607020287</v>
      </c>
      <c r="X34" s="629">
        <f>IF(M34="","",R34)</f>
        <v>1.5484046699884846</v>
      </c>
      <c r="Y34" s="630">
        <f t="shared" si="223"/>
        <v>-0.41660125646938967</v>
      </c>
      <c r="Z34" s="632">
        <f t="shared" si="6"/>
        <v>-0.52820040889687292</v>
      </c>
      <c r="AA34" s="629">
        <f t="shared" si="7"/>
        <v>-0.80871320555124437</v>
      </c>
      <c r="AB34" s="629">
        <f t="shared" si="8"/>
        <v>-0.25881900859134599</v>
      </c>
      <c r="AC34" s="636">
        <f>IF(M34="","",SQRT(Z34^2+AA34^2+AB34^2))</f>
        <v>1</v>
      </c>
      <c r="AD34" s="637">
        <f>IF(M34="","",Z34*(1/SQRT(Z34^2+AA34^2+AB34^2)))</f>
        <v>-0.52820040889687292</v>
      </c>
      <c r="AE34" s="629">
        <f>IF(M34="","",AA34*(1/SQRT(Z34^2+AA34^2+AB34^2)))</f>
        <v>-0.80871320555124437</v>
      </c>
      <c r="AF34" s="633">
        <f>IF(M34="","",AB34*(1/SQRT(Z34^2+AA34^2+AB34^2)))</f>
        <v>-0.25881900859134599</v>
      </c>
      <c r="AG34" s="602">
        <f>IF(M34="","",DEGREES(ATAN2(-AF34,AE34)))</f>
        <v>-72.25335007369074</v>
      </c>
      <c r="AH34" s="603">
        <f>IF(M34="","",DEGREES(ACOS(AD34)))</f>
        <v>121.88394415595226</v>
      </c>
      <c r="AI34" s="585">
        <f>IF(M34="","",DEGREES(-ACOS(-AF34)))</f>
        <v>-75.000002165731729</v>
      </c>
      <c r="AJ34" s="586">
        <f>IF(M34="","",DEGREES(ATAN2(-AE34,AD34)))</f>
        <v>-33.150033929797139</v>
      </c>
      <c r="AK34" s="635">
        <f>IF(M34="","",(COS(RADIANS((90-$Q$8)-W34))*AD34)+(-SIN(RADIANS((90-$Q$8)-W34))*AE34))</f>
        <v>0.9659258360722075</v>
      </c>
      <c r="AL34" s="629">
        <f>IF(M34="","",(SIN(RADIANS((90-$Q$8)-W34))*AD34)+(COS(RADIANS((90-$Q$8)-W34))*AE34))</f>
        <v>0</v>
      </c>
      <c r="AM34" s="634">
        <f>IF(M34="","",AF34)</f>
        <v>-0.25881900859134599</v>
      </c>
      <c r="AN34" s="581">
        <f>IF(M34="","",DEGREES(ATAN2(-AM34,AL34)))</f>
        <v>0</v>
      </c>
      <c r="AO34" s="582">
        <f t="shared" si="94"/>
        <v>14.99999783426823</v>
      </c>
      <c r="AP34" s="585">
        <f>IF(M34="","",DEGREES(ATAN2(AK34,AL34)))</f>
        <v>0</v>
      </c>
      <c r="AQ34" s="586">
        <f t="shared" si="9"/>
        <v>1.4719828061779145</v>
      </c>
      <c r="AS34" s="52">
        <f t="shared" si="116"/>
        <v>235.71996607020287</v>
      </c>
      <c r="AT34" s="72">
        <f t="shared" si="10"/>
        <v>-0.33108039957369723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3.1059999999999999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1.9058996393761185</v>
      </c>
      <c r="C35" s="708">
        <v>-1.2734830575976219</v>
      </c>
      <c r="D35" s="709">
        <v>-0.21730065537877671</v>
      </c>
      <c r="E35" s="710">
        <v>0.53664011743380591</v>
      </c>
      <c r="F35" s="708">
        <v>0.80313766264098463</v>
      </c>
      <c r="G35" s="711">
        <v>0.25881900859134593</v>
      </c>
      <c r="H35" s="710">
        <v>0.314</v>
      </c>
      <c r="I35" s="708">
        <v>0.52</v>
      </c>
      <c r="J35" s="570">
        <v>3.109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3.109</v>
      </c>
      <c r="N35" s="632">
        <f t="shared" si="2"/>
        <v>1.9058996393761185</v>
      </c>
      <c r="O35" s="629">
        <f t="shared" si="3"/>
        <v>-1.2734830575976219</v>
      </c>
      <c r="P35" s="633">
        <f t="shared" si="4"/>
        <v>-0.21730065537877671</v>
      </c>
      <c r="Q35" s="585">
        <f t="shared" si="113"/>
        <v>326.2499660702029</v>
      </c>
      <c r="R35" s="629">
        <f>IF(M35="","",SQRT(N35^2+O35^2))</f>
        <v>2.2922069132960505</v>
      </c>
      <c r="S35" s="634">
        <f>IF(M35="","",P35)</f>
        <v>-0.21730065537877671</v>
      </c>
      <c r="T35" s="635">
        <f>IF(M35="","",X35*COS(RADIANS(W35)))</f>
        <v>-1.3108215311278602</v>
      </c>
      <c r="U35" s="629">
        <f>IF(M35="","",X35*SIN(RADIANS(W35)))</f>
        <v>-1.880414700775821</v>
      </c>
      <c r="V35" s="636">
        <f>IF(M35="","",Y35)</f>
        <v>-0.21730065537877671</v>
      </c>
      <c r="W35" s="585">
        <f t="shared" si="224"/>
        <v>235.11996607020291</v>
      </c>
      <c r="X35" s="629">
        <f>IF(M35="","",R35)</f>
        <v>2.2922069132960505</v>
      </c>
      <c r="Y35" s="630">
        <f t="shared" si="223"/>
        <v>-0.21730065537877671</v>
      </c>
      <c r="Z35" s="632">
        <f t="shared" si="6"/>
        <v>-0.53664011743380591</v>
      </c>
      <c r="AA35" s="629">
        <f t="shared" si="7"/>
        <v>-0.80313766264098463</v>
      </c>
      <c r="AB35" s="629">
        <f t="shared" si="8"/>
        <v>-0.25881900859134593</v>
      </c>
      <c r="AC35" s="636">
        <f>IF(M35="","",SQRT(Z35^2+AA35^2+AB35^2))</f>
        <v>1</v>
      </c>
      <c r="AD35" s="637">
        <f>IF(M35="","",Z35*(1/SQRT(Z35^2+AA35^2+AB35^2)))</f>
        <v>-0.53664011743380591</v>
      </c>
      <c r="AE35" s="629">
        <f>IF(M35="","",AA35*(1/SQRT(Z35^2+AA35^2+AB35^2)))</f>
        <v>-0.80313766264098463</v>
      </c>
      <c r="AF35" s="633">
        <f>IF(M35="","",AB35*(1/SQRT(Z35^2+AA35^2+AB35^2)))</f>
        <v>-0.25881900859134593</v>
      </c>
      <c r="AG35" s="602">
        <f>IF(M35="","",DEGREES(ATAN2(-AF35,AE35)))</f>
        <v>-72.137953736681496</v>
      </c>
      <c r="AH35" s="603">
        <f>IF(M35="","",DEGREES(ACOS(AD35)))</f>
        <v>122.45520864842126</v>
      </c>
      <c r="AI35" s="585">
        <f>IF(M35="","",DEGREES(-ACOS(-AF35)))</f>
        <v>-75.000002165731729</v>
      </c>
      <c r="AJ35" s="586">
        <f>IF(M35="","",DEGREES(ATAN2(-AE35,AD35)))</f>
        <v>-33.750033929797119</v>
      </c>
      <c r="AK35" s="635">
        <f>IF(M35="","",(COS(RADIANS((90-$Q$8)-W35))*AD35)+(-SIN(RADIANS((90-$Q$8)-W35))*AE35))</f>
        <v>0.9659258360722075</v>
      </c>
      <c r="AL35" s="629">
        <f>IF(M35="","",(SIN(RADIANS((90-$Q$8)-W35))*AD35)+(COS(RADIANS((90-$Q$8)-W35))*AE35))</f>
        <v>-3.3306690738754696E-16</v>
      </c>
      <c r="AM35" s="634">
        <f>IF(M35="","",AF35)</f>
        <v>-0.25881900859134593</v>
      </c>
      <c r="AN35" s="581">
        <f>IF(M35="","",DEGREES(ATAN2(-AM35,AL35)))</f>
        <v>-7.3732328211302732E-14</v>
      </c>
      <c r="AO35" s="582">
        <f t="shared" si="94"/>
        <v>14.99999783426823</v>
      </c>
      <c r="AP35" s="585">
        <f>IF(M35="","",DEGREES(ATAN2(AK35,AL35)))</f>
        <v>-1.975651481316681E-14</v>
      </c>
      <c r="AQ35" s="586">
        <f t="shared" si="9"/>
        <v>0.99445547103386001</v>
      </c>
      <c r="AS35" s="52">
        <f t="shared" si="116"/>
        <v>235.11996607020291</v>
      </c>
      <c r="AT35" s="72">
        <f t="shared" si="10"/>
        <v>-0.13136313181641762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3.109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2.5256377419400455</v>
      </c>
      <c r="C36" s="708">
        <v>-1.7125601929942391</v>
      </c>
      <c r="D36" s="709">
        <v>-6.3900192722981294E-2</v>
      </c>
      <c r="E36" s="710">
        <v>0.56470937937528598</v>
      </c>
      <c r="F36" s="708">
        <v>0.78368805336187652</v>
      </c>
      <c r="G36" s="711">
        <v>0.25872060579600575</v>
      </c>
      <c r="H36" s="710">
        <v>0.314</v>
      </c>
      <c r="I36" s="708">
        <v>0.52</v>
      </c>
      <c r="J36" s="570">
        <v>3.1120000000000001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3.1120000000000001</v>
      </c>
      <c r="N36" s="632">
        <f t="shared" si="2"/>
        <v>2.5256377419400455</v>
      </c>
      <c r="O36" s="629">
        <f t="shared" si="3"/>
        <v>-1.7125601929942391</v>
      </c>
      <c r="P36" s="633">
        <f t="shared" si="4"/>
        <v>-6.3900192722981294E-2</v>
      </c>
      <c r="Q36" s="585">
        <f t="shared" si="113"/>
        <v>325.85996607020286</v>
      </c>
      <c r="R36" s="629">
        <f>IF(M36="","",SQRT(N36^2+O36^2))</f>
        <v>3.0515092033517575</v>
      </c>
      <c r="S36" s="634">
        <f>IF(M36="","",P36)</f>
        <v>-6.3900192722981294E-2</v>
      </c>
      <c r="T36" s="635">
        <f>IF(M36="","",X36*COS(RADIANS(W36)))</f>
        <v>-1.7620350954500315</v>
      </c>
      <c r="U36" s="629">
        <f>IF(M36="","",X36*SIN(RADIANS(W36)))</f>
        <v>-2.4913732639937507</v>
      </c>
      <c r="V36" s="636">
        <f>IF(M36="","",Y36)</f>
        <v>-6.3900192722981294E-2</v>
      </c>
      <c r="W36" s="585">
        <f t="shared" si="224"/>
        <v>234.72996607020286</v>
      </c>
      <c r="X36" s="629">
        <f>IF(M36="","",R36)</f>
        <v>3.0515092033517575</v>
      </c>
      <c r="Y36" s="630">
        <f t="shared" si="223"/>
        <v>-6.3900192722981294E-2</v>
      </c>
      <c r="Z36" s="632">
        <f t="shared" si="6"/>
        <v>-0.56470937937528598</v>
      </c>
      <c r="AA36" s="629">
        <f t="shared" si="7"/>
        <v>-0.78368805336187652</v>
      </c>
      <c r="AB36" s="629">
        <f t="shared" si="8"/>
        <v>-0.25872060579600575</v>
      </c>
      <c r="AC36" s="636">
        <f>IF(M36="","",SQRT(Z36^2+AA36^2+AB36^2))</f>
        <v>1</v>
      </c>
      <c r="AD36" s="637">
        <f>IF(M36="","",Z36*(1/SQRT(Z36^2+AA36^2+AB36^2)))</f>
        <v>-0.56470937937528598</v>
      </c>
      <c r="AE36" s="629">
        <f>IF(M36="","",AA36*(1/SQRT(Z36^2+AA36^2+AB36^2)))</f>
        <v>-0.78368805336187652</v>
      </c>
      <c r="AF36" s="633">
        <f>IF(M36="","",AB36*(1/SQRT(Z36^2+AA36^2+AB36^2)))</f>
        <v>-0.25872060579600575</v>
      </c>
      <c r="AG36" s="602">
        <f>IF(M36="","",DEGREES(ATAN2(-AF36,AE36)))</f>
        <v>-71.730283332285353</v>
      </c>
      <c r="AH36" s="603">
        <f>IF(M36="","",DEGREES(ACOS(AD36)))</f>
        <v>124.38211252934236</v>
      </c>
      <c r="AI36" s="585">
        <f>IF(M36="","",DEGREES(-ACOS(-AF36)))</f>
        <v>-75.005839040277635</v>
      </c>
      <c r="AJ36" s="586">
        <f>IF(M36="","",DEGREES(ATAN2(-AE36,AD36)))</f>
        <v>-35.775740278519869</v>
      </c>
      <c r="AK36" s="635">
        <f>IF(M36="","",(COS(RADIANS((90-$Q$8)-W36))*AD36)+(-SIN(RADIANS((90-$Q$8)-W36))*AE36))</f>
        <v>0.96555859178486436</v>
      </c>
      <c r="AL36" s="629">
        <f>IF(M36="","",(SIN(RADIANS((90-$Q$8)-W36))*AD36)+(COS(RADIANS((90-$Q$8)-W36))*AE36))</f>
        <v>-2.7572703294700684E-2</v>
      </c>
      <c r="AM36" s="634">
        <f>IF(M36="","",AF36)</f>
        <v>-0.25872060579600575</v>
      </c>
      <c r="AN36" s="581">
        <f>IF(M36="","",DEGREES(ATAN2(-AM36,AL36)))</f>
        <v>-6.083237575202082</v>
      </c>
      <c r="AO36" s="582">
        <f t="shared" si="94"/>
        <v>15.081082045192217</v>
      </c>
      <c r="AP36" s="585">
        <f>IF(M36="","",DEGREES(ATAN2(AK36,AL36)))</f>
        <v>-1.6357063487227428</v>
      </c>
      <c r="AQ36" s="586">
        <f t="shared" si="9"/>
        <v>0.74703934880030964</v>
      </c>
      <c r="AS36" s="52">
        <f t="shared" si="116"/>
        <v>234.72996607020286</v>
      </c>
      <c r="AT36" s="72">
        <f t="shared" si="10"/>
        <v>2.230816417271117E-2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3.1120000000000001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3.1282116585449908</v>
      </c>
      <c r="C37" s="708">
        <v>-2.1936563913613374</v>
      </c>
      <c r="D37" s="709">
        <v>-0.19310058239135672</v>
      </c>
      <c r="E37" s="710">
        <v>0.68471461462092087</v>
      </c>
      <c r="F37" s="708">
        <v>0.69390858452693727</v>
      </c>
      <c r="G37" s="711">
        <v>0.2228379968594813</v>
      </c>
      <c r="H37" s="710">
        <v>0.314</v>
      </c>
      <c r="I37" s="708">
        <v>0.52</v>
      </c>
      <c r="J37" s="570">
        <v>3.1150000000000002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3.1150000000000002</v>
      </c>
      <c r="N37" s="632">
        <f t="shared" si="2"/>
        <v>3.1282116585449908</v>
      </c>
      <c r="O37" s="629">
        <f t="shared" si="3"/>
        <v>-2.1936563913613374</v>
      </c>
      <c r="P37" s="633">
        <f t="shared" si="4"/>
        <v>-0.19310058239135672</v>
      </c>
      <c r="Q37" s="585">
        <f t="shared" si="113"/>
        <v>324.95996607020288</v>
      </c>
      <c r="R37" s="629">
        <f t="shared" si="79"/>
        <v>3.8207115232659543</v>
      </c>
      <c r="S37" s="634">
        <f t="shared" si="80"/>
        <v>-0.19310058239135672</v>
      </c>
      <c r="T37" s="635">
        <f t="shared" si="81"/>
        <v>-2.2549210570982505</v>
      </c>
      <c r="U37" s="629">
        <f t="shared" si="82"/>
        <v>-3.0843423237818719</v>
      </c>
      <c r="V37" s="636">
        <f t="shared" si="114"/>
        <v>-0.19310058239135672</v>
      </c>
      <c r="W37" s="585">
        <f t="shared" si="224"/>
        <v>233.82996607020289</v>
      </c>
      <c r="X37" s="629">
        <f t="shared" si="83"/>
        <v>3.8207115232659543</v>
      </c>
      <c r="Y37" s="630">
        <f t="shared" si="223"/>
        <v>-0.19310058239135672</v>
      </c>
      <c r="Z37" s="632">
        <f t="shared" si="6"/>
        <v>-0.68471461462092087</v>
      </c>
      <c r="AA37" s="629">
        <f t="shared" si="7"/>
        <v>-0.69390858452693727</v>
      </c>
      <c r="AB37" s="629">
        <f t="shared" si="8"/>
        <v>-0.2228379968594813</v>
      </c>
      <c r="AC37" s="636">
        <f t="shared" si="84"/>
        <v>1</v>
      </c>
      <c r="AD37" s="637">
        <f t="shared" si="115"/>
        <v>-0.68471461462092087</v>
      </c>
      <c r="AE37" s="629">
        <f t="shared" si="85"/>
        <v>-0.69390858452693727</v>
      </c>
      <c r="AF37" s="633">
        <f t="shared" si="86"/>
        <v>-0.2228379968594813</v>
      </c>
      <c r="AG37" s="602">
        <f t="shared" si="87"/>
        <v>-72.196382885246152</v>
      </c>
      <c r="AH37" s="603">
        <f t="shared" si="88"/>
        <v>133.21316733882708</v>
      </c>
      <c r="AI37" s="585">
        <f t="shared" si="89"/>
        <v>-77.124222902759001</v>
      </c>
      <c r="AJ37" s="586">
        <f t="shared" si="90"/>
        <v>-44.617902945716395</v>
      </c>
      <c r="AK37" s="635">
        <f t="shared" si="211"/>
        <v>0.96126637468925258</v>
      </c>
      <c r="AL37" s="629">
        <f t="shared" si="91"/>
        <v>-0.16220414312660264</v>
      </c>
      <c r="AM37" s="634">
        <f t="shared" si="92"/>
        <v>-0.2228379968594813</v>
      </c>
      <c r="AN37" s="581">
        <f t="shared" si="93"/>
        <v>-36.050934507812769</v>
      </c>
      <c r="AO37" s="582">
        <f t="shared" si="94"/>
        <v>15.999027415511026</v>
      </c>
      <c r="AP37" s="585">
        <f t="shared" si="95"/>
        <v>-9.5778690159192745</v>
      </c>
      <c r="AQ37" s="586">
        <f t="shared" si="9"/>
        <v>0.59665436945253725</v>
      </c>
      <c r="AS37" s="52">
        <f t="shared" si="116"/>
        <v>233.82996607020289</v>
      </c>
      <c r="AT37" s="72">
        <f t="shared" si="10"/>
        <v>-0.10626722549566427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3.1150000000000002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3.6109969215621796</v>
      </c>
      <c r="C38" s="708">
        <v>-2.6331875207196531</v>
      </c>
      <c r="D38" s="709">
        <v>-0.62370188108487346</v>
      </c>
      <c r="E38" s="710">
        <v>0.77935557332524641</v>
      </c>
      <c r="F38" s="708">
        <v>0.61223700495675337</v>
      </c>
      <c r="G38" s="711">
        <v>0.13330693938599283</v>
      </c>
      <c r="H38" s="710">
        <v>0.314</v>
      </c>
      <c r="I38" s="708">
        <v>0.52</v>
      </c>
      <c r="J38" s="570">
        <v>3.1179999999999999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3.1179999999999999</v>
      </c>
      <c r="N38" s="632">
        <f t="shared" si="2"/>
        <v>3.6109969215621796</v>
      </c>
      <c r="O38" s="629">
        <f t="shared" si="3"/>
        <v>-2.6331875207196531</v>
      </c>
      <c r="P38" s="633">
        <f t="shared" si="4"/>
        <v>-0.62370188108487346</v>
      </c>
      <c r="Q38" s="585">
        <f t="shared" si="113"/>
        <v>323.89996607020288</v>
      </c>
      <c r="R38" s="629">
        <f t="shared" si="79"/>
        <v>4.4691134788462525</v>
      </c>
      <c r="S38" s="634">
        <f t="shared" si="80"/>
        <v>-0.62370188108487346</v>
      </c>
      <c r="T38" s="635">
        <f t="shared" si="81"/>
        <v>-2.7038876880817559</v>
      </c>
      <c r="U38" s="629">
        <f t="shared" si="82"/>
        <v>-3.5583657283990848</v>
      </c>
      <c r="V38" s="636">
        <f t="shared" si="114"/>
        <v>-0.62370188108487346</v>
      </c>
      <c r="W38" s="585">
        <f t="shared" si="224"/>
        <v>232.76996607020288</v>
      </c>
      <c r="X38" s="629">
        <f t="shared" si="83"/>
        <v>4.4691134788462525</v>
      </c>
      <c r="Y38" s="630">
        <f t="shared" si="223"/>
        <v>-0.62370188108487346</v>
      </c>
      <c r="Z38" s="632">
        <f t="shared" si="6"/>
        <v>-0.77935557332524641</v>
      </c>
      <c r="AA38" s="629">
        <f t="shared" si="7"/>
        <v>-0.61223700495675337</v>
      </c>
      <c r="AB38" s="629">
        <f t="shared" si="8"/>
        <v>-0.13330693938599283</v>
      </c>
      <c r="AC38" s="636">
        <f t="shared" si="84"/>
        <v>1</v>
      </c>
      <c r="AD38" s="637">
        <f t="shared" si="115"/>
        <v>-0.77935557332524641</v>
      </c>
      <c r="AE38" s="629">
        <f t="shared" si="85"/>
        <v>-0.61223700495675337</v>
      </c>
      <c r="AF38" s="633">
        <f t="shared" si="86"/>
        <v>-0.13330693938599283</v>
      </c>
      <c r="AG38" s="602">
        <f t="shared" si="87"/>
        <v>-77.716288573292715</v>
      </c>
      <c r="AH38" s="603">
        <f t="shared" si="88"/>
        <v>141.20161011513241</v>
      </c>
      <c r="AI38" s="585">
        <f t="shared" si="89"/>
        <v>-82.339270222543163</v>
      </c>
      <c r="AJ38" s="586">
        <f t="shared" si="90"/>
        <v>-51.847946704742881</v>
      </c>
      <c r="AK38" s="635">
        <f t="shared" si="211"/>
        <v>0.95387493072768548</v>
      </c>
      <c r="AL38" s="629">
        <f t="shared" si="91"/>
        <v>-0.26898304117693428</v>
      </c>
      <c r="AM38" s="634">
        <f t="shared" si="92"/>
        <v>-0.13330693938599283</v>
      </c>
      <c r="AN38" s="581">
        <f t="shared" si="93"/>
        <v>-63.637165266561574</v>
      </c>
      <c r="AO38" s="582">
        <f t="shared" si="94"/>
        <v>17.469873743176702</v>
      </c>
      <c r="AP38" s="585">
        <f t="shared" si="95"/>
        <v>-15.747912774945778</v>
      </c>
      <c r="AQ38" s="586">
        <f t="shared" si="9"/>
        <v>0.51009364876901275</v>
      </c>
      <c r="AS38" s="52">
        <f t="shared" si="116"/>
        <v>232.76996607020288</v>
      </c>
      <c r="AT38" s="72">
        <f t="shared" si="10"/>
        <v>-0.53613241307806991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3.1179999999999999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3.9090929886613992</v>
      </c>
      <c r="C39" s="708">
        <v>-2.9329004530519991</v>
      </c>
      <c r="D39" s="709">
        <v>-1.2559037878058232</v>
      </c>
      <c r="E39" s="710">
        <v>0.85767090675742286</v>
      </c>
      <c r="F39" s="708">
        <v>0.50858833451074459</v>
      </c>
      <c r="G39" s="711">
        <v>7.5753030972277327E-2</v>
      </c>
      <c r="H39" s="710">
        <v>0.314</v>
      </c>
      <c r="I39" s="708">
        <v>0.52</v>
      </c>
      <c r="J39" s="570">
        <v>3.121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3.121</v>
      </c>
      <c r="N39" s="632">
        <f t="shared" si="2"/>
        <v>3.9090929886613992</v>
      </c>
      <c r="O39" s="629">
        <f t="shared" si="3"/>
        <v>-2.9329004530519991</v>
      </c>
      <c r="P39" s="633">
        <f t="shared" si="4"/>
        <v>-1.2559037878058232</v>
      </c>
      <c r="Q39" s="585">
        <f t="shared" si="113"/>
        <v>323.11996607020285</v>
      </c>
      <c r="R39" s="629">
        <f t="shared" si="79"/>
        <v>4.8870147392364522</v>
      </c>
      <c r="S39" s="634">
        <f t="shared" si="80"/>
        <v>-1.2559037878058232</v>
      </c>
      <c r="T39" s="635">
        <f t="shared" si="81"/>
        <v>-3.009421068493443</v>
      </c>
      <c r="U39" s="629">
        <f t="shared" si="82"/>
        <v>-3.8504932013992845</v>
      </c>
      <c r="V39" s="636">
        <f t="shared" si="114"/>
        <v>-1.2559037878058232</v>
      </c>
      <c r="W39" s="585">
        <f t="shared" si="224"/>
        <v>231.98996607020285</v>
      </c>
      <c r="X39" s="629">
        <f t="shared" si="83"/>
        <v>4.8870147392364522</v>
      </c>
      <c r="Y39" s="630">
        <f t="shared" si="223"/>
        <v>-1.2559037878058232</v>
      </c>
      <c r="Z39" s="632">
        <f t="shared" si="6"/>
        <v>-0.85767090675742286</v>
      </c>
      <c r="AA39" s="629">
        <f t="shared" si="7"/>
        <v>-0.50858833451074459</v>
      </c>
      <c r="AB39" s="629">
        <f t="shared" si="8"/>
        <v>-7.5753030972277327E-2</v>
      </c>
      <c r="AC39" s="636">
        <f t="shared" si="84"/>
        <v>0.99999999999999978</v>
      </c>
      <c r="AD39" s="637">
        <f t="shared" si="115"/>
        <v>-0.85767090675742308</v>
      </c>
      <c r="AE39" s="629">
        <f t="shared" si="85"/>
        <v>-0.5085883345107447</v>
      </c>
      <c r="AF39" s="633">
        <f t="shared" si="86"/>
        <v>-7.5753030972277341E-2</v>
      </c>
      <c r="AG39" s="602">
        <f t="shared" si="87"/>
        <v>-81.528212589223941</v>
      </c>
      <c r="AH39" s="603">
        <f t="shared" si="88"/>
        <v>149.05606968461478</v>
      </c>
      <c r="AI39" s="585">
        <f t="shared" si="89"/>
        <v>-85.655509104817014</v>
      </c>
      <c r="AJ39" s="586">
        <f t="shared" si="90"/>
        <v>-59.332578750661312</v>
      </c>
      <c r="AK39" s="635">
        <f t="shared" si="211"/>
        <v>0.92154059765592944</v>
      </c>
      <c r="AL39" s="629">
        <f t="shared" si="91"/>
        <v>-0.38082069950367192</v>
      </c>
      <c r="AM39" s="634">
        <f t="shared" si="92"/>
        <v>-7.5753030972277341E-2</v>
      </c>
      <c r="AN39" s="581">
        <f t="shared" si="93"/>
        <v>-78.74955364964174</v>
      </c>
      <c r="AO39" s="582">
        <f t="shared" si="94"/>
        <v>22.847643812738497</v>
      </c>
      <c r="AP39" s="585">
        <f t="shared" si="95"/>
        <v>-22.452544820864151</v>
      </c>
      <c r="AQ39" s="586">
        <f t="shared" si="9"/>
        <v>0.4664762401958058</v>
      </c>
      <c r="AS39" s="52">
        <f t="shared" si="116"/>
        <v>231.98996607020285</v>
      </c>
      <c r="AT39" s="72">
        <f t="shared" si="10"/>
        <v>-1.167792653132353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3.121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4.0105743560242928</v>
      </c>
      <c r="C40" s="708">
        <v>-3.068538283025295</v>
      </c>
      <c r="D40" s="709">
        <v>-1.9915060063821157</v>
      </c>
      <c r="E40" s="710">
        <v>0.90638578881717091</v>
      </c>
      <c r="F40" s="708">
        <v>0.4221483924911611</v>
      </c>
      <c r="G40" s="711">
        <v>-1.5985510545595782E-2</v>
      </c>
      <c r="H40" s="710">
        <v>0.314</v>
      </c>
      <c r="I40" s="708">
        <v>0.52</v>
      </c>
      <c r="J40" s="570">
        <v>3.1240000000000001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3.1240000000000001</v>
      </c>
      <c r="N40" s="632">
        <f t="shared" si="2"/>
        <v>4.0105743560242928</v>
      </c>
      <c r="O40" s="629">
        <f t="shared" si="3"/>
        <v>-3.068538283025295</v>
      </c>
      <c r="P40" s="633">
        <f t="shared" si="4"/>
        <v>-1.9915060063821157</v>
      </c>
      <c r="Q40" s="585">
        <f t="shared" si="113"/>
        <v>322.57996607020289</v>
      </c>
      <c r="R40" s="629">
        <f t="shared" si="79"/>
        <v>5.0498152302427357</v>
      </c>
      <c r="S40" s="634">
        <f t="shared" si="80"/>
        <v>-1.9915060063821157</v>
      </c>
      <c r="T40" s="635">
        <f t="shared" si="81"/>
        <v>-3.1470338282334001</v>
      </c>
      <c r="U40" s="629">
        <f t="shared" si="82"/>
        <v>-3.9492799272204202</v>
      </c>
      <c r="V40" s="636">
        <f t="shared" si="114"/>
        <v>-1.9915060063821157</v>
      </c>
      <c r="W40" s="585">
        <f t="shared" si="224"/>
        <v>231.44996607020289</v>
      </c>
      <c r="X40" s="629">
        <f t="shared" si="83"/>
        <v>5.0498152302427357</v>
      </c>
      <c r="Y40" s="630">
        <f t="shared" si="223"/>
        <v>-1.9915060063821157</v>
      </c>
      <c r="Z40" s="632">
        <f t="shared" si="6"/>
        <v>-0.90638578881717091</v>
      </c>
      <c r="AA40" s="629">
        <f t="shared" si="7"/>
        <v>-0.4221483924911611</v>
      </c>
      <c r="AB40" s="629">
        <f t="shared" si="8"/>
        <v>1.5985510545595782E-2</v>
      </c>
      <c r="AC40" s="636">
        <f t="shared" si="84"/>
        <v>1</v>
      </c>
      <c r="AD40" s="637">
        <f t="shared" si="115"/>
        <v>-0.90638578881717091</v>
      </c>
      <c r="AE40" s="629">
        <f t="shared" si="85"/>
        <v>-0.4221483924911611</v>
      </c>
      <c r="AF40" s="633">
        <f t="shared" si="86"/>
        <v>1.5985510545595782E-2</v>
      </c>
      <c r="AG40" s="602">
        <f t="shared" si="87"/>
        <v>-92.168585515161183</v>
      </c>
      <c r="AH40" s="603">
        <f t="shared" si="88"/>
        <v>155.01057705751052</v>
      </c>
      <c r="AI40" s="585">
        <f t="shared" si="89"/>
        <v>-90.915941299862141</v>
      </c>
      <c r="AJ40" s="586">
        <f t="shared" si="90"/>
        <v>-65.026291302054631</v>
      </c>
      <c r="AK40" s="635">
        <f t="shared" si="211"/>
        <v>0.88603974710623712</v>
      </c>
      <c r="AL40" s="629">
        <f t="shared" si="91"/>
        <v>-0.46333360551606001</v>
      </c>
      <c r="AM40" s="634">
        <f t="shared" si="92"/>
        <v>1.5985510545595782E-2</v>
      </c>
      <c r="AN40" s="581">
        <f t="shared" si="93"/>
        <v>-91.975982594462138</v>
      </c>
      <c r="AO40" s="582">
        <f t="shared" si="94"/>
        <v>27.62025425690555</v>
      </c>
      <c r="AP40" s="585">
        <f t="shared" si="95"/>
        <v>-27.606257372257513</v>
      </c>
      <c r="AQ40" s="586">
        <f t="shared" si="9"/>
        <v>0.45143819183770062</v>
      </c>
      <c r="AS40" s="52">
        <f t="shared" si="116"/>
        <v>231.44996607020289</v>
      </c>
      <c r="AT40" s="72">
        <f t="shared" si="10"/>
        <v>-1.9030198717086455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3.1240000000000001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4.0539225945612021</v>
      </c>
      <c r="C41" s="708">
        <v>-3.1151869464550002</v>
      </c>
      <c r="D41" s="709">
        <v>-2.6650078508718873</v>
      </c>
      <c r="E41" s="710">
        <v>0.93845854265164441</v>
      </c>
      <c r="F41" s="708">
        <v>0.34523334631660063</v>
      </c>
      <c r="G41" s="711">
        <v>1.0464239828763877E-2</v>
      </c>
      <c r="H41" s="710">
        <v>0.26600000000000001</v>
      </c>
      <c r="I41" s="708">
        <v>0.52</v>
      </c>
      <c r="J41" s="570">
        <v>3.1269999999999998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3.1269999999999998</v>
      </c>
      <c r="N41" s="632">
        <f t="shared" ref="N41:N72" si="240">IF(M41="","",B41)</f>
        <v>4.0539225945612021</v>
      </c>
      <c r="O41" s="629">
        <f t="shared" ref="O41:O72" si="241">IF(M41="","",C41)</f>
        <v>-3.1151869464550002</v>
      </c>
      <c r="P41" s="633">
        <f t="shared" ref="P41:P72" si="242">IF(M41="","",D41)</f>
        <v>-2.6650078508718873</v>
      </c>
      <c r="Q41" s="585">
        <f t="shared" si="113"/>
        <v>322.45996649120093</v>
      </c>
      <c r="R41" s="629">
        <f t="shared" si="79"/>
        <v>5.1125999368283699</v>
      </c>
      <c r="S41" s="634">
        <f t="shared" si="80"/>
        <v>-2.6650078508718873</v>
      </c>
      <c r="T41" s="635">
        <f t="shared" si="81"/>
        <v>-3.1945282876847085</v>
      </c>
      <c r="U41" s="629">
        <f t="shared" si="82"/>
        <v>-3.9916997799483438</v>
      </c>
      <c r="V41" s="636">
        <f t="shared" si="114"/>
        <v>-2.6650078508718873</v>
      </c>
      <c r="W41" s="585">
        <f t="shared" si="224"/>
        <v>231.32996649120093</v>
      </c>
      <c r="X41" s="629">
        <f t="shared" si="83"/>
        <v>5.1125999368283699</v>
      </c>
      <c r="Y41" s="630">
        <f t="shared" si="223"/>
        <v>-2.6650078508718873</v>
      </c>
      <c r="Z41" s="632">
        <f t="shared" ref="Z41:Z72" si="243">IF(M41="","",-E41)</f>
        <v>-0.93845854265164441</v>
      </c>
      <c r="AA41" s="629">
        <f t="shared" ref="AA41:AA72" si="244">IF(M41="","",-F41)</f>
        <v>-0.34523334631660063</v>
      </c>
      <c r="AB41" s="629">
        <f t="shared" ref="AB41:AB72" si="245">IF(M41="","",-G41)</f>
        <v>-1.0464239828763877E-2</v>
      </c>
      <c r="AC41" s="636">
        <f t="shared" si="84"/>
        <v>1</v>
      </c>
      <c r="AD41" s="637">
        <f t="shared" si="115"/>
        <v>-0.93845854265164441</v>
      </c>
      <c r="AE41" s="629">
        <f t="shared" si="85"/>
        <v>-0.34523334631660063</v>
      </c>
      <c r="AF41" s="633">
        <f t="shared" si="86"/>
        <v>-1.0464239828763877E-2</v>
      </c>
      <c r="AG41" s="602">
        <f t="shared" si="87"/>
        <v>-88.263860445599022</v>
      </c>
      <c r="AH41" s="603">
        <f t="shared" si="88"/>
        <v>159.79427944698995</v>
      </c>
      <c r="AI41" s="585">
        <f t="shared" si="89"/>
        <v>-89.400432279517233</v>
      </c>
      <c r="AJ41" s="586">
        <f t="shared" si="90"/>
        <v>-69.802805232936663</v>
      </c>
      <c r="AK41" s="635">
        <f t="shared" si="211"/>
        <v>0.84556255492352039</v>
      </c>
      <c r="AL41" s="629">
        <f t="shared" si="91"/>
        <v>-0.53377379609345277</v>
      </c>
      <c r="AM41" s="634">
        <f t="shared" si="92"/>
        <v>-1.0464239828763877E-2</v>
      </c>
      <c r="AN41" s="581">
        <f t="shared" si="93"/>
        <v>-88.876902554077148</v>
      </c>
      <c r="AO41" s="582">
        <f t="shared" si="94"/>
        <v>32.267740833516669</v>
      </c>
      <c r="AP41" s="585">
        <f t="shared" si="95"/>
        <v>-32.2627717241376</v>
      </c>
      <c r="AQ41" s="586">
        <f t="shared" ref="AQ41:AQ72" si="246">IF(M41="","",DEGREES(ATAN(($AS$5*SIN(RADIANS(90)))/(($X41*2*PI())-($AS$5*COS(RADIANS(90)))))))</f>
        <v>0.44589458129498238</v>
      </c>
      <c r="AS41" s="52">
        <f t="shared" si="116"/>
        <v>231.32996649120093</v>
      </c>
      <c r="AT41" s="72">
        <f t="shared" ref="AT41:AT72" si="247">IF(M41="","",Y41+(((AS41-$AS$9)*$AS$6)*-1))</f>
        <v>-2.5764383831574436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3.1269999999999998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2.3138143986046891</v>
      </c>
      <c r="C42" s="708">
        <v>-2.7187257804659364</v>
      </c>
      <c r="D42" s="709">
        <v>-0.11529231471950917</v>
      </c>
      <c r="E42" s="710">
        <v>0.80467446101209883</v>
      </c>
      <c r="F42" s="708">
        <v>0.5218623701704721</v>
      </c>
      <c r="G42" s="711">
        <v>0.28312307994041347</v>
      </c>
      <c r="H42" s="710">
        <v>0.26600000000000001</v>
      </c>
      <c r="I42" s="708">
        <v>0.52</v>
      </c>
      <c r="J42" s="570">
        <v>3.214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3.214</v>
      </c>
      <c r="N42" s="632">
        <f t="shared" si="240"/>
        <v>2.3138143986046891</v>
      </c>
      <c r="O42" s="629">
        <f t="shared" si="241"/>
        <v>-2.7187257804659364</v>
      </c>
      <c r="P42" s="633">
        <f t="shared" si="242"/>
        <v>-0.11529231471950917</v>
      </c>
      <c r="Q42" s="585">
        <f t="shared" si="113"/>
        <v>310.39996817818178</v>
      </c>
      <c r="R42" s="629">
        <f t="shared" ref="R42:R47" si="385">IF(M42="","",SQRT(N42^2+O42^2))</f>
        <v>3.5700429886151923</v>
      </c>
      <c r="S42" s="634">
        <f t="shared" ref="S42:S47" si="386">IF(M42="","",P42)</f>
        <v>-0.11529231471950917</v>
      </c>
      <c r="T42" s="635">
        <f t="shared" ref="T42:T47" si="387">IF(M42="","",X42*COS(RADIANS(W42)))</f>
        <v>-2.7638276512970261</v>
      </c>
      <c r="U42" s="629">
        <f t="shared" ref="U42:U47" si="388">IF(M42="","",X42*SIN(RADIANS(W42)))</f>
        <v>-2.2597485821406011</v>
      </c>
      <c r="V42" s="636">
        <f t="shared" ref="V42:V47" si="389">IF(M42="","",Y42)</f>
        <v>-0.11529231471950917</v>
      </c>
      <c r="W42" s="585">
        <f t="shared" si="224"/>
        <v>219.26996817818178</v>
      </c>
      <c r="X42" s="629">
        <f t="shared" ref="X42:X47" si="390">IF(M42="","",R42)</f>
        <v>3.5700429886151923</v>
      </c>
      <c r="Y42" s="630">
        <f t="shared" si="223"/>
        <v>-0.11529231471950917</v>
      </c>
      <c r="Z42" s="632">
        <f t="shared" si="243"/>
        <v>-0.80467446101209883</v>
      </c>
      <c r="AA42" s="629">
        <f t="shared" si="244"/>
        <v>-0.5218623701704721</v>
      </c>
      <c r="AB42" s="629">
        <f t="shared" si="245"/>
        <v>-0.28312307994041347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-0.80467446101209883</v>
      </c>
      <c r="AE42" s="629">
        <f t="shared" ref="AE42:AE47" si="393">IF(M42="","",AA42*(1/SQRT(Z42^2+AA42^2+AB42^2)))</f>
        <v>-0.5218623701704721</v>
      </c>
      <c r="AF42" s="633">
        <f t="shared" ref="AF42:AF47" si="394">IF(M42="","",AB42*(1/SQRT(Z42^2+AA42^2+AB42^2)))</f>
        <v>-0.28312307994041347</v>
      </c>
      <c r="AG42" s="602">
        <f t="shared" ref="AG42:AG47" si="395">IF(M42="","",DEGREES(ATAN2(-AF42,AE42)))</f>
        <v>-61.519087834472813</v>
      </c>
      <c r="AH42" s="603">
        <f t="shared" ref="AH42:AH47" si="396">IF(M42="","",DEGREES(ACOS(AD42)))</f>
        <v>143.57882794295332</v>
      </c>
      <c r="AI42" s="585">
        <f t="shared" ref="AI42:AI47" si="397">IF(M42="","",DEGREES(-ACOS(-AF42)))</f>
        <v>-73.553311343652211</v>
      </c>
      <c r="AJ42" s="586">
        <f t="shared" ref="AJ42:AJ47" si="398">IF(M42="","",DEGREES(ATAN2(-AE42,AD42)))</f>
        <v>-57.03503828034453</v>
      </c>
      <c r="AK42" s="635">
        <f t="shared" ref="AK42:AK47" si="399">IF(M42="","",(COS(RADIANS((90-$Q$8)-W42))*AD42)+(-SIN(RADIANS((90-$Q$8)-W42))*AE42))</f>
        <v>0.95101988380916191</v>
      </c>
      <c r="AL42" s="629">
        <f t="shared" ref="AL42:AL47" si="400">IF(M42="","",(SIN(RADIANS((90-$Q$8)-W42))*AD42)+(COS(RADIANS((90-$Q$8)-W42))*AE42))</f>
        <v>-0.12410681772031157</v>
      </c>
      <c r="AM42" s="634">
        <f t="shared" ref="AM42:AM47" si="401">IF(M42="","",AF42)</f>
        <v>-0.28312307994041347</v>
      </c>
      <c r="AN42" s="581">
        <f t="shared" ref="AN42:AN47" si="402">IF(M42="","",DEGREES(ATAN2(-AM42,AL42)))</f>
        <v>-23.670210922322408</v>
      </c>
      <c r="AO42" s="582">
        <f t="shared" si="94"/>
        <v>18.006790901922262</v>
      </c>
      <c r="AP42" s="585">
        <f t="shared" ref="AP42:AP47" si="403">IF(M42="","",DEGREES(ATAN2(AK42,AL42)))</f>
        <v>-7.4350064585262929</v>
      </c>
      <c r="AQ42" s="586">
        <f t="shared" si="246"/>
        <v>0.63854476103443547</v>
      </c>
      <c r="AS42" s="52">
        <f t="shared" si="116"/>
        <v>219.26996817818178</v>
      </c>
      <c r="AT42" s="72">
        <f t="shared" si="247"/>
        <v>-1.8347848176579848E-2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3.214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2.1139999999999999</v>
      </c>
      <c r="II42" s="734" cm="1">
        <f t="array" ref="II42">IFERROR(ROUND(VALUE(IF($IH42&lt;1,$IH42+LARGE((IF($M$9:$M$150="",0,$M$9:$M$150)-MOD(IF($M$9:$M$150="",0,$M$9:$M$150),1)),1),$IH42)),4),"")</f>
        <v>2.1139999999999999</v>
      </c>
      <c r="IJ42" s="533">
        <f t="shared" si="112"/>
        <v>1613</v>
      </c>
      <c r="IK42" s="533">
        <f t="shared" si="382"/>
        <v>1313</v>
      </c>
      <c r="IL42" s="727">
        <f t="shared" si="225"/>
        <v>74.89998922909416</v>
      </c>
      <c r="IM42" s="759">
        <v>4.8290848101655001E-2</v>
      </c>
      <c r="IN42" s="5">
        <f t="shared" si="226"/>
        <v>0.24</v>
      </c>
      <c r="IO42" s="771">
        <v>120</v>
      </c>
      <c r="IP42" s="9">
        <f t="shared" si="227"/>
        <v>-3.5702107677556763</v>
      </c>
      <c r="IQ42" s="5">
        <f t="shared" si="228"/>
        <v>-0.11430034472983977</v>
      </c>
      <c r="IR42" s="5">
        <f t="shared" si="383"/>
        <v>0.314</v>
      </c>
      <c r="IS42" s="5">
        <f t="shared" si="229"/>
        <v>0.3024429880892992</v>
      </c>
      <c r="IT42" s="727">
        <f t="shared" si="230"/>
        <v>25.835108171907859</v>
      </c>
      <c r="IU42" s="9">
        <f t="shared" si="231"/>
        <v>-3.5700429886151923</v>
      </c>
      <c r="IV42" s="5">
        <f t="shared" si="232"/>
        <v>-0.11529231471950917</v>
      </c>
      <c r="IW42" s="5">
        <f t="shared" si="384"/>
        <v>0.26600000000000001</v>
      </c>
      <c r="IX42" s="5">
        <f t="shared" si="233"/>
        <v>0.25297128909323707</v>
      </c>
      <c r="IY42" s="762">
        <f t="shared" si="234"/>
        <v>23.670210922322408</v>
      </c>
    </row>
    <row r="43" spans="1:267" ht="15" customHeight="1" x14ac:dyDescent="0.25">
      <c r="A43" s="79"/>
      <c r="B43" s="707">
        <v>2.8264223498543473</v>
      </c>
      <c r="C43" s="708">
        <v>-3.2059504565980661</v>
      </c>
      <c r="D43" s="709">
        <v>-0.45200249924625446</v>
      </c>
      <c r="E43" s="710">
        <v>0.87867839310538109</v>
      </c>
      <c r="F43" s="708">
        <v>0.43135366701308892</v>
      </c>
      <c r="G43" s="711">
        <v>0.20459299949926604</v>
      </c>
      <c r="H43" s="710">
        <v>0.26600000000000001</v>
      </c>
      <c r="I43" s="708">
        <v>0.52</v>
      </c>
      <c r="J43" s="570">
        <v>3.2170000000000001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3.2170000000000001</v>
      </c>
      <c r="N43" s="632">
        <f t="shared" si="240"/>
        <v>2.8264223498543473</v>
      </c>
      <c r="O43" s="629">
        <f t="shared" si="241"/>
        <v>-3.2059504565980661</v>
      </c>
      <c r="P43" s="633">
        <f t="shared" si="242"/>
        <v>-0.45200249924625446</v>
      </c>
      <c r="Q43" s="585">
        <f t="shared" si="113"/>
        <v>311.39996803379967</v>
      </c>
      <c r="R43" s="629">
        <f t="shared" si="385"/>
        <v>4.273965562556338</v>
      </c>
      <c r="S43" s="634">
        <f t="shared" si="386"/>
        <v>-0.45200249924625446</v>
      </c>
      <c r="T43" s="635">
        <f t="shared" si="387"/>
        <v>-3.2610666852770569</v>
      </c>
      <c r="U43" s="629">
        <f t="shared" si="388"/>
        <v>-2.7626483135016704</v>
      </c>
      <c r="V43" s="636">
        <f t="shared" si="389"/>
        <v>-0.45200249924625446</v>
      </c>
      <c r="W43" s="585">
        <f t="shared" si="224"/>
        <v>220.26996803379967</v>
      </c>
      <c r="X43" s="629">
        <f t="shared" si="390"/>
        <v>4.273965562556338</v>
      </c>
      <c r="Y43" s="630">
        <f t="shared" si="223"/>
        <v>-0.45200249924625446</v>
      </c>
      <c r="Z43" s="632">
        <f t="shared" si="243"/>
        <v>-0.87867839310538109</v>
      </c>
      <c r="AA43" s="629">
        <f t="shared" si="244"/>
        <v>-0.43135366701308892</v>
      </c>
      <c r="AB43" s="629">
        <f t="shared" si="245"/>
        <v>-0.20459299949926604</v>
      </c>
      <c r="AC43" s="636">
        <f t="shared" si="391"/>
        <v>1</v>
      </c>
      <c r="AD43" s="637">
        <f t="shared" si="392"/>
        <v>-0.87867839310538109</v>
      </c>
      <c r="AE43" s="629">
        <f t="shared" si="393"/>
        <v>-0.43135366701308892</v>
      </c>
      <c r="AF43" s="633">
        <f t="shared" si="394"/>
        <v>-0.20459299949926604</v>
      </c>
      <c r="AG43" s="602">
        <f t="shared" si="395"/>
        <v>-64.62480250283042</v>
      </c>
      <c r="AH43" s="603">
        <f t="shared" si="396"/>
        <v>151.48334743236049</v>
      </c>
      <c r="AI43" s="585">
        <f t="shared" si="397"/>
        <v>-78.194325330329491</v>
      </c>
      <c r="AJ43" s="586">
        <f t="shared" si="398"/>
        <v>-63.853029724062793</v>
      </c>
      <c r="AK43" s="635">
        <f t="shared" si="399"/>
        <v>0.94436583113279871</v>
      </c>
      <c r="AL43" s="629">
        <f t="shared" si="400"/>
        <v>-0.25751675973565641</v>
      </c>
      <c r="AM43" s="634">
        <f t="shared" si="401"/>
        <v>-0.20459299949926604</v>
      </c>
      <c r="AN43" s="581">
        <f t="shared" si="402"/>
        <v>-51.533413018101676</v>
      </c>
      <c r="AO43" s="582">
        <f t="shared" si="94"/>
        <v>19.201836058603408</v>
      </c>
      <c r="AP43" s="585">
        <f t="shared" si="403"/>
        <v>-15.252997757862456</v>
      </c>
      <c r="AQ43" s="586">
        <f t="shared" si="246"/>
        <v>0.53338304726807118</v>
      </c>
      <c r="AS43" s="52">
        <f t="shared" ref="AS43:AS74" si="406">IF(G43="","",IF(AND(W43&lt;(AS42+180),W43&gt;(AS42-180)),W43,IF(W43&gt;(AS42+180),W43-360,IF(W43&lt;(AS42-180),W43+360,"Error"))))</f>
        <v>220.26996803379967</v>
      </c>
      <c r="AT43" s="72">
        <f t="shared" si="247"/>
        <v>-0.35575247704750423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3.2170000000000001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2.117</v>
      </c>
      <c r="II43" s="734" cm="1">
        <f t="array" ref="II43">IFERROR(ROUND(VALUE(IF($IH43&lt;1,$IH43+LARGE((IF($M$9:$M$150="",0,$M$9:$M$150)-MOD(IF($M$9:$M$150="",0,$M$9:$M$150),1)),1),$IH43)),4),"")</f>
        <v>2.117</v>
      </c>
      <c r="IJ43" s="533">
        <f t="shared" si="112"/>
        <v>1613</v>
      </c>
      <c r="IK43" s="533">
        <f t="shared" si="382"/>
        <v>1313</v>
      </c>
      <c r="IL43" s="727">
        <f t="shared" si="225"/>
        <v>72.839989373476271</v>
      </c>
      <c r="IM43" s="759">
        <v>4.76540895551869E-2</v>
      </c>
      <c r="IN43" s="5">
        <f t="shared" si="226"/>
        <v>0.24</v>
      </c>
      <c r="IO43" s="771">
        <v>120</v>
      </c>
      <c r="IP43" s="9">
        <f t="shared" si="227"/>
        <v>-4.2744128916292805</v>
      </c>
      <c r="IQ43" s="5">
        <f t="shared" si="228"/>
        <v>-0.45110136052170308</v>
      </c>
      <c r="IR43" s="5">
        <f t="shared" si="383"/>
        <v>0.314</v>
      </c>
      <c r="IS43" s="5">
        <f t="shared" si="229"/>
        <v>0.30032686874352671</v>
      </c>
      <c r="IT43" s="727">
        <f t="shared" si="230"/>
        <v>54.993526519300822</v>
      </c>
      <c r="IU43" s="9">
        <f t="shared" si="231"/>
        <v>-4.273965562556338</v>
      </c>
      <c r="IV43" s="5">
        <f t="shared" si="232"/>
        <v>-0.45200249924625446</v>
      </c>
      <c r="IW43" s="5">
        <f t="shared" si="384"/>
        <v>0.26600000000000001</v>
      </c>
      <c r="IX43" s="5">
        <f t="shared" si="233"/>
        <v>0.25120131108132449</v>
      </c>
      <c r="IY43" s="762">
        <f t="shared" si="234"/>
        <v>51.533413018101676</v>
      </c>
    </row>
    <row r="44" spans="1:267" ht="15" customHeight="1" x14ac:dyDescent="0.25">
      <c r="A44" s="79"/>
      <c r="B44" s="707">
        <v>3.159581430216106</v>
      </c>
      <c r="C44" s="708">
        <v>-3.5775472079178074</v>
      </c>
      <c r="D44" s="709">
        <v>-1.0328388977216103</v>
      </c>
      <c r="E44" s="710">
        <v>0.9255307368378346</v>
      </c>
      <c r="F44" s="708">
        <v>0.36785931643764364</v>
      </c>
      <c r="G44" s="711">
        <v>8.9846416057874287E-2</v>
      </c>
      <c r="H44" s="710">
        <v>0.26600000000000001</v>
      </c>
      <c r="I44" s="708">
        <v>0.52</v>
      </c>
      <c r="J44" s="570">
        <v>3.22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3.22</v>
      </c>
      <c r="N44" s="632">
        <f t="shared" si="240"/>
        <v>3.159581430216106</v>
      </c>
      <c r="O44" s="629">
        <f t="shared" si="241"/>
        <v>-3.5775472079178074</v>
      </c>
      <c r="P44" s="633">
        <f t="shared" si="242"/>
        <v>-1.0328388977216103</v>
      </c>
      <c r="Q44" s="585">
        <f t="shared" si="113"/>
        <v>311.44996802658056</v>
      </c>
      <c r="R44" s="629">
        <f t="shared" si="385"/>
        <v>4.7730282671535642</v>
      </c>
      <c r="S44" s="634">
        <f t="shared" si="386"/>
        <v>-1.0328388977216103</v>
      </c>
      <c r="T44" s="635">
        <f t="shared" si="387"/>
        <v>-3.6391613806009562</v>
      </c>
      <c r="U44" s="629">
        <f t="shared" si="388"/>
        <v>-3.0884143641988033</v>
      </c>
      <c r="V44" s="636">
        <f t="shared" si="389"/>
        <v>-1.0328388977216103</v>
      </c>
      <c r="W44" s="585">
        <f t="shared" si="224"/>
        <v>220.31996802658057</v>
      </c>
      <c r="X44" s="629">
        <f t="shared" si="390"/>
        <v>4.7730282671535642</v>
      </c>
      <c r="Y44" s="630">
        <f t="shared" si="223"/>
        <v>-1.0328388977216103</v>
      </c>
      <c r="Z44" s="632">
        <f t="shared" si="243"/>
        <v>-0.9255307368378346</v>
      </c>
      <c r="AA44" s="629">
        <f t="shared" si="244"/>
        <v>-0.36785931643764364</v>
      </c>
      <c r="AB44" s="629">
        <f t="shared" si="245"/>
        <v>-8.9846416057874287E-2</v>
      </c>
      <c r="AC44" s="636">
        <f t="shared" si="391"/>
        <v>1</v>
      </c>
      <c r="AD44" s="637">
        <f t="shared" si="392"/>
        <v>-0.9255307368378346</v>
      </c>
      <c r="AE44" s="629">
        <f t="shared" si="393"/>
        <v>-0.36785931643764364</v>
      </c>
      <c r="AF44" s="633">
        <f t="shared" si="394"/>
        <v>-8.9846416057874287E-2</v>
      </c>
      <c r="AG44" s="602">
        <f t="shared" si="395"/>
        <v>-76.274718432954046</v>
      </c>
      <c r="AH44" s="603">
        <f t="shared" si="396"/>
        <v>157.74852211124067</v>
      </c>
      <c r="AI44" s="585">
        <f t="shared" si="397"/>
        <v>-84.845228416120634</v>
      </c>
      <c r="AJ44" s="586">
        <f t="shared" si="398"/>
        <v>-68.324272175792089</v>
      </c>
      <c r="AK44" s="635">
        <f t="shared" si="399"/>
        <v>0.93722708481515693</v>
      </c>
      <c r="AL44" s="629">
        <f t="shared" si="400"/>
        <v>-0.33694660261002507</v>
      </c>
      <c r="AM44" s="634">
        <f t="shared" si="401"/>
        <v>-8.9846416057874287E-2</v>
      </c>
      <c r="AN44" s="581">
        <f t="shared" si="402"/>
        <v>-75.069537149945944</v>
      </c>
      <c r="AO44" s="582">
        <f t="shared" si="94"/>
        <v>20.409022927638929</v>
      </c>
      <c r="AP44" s="585">
        <f t="shared" si="403"/>
        <v>-19.774240202372646</v>
      </c>
      <c r="AQ44" s="586">
        <f t="shared" si="246"/>
        <v>0.47761582359857147</v>
      </c>
      <c r="AS44" s="52">
        <f t="shared" si="406"/>
        <v>220.31996802658057</v>
      </c>
      <c r="AT44" s="72">
        <f t="shared" si="247"/>
        <v>-0.93662359774006898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3.22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2.12</v>
      </c>
      <c r="II44" s="734" cm="1">
        <f t="array" ref="II44">IFERROR(ROUND(VALUE(IF($IH44&lt;1,$IH44+LARGE((IF($M$9:$M$150="",0,$M$9:$M$150)-MOD(IF($M$9:$M$150="",0,$M$9:$M$150),1)),1),$IH44)),4),"")</f>
        <v>2.12</v>
      </c>
      <c r="IJ44" s="533">
        <f t="shared" si="112"/>
        <v>1613</v>
      </c>
      <c r="IK44" s="533">
        <f t="shared" si="382"/>
        <v>1313</v>
      </c>
      <c r="IL44" s="727">
        <f t="shared" si="225"/>
        <v>71.879989380695406</v>
      </c>
      <c r="IM44" s="759">
        <v>4.7170543800988098E-2</v>
      </c>
      <c r="IN44" s="5">
        <f t="shared" si="226"/>
        <v>0.28000000000000003</v>
      </c>
      <c r="IO44" s="771">
        <v>140</v>
      </c>
      <c r="IP44" s="9">
        <f t="shared" si="227"/>
        <v>-4.7737143975226219</v>
      </c>
      <c r="IQ44" s="5">
        <f t="shared" si="228"/>
        <v>-1.0321031128229883</v>
      </c>
      <c r="IR44" s="5">
        <f t="shared" si="383"/>
        <v>0.314</v>
      </c>
      <c r="IS44" s="5">
        <f t="shared" si="229"/>
        <v>0.29805660730706623</v>
      </c>
      <c r="IT44" s="727">
        <f t="shared" si="230"/>
        <v>79.05308636321179</v>
      </c>
      <c r="IU44" s="9">
        <f t="shared" si="231"/>
        <v>-4.7730282671535642</v>
      </c>
      <c r="IV44" s="5">
        <f t="shared" si="232"/>
        <v>-1.0328388977216103</v>
      </c>
      <c r="IW44" s="5">
        <f t="shared" si="384"/>
        <v>0.26600000000000001</v>
      </c>
      <c r="IX44" s="5">
        <f t="shared" si="233"/>
        <v>0.24930240456083175</v>
      </c>
      <c r="IY44" s="762">
        <f t="shared" si="234"/>
        <v>75.069537149945944</v>
      </c>
    </row>
    <row r="45" spans="1:267" ht="15" customHeight="1" x14ac:dyDescent="0.25">
      <c r="A45" s="79"/>
      <c r="B45" s="707">
        <v>-0.3917297524730981</v>
      </c>
      <c r="C45" s="708">
        <v>-2.510124893820521</v>
      </c>
      <c r="D45" s="709">
        <v>-0.15080045481417167</v>
      </c>
      <c r="E45" s="710">
        <v>0.9543740106798958</v>
      </c>
      <c r="F45" s="708">
        <v>-0.14893947942222394</v>
      </c>
      <c r="G45" s="711">
        <v>0.25881900859134604</v>
      </c>
      <c r="H45" s="710">
        <v>0.314</v>
      </c>
      <c r="I45" s="708">
        <v>0.52</v>
      </c>
      <c r="J45" s="570">
        <v>4.1100000000000003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4.1100000000000003</v>
      </c>
      <c r="N45" s="632">
        <f t="shared" si="240"/>
        <v>-0.3917297524730981</v>
      </c>
      <c r="O45" s="629">
        <f t="shared" si="241"/>
        <v>-2.510124893820521</v>
      </c>
      <c r="P45" s="633">
        <f t="shared" si="242"/>
        <v>-0.15080045481417167</v>
      </c>
      <c r="Q45" s="585">
        <f t="shared" si="113"/>
        <v>261.12997545504038</v>
      </c>
      <c r="R45" s="629">
        <f t="shared" si="385"/>
        <v>2.5405076621711093</v>
      </c>
      <c r="S45" s="634">
        <f t="shared" si="386"/>
        <v>-0.15080045481417167</v>
      </c>
      <c r="T45" s="635">
        <f t="shared" si="387"/>
        <v>-2.5019114533064521</v>
      </c>
      <c r="U45" s="629">
        <f t="shared" si="388"/>
        <v>0.44115559767967533</v>
      </c>
      <c r="V45" s="636">
        <f t="shared" si="389"/>
        <v>-0.15080045481417167</v>
      </c>
      <c r="W45" s="585">
        <f t="shared" si="224"/>
        <v>169.99997545504038</v>
      </c>
      <c r="X45" s="629">
        <f t="shared" si="390"/>
        <v>2.5405076621711093</v>
      </c>
      <c r="Y45" s="630">
        <f t="shared" si="223"/>
        <v>-0.15080045481417167</v>
      </c>
      <c r="Z45" s="632">
        <f t="shared" si="243"/>
        <v>-0.9543740106798958</v>
      </c>
      <c r="AA45" s="629">
        <f t="shared" si="244"/>
        <v>0.14893947942222394</v>
      </c>
      <c r="AB45" s="629">
        <f t="shared" si="245"/>
        <v>-0.25881900859134604</v>
      </c>
      <c r="AC45" s="636">
        <f t="shared" si="391"/>
        <v>1</v>
      </c>
      <c r="AD45" s="637">
        <f t="shared" si="392"/>
        <v>-0.9543740106798958</v>
      </c>
      <c r="AE45" s="629">
        <f t="shared" si="393"/>
        <v>0.14893947942222394</v>
      </c>
      <c r="AF45" s="633">
        <f t="shared" si="394"/>
        <v>-0.25881900859134604</v>
      </c>
      <c r="AG45" s="602">
        <f t="shared" si="395"/>
        <v>29.918620819970727</v>
      </c>
      <c r="AH45" s="603">
        <f t="shared" si="396"/>
        <v>162.62563160310953</v>
      </c>
      <c r="AI45" s="585">
        <f t="shared" si="397"/>
        <v>-75.000002165731729</v>
      </c>
      <c r="AJ45" s="586">
        <f t="shared" si="398"/>
        <v>-98.870024544959634</v>
      </c>
      <c r="AK45" s="635">
        <f t="shared" si="399"/>
        <v>0.96592583607220739</v>
      </c>
      <c r="AL45" s="629">
        <f t="shared" si="400"/>
        <v>-1.6653345369377348E-16</v>
      </c>
      <c r="AM45" s="634">
        <f t="shared" si="401"/>
        <v>-0.25881900859134604</v>
      </c>
      <c r="AN45" s="581">
        <f t="shared" si="402"/>
        <v>-3.6866164105651353E-14</v>
      </c>
      <c r="AO45" s="582">
        <f t="shared" si="94"/>
        <v>14.999997834268255</v>
      </c>
      <c r="AP45" s="585">
        <f t="shared" si="403"/>
        <v>-9.8782574065834049E-15</v>
      </c>
      <c r="AQ45" s="586">
        <f t="shared" si="246"/>
        <v>0.89727745974728523</v>
      </c>
      <c r="AS45" s="52">
        <f t="shared" si="406"/>
        <v>169.99997545504038</v>
      </c>
      <c r="AT45" s="72">
        <f t="shared" si="247"/>
        <v>-1.9640715546838605E-2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4.1100000000000003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-0.53966761381934236</v>
      </c>
      <c r="C46" s="708">
        <v>-3.2669359409109675</v>
      </c>
      <c r="D46" s="709">
        <v>-6.9200208707829475E-2</v>
      </c>
      <c r="E46" s="710">
        <v>0.94044160474055127</v>
      </c>
      <c r="F46" s="708">
        <v>-0.22566183401660544</v>
      </c>
      <c r="G46" s="711">
        <v>0.25425641533947346</v>
      </c>
      <c r="H46" s="710">
        <v>0.314</v>
      </c>
      <c r="I46" s="708">
        <v>0.52</v>
      </c>
      <c r="J46" s="570">
        <v>4.1130000000000004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4.1130000000000004</v>
      </c>
      <c r="N46" s="632">
        <f t="shared" si="240"/>
        <v>-0.53966761381934236</v>
      </c>
      <c r="O46" s="629">
        <f t="shared" si="241"/>
        <v>-3.2669359409109675</v>
      </c>
      <c r="P46" s="633">
        <f t="shared" si="242"/>
        <v>-6.9200208707829475E-2</v>
      </c>
      <c r="Q46" s="585">
        <f t="shared" si="113"/>
        <v>260.61997545504039</v>
      </c>
      <c r="R46" s="629">
        <f t="shared" si="385"/>
        <v>3.3112099866093194</v>
      </c>
      <c r="S46" s="634">
        <f t="shared" si="386"/>
        <v>-6.9200208707829475E-2</v>
      </c>
      <c r="T46" s="635">
        <f t="shared" si="387"/>
        <v>-3.255657844303971</v>
      </c>
      <c r="U46" s="629">
        <f t="shared" si="388"/>
        <v>0.60398971534564427</v>
      </c>
      <c r="V46" s="636">
        <f t="shared" si="389"/>
        <v>-6.9200208707829475E-2</v>
      </c>
      <c r="W46" s="585">
        <f t="shared" si="224"/>
        <v>169.48997545504039</v>
      </c>
      <c r="X46" s="629">
        <f t="shared" si="390"/>
        <v>3.3112099866093194</v>
      </c>
      <c r="Y46" s="630">
        <f t="shared" si="223"/>
        <v>-6.9200208707829475E-2</v>
      </c>
      <c r="Z46" s="632">
        <f t="shared" si="243"/>
        <v>-0.94044160474055127</v>
      </c>
      <c r="AA46" s="629">
        <f t="shared" si="244"/>
        <v>0.22566183401660544</v>
      </c>
      <c r="AB46" s="629">
        <f t="shared" si="245"/>
        <v>-0.25425641533947346</v>
      </c>
      <c r="AC46" s="636">
        <f t="shared" si="391"/>
        <v>1</v>
      </c>
      <c r="AD46" s="637">
        <f t="shared" si="392"/>
        <v>-0.94044160474055127</v>
      </c>
      <c r="AE46" s="629">
        <f t="shared" si="393"/>
        <v>0.22566183401660544</v>
      </c>
      <c r="AF46" s="633">
        <f t="shared" si="394"/>
        <v>-0.25425641533947346</v>
      </c>
      <c r="AG46" s="602">
        <f t="shared" si="395"/>
        <v>41.590222991681813</v>
      </c>
      <c r="AH46" s="603">
        <f t="shared" si="396"/>
        <v>160.12585087732805</v>
      </c>
      <c r="AI46" s="585">
        <f t="shared" si="397"/>
        <v>-75.270471255220542</v>
      </c>
      <c r="AJ46" s="586">
        <f t="shared" si="398"/>
        <v>-103.49318987463444</v>
      </c>
      <c r="AK46" s="635">
        <f t="shared" si="399"/>
        <v>0.96464581686634032</v>
      </c>
      <c r="AL46" s="629">
        <f t="shared" si="400"/>
        <v>-6.9369469228128644E-2</v>
      </c>
      <c r="AM46" s="634">
        <f t="shared" si="401"/>
        <v>-0.25425641533947346</v>
      </c>
      <c r="AN46" s="581">
        <f t="shared" si="402"/>
        <v>-15.260741935095998</v>
      </c>
      <c r="AO46" s="582">
        <f t="shared" si="94"/>
        <v>15.280793943333395</v>
      </c>
      <c r="AP46" s="585">
        <f t="shared" si="403"/>
        <v>-4.1131653296748114</v>
      </c>
      <c r="AQ46" s="586">
        <f t="shared" si="246"/>
        <v>0.68845434900797275</v>
      </c>
      <c r="AS46" s="52">
        <f t="shared" si="406"/>
        <v>169.48997545504039</v>
      </c>
      <c r="AT46" s="72">
        <f t="shared" si="247"/>
        <v>6.231369722617025E-2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4.1130000000000004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-0.73249645461462576</v>
      </c>
      <c r="C47" s="708">
        <v>-3.9910496803322042</v>
      </c>
      <c r="D47" s="709">
        <v>-0.30710092621639357</v>
      </c>
      <c r="E47" s="710">
        <v>0.90652894250337035</v>
      </c>
      <c r="F47" s="708">
        <v>-0.37300377963120379</v>
      </c>
      <c r="G47" s="711">
        <v>0.19767007053309191</v>
      </c>
      <c r="H47" s="710">
        <v>0.314</v>
      </c>
      <c r="I47" s="708">
        <v>0.52</v>
      </c>
      <c r="J47" s="570">
        <v>4.1159999999999997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4.1159999999999997</v>
      </c>
      <c r="N47" s="632">
        <f t="shared" si="240"/>
        <v>-0.73249645461462576</v>
      </c>
      <c r="O47" s="629">
        <f t="shared" si="241"/>
        <v>-3.9910496803322042</v>
      </c>
      <c r="P47" s="633">
        <f t="shared" si="242"/>
        <v>-0.30710092621639357</v>
      </c>
      <c r="Q47" s="585">
        <f t="shared" si="113"/>
        <v>259.59997545504035</v>
      </c>
      <c r="R47" s="629">
        <f t="shared" si="385"/>
        <v>4.0577122380601098</v>
      </c>
      <c r="S47" s="634">
        <f t="shared" si="386"/>
        <v>-0.30710092621639357</v>
      </c>
      <c r="T47" s="635">
        <f t="shared" si="387"/>
        <v>-3.9758279940931285</v>
      </c>
      <c r="U47" s="629">
        <f t="shared" si="388"/>
        <v>0.81106126050267857</v>
      </c>
      <c r="V47" s="636">
        <f t="shared" si="389"/>
        <v>-0.30710092621639357</v>
      </c>
      <c r="W47" s="585">
        <f t="shared" si="224"/>
        <v>168.46997545504036</v>
      </c>
      <c r="X47" s="629">
        <f t="shared" si="390"/>
        <v>4.0577122380601098</v>
      </c>
      <c r="Y47" s="630">
        <f t="shared" si="223"/>
        <v>-0.30710092621639357</v>
      </c>
      <c r="Z47" s="632">
        <f t="shared" si="243"/>
        <v>-0.90652894250337035</v>
      </c>
      <c r="AA47" s="629">
        <f t="shared" si="244"/>
        <v>0.37300377963120379</v>
      </c>
      <c r="AB47" s="629">
        <f t="shared" si="245"/>
        <v>-0.19767007053309191</v>
      </c>
      <c r="AC47" s="636">
        <f t="shared" si="391"/>
        <v>1</v>
      </c>
      <c r="AD47" s="637">
        <f t="shared" si="392"/>
        <v>-0.90652894250337035</v>
      </c>
      <c r="AE47" s="629">
        <f t="shared" si="393"/>
        <v>0.37300377963120379</v>
      </c>
      <c r="AF47" s="633">
        <f t="shared" si="394"/>
        <v>-0.19767007053309191</v>
      </c>
      <c r="AG47" s="602">
        <f t="shared" si="395"/>
        <v>62.079040530282946</v>
      </c>
      <c r="AH47" s="603">
        <f t="shared" si="396"/>
        <v>155.0299996345106</v>
      </c>
      <c r="AI47" s="585">
        <f t="shared" si="397"/>
        <v>-78.599255935430264</v>
      </c>
      <c r="AJ47" s="586">
        <f t="shared" si="398"/>
        <v>-112.36538878379297</v>
      </c>
      <c r="AK47" s="635">
        <f t="shared" si="399"/>
        <v>0.9589704158489013</v>
      </c>
      <c r="AL47" s="629">
        <f t="shared" si="400"/>
        <v>-0.20322963549154885</v>
      </c>
      <c r="AM47" s="634">
        <f t="shared" si="401"/>
        <v>-0.19767007053309191</v>
      </c>
      <c r="AN47" s="581">
        <f t="shared" si="402"/>
        <v>-45.794510910778747</v>
      </c>
      <c r="AO47" s="582">
        <f t="shared" si="94"/>
        <v>16.469575129731343</v>
      </c>
      <c r="AP47" s="585">
        <f t="shared" si="403"/>
        <v>-11.965364238833317</v>
      </c>
      <c r="AQ47" s="586">
        <f t="shared" si="246"/>
        <v>0.56180759890170129</v>
      </c>
      <c r="AS47" s="52">
        <f t="shared" si="406"/>
        <v>168.46997545504036</v>
      </c>
      <c r="AT47" s="72">
        <f t="shared" si="247"/>
        <v>-0.17487868694906047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4.1159999999999997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-0.91806709864016156</v>
      </c>
      <c r="C48" s="708">
        <v>-4.5489976037272379</v>
      </c>
      <c r="D48" s="709">
        <v>-0.82490248790590315</v>
      </c>
      <c r="E48" s="710">
        <v>0.87459887820091908</v>
      </c>
      <c r="F48" s="708">
        <v>-0.47528528092073913</v>
      </c>
      <c r="G48" s="711">
        <v>9.5815990261480077E-2</v>
      </c>
      <c r="H48" s="710">
        <v>0.314</v>
      </c>
      <c r="I48" s="708">
        <v>0.52</v>
      </c>
      <c r="J48" s="570">
        <v>4.1189999999999998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4.1189999999999998</v>
      </c>
      <c r="N48" s="632">
        <f t="shared" si="240"/>
        <v>-0.91806709864016156</v>
      </c>
      <c r="O48" s="629">
        <f t="shared" si="241"/>
        <v>-4.5489976037272379</v>
      </c>
      <c r="P48" s="633">
        <f t="shared" si="242"/>
        <v>-0.82490248790590315</v>
      </c>
      <c r="Q48" s="585">
        <f t="shared" si="113"/>
        <v>258.58997545504036</v>
      </c>
      <c r="R48" s="629">
        <f t="shared" si="79"/>
        <v>4.6407139963934121</v>
      </c>
      <c r="S48" s="634">
        <f t="shared" si="80"/>
        <v>-0.82490248790590315</v>
      </c>
      <c r="T48" s="635">
        <f t="shared" si="81"/>
        <v>-4.5300077817113271</v>
      </c>
      <c r="U48" s="629">
        <f t="shared" si="82"/>
        <v>1.0075990740153211</v>
      </c>
      <c r="V48" s="636">
        <f t="shared" si="114"/>
        <v>-0.82490248790590315</v>
      </c>
      <c r="W48" s="585">
        <f t="shared" si="224"/>
        <v>167.45997545504036</v>
      </c>
      <c r="X48" s="629">
        <f t="shared" si="83"/>
        <v>4.6407139963934121</v>
      </c>
      <c r="Y48" s="630">
        <f t="shared" si="223"/>
        <v>-0.82490248790590315</v>
      </c>
      <c r="Z48" s="632">
        <f t="shared" si="243"/>
        <v>-0.87459887820091908</v>
      </c>
      <c r="AA48" s="629">
        <f t="shared" si="244"/>
        <v>0.47528528092073913</v>
      </c>
      <c r="AB48" s="629">
        <f t="shared" si="245"/>
        <v>-9.5815990261480077E-2</v>
      </c>
      <c r="AC48" s="636">
        <f t="shared" si="84"/>
        <v>1</v>
      </c>
      <c r="AD48" s="637">
        <f t="shared" si="115"/>
        <v>-0.87459887820091908</v>
      </c>
      <c r="AE48" s="629">
        <f t="shared" si="85"/>
        <v>0.47528528092073913</v>
      </c>
      <c r="AF48" s="633">
        <f t="shared" si="86"/>
        <v>-9.5815990261480077E-2</v>
      </c>
      <c r="AG48" s="602">
        <f t="shared" si="87"/>
        <v>78.602123711284122</v>
      </c>
      <c r="AH48" s="603">
        <f t="shared" si="88"/>
        <v>150.99753848939577</v>
      </c>
      <c r="AI48" s="585">
        <f t="shared" si="89"/>
        <v>-84.501713136300012</v>
      </c>
      <c r="AJ48" s="586">
        <f t="shared" si="90"/>
        <v>-118.52108570886139</v>
      </c>
      <c r="AK48" s="635">
        <f t="shared" si="211"/>
        <v>0.95133894988376277</v>
      </c>
      <c r="AL48" s="629">
        <f t="shared" si="91"/>
        <v>-0.29287112941406773</v>
      </c>
      <c r="AM48" s="634">
        <f t="shared" si="92"/>
        <v>-9.5815990261480077E-2</v>
      </c>
      <c r="AN48" s="581">
        <f t="shared" si="93"/>
        <v>-71.883925894785051</v>
      </c>
      <c r="AO48" s="582">
        <f t="shared" si="94"/>
        <v>17.947559263244113</v>
      </c>
      <c r="AP48" s="585">
        <f t="shared" si="95"/>
        <v>-17.111061163901745</v>
      </c>
      <c r="AQ48" s="586">
        <f t="shared" si="246"/>
        <v>0.49123276606569261</v>
      </c>
      <c r="AS48" s="52">
        <f t="shared" si="406"/>
        <v>167.45997545504036</v>
      </c>
      <c r="AT48" s="72">
        <f t="shared" si="247"/>
        <v>-0.69197885974968121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4.1189999999999998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-1.036532217243963</v>
      </c>
      <c r="C49" s="708">
        <v>-4.8598050079360737</v>
      </c>
      <c r="D49" s="709">
        <v>-1.5038045354744787</v>
      </c>
      <c r="E49" s="710">
        <v>0.79660966005448186</v>
      </c>
      <c r="F49" s="708">
        <v>-0.6019574081786111</v>
      </c>
      <c r="G49" s="711">
        <v>5.5320233610966503E-2</v>
      </c>
      <c r="H49" s="710">
        <v>0.314</v>
      </c>
      <c r="I49" s="708">
        <v>0.52</v>
      </c>
      <c r="J49" s="570">
        <v>4.1219999999999999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4.1219999999999999</v>
      </c>
      <c r="N49" s="632">
        <f t="shared" si="240"/>
        <v>-1.036532217243963</v>
      </c>
      <c r="O49" s="629">
        <f t="shared" si="241"/>
        <v>-4.8598050079360737</v>
      </c>
      <c r="P49" s="633">
        <f t="shared" si="242"/>
        <v>-1.5038045354744787</v>
      </c>
      <c r="Q49" s="585">
        <f t="shared" si="113"/>
        <v>257.95997545504036</v>
      </c>
      <c r="R49" s="629">
        <f t="shared" si="79"/>
        <v>4.9691149868508004</v>
      </c>
      <c r="S49" s="634">
        <f t="shared" si="80"/>
        <v>-1.5038045354744787</v>
      </c>
      <c r="T49" s="635">
        <f t="shared" si="81"/>
        <v>-4.8384184973894504</v>
      </c>
      <c r="U49" s="629">
        <f t="shared" si="82"/>
        <v>1.1321705687151766</v>
      </c>
      <c r="V49" s="636">
        <f t="shared" si="114"/>
        <v>-1.5038045354744787</v>
      </c>
      <c r="W49" s="585">
        <f t="shared" si="224"/>
        <v>166.82997545504037</v>
      </c>
      <c r="X49" s="629">
        <f t="shared" si="83"/>
        <v>4.9691149868508004</v>
      </c>
      <c r="Y49" s="630">
        <f t="shared" si="223"/>
        <v>-1.5038045354744787</v>
      </c>
      <c r="Z49" s="632">
        <f t="shared" si="243"/>
        <v>-0.79660966005448186</v>
      </c>
      <c r="AA49" s="629">
        <f t="shared" si="244"/>
        <v>0.6019574081786111</v>
      </c>
      <c r="AB49" s="629">
        <f t="shared" si="245"/>
        <v>-5.5320233610966503E-2</v>
      </c>
      <c r="AC49" s="636">
        <f t="shared" si="84"/>
        <v>1</v>
      </c>
      <c r="AD49" s="637">
        <f t="shared" si="115"/>
        <v>-0.79660966005448186</v>
      </c>
      <c r="AE49" s="629">
        <f t="shared" si="85"/>
        <v>0.6019574081786111</v>
      </c>
      <c r="AF49" s="633">
        <f t="shared" si="86"/>
        <v>-5.5320233610966503E-2</v>
      </c>
      <c r="AG49" s="602">
        <f t="shared" si="87"/>
        <v>84.749233773042477</v>
      </c>
      <c r="AH49" s="603">
        <f t="shared" si="88"/>
        <v>142.80755753474278</v>
      </c>
      <c r="AI49" s="585">
        <f t="shared" si="89"/>
        <v>-86.828765184430409</v>
      </c>
      <c r="AJ49" s="586">
        <f t="shared" si="90"/>
        <v>-127.07648673416169</v>
      </c>
      <c r="AK49" s="635">
        <f t="shared" si="211"/>
        <v>0.90465120533219079</v>
      </c>
      <c r="AL49" s="629">
        <f t="shared" si="91"/>
        <v>-0.42254688313161487</v>
      </c>
      <c r="AM49" s="634">
        <f t="shared" si="92"/>
        <v>-5.5320233610966503E-2</v>
      </c>
      <c r="AN49" s="581">
        <f t="shared" si="93"/>
        <v>-82.541205146751864</v>
      </c>
      <c r="AO49" s="582">
        <f t="shared" si="94"/>
        <v>25.2236528210044</v>
      </c>
      <c r="AP49" s="585">
        <f t="shared" si="95"/>
        <v>-25.036462189202062</v>
      </c>
      <c r="AQ49" s="586">
        <f t="shared" si="246"/>
        <v>0.45876940220070084</v>
      </c>
      <c r="AS49" s="52">
        <f t="shared" si="406"/>
        <v>166.82997545504037</v>
      </c>
      <c r="AT49" s="72">
        <f t="shared" si="247"/>
        <v>-1.3704434073182568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4.1219999999999999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-1.0671532901044178</v>
      </c>
      <c r="C50" s="708">
        <v>-4.9357692120895216</v>
      </c>
      <c r="D50" s="709">
        <v>-2.2431067652100039</v>
      </c>
      <c r="E50" s="710">
        <v>0.76811514156453486</v>
      </c>
      <c r="F50" s="708">
        <v>-0.64011217259640907</v>
      </c>
      <c r="G50" s="711">
        <v>-1.5985486955354265E-2</v>
      </c>
      <c r="H50" s="710">
        <v>0.314</v>
      </c>
      <c r="I50" s="708">
        <v>0.52</v>
      </c>
      <c r="J50" s="570">
        <v>4.125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4.125</v>
      </c>
      <c r="N50" s="632">
        <f t="shared" si="240"/>
        <v>-1.0671532901044178</v>
      </c>
      <c r="O50" s="629">
        <f t="shared" si="241"/>
        <v>-4.9357692120895216</v>
      </c>
      <c r="P50" s="633">
        <f t="shared" si="242"/>
        <v>-2.2431067652100039</v>
      </c>
      <c r="Q50" s="585">
        <f t="shared" si="113"/>
        <v>257.79997545504034</v>
      </c>
      <c r="R50" s="629">
        <f t="shared" si="79"/>
        <v>5.0498152302427366</v>
      </c>
      <c r="S50" s="634">
        <f t="shared" si="80"/>
        <v>-2.2431067652100039</v>
      </c>
      <c r="T50" s="635">
        <f t="shared" si="81"/>
        <v>-4.9137640518733994</v>
      </c>
      <c r="U50" s="629">
        <f t="shared" si="82"/>
        <v>1.1642837721570356</v>
      </c>
      <c r="V50" s="636">
        <f t="shared" si="114"/>
        <v>-2.2431067652100039</v>
      </c>
      <c r="W50" s="585">
        <f t="shared" si="224"/>
        <v>166.66997545504034</v>
      </c>
      <c r="X50" s="629">
        <f t="shared" si="83"/>
        <v>5.0498152302427366</v>
      </c>
      <c r="Y50" s="630">
        <f t="shared" si="223"/>
        <v>-2.2431067652100039</v>
      </c>
      <c r="Z50" s="632">
        <f t="shared" si="243"/>
        <v>-0.76811514156453486</v>
      </c>
      <c r="AA50" s="629">
        <f t="shared" si="244"/>
        <v>0.64011217259640907</v>
      </c>
      <c r="AB50" s="629">
        <f t="shared" si="245"/>
        <v>1.5985486955354265E-2</v>
      </c>
      <c r="AC50" s="636">
        <f t="shared" si="84"/>
        <v>1</v>
      </c>
      <c r="AD50" s="637">
        <f t="shared" si="115"/>
        <v>-0.76811514156453486</v>
      </c>
      <c r="AE50" s="629">
        <f t="shared" si="85"/>
        <v>0.64011217259640907</v>
      </c>
      <c r="AF50" s="633">
        <f t="shared" si="86"/>
        <v>1.5985486955354265E-2</v>
      </c>
      <c r="AG50" s="602">
        <f t="shared" si="87"/>
        <v>91.430547092329803</v>
      </c>
      <c r="AH50" s="603">
        <f t="shared" si="88"/>
        <v>140.1849306185841</v>
      </c>
      <c r="AI50" s="585">
        <f t="shared" si="89"/>
        <v>-90.915939948068129</v>
      </c>
      <c r="AJ50" s="586">
        <f t="shared" si="90"/>
        <v>-129.80628517728138</v>
      </c>
      <c r="AK50" s="635">
        <f t="shared" si="211"/>
        <v>0.88603972107729712</v>
      </c>
      <c r="AL50" s="629">
        <f t="shared" si="91"/>
        <v>-0.46333365610547439</v>
      </c>
      <c r="AM50" s="634">
        <f t="shared" si="92"/>
        <v>1.5985486955354265E-2</v>
      </c>
      <c r="AN50" s="581">
        <f t="shared" si="93"/>
        <v>-91.975979465186157</v>
      </c>
      <c r="AO50" s="582">
        <f t="shared" si="94"/>
        <v>27.62025747372709</v>
      </c>
      <c r="AP50" s="585">
        <f t="shared" si="95"/>
        <v>-27.606260632321725</v>
      </c>
      <c r="AQ50" s="586">
        <f t="shared" si="246"/>
        <v>0.45143819183770051</v>
      </c>
      <c r="AS50" s="52">
        <f t="shared" si="406"/>
        <v>166.66997545504034</v>
      </c>
      <c r="AT50" s="72">
        <f t="shared" si="247"/>
        <v>-2.1096345259426705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4.125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-1.1100556476316796</v>
      </c>
      <c r="C51" s="708">
        <v>-4.9906366870530094</v>
      </c>
      <c r="D51" s="709">
        <v>-2.9576087243745524</v>
      </c>
      <c r="E51" s="710">
        <v>0.70949745493413174</v>
      </c>
      <c r="F51" s="708">
        <v>-0.70463030062679732</v>
      </c>
      <c r="G51" s="711">
        <v>1.0464266843838443E-2</v>
      </c>
      <c r="H51" s="710">
        <v>0.26600000000000001</v>
      </c>
      <c r="I51" s="708">
        <v>0.52</v>
      </c>
      <c r="J51" s="570">
        <v>4.1280000000000001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4.1280000000000001</v>
      </c>
      <c r="N51" s="632">
        <f t="shared" si="240"/>
        <v>-1.1100556476316796</v>
      </c>
      <c r="O51" s="629">
        <f t="shared" si="241"/>
        <v>-4.9906366870530094</v>
      </c>
      <c r="P51" s="633">
        <f t="shared" si="242"/>
        <v>-2.9576087243745524</v>
      </c>
      <c r="Q51" s="585">
        <f t="shared" si="113"/>
        <v>257.45997589628143</v>
      </c>
      <c r="R51" s="629">
        <f t="shared" si="79"/>
        <v>5.1125999337908716</v>
      </c>
      <c r="S51" s="634">
        <f t="shared" si="80"/>
        <v>-2.9576087243745524</v>
      </c>
      <c r="T51" s="635">
        <f t="shared" si="81"/>
        <v>-4.9677747814864759</v>
      </c>
      <c r="U51" s="629">
        <f t="shared" si="82"/>
        <v>1.2082598244688203</v>
      </c>
      <c r="V51" s="636">
        <f t="shared" si="114"/>
        <v>-2.9576087243745524</v>
      </c>
      <c r="W51" s="585">
        <f t="shared" si="224"/>
        <v>166.32997589628144</v>
      </c>
      <c r="X51" s="629">
        <f t="shared" si="83"/>
        <v>5.1125999337908716</v>
      </c>
      <c r="Y51" s="630">
        <f t="shared" si="223"/>
        <v>-2.9576087243745524</v>
      </c>
      <c r="Z51" s="632">
        <f t="shared" si="243"/>
        <v>-0.70949745493413174</v>
      </c>
      <c r="AA51" s="629">
        <f t="shared" si="244"/>
        <v>0.70463030062679732</v>
      </c>
      <c r="AB51" s="629">
        <f t="shared" si="245"/>
        <v>-1.0464266843838443E-2</v>
      </c>
      <c r="AC51" s="636">
        <f t="shared" si="84"/>
        <v>1</v>
      </c>
      <c r="AD51" s="637">
        <f t="shared" si="115"/>
        <v>-0.70949745493413174</v>
      </c>
      <c r="AE51" s="629">
        <f t="shared" si="85"/>
        <v>0.70463030062679732</v>
      </c>
      <c r="AF51" s="633">
        <f t="shared" si="86"/>
        <v>-1.0464266843838443E-2</v>
      </c>
      <c r="AG51" s="602">
        <f t="shared" si="87"/>
        <v>89.149179002314696</v>
      </c>
      <c r="AH51" s="603">
        <f t="shared" si="88"/>
        <v>135.19404157981296</v>
      </c>
      <c r="AI51" s="585">
        <f t="shared" si="89"/>
        <v>-89.400430731582716</v>
      </c>
      <c r="AJ51" s="586">
        <f t="shared" si="90"/>
        <v>-134.80279978396368</v>
      </c>
      <c r="AK51" s="635">
        <f t="shared" si="211"/>
        <v>0.84556251782892411</v>
      </c>
      <c r="AL51" s="629">
        <f t="shared" si="91"/>
        <v>-0.53377385432618518</v>
      </c>
      <c r="AM51" s="634">
        <f t="shared" si="92"/>
        <v>-1.0464266843838443E-2</v>
      </c>
      <c r="AN51" s="581">
        <f t="shared" si="93"/>
        <v>-88.876899777862448</v>
      </c>
      <c r="AO51" s="582">
        <f t="shared" si="94"/>
        <v>32.267744814520235</v>
      </c>
      <c r="AP51" s="585">
        <f t="shared" si="95"/>
        <v>-32.262775680245149</v>
      </c>
      <c r="AQ51" s="586">
        <f t="shared" si="246"/>
        <v>0.4458945815598867</v>
      </c>
      <c r="AS51" s="52">
        <f t="shared" si="406"/>
        <v>166.32997589628144</v>
      </c>
      <c r="AT51" s="72">
        <f t="shared" si="247"/>
        <v>-2.8239003743025255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4.1280000000000001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-1.3706262923016526</v>
      </c>
      <c r="C52" s="708">
        <v>-2.7263697447323443</v>
      </c>
      <c r="D52" s="709">
        <v>-6.4906251518670355E-2</v>
      </c>
      <c r="E52" s="710">
        <v>0.83938944453244602</v>
      </c>
      <c r="F52" s="708">
        <v>-0.45284672132500015</v>
      </c>
      <c r="G52" s="711">
        <v>0.30059142934007538</v>
      </c>
      <c r="H52" s="710">
        <v>0.26600000000000001</v>
      </c>
      <c r="I52" s="708">
        <v>0.52</v>
      </c>
      <c r="J52" s="570">
        <v>4.2119999999999997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4.2119999999999997</v>
      </c>
      <c r="N52" s="632">
        <f t="shared" si="240"/>
        <v>-1.3706262923016526</v>
      </c>
      <c r="O52" s="629">
        <f t="shared" si="241"/>
        <v>-2.7263697447323443</v>
      </c>
      <c r="P52" s="633">
        <f t="shared" si="242"/>
        <v>-6.4906251518670355E-2</v>
      </c>
      <c r="Q52" s="585">
        <f t="shared" si="113"/>
        <v>243.30997786477792</v>
      </c>
      <c r="R52" s="629">
        <f t="shared" si="79"/>
        <v>3.0515092033517583</v>
      </c>
      <c r="S52" s="634">
        <f t="shared" si="80"/>
        <v>-6.4906251518670355E-2</v>
      </c>
      <c r="T52" s="635">
        <f t="shared" si="81"/>
        <v>-2.6988094877236066</v>
      </c>
      <c r="U52" s="629">
        <f t="shared" si="82"/>
        <v>1.4241263171199128</v>
      </c>
      <c r="V52" s="636">
        <f t="shared" si="114"/>
        <v>-6.4906251518670355E-2</v>
      </c>
      <c r="W52" s="585">
        <f t="shared" si="224"/>
        <v>152.17997786477792</v>
      </c>
      <c r="X52" s="629">
        <f t="shared" si="83"/>
        <v>3.0515092033517583</v>
      </c>
      <c r="Y52" s="630">
        <f t="shared" si="223"/>
        <v>-6.4906251518670355E-2</v>
      </c>
      <c r="Z52" s="632">
        <f t="shared" si="243"/>
        <v>-0.83938944453244602</v>
      </c>
      <c r="AA52" s="629">
        <f t="shared" si="244"/>
        <v>0.45284672132500015</v>
      </c>
      <c r="AB52" s="629">
        <f t="shared" si="245"/>
        <v>-0.30059142934007538</v>
      </c>
      <c r="AC52" s="636">
        <f t="shared" si="84"/>
        <v>1</v>
      </c>
      <c r="AD52" s="637">
        <f t="shared" si="115"/>
        <v>-0.83938944453244602</v>
      </c>
      <c r="AE52" s="629">
        <f t="shared" si="85"/>
        <v>0.45284672132500015</v>
      </c>
      <c r="AF52" s="633">
        <f t="shared" si="86"/>
        <v>-0.30059142934007538</v>
      </c>
      <c r="AG52" s="602">
        <f t="shared" si="87"/>
        <v>56.424515360271592</v>
      </c>
      <c r="AH52" s="603">
        <f t="shared" si="88"/>
        <v>147.07570252362825</v>
      </c>
      <c r="AI52" s="585">
        <f t="shared" si="89"/>
        <v>-72.506870805683349</v>
      </c>
      <c r="AJ52" s="586">
        <f t="shared" si="90"/>
        <v>-118.34665615154883</v>
      </c>
      <c r="AK52" s="635">
        <f t="shared" si="211"/>
        <v>0.95335436152582476</v>
      </c>
      <c r="AL52" s="629">
        <f t="shared" si="91"/>
        <v>-2.7572703294701573E-2</v>
      </c>
      <c r="AM52" s="634">
        <f t="shared" si="92"/>
        <v>-0.30059142934007538</v>
      </c>
      <c r="AN52" s="581">
        <f t="shared" si="93"/>
        <v>-5.2409708606018857</v>
      </c>
      <c r="AO52" s="582">
        <f t="shared" si="94"/>
        <v>17.568955317367518</v>
      </c>
      <c r="AP52" s="585">
        <f t="shared" si="95"/>
        <v>-1.6566340163267486</v>
      </c>
      <c r="AQ52" s="586">
        <f t="shared" si="246"/>
        <v>0.74703934880030942</v>
      </c>
      <c r="AS52" s="52">
        <f t="shared" si="406"/>
        <v>152.17997786477792</v>
      </c>
      <c r="AT52" s="72">
        <f t="shared" si="247"/>
        <v>7.8628486075233872E-2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4.2119999999999997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3.1120000000000001</v>
      </c>
      <c r="II52" s="734" cm="1">
        <f t="array" ref="II52">IFERROR(ROUND(VALUE(IF($IH52&lt;1,$IH52+LARGE((IF($M$9:$M$150="",0,$M$9:$M$150)-MOD(IF($M$9:$M$150="",0,$M$9:$M$150),1)),1),$IH52)),4),"")</f>
        <v>3.1120000000000001</v>
      </c>
      <c r="IJ52" s="533">
        <f t="shared" si="112"/>
        <v>1613</v>
      </c>
      <c r="IK52" s="533">
        <f t="shared" si="382"/>
        <v>1313</v>
      </c>
      <c r="IL52" s="727">
        <f t="shared" si="225"/>
        <v>82.549988205424938</v>
      </c>
      <c r="IM52" s="759">
        <v>4.8723577082381897E-2</v>
      </c>
      <c r="IN52" s="5">
        <f t="shared" si="226"/>
        <v>0.22</v>
      </c>
      <c r="IO52" s="771">
        <v>110</v>
      </c>
      <c r="IP52" s="9">
        <f t="shared" si="227"/>
        <v>-3.0515092033517575</v>
      </c>
      <c r="IQ52" s="5">
        <f t="shared" si="228"/>
        <v>-6.3900192722981294E-2</v>
      </c>
      <c r="IR52" s="5">
        <f t="shared" si="383"/>
        <v>0.314</v>
      </c>
      <c r="IS52" s="5">
        <f t="shared" si="229"/>
        <v>0.3031853978204474</v>
      </c>
      <c r="IT52" s="727">
        <f t="shared" si="230"/>
        <v>6.083237575202082</v>
      </c>
      <c r="IU52" s="9">
        <f t="shared" si="231"/>
        <v>-3.0515092033517583</v>
      </c>
      <c r="IV52" s="5">
        <f t="shared" si="232"/>
        <v>-6.4906251518670355E-2</v>
      </c>
      <c r="IW52" s="5">
        <f t="shared" si="384"/>
        <v>0.26600000000000001</v>
      </c>
      <c r="IX52" s="5">
        <f t="shared" si="233"/>
        <v>0.25359226016586939</v>
      </c>
      <c r="IY52" s="762">
        <f t="shared" si="234"/>
        <v>5.2409708606018857</v>
      </c>
    </row>
    <row r="53" spans="1:259" ht="15" customHeight="1" x14ac:dyDescent="0.25">
      <c r="A53" s="79"/>
      <c r="B53" s="707">
        <v>-1.5794596319116165</v>
      </c>
      <c r="C53" s="708">
        <v>-3.4786675966268779</v>
      </c>
      <c r="D53" s="709">
        <v>-0.19407144573371027</v>
      </c>
      <c r="E53" s="710">
        <v>0.79263044823681839</v>
      </c>
      <c r="F53" s="708">
        <v>-0.55003098654219928</v>
      </c>
      <c r="G53" s="711">
        <v>0.26306441487079879</v>
      </c>
      <c r="H53" s="710">
        <v>0.26600000000000001</v>
      </c>
      <c r="I53" s="708">
        <v>0.52</v>
      </c>
      <c r="J53" s="570">
        <v>4.2149999999999999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4.2149999999999999</v>
      </c>
      <c r="N53" s="632">
        <f t="shared" si="240"/>
        <v>-1.5794596319116165</v>
      </c>
      <c r="O53" s="629">
        <f t="shared" si="241"/>
        <v>-3.4786675966268779</v>
      </c>
      <c r="P53" s="633">
        <f t="shared" si="242"/>
        <v>-0.19407144573371027</v>
      </c>
      <c r="Q53" s="585">
        <f t="shared" si="113"/>
        <v>245.57997753703046</v>
      </c>
      <c r="R53" s="629">
        <f t="shared" ref="R53:R58" si="410">IF(M53="","",SQRT(N53^2+O53^2))</f>
        <v>3.8204477455738348</v>
      </c>
      <c r="S53" s="634">
        <f t="shared" ref="S53:S58" si="411">IF(M53="","",P53)</f>
        <v>-0.19407144573371027</v>
      </c>
      <c r="T53" s="635">
        <f t="shared" ref="T53:T58" si="412">IF(M53="","",X53*COS(RADIANS(W53)))</f>
        <v>-3.4468426450399257</v>
      </c>
      <c r="U53" s="629">
        <f t="shared" ref="U53:U58" si="413">IF(M53="","",X53*SIN(RADIANS(W53)))</f>
        <v>1.6477550658378708</v>
      </c>
      <c r="V53" s="636">
        <f t="shared" ref="V53:V58" si="414">IF(M53="","",Y53)</f>
        <v>-0.19407144573371027</v>
      </c>
      <c r="W53" s="585">
        <f t="shared" si="224"/>
        <v>154.44997753703046</v>
      </c>
      <c r="X53" s="629">
        <f t="shared" ref="X53:X58" si="415">IF(M53="","",R53)</f>
        <v>3.8204477455738348</v>
      </c>
      <c r="Y53" s="630">
        <f t="shared" si="223"/>
        <v>-0.19407144573371027</v>
      </c>
      <c r="Z53" s="632">
        <f t="shared" si="243"/>
        <v>-0.79263044823681839</v>
      </c>
      <c r="AA53" s="629">
        <f t="shared" si="244"/>
        <v>0.55003098654219928</v>
      </c>
      <c r="AB53" s="629">
        <f t="shared" si="245"/>
        <v>-0.26306441487079879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-0.79263044823681839</v>
      </c>
      <c r="AE53" s="629">
        <f t="shared" ref="AE53:AE58" si="418">IF(M53="","",AA53*(1/SQRT(Z53^2+AA53^2+AB53^2)))</f>
        <v>0.55003098654219928</v>
      </c>
      <c r="AF53" s="633">
        <f t="shared" ref="AF53:AF58" si="419">IF(M53="","",AB53*(1/SQRT(Z53^2+AA53^2+AB53^2)))</f>
        <v>-0.26306441487079879</v>
      </c>
      <c r="AG53" s="602">
        <f t="shared" ref="AG53:AG58" si="420">IF(M53="","",DEGREES(ATAN2(-AF53,AE53)))</f>
        <v>64.439516253263363</v>
      </c>
      <c r="AH53" s="603">
        <f t="shared" ref="AH53:AH58" si="421">IF(M53="","",DEGREES(ACOS(AD53)))</f>
        <v>142.43201495334765</v>
      </c>
      <c r="AI53" s="585">
        <f t="shared" ref="AI53:AI58" si="422">IF(M53="","",DEGREES(-ACOS(-AF53)))</f>
        <v>-74.748028319392631</v>
      </c>
      <c r="AJ53" s="586">
        <f t="shared" ref="AJ53:AJ58" si="423">IF(M53="","",DEGREES(ATAN2(-AE53,AD53)))</f>
        <v>-124.75798681459192</v>
      </c>
      <c r="AK53" s="635">
        <f t="shared" ref="AK53:AK58" si="424">IF(M53="","",(COS(RADIANS((90-$Q$8)-W53))*AD53)+(-SIN(RADIANS((90-$Q$8)-W53))*AE53))</f>
        <v>0.94911639614129761</v>
      </c>
      <c r="AL53" s="629">
        <f t="shared" ref="AL53:AL58" si="425">IF(M53="","",(SIN(RADIANS((90-$Q$8)-W53))*AD53)+(COS(RADIANS((90-$Q$8)-W53))*AE53))</f>
        <v>-0.17313341735332316</v>
      </c>
      <c r="AM53" s="634">
        <f t="shared" ref="AM53:AM58" si="426">IF(M53="","",AF53)</f>
        <v>-0.26306441487079879</v>
      </c>
      <c r="AN53" s="581">
        <f t="shared" ref="AN53:AN58" si="427">IF(M53="","",DEGREES(ATAN2(-AM53,AL53)))</f>
        <v>-33.350544721265123</v>
      </c>
      <c r="AO53" s="582">
        <f t="shared" si="94"/>
        <v>18.356315976016408</v>
      </c>
      <c r="AP53" s="585">
        <f t="shared" ref="AP53:AP58" si="428">IF(M53="","",DEGREES(ATAN2(AK53,AL53)))</f>
        <v>-10.337964351622343</v>
      </c>
      <c r="AQ53" s="586">
        <f t="shared" si="246"/>
        <v>0.59669556167502236</v>
      </c>
      <c r="AS53" s="52">
        <f t="shared" si="406"/>
        <v>154.44997753703046</v>
      </c>
      <c r="AT53" s="72">
        <f t="shared" si="247"/>
        <v>-5.2113096801092523E-2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4.2149999999999999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3.1150000000000002</v>
      </c>
      <c r="II53" s="734" cm="1">
        <f t="array" ref="II53">IFERROR(ROUND(VALUE(IF($IH53&lt;1,$IH53+LARGE((IF($M$9:$M$150="",0,$M$9:$M$150)-MOD(IF($M$9:$M$150="",0,$M$9:$M$150),1)),1),$IH53)),4),"")</f>
        <v>3.1150000000000002</v>
      </c>
      <c r="IJ53" s="533">
        <f t="shared" si="112"/>
        <v>1613</v>
      </c>
      <c r="IK53" s="533">
        <f t="shared" si="382"/>
        <v>1313</v>
      </c>
      <c r="IL53" s="727">
        <f t="shared" si="225"/>
        <v>79.379988533172423</v>
      </c>
      <c r="IM53" s="759">
        <v>4.8073368682871202E-2</v>
      </c>
      <c r="IN53" s="5">
        <f t="shared" si="226"/>
        <v>0.24</v>
      </c>
      <c r="IO53" s="771">
        <v>120</v>
      </c>
      <c r="IP53" s="9">
        <f t="shared" si="227"/>
        <v>-3.8207115232659543</v>
      </c>
      <c r="IQ53" s="5">
        <f t="shared" si="228"/>
        <v>-0.19310058239135672</v>
      </c>
      <c r="IR53" s="5">
        <f t="shared" si="383"/>
        <v>0.314</v>
      </c>
      <c r="IS53" s="5">
        <f t="shared" si="229"/>
        <v>0.30183764165242533</v>
      </c>
      <c r="IT53" s="727">
        <f t="shared" si="230"/>
        <v>36.050934507812769</v>
      </c>
      <c r="IU53" s="9">
        <f t="shared" si="231"/>
        <v>-3.8204477455738348</v>
      </c>
      <c r="IV53" s="5">
        <f t="shared" si="232"/>
        <v>-0.19407144573371027</v>
      </c>
      <c r="IW53" s="5">
        <f t="shared" si="384"/>
        <v>0.26600000000000001</v>
      </c>
      <c r="IX53" s="5">
        <f t="shared" si="233"/>
        <v>0.25246496137358521</v>
      </c>
      <c r="IY53" s="762">
        <f t="shared" si="234"/>
        <v>33.350544721265123</v>
      </c>
    </row>
    <row r="54" spans="1:259" ht="15" customHeight="1" x14ac:dyDescent="0.25">
      <c r="A54" s="79"/>
      <c r="B54" s="707">
        <v>-1.8025625730710251</v>
      </c>
      <c r="C54" s="708">
        <v>-4.0888847508138761</v>
      </c>
      <c r="D54" s="709">
        <v>-0.62455506737417066</v>
      </c>
      <c r="E54" s="710">
        <v>0.74444593232474365</v>
      </c>
      <c r="F54" s="708">
        <v>-0.64610099394317544</v>
      </c>
      <c r="G54" s="711">
        <v>0.16838574604396878</v>
      </c>
      <c r="H54" s="710">
        <v>0.26600000000000001</v>
      </c>
      <c r="I54" s="708">
        <v>0.52</v>
      </c>
      <c r="J54" s="570">
        <v>4.218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4.218</v>
      </c>
      <c r="N54" s="632">
        <f t="shared" si="240"/>
        <v>-1.8025625730710251</v>
      </c>
      <c r="O54" s="629">
        <f t="shared" si="241"/>
        <v>-4.0888847508138761</v>
      </c>
      <c r="P54" s="633">
        <f t="shared" si="242"/>
        <v>-0.62455506737417066</v>
      </c>
      <c r="Q54" s="585">
        <f t="shared" si="113"/>
        <v>246.20997744606973</v>
      </c>
      <c r="R54" s="629">
        <f t="shared" si="410"/>
        <v>4.4685803489782625</v>
      </c>
      <c r="S54" s="634">
        <f t="shared" si="411"/>
        <v>-0.62455506737417066</v>
      </c>
      <c r="T54" s="635">
        <f t="shared" si="412"/>
        <v>-4.0525413260472964</v>
      </c>
      <c r="U54" s="629">
        <f t="shared" si="413"/>
        <v>1.8828486757977938</v>
      </c>
      <c r="V54" s="636">
        <f t="shared" si="414"/>
        <v>-0.62455506737417066</v>
      </c>
      <c r="W54" s="585">
        <f t="shared" si="224"/>
        <v>155.07997744606973</v>
      </c>
      <c r="X54" s="629">
        <f t="shared" si="415"/>
        <v>4.4685803489782625</v>
      </c>
      <c r="Y54" s="630">
        <f t="shared" si="223"/>
        <v>-0.62455506737417066</v>
      </c>
      <c r="Z54" s="632">
        <f t="shared" si="243"/>
        <v>-0.74444593232474365</v>
      </c>
      <c r="AA54" s="629">
        <f t="shared" si="244"/>
        <v>0.64610099394317544</v>
      </c>
      <c r="AB54" s="629">
        <f t="shared" si="245"/>
        <v>-0.16838574604396878</v>
      </c>
      <c r="AC54" s="636">
        <f t="shared" si="416"/>
        <v>1</v>
      </c>
      <c r="AD54" s="637">
        <f t="shared" si="417"/>
        <v>-0.74444593232474365</v>
      </c>
      <c r="AE54" s="629">
        <f t="shared" si="418"/>
        <v>0.64610099394317544</v>
      </c>
      <c r="AF54" s="633">
        <f t="shared" si="419"/>
        <v>-0.16838574604396878</v>
      </c>
      <c r="AG54" s="602">
        <f t="shared" si="420"/>
        <v>75.392605699635084</v>
      </c>
      <c r="AH54" s="603">
        <f t="shared" si="421"/>
        <v>138.11153076409363</v>
      </c>
      <c r="AI54" s="585">
        <f t="shared" si="422"/>
        <v>-80.30602382989882</v>
      </c>
      <c r="AJ54" s="586">
        <f t="shared" si="423"/>
        <v>-130.95455347477105</v>
      </c>
      <c r="AK54" s="635">
        <f t="shared" si="424"/>
        <v>0.94181837673710211</v>
      </c>
      <c r="AL54" s="629">
        <f t="shared" si="425"/>
        <v>-0.29090270842586879</v>
      </c>
      <c r="AM54" s="634">
        <f t="shared" si="426"/>
        <v>-0.16838574604396878</v>
      </c>
      <c r="AN54" s="581">
        <f t="shared" si="427"/>
        <v>-59.936080550857866</v>
      </c>
      <c r="AO54" s="582">
        <f t="shared" si="94"/>
        <v>19.640793873542592</v>
      </c>
      <c r="AP54" s="585">
        <f t="shared" si="428"/>
        <v>-17.164530920840779</v>
      </c>
      <c r="AQ54" s="586">
        <f t="shared" si="246"/>
        <v>0.51015450294783438</v>
      </c>
      <c r="AS54" s="52">
        <f t="shared" si="406"/>
        <v>155.07997744606973</v>
      </c>
      <c r="AT54" s="72">
        <f t="shared" si="247"/>
        <v>-0.48303421837838578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4.218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3.1179999999999999</v>
      </c>
      <c r="II54" s="734" cm="1">
        <f t="array" ref="II54">IFERROR(ROUND(VALUE(IF($IH54&lt;1,$IH54+LARGE((IF($M$9:$M$150="",0,$M$9:$M$150)-MOD(IF($M$9:$M$150="",0,$M$9:$M$150),1)),1),$IH54)),4),"")</f>
        <v>3.1179999999999999</v>
      </c>
      <c r="IJ54" s="533">
        <f t="shared" si="112"/>
        <v>1613</v>
      </c>
      <c r="IK54" s="533">
        <f t="shared" si="382"/>
        <v>1313</v>
      </c>
      <c r="IL54" s="727">
        <f t="shared" si="225"/>
        <v>77.68998862413315</v>
      </c>
      <c r="IM54" s="759">
        <v>4.7477294506751498E-2</v>
      </c>
      <c r="IN54" s="5">
        <f t="shared" si="226"/>
        <v>0.24</v>
      </c>
      <c r="IO54" s="771">
        <v>120</v>
      </c>
      <c r="IP54" s="9">
        <f t="shared" si="227"/>
        <v>-4.4691134788462525</v>
      </c>
      <c r="IQ54" s="5">
        <f t="shared" si="228"/>
        <v>-0.62370188108487346</v>
      </c>
      <c r="IR54" s="5">
        <f t="shared" si="383"/>
        <v>0.314</v>
      </c>
      <c r="IS54" s="5">
        <f t="shared" si="229"/>
        <v>0.29951672824849324</v>
      </c>
      <c r="IT54" s="727">
        <f t="shared" si="230"/>
        <v>63.637165266561574</v>
      </c>
      <c r="IU54" s="9">
        <f t="shared" si="231"/>
        <v>-4.4685803489782625</v>
      </c>
      <c r="IV54" s="5">
        <f t="shared" si="232"/>
        <v>-0.62455506737417066</v>
      </c>
      <c r="IW54" s="5">
        <f t="shared" si="384"/>
        <v>0.26600000000000001</v>
      </c>
      <c r="IX54" s="5">
        <f t="shared" si="233"/>
        <v>0.25052368821206922</v>
      </c>
      <c r="IY54" s="762">
        <f t="shared" si="234"/>
        <v>59.936080550857866</v>
      </c>
    </row>
    <row r="55" spans="1:259" ht="15" customHeight="1" x14ac:dyDescent="0.25">
      <c r="A55" s="79"/>
      <c r="B55" s="707">
        <v>-1.9765991860237966</v>
      </c>
      <c r="C55" s="708">
        <v>-4.4688651261930143</v>
      </c>
      <c r="D55" s="709">
        <v>-1.2563757022260158</v>
      </c>
      <c r="E55" s="710">
        <v>0.66247562799624726</v>
      </c>
      <c r="F55" s="708">
        <v>-0.74208215977255365</v>
      </c>
      <c r="G55" s="711">
        <v>0.10217685872192422</v>
      </c>
      <c r="H55" s="710">
        <v>0.26600000000000001</v>
      </c>
      <c r="I55" s="708">
        <v>0.52</v>
      </c>
      <c r="J55" s="570">
        <v>4.2210000000000001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4.2210000000000001</v>
      </c>
      <c r="N55" s="632">
        <f t="shared" si="240"/>
        <v>-1.9765991860237966</v>
      </c>
      <c r="O55" s="629">
        <f t="shared" si="241"/>
        <v>-4.4688651261930143</v>
      </c>
      <c r="P55" s="633">
        <f t="shared" si="242"/>
        <v>-1.2563757022260158</v>
      </c>
      <c r="Q55" s="585">
        <f t="shared" si="113"/>
        <v>246.13997745617652</v>
      </c>
      <c r="R55" s="629">
        <f t="shared" si="410"/>
        <v>4.8864813371478295</v>
      </c>
      <c r="S55" s="634">
        <f t="shared" si="411"/>
        <v>-1.2563757022260158</v>
      </c>
      <c r="T55" s="635">
        <f t="shared" si="412"/>
        <v>-4.4290156381469981</v>
      </c>
      <c r="U55" s="629">
        <f t="shared" si="413"/>
        <v>2.0643450136407391</v>
      </c>
      <c r="V55" s="636">
        <f t="shared" si="414"/>
        <v>-1.2563757022260158</v>
      </c>
      <c r="W55" s="585">
        <f t="shared" si="224"/>
        <v>155.00997745617653</v>
      </c>
      <c r="X55" s="629">
        <f t="shared" si="415"/>
        <v>4.8864813371478295</v>
      </c>
      <c r="Y55" s="630">
        <f t="shared" si="223"/>
        <v>-1.2563757022260158</v>
      </c>
      <c r="Z55" s="632">
        <f t="shared" si="243"/>
        <v>-0.66247562799624726</v>
      </c>
      <c r="AA55" s="629">
        <f t="shared" si="244"/>
        <v>0.74208215977255365</v>
      </c>
      <c r="AB55" s="629">
        <f t="shared" si="245"/>
        <v>-0.10217685872192422</v>
      </c>
      <c r="AC55" s="636">
        <f t="shared" si="416"/>
        <v>1</v>
      </c>
      <c r="AD55" s="637">
        <f t="shared" si="417"/>
        <v>-0.66247562799624726</v>
      </c>
      <c r="AE55" s="629">
        <f t="shared" si="418"/>
        <v>0.74208215977255365</v>
      </c>
      <c r="AF55" s="633">
        <f t="shared" si="419"/>
        <v>-0.10217685872192422</v>
      </c>
      <c r="AG55" s="602">
        <f t="shared" si="420"/>
        <v>82.160272438684899</v>
      </c>
      <c r="AH55" s="603">
        <f t="shared" si="421"/>
        <v>131.48895266680819</v>
      </c>
      <c r="AI55" s="585">
        <f t="shared" si="422"/>
        <v>-84.135462480077564</v>
      </c>
      <c r="AJ55" s="586">
        <f t="shared" si="423"/>
        <v>-138.24389911680476</v>
      </c>
      <c r="AK55" s="635">
        <f t="shared" si="424"/>
        <v>0.9060329751425219</v>
      </c>
      <c r="AL55" s="629">
        <f t="shared" si="425"/>
        <v>-0.41068739632001183</v>
      </c>
      <c r="AM55" s="634">
        <f t="shared" si="426"/>
        <v>-0.10217685872192422</v>
      </c>
      <c r="AN55" s="581">
        <f t="shared" si="427"/>
        <v>-76.028769808348201</v>
      </c>
      <c r="AO55" s="582">
        <f>IF(ROUND(IF(M55="",0,DEGREES(ACOS(AK55))),4)=90,0,IF(M55="","",DEGREES(ACOS(AK55))))</f>
        <v>25.037231234449781</v>
      </c>
      <c r="AP55" s="585">
        <f t="shared" si="428"/>
        <v>-24.383876572981258</v>
      </c>
      <c r="AQ55" s="586">
        <f t="shared" si="246"/>
        <v>0.46652715789848376</v>
      </c>
      <c r="AS55" s="52">
        <f t="shared" si="406"/>
        <v>155.00997745617653</v>
      </c>
      <c r="AT55" s="72">
        <f t="shared" si="247"/>
        <v>-1.1148062421261384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4.2210000000000001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3.121</v>
      </c>
      <c r="II55" s="734" cm="1">
        <f t="array" ref="II55">IFERROR(ROUND(VALUE(IF($IH55&lt;1,$IH55+LARGE((IF($M$9:$M$150="",0,$M$9:$M$150)-MOD(IF($M$9:$M$150="",0,$M$9:$M$150),1)),1),$IH55)),4),"")</f>
        <v>3.121</v>
      </c>
      <c r="IJ55" s="533">
        <f t="shared" si="112"/>
        <v>1613</v>
      </c>
      <c r="IK55" s="533">
        <f t="shared" si="382"/>
        <v>1313</v>
      </c>
      <c r="IL55" s="727">
        <f t="shared" si="225"/>
        <v>76.979988614026325</v>
      </c>
      <c r="IM55" s="759">
        <v>4.7056448776412102E-2</v>
      </c>
      <c r="IN55" s="5">
        <f t="shared" si="226"/>
        <v>0.26</v>
      </c>
      <c r="IO55" s="771">
        <v>130</v>
      </c>
      <c r="IP55" s="9">
        <f t="shared" si="227"/>
        <v>-4.8870147392364522</v>
      </c>
      <c r="IQ55" s="5">
        <f t="shared" si="228"/>
        <v>-1.2559037878058232</v>
      </c>
      <c r="IR55" s="5">
        <f t="shared" si="383"/>
        <v>0.314</v>
      </c>
      <c r="IS55" s="5">
        <f t="shared" si="229"/>
        <v>0.28936374766396183</v>
      </c>
      <c r="IT55" s="727">
        <f t="shared" si="230"/>
        <v>78.74955364964174</v>
      </c>
      <c r="IU55" s="9">
        <f t="shared" si="231"/>
        <v>-4.8864813371478295</v>
      </c>
      <c r="IV55" s="5">
        <f t="shared" si="232"/>
        <v>-1.2563757022260158</v>
      </c>
      <c r="IW55" s="5">
        <f t="shared" si="384"/>
        <v>0.26600000000000001</v>
      </c>
      <c r="IX55" s="5">
        <f t="shared" si="233"/>
        <v>0.24100477138791085</v>
      </c>
      <c r="IY55" s="762">
        <f t="shared" si="234"/>
        <v>76.028769808348201</v>
      </c>
    </row>
    <row r="56" spans="1:259" ht="15" customHeight="1" x14ac:dyDescent="0.25">
      <c r="A56" s="79"/>
      <c r="B56" s="707">
        <v>-0.48130103361236898</v>
      </c>
      <c r="C56" s="708">
        <v>-0.27956169942821801</v>
      </c>
      <c r="D56" s="709">
        <v>-0.68230205782300646</v>
      </c>
      <c r="E56" s="710">
        <v>0.48515101298201585</v>
      </c>
      <c r="F56" s="708">
        <v>-0.83524919359094074</v>
      </c>
      <c r="G56" s="711">
        <v>0.25881900859134593</v>
      </c>
      <c r="H56" s="710">
        <v>0.314</v>
      </c>
      <c r="I56" s="708">
        <v>0.52</v>
      </c>
      <c r="J56" s="570">
        <v>5.1020000000000003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5.1020000000000003</v>
      </c>
      <c r="N56" s="632">
        <f t="shared" si="240"/>
        <v>-0.48130103361236898</v>
      </c>
      <c r="O56" s="629">
        <f t="shared" si="241"/>
        <v>-0.27956169942821801</v>
      </c>
      <c r="P56" s="633">
        <f t="shared" si="242"/>
        <v>-0.68230205782300646</v>
      </c>
      <c r="Q56" s="585">
        <f t="shared" si="113"/>
        <v>210.14998339605674</v>
      </c>
      <c r="R56" s="629">
        <f t="shared" si="410"/>
        <v>0.55660167871066291</v>
      </c>
      <c r="S56" s="634">
        <f t="shared" si="411"/>
        <v>-0.68230205782300646</v>
      </c>
      <c r="T56" s="635">
        <f t="shared" si="412"/>
        <v>-0.2700156214135116</v>
      </c>
      <c r="U56" s="629">
        <f t="shared" si="413"/>
        <v>0.48672065184888469</v>
      </c>
      <c r="V56" s="636">
        <f t="shared" si="414"/>
        <v>-0.68230205782300646</v>
      </c>
      <c r="W56" s="585">
        <f t="shared" si="224"/>
        <v>119.01998339605674</v>
      </c>
      <c r="X56" s="629">
        <f t="shared" si="415"/>
        <v>0.55660167871066291</v>
      </c>
      <c r="Y56" s="630">
        <f t="shared" si="223"/>
        <v>-0.68230205782300646</v>
      </c>
      <c r="Z56" s="632">
        <f t="shared" si="243"/>
        <v>-0.48515101298201585</v>
      </c>
      <c r="AA56" s="629">
        <f t="shared" si="244"/>
        <v>0.83524919359094074</v>
      </c>
      <c r="AB56" s="629">
        <f t="shared" si="245"/>
        <v>-0.25881900859134593</v>
      </c>
      <c r="AC56" s="636">
        <f t="shared" si="416"/>
        <v>1</v>
      </c>
      <c r="AD56" s="637">
        <f t="shared" si="417"/>
        <v>-0.48515101298201585</v>
      </c>
      <c r="AE56" s="629">
        <f t="shared" si="418"/>
        <v>0.83524919359094074</v>
      </c>
      <c r="AF56" s="633">
        <f t="shared" si="419"/>
        <v>-0.25881900859134593</v>
      </c>
      <c r="AG56" s="602">
        <f t="shared" si="420"/>
        <v>72.783338130212613</v>
      </c>
      <c r="AH56" s="603">
        <f t="shared" si="421"/>
        <v>119.02236684103379</v>
      </c>
      <c r="AI56" s="585">
        <f t="shared" si="422"/>
        <v>-75.000002165731729</v>
      </c>
      <c r="AJ56" s="586">
        <f t="shared" si="423"/>
        <v>-149.85001660394326</v>
      </c>
      <c r="AK56" s="635">
        <f t="shared" si="424"/>
        <v>0.96592583607220739</v>
      </c>
      <c r="AL56" s="629">
        <f t="shared" si="425"/>
        <v>-5.5511151231257827E-17</v>
      </c>
      <c r="AM56" s="634">
        <f t="shared" si="426"/>
        <v>-0.25881900859134593</v>
      </c>
      <c r="AN56" s="581">
        <f t="shared" si="427"/>
        <v>-1.2288721368550456E-14</v>
      </c>
      <c r="AO56" s="582">
        <f t="shared" ref="AO56:AO119" si="461">IF(ROUND(IF(M56="",0,DEGREES(ACOS(AK56))),4)=90,0,IF(M56="","",DEGREES(ACOS(AK56))))</f>
        <v>14.999997834268255</v>
      </c>
      <c r="AP56" s="585">
        <f t="shared" si="428"/>
        <v>-3.292752468861135E-15</v>
      </c>
      <c r="AQ56" s="586">
        <f t="shared" si="246"/>
        <v>4.0888401077558258</v>
      </c>
      <c r="AS56" s="52">
        <f t="shared" si="406"/>
        <v>119.01998339605674</v>
      </c>
      <c r="AT56" s="72">
        <f t="shared" si="247"/>
        <v>-0.5157395462924903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5.1020000000000003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-1.1566007123918873</v>
      </c>
      <c r="C57" s="708">
        <v>-0.59441160191820919</v>
      </c>
      <c r="D57" s="709">
        <v>-0.48300145673239347</v>
      </c>
      <c r="E57" s="710">
        <v>0.44152244839647403</v>
      </c>
      <c r="F57" s="708">
        <v>-0.85911038193806954</v>
      </c>
      <c r="G57" s="711">
        <v>0.25881900859134593</v>
      </c>
      <c r="H57" s="710">
        <v>0.314</v>
      </c>
      <c r="I57" s="708">
        <v>0.52</v>
      </c>
      <c r="J57" s="570">
        <v>5.1050000000000004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5.1050000000000004</v>
      </c>
      <c r="N57" s="632">
        <f t="shared" si="240"/>
        <v>-1.1566007123918873</v>
      </c>
      <c r="O57" s="629">
        <f t="shared" si="241"/>
        <v>-0.59441160191820919</v>
      </c>
      <c r="P57" s="633">
        <f t="shared" si="242"/>
        <v>-0.48300145673239347</v>
      </c>
      <c r="Q57" s="585">
        <f t="shared" si="113"/>
        <v>207.19998339605672</v>
      </c>
      <c r="R57" s="629">
        <f t="shared" si="410"/>
        <v>1.3004039220182293</v>
      </c>
      <c r="S57" s="634">
        <f t="shared" si="411"/>
        <v>-0.48300145673239347</v>
      </c>
      <c r="T57" s="635">
        <f t="shared" si="412"/>
        <v>-0.57148674712130421</v>
      </c>
      <c r="U57" s="629">
        <f t="shared" si="413"/>
        <v>1.1680981372577834</v>
      </c>
      <c r="V57" s="636">
        <f t="shared" si="414"/>
        <v>-0.48300145673239347</v>
      </c>
      <c r="W57" s="585">
        <f t="shared" si="224"/>
        <v>116.06998339605673</v>
      </c>
      <c r="X57" s="629">
        <f t="shared" si="415"/>
        <v>1.3004039220182293</v>
      </c>
      <c r="Y57" s="630">
        <f t="shared" si="223"/>
        <v>-0.48300145673239347</v>
      </c>
      <c r="Z57" s="632">
        <f t="shared" si="243"/>
        <v>-0.44152244839647403</v>
      </c>
      <c r="AA57" s="629">
        <f t="shared" si="244"/>
        <v>0.85911038193806954</v>
      </c>
      <c r="AB57" s="629">
        <f t="shared" si="245"/>
        <v>-0.25881900859134593</v>
      </c>
      <c r="AC57" s="636">
        <f t="shared" si="416"/>
        <v>1</v>
      </c>
      <c r="AD57" s="637">
        <f t="shared" si="417"/>
        <v>-0.44152244839647403</v>
      </c>
      <c r="AE57" s="629">
        <f t="shared" si="418"/>
        <v>0.85911038193806954</v>
      </c>
      <c r="AF57" s="633">
        <f t="shared" si="419"/>
        <v>-0.25881900859134593</v>
      </c>
      <c r="AG57" s="602">
        <f t="shared" si="420"/>
        <v>73.234338139339854</v>
      </c>
      <c r="AH57" s="603">
        <f t="shared" si="421"/>
        <v>116.20105974206382</v>
      </c>
      <c r="AI57" s="585">
        <f t="shared" si="422"/>
        <v>-75.000002165731729</v>
      </c>
      <c r="AJ57" s="586">
        <f t="shared" si="423"/>
        <v>-152.80001660394328</v>
      </c>
      <c r="AK57" s="635">
        <f t="shared" si="424"/>
        <v>0.96592583607220739</v>
      </c>
      <c r="AL57" s="629">
        <f t="shared" si="425"/>
        <v>-2.7755575615628914E-16</v>
      </c>
      <c r="AM57" s="634">
        <f t="shared" si="426"/>
        <v>-0.25881900859134593</v>
      </c>
      <c r="AN57" s="581">
        <f t="shared" si="427"/>
        <v>-6.1443606842752281E-14</v>
      </c>
      <c r="AO57" s="582">
        <f t="shared" si="461"/>
        <v>14.999997834268255</v>
      </c>
      <c r="AP57" s="585">
        <f t="shared" si="428"/>
        <v>-1.6463762344305673E-14</v>
      </c>
      <c r="AQ57" s="586">
        <f t="shared" si="246"/>
        <v>1.7525444010456335</v>
      </c>
      <c r="AS57" s="52">
        <f t="shared" si="406"/>
        <v>116.06998339605673</v>
      </c>
      <c r="AT57" s="72">
        <f t="shared" si="247"/>
        <v>-0.31439033409076622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5.1050000000000004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-1.8310197660369711</v>
      </c>
      <c r="C58" s="708">
        <v>-0.90892544399301822</v>
      </c>
      <c r="D58" s="709">
        <v>-0.28370085564178071</v>
      </c>
      <c r="E58" s="710">
        <v>0.42948435647455097</v>
      </c>
      <c r="F58" s="708">
        <v>-0.86519125535076558</v>
      </c>
      <c r="G58" s="711">
        <v>0.25881900859134593</v>
      </c>
      <c r="H58" s="710">
        <v>0.314</v>
      </c>
      <c r="I58" s="708">
        <v>0.52</v>
      </c>
      <c r="J58" s="570">
        <v>5.1079999999999997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5.1079999999999997</v>
      </c>
      <c r="N58" s="632">
        <f t="shared" si="240"/>
        <v>-1.8310197660369711</v>
      </c>
      <c r="O58" s="629">
        <f t="shared" si="241"/>
        <v>-0.90892544399301822</v>
      </c>
      <c r="P58" s="633">
        <f t="shared" si="242"/>
        <v>-0.28370085564178071</v>
      </c>
      <c r="Q58" s="585">
        <f t="shared" si="113"/>
        <v>206.39998339605671</v>
      </c>
      <c r="R58" s="629">
        <f t="shared" si="410"/>
        <v>2.0442061653257948</v>
      </c>
      <c r="S58" s="634">
        <f t="shared" si="411"/>
        <v>-0.28370085564178071</v>
      </c>
      <c r="T58" s="635">
        <f t="shared" si="412"/>
        <v>-0.87263924452705521</v>
      </c>
      <c r="U58" s="629">
        <f t="shared" si="413"/>
        <v>1.8485885413653416</v>
      </c>
      <c r="V58" s="636">
        <f t="shared" si="414"/>
        <v>-0.28370085564178071</v>
      </c>
      <c r="W58" s="585">
        <f t="shared" si="224"/>
        <v>115.26998339605672</v>
      </c>
      <c r="X58" s="629">
        <f t="shared" si="415"/>
        <v>2.0442061653257948</v>
      </c>
      <c r="Y58" s="630">
        <f t="shared" si="223"/>
        <v>-0.28370085564178071</v>
      </c>
      <c r="Z58" s="632">
        <f t="shared" si="243"/>
        <v>-0.42948435647455097</v>
      </c>
      <c r="AA58" s="629">
        <f t="shared" si="244"/>
        <v>0.86519125535076558</v>
      </c>
      <c r="AB58" s="629">
        <f t="shared" si="245"/>
        <v>-0.25881900859134593</v>
      </c>
      <c r="AC58" s="636">
        <f t="shared" si="416"/>
        <v>1</v>
      </c>
      <c r="AD58" s="637">
        <f t="shared" si="417"/>
        <v>-0.42948435647455097</v>
      </c>
      <c r="AE58" s="629">
        <f t="shared" si="418"/>
        <v>0.86519125535076558</v>
      </c>
      <c r="AF58" s="633">
        <f t="shared" si="419"/>
        <v>-0.25881900859134593</v>
      </c>
      <c r="AG58" s="602">
        <f t="shared" si="420"/>
        <v>73.345626050225349</v>
      </c>
      <c r="AH58" s="603">
        <f t="shared" si="421"/>
        <v>115.43484056239939</v>
      </c>
      <c r="AI58" s="585">
        <f t="shared" si="422"/>
        <v>-75.000002165731729</v>
      </c>
      <c r="AJ58" s="586">
        <f t="shared" si="423"/>
        <v>-153.60001660394329</v>
      </c>
      <c r="AK58" s="635">
        <f t="shared" si="424"/>
        <v>0.96592583607220739</v>
      </c>
      <c r="AL58" s="629">
        <f t="shared" si="425"/>
        <v>2.7755575615628914E-16</v>
      </c>
      <c r="AM58" s="634">
        <f t="shared" si="426"/>
        <v>-0.25881900859134593</v>
      </c>
      <c r="AN58" s="581">
        <f t="shared" si="427"/>
        <v>6.1443606842752281E-14</v>
      </c>
      <c r="AO58" s="582">
        <f t="shared" si="461"/>
        <v>14.999997834268255</v>
      </c>
      <c r="AP58" s="585">
        <f t="shared" si="428"/>
        <v>1.6463762344305673E-14</v>
      </c>
      <c r="AQ58" s="586">
        <f t="shared" si="246"/>
        <v>1.1150728542821566</v>
      </c>
      <c r="AS58" s="52">
        <f t="shared" si="406"/>
        <v>115.26998339605672</v>
      </c>
      <c r="AT58" s="72">
        <f t="shared" si="247"/>
        <v>-0.11453417744459787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5.1079999999999997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-2.5099678428924745</v>
      </c>
      <c r="C59" s="708">
        <v>-1.2258194739392727</v>
      </c>
      <c r="D59" s="709">
        <v>-9.1100274758428718E-2</v>
      </c>
      <c r="E59" s="710">
        <v>0.42388827878905727</v>
      </c>
      <c r="F59" s="708">
        <v>-0.86794668493925553</v>
      </c>
      <c r="G59" s="711">
        <v>0.25881900859134604</v>
      </c>
      <c r="H59" s="710">
        <v>0.314</v>
      </c>
      <c r="I59" s="708">
        <v>0.52</v>
      </c>
      <c r="J59" s="570">
        <v>5.1109999999999998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5.1109999999999998</v>
      </c>
      <c r="N59" s="632">
        <f t="shared" si="240"/>
        <v>-2.5099678428924745</v>
      </c>
      <c r="O59" s="629">
        <f t="shared" si="241"/>
        <v>-1.2258194739392727</v>
      </c>
      <c r="P59" s="633">
        <f t="shared" si="242"/>
        <v>-9.1100274758428718E-2</v>
      </c>
      <c r="Q59" s="585">
        <f t="shared" si="113"/>
        <v>206.02998339605674</v>
      </c>
      <c r="R59" s="629">
        <f t="shared" si="79"/>
        <v>2.7933084246182083</v>
      </c>
      <c r="S59" s="634">
        <f t="shared" si="80"/>
        <v>-9.1100274758428718E-2</v>
      </c>
      <c r="T59" s="635">
        <f t="shared" si="81"/>
        <v>-1.1760821503090275</v>
      </c>
      <c r="U59" s="629">
        <f t="shared" si="82"/>
        <v>2.5336540274409112</v>
      </c>
      <c r="V59" s="636">
        <f t="shared" si="114"/>
        <v>-9.1100274758428718E-2</v>
      </c>
      <c r="W59" s="585">
        <f t="shared" si="224"/>
        <v>114.89998339605674</v>
      </c>
      <c r="X59" s="629">
        <f t="shared" si="83"/>
        <v>2.7933084246182083</v>
      </c>
      <c r="Y59" s="630">
        <f t="shared" si="223"/>
        <v>-9.1100274758428718E-2</v>
      </c>
      <c r="Z59" s="632">
        <f t="shared" si="243"/>
        <v>-0.42388827878905727</v>
      </c>
      <c r="AA59" s="629">
        <f t="shared" si="244"/>
        <v>0.86794668493925553</v>
      </c>
      <c r="AB59" s="629">
        <f t="shared" si="245"/>
        <v>-0.25881900859134604</v>
      </c>
      <c r="AC59" s="636">
        <f t="shared" si="84"/>
        <v>1</v>
      </c>
      <c r="AD59" s="637">
        <f t="shared" si="115"/>
        <v>-0.42388827878905727</v>
      </c>
      <c r="AE59" s="629">
        <f t="shared" si="85"/>
        <v>0.86794668493925553</v>
      </c>
      <c r="AF59" s="633">
        <f t="shared" si="86"/>
        <v>-0.25881900859134604</v>
      </c>
      <c r="AG59" s="602">
        <f t="shared" si="87"/>
        <v>73.395582708444735</v>
      </c>
      <c r="AH59" s="603">
        <f t="shared" si="88"/>
        <v>115.08031535375213</v>
      </c>
      <c r="AI59" s="585">
        <f t="shared" si="89"/>
        <v>-75.000002165731729</v>
      </c>
      <c r="AJ59" s="586">
        <f t="shared" si="90"/>
        <v>-153.97001660394326</v>
      </c>
      <c r="AK59" s="635">
        <f t="shared" si="211"/>
        <v>0.96592583607220739</v>
      </c>
      <c r="AL59" s="629">
        <f t="shared" si="91"/>
        <v>-1.1102230246251565E-16</v>
      </c>
      <c r="AM59" s="634">
        <f t="shared" si="92"/>
        <v>-0.25881900859134604</v>
      </c>
      <c r="AN59" s="581">
        <f t="shared" si="93"/>
        <v>-2.4577442737100899E-14</v>
      </c>
      <c r="AO59" s="582">
        <f t="shared" si="461"/>
        <v>14.999997834268255</v>
      </c>
      <c r="AP59" s="585">
        <f t="shared" si="95"/>
        <v>-6.58550493772227E-15</v>
      </c>
      <c r="AQ59" s="586">
        <f t="shared" si="246"/>
        <v>0.81608333865267513</v>
      </c>
      <c r="AS59" s="52">
        <f t="shared" si="406"/>
        <v>114.89998339605674</v>
      </c>
      <c r="AT59" s="72">
        <f t="shared" si="247"/>
        <v>7.8323347883198557E-2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5.1109999999999998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-3.2277656958933969</v>
      </c>
      <c r="C60" s="708">
        <v>-1.5257567101646266</v>
      </c>
      <c r="D60" s="709">
        <v>-0.1143003447298398</v>
      </c>
      <c r="E60" s="710">
        <v>0.30572307113547376</v>
      </c>
      <c r="F60" s="708">
        <v>-0.92086838472960086</v>
      </c>
      <c r="G60" s="711">
        <v>0.24193970691267258</v>
      </c>
      <c r="H60" s="710">
        <v>0.314</v>
      </c>
      <c r="I60" s="708">
        <v>0.52</v>
      </c>
      <c r="J60" s="570">
        <v>5.1139999999999999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5.1139999999999999</v>
      </c>
      <c r="N60" s="632">
        <f t="shared" si="240"/>
        <v>-3.2277656958933969</v>
      </c>
      <c r="O60" s="629">
        <f t="shared" si="241"/>
        <v>-1.5257567101646266</v>
      </c>
      <c r="P60" s="633">
        <f t="shared" si="242"/>
        <v>-0.1143003447298398</v>
      </c>
      <c r="Q60" s="585">
        <f t="shared" si="113"/>
        <v>205.29998339605672</v>
      </c>
      <c r="R60" s="629">
        <f t="shared" si="79"/>
        <v>3.5702107677556754</v>
      </c>
      <c r="S60" s="634">
        <f t="shared" si="80"/>
        <v>-0.1143003447298398</v>
      </c>
      <c r="T60" s="635">
        <f t="shared" si="81"/>
        <v>-1.4618054058880534</v>
      </c>
      <c r="U60" s="629">
        <f t="shared" si="82"/>
        <v>3.2572273303401826</v>
      </c>
      <c r="V60" s="636">
        <f t="shared" si="114"/>
        <v>-0.1143003447298398</v>
      </c>
      <c r="W60" s="585">
        <f t="shared" si="224"/>
        <v>114.16998339605672</v>
      </c>
      <c r="X60" s="629">
        <f t="shared" si="83"/>
        <v>3.5702107677556754</v>
      </c>
      <c r="Y60" s="630">
        <f t="shared" si="223"/>
        <v>-0.1143003447298398</v>
      </c>
      <c r="Z60" s="632">
        <f t="shared" si="243"/>
        <v>-0.30572307113547376</v>
      </c>
      <c r="AA60" s="629">
        <f t="shared" si="244"/>
        <v>0.92086838472960086</v>
      </c>
      <c r="AB60" s="629">
        <f t="shared" si="245"/>
        <v>-0.24193970691267258</v>
      </c>
      <c r="AC60" s="636">
        <f t="shared" si="84"/>
        <v>1</v>
      </c>
      <c r="AD60" s="637">
        <f t="shared" si="115"/>
        <v>-0.30572307113547376</v>
      </c>
      <c r="AE60" s="629">
        <f t="shared" si="85"/>
        <v>0.92086838472960086</v>
      </c>
      <c r="AF60" s="633">
        <f t="shared" si="86"/>
        <v>-0.24193970691267258</v>
      </c>
      <c r="AG60" s="602">
        <f t="shared" si="87"/>
        <v>75.279370829098184</v>
      </c>
      <c r="AH60" s="603">
        <f t="shared" si="88"/>
        <v>107.80167087787652</v>
      </c>
      <c r="AI60" s="585">
        <f t="shared" si="89"/>
        <v>-75.998948242921671</v>
      </c>
      <c r="AJ60" s="586">
        <f t="shared" si="90"/>
        <v>-161.63412683856649</v>
      </c>
      <c r="AK60" s="635">
        <f t="shared" si="211"/>
        <v>0.96319422958375533</v>
      </c>
      <c r="AL60" s="629">
        <f t="shared" si="91"/>
        <v>-0.11714117258917284</v>
      </c>
      <c r="AM60" s="634">
        <f t="shared" si="92"/>
        <v>-0.24193970691267258</v>
      </c>
      <c r="AN60" s="581">
        <f t="shared" si="93"/>
        <v>-25.835108171907894</v>
      </c>
      <c r="AO60" s="582">
        <f t="shared" si="461"/>
        <v>15.593252536446556</v>
      </c>
      <c r="AP60" s="585">
        <f t="shared" si="95"/>
        <v>-6.9341102346232217</v>
      </c>
      <c r="AQ60" s="586">
        <f t="shared" si="246"/>
        <v>0.6385147556291747</v>
      </c>
      <c r="AS60" s="52">
        <f t="shared" si="406"/>
        <v>114.16998339605672</v>
      </c>
      <c r="AT60" s="72">
        <f t="shared" si="247"/>
        <v>5.563022235623194E-2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5.1139999999999999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-3.8975542892176867</v>
      </c>
      <c r="C61" s="708">
        <v>-1.7549006042301651</v>
      </c>
      <c r="D61" s="709">
        <v>-0.45110136052170269</v>
      </c>
      <c r="E61" s="710">
        <v>0.17468491725634899</v>
      </c>
      <c r="F61" s="708">
        <v>-0.9702825458462544</v>
      </c>
      <c r="G61" s="711">
        <v>0.16744241072456531</v>
      </c>
      <c r="H61" s="710">
        <v>0.314</v>
      </c>
      <c r="I61" s="708">
        <v>0.52</v>
      </c>
      <c r="J61" s="570">
        <v>5.117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5.117</v>
      </c>
      <c r="N61" s="632">
        <f t="shared" si="240"/>
        <v>-3.8975542892176867</v>
      </c>
      <c r="O61" s="629">
        <f t="shared" si="241"/>
        <v>-1.7549006042301651</v>
      </c>
      <c r="P61" s="633">
        <f t="shared" si="242"/>
        <v>-0.45110136052170269</v>
      </c>
      <c r="Q61" s="585">
        <f t="shared" si="113"/>
        <v>204.23998339605672</v>
      </c>
      <c r="R61" s="629">
        <f t="shared" si="79"/>
        <v>4.2744128916292805</v>
      </c>
      <c r="S61" s="634">
        <f t="shared" si="80"/>
        <v>-0.45110136052170269</v>
      </c>
      <c r="T61" s="635">
        <f t="shared" si="81"/>
        <v>-1.6776958747888047</v>
      </c>
      <c r="U61" s="629">
        <f t="shared" si="82"/>
        <v>3.9314045988480015</v>
      </c>
      <c r="V61" s="636">
        <f t="shared" si="114"/>
        <v>-0.45110136052170269</v>
      </c>
      <c r="W61" s="585">
        <f t="shared" si="224"/>
        <v>113.10998339605672</v>
      </c>
      <c r="X61" s="629">
        <f t="shared" si="83"/>
        <v>4.2744128916292805</v>
      </c>
      <c r="Y61" s="630">
        <f t="shared" si="223"/>
        <v>-0.45110136052170269</v>
      </c>
      <c r="Z61" s="632">
        <f t="shared" si="243"/>
        <v>-0.17468491725634899</v>
      </c>
      <c r="AA61" s="629">
        <f t="shared" si="244"/>
        <v>0.9702825458462544</v>
      </c>
      <c r="AB61" s="629">
        <f t="shared" si="245"/>
        <v>-0.16744241072456531</v>
      </c>
      <c r="AC61" s="636">
        <f t="shared" si="84"/>
        <v>1</v>
      </c>
      <c r="AD61" s="637">
        <f t="shared" si="115"/>
        <v>-0.17468491725634899</v>
      </c>
      <c r="AE61" s="629">
        <f t="shared" si="85"/>
        <v>0.9702825458462544</v>
      </c>
      <c r="AF61" s="633">
        <f t="shared" si="86"/>
        <v>-0.16744241072456531</v>
      </c>
      <c r="AG61" s="602">
        <f t="shared" si="87"/>
        <v>80.208858461678446</v>
      </c>
      <c r="AH61" s="603">
        <f t="shared" si="88"/>
        <v>100.06032276643826</v>
      </c>
      <c r="AI61" s="585">
        <f t="shared" si="89"/>
        <v>-80.360851426877758</v>
      </c>
      <c r="AJ61" s="586">
        <f t="shared" si="90"/>
        <v>-169.79407820313247</v>
      </c>
      <c r="AK61" s="635">
        <f t="shared" si="211"/>
        <v>0.95645499599849271</v>
      </c>
      <c r="AL61" s="629">
        <f t="shared" si="91"/>
        <v>-0.23907505039269472</v>
      </c>
      <c r="AM61" s="634">
        <f t="shared" si="92"/>
        <v>-0.16744241072456531</v>
      </c>
      <c r="AN61" s="581">
        <f t="shared" si="93"/>
        <v>-54.993526519300843</v>
      </c>
      <c r="AO61" s="582">
        <f t="shared" si="461"/>
        <v>16.970532830104027</v>
      </c>
      <c r="AP61" s="585">
        <f t="shared" si="95"/>
        <v>-14.034061599189197</v>
      </c>
      <c r="AQ61" s="586">
        <f t="shared" si="246"/>
        <v>0.53332723048867647</v>
      </c>
      <c r="AS61" s="52">
        <f t="shared" si="406"/>
        <v>113.10998339605672</v>
      </c>
      <c r="AT61" s="72">
        <f t="shared" si="247"/>
        <v>-0.28043468232451985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5.117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-4.3834119905302442</v>
      </c>
      <c r="C62" s="708">
        <v>-1.8905153980834035</v>
      </c>
      <c r="D62" s="709">
        <v>-1.0321031128229881</v>
      </c>
      <c r="E62" s="710">
        <v>9.2297720449069157E-2</v>
      </c>
      <c r="F62" s="708">
        <v>-0.9939376329733266</v>
      </c>
      <c r="G62" s="711">
        <v>5.9742050176457694E-2</v>
      </c>
      <c r="H62" s="710">
        <v>0.314</v>
      </c>
      <c r="I62" s="708">
        <v>0.52</v>
      </c>
      <c r="J62" s="570">
        <v>5.12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5.12</v>
      </c>
      <c r="N62" s="632">
        <f t="shared" si="240"/>
        <v>-4.3834119905302442</v>
      </c>
      <c r="O62" s="629">
        <f t="shared" si="241"/>
        <v>-1.8905153980834035</v>
      </c>
      <c r="P62" s="633">
        <f t="shared" si="242"/>
        <v>-1.0321031128229881</v>
      </c>
      <c r="Q62" s="585">
        <f t="shared" si="113"/>
        <v>203.32998339605672</v>
      </c>
      <c r="R62" s="629">
        <f t="shared" si="79"/>
        <v>4.7737143975226219</v>
      </c>
      <c r="S62" s="634">
        <f t="shared" si="80"/>
        <v>-1.0321031128229881</v>
      </c>
      <c r="T62" s="635">
        <f t="shared" si="81"/>
        <v>-1.8037027231652019</v>
      </c>
      <c r="U62" s="629">
        <f t="shared" si="82"/>
        <v>4.4198422636516348</v>
      </c>
      <c r="V62" s="636">
        <f t="shared" si="114"/>
        <v>-1.0321031128229881</v>
      </c>
      <c r="W62" s="585">
        <f t="shared" si="224"/>
        <v>112.19998339605672</v>
      </c>
      <c r="X62" s="629">
        <f t="shared" si="83"/>
        <v>4.7737143975226219</v>
      </c>
      <c r="Y62" s="630">
        <f t="shared" si="223"/>
        <v>-1.0321031128229881</v>
      </c>
      <c r="Z62" s="632">
        <f t="shared" si="243"/>
        <v>-9.2297720449069157E-2</v>
      </c>
      <c r="AA62" s="629">
        <f t="shared" si="244"/>
        <v>0.9939376329733266</v>
      </c>
      <c r="AB62" s="629">
        <f t="shared" si="245"/>
        <v>-5.9742050176457694E-2</v>
      </c>
      <c r="AC62" s="636">
        <f t="shared" si="84"/>
        <v>1</v>
      </c>
      <c r="AD62" s="637">
        <f t="shared" si="115"/>
        <v>-9.2297720449069157E-2</v>
      </c>
      <c r="AE62" s="629">
        <f t="shared" si="85"/>
        <v>0.9939376329733266</v>
      </c>
      <c r="AF62" s="633">
        <f t="shared" si="86"/>
        <v>-5.9742050176457694E-2</v>
      </c>
      <c r="AG62" s="602">
        <f t="shared" si="87"/>
        <v>86.560293134491317</v>
      </c>
      <c r="AH62" s="603">
        <f t="shared" si="88"/>
        <v>95.295807116904655</v>
      </c>
      <c r="AI62" s="585">
        <f t="shared" si="89"/>
        <v>-86.574993228904916</v>
      </c>
      <c r="AJ62" s="586">
        <f t="shared" si="90"/>
        <v>-174.6946896931336</v>
      </c>
      <c r="AK62" s="635">
        <f t="shared" si="211"/>
        <v>0.94922486403524275</v>
      </c>
      <c r="AL62" s="629">
        <f t="shared" si="91"/>
        <v>-0.30887383336564567</v>
      </c>
      <c r="AM62" s="634">
        <f t="shared" si="92"/>
        <v>-5.9742050176457694E-2</v>
      </c>
      <c r="AN62" s="581">
        <f t="shared" si="93"/>
        <v>-79.053086363211747</v>
      </c>
      <c r="AO62" s="582">
        <f t="shared" si="461"/>
        <v>18.336571682049513</v>
      </c>
      <c r="AP62" s="585">
        <f t="shared" si="95"/>
        <v>-18.024673089190319</v>
      </c>
      <c r="AQ62" s="586">
        <f t="shared" si="246"/>
        <v>0.47754717861558671</v>
      </c>
      <c r="AS62" s="52">
        <f t="shared" si="406"/>
        <v>112.19998339605672</v>
      </c>
      <c r="AT62" s="72">
        <f t="shared" si="247"/>
        <v>-0.86080449018136074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5.12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-4.6277084540606541</v>
      </c>
      <c r="C63" s="708">
        <v>-1.9320158381750077</v>
      </c>
      <c r="D63" s="709">
        <v>-1.7450052629358734</v>
      </c>
      <c r="E63" s="710">
        <v>-8.4157371370243303E-2</v>
      </c>
      <c r="F63" s="708">
        <v>-0.99593563050993872</v>
      </c>
      <c r="G63" s="711">
        <v>3.2089822760834177E-2</v>
      </c>
      <c r="H63" s="710">
        <v>0.314</v>
      </c>
      <c r="I63" s="708">
        <v>0.52</v>
      </c>
      <c r="J63" s="570">
        <v>5.1230000000000002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5.1230000000000002</v>
      </c>
      <c r="N63" s="632">
        <f t="shared" si="240"/>
        <v>-4.6277084540606541</v>
      </c>
      <c r="O63" s="629">
        <f t="shared" si="241"/>
        <v>-1.9320158381750077</v>
      </c>
      <c r="P63" s="633">
        <f t="shared" si="242"/>
        <v>-1.7450052629358734</v>
      </c>
      <c r="Q63" s="585">
        <f t="shared" si="113"/>
        <v>202.6599833960567</v>
      </c>
      <c r="R63" s="629">
        <f t="shared" si="79"/>
        <v>5.0148151246824169</v>
      </c>
      <c r="S63" s="634">
        <f t="shared" si="80"/>
        <v>-1.7450052629358734</v>
      </c>
      <c r="T63" s="635">
        <f t="shared" si="81"/>
        <v>-1.8403773359940092</v>
      </c>
      <c r="U63" s="629">
        <f t="shared" si="82"/>
        <v>4.6649096449881124</v>
      </c>
      <c r="V63" s="636">
        <f t="shared" si="114"/>
        <v>-1.7450052629358734</v>
      </c>
      <c r="W63" s="585">
        <f t="shared" si="224"/>
        <v>111.52998339605671</v>
      </c>
      <c r="X63" s="629">
        <f t="shared" si="83"/>
        <v>5.0148151246824169</v>
      </c>
      <c r="Y63" s="630">
        <f t="shared" si="223"/>
        <v>-1.7450052629358734</v>
      </c>
      <c r="Z63" s="632">
        <f t="shared" si="243"/>
        <v>8.4157371370243303E-2</v>
      </c>
      <c r="AA63" s="629">
        <f t="shared" si="244"/>
        <v>0.99593563050993872</v>
      </c>
      <c r="AB63" s="629">
        <f t="shared" si="245"/>
        <v>-3.2089822760834177E-2</v>
      </c>
      <c r="AC63" s="636">
        <f t="shared" si="84"/>
        <v>1</v>
      </c>
      <c r="AD63" s="637">
        <f t="shared" si="115"/>
        <v>8.4157371370243303E-2</v>
      </c>
      <c r="AE63" s="629">
        <f t="shared" si="85"/>
        <v>0.99593563050993872</v>
      </c>
      <c r="AF63" s="633">
        <f t="shared" si="86"/>
        <v>-3.2089822760834177E-2</v>
      </c>
      <c r="AG63" s="602">
        <f t="shared" si="87"/>
        <v>88.154523766181228</v>
      </c>
      <c r="AH63" s="603">
        <f t="shared" si="88"/>
        <v>85.172427811525125</v>
      </c>
      <c r="AI63" s="585">
        <f t="shared" si="89"/>
        <v>-88.161072890423171</v>
      </c>
      <c r="AJ63" s="586">
        <f t="shared" si="90"/>
        <v>175.16993436984518</v>
      </c>
      <c r="AK63" s="635">
        <f t="shared" si="211"/>
        <v>0.88663415341879948</v>
      </c>
      <c r="AL63" s="629">
        <f t="shared" si="91"/>
        <v>-0.46135682640067988</v>
      </c>
      <c r="AM63" s="634">
        <f t="shared" si="92"/>
        <v>-3.2089822760834177E-2</v>
      </c>
      <c r="AN63" s="581">
        <f t="shared" si="93"/>
        <v>-86.021181763607458</v>
      </c>
      <c r="AO63" s="582">
        <f t="shared" si="461"/>
        <v>27.54670350536502</v>
      </c>
      <c r="AP63" s="585">
        <f t="shared" si="95"/>
        <v>-27.490049026211526</v>
      </c>
      <c r="AQ63" s="586">
        <f t="shared" si="246"/>
        <v>0.45458880122158768</v>
      </c>
      <c r="AS63" s="52">
        <f t="shared" si="406"/>
        <v>111.52998339605671</v>
      </c>
      <c r="AT63" s="72">
        <f t="shared" si="247"/>
        <v>-1.5732413625164683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5.1230000000000002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-4.724791722328316</v>
      </c>
      <c r="C64" s="708">
        <v>-1.9532079099271225</v>
      </c>
      <c r="D64" s="709">
        <v>-2.4583071825611604</v>
      </c>
      <c r="E64" s="710">
        <v>-0.17024812522031946</v>
      </c>
      <c r="F64" s="708">
        <v>-0.98534566297506621</v>
      </c>
      <c r="G64" s="711">
        <v>1.0464239828763803E-2</v>
      </c>
      <c r="H64" s="710">
        <v>0.26600000000000001</v>
      </c>
      <c r="I64" s="708">
        <v>0.52</v>
      </c>
      <c r="J64" s="570">
        <v>5.1260000000000003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1313</v>
      </c>
      <c r="L64" s="320"/>
      <c r="M64" s="168">
        <f t="shared" si="239"/>
        <v>5.1260000000000003</v>
      </c>
      <c r="N64" s="632">
        <f t="shared" si="240"/>
        <v>-4.724791722328316</v>
      </c>
      <c r="O64" s="629">
        <f t="shared" si="241"/>
        <v>-1.9532079099271225</v>
      </c>
      <c r="P64" s="633">
        <f t="shared" si="242"/>
        <v>-2.4583071825611604</v>
      </c>
      <c r="Q64" s="585">
        <f t="shared" si="113"/>
        <v>202.45998391825543</v>
      </c>
      <c r="R64" s="629">
        <f t="shared" si="79"/>
        <v>5.112599921643004</v>
      </c>
      <c r="S64" s="634">
        <f t="shared" si="80"/>
        <v>-2.4583071825611604</v>
      </c>
      <c r="T64" s="635">
        <f t="shared" si="81"/>
        <v>-1.8596507128769126</v>
      </c>
      <c r="U64" s="629">
        <f t="shared" si="82"/>
        <v>4.7623919604417742</v>
      </c>
      <c r="V64" s="636">
        <f t="shared" si="114"/>
        <v>-2.4583071825611604</v>
      </c>
      <c r="W64" s="585">
        <f t="shared" si="224"/>
        <v>111.32998391825544</v>
      </c>
      <c r="X64" s="629">
        <f t="shared" si="83"/>
        <v>5.112599921643004</v>
      </c>
      <c r="Y64" s="630">
        <f t="shared" si="223"/>
        <v>-2.4583071825611604</v>
      </c>
      <c r="Z64" s="632">
        <f t="shared" si="243"/>
        <v>0.17024812522031946</v>
      </c>
      <c r="AA64" s="629">
        <f t="shared" si="244"/>
        <v>0.98534566297506621</v>
      </c>
      <c r="AB64" s="629">
        <f t="shared" si="245"/>
        <v>-1.0464239828763803E-2</v>
      </c>
      <c r="AC64" s="636">
        <f t="shared" si="84"/>
        <v>1</v>
      </c>
      <c r="AD64" s="637">
        <f t="shared" si="115"/>
        <v>0.17024812522031946</v>
      </c>
      <c r="AE64" s="629">
        <f t="shared" si="85"/>
        <v>0.98534566297506621</v>
      </c>
      <c r="AF64" s="633">
        <f t="shared" si="86"/>
        <v>-1.0464239828763803E-2</v>
      </c>
      <c r="AG64" s="602">
        <f t="shared" si="87"/>
        <v>89.391549318780719</v>
      </c>
      <c r="AH64" s="603">
        <f t="shared" si="88"/>
        <v>80.197754110367867</v>
      </c>
      <c r="AI64" s="585">
        <f t="shared" si="89"/>
        <v>-89.400432279517233</v>
      </c>
      <c r="AJ64" s="586">
        <f t="shared" si="90"/>
        <v>170.1972120929172</v>
      </c>
      <c r="AK64" s="635">
        <f t="shared" si="211"/>
        <v>0.84556255398072411</v>
      </c>
      <c r="AL64" s="629">
        <f t="shared" si="91"/>
        <v>-0.53377379758695664</v>
      </c>
      <c r="AM64" s="634">
        <f t="shared" si="92"/>
        <v>-1.0464239828763803E-2</v>
      </c>
      <c r="AN64" s="581">
        <f t="shared" si="93"/>
        <v>-88.876902557218784</v>
      </c>
      <c r="AO64" s="582">
        <f t="shared" si="461"/>
        <v>32.267740934697855</v>
      </c>
      <c r="AP64" s="585">
        <f t="shared" si="95"/>
        <v>-32.262771825338241</v>
      </c>
      <c r="AQ64" s="586">
        <f t="shared" si="246"/>
        <v>0.44589458261931819</v>
      </c>
      <c r="AS64" s="52">
        <f t="shared" si="406"/>
        <v>111.32998391825544</v>
      </c>
      <c r="AT64" s="72">
        <f t="shared" si="247"/>
        <v>-2.2864043936155043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5.1260000000000003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1313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-3.2657709161668955</v>
      </c>
      <c r="C65" s="708">
        <v>-0.54650178400219451</v>
      </c>
      <c r="D65" s="709">
        <v>-6.9605532930688913E-2</v>
      </c>
      <c r="E65" s="710">
        <v>8.5903779660606625E-2</v>
      </c>
      <c r="F65" s="708">
        <v>-0.95132169720485138</v>
      </c>
      <c r="G65" s="711">
        <v>0.29598575821701834</v>
      </c>
      <c r="H65" s="710">
        <v>0.26600000000000001</v>
      </c>
      <c r="I65" s="708">
        <v>0.52</v>
      </c>
      <c r="J65" s="570">
        <v>5.2130000000000001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5.2130000000000001</v>
      </c>
      <c r="N65" s="632">
        <f t="shared" si="240"/>
        <v>-3.2657709161668955</v>
      </c>
      <c r="O65" s="629">
        <f t="shared" si="241"/>
        <v>-0.54650178400219451</v>
      </c>
      <c r="P65" s="633">
        <f t="shared" si="242"/>
        <v>-6.9605532930688913E-2</v>
      </c>
      <c r="Q65" s="585">
        <f t="shared" si="113"/>
        <v>189.49998563397952</v>
      </c>
      <c r="R65" s="629">
        <f t="shared" si="79"/>
        <v>3.3111816435827177</v>
      </c>
      <c r="S65" s="634">
        <f t="shared" si="80"/>
        <v>-6.9605532930688913E-2</v>
      </c>
      <c r="T65" s="635">
        <f t="shared" si="81"/>
        <v>-0.48199142323444533</v>
      </c>
      <c r="U65" s="629">
        <f t="shared" si="82"/>
        <v>3.2759133298559018</v>
      </c>
      <c r="V65" s="636">
        <f t="shared" si="114"/>
        <v>-6.9605532930688913E-2</v>
      </c>
      <c r="W65" s="585">
        <f t="shared" si="224"/>
        <v>98.369985633979525</v>
      </c>
      <c r="X65" s="629">
        <f t="shared" si="83"/>
        <v>3.3111816435827177</v>
      </c>
      <c r="Y65" s="630">
        <f t="shared" si="223"/>
        <v>-6.9605532930688913E-2</v>
      </c>
      <c r="Z65" s="632">
        <f t="shared" si="243"/>
        <v>-8.5903779660606625E-2</v>
      </c>
      <c r="AA65" s="629">
        <f t="shared" si="244"/>
        <v>0.95132169720485138</v>
      </c>
      <c r="AB65" s="629">
        <f t="shared" si="245"/>
        <v>-0.29598575821701834</v>
      </c>
      <c r="AC65" s="636">
        <f t="shared" si="84"/>
        <v>1</v>
      </c>
      <c r="AD65" s="637">
        <f t="shared" si="115"/>
        <v>-8.5903779660606625E-2</v>
      </c>
      <c r="AE65" s="629">
        <f t="shared" si="85"/>
        <v>0.95132169720485138</v>
      </c>
      <c r="AF65" s="633">
        <f t="shared" si="86"/>
        <v>-0.29598575821701834</v>
      </c>
      <c r="AG65" s="602">
        <f t="shared" si="87"/>
        <v>72.717457857482856</v>
      </c>
      <c r="AH65" s="603">
        <f t="shared" si="88"/>
        <v>94.927997732842556</v>
      </c>
      <c r="AI65" s="585">
        <f t="shared" si="89"/>
        <v>-72.783342842147917</v>
      </c>
      <c r="AJ65" s="586">
        <f t="shared" si="90"/>
        <v>-174.84021930344215</v>
      </c>
      <c r="AK65" s="635">
        <f t="shared" si="211"/>
        <v>0.95245312367545498</v>
      </c>
      <c r="AL65" s="629">
        <f t="shared" si="91"/>
        <v>-7.2287468717373918E-2</v>
      </c>
      <c r="AM65" s="634">
        <f t="shared" si="92"/>
        <v>-0.29598575821701834</v>
      </c>
      <c r="AN65" s="581">
        <f t="shared" si="93"/>
        <v>-13.724466768692867</v>
      </c>
      <c r="AO65" s="582">
        <f t="shared" si="461"/>
        <v>17.739223433649723</v>
      </c>
      <c r="AP65" s="585">
        <f t="shared" si="95"/>
        <v>-4.340204937421686</v>
      </c>
      <c r="AQ65" s="586">
        <f t="shared" si="246"/>
        <v>0.68846024146688534</v>
      </c>
      <c r="AS65" s="52">
        <f t="shared" si="406"/>
        <v>98.369985633979525</v>
      </c>
      <c r="AT65" s="72">
        <f t="shared" si="247"/>
        <v>0.11129725482349198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Nose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5.2130000000000001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4.1130000000000004</v>
      </c>
      <c r="II65" s="734" cm="1">
        <f t="array" ref="II65">IFERROR(ROUND(VALUE(IF($IH65&lt;1,$IH65+LARGE((IF($M$9:$M$150="",0,$M$9:$M$150)-MOD(IF($M$9:$M$150="",0,$M$9:$M$150),1)),1),$IH65)),4),"")</f>
        <v>4.1130000000000004</v>
      </c>
      <c r="IJ65" s="533">
        <f t="shared" si="112"/>
        <v>1613</v>
      </c>
      <c r="IK65" s="533">
        <f t="shared" si="382"/>
        <v>1313</v>
      </c>
      <c r="IL65" s="727">
        <f t="shared" si="225"/>
        <v>71.119989821060869</v>
      </c>
      <c r="IM65" s="759">
        <v>4.8286892385321398E-2</v>
      </c>
      <c r="IN65" s="5">
        <f t="shared" si="226"/>
        <v>0.26</v>
      </c>
      <c r="IO65" s="771">
        <v>130</v>
      </c>
      <c r="IP65" s="9">
        <f t="shared" si="227"/>
        <v>-3.3112099866093194</v>
      </c>
      <c r="IQ65" s="5">
        <f t="shared" si="228"/>
        <v>-6.9200208707829475E-2</v>
      </c>
      <c r="IR65" s="5">
        <f t="shared" si="383"/>
        <v>0.314</v>
      </c>
      <c r="IS65" s="5">
        <f t="shared" si="229"/>
        <v>0.30289878649603086</v>
      </c>
      <c r="IT65" s="727">
        <f t="shared" si="230"/>
        <v>15.260741935095998</v>
      </c>
      <c r="IU65" s="9">
        <f t="shared" si="231"/>
        <v>-3.3111816435827177</v>
      </c>
      <c r="IV65" s="5">
        <f t="shared" si="232"/>
        <v>-6.9605532930688913E-2</v>
      </c>
      <c r="IW65" s="5">
        <f t="shared" si="384"/>
        <v>0.26600000000000001</v>
      </c>
      <c r="IX65" s="5">
        <f t="shared" si="233"/>
        <v>0.25335253089767101</v>
      </c>
      <c r="IY65" s="762">
        <f t="shared" si="234"/>
        <v>13.724466768692867</v>
      </c>
    </row>
    <row r="66" spans="1:259" ht="15" customHeight="1" x14ac:dyDescent="0.25">
      <c r="A66" s="79"/>
      <c r="B66" s="707">
        <v>-3.9820703388503658</v>
      </c>
      <c r="C66" s="708">
        <v>-0.77908504729873718</v>
      </c>
      <c r="D66" s="709">
        <v>-0.30748075896795685</v>
      </c>
      <c r="E66" s="710">
        <v>-3.2138056924191923E-2</v>
      </c>
      <c r="F66" s="708">
        <v>-0.97108889711434143</v>
      </c>
      <c r="G66" s="711">
        <v>0.23654492004350738</v>
      </c>
      <c r="H66" s="710">
        <v>0.26600000000000001</v>
      </c>
      <c r="I66" s="708">
        <v>0.52</v>
      </c>
      <c r="J66" s="570">
        <v>5.2160000000000002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5.2160000000000002</v>
      </c>
      <c r="N66" s="632">
        <f t="shared" si="240"/>
        <v>-3.9820703388503658</v>
      </c>
      <c r="O66" s="629">
        <f t="shared" si="241"/>
        <v>-0.77908504729873718</v>
      </c>
      <c r="P66" s="633">
        <f t="shared" si="242"/>
        <v>-0.30748075896795685</v>
      </c>
      <c r="Q66" s="585">
        <f t="shared" si="113"/>
        <v>191.06998540729961</v>
      </c>
      <c r="R66" s="629">
        <f t="shared" si="79"/>
        <v>4.0575679531557256</v>
      </c>
      <c r="S66" s="634">
        <f t="shared" si="80"/>
        <v>-0.30748075896795685</v>
      </c>
      <c r="T66" s="635">
        <f t="shared" si="81"/>
        <v>-0.70040335511964846</v>
      </c>
      <c r="U66" s="629">
        <f t="shared" si="82"/>
        <v>3.9966602100520738</v>
      </c>
      <c r="V66" s="636">
        <f t="shared" si="114"/>
        <v>-0.30748075896795685</v>
      </c>
      <c r="W66" s="585">
        <f t="shared" si="224"/>
        <v>99.939985407299616</v>
      </c>
      <c r="X66" s="629">
        <f t="shared" si="83"/>
        <v>4.0575679531557256</v>
      </c>
      <c r="Y66" s="630">
        <f t="shared" si="223"/>
        <v>-0.30748075896795685</v>
      </c>
      <c r="Z66" s="632">
        <f t="shared" si="243"/>
        <v>3.2138056924191923E-2</v>
      </c>
      <c r="AA66" s="629">
        <f t="shared" si="244"/>
        <v>0.97108889711434143</v>
      </c>
      <c r="AB66" s="629">
        <f t="shared" si="245"/>
        <v>-0.23654492004350738</v>
      </c>
      <c r="AC66" s="636">
        <f t="shared" si="84"/>
        <v>1</v>
      </c>
      <c r="AD66" s="637">
        <f t="shared" si="115"/>
        <v>3.2138056924191923E-2</v>
      </c>
      <c r="AE66" s="629">
        <f t="shared" si="85"/>
        <v>0.97108889711434143</v>
      </c>
      <c r="AF66" s="633">
        <f t="shared" si="86"/>
        <v>-0.23654492004350738</v>
      </c>
      <c r="AG66" s="602">
        <f t="shared" si="87"/>
        <v>76.310082685104575</v>
      </c>
      <c r="AH66" s="603">
        <f t="shared" si="88"/>
        <v>88.158307850266311</v>
      </c>
      <c r="AI66" s="585">
        <f t="shared" si="89"/>
        <v>-76.317291967457464</v>
      </c>
      <c r="AJ66" s="586">
        <f t="shared" si="90"/>
        <v>178.10449568240571</v>
      </c>
      <c r="AK66" s="635">
        <f t="shared" si="211"/>
        <v>0.9468494571973991</v>
      </c>
      <c r="AL66" s="629">
        <f t="shared" si="91"/>
        <v>-0.21799680320271075</v>
      </c>
      <c r="AM66" s="634">
        <f t="shared" si="92"/>
        <v>-0.23654492004350738</v>
      </c>
      <c r="AN66" s="581">
        <f t="shared" si="93"/>
        <v>-42.663273839924116</v>
      </c>
      <c r="AO66" s="582">
        <f t="shared" si="461"/>
        <v>18.764374323349688</v>
      </c>
      <c r="AP66" s="585">
        <f t="shared" si="95"/>
        <v>-12.965489724893873</v>
      </c>
      <c r="AQ66" s="586">
        <f t="shared" si="246"/>
        <v>0.56182757519309323</v>
      </c>
      <c r="AS66" s="52">
        <f t="shared" si="406"/>
        <v>99.939985407299616</v>
      </c>
      <c r="AT66" s="72">
        <f t="shared" si="247"/>
        <v>-0.12766824883413713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Taper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5.2160000000000002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4.1159999999999997</v>
      </c>
      <c r="II66" s="734" cm="1">
        <f t="array" ref="II66">IFERROR(ROUND(VALUE(IF($IH66&lt;1,$IH66+LARGE((IF($M$9:$M$150="",0,$M$9:$M$150)-MOD(IF($M$9:$M$150="",0,$M$9:$M$150),1)),1),$IH66)),4),"")</f>
        <v>4.1159999999999997</v>
      </c>
      <c r="IJ66" s="533">
        <f t="shared" si="112"/>
        <v>1613</v>
      </c>
      <c r="IK66" s="533">
        <f t="shared" si="382"/>
        <v>1313</v>
      </c>
      <c r="IL66" s="727">
        <f t="shared" si="225"/>
        <v>68.529990047740739</v>
      </c>
      <c r="IM66" s="759">
        <v>4.7763851329511997E-2</v>
      </c>
      <c r="IN66" s="5">
        <f t="shared" si="226"/>
        <v>0.26</v>
      </c>
      <c r="IO66" s="771">
        <v>130</v>
      </c>
      <c r="IP66" s="9">
        <f t="shared" si="227"/>
        <v>-4.0577122380601098</v>
      </c>
      <c r="IQ66" s="5">
        <f t="shared" si="228"/>
        <v>-0.30710092621639357</v>
      </c>
      <c r="IR66" s="5">
        <f t="shared" si="383"/>
        <v>0.314</v>
      </c>
      <c r="IS66" s="5">
        <f t="shared" si="229"/>
        <v>0.30111671057655504</v>
      </c>
      <c r="IT66" s="727">
        <f t="shared" si="230"/>
        <v>45.794510910778747</v>
      </c>
      <c r="IU66" s="9">
        <f t="shared" si="231"/>
        <v>-4.0575679531557256</v>
      </c>
      <c r="IV66" s="5">
        <f t="shared" si="232"/>
        <v>-0.30748075896795685</v>
      </c>
      <c r="IW66" s="5">
        <f t="shared" si="384"/>
        <v>0.26600000000000001</v>
      </c>
      <c r="IX66" s="5">
        <f t="shared" si="233"/>
        <v>0.25186195561450819</v>
      </c>
      <c r="IY66" s="762">
        <f t="shared" si="234"/>
        <v>42.663273839924116</v>
      </c>
    </row>
    <row r="67" spans="1:259" ht="15" customHeight="1" x14ac:dyDescent="0.25">
      <c r="A67" s="79"/>
      <c r="B67" s="707">
        <v>-4.5495540571092805</v>
      </c>
      <c r="C67" s="708">
        <v>-0.91404494688419624</v>
      </c>
      <c r="D67" s="709">
        <v>-0.82522397311464457</v>
      </c>
      <c r="E67" s="710">
        <v>-0.12684800768345289</v>
      </c>
      <c r="F67" s="708">
        <v>-0.9835691683330603</v>
      </c>
      <c r="G67" s="711">
        <v>0.12845728492908004</v>
      </c>
      <c r="H67" s="710">
        <v>0.26600000000000001</v>
      </c>
      <c r="I67" s="708">
        <v>0.52</v>
      </c>
      <c r="J67" s="570">
        <v>5.2190000000000003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5.2190000000000003</v>
      </c>
      <c r="N67" s="632">
        <f t="shared" si="240"/>
        <v>-4.5495540571092805</v>
      </c>
      <c r="O67" s="629">
        <f t="shared" si="241"/>
        <v>-0.91404494688419624</v>
      </c>
      <c r="P67" s="633">
        <f t="shared" si="242"/>
        <v>-0.82522397311464457</v>
      </c>
      <c r="Q67" s="585">
        <f t="shared" si="113"/>
        <v>191.35998536542877</v>
      </c>
      <c r="R67" s="629">
        <f>IF(M67="","",SQRT(N67^2+O67^2))</f>
        <v>4.6404655244365358</v>
      </c>
      <c r="S67" s="634">
        <f>IF(M67="","",P67)</f>
        <v>-0.82522397311464457</v>
      </c>
      <c r="T67" s="635">
        <f>IF(M67="","",X67*COS(RADIANS(W67)))</f>
        <v>-0.82414569464184706</v>
      </c>
      <c r="U67" s="629">
        <f>IF(M67="","",X67*SIN(RADIANS(W67)))</f>
        <v>4.5666951023127611</v>
      </c>
      <c r="V67" s="636">
        <f>IF(M67="","",Y67)</f>
        <v>-0.82522397311464457</v>
      </c>
      <c r="W67" s="585">
        <f t="shared" si="224"/>
        <v>100.22998536542877</v>
      </c>
      <c r="X67" s="629">
        <f>IF(M67="","",R67)</f>
        <v>4.6404655244365358</v>
      </c>
      <c r="Y67" s="630">
        <f t="shared" si="223"/>
        <v>-0.82522397311464457</v>
      </c>
      <c r="Z67" s="632">
        <f t="shared" si="243"/>
        <v>0.12684800768345289</v>
      </c>
      <c r="AA67" s="629">
        <f t="shared" si="244"/>
        <v>0.9835691683330603</v>
      </c>
      <c r="AB67" s="629">
        <f t="shared" si="245"/>
        <v>-0.12845728492908004</v>
      </c>
      <c r="AC67" s="636">
        <f>IF(M67="","",SQRT(Z67^2+AA67^2+AB67^2))</f>
        <v>1</v>
      </c>
      <c r="AD67" s="637">
        <f>IF(M67="","",Z67*(1/SQRT(Z67^2+AA67^2+AB67^2)))</f>
        <v>0.12684800768345289</v>
      </c>
      <c r="AE67" s="629">
        <f>IF(M67="","",AA67*(1/SQRT(Z67^2+AA67^2+AB67^2)))</f>
        <v>0.9835691683330603</v>
      </c>
      <c r="AF67" s="633">
        <f>IF(M67="","",AB67*(1/SQRT(Z67^2+AA67^2+AB67^2)))</f>
        <v>-0.12845728492908004</v>
      </c>
      <c r="AG67" s="602">
        <f>IF(M67="","",DEGREES(ATAN2(-AF67,AE67)))</f>
        <v>82.559103816592952</v>
      </c>
      <c r="AH67" s="603">
        <f>IF(M67="","",DEGREES(ACOS(AD67)))</f>
        <v>82.712511558107309</v>
      </c>
      <c r="AI67" s="585">
        <f>IF(M67="","",DEGREES(-ACOS(-AF67)))</f>
        <v>-82.619546197689942</v>
      </c>
      <c r="AJ67" s="586">
        <f>IF(M67="","",DEGREES(ATAN2(-AE67,AD67)))</f>
        <v>172.65129600007509</v>
      </c>
      <c r="AK67" s="635">
        <f>IF(M67="","",(COS(RADIANS((90-$Q$8)-W67))*AD67)+(-SIN(RADIANS((90-$Q$8)-W67))*AE67))</f>
        <v>0.93931444956078158</v>
      </c>
      <c r="AL67" s="629">
        <f>IF(M67="","",(SIN(RADIANS((90-$Q$8)-W67))*AD67)+(COS(RADIANS((90-$Q$8)-W67))*AE67))</f>
        <v>-0.31809918389548764</v>
      </c>
      <c r="AM67" s="634">
        <f>IF(M67="","",AF67)</f>
        <v>-0.12845728492908004</v>
      </c>
      <c r="AN67" s="581">
        <f>IF(M67="","",DEGREES(ATAN2(-AM67,AL67)))</f>
        <v>-68.009775573771222</v>
      </c>
      <c r="AO67" s="582">
        <f t="shared" si="461"/>
        <v>20.063255944754832</v>
      </c>
      <c r="AP67" s="585">
        <f>IF(M67="","",DEGREES(ATAN2(AK67,AL67)))</f>
        <v>-18.708689365353681</v>
      </c>
      <c r="AQ67" s="586">
        <f t="shared" si="246"/>
        <v>0.49125906764777111</v>
      </c>
      <c r="AS67" s="52">
        <f t="shared" si="406"/>
        <v>100.22998536542877</v>
      </c>
      <c r="AT67" s="72">
        <f t="shared" si="247"/>
        <v>-0.64561285184063677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5.2190000000000003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4.1189999999999998</v>
      </c>
      <c r="II67" s="734" cm="1">
        <f t="array" ref="II67">IFERROR(ROUND(VALUE(IF($IH67&lt;1,$IH67+LARGE((IF($M$9:$M$150="",0,$M$9:$M$150)-MOD(IF($M$9:$M$150="",0,$M$9:$M$150),1)),1),$IH67)),4),"")</f>
        <v>4.1189999999999998</v>
      </c>
      <c r="IJ67" s="533">
        <f t="shared" si="112"/>
        <v>1613</v>
      </c>
      <c r="IK67" s="533">
        <f t="shared" si="382"/>
        <v>1313</v>
      </c>
      <c r="IL67" s="727">
        <f t="shared" si="225"/>
        <v>67.22999008961159</v>
      </c>
      <c r="IM67" s="759">
        <v>4.7283365593266603E-2</v>
      </c>
      <c r="IN67" s="5">
        <f t="shared" si="226"/>
        <v>0.28000000000000003</v>
      </c>
      <c r="IO67" s="771">
        <v>140</v>
      </c>
      <c r="IP67" s="9">
        <f t="shared" si="227"/>
        <v>-4.6407139963934121</v>
      </c>
      <c r="IQ67" s="5">
        <f t="shared" si="228"/>
        <v>-0.82490248790590315</v>
      </c>
      <c r="IR67" s="5">
        <f t="shared" si="383"/>
        <v>0.314</v>
      </c>
      <c r="IS67" s="5">
        <f t="shared" si="229"/>
        <v>0.29872043026350154</v>
      </c>
      <c r="IT67" s="727">
        <f t="shared" si="230"/>
        <v>71.883925894785051</v>
      </c>
      <c r="IU67" s="9">
        <f t="shared" si="231"/>
        <v>-4.6404655244365358</v>
      </c>
      <c r="IV67" s="5">
        <f t="shared" si="232"/>
        <v>-0.82522397311464457</v>
      </c>
      <c r="IW67" s="5">
        <f t="shared" si="384"/>
        <v>0.26600000000000001</v>
      </c>
      <c r="IX67" s="5">
        <f t="shared" si="233"/>
        <v>0.24985764358316792</v>
      </c>
      <c r="IY67" s="762">
        <f t="shared" si="234"/>
        <v>68.009775573771222</v>
      </c>
    </row>
    <row r="68" spans="1:259" ht="15" customHeight="1" x14ac:dyDescent="0.25">
      <c r="A68" s="79"/>
      <c r="B68" s="707">
        <v>-4.8741843927275639</v>
      </c>
      <c r="C68" s="708">
        <v>-0.96246130699304744</v>
      </c>
      <c r="D68" s="709">
        <v>-1.5043944606526234</v>
      </c>
      <c r="E68" s="710">
        <v>-0.27370172451157743</v>
      </c>
      <c r="F68" s="708">
        <v>-0.95862629741291605</v>
      </c>
      <c r="G68" s="711">
        <v>7.8249523371022658E-2</v>
      </c>
      <c r="H68" s="710">
        <v>0.26600000000000001</v>
      </c>
      <c r="I68" s="708">
        <v>0.52</v>
      </c>
      <c r="J68" s="570">
        <v>5.2220000000000004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5.2220000000000004</v>
      </c>
      <c r="N68" s="632">
        <f t="shared" si="240"/>
        <v>-4.8741843927275639</v>
      </c>
      <c r="O68" s="629">
        <f t="shared" si="241"/>
        <v>-0.96246130699304744</v>
      </c>
      <c r="P68" s="633">
        <f t="shared" si="242"/>
        <v>-1.5043944606526234</v>
      </c>
      <c r="Q68" s="585">
        <f t="shared" si="113"/>
        <v>191.16998539286135</v>
      </c>
      <c r="R68" s="629">
        <f>IF(M68="","",SQRT(N68^2+O68^2))</f>
        <v>4.9683000374139779</v>
      </c>
      <c r="S68" s="634">
        <f>IF(M68="","",P68)</f>
        <v>-1.5043944606526234</v>
      </c>
      <c r="T68" s="635">
        <f>IF(M68="","",X68*COS(RADIANS(W68)))</f>
        <v>-0.86615062286843936</v>
      </c>
      <c r="U68" s="629">
        <f>IF(M68="","",X68*SIN(RADIANS(W68)))</f>
        <v>4.8922171211294732</v>
      </c>
      <c r="V68" s="636">
        <f>IF(M68="","",Y68)</f>
        <v>-1.5043944606526234</v>
      </c>
      <c r="W68" s="585">
        <f t="shared" si="224"/>
        <v>100.03998539286135</v>
      </c>
      <c r="X68" s="629">
        <f>IF(M68="","",R68)</f>
        <v>4.9683000374139779</v>
      </c>
      <c r="Y68" s="630">
        <f t="shared" si="223"/>
        <v>-1.5043944606526234</v>
      </c>
      <c r="Z68" s="632">
        <f t="shared" si="243"/>
        <v>0.27370172451157743</v>
      </c>
      <c r="AA68" s="629">
        <f t="shared" si="244"/>
        <v>0.95862629741291605</v>
      </c>
      <c r="AB68" s="629">
        <f t="shared" si="245"/>
        <v>-7.8249523371022658E-2</v>
      </c>
      <c r="AC68" s="636">
        <f>IF(M68="","",SQRT(Z68^2+AA68^2+AB68^2))</f>
        <v>1</v>
      </c>
      <c r="AD68" s="637">
        <f>IF(M68="","",Z68*(1/SQRT(Z68^2+AA68^2+AB68^2)))</f>
        <v>0.27370172451157743</v>
      </c>
      <c r="AE68" s="629">
        <f>IF(M68="","",AA68*(1/SQRT(Z68^2+AA68^2+AB68^2)))</f>
        <v>0.95862629741291605</v>
      </c>
      <c r="AF68" s="633">
        <f>IF(M68="","",AB68*(1/SQRT(Z68^2+AA68^2+AB68^2)))</f>
        <v>-7.8249523371022658E-2</v>
      </c>
      <c r="AG68" s="602">
        <f>IF(M68="","",DEGREES(ATAN2(-AF68,AE68)))</f>
        <v>85.333479139206446</v>
      </c>
      <c r="AH68" s="603">
        <f>IF(M68="","",DEGREES(ACOS(AD68)))</f>
        <v>74.115339642051921</v>
      </c>
      <c r="AI68" s="585">
        <f>IF(M68="","",DEGREES(-ACOS(-AF68)))</f>
        <v>-85.512044641918763</v>
      </c>
      <c r="AJ68" s="586">
        <f>IF(M68="","",DEGREES(ATAN2(-AE68,AD68)))</f>
        <v>164.06518670749122</v>
      </c>
      <c r="AK68" s="635">
        <f>IF(M68="","",(COS(RADIANS((90-$Q$8)-W68))*AD68)+(-SIN(RADIANS((90-$Q$8)-W68))*AE68))</f>
        <v>0.8874451994858864</v>
      </c>
      <c r="AL68" s="629">
        <f>IF(M68="","",(SIN(RADIANS((90-$Q$8)-W68))*AD68)+(COS(RADIANS((90-$Q$8)-W68))*AE68))</f>
        <v>-0.45422244550623359</v>
      </c>
      <c r="AM68" s="634">
        <f>IF(M68="","",AF68)</f>
        <v>-7.8249523371022658E-2</v>
      </c>
      <c r="AN68" s="581">
        <f>IF(M68="","",DEGREES(ATAN2(-AM68,AL68)))</f>
        <v>-80.225517778161702</v>
      </c>
      <c r="AO68" s="582">
        <f t="shared" si="461"/>
        <v>27.446053141407653</v>
      </c>
      <c r="AP68" s="585">
        <f>IF(M68="","",DEGREES(ATAN2(AK68,AL68)))</f>
        <v>-27.104798685370117</v>
      </c>
      <c r="AQ68" s="586">
        <f t="shared" si="246"/>
        <v>0.45884465085303411</v>
      </c>
      <c r="AS68" s="52">
        <f t="shared" si="406"/>
        <v>100.03998539286135</v>
      </c>
      <c r="AT68" s="72">
        <f t="shared" si="247"/>
        <v>-1.3246513949532215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5.2220000000000004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4.1219999999999999</v>
      </c>
      <c r="II68" s="734" cm="1">
        <f t="array" ref="II68">IFERROR(ROUND(VALUE(IF($IH68&lt;1,$IH68+LARGE((IF($M$9:$M$150="",0,$M$9:$M$150)-MOD(IF($M$9:$M$150="",0,$M$9:$M$150),1)),1),$IH68)),4),"")</f>
        <v>4.1219999999999999</v>
      </c>
      <c r="IJ68" s="533">
        <f t="shared" si="112"/>
        <v>1613</v>
      </c>
      <c r="IK68" s="533">
        <f t="shared" si="382"/>
        <v>1313</v>
      </c>
      <c r="IL68" s="727">
        <f t="shared" si="225"/>
        <v>66.789990062179015</v>
      </c>
      <c r="IM68" s="759">
        <v>4.6971027921682298E-2</v>
      </c>
      <c r="IN68" s="5">
        <f t="shared" si="226"/>
        <v>0.3</v>
      </c>
      <c r="IO68" s="771">
        <v>150</v>
      </c>
      <c r="IP68" s="9">
        <f t="shared" si="227"/>
        <v>-4.9691149868508004</v>
      </c>
      <c r="IQ68" s="5">
        <f t="shared" si="228"/>
        <v>-1.5038045354744787</v>
      </c>
      <c r="IR68" s="5">
        <f t="shared" si="383"/>
        <v>0.314</v>
      </c>
      <c r="IS68" s="5">
        <f t="shared" si="229"/>
        <v>0.28406047847430793</v>
      </c>
      <c r="IT68" s="727">
        <f t="shared" si="230"/>
        <v>82.541205146751864</v>
      </c>
      <c r="IU68" s="9">
        <f t="shared" si="231"/>
        <v>-4.9683000374139779</v>
      </c>
      <c r="IV68" s="5">
        <f t="shared" si="232"/>
        <v>-1.5043944606526234</v>
      </c>
      <c r="IW68" s="5">
        <f t="shared" si="384"/>
        <v>0.26600000000000001</v>
      </c>
      <c r="IX68" s="5">
        <f t="shared" si="233"/>
        <v>0.23606042306324582</v>
      </c>
      <c r="IY68" s="762">
        <f t="shared" si="234"/>
        <v>80.225517778161702</v>
      </c>
    </row>
    <row r="69" spans="1:259" ht="15" customHeight="1" x14ac:dyDescent="0.25">
      <c r="A69" s="79"/>
      <c r="B69" s="707">
        <v>-1.9059002170148389</v>
      </c>
      <c r="C69" s="708">
        <v>1.273482193100868</v>
      </c>
      <c r="D69" s="709">
        <v>-0.21730065537877663</v>
      </c>
      <c r="E69" s="710">
        <v>-0.53663975313870449</v>
      </c>
      <c r="F69" s="708">
        <v>-0.80313790605538171</v>
      </c>
      <c r="G69" s="711">
        <v>0.25881900859134599</v>
      </c>
      <c r="H69" s="710">
        <v>0.314</v>
      </c>
      <c r="I69" s="708">
        <v>0.52</v>
      </c>
      <c r="J69" s="570">
        <v>6.109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6.109</v>
      </c>
      <c r="N69" s="632">
        <f t="shared" si="240"/>
        <v>-1.9059002170148389</v>
      </c>
      <c r="O69" s="629">
        <f t="shared" si="241"/>
        <v>1.273482193100868</v>
      </c>
      <c r="P69" s="633">
        <f t="shared" si="242"/>
        <v>-0.21730065537877663</v>
      </c>
      <c r="Q69" s="585">
        <f t="shared" si="113"/>
        <v>146.24999205898365</v>
      </c>
      <c r="R69" s="629">
        <f t="shared" si="79"/>
        <v>2.2922069132960505</v>
      </c>
      <c r="S69" s="634">
        <f t="shared" si="80"/>
        <v>-0.21730065537877663</v>
      </c>
      <c r="T69" s="635">
        <f t="shared" si="81"/>
        <v>1.3108206781908118</v>
      </c>
      <c r="U69" s="629">
        <f t="shared" si="82"/>
        <v>1.8804152953508935</v>
      </c>
      <c r="V69" s="636">
        <f t="shared" si="114"/>
        <v>-0.21730065537877663</v>
      </c>
      <c r="W69" s="585">
        <f t="shared" si="224"/>
        <v>55.119992058983655</v>
      </c>
      <c r="X69" s="629">
        <f t="shared" si="83"/>
        <v>2.2922069132960505</v>
      </c>
      <c r="Y69" s="630">
        <f t="shared" si="223"/>
        <v>-0.21730065537877663</v>
      </c>
      <c r="Z69" s="632">
        <f t="shared" si="243"/>
        <v>0.53663975313870449</v>
      </c>
      <c r="AA69" s="629">
        <f t="shared" si="244"/>
        <v>0.80313790605538171</v>
      </c>
      <c r="AB69" s="629">
        <f t="shared" si="245"/>
        <v>-0.25881900859134599</v>
      </c>
      <c r="AC69" s="636">
        <f t="shared" si="84"/>
        <v>1</v>
      </c>
      <c r="AD69" s="637">
        <f t="shared" si="115"/>
        <v>0.53663975313870449</v>
      </c>
      <c r="AE69" s="629">
        <f t="shared" si="85"/>
        <v>0.80313790605538171</v>
      </c>
      <c r="AF69" s="633">
        <f t="shared" si="86"/>
        <v>-0.25881900859134599</v>
      </c>
      <c r="AG69" s="602">
        <f t="shared" si="87"/>
        <v>72.13795880628912</v>
      </c>
      <c r="AH69" s="603">
        <f t="shared" si="88"/>
        <v>57.544816087643305</v>
      </c>
      <c r="AI69" s="585">
        <f t="shared" si="89"/>
        <v>-75.000002165731729</v>
      </c>
      <c r="AJ69" s="586">
        <f t="shared" si="90"/>
        <v>146.24999205898365</v>
      </c>
      <c r="AK69" s="635">
        <f t="shared" si="211"/>
        <v>0.96592583607220739</v>
      </c>
      <c r="AL69" s="629">
        <f t="shared" si="91"/>
        <v>0</v>
      </c>
      <c r="AM69" s="634">
        <f t="shared" si="92"/>
        <v>-0.25881900859134599</v>
      </c>
      <c r="AN69" s="581">
        <f t="shared" si="93"/>
        <v>0</v>
      </c>
      <c r="AO69" s="582">
        <f t="shared" si="461"/>
        <v>14.999997834268255</v>
      </c>
      <c r="AP69" s="585">
        <f t="shared" si="95"/>
        <v>0</v>
      </c>
      <c r="AQ69" s="586">
        <f t="shared" si="246"/>
        <v>0.99445547103386001</v>
      </c>
      <c r="AS69" s="52">
        <f t="shared" si="406"/>
        <v>55.119992058983655</v>
      </c>
      <c r="AT69" s="72">
        <f t="shared" si="247"/>
        <v>-6.3631498641819328E-3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6.109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-2.525638518739608</v>
      </c>
      <c r="C70" s="708">
        <v>1.7125590473905623</v>
      </c>
      <c r="D70" s="709">
        <v>-6.3900192722981294E-2</v>
      </c>
      <c r="E70" s="710">
        <v>-0.56470902390232636</v>
      </c>
      <c r="F70" s="708">
        <v>-0.78368830950820612</v>
      </c>
      <c r="G70" s="711">
        <v>0.25872060579600564</v>
      </c>
      <c r="H70" s="710">
        <v>0.314</v>
      </c>
      <c r="I70" s="708">
        <v>0.52</v>
      </c>
      <c r="J70" s="570">
        <v>6.1120000000000001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6.1120000000000001</v>
      </c>
      <c r="N70" s="632">
        <f t="shared" si="240"/>
        <v>-2.525638518739608</v>
      </c>
      <c r="O70" s="629">
        <f t="shared" si="241"/>
        <v>1.7125590473905623</v>
      </c>
      <c r="P70" s="633">
        <f t="shared" si="242"/>
        <v>-6.3900192722981294E-2</v>
      </c>
      <c r="Q70" s="585">
        <f t="shared" si="113"/>
        <v>145.85999205898364</v>
      </c>
      <c r="R70" s="629">
        <f t="shared" si="79"/>
        <v>3.0515092033517566</v>
      </c>
      <c r="S70" s="634">
        <f t="shared" si="80"/>
        <v>-6.3900192722981294E-2</v>
      </c>
      <c r="T70" s="635">
        <f t="shared" si="81"/>
        <v>1.7620339653883657</v>
      </c>
      <c r="U70" s="629">
        <f t="shared" si="82"/>
        <v>2.4913740632346291</v>
      </c>
      <c r="V70" s="636">
        <f t="shared" si="114"/>
        <v>-6.3900192722981294E-2</v>
      </c>
      <c r="W70" s="585">
        <f t="shared" si="224"/>
        <v>54.72999205898364</v>
      </c>
      <c r="X70" s="629">
        <f t="shared" si="83"/>
        <v>3.0515092033517566</v>
      </c>
      <c r="Y70" s="630">
        <f t="shared" si="223"/>
        <v>-6.3900192722981294E-2</v>
      </c>
      <c r="Z70" s="632">
        <f t="shared" si="243"/>
        <v>0.56470902390232636</v>
      </c>
      <c r="AA70" s="629">
        <f t="shared" si="244"/>
        <v>0.78368830950820612</v>
      </c>
      <c r="AB70" s="629">
        <f t="shared" si="245"/>
        <v>-0.25872060579600564</v>
      </c>
      <c r="AC70" s="636">
        <f t="shared" si="84"/>
        <v>1</v>
      </c>
      <c r="AD70" s="637">
        <f t="shared" si="115"/>
        <v>0.56470902390232636</v>
      </c>
      <c r="AE70" s="629">
        <f t="shared" si="85"/>
        <v>0.78368830950820612</v>
      </c>
      <c r="AF70" s="633">
        <f t="shared" si="86"/>
        <v>-0.25872060579600564</v>
      </c>
      <c r="AG70" s="602">
        <f t="shared" si="87"/>
        <v>71.730288907077323</v>
      </c>
      <c r="AH70" s="603">
        <f t="shared" si="88"/>
        <v>55.617912149378235</v>
      </c>
      <c r="AI70" s="585">
        <f t="shared" si="89"/>
        <v>-75.00583904027765</v>
      </c>
      <c r="AJ70" s="586">
        <f t="shared" si="90"/>
        <v>144.22428571026086</v>
      </c>
      <c r="AK70" s="635">
        <f t="shared" si="211"/>
        <v>0.96555859178486436</v>
      </c>
      <c r="AL70" s="629">
        <f t="shared" si="91"/>
        <v>-2.7572703294701073E-2</v>
      </c>
      <c r="AM70" s="634">
        <f t="shared" si="92"/>
        <v>-0.25872060579600564</v>
      </c>
      <c r="AN70" s="581">
        <f t="shared" si="93"/>
        <v>-6.083237575202169</v>
      </c>
      <c r="AO70" s="582">
        <f t="shared" si="461"/>
        <v>15.081082045192217</v>
      </c>
      <c r="AP70" s="585">
        <f t="shared" si="95"/>
        <v>-1.6357063487227659</v>
      </c>
      <c r="AQ70" s="586">
        <f t="shared" si="246"/>
        <v>0.74703934880030975</v>
      </c>
      <c r="AS70" s="52">
        <f t="shared" si="406"/>
        <v>54.72999205898364</v>
      </c>
      <c r="AT70" s="72">
        <f t="shared" si="247"/>
        <v>0.14730814612494675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6.1120000000000001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-3.1282126535648174</v>
      </c>
      <c r="C71" s="708">
        <v>2.1936549724362333</v>
      </c>
      <c r="D71" s="709">
        <v>-0.19310058239135661</v>
      </c>
      <c r="E71" s="710">
        <v>-0.68471429987099941</v>
      </c>
      <c r="F71" s="708">
        <v>-0.69390889510642606</v>
      </c>
      <c r="G71" s="711">
        <v>0.22283799685948133</v>
      </c>
      <c r="H71" s="710">
        <v>0.314</v>
      </c>
      <c r="I71" s="708">
        <v>0.52</v>
      </c>
      <c r="J71" s="570">
        <v>6.1150000000000002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6.1150000000000002</v>
      </c>
      <c r="N71" s="632">
        <f t="shared" si="240"/>
        <v>-3.1282126535648174</v>
      </c>
      <c r="O71" s="629">
        <f t="shared" si="241"/>
        <v>2.1936549724362333</v>
      </c>
      <c r="P71" s="633">
        <f t="shared" si="242"/>
        <v>-0.19310058239135661</v>
      </c>
      <c r="Q71" s="585">
        <f t="shared" si="113"/>
        <v>144.95999205898363</v>
      </c>
      <c r="R71" s="629">
        <f t="shared" si="79"/>
        <v>3.8207115232659543</v>
      </c>
      <c r="S71" s="634">
        <f t="shared" si="80"/>
        <v>-0.19310058239135661</v>
      </c>
      <c r="T71" s="635">
        <f t="shared" si="81"/>
        <v>2.2549196580718243</v>
      </c>
      <c r="U71" s="629">
        <f t="shared" si="82"/>
        <v>3.0843433465907286</v>
      </c>
      <c r="V71" s="636">
        <f t="shared" si="114"/>
        <v>-0.19310058239135661</v>
      </c>
      <c r="W71" s="585">
        <f t="shared" si="224"/>
        <v>53.829992058983635</v>
      </c>
      <c r="X71" s="629">
        <f t="shared" si="83"/>
        <v>3.8207115232659543</v>
      </c>
      <c r="Y71" s="630">
        <f t="shared" si="223"/>
        <v>-0.19310058239135661</v>
      </c>
      <c r="Z71" s="632">
        <f t="shared" si="243"/>
        <v>0.68471429987099941</v>
      </c>
      <c r="AA71" s="629">
        <f t="shared" si="244"/>
        <v>0.69390889510642606</v>
      </c>
      <c r="AB71" s="629">
        <f t="shared" si="245"/>
        <v>-0.22283799685948133</v>
      </c>
      <c r="AC71" s="636">
        <f t="shared" si="84"/>
        <v>1</v>
      </c>
      <c r="AD71" s="637">
        <f t="shared" si="115"/>
        <v>0.68471429987099941</v>
      </c>
      <c r="AE71" s="629">
        <f t="shared" si="85"/>
        <v>0.69390889510642606</v>
      </c>
      <c r="AF71" s="633">
        <f t="shared" si="86"/>
        <v>-0.22283799685948133</v>
      </c>
      <c r="AG71" s="602">
        <f t="shared" si="87"/>
        <v>72.196390350666903</v>
      </c>
      <c r="AH71" s="603">
        <f t="shared" si="88"/>
        <v>46.786857405353878</v>
      </c>
      <c r="AI71" s="585">
        <f t="shared" si="89"/>
        <v>-77.124222902759001</v>
      </c>
      <c r="AJ71" s="586">
        <f t="shared" si="90"/>
        <v>135.38212304306435</v>
      </c>
      <c r="AK71" s="635">
        <f t="shared" si="211"/>
        <v>0.96126637468925258</v>
      </c>
      <c r="AL71" s="629">
        <f t="shared" si="91"/>
        <v>-0.16220414312660258</v>
      </c>
      <c r="AM71" s="634">
        <f t="shared" si="92"/>
        <v>-0.22283799685948133</v>
      </c>
      <c r="AN71" s="581">
        <f t="shared" si="93"/>
        <v>-36.050934507812755</v>
      </c>
      <c r="AO71" s="582">
        <f t="shared" si="461"/>
        <v>15.999027415511026</v>
      </c>
      <c r="AP71" s="585">
        <f t="shared" si="95"/>
        <v>-9.577869015919271</v>
      </c>
      <c r="AQ71" s="586">
        <f t="shared" si="246"/>
        <v>0.59665436945253725</v>
      </c>
      <c r="AS71" s="52">
        <f t="shared" si="406"/>
        <v>53.829992058983635</v>
      </c>
      <c r="AT71" s="72">
        <f t="shared" si="247"/>
        <v>1.8732756456571437E-2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6.1150000000000002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-3.6109981159487909</v>
      </c>
      <c r="C72" s="708">
        <v>2.6331858828080374</v>
      </c>
      <c r="D72" s="709">
        <v>-0.62370188108487434</v>
      </c>
      <c r="E72" s="710">
        <v>-0.77935529562070971</v>
      </c>
      <c r="F72" s="708">
        <v>-0.61223735846442373</v>
      </c>
      <c r="G72" s="711">
        <v>0.13330693938599297</v>
      </c>
      <c r="H72" s="710">
        <v>0.314</v>
      </c>
      <c r="I72" s="708">
        <v>0.52</v>
      </c>
      <c r="J72" s="570">
        <v>6.1180000000000003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6.1180000000000003</v>
      </c>
      <c r="N72" s="632">
        <f t="shared" si="240"/>
        <v>-3.6109981159487909</v>
      </c>
      <c r="O72" s="629">
        <f t="shared" si="241"/>
        <v>2.6331858828080374</v>
      </c>
      <c r="P72" s="633">
        <f t="shared" si="242"/>
        <v>-0.62370188108487434</v>
      </c>
      <c r="Q72" s="585">
        <f t="shared" si="113"/>
        <v>143.89999205898363</v>
      </c>
      <c r="R72" s="629">
        <f t="shared" si="79"/>
        <v>4.4691134788462534</v>
      </c>
      <c r="S72" s="634">
        <f t="shared" si="80"/>
        <v>-0.62370188108487434</v>
      </c>
      <c r="T72" s="635">
        <f t="shared" si="81"/>
        <v>2.7038860740431043</v>
      </c>
      <c r="U72" s="629">
        <f t="shared" si="82"/>
        <v>3.5583669548545767</v>
      </c>
      <c r="V72" s="636">
        <f t="shared" si="114"/>
        <v>-0.62370188108487434</v>
      </c>
      <c r="W72" s="585">
        <f t="shared" si="224"/>
        <v>52.769992058983632</v>
      </c>
      <c r="X72" s="629">
        <f t="shared" si="83"/>
        <v>4.4691134788462534</v>
      </c>
      <c r="Y72" s="630">
        <f t="shared" si="223"/>
        <v>-0.62370188108487434</v>
      </c>
      <c r="Z72" s="632">
        <f t="shared" si="243"/>
        <v>0.77935529562070971</v>
      </c>
      <c r="AA72" s="629">
        <f t="shared" si="244"/>
        <v>0.61223735846442373</v>
      </c>
      <c r="AB72" s="629">
        <f t="shared" si="245"/>
        <v>-0.13330693938599297</v>
      </c>
      <c r="AC72" s="636">
        <f t="shared" si="84"/>
        <v>1</v>
      </c>
      <c r="AD72" s="637">
        <f t="shared" si="115"/>
        <v>0.77935529562070971</v>
      </c>
      <c r="AE72" s="629">
        <f t="shared" si="85"/>
        <v>0.61223735846442373</v>
      </c>
      <c r="AF72" s="633">
        <f t="shared" si="86"/>
        <v>-0.13330693938599297</v>
      </c>
      <c r="AG72" s="602">
        <f t="shared" si="87"/>
        <v>77.716295450597727</v>
      </c>
      <c r="AH72" s="603">
        <f t="shared" si="88"/>
        <v>38.798415278664088</v>
      </c>
      <c r="AI72" s="585">
        <f t="shared" si="89"/>
        <v>-82.339270222543149</v>
      </c>
      <c r="AJ72" s="586">
        <f t="shared" si="90"/>
        <v>128.15207928403791</v>
      </c>
      <c r="AK72" s="635">
        <f t="shared" si="211"/>
        <v>0.95387493072768581</v>
      </c>
      <c r="AL72" s="629">
        <f t="shared" si="91"/>
        <v>-0.26898304117693328</v>
      </c>
      <c r="AM72" s="634">
        <f t="shared" si="92"/>
        <v>-0.13330693938599297</v>
      </c>
      <c r="AN72" s="581">
        <f t="shared" si="93"/>
        <v>-63.63716526656146</v>
      </c>
      <c r="AO72" s="582">
        <f t="shared" si="461"/>
        <v>17.469873743176638</v>
      </c>
      <c r="AP72" s="585">
        <f t="shared" si="95"/>
        <v>-15.747912774945718</v>
      </c>
      <c r="AQ72" s="586">
        <f t="shared" si="246"/>
        <v>0.51009364876901264</v>
      </c>
      <c r="AS72" s="52">
        <f t="shared" si="406"/>
        <v>52.769992058983632</v>
      </c>
      <c r="AT72" s="72">
        <f t="shared" si="247"/>
        <v>-0.4111324311258352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6.1180000000000003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-3.9090943189947076</v>
      </c>
      <c r="C73" s="708">
        <v>2.932898679927018</v>
      </c>
      <c r="D73" s="709">
        <v>-1.2559037878058237</v>
      </c>
      <c r="E73" s="710">
        <v>-0.85767067606685754</v>
      </c>
      <c r="F73" s="708">
        <v>-0.50858872354146123</v>
      </c>
      <c r="G73" s="711">
        <v>7.5753030972277119E-2</v>
      </c>
      <c r="H73" s="710">
        <v>0.314</v>
      </c>
      <c r="I73" s="708">
        <v>0.52</v>
      </c>
      <c r="J73" s="570">
        <v>6.1210000000000004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6.1210000000000004</v>
      </c>
      <c r="N73" s="632">
        <f t="shared" ref="N73:N104" si="465">IF(M73="","",B73)</f>
        <v>-3.9090943189947076</v>
      </c>
      <c r="O73" s="629">
        <f t="shared" ref="O73:O104" si="466">IF(M73="","",C73)</f>
        <v>2.932898679927018</v>
      </c>
      <c r="P73" s="633">
        <f t="shared" ref="P73:P104" si="467">IF(M73="","",D73)</f>
        <v>-1.2559037878058237</v>
      </c>
      <c r="Q73" s="585">
        <f t="shared" si="113"/>
        <v>143.11999205898363</v>
      </c>
      <c r="R73" s="629">
        <f>IF(M73="","",SQRT(N73^2+O73^2))</f>
        <v>4.8870147392364531</v>
      </c>
      <c r="S73" s="634">
        <f>IF(M73="","",P73)</f>
        <v>-1.2559037878058237</v>
      </c>
      <c r="T73" s="635">
        <f>IF(M73="","",X73*COS(RADIANS(W73)))</f>
        <v>3.00941932194872</v>
      </c>
      <c r="U73" s="629">
        <f>IF(M73="","",X73*SIN(RADIANS(W73)))</f>
        <v>3.8504945664415682</v>
      </c>
      <c r="V73" s="636">
        <f>IF(M73="","",Y73)</f>
        <v>-1.2559037878058237</v>
      </c>
      <c r="W73" s="585">
        <f t="shared" si="224"/>
        <v>51.989992058983631</v>
      </c>
      <c r="X73" s="629">
        <f>IF(M73="","",R73)</f>
        <v>4.8870147392364531</v>
      </c>
      <c r="Y73" s="630">
        <f t="shared" si="223"/>
        <v>-1.2559037878058237</v>
      </c>
      <c r="Z73" s="632">
        <f t="shared" ref="Z73:Z104" si="468">IF(M73="","",-E73)</f>
        <v>0.85767067606685754</v>
      </c>
      <c r="AA73" s="629">
        <f t="shared" ref="AA73:AA104" si="469">IF(M73="","",-F73)</f>
        <v>0.50858872354146123</v>
      </c>
      <c r="AB73" s="629">
        <f t="shared" ref="AB73:AB104" si="470">IF(M73="","",-G73)</f>
        <v>-7.5753030972277119E-2</v>
      </c>
      <c r="AC73" s="636">
        <f>IF(M73="","",SQRT(Z73^2+AA73^2+AB73^2))</f>
        <v>1</v>
      </c>
      <c r="AD73" s="637">
        <f>IF(M73="","",Z73*(1/SQRT(Z73^2+AA73^2+AB73^2)))</f>
        <v>0.85767067606685754</v>
      </c>
      <c r="AE73" s="629">
        <f>IF(M73="","",AA73*(1/SQRT(Z73^2+AA73^2+AB73^2)))</f>
        <v>0.50858872354146123</v>
      </c>
      <c r="AF73" s="633">
        <f>IF(M73="","",AB73*(1/SQRT(Z73^2+AA73^2+AB73^2)))</f>
        <v>-7.5753030972277119E-2</v>
      </c>
      <c r="AG73" s="602">
        <f>IF(M73="","",DEGREES(ATAN2(-AF73,AE73)))</f>
        <v>81.528218975442158</v>
      </c>
      <c r="AH73" s="603">
        <f>IF(M73="","",DEGREES(ACOS(AD73)))</f>
        <v>30.943956020590278</v>
      </c>
      <c r="AI73" s="585">
        <f>IF(M73="","",DEGREES(-ACOS(-AF73)))</f>
        <v>-85.655509104817028</v>
      </c>
      <c r="AJ73" s="586">
        <f>IF(M73="","",DEGREES(ATAN2(-AE73,AD73)))</f>
        <v>120.66744723811946</v>
      </c>
      <c r="AK73" s="635">
        <f>IF(M73="","",(COS(RADIANS((90-$Q$8)-W73))*AD73)+(-SIN(RADIANS((90-$Q$8)-W73))*AE73))</f>
        <v>0.92154059765592922</v>
      </c>
      <c r="AL73" s="629">
        <f>IF(M73="","",(SIN(RADIANS((90-$Q$8)-W73))*AD73)+(COS(RADIANS((90-$Q$8)-W73))*AE73))</f>
        <v>-0.3808206995036722</v>
      </c>
      <c r="AM73" s="634">
        <f>IF(M73="","",AF73)</f>
        <v>-7.5753030972277119E-2</v>
      </c>
      <c r="AN73" s="581">
        <f>IF(M73="","",DEGREES(ATAN2(-AM73,AL73)))</f>
        <v>-78.749553649641783</v>
      </c>
      <c r="AO73" s="582">
        <f t="shared" si="461"/>
        <v>22.847643812738522</v>
      </c>
      <c r="AP73" s="585">
        <f>IF(M73="","",DEGREES(ATAN2(AK73,AL73)))</f>
        <v>-22.452544820864169</v>
      </c>
      <c r="AQ73" s="586">
        <f t="shared" ref="AQ73:AQ104" si="471">IF(M73="","",DEGREES(ATAN(($AS$5*SIN(RADIANS(90)))/(($X73*2*PI())-($AS$5*COS(RADIANS(90)))))))</f>
        <v>0.46647624019580569</v>
      </c>
      <c r="AS73" s="52">
        <f t="shared" si="406"/>
        <v>51.989992058983631</v>
      </c>
      <c r="AT73" s="72">
        <f t="shared" ref="AT73:AT104" si="472">IF(M73="","",Y73+(((AS73-$AS$9)*$AS$6)*-1))</f>
        <v>-1.0427926711801179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6.1210000000000004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-4.0105757478815223</v>
      </c>
      <c r="C74" s="708">
        <v>3.0685364638693877</v>
      </c>
      <c r="D74" s="709">
        <v>-1.9915060063821151</v>
      </c>
      <c r="E74" s="710">
        <v>-0.90638559733487589</v>
      </c>
      <c r="F74" s="708">
        <v>-0.42214880361845997</v>
      </c>
      <c r="G74" s="711">
        <v>-1.5985510545595619E-2</v>
      </c>
      <c r="H74" s="710">
        <v>0.314</v>
      </c>
      <c r="I74" s="708">
        <v>0.52</v>
      </c>
      <c r="J74" s="570">
        <v>6.1239999999999997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6.1239999999999997</v>
      </c>
      <c r="N74" s="632">
        <f t="shared" si="465"/>
        <v>-4.0105757478815223</v>
      </c>
      <c r="O74" s="629">
        <f t="shared" si="466"/>
        <v>3.0685364638693877</v>
      </c>
      <c r="P74" s="633">
        <f t="shared" si="467"/>
        <v>-1.9915060063821151</v>
      </c>
      <c r="Q74" s="585">
        <f t="shared" ref="Q74:Q129" si="520">IF(M74="","",IF(DEGREES(ATAN2(N74,O74))&lt;0,DEGREES(ATAN2(N74,O74))+360,IF(DEGREES(ATAN2(N74,O74))&gt;360,DEGREES(ATAN2(N74,O74))-360,DEGREES(ATAN2(N74,O74)))))</f>
        <v>142.57999205898363</v>
      </c>
      <c r="R74" s="629">
        <f>IF(M74="","",SQRT(N74^2+O74^2))</f>
        <v>5.0498152302427339</v>
      </c>
      <c r="S74" s="634">
        <f>IF(M74="","",P74)</f>
        <v>-1.9915060063821151</v>
      </c>
      <c r="T74" s="635">
        <f>IF(M74="","",X74*COS(RADIANS(W74)))</f>
        <v>3.1470320368800122</v>
      </c>
      <c r="U74" s="629">
        <f>IF(M74="","",X74*SIN(RADIANS(W74)))</f>
        <v>3.9492813546824337</v>
      </c>
      <c r="V74" s="636">
        <f>IF(M74="","",Y74)</f>
        <v>-1.9915060063821151</v>
      </c>
      <c r="W74" s="585">
        <f t="shared" si="224"/>
        <v>51.449992058983639</v>
      </c>
      <c r="X74" s="629">
        <f>IF(M74="","",R74)</f>
        <v>5.0498152302427339</v>
      </c>
      <c r="Y74" s="630">
        <f t="shared" si="223"/>
        <v>-1.9915060063821151</v>
      </c>
      <c r="Z74" s="632">
        <f t="shared" si="468"/>
        <v>0.90638559733487589</v>
      </c>
      <c r="AA74" s="629">
        <f t="shared" si="469"/>
        <v>0.42214880361845997</v>
      </c>
      <c r="AB74" s="629">
        <f t="shared" si="470"/>
        <v>1.5985510545595619E-2</v>
      </c>
      <c r="AC74" s="636">
        <f>IF(M74="","",SQRT(Z74^2+AA74^2+AB74^2))</f>
        <v>1</v>
      </c>
      <c r="AD74" s="637">
        <f>IF(M74="","",Z74*(1/SQRT(Z74^2+AA74^2+AB74^2)))</f>
        <v>0.90638559733487589</v>
      </c>
      <c r="AE74" s="629">
        <f>IF(M74="","",AA74*(1/SQRT(Z74^2+AA74^2+AB74^2)))</f>
        <v>0.42214880361845997</v>
      </c>
      <c r="AF74" s="633">
        <f>IF(M74="","",AB74*(1/SQRT(Z74^2+AA74^2+AB74^2)))</f>
        <v>1.5985510545595619E-2</v>
      </c>
      <c r="AG74" s="602">
        <f>IF(M74="","",DEGREES(ATAN2(-AF74,AE74)))</f>
        <v>92.168583405209716</v>
      </c>
      <c r="AH74" s="603">
        <f>IF(M74="","",DEGREES(ACOS(AD74)))</f>
        <v>24.989448912657423</v>
      </c>
      <c r="AI74" s="585">
        <f>IF(M74="","",DEGREES(-ACOS(-AF74)))</f>
        <v>-90.915941299862126</v>
      </c>
      <c r="AJ74" s="586">
        <f>IF(M74="","",DEGREES(ATAN2(-AE74,AD74)))</f>
        <v>114.9737346867261</v>
      </c>
      <c r="AK74" s="635">
        <f>IF(M74="","",(COS(RADIANS((90-$Q$8)-W74))*AD74)+(-SIN(RADIANS((90-$Q$8)-W74))*AE74))</f>
        <v>0.88603974710623734</v>
      </c>
      <c r="AL74" s="629">
        <f>IF(M74="","",(SIN(RADIANS((90-$Q$8)-W74))*AD74)+(COS(RADIANS((90-$Q$8)-W74))*AE74))</f>
        <v>-0.46333360551605984</v>
      </c>
      <c r="AM74" s="634">
        <f>IF(M74="","",AF74)</f>
        <v>1.5985510545595619E-2</v>
      </c>
      <c r="AN74" s="581">
        <f>IF(M74="","",DEGREES(ATAN2(-AM74,AL74)))</f>
        <v>-91.975982594462124</v>
      </c>
      <c r="AO74" s="582">
        <f t="shared" si="461"/>
        <v>27.620254256905525</v>
      </c>
      <c r="AP74" s="585">
        <f>IF(M74="","",DEGREES(ATAN2(AK74,AL74)))</f>
        <v>-27.606257372257502</v>
      </c>
      <c r="AQ74" s="586">
        <f t="shared" si="471"/>
        <v>0.45143819183770073</v>
      </c>
      <c r="AS74" s="52">
        <f t="shared" si="406"/>
        <v>51.449992058983639</v>
      </c>
      <c r="AT74" s="72">
        <f t="shared" si="472"/>
        <v>-1.7780198897564092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6.1239999999999997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-4.0539240347785794</v>
      </c>
      <c r="C75" s="708">
        <v>3.1151851759156393</v>
      </c>
      <c r="D75" s="709">
        <v>-2.6650080376642422</v>
      </c>
      <c r="E75" s="710">
        <v>-0.93845838605722587</v>
      </c>
      <c r="F75" s="708">
        <v>-0.34523377199178124</v>
      </c>
      <c r="G75" s="711">
        <v>1.0464239828763893E-2</v>
      </c>
      <c r="H75" s="710">
        <v>0.26600000000000001</v>
      </c>
      <c r="I75" s="708">
        <v>0.52</v>
      </c>
      <c r="J75" s="570">
        <v>6.1269999999999998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6.1269999999999998</v>
      </c>
      <c r="N75" s="632">
        <f t="shared" si="465"/>
        <v>-4.0539240347785794</v>
      </c>
      <c r="O75" s="629">
        <f t="shared" si="466"/>
        <v>3.1151851759156393</v>
      </c>
      <c r="P75" s="633">
        <f t="shared" si="467"/>
        <v>-2.6650080376642422</v>
      </c>
      <c r="Q75" s="585">
        <f t="shared" si="520"/>
        <v>142.45999205898363</v>
      </c>
      <c r="R75" s="629">
        <f>IF(M75="","",SQRT(N75^2+O75^2))</f>
        <v>5.1125999999999987</v>
      </c>
      <c r="S75" s="634">
        <f>IF(M75="","",P75)</f>
        <v>-2.6650080376642422</v>
      </c>
      <c r="T75" s="635">
        <f>IF(M75="","",X75*COS(RADIANS(W75)))</f>
        <v>3.1945265458921184</v>
      </c>
      <c r="U75" s="629">
        <f>IF(M75="","",X75*SIN(RADIANS(W75)))</f>
        <v>3.9917012548023374</v>
      </c>
      <c r="V75" s="636">
        <f>IF(M75="","",Y75)</f>
        <v>-2.6650080376642422</v>
      </c>
      <c r="W75" s="585">
        <f t="shared" si="224"/>
        <v>51.329992058983635</v>
      </c>
      <c r="X75" s="629">
        <f>IF(M75="","",R75)</f>
        <v>5.1125999999999987</v>
      </c>
      <c r="Y75" s="630">
        <f t="shared" si="223"/>
        <v>-2.6650080376642422</v>
      </c>
      <c r="Z75" s="632">
        <f t="shared" si="468"/>
        <v>0.93845838605722587</v>
      </c>
      <c r="AA75" s="629">
        <f t="shared" si="469"/>
        <v>0.34523377199178124</v>
      </c>
      <c r="AB75" s="629">
        <f t="shared" si="470"/>
        <v>-1.0464239828763893E-2</v>
      </c>
      <c r="AC75" s="636">
        <f>IF(M75="","",SQRT(Z75^2+AA75^2+AB75^2))</f>
        <v>1</v>
      </c>
      <c r="AD75" s="637">
        <f>IF(M75="","",Z75*(1/SQRT(Z75^2+AA75^2+AB75^2)))</f>
        <v>0.93845838605722587</v>
      </c>
      <c r="AE75" s="629">
        <f>IF(M75="","",AA75*(1/SQRT(Z75^2+AA75^2+AB75^2)))</f>
        <v>0.34523377199178124</v>
      </c>
      <c r="AF75" s="633">
        <f>IF(M75="","",AB75*(1/SQRT(Z75^2+AA75^2+AB75^2)))</f>
        <v>-1.0464239828763893E-2</v>
      </c>
      <c r="AG75" s="602">
        <f>IF(M75="","",DEGREES(ATAN2(-AF75,AE75)))</f>
        <v>88.263862584958744</v>
      </c>
      <c r="AH75" s="603">
        <f>IF(M75="","",DEGREES(ACOS(AD75)))</f>
        <v>20.205746529860626</v>
      </c>
      <c r="AI75" s="585">
        <f>IF(M75="","",DEGREES(-ACOS(-AF75)))</f>
        <v>-89.400432279517233</v>
      </c>
      <c r="AJ75" s="586">
        <f>IF(M75="","",DEGREES(ATAN2(-AE75,AD75)))</f>
        <v>110.1972207558441</v>
      </c>
      <c r="AK75" s="635">
        <f>IF(M75="","",(COS(RADIANS((90-$Q$8)-W75))*AD75)+(-SIN(RADIANS((90-$Q$8)-W75))*AE75))</f>
        <v>0.84556255884558507</v>
      </c>
      <c r="AL75" s="629">
        <f>IF(M75="","",(SIN(RADIANS((90-$Q$8)-W75))*AD75)+(COS(RADIANS((90-$Q$8)-W75))*AE75))</f>
        <v>-0.5337737898804259</v>
      </c>
      <c r="AM75" s="634">
        <f>IF(M75="","",AF75)</f>
        <v>-1.0464239828763893E-2</v>
      </c>
      <c r="AN75" s="581">
        <f>IF(M75="","",DEGREES(ATAN2(-AM75,AL75)))</f>
        <v>-88.876902541007851</v>
      </c>
      <c r="AO75" s="582">
        <f t="shared" si="461"/>
        <v>32.267740412599437</v>
      </c>
      <c r="AP75" s="585">
        <f>IF(M75="","",DEGREES(ATAN2(AK75,AL75)))</f>
        <v>-32.262771303139516</v>
      </c>
      <c r="AQ75" s="586">
        <f t="shared" si="471"/>
        <v>0.44589457578570152</v>
      </c>
      <c r="AS75" s="52">
        <f t="shared" ref="AS75:AS106" si="543">IF(G75="","",IF(AND(W75&lt;(AS74+180),W75&gt;(AS74-180)),W75,IF(W75&gt;(AS74+180),W75-360,IF(W75&lt;(AS74-180),W75+360,"Error"))))</f>
        <v>51.329992058983635</v>
      </c>
      <c r="AT75" s="72">
        <f t="shared" si="472"/>
        <v>-2.4514385877052032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6.1269999999999998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1313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-2.3138156317907166</v>
      </c>
      <c r="C76" s="708">
        <v>2.7187247309430624</v>
      </c>
      <c r="D76" s="709">
        <v>-0.11529231471950852</v>
      </c>
      <c r="E76" s="710">
        <v>-0.80467422430057145</v>
      </c>
      <c r="F76" s="708">
        <v>-0.52186273516254056</v>
      </c>
      <c r="G76" s="711">
        <v>0.28312307994041352</v>
      </c>
      <c r="H76" s="710">
        <v>0.26600000000000001</v>
      </c>
      <c r="I76" s="708">
        <v>0.52</v>
      </c>
      <c r="J76" s="570">
        <v>6.2140000000000004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6.2140000000000004</v>
      </c>
      <c r="N76" s="632">
        <f t="shared" si="465"/>
        <v>-2.3138156317907166</v>
      </c>
      <c r="O76" s="629">
        <f t="shared" si="466"/>
        <v>2.7187247309430624</v>
      </c>
      <c r="P76" s="633">
        <f t="shared" si="467"/>
        <v>-0.11529231471950852</v>
      </c>
      <c r="Q76" s="585">
        <f t="shared" si="520"/>
        <v>130.39999416696253</v>
      </c>
      <c r="R76" s="629">
        <f t="shared" si="79"/>
        <v>3.5700429886151932</v>
      </c>
      <c r="S76" s="634">
        <f t="shared" si="80"/>
        <v>-0.11529231471950852</v>
      </c>
      <c r="T76" s="635">
        <f t="shared" si="81"/>
        <v>2.7638266262978521</v>
      </c>
      <c r="U76" s="629">
        <f t="shared" si="82"/>
        <v>2.2597498357843802</v>
      </c>
      <c r="V76" s="636">
        <f t="shared" si="114"/>
        <v>-0.11529231471950852</v>
      </c>
      <c r="W76" s="585">
        <f t="shared" si="224"/>
        <v>39.269994166962533</v>
      </c>
      <c r="X76" s="629">
        <f t="shared" si="83"/>
        <v>3.5700429886151932</v>
      </c>
      <c r="Y76" s="630">
        <f t="shared" ref="Y76:Y129" si="644">IF(M76="","",S76)</f>
        <v>-0.11529231471950852</v>
      </c>
      <c r="Z76" s="632">
        <f t="shared" si="468"/>
        <v>0.80467422430057145</v>
      </c>
      <c r="AA76" s="629">
        <f t="shared" si="469"/>
        <v>0.52186273516254056</v>
      </c>
      <c r="AB76" s="629">
        <f t="shared" si="470"/>
        <v>-0.28312307994041352</v>
      </c>
      <c r="AC76" s="636">
        <f t="shared" si="84"/>
        <v>1</v>
      </c>
      <c r="AD76" s="637">
        <f t="shared" si="115"/>
        <v>0.80467422430057145</v>
      </c>
      <c r="AE76" s="629">
        <f t="shared" si="85"/>
        <v>0.52186273516254056</v>
      </c>
      <c r="AF76" s="633">
        <f t="shared" si="86"/>
        <v>-0.28312307994041352</v>
      </c>
      <c r="AG76" s="602">
        <f t="shared" si="87"/>
        <v>61.519104631143009</v>
      </c>
      <c r="AH76" s="603">
        <f t="shared" si="88"/>
        <v>36.42119490056379</v>
      </c>
      <c r="AI76" s="585">
        <f t="shared" si="89"/>
        <v>-73.553311343652211</v>
      </c>
      <c r="AJ76" s="586">
        <f t="shared" si="90"/>
        <v>122.96498770843625</v>
      </c>
      <c r="AK76" s="635">
        <f t="shared" si="211"/>
        <v>0.95101988380916191</v>
      </c>
      <c r="AL76" s="629">
        <f t="shared" si="91"/>
        <v>-0.12410681772031146</v>
      </c>
      <c r="AM76" s="634">
        <f t="shared" si="92"/>
        <v>-0.28312307994041352</v>
      </c>
      <c r="AN76" s="581">
        <f t="shared" si="93"/>
        <v>-23.670210922322386</v>
      </c>
      <c r="AO76" s="582">
        <f t="shared" si="461"/>
        <v>18.006790901922262</v>
      </c>
      <c r="AP76" s="585">
        <f t="shared" si="95"/>
        <v>-7.4350064585262867</v>
      </c>
      <c r="AQ76" s="586">
        <f t="shared" si="471"/>
        <v>0.63854476103443536</v>
      </c>
      <c r="AS76" s="52">
        <f t="shared" si="543"/>
        <v>39.269994166962533</v>
      </c>
      <c r="AT76" s="72">
        <f t="shared" si="472"/>
        <v>0.10665213377565641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Nose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6.2140000000000004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5.1139999999999999</v>
      </c>
      <c r="II76" s="734" cm="1">
        <f t="array" ref="II76">IFERROR(ROUND(VALUE(IF($IH76&lt;1,$IH76+LARGE((IF($M$9:$M$150="",0,$M$9:$M$150)-MOD(IF($M$9:$M$150="",0,$M$9:$M$150),1)),1),$IH76)),4),"")</f>
        <v>5.1139999999999999</v>
      </c>
      <c r="IJ76" s="533">
        <f t="shared" si="542"/>
        <v>1613</v>
      </c>
      <c r="IK76" s="533">
        <f t="shared" si="517"/>
        <v>1313</v>
      </c>
      <c r="IL76" s="727">
        <f t="shared" si="225"/>
        <v>74.899989229094189</v>
      </c>
      <c r="IM76" s="759">
        <v>4.8290848101655001E-2</v>
      </c>
      <c r="IN76" s="5">
        <f t="shared" si="226"/>
        <v>0.24</v>
      </c>
      <c r="IO76" s="771">
        <v>120</v>
      </c>
      <c r="IP76" s="9">
        <f t="shared" si="227"/>
        <v>-3.5702107677556754</v>
      </c>
      <c r="IQ76" s="5">
        <f t="shared" si="228"/>
        <v>-0.1143003447298398</v>
      </c>
      <c r="IR76" s="5">
        <f t="shared" si="518"/>
        <v>0.314</v>
      </c>
      <c r="IS76" s="5">
        <f t="shared" si="229"/>
        <v>0.3024429880892992</v>
      </c>
      <c r="IT76" s="727">
        <f t="shared" si="230"/>
        <v>25.835108171907894</v>
      </c>
      <c r="IU76" s="9">
        <f t="shared" si="231"/>
        <v>-3.5700429886151932</v>
      </c>
      <c r="IV76" s="5">
        <f t="shared" si="232"/>
        <v>-0.11529231471950852</v>
      </c>
      <c r="IW76" s="5">
        <f t="shared" si="519"/>
        <v>0.26600000000000001</v>
      </c>
      <c r="IX76" s="5">
        <f t="shared" si="233"/>
        <v>0.25297128909323707</v>
      </c>
      <c r="IY76" s="762">
        <f t="shared" si="234"/>
        <v>23.670210922322386</v>
      </c>
    </row>
    <row r="77" spans="1:259" ht="15" customHeight="1" x14ac:dyDescent="0.25">
      <c r="A77" s="79"/>
      <c r="B77" s="707">
        <v>-2.8264238040404592</v>
      </c>
      <c r="C77" s="708">
        <v>3.2059491745614088</v>
      </c>
      <c r="D77" s="709">
        <v>-0.45200249924625457</v>
      </c>
      <c r="E77" s="710">
        <v>-0.87867819744767062</v>
      </c>
      <c r="F77" s="708">
        <v>-0.43135406557259437</v>
      </c>
      <c r="G77" s="711">
        <v>0.20459299949926549</v>
      </c>
      <c r="H77" s="710">
        <v>0.26600000000000001</v>
      </c>
      <c r="I77" s="708">
        <v>0.52</v>
      </c>
      <c r="J77" s="570">
        <v>6.2169999999999996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1313</v>
      </c>
      <c r="L77" s="320"/>
      <c r="M77" s="168">
        <f t="shared" si="464"/>
        <v>6.2169999999999996</v>
      </c>
      <c r="N77" s="632">
        <f t="shared" si="465"/>
        <v>-2.8264238040404592</v>
      </c>
      <c r="O77" s="629">
        <f t="shared" si="466"/>
        <v>3.2059491745614088</v>
      </c>
      <c r="P77" s="633">
        <f t="shared" si="467"/>
        <v>-0.45200249924625457</v>
      </c>
      <c r="Q77" s="585">
        <f t="shared" si="520"/>
        <v>131.39999402258042</v>
      </c>
      <c r="R77" s="629">
        <f t="shared" si="79"/>
        <v>4.273965562556338</v>
      </c>
      <c r="S77" s="634">
        <f t="shared" si="80"/>
        <v>-0.45200249924625457</v>
      </c>
      <c r="T77" s="635">
        <f t="shared" si="81"/>
        <v>3.2610654321676451</v>
      </c>
      <c r="U77" s="629">
        <f t="shared" si="82"/>
        <v>2.7626497926879483</v>
      </c>
      <c r="V77" s="636">
        <f t="shared" si="114"/>
        <v>-0.45200249924625457</v>
      </c>
      <c r="W77" s="585">
        <f t="shared" si="224"/>
        <v>40.26999402258042</v>
      </c>
      <c r="X77" s="629">
        <f t="shared" si="83"/>
        <v>4.273965562556338</v>
      </c>
      <c r="Y77" s="630">
        <f t="shared" si="644"/>
        <v>-0.45200249924625457</v>
      </c>
      <c r="Z77" s="632">
        <f t="shared" si="468"/>
        <v>0.87867819744767062</v>
      </c>
      <c r="AA77" s="629">
        <f t="shared" si="469"/>
        <v>0.43135406557259437</v>
      </c>
      <c r="AB77" s="629">
        <f t="shared" si="470"/>
        <v>-0.20459299949926549</v>
      </c>
      <c r="AC77" s="636">
        <f t="shared" si="84"/>
        <v>1</v>
      </c>
      <c r="AD77" s="637">
        <f t="shared" si="115"/>
        <v>0.87867819744767062</v>
      </c>
      <c r="AE77" s="629">
        <f t="shared" si="85"/>
        <v>0.43135406557259437</v>
      </c>
      <c r="AF77" s="633">
        <f t="shared" si="86"/>
        <v>-0.20459299949926549</v>
      </c>
      <c r="AG77" s="602">
        <f t="shared" si="87"/>
        <v>64.62482300102694</v>
      </c>
      <c r="AH77" s="603">
        <f t="shared" si="88"/>
        <v>28.516676049047721</v>
      </c>
      <c r="AI77" s="585">
        <f t="shared" si="89"/>
        <v>-78.194325330329534</v>
      </c>
      <c r="AJ77" s="586">
        <f t="shared" si="90"/>
        <v>116.14699626471796</v>
      </c>
      <c r="AK77" s="635">
        <f t="shared" si="211"/>
        <v>0.94436583113279871</v>
      </c>
      <c r="AL77" s="629">
        <f t="shared" si="91"/>
        <v>-0.2575167597356568</v>
      </c>
      <c r="AM77" s="634">
        <f t="shared" si="92"/>
        <v>-0.20459299949926549</v>
      </c>
      <c r="AN77" s="581">
        <f t="shared" si="93"/>
        <v>-51.533413018101797</v>
      </c>
      <c r="AO77" s="582">
        <f t="shared" si="461"/>
        <v>19.201836058603408</v>
      </c>
      <c r="AP77" s="585">
        <f t="shared" si="95"/>
        <v>-15.252997757862476</v>
      </c>
      <c r="AQ77" s="586">
        <f t="shared" si="471"/>
        <v>0.53338304726807118</v>
      </c>
      <c r="AS77" s="52">
        <f t="shared" si="543"/>
        <v>40.26999402258042</v>
      </c>
      <c r="AT77" s="72">
        <f t="shared" si="472"/>
        <v>-0.23075249509526874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6.2169999999999996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5.117</v>
      </c>
      <c r="II77" s="734" cm="1">
        <f t="array" ref="II77">IFERROR(ROUND(VALUE(IF($IH77&lt;1,$IH77+LARGE((IF($M$9:$M$150="",0,$M$9:$M$150)-MOD(IF($M$9:$M$150="",0,$M$9:$M$150),1)),1),$IH77)),4),"")</f>
        <v>5.117</v>
      </c>
      <c r="IJ77" s="533">
        <f t="shared" si="542"/>
        <v>1613</v>
      </c>
      <c r="IK77" s="533">
        <f t="shared" si="517"/>
        <v>1313</v>
      </c>
      <c r="IL77" s="727">
        <f t="shared" si="225"/>
        <v>72.8399893734763</v>
      </c>
      <c r="IM77" s="759">
        <v>4.7654089555186498E-2</v>
      </c>
      <c r="IN77" s="5">
        <f t="shared" si="226"/>
        <v>0.24</v>
      </c>
      <c r="IO77" s="771">
        <v>120</v>
      </c>
      <c r="IP77" s="9">
        <f t="shared" si="227"/>
        <v>-4.2744128916292805</v>
      </c>
      <c r="IQ77" s="5">
        <f t="shared" si="228"/>
        <v>-0.45110136052170269</v>
      </c>
      <c r="IR77" s="5">
        <f t="shared" si="518"/>
        <v>0.314</v>
      </c>
      <c r="IS77" s="5">
        <f t="shared" si="229"/>
        <v>0.30032686874352671</v>
      </c>
      <c r="IT77" s="727">
        <f t="shared" si="230"/>
        <v>54.993526519300843</v>
      </c>
      <c r="IU77" s="9">
        <f t="shared" si="231"/>
        <v>-4.273965562556338</v>
      </c>
      <c r="IV77" s="5">
        <f t="shared" si="232"/>
        <v>-0.45200249924625457</v>
      </c>
      <c r="IW77" s="5">
        <f t="shared" si="519"/>
        <v>0.26600000000000001</v>
      </c>
      <c r="IX77" s="5">
        <f t="shared" si="233"/>
        <v>0.25120131108132449</v>
      </c>
      <c r="IY77" s="762">
        <f t="shared" si="234"/>
        <v>51.533413018101797</v>
      </c>
    </row>
    <row r="78" spans="1:259" ht="15" customHeight="1" x14ac:dyDescent="0.25">
      <c r="A78" s="79"/>
      <c r="B78" s="707">
        <v>-3.159583052954678</v>
      </c>
      <c r="C78" s="708">
        <v>3.5775457747635531</v>
      </c>
      <c r="D78" s="709">
        <v>-1.0328388977216103</v>
      </c>
      <c r="E78" s="710">
        <v>-0.92553056998050831</v>
      </c>
      <c r="F78" s="708">
        <v>-0.36785973624890089</v>
      </c>
      <c r="G78" s="711">
        <v>8.9846416057874162E-2</v>
      </c>
      <c r="H78" s="710">
        <v>0.26600000000000001</v>
      </c>
      <c r="I78" s="708">
        <v>0.52</v>
      </c>
      <c r="J78" s="570">
        <v>6.22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1313</v>
      </c>
      <c r="L78" s="320"/>
      <c r="M78" s="168">
        <f t="shared" si="464"/>
        <v>6.22</v>
      </c>
      <c r="N78" s="632">
        <f t="shared" si="465"/>
        <v>-3.159583052954678</v>
      </c>
      <c r="O78" s="629">
        <f t="shared" si="466"/>
        <v>3.5775457747635531</v>
      </c>
      <c r="P78" s="633">
        <f t="shared" si="467"/>
        <v>-1.0328388977216103</v>
      </c>
      <c r="Q78" s="585">
        <f t="shared" si="520"/>
        <v>131.44999401536131</v>
      </c>
      <c r="R78" s="629">
        <f>IF(M78="","",SQRT(N78^2+O78^2))</f>
        <v>4.7730282671535642</v>
      </c>
      <c r="S78" s="634">
        <f>IF(M78="","",P78)</f>
        <v>-1.0328388977216103</v>
      </c>
      <c r="T78" s="635">
        <f>IF(M78="","",X78*COS(RADIANS(W78)))</f>
        <v>3.6391599797273506</v>
      </c>
      <c r="U78" s="629">
        <f>IF(M78="","",X78*SIN(RADIANS(W78)))</f>
        <v>3.0884160148849418</v>
      </c>
      <c r="V78" s="636">
        <f>IF(M78="","",Y78)</f>
        <v>-1.0328388977216103</v>
      </c>
      <c r="W78" s="585">
        <f t="shared" si="224"/>
        <v>40.319994015361317</v>
      </c>
      <c r="X78" s="629">
        <f>IF(M78="","",R78)</f>
        <v>4.7730282671535642</v>
      </c>
      <c r="Y78" s="630">
        <f t="shared" si="644"/>
        <v>-1.0328388977216103</v>
      </c>
      <c r="Z78" s="632">
        <f t="shared" si="468"/>
        <v>0.92553056998050831</v>
      </c>
      <c r="AA78" s="629">
        <f t="shared" si="469"/>
        <v>0.36785973624890089</v>
      </c>
      <c r="AB78" s="629">
        <f t="shared" si="470"/>
        <v>-8.9846416057874162E-2</v>
      </c>
      <c r="AC78" s="636">
        <f>IF(M78="","",SQRT(Z78^2+AA78^2+AB78^2))</f>
        <v>1</v>
      </c>
      <c r="AD78" s="637">
        <f>IF(M78="","",Z78*(1/SQRT(Z78^2+AA78^2+AB78^2)))</f>
        <v>0.92553056998050831</v>
      </c>
      <c r="AE78" s="629">
        <f>IF(M78="","",AA78*(1/SQRT(Z78^2+AA78^2+AB78^2)))</f>
        <v>0.36785973624890089</v>
      </c>
      <c r="AF78" s="633">
        <f>IF(M78="","",AB78*(1/SQRT(Z78^2+AA78^2+AB78^2)))</f>
        <v>-8.9846416057874162E-2</v>
      </c>
      <c r="AG78" s="602">
        <f>IF(M78="","",DEGREES(ATAN2(-AF78,AE78)))</f>
        <v>76.274733504211568</v>
      </c>
      <c r="AH78" s="603">
        <f>IF(M78="","",DEGREES(ACOS(AD78)))</f>
        <v>22.251503135418798</v>
      </c>
      <c r="AI78" s="585">
        <f>IF(M78="","",DEGREES(-ACOS(-AF78)))</f>
        <v>-84.845228416120634</v>
      </c>
      <c r="AJ78" s="586">
        <f>IF(M78="","",DEGREES(ATAN2(-AE78,AD78)))</f>
        <v>111.67575381298867</v>
      </c>
      <c r="AK78" s="635">
        <f>IF(M78="","",(COS(RADIANS((90-$Q$8)-W78))*AD78)+(-SIN(RADIANS((90-$Q$8)-W78))*AE78))</f>
        <v>0.93722708481515704</v>
      </c>
      <c r="AL78" s="629">
        <f>IF(M78="","",(SIN(RADIANS((90-$Q$8)-W78))*AD78)+(COS(RADIANS((90-$Q$8)-W78))*AE78))</f>
        <v>-0.33694660261002501</v>
      </c>
      <c r="AM78" s="634">
        <f>IF(M78="","",AF78)</f>
        <v>-8.9846416057874162E-2</v>
      </c>
      <c r="AN78" s="581">
        <f>IF(M78="","",DEGREES(ATAN2(-AM78,AL78)))</f>
        <v>-75.069537149945972</v>
      </c>
      <c r="AO78" s="582">
        <f t="shared" si="461"/>
        <v>20.409022927638901</v>
      </c>
      <c r="AP78" s="585">
        <f>IF(M78="","",DEGREES(ATAN2(AK78,AL78)))</f>
        <v>-19.774240202372642</v>
      </c>
      <c r="AQ78" s="586">
        <f t="shared" si="471"/>
        <v>0.47761582359857147</v>
      </c>
      <c r="AS78" s="52">
        <f t="shared" si="543"/>
        <v>40.319994015361317</v>
      </c>
      <c r="AT78" s="72">
        <f t="shared" si="472"/>
        <v>-0.81162361578783337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Taper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6.22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5.12</v>
      </c>
      <c r="II78" s="734" cm="1">
        <f t="array" ref="II78">IFERROR(ROUND(VALUE(IF($IH78&lt;1,$IH78+LARGE((IF($M$9:$M$150="",0,$M$9:$M$150)-MOD(IF($M$9:$M$150="",0,$M$9:$M$150),1)),1),$IH78)),4),"")</f>
        <v>5.12</v>
      </c>
      <c r="IJ78" s="533">
        <f t="shared" si="542"/>
        <v>1613</v>
      </c>
      <c r="IK78" s="533">
        <f t="shared" si="517"/>
        <v>1313</v>
      </c>
      <c r="IL78" s="727">
        <f t="shared" si="225"/>
        <v>71.879989380695406</v>
      </c>
      <c r="IM78" s="759">
        <v>4.7170543800988299E-2</v>
      </c>
      <c r="IN78" s="5">
        <f t="shared" si="226"/>
        <v>0.28000000000000003</v>
      </c>
      <c r="IO78" s="771">
        <v>140</v>
      </c>
      <c r="IP78" s="9">
        <f t="shared" si="227"/>
        <v>-4.7737143975226219</v>
      </c>
      <c r="IQ78" s="5">
        <f t="shared" si="228"/>
        <v>-1.0321031128229881</v>
      </c>
      <c r="IR78" s="5">
        <f t="shared" si="518"/>
        <v>0.314</v>
      </c>
      <c r="IS78" s="5">
        <f t="shared" si="229"/>
        <v>0.29805660730706623</v>
      </c>
      <c r="IT78" s="727">
        <f t="shared" si="230"/>
        <v>79.053086363211747</v>
      </c>
      <c r="IU78" s="9">
        <f t="shared" si="231"/>
        <v>-4.7730282671535642</v>
      </c>
      <c r="IV78" s="5">
        <f t="shared" si="232"/>
        <v>-1.0328388977216103</v>
      </c>
      <c r="IW78" s="5">
        <f t="shared" si="519"/>
        <v>0.26600000000000001</v>
      </c>
      <c r="IX78" s="5">
        <f t="shared" si="233"/>
        <v>0.24930240456083178</v>
      </c>
      <c r="IY78" s="762">
        <f t="shared" si="234"/>
        <v>75.069537149945972</v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0</v>
      </c>
      <c r="G154" s="170">
        <f t="shared" si="929"/>
        <v>-0.3420200959662259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0</v>
      </c>
      <c r="G155" s="170">
        <f t="shared" si="929"/>
        <v>-0.25881900859134593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-1.7074049960401645E-17</v>
      </c>
      <c r="AM155">
        <v>0.29580089213549071</v>
      </c>
      <c r="AN155">
        <v>-0.69750000000000001</v>
      </c>
      <c r="AO155">
        <v>-0.93969263802333458</v>
      </c>
      <c r="AP155">
        <v>0</v>
      </c>
      <c r="AQ155">
        <v>0.3420200959662259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0.96554923611658972</v>
      </c>
      <c r="F156" s="170">
        <f t="shared" si="929"/>
        <v>2.6970232228569375E-2</v>
      </c>
      <c r="G156" s="170">
        <f t="shared" si="929"/>
        <v>-0.25881900859134582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0</v>
      </c>
      <c r="AM156">
        <v>1.0525031743495739</v>
      </c>
      <c r="AN156">
        <v>-0.54950165729699851</v>
      </c>
      <c r="AO156">
        <v>-0.96592583607220739</v>
      </c>
      <c r="AP156">
        <v>0</v>
      </c>
      <c r="AQ156">
        <v>0.25881900859134593</v>
      </c>
      <c r="AR156">
        <v>0.314</v>
      </c>
      <c r="AS156">
        <v>0.52</v>
      </c>
      <c r="AT156">
        <v>1.1040000000000001</v>
      </c>
    </row>
    <row r="157" spans="1:259" x14ac:dyDescent="0.25">
      <c r="E157" s="170">
        <f t="shared" si="929"/>
        <v>0.96573798601494232</v>
      </c>
      <c r="F157" s="170">
        <f t="shared" si="929"/>
        <v>1.904896741548082E-2</v>
      </c>
      <c r="G157" s="170">
        <f t="shared" si="929"/>
        <v>-0.25881900859134593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-5.0155790909012114E-2</v>
      </c>
      <c r="AM157">
        <v>1.7956050651918654</v>
      </c>
      <c r="AN157">
        <v>-0.35020105620638553</v>
      </c>
      <c r="AO157">
        <v>-0.96554923611658972</v>
      </c>
      <c r="AP157">
        <v>-2.6970232228569375E-2</v>
      </c>
      <c r="AQ157">
        <v>0.25881900859134582</v>
      </c>
      <c r="AR157">
        <v>0.314</v>
      </c>
      <c r="AS157">
        <v>0.52</v>
      </c>
      <c r="AT157">
        <v>1.107</v>
      </c>
    </row>
    <row r="158" spans="1:259" x14ac:dyDescent="0.25">
      <c r="E158" s="170">
        <f t="shared" si="929"/>
        <v>0.96533997509360536</v>
      </c>
      <c r="F158" s="170">
        <f t="shared" si="929"/>
        <v>-5.8927139290812301E-2</v>
      </c>
      <c r="G158" s="170">
        <f t="shared" si="929"/>
        <v>-0.25425641533947346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-5.0101204324613464E-2</v>
      </c>
      <c r="AM158">
        <v>2.5400135926556255</v>
      </c>
      <c r="AN158">
        <v>-0.15080045481417184</v>
      </c>
      <c r="AO158">
        <v>-0.96573798601494232</v>
      </c>
      <c r="AP158">
        <v>-1.904896741548082E-2</v>
      </c>
      <c r="AQ158">
        <v>0.25881900859134593</v>
      </c>
      <c r="AR158">
        <v>0.314</v>
      </c>
      <c r="AS158">
        <v>0.52</v>
      </c>
      <c r="AT158">
        <v>1.1100000000000001</v>
      </c>
    </row>
    <row r="159" spans="1:259" x14ac:dyDescent="0.25">
      <c r="E159" s="170">
        <f t="shared" si="929"/>
        <v>0.95752824743069342</v>
      </c>
      <c r="F159" s="170">
        <f t="shared" si="929"/>
        <v>-0.20991950501977499</v>
      </c>
      <c r="G159" s="170">
        <f t="shared" si="929"/>
        <v>-0.19767007053309188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-3.5830040962295744E-2</v>
      </c>
      <c r="AM159">
        <v>3.3110161255400028</v>
      </c>
      <c r="AN159">
        <v>-6.9200208707829503E-2</v>
      </c>
      <c r="AO159">
        <v>-0.96533997509360536</v>
      </c>
      <c r="AP159">
        <v>5.8927139290812301E-2</v>
      </c>
      <c r="AQ159">
        <v>0.25425641533947346</v>
      </c>
      <c r="AR159">
        <v>0.314</v>
      </c>
      <c r="AS159">
        <v>0.52</v>
      </c>
      <c r="AT159">
        <v>1.113</v>
      </c>
    </row>
    <row r="160" spans="1:259" x14ac:dyDescent="0.25">
      <c r="E160" s="170">
        <f t="shared" si="929"/>
        <v>0.9438443143854196</v>
      </c>
      <c r="F160" s="170">
        <f t="shared" si="929"/>
        <v>-0.31619172382042093</v>
      </c>
      <c r="G160" s="170">
        <f t="shared" si="929"/>
        <v>-9.5815990261480147E-2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2.8327945348121844E-2</v>
      </c>
      <c r="AM160">
        <v>4.0576133544751567</v>
      </c>
      <c r="AN160">
        <v>-0.30710092621639346</v>
      </c>
      <c r="AO160">
        <v>-0.95752824743069342</v>
      </c>
      <c r="AP160">
        <v>0.20991950501977499</v>
      </c>
      <c r="AQ160">
        <v>0.19767007053309188</v>
      </c>
      <c r="AR160">
        <v>0.314</v>
      </c>
      <c r="AS160">
        <v>0.52</v>
      </c>
      <c r="AT160">
        <v>1.1160000000000001</v>
      </c>
    </row>
    <row r="161" spans="5:46" x14ac:dyDescent="0.25">
      <c r="E161" s="170">
        <f t="shared" si="929"/>
        <v>0.88903637100524091</v>
      </c>
      <c r="F161" s="170">
        <f t="shared" si="929"/>
        <v>-0.45448212592252712</v>
      </c>
      <c r="G161" s="170">
        <f t="shared" si="929"/>
        <v>-5.5320233610966552E-2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0.1141924649926131</v>
      </c>
      <c r="AM161">
        <v>4.6393088361587482</v>
      </c>
      <c r="AN161">
        <v>-0.82490248790590381</v>
      </c>
      <c r="AO161">
        <v>-0.9438443143854196</v>
      </c>
      <c r="AP161">
        <v>0.31619172382042093</v>
      </c>
      <c r="AQ161">
        <v>9.5815990261480147E-2</v>
      </c>
      <c r="AR161">
        <v>0.314</v>
      </c>
      <c r="AS161">
        <v>0.52</v>
      </c>
      <c r="AT161">
        <v>1.119</v>
      </c>
    </row>
    <row r="162" spans="5:46" x14ac:dyDescent="0.25">
      <c r="E162" s="170">
        <f t="shared" si="929"/>
        <v>0.86760027180495347</v>
      </c>
      <c r="F162" s="170">
        <f t="shared" si="929"/>
        <v>-0.49700526412782703</v>
      </c>
      <c r="G162" s="170">
        <f t="shared" si="929"/>
        <v>1.5985486955354067E-2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0.17688655297226749</v>
      </c>
      <c r="AM162">
        <v>4.9659656563374277</v>
      </c>
      <c r="AN162">
        <v>-1.5038045354744796</v>
      </c>
      <c r="AO162">
        <v>-0.88903637100524091</v>
      </c>
      <c r="AP162">
        <v>0.45448212592252712</v>
      </c>
      <c r="AQ162">
        <v>5.5320233610966552E-2</v>
      </c>
      <c r="AR162">
        <v>0.314</v>
      </c>
      <c r="AS162">
        <v>0.52</v>
      </c>
      <c r="AT162">
        <v>1.1220000000000001</v>
      </c>
    </row>
    <row r="163" spans="5:46" x14ac:dyDescent="0.25">
      <c r="E163" s="170">
        <f t="shared" si="929"/>
        <v>0.82128655495588454</v>
      </c>
      <c r="F163" s="170">
        <f t="shared" si="929"/>
        <v>-0.57040121779683917</v>
      </c>
      <c r="G163" s="170">
        <f t="shared" si="929"/>
        <v>-1.1438766742001644E-2</v>
      </c>
      <c r="H163" s="139"/>
      <c r="I163" s="86"/>
      <c r="J163" s="79">
        <f t="shared" si="930"/>
        <v>1.1279999999999999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0.193851342985809</v>
      </c>
      <c r="AM163">
        <v>5.0460930943071283</v>
      </c>
      <c r="AN163">
        <v>-2.2431067652100043</v>
      </c>
      <c r="AO163">
        <v>-0.86760027180495347</v>
      </c>
      <c r="AP163">
        <v>0.49700526412782703</v>
      </c>
      <c r="AQ163">
        <v>-1.5985486955354067E-2</v>
      </c>
      <c r="AR163">
        <v>0.314</v>
      </c>
      <c r="AS163">
        <v>0.52</v>
      </c>
      <c r="AT163">
        <v>1.125</v>
      </c>
    </row>
    <row r="164" spans="5:46" x14ac:dyDescent="0.25">
      <c r="E164" s="170">
        <f t="shared" si="929"/>
        <v>0.90527336929904478</v>
      </c>
      <c r="F164" s="170">
        <f t="shared" si="929"/>
        <v>-0.30020812688074577</v>
      </c>
      <c r="G164" s="170">
        <f t="shared" si="929"/>
        <v>-0.30059142934007527</v>
      </c>
      <c r="H164" s="139"/>
      <c r="I164" s="86"/>
      <c r="J164" s="79">
        <f t="shared" si="930"/>
        <v>1.212</v>
      </c>
      <c r="AL164">
        <v>0.22657429618966515</v>
      </c>
      <c r="AM164">
        <v>5.1075770036589896</v>
      </c>
      <c r="AN164">
        <v>-2.9576089201485023</v>
      </c>
      <c r="AO164">
        <v>-0.82128655495588454</v>
      </c>
      <c r="AP164">
        <v>0.57040121779683917</v>
      </c>
      <c r="AQ164">
        <v>1.1438766742001644E-2</v>
      </c>
      <c r="AR164">
        <v>0.26600000000000001</v>
      </c>
      <c r="AS164">
        <v>0.52</v>
      </c>
      <c r="AT164">
        <v>1.1279999999999999</v>
      </c>
    </row>
    <row r="165" spans="5:46" x14ac:dyDescent="0.25">
      <c r="E165" s="170">
        <f t="shared" si="929"/>
        <v>0.87610066225558159</v>
      </c>
      <c r="F165" s="170">
        <f t="shared" si="929"/>
        <v>-0.40403557173102433</v>
      </c>
      <c r="G165" s="170">
        <f t="shared" si="929"/>
        <v>-0.26306441487079868</v>
      </c>
      <c r="H165" s="139"/>
      <c r="I165" s="86"/>
      <c r="J165" s="79">
        <f t="shared" si="930"/>
        <v>1.2150000000000001</v>
      </c>
      <c r="AL165">
        <v>0.8763730091554176</v>
      </c>
      <c r="AM165">
        <v>2.9229571955409064</v>
      </c>
      <c r="AN165">
        <v>-6.4906251518671992E-2</v>
      </c>
      <c r="AO165">
        <v>-0.90527336929904478</v>
      </c>
      <c r="AP165">
        <v>0.30020812688074577</v>
      </c>
      <c r="AQ165">
        <v>0.30059142934007527</v>
      </c>
      <c r="AR165">
        <v>0.26600000000000001</v>
      </c>
      <c r="AS165">
        <v>0.52</v>
      </c>
      <c r="AT165">
        <v>1.212</v>
      </c>
    </row>
    <row r="166" spans="5:46" x14ac:dyDescent="0.25">
      <c r="E166" s="170">
        <f t="shared" si="929"/>
        <v>0.8453306032384903</v>
      </c>
      <c r="F166" s="170">
        <f t="shared" si="929"/>
        <v>-0.50701322641294688</v>
      </c>
      <c r="G166" s="170">
        <f t="shared" si="929"/>
        <v>-0.168385746043969</v>
      </c>
      <c r="H166" s="139"/>
      <c r="I166" s="86"/>
      <c r="J166" s="79">
        <f t="shared" si="930"/>
        <v>1.218</v>
      </c>
      <c r="AL166">
        <v>0.95139821713051842</v>
      </c>
      <c r="AM166">
        <v>3.7000895136605907</v>
      </c>
      <c r="AN166">
        <v>-0.19407144573371049</v>
      </c>
      <c r="AO166">
        <v>-0.87610066225558159</v>
      </c>
      <c r="AP166">
        <v>0.40403557173102433</v>
      </c>
      <c r="AQ166">
        <v>0.26306441487079868</v>
      </c>
      <c r="AR166">
        <v>0.26600000000000001</v>
      </c>
      <c r="AS166">
        <v>0.52</v>
      </c>
      <c r="AT166">
        <v>1.2150000000000001</v>
      </c>
    </row>
    <row r="167" spans="5:46" x14ac:dyDescent="0.25">
      <c r="E167" s="170">
        <f t="shared" si="929"/>
        <v>0.78127261314608809</v>
      </c>
      <c r="F167" s="170">
        <f t="shared" si="929"/>
        <v>-0.61577024407615144</v>
      </c>
      <c r="G167" s="170">
        <f t="shared" si="929"/>
        <v>-0.1021768587219242</v>
      </c>
      <c r="H167" s="139"/>
      <c r="I167" s="86"/>
      <c r="J167" s="79">
        <f t="shared" si="930"/>
        <v>1.2210000000000001</v>
      </c>
      <c r="AL167">
        <v>1.0651483524622689</v>
      </c>
      <c r="AM167">
        <v>4.3397775660189799</v>
      </c>
      <c r="AN167">
        <v>-0.62455506737416977</v>
      </c>
      <c r="AO167">
        <v>-0.8453306032384903</v>
      </c>
      <c r="AP167">
        <v>0.50701322641294688</v>
      </c>
      <c r="AQ167">
        <v>0.168385746043969</v>
      </c>
      <c r="AR167">
        <v>0.26600000000000001</v>
      </c>
      <c r="AS167">
        <v>0.52</v>
      </c>
      <c r="AT167">
        <v>1.218</v>
      </c>
    </row>
    <row r="168" spans="5:46" x14ac:dyDescent="0.25">
      <c r="E168" s="170">
        <f t="shared" si="929"/>
        <v>0.4238878850972565</v>
      </c>
      <c r="F168" s="170">
        <f t="shared" si="929"/>
        <v>-0.86794687721056296</v>
      </c>
      <c r="G168" s="170">
        <f t="shared" si="929"/>
        <v>-0.25881900859134604</v>
      </c>
      <c r="H168" s="139"/>
      <c r="I168" s="86"/>
      <c r="J168" s="79">
        <f t="shared" si="930"/>
        <v>2.1110000000000002</v>
      </c>
      <c r="AL168">
        <v>1.170557885218974</v>
      </c>
      <c r="AM168">
        <v>4.7442063715278779</v>
      </c>
      <c r="AN168">
        <v>-1.256375702226016</v>
      </c>
      <c r="AO168">
        <v>-0.78127261314608809</v>
      </c>
      <c r="AP168">
        <v>0.61577024407615144</v>
      </c>
      <c r="AQ168">
        <v>0.1021768587219242</v>
      </c>
      <c r="AR168">
        <v>0.26600000000000001</v>
      </c>
      <c r="AS168">
        <v>0.52</v>
      </c>
      <c r="AT168">
        <v>1.2210000000000001</v>
      </c>
    </row>
    <row r="169" spans="5:46" x14ac:dyDescent="0.25">
      <c r="E169" s="170">
        <f t="shared" si="929"/>
        <v>0.30572265343894212</v>
      </c>
      <c r="F169" s="170">
        <f t="shared" si="929"/>
        <v>-0.9208685234023708</v>
      </c>
      <c r="G169" s="170">
        <f t="shared" si="929"/>
        <v>-0.24193970691267258</v>
      </c>
      <c r="H169" s="139"/>
      <c r="I169" s="86"/>
      <c r="J169" s="79">
        <f t="shared" si="930"/>
        <v>2.1139999999999999</v>
      </c>
      <c r="AL169">
        <v>2.5099683989114183</v>
      </c>
      <c r="AM169">
        <v>1.2258183354433525</v>
      </c>
      <c r="AN169">
        <v>-9.1100274758428718E-2</v>
      </c>
      <c r="AO169">
        <v>-0.4238878850972565</v>
      </c>
      <c r="AP169">
        <v>0.86794687721056296</v>
      </c>
      <c r="AQ169">
        <v>0.25881900859134604</v>
      </c>
      <c r="AR169">
        <v>0.314</v>
      </c>
      <c r="AS169">
        <v>0.52</v>
      </c>
      <c r="AT169">
        <v>2.1110000000000002</v>
      </c>
    </row>
    <row r="170" spans="5:46" x14ac:dyDescent="0.25">
      <c r="E170" s="170">
        <f t="shared" si="929"/>
        <v>0.17468447714607194</v>
      </c>
      <c r="F170" s="170">
        <f t="shared" si="929"/>
        <v>-0.97028262508144991</v>
      </c>
      <c r="G170" s="170">
        <f t="shared" si="929"/>
        <v>-0.16744241072456542</v>
      </c>
      <c r="H170" s="139"/>
      <c r="I170" s="86"/>
      <c r="J170" s="79">
        <f t="shared" si="930"/>
        <v>2.117</v>
      </c>
      <c r="AL170">
        <v>3.2277663879607359</v>
      </c>
      <c r="AM170">
        <v>1.5257552460828958</v>
      </c>
      <c r="AN170">
        <v>-0.11430034472983977</v>
      </c>
      <c r="AO170">
        <v>-0.30572265343894212</v>
      </c>
      <c r="AP170">
        <v>0.9208685234023708</v>
      </c>
      <c r="AQ170">
        <v>0.24193970691267258</v>
      </c>
      <c r="AR170">
        <v>0.314</v>
      </c>
      <c r="AS170">
        <v>0.52</v>
      </c>
      <c r="AT170">
        <v>2.1139999999999999</v>
      </c>
    </row>
    <row r="171" spans="5:46" x14ac:dyDescent="0.25">
      <c r="E171" s="170">
        <f t="shared" si="929"/>
        <v>9.2297269609094235E-2</v>
      </c>
      <c r="F171" s="170">
        <f t="shared" si="929"/>
        <v>-0.99393767483852835</v>
      </c>
      <c r="G171" s="170">
        <f t="shared" si="929"/>
        <v>-5.9742050176457492E-2</v>
      </c>
      <c r="H171" s="139"/>
      <c r="I171" s="86"/>
      <c r="J171" s="79">
        <f t="shared" si="930"/>
        <v>2.12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  <c r="AL171">
        <v>3.8975550852222876</v>
      </c>
      <c r="AM171">
        <v>1.7548988363391413</v>
      </c>
      <c r="AN171">
        <v>-0.45110136052170308</v>
      </c>
      <c r="AO171">
        <v>-0.17468447714607194</v>
      </c>
      <c r="AP171">
        <v>0.97028262508144991</v>
      </c>
      <c r="AQ171">
        <v>0.16744241072456542</v>
      </c>
      <c r="AR171">
        <v>0.314</v>
      </c>
      <c r="AS171">
        <v>0.52</v>
      </c>
      <c r="AT171">
        <v>2.117</v>
      </c>
    </row>
    <row r="172" spans="5:46" x14ac:dyDescent="0.25">
      <c r="E172" s="170">
        <f t="shared" si="929"/>
        <v>-8.4157823116471159E-2</v>
      </c>
      <c r="F172" s="170">
        <f t="shared" si="929"/>
        <v>-0.99593559233691165</v>
      </c>
      <c r="G172" s="170">
        <f t="shared" si="929"/>
        <v>-3.2089822760834143E-2</v>
      </c>
      <c r="H172" s="139"/>
      <c r="I172" s="86"/>
      <c r="J172" s="79">
        <f t="shared" si="930"/>
        <v>2.1230000000000002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4.3834128480482812</v>
      </c>
      <c r="AM172">
        <v>1.8905134098122711</v>
      </c>
      <c r="AN172">
        <v>-1.0321031128229883</v>
      </c>
      <c r="AO172">
        <v>-9.2297269609094235E-2</v>
      </c>
      <c r="AP172">
        <v>0.99393767483852835</v>
      </c>
      <c r="AQ172">
        <v>5.9742050176457492E-2</v>
      </c>
      <c r="AR172">
        <v>0.314</v>
      </c>
      <c r="AS172">
        <v>0.52</v>
      </c>
      <c r="AT172">
        <v>2.12</v>
      </c>
    </row>
    <row r="173" spans="5:46" x14ac:dyDescent="0.25">
      <c r="E173" s="170">
        <f t="shared" si="929"/>
        <v>-0.1702485721630374</v>
      </c>
      <c r="F173" s="170">
        <f t="shared" si="929"/>
        <v>-0.98534558575215281</v>
      </c>
      <c r="G173" s="170">
        <f t="shared" si="929"/>
        <v>-1.0464239828763752E-2</v>
      </c>
      <c r="H173" s="139"/>
      <c r="I173" s="86"/>
      <c r="J173" s="79">
        <f t="shared" si="930"/>
        <v>2.1259999999999999</v>
      </c>
      <c r="O173">
        <f>IF($J24="","",IFERROR(INDEX(Settings!$AK$14:$AK$32,MATCH((((ROUND($H24,6)*2)*1000000)+ROUND($I24,6)),Settings!$AI$14:$AI$32,0)),"Undefined"))</f>
        <v>1613</v>
      </c>
      <c r="AL173">
        <v>4.6277093304028414</v>
      </c>
      <c r="AM173">
        <v>1.9320137390934893</v>
      </c>
      <c r="AN173">
        <v>-1.7450052629358734</v>
      </c>
      <c r="AO173">
        <v>8.4157823116471159E-2</v>
      </c>
      <c r="AP173">
        <v>0.99593559233691165</v>
      </c>
      <c r="AQ173">
        <v>3.2089822760834143E-2</v>
      </c>
      <c r="AR173">
        <v>0.314</v>
      </c>
      <c r="AS173">
        <v>0.52</v>
      </c>
      <c r="AT173">
        <v>2.1230000000000002</v>
      </c>
    </row>
    <row r="174" spans="5:46" x14ac:dyDescent="0.25">
      <c r="E174" s="170">
        <f t="shared" ref="E174:G193" si="933">E29*-1</f>
        <v>8.5903348150786069E-2</v>
      </c>
      <c r="F174" s="170">
        <f t="shared" si="933"/>
        <v>-0.95132173616983107</v>
      </c>
      <c r="G174" s="170">
        <f t="shared" si="933"/>
        <v>-0.29598575821701834</v>
      </c>
      <c r="H174" s="139"/>
      <c r="I174" s="86"/>
      <c r="J174" s="79">
        <f t="shared" si="930"/>
        <v>2.2130000000000001</v>
      </c>
      <c r="AL174">
        <v>4.7247926245866267</v>
      </c>
      <c r="AM174">
        <v>1.9532057644373439</v>
      </c>
      <c r="AN174">
        <v>-2.4583072244328013</v>
      </c>
      <c r="AO174">
        <v>0.1702485721630374</v>
      </c>
      <c r="AP174">
        <v>0.98534558575215281</v>
      </c>
      <c r="AQ174">
        <v>1.0464239828763752E-2</v>
      </c>
      <c r="AR174">
        <v>0.26600000000000001</v>
      </c>
      <c r="AS174">
        <v>0.52</v>
      </c>
      <c r="AT174">
        <v>2.1259999999999999</v>
      </c>
    </row>
    <row r="175" spans="5:46" x14ac:dyDescent="0.25">
      <c r="E175" s="170">
        <f t="shared" si="933"/>
        <v>-3.2138497400200618E-2</v>
      </c>
      <c r="F175" s="170">
        <f t="shared" si="933"/>
        <v>-0.97108888253674708</v>
      </c>
      <c r="G175" s="170">
        <f t="shared" si="933"/>
        <v>-0.23654492004350736</v>
      </c>
      <c r="H175" s="139"/>
      <c r="I175" s="86"/>
      <c r="J175" s="79">
        <f t="shared" si="930"/>
        <v>2.2160000000000002</v>
      </c>
      <c r="AL175">
        <v>3.2657711640541915</v>
      </c>
      <c r="AM175">
        <v>0.54650030268178429</v>
      </c>
      <c r="AN175">
        <v>-6.9605532930689051E-2</v>
      </c>
      <c r="AO175">
        <v>-8.5903348150786069E-2</v>
      </c>
      <c r="AP175">
        <v>0.95132173616983107</v>
      </c>
      <c r="AQ175">
        <v>0.29598575821701834</v>
      </c>
      <c r="AR175">
        <v>0.26600000000000001</v>
      </c>
      <c r="AS175">
        <v>0.52</v>
      </c>
      <c r="AT175">
        <v>2.2130000000000001</v>
      </c>
    </row>
    <row r="176" spans="5:46" x14ac:dyDescent="0.25">
      <c r="E176" s="170">
        <f t="shared" si="933"/>
        <v>-0.12684845382037521</v>
      </c>
      <c r="F176" s="170">
        <f t="shared" si="933"/>
        <v>-0.98356911079599763</v>
      </c>
      <c r="G176" s="170">
        <f t="shared" si="933"/>
        <v>-0.12845728492908004</v>
      </c>
      <c r="H176" s="139"/>
      <c r="I176" s="86"/>
      <c r="J176" s="79">
        <f t="shared" si="930"/>
        <v>2.2189999999999999</v>
      </c>
      <c r="AL176">
        <v>3.9820706922349833</v>
      </c>
      <c r="AM176">
        <v>0.77908324107219673</v>
      </c>
      <c r="AN176">
        <v>-0.30748075896795735</v>
      </c>
      <c r="AO176">
        <v>3.2138497400200618E-2</v>
      </c>
      <c r="AP176">
        <v>0.97108888253674708</v>
      </c>
      <c r="AQ176">
        <v>0.23654492004350736</v>
      </c>
      <c r="AR176">
        <v>0.26600000000000001</v>
      </c>
      <c r="AS176">
        <v>0.52</v>
      </c>
      <c r="AT176">
        <v>2.2160000000000002</v>
      </c>
    </row>
    <row r="177" spans="5:46" x14ac:dyDescent="0.25">
      <c r="E177" s="170">
        <f t="shared" si="933"/>
        <v>-0.27370215933465369</v>
      </c>
      <c r="F177" s="170">
        <f t="shared" si="933"/>
        <v>-0.95862617326450861</v>
      </c>
      <c r="G177" s="170">
        <f t="shared" si="933"/>
        <v>-7.8249523371022436E-2</v>
      </c>
      <c r="H177" s="139"/>
      <c r="I177" s="86"/>
      <c r="J177" s="79">
        <f t="shared" si="930"/>
        <v>2.222</v>
      </c>
      <c r="AL177">
        <v>4.5495544717102705</v>
      </c>
      <c r="AM177">
        <v>0.91404288325281968</v>
      </c>
      <c r="AN177">
        <v>-0.82522397311464346</v>
      </c>
      <c r="AO177">
        <v>0.12684845382037521</v>
      </c>
      <c r="AP177">
        <v>0.98356911079599763</v>
      </c>
      <c r="AQ177">
        <v>0.12845728492908004</v>
      </c>
      <c r="AR177">
        <v>0.26600000000000001</v>
      </c>
      <c r="AS177">
        <v>0.52</v>
      </c>
      <c r="AT177">
        <v>2.2189999999999999</v>
      </c>
    </row>
    <row r="178" spans="5:46" x14ac:dyDescent="0.25">
      <c r="E178" s="170">
        <f t="shared" si="933"/>
        <v>-0.50383261596653883</v>
      </c>
      <c r="F178" s="170">
        <f t="shared" si="933"/>
        <v>-0.82411492880550774</v>
      </c>
      <c r="G178" s="170">
        <f t="shared" si="933"/>
        <v>-0.25881900859134593</v>
      </c>
      <c r="H178" s="139"/>
      <c r="I178" s="86"/>
      <c r="J178" s="79">
        <f t="shared" si="930"/>
        <v>3.1030000000000002</v>
      </c>
      <c r="AL178">
        <v>4.8741848292896872</v>
      </c>
      <c r="AM178">
        <v>0.96245909611265967</v>
      </c>
      <c r="AN178">
        <v>-1.5043944606526229</v>
      </c>
      <c r="AO178">
        <v>0.27370215933465369</v>
      </c>
      <c r="AP178">
        <v>0.95862617326450861</v>
      </c>
      <c r="AQ178">
        <v>7.8249523371022436E-2</v>
      </c>
      <c r="AR178">
        <v>0.26600000000000001</v>
      </c>
      <c r="AS178">
        <v>0.52</v>
      </c>
      <c r="AT178">
        <v>2.222</v>
      </c>
    </row>
    <row r="179" spans="5:46" x14ac:dyDescent="0.25">
      <c r="E179" s="170">
        <f t="shared" si="933"/>
        <v>-0.52820040889687292</v>
      </c>
      <c r="F179" s="170">
        <f t="shared" si="933"/>
        <v>-0.80871320555124437</v>
      </c>
      <c r="G179" s="170">
        <f t="shared" si="933"/>
        <v>-0.25881900859134599</v>
      </c>
      <c r="H179" s="139"/>
      <c r="I179" s="86"/>
      <c r="J179" s="79">
        <f t="shared" si="930"/>
        <v>3.1059999999999999</v>
      </c>
      <c r="AL179">
        <v>0.68647596618516737</v>
      </c>
      <c r="AM179">
        <v>-0.41968537366813757</v>
      </c>
      <c r="AN179">
        <v>-0.61590185756000237</v>
      </c>
      <c r="AO179">
        <v>0.50383261596653883</v>
      </c>
      <c r="AP179">
        <v>0.82411492880550774</v>
      </c>
      <c r="AQ179">
        <v>0.25881900859134593</v>
      </c>
      <c r="AR179">
        <v>0.314</v>
      </c>
      <c r="AS179">
        <v>0.52</v>
      </c>
      <c r="AT179">
        <v>3.1030000000000002</v>
      </c>
    </row>
    <row r="180" spans="5:46" x14ac:dyDescent="0.25">
      <c r="E180" s="170">
        <f t="shared" si="933"/>
        <v>-0.53664011743380591</v>
      </c>
      <c r="F180" s="170">
        <f t="shared" si="933"/>
        <v>-0.80313766264098463</v>
      </c>
      <c r="G180" s="170">
        <f t="shared" si="933"/>
        <v>-0.25881900859134593</v>
      </c>
      <c r="H180" s="139"/>
      <c r="I180" s="86"/>
      <c r="J180" s="79">
        <f t="shared" si="930"/>
        <v>3.109</v>
      </c>
      <c r="AL180">
        <v>1.2963886640084605</v>
      </c>
      <c r="AM180">
        <v>-0.84671922965792312</v>
      </c>
      <c r="AN180">
        <v>-0.41660125646938967</v>
      </c>
      <c r="AO180">
        <v>0.52820040889687292</v>
      </c>
      <c r="AP180">
        <v>0.80871320555124437</v>
      </c>
      <c r="AQ180">
        <v>0.25881900859134599</v>
      </c>
      <c r="AR180">
        <v>0.314</v>
      </c>
      <c r="AS180">
        <v>0.52</v>
      </c>
      <c r="AT180">
        <v>3.1059999999999999</v>
      </c>
    </row>
    <row r="181" spans="5:46" x14ac:dyDescent="0.25">
      <c r="E181" s="170">
        <f t="shared" si="933"/>
        <v>-0.56470937937528598</v>
      </c>
      <c r="F181" s="170">
        <f t="shared" si="933"/>
        <v>-0.78368805336187652</v>
      </c>
      <c r="G181" s="170">
        <f t="shared" si="933"/>
        <v>-0.25872060579600575</v>
      </c>
      <c r="H181" s="139"/>
      <c r="I181" s="86"/>
      <c r="J181" s="79">
        <f t="shared" si="930"/>
        <v>3.1120000000000001</v>
      </c>
      <c r="AL181">
        <v>1.9058996393761185</v>
      </c>
      <c r="AM181">
        <v>-1.2734830575976219</v>
      </c>
      <c r="AN181">
        <v>-0.21730065537877671</v>
      </c>
      <c r="AO181">
        <v>0.53664011743380591</v>
      </c>
      <c r="AP181">
        <v>0.80313766264098463</v>
      </c>
      <c r="AQ181">
        <v>0.25881900859134593</v>
      </c>
      <c r="AR181">
        <v>0.314</v>
      </c>
      <c r="AS181">
        <v>0.52</v>
      </c>
      <c r="AT181">
        <v>3.109</v>
      </c>
    </row>
    <row r="182" spans="5:46" x14ac:dyDescent="0.25">
      <c r="E182" s="170">
        <f t="shared" si="933"/>
        <v>-0.68471461462092087</v>
      </c>
      <c r="F182" s="170">
        <f t="shared" si="933"/>
        <v>-0.69390858452693727</v>
      </c>
      <c r="G182" s="170">
        <f t="shared" si="933"/>
        <v>-0.2228379968594813</v>
      </c>
      <c r="H182" s="139"/>
      <c r="I182" s="86"/>
      <c r="J182" s="79">
        <f t="shared" si="930"/>
        <v>3.1150000000000002</v>
      </c>
      <c r="AL182">
        <v>2.5256377419400455</v>
      </c>
      <c r="AM182">
        <v>-1.7125601929942391</v>
      </c>
      <c r="AN182">
        <v>-6.3900192722981294E-2</v>
      </c>
      <c r="AO182">
        <v>0.56470937937528598</v>
      </c>
      <c r="AP182">
        <v>0.78368805336187652</v>
      </c>
      <c r="AQ182">
        <v>0.25872060579600575</v>
      </c>
      <c r="AR182">
        <v>0.314</v>
      </c>
      <c r="AS182">
        <v>0.52</v>
      </c>
      <c r="AT182">
        <v>3.1120000000000001</v>
      </c>
    </row>
    <row r="183" spans="5:46" x14ac:dyDescent="0.25">
      <c r="E183" s="170">
        <f t="shared" si="933"/>
        <v>-0.77935557332524641</v>
      </c>
      <c r="F183" s="170">
        <f t="shared" si="933"/>
        <v>-0.61223700495675337</v>
      </c>
      <c r="G183" s="170">
        <f t="shared" si="933"/>
        <v>-0.13330693938599283</v>
      </c>
      <c r="H183" s="139"/>
      <c r="I183" s="86"/>
      <c r="J183" s="79">
        <f t="shared" si="930"/>
        <v>3.1179999999999999</v>
      </c>
      <c r="AL183">
        <v>3.1282116585449908</v>
      </c>
      <c r="AM183">
        <v>-2.1936563913613374</v>
      </c>
      <c r="AN183">
        <v>-0.19310058239135672</v>
      </c>
      <c r="AO183">
        <v>0.68471461462092087</v>
      </c>
      <c r="AP183">
        <v>0.69390858452693727</v>
      </c>
      <c r="AQ183">
        <v>0.2228379968594813</v>
      </c>
      <c r="AR183">
        <v>0.314</v>
      </c>
      <c r="AS183">
        <v>0.52</v>
      </c>
      <c r="AT183">
        <v>3.1150000000000002</v>
      </c>
    </row>
    <row r="184" spans="5:46" x14ac:dyDescent="0.25">
      <c r="E184" s="170">
        <f t="shared" si="933"/>
        <v>-0.85767090675742286</v>
      </c>
      <c r="F184" s="170">
        <f t="shared" si="933"/>
        <v>-0.50858833451074459</v>
      </c>
      <c r="G184" s="170">
        <f t="shared" si="933"/>
        <v>-7.5753030972277327E-2</v>
      </c>
      <c r="H184" s="139"/>
      <c r="I184" s="86"/>
      <c r="J184" s="79">
        <f t="shared" si="930"/>
        <v>3.121</v>
      </c>
      <c r="AL184">
        <v>3.6109969215621796</v>
      </c>
      <c r="AM184">
        <v>-2.6331875207196531</v>
      </c>
      <c r="AN184">
        <v>-0.62370188108487346</v>
      </c>
      <c r="AO184">
        <v>0.77935557332524641</v>
      </c>
      <c r="AP184">
        <v>0.61223700495675337</v>
      </c>
      <c r="AQ184">
        <v>0.13330693938599283</v>
      </c>
      <c r="AR184">
        <v>0.314</v>
      </c>
      <c r="AS184">
        <v>0.52</v>
      </c>
      <c r="AT184">
        <v>3.1179999999999999</v>
      </c>
    </row>
    <row r="185" spans="5:46" x14ac:dyDescent="0.25">
      <c r="E185" s="170">
        <f t="shared" si="933"/>
        <v>-0.90638578881717091</v>
      </c>
      <c r="F185" s="170">
        <f t="shared" si="933"/>
        <v>-0.4221483924911611</v>
      </c>
      <c r="G185" s="170">
        <f t="shared" si="933"/>
        <v>1.5985510545595782E-2</v>
      </c>
      <c r="H185" s="139"/>
      <c r="I185" s="86"/>
      <c r="J185" s="79">
        <f t="shared" si="930"/>
        <v>3.1240000000000001</v>
      </c>
      <c r="AL185">
        <v>3.9090929886613992</v>
      </c>
      <c r="AM185">
        <v>-2.9329004530519991</v>
      </c>
      <c r="AN185">
        <v>-1.2559037878058232</v>
      </c>
      <c r="AO185">
        <v>0.85767090675742286</v>
      </c>
      <c r="AP185">
        <v>0.50858833451074459</v>
      </c>
      <c r="AQ185">
        <v>7.5753030972277327E-2</v>
      </c>
      <c r="AR185">
        <v>0.314</v>
      </c>
      <c r="AS185">
        <v>0.52</v>
      </c>
      <c r="AT185">
        <v>3.121</v>
      </c>
    </row>
    <row r="186" spans="5:46" x14ac:dyDescent="0.25">
      <c r="E186" s="170">
        <f t="shared" si="933"/>
        <v>-0.93845854265164441</v>
      </c>
      <c r="F186" s="170">
        <f t="shared" si="933"/>
        <v>-0.34523334631660063</v>
      </c>
      <c r="G186" s="170">
        <f t="shared" si="933"/>
        <v>-1.0464239828763877E-2</v>
      </c>
      <c r="H186" s="139"/>
      <c r="I186" s="86"/>
      <c r="J186" s="79">
        <f t="shared" si="930"/>
        <v>3.1269999999999998</v>
      </c>
      <c r="AL186">
        <v>4.0105743560242928</v>
      </c>
      <c r="AM186">
        <v>-3.068538283025295</v>
      </c>
      <c r="AN186">
        <v>-1.9915060063821157</v>
      </c>
      <c r="AO186">
        <v>0.90638578881717091</v>
      </c>
      <c r="AP186">
        <v>0.4221483924911611</v>
      </c>
      <c r="AQ186">
        <v>-1.5985510545595782E-2</v>
      </c>
      <c r="AR186">
        <v>0.314</v>
      </c>
      <c r="AS186">
        <v>0.52</v>
      </c>
      <c r="AT186">
        <v>3.1240000000000001</v>
      </c>
    </row>
    <row r="187" spans="5:46" x14ac:dyDescent="0.25">
      <c r="E187" s="170">
        <f t="shared" si="933"/>
        <v>-0.80467446101209883</v>
      </c>
      <c r="F187" s="170">
        <f t="shared" si="933"/>
        <v>-0.5218623701704721</v>
      </c>
      <c r="G187" s="170">
        <f t="shared" si="933"/>
        <v>-0.28312307994041347</v>
      </c>
      <c r="H187" s="139"/>
      <c r="I187" s="86"/>
      <c r="J187" s="79">
        <f t="shared" si="930"/>
        <v>3.214</v>
      </c>
      <c r="AL187">
        <v>4.0539225945612021</v>
      </c>
      <c r="AM187">
        <v>-3.1151869464550002</v>
      </c>
      <c r="AN187">
        <v>-2.6650078508718873</v>
      </c>
      <c r="AO187">
        <v>0.93845854265164441</v>
      </c>
      <c r="AP187">
        <v>0.34523334631660063</v>
      </c>
      <c r="AQ187">
        <v>1.0464239828763877E-2</v>
      </c>
      <c r="AR187">
        <v>0.26600000000000001</v>
      </c>
      <c r="AS187">
        <v>0.52</v>
      </c>
      <c r="AT187">
        <v>3.1269999999999998</v>
      </c>
    </row>
    <row r="188" spans="5:46" x14ac:dyDescent="0.25">
      <c r="E188" s="170">
        <f t="shared" si="933"/>
        <v>-0.87867839310538109</v>
      </c>
      <c r="F188" s="170">
        <f t="shared" si="933"/>
        <v>-0.43135366701308892</v>
      </c>
      <c r="G188" s="170">
        <f t="shared" si="933"/>
        <v>-0.20459299949926604</v>
      </c>
      <c r="H188" s="139"/>
      <c r="I188" s="86"/>
      <c r="J188" s="79">
        <f t="shared" si="930"/>
        <v>3.2170000000000001</v>
      </c>
      <c r="AL188">
        <v>2.3138143986046891</v>
      </c>
      <c r="AM188">
        <v>-2.7187257804659364</v>
      </c>
      <c r="AN188">
        <v>-0.11529231471950917</v>
      </c>
      <c r="AO188">
        <v>0.80467446101209883</v>
      </c>
      <c r="AP188">
        <v>0.5218623701704721</v>
      </c>
      <c r="AQ188">
        <v>0.28312307994041347</v>
      </c>
      <c r="AR188">
        <v>0.26600000000000001</v>
      </c>
      <c r="AS188">
        <v>0.52</v>
      </c>
      <c r="AT188">
        <v>3.214</v>
      </c>
    </row>
    <row r="189" spans="5:46" x14ac:dyDescent="0.25">
      <c r="E189" s="170">
        <f t="shared" si="933"/>
        <v>-0.9255307368378346</v>
      </c>
      <c r="F189" s="170">
        <f t="shared" si="933"/>
        <v>-0.36785931643764364</v>
      </c>
      <c r="G189" s="170">
        <f t="shared" si="933"/>
        <v>-8.9846416057874287E-2</v>
      </c>
      <c r="H189" s="139"/>
      <c r="I189" s="86"/>
      <c r="J189" s="79">
        <f t="shared" si="930"/>
        <v>3.22</v>
      </c>
      <c r="AL189">
        <v>2.8264223498543473</v>
      </c>
      <c r="AM189">
        <v>-3.2059504565980661</v>
      </c>
      <c r="AN189">
        <v>-0.45200249924625446</v>
      </c>
      <c r="AO189">
        <v>0.87867839310538109</v>
      </c>
      <c r="AP189">
        <v>0.43135366701308892</v>
      </c>
      <c r="AQ189">
        <v>0.20459299949926604</v>
      </c>
      <c r="AR189">
        <v>0.26600000000000001</v>
      </c>
      <c r="AS189">
        <v>0.52</v>
      </c>
      <c r="AT189">
        <v>3.2170000000000001</v>
      </c>
    </row>
    <row r="190" spans="5:46" x14ac:dyDescent="0.25">
      <c r="E190" s="170">
        <f t="shared" si="933"/>
        <v>-0.9543740106798958</v>
      </c>
      <c r="F190" s="170">
        <f t="shared" si="933"/>
        <v>0.14893947942222394</v>
      </c>
      <c r="G190" s="170">
        <f t="shared" si="933"/>
        <v>-0.25881900859134604</v>
      </c>
      <c r="H190" s="139"/>
      <c r="I190" s="86"/>
      <c r="J190" s="79">
        <f t="shared" si="930"/>
        <v>4.1100000000000003</v>
      </c>
      <c r="AL190">
        <v>3.159581430216106</v>
      </c>
      <c r="AM190">
        <v>-3.5775472079178074</v>
      </c>
      <c r="AN190">
        <v>-1.0328388977216103</v>
      </c>
      <c r="AO190">
        <v>0.9255307368378346</v>
      </c>
      <c r="AP190">
        <v>0.36785931643764364</v>
      </c>
      <c r="AQ190">
        <v>8.9846416057874287E-2</v>
      </c>
      <c r="AR190">
        <v>0.26600000000000001</v>
      </c>
      <c r="AS190">
        <v>0.52</v>
      </c>
      <c r="AT190">
        <v>3.22</v>
      </c>
    </row>
    <row r="191" spans="5:46" x14ac:dyDescent="0.25">
      <c r="E191" s="170">
        <f t="shared" si="933"/>
        <v>-0.94044160474055127</v>
      </c>
      <c r="F191" s="170">
        <f t="shared" si="933"/>
        <v>0.22566183401660544</v>
      </c>
      <c r="G191" s="170">
        <f t="shared" si="933"/>
        <v>-0.25425641533947346</v>
      </c>
      <c r="H191" s="139"/>
      <c r="I191" s="86"/>
      <c r="J191" s="79">
        <f t="shared" si="930"/>
        <v>4.1130000000000004</v>
      </c>
      <c r="AL191">
        <v>-0.3917297524730981</v>
      </c>
      <c r="AM191">
        <v>-2.510124893820521</v>
      </c>
      <c r="AN191">
        <v>-0.15080045481417167</v>
      </c>
      <c r="AO191">
        <v>0.9543740106798958</v>
      </c>
      <c r="AP191">
        <v>-0.14893947942222394</v>
      </c>
      <c r="AQ191">
        <v>0.25881900859134604</v>
      </c>
      <c r="AR191">
        <v>0.314</v>
      </c>
      <c r="AS191">
        <v>0.52</v>
      </c>
      <c r="AT191">
        <v>4.1100000000000003</v>
      </c>
    </row>
    <row r="192" spans="5:46" x14ac:dyDescent="0.25">
      <c r="E192" s="170">
        <f t="shared" si="933"/>
        <v>-0.90652894250337035</v>
      </c>
      <c r="F192" s="170">
        <f t="shared" si="933"/>
        <v>0.37300377963120379</v>
      </c>
      <c r="G192" s="170">
        <f t="shared" si="933"/>
        <v>-0.19767007053309191</v>
      </c>
      <c r="H192" s="139"/>
      <c r="I192" s="86"/>
      <c r="J192" s="79">
        <f t="shared" si="930"/>
        <v>4.1159999999999997</v>
      </c>
      <c r="AL192">
        <v>-0.53966761381934236</v>
      </c>
      <c r="AM192">
        <v>-3.2669359409109675</v>
      </c>
      <c r="AN192">
        <v>-6.9200208707829475E-2</v>
      </c>
      <c r="AO192">
        <v>0.94044160474055127</v>
      </c>
      <c r="AP192">
        <v>-0.22566183401660544</v>
      </c>
      <c r="AQ192">
        <v>0.25425641533947346</v>
      </c>
      <c r="AR192">
        <v>0.314</v>
      </c>
      <c r="AS192">
        <v>0.52</v>
      </c>
      <c r="AT192">
        <v>4.1130000000000004</v>
      </c>
    </row>
    <row r="193" spans="5:46" x14ac:dyDescent="0.25">
      <c r="E193" s="170">
        <f t="shared" si="933"/>
        <v>-0.87459887820091908</v>
      </c>
      <c r="F193" s="170">
        <f t="shared" si="933"/>
        <v>0.47528528092073913</v>
      </c>
      <c r="G193" s="170">
        <f t="shared" si="933"/>
        <v>-9.5815990261480077E-2</v>
      </c>
      <c r="H193" s="139"/>
      <c r="I193" s="86"/>
      <c r="J193" s="79">
        <f t="shared" si="930"/>
        <v>4.1189999999999998</v>
      </c>
      <c r="AL193">
        <v>-0.73249645461462576</v>
      </c>
      <c r="AM193">
        <v>-3.9910496803322042</v>
      </c>
      <c r="AN193">
        <v>-0.30710092621639357</v>
      </c>
      <c r="AO193">
        <v>0.90652894250337035</v>
      </c>
      <c r="AP193">
        <v>-0.37300377963120379</v>
      </c>
      <c r="AQ193">
        <v>0.19767007053309191</v>
      </c>
      <c r="AR193">
        <v>0.314</v>
      </c>
      <c r="AS193">
        <v>0.52</v>
      </c>
      <c r="AT193">
        <v>4.1159999999999997</v>
      </c>
    </row>
    <row r="194" spans="5:46" x14ac:dyDescent="0.25">
      <c r="E194" s="170">
        <f t="shared" ref="E194:G213" si="934">E49*-1</f>
        <v>-0.79660966005448186</v>
      </c>
      <c r="F194" s="170">
        <f t="shared" si="934"/>
        <v>0.6019574081786111</v>
      </c>
      <c r="G194" s="170">
        <f t="shared" si="934"/>
        <v>-5.5320233610966503E-2</v>
      </c>
      <c r="H194" s="139"/>
      <c r="I194" s="86"/>
      <c r="J194" s="79">
        <f t="shared" si="930"/>
        <v>4.1219999999999999</v>
      </c>
      <c r="AL194">
        <v>-0.91806709864016156</v>
      </c>
      <c r="AM194">
        <v>-4.5489976037272379</v>
      </c>
      <c r="AN194">
        <v>-0.82490248790590315</v>
      </c>
      <c r="AO194">
        <v>0.87459887820091908</v>
      </c>
      <c r="AP194">
        <v>-0.47528528092073913</v>
      </c>
      <c r="AQ194">
        <v>9.5815990261480077E-2</v>
      </c>
      <c r="AR194">
        <v>0.314</v>
      </c>
      <c r="AS194">
        <v>0.52</v>
      </c>
      <c r="AT194">
        <v>4.1189999999999998</v>
      </c>
    </row>
    <row r="195" spans="5:46" x14ac:dyDescent="0.25">
      <c r="E195" s="170">
        <f t="shared" si="934"/>
        <v>-0.76811514156453486</v>
      </c>
      <c r="F195" s="170">
        <f t="shared" si="934"/>
        <v>0.64011217259640907</v>
      </c>
      <c r="G195" s="170">
        <f t="shared" si="934"/>
        <v>1.5985486955354265E-2</v>
      </c>
      <c r="H195" s="139"/>
      <c r="I195" s="86"/>
      <c r="J195" s="79">
        <f t="shared" si="930"/>
        <v>4.125</v>
      </c>
      <c r="AL195">
        <v>-1.036532217243963</v>
      </c>
      <c r="AM195">
        <v>-4.8598050079360737</v>
      </c>
      <c r="AN195">
        <v>-1.5038045354744787</v>
      </c>
      <c r="AO195">
        <v>0.79660966005448186</v>
      </c>
      <c r="AP195">
        <v>-0.6019574081786111</v>
      </c>
      <c r="AQ195">
        <v>5.5320233610966503E-2</v>
      </c>
      <c r="AR195">
        <v>0.314</v>
      </c>
      <c r="AS195">
        <v>0.52</v>
      </c>
      <c r="AT195">
        <v>4.1219999999999999</v>
      </c>
    </row>
    <row r="196" spans="5:46" x14ac:dyDescent="0.25">
      <c r="E196" s="170">
        <f t="shared" si="934"/>
        <v>-0.70949745493413174</v>
      </c>
      <c r="F196" s="170">
        <f t="shared" si="934"/>
        <v>0.70463030062679732</v>
      </c>
      <c r="G196" s="170">
        <f t="shared" si="934"/>
        <v>-1.0464266843838443E-2</v>
      </c>
      <c r="H196" s="139"/>
      <c r="I196" s="86"/>
      <c r="J196" s="79">
        <f t="shared" si="930"/>
        <v>4.1280000000000001</v>
      </c>
      <c r="AL196">
        <v>-1.0671532901044178</v>
      </c>
      <c r="AM196">
        <v>-4.9357692120895216</v>
      </c>
      <c r="AN196">
        <v>-2.2431067652100039</v>
      </c>
      <c r="AO196">
        <v>0.76811514156453486</v>
      </c>
      <c r="AP196">
        <v>-0.64011217259640907</v>
      </c>
      <c r="AQ196">
        <v>-1.5985486955354265E-2</v>
      </c>
      <c r="AR196">
        <v>0.314</v>
      </c>
      <c r="AS196">
        <v>0.52</v>
      </c>
      <c r="AT196">
        <v>4.125</v>
      </c>
    </row>
    <row r="197" spans="5:46" x14ac:dyDescent="0.25">
      <c r="E197" s="170">
        <f t="shared" si="934"/>
        <v>-0.83938944453244602</v>
      </c>
      <c r="F197" s="170">
        <f t="shared" si="934"/>
        <v>0.45284672132500015</v>
      </c>
      <c r="G197" s="170">
        <f t="shared" si="934"/>
        <v>-0.30059142934007538</v>
      </c>
      <c r="H197" s="139"/>
      <c r="I197" s="86"/>
      <c r="J197" s="79">
        <f t="shared" si="930"/>
        <v>4.2119999999999997</v>
      </c>
      <c r="AL197">
        <v>-1.1100556476316796</v>
      </c>
      <c r="AM197">
        <v>-4.9906366870530094</v>
      </c>
      <c r="AN197">
        <v>-2.9576087243745524</v>
      </c>
      <c r="AO197">
        <v>0.70949745493413174</v>
      </c>
      <c r="AP197">
        <v>-0.70463030062679732</v>
      </c>
      <c r="AQ197">
        <v>1.0464266843838443E-2</v>
      </c>
      <c r="AR197">
        <v>0.26600000000000001</v>
      </c>
      <c r="AS197">
        <v>0.52</v>
      </c>
      <c r="AT197">
        <v>4.1280000000000001</v>
      </c>
    </row>
    <row r="198" spans="5:46" x14ac:dyDescent="0.25">
      <c r="E198" s="170">
        <f t="shared" si="934"/>
        <v>-0.79263044823681839</v>
      </c>
      <c r="F198" s="170">
        <f t="shared" si="934"/>
        <v>0.55003098654219928</v>
      </c>
      <c r="G198" s="170">
        <f t="shared" si="934"/>
        <v>-0.26306441487079879</v>
      </c>
      <c r="H198" s="139"/>
      <c r="I198" s="86"/>
      <c r="J198" s="79">
        <f t="shared" si="930"/>
        <v>4.2149999999999999</v>
      </c>
      <c r="AL198">
        <v>-1.3706262923016526</v>
      </c>
      <c r="AM198">
        <v>-2.7263697447323443</v>
      </c>
      <c r="AN198">
        <v>-6.4906251518670355E-2</v>
      </c>
      <c r="AO198">
        <v>0.83938944453244602</v>
      </c>
      <c r="AP198">
        <v>-0.45284672132500015</v>
      </c>
      <c r="AQ198">
        <v>0.30059142934007538</v>
      </c>
      <c r="AR198">
        <v>0.26600000000000001</v>
      </c>
      <c r="AS198">
        <v>0.52</v>
      </c>
      <c r="AT198">
        <v>4.2119999999999997</v>
      </c>
    </row>
    <row r="199" spans="5:46" x14ac:dyDescent="0.25">
      <c r="E199" s="170">
        <f t="shared" si="934"/>
        <v>-0.74444593232474365</v>
      </c>
      <c r="F199" s="170">
        <f t="shared" si="934"/>
        <v>0.64610099394317544</v>
      </c>
      <c r="G199" s="170">
        <f t="shared" si="934"/>
        <v>-0.16838574604396878</v>
      </c>
      <c r="H199" s="139"/>
      <c r="I199" s="86"/>
      <c r="J199" s="79">
        <f t="shared" si="930"/>
        <v>4.218</v>
      </c>
      <c r="AL199">
        <v>-1.5794596319116165</v>
      </c>
      <c r="AM199">
        <v>-3.4786675966268779</v>
      </c>
      <c r="AN199">
        <v>-0.19407144573371027</v>
      </c>
      <c r="AO199">
        <v>0.79263044823681839</v>
      </c>
      <c r="AP199">
        <v>-0.55003098654219928</v>
      </c>
      <c r="AQ199">
        <v>0.26306441487079879</v>
      </c>
      <c r="AR199">
        <v>0.26600000000000001</v>
      </c>
      <c r="AS199">
        <v>0.52</v>
      </c>
      <c r="AT199">
        <v>4.2149999999999999</v>
      </c>
    </row>
    <row r="200" spans="5:46" x14ac:dyDescent="0.25">
      <c r="E200" s="170">
        <f t="shared" si="934"/>
        <v>-0.66247562799624726</v>
      </c>
      <c r="F200" s="170">
        <f t="shared" si="934"/>
        <v>0.74208215977255365</v>
      </c>
      <c r="G200" s="170">
        <f t="shared" si="934"/>
        <v>-0.10217685872192422</v>
      </c>
      <c r="H200" s="139"/>
      <c r="I200" s="86"/>
      <c r="J200" s="79">
        <f t="shared" si="930"/>
        <v>4.2210000000000001</v>
      </c>
      <c r="AL200">
        <v>-1.8025625730710251</v>
      </c>
      <c r="AM200">
        <v>-4.0888847508138761</v>
      </c>
      <c r="AN200">
        <v>-0.62455506737417066</v>
      </c>
      <c r="AO200">
        <v>0.74444593232474365</v>
      </c>
      <c r="AP200">
        <v>-0.64610099394317544</v>
      </c>
      <c r="AQ200">
        <v>0.16838574604396878</v>
      </c>
      <c r="AR200">
        <v>0.26600000000000001</v>
      </c>
      <c r="AS200">
        <v>0.52</v>
      </c>
      <c r="AT200">
        <v>4.218</v>
      </c>
    </row>
    <row r="201" spans="5:46" x14ac:dyDescent="0.25">
      <c r="E201" s="170">
        <f t="shared" si="934"/>
        <v>-0.48515101298201585</v>
      </c>
      <c r="F201" s="170">
        <f t="shared" si="934"/>
        <v>0.83524919359094074</v>
      </c>
      <c r="G201" s="170">
        <f t="shared" si="934"/>
        <v>-0.25881900859134593</v>
      </c>
      <c r="H201" s="139"/>
      <c r="I201" s="86"/>
      <c r="J201" s="79">
        <f t="shared" si="930"/>
        <v>5.1020000000000003</v>
      </c>
      <c r="AL201">
        <v>-1.9765991860237966</v>
      </c>
      <c r="AM201">
        <v>-4.4688651261930143</v>
      </c>
      <c r="AN201">
        <v>-1.2563757022260158</v>
      </c>
      <c r="AO201">
        <v>0.66247562799624726</v>
      </c>
      <c r="AP201">
        <v>-0.74208215977255365</v>
      </c>
      <c r="AQ201">
        <v>0.10217685872192422</v>
      </c>
      <c r="AR201">
        <v>0.26600000000000001</v>
      </c>
      <c r="AS201">
        <v>0.52</v>
      </c>
      <c r="AT201">
        <v>4.2210000000000001</v>
      </c>
    </row>
    <row r="202" spans="5:46" x14ac:dyDescent="0.25">
      <c r="E202" s="170">
        <f t="shared" si="934"/>
        <v>-0.44152244839647403</v>
      </c>
      <c r="F202" s="170">
        <f t="shared" si="934"/>
        <v>0.85911038193806954</v>
      </c>
      <c r="G202" s="170">
        <f t="shared" si="934"/>
        <v>-0.25881900859134593</v>
      </c>
      <c r="H202" s="139"/>
      <c r="I202" s="86"/>
      <c r="J202" s="79">
        <f t="shared" si="930"/>
        <v>5.1050000000000004</v>
      </c>
      <c r="AL202">
        <v>-0.48130103361236898</v>
      </c>
      <c r="AM202">
        <v>-0.27956169942821801</v>
      </c>
      <c r="AN202">
        <v>-0.68230205782300646</v>
      </c>
      <c r="AO202">
        <v>0.48515101298201585</v>
      </c>
      <c r="AP202">
        <v>-0.83524919359094074</v>
      </c>
      <c r="AQ202">
        <v>0.25881900859134593</v>
      </c>
      <c r="AR202">
        <v>0.314</v>
      </c>
      <c r="AS202">
        <v>0.52</v>
      </c>
      <c r="AT202">
        <v>5.1020000000000003</v>
      </c>
    </row>
    <row r="203" spans="5:46" x14ac:dyDescent="0.25">
      <c r="E203" s="170">
        <f t="shared" si="934"/>
        <v>-0.42948435647455097</v>
      </c>
      <c r="F203" s="170">
        <f t="shared" si="934"/>
        <v>0.86519125535076558</v>
      </c>
      <c r="G203" s="170">
        <f t="shared" si="934"/>
        <v>-0.25881900859134593</v>
      </c>
      <c r="H203" s="139"/>
      <c r="I203" s="86"/>
      <c r="J203" s="79">
        <f t="shared" si="930"/>
        <v>5.1079999999999997</v>
      </c>
      <c r="AL203">
        <v>-1.1566007123918873</v>
      </c>
      <c r="AM203">
        <v>-0.59441160191820919</v>
      </c>
      <c r="AN203">
        <v>-0.48300145673239347</v>
      </c>
      <c r="AO203">
        <v>0.44152244839647403</v>
      </c>
      <c r="AP203">
        <v>-0.85911038193806954</v>
      </c>
      <c r="AQ203">
        <v>0.25881900859134593</v>
      </c>
      <c r="AR203">
        <v>0.314</v>
      </c>
      <c r="AS203">
        <v>0.52</v>
      </c>
      <c r="AT203">
        <v>5.1050000000000004</v>
      </c>
    </row>
    <row r="204" spans="5:46" x14ac:dyDescent="0.25">
      <c r="E204" s="170">
        <f t="shared" si="934"/>
        <v>-0.42388827878905727</v>
      </c>
      <c r="F204" s="170">
        <f t="shared" si="934"/>
        <v>0.86794668493925553</v>
      </c>
      <c r="G204" s="170">
        <f t="shared" si="934"/>
        <v>-0.25881900859134604</v>
      </c>
      <c r="H204" s="139"/>
      <c r="I204" s="86"/>
      <c r="J204" s="79">
        <f t="shared" si="930"/>
        <v>5.1109999999999998</v>
      </c>
      <c r="AL204">
        <v>-1.8310197660369711</v>
      </c>
      <c r="AM204">
        <v>-0.90892544399301822</v>
      </c>
      <c r="AN204">
        <v>-0.28370085564178071</v>
      </c>
      <c r="AO204">
        <v>0.42948435647455097</v>
      </c>
      <c r="AP204">
        <v>-0.86519125535076558</v>
      </c>
      <c r="AQ204">
        <v>0.25881900859134593</v>
      </c>
      <c r="AR204">
        <v>0.314</v>
      </c>
      <c r="AS204">
        <v>0.52</v>
      </c>
      <c r="AT204">
        <v>5.1079999999999997</v>
      </c>
    </row>
    <row r="205" spans="5:46" x14ac:dyDescent="0.25">
      <c r="E205" s="170">
        <f t="shared" si="934"/>
        <v>-0.30572307113547376</v>
      </c>
      <c r="F205" s="170">
        <f t="shared" si="934"/>
        <v>0.92086838472960086</v>
      </c>
      <c r="G205" s="170">
        <f t="shared" si="934"/>
        <v>-0.24193970691267258</v>
      </c>
      <c r="H205" s="139"/>
      <c r="I205" s="86"/>
      <c r="J205" s="79">
        <f t="shared" si="930"/>
        <v>5.1139999999999999</v>
      </c>
      <c r="AL205">
        <v>-2.5099678428924745</v>
      </c>
      <c r="AM205">
        <v>-1.2258194739392727</v>
      </c>
      <c r="AN205">
        <v>-9.1100274758428718E-2</v>
      </c>
      <c r="AO205">
        <v>0.42388827878905727</v>
      </c>
      <c r="AP205">
        <v>-0.86794668493925553</v>
      </c>
      <c r="AQ205">
        <v>0.25881900859134604</v>
      </c>
      <c r="AR205">
        <v>0.314</v>
      </c>
      <c r="AS205">
        <v>0.52</v>
      </c>
      <c r="AT205">
        <v>5.1109999999999998</v>
      </c>
    </row>
    <row r="206" spans="5:46" x14ac:dyDescent="0.25">
      <c r="E206" s="170">
        <f t="shared" si="934"/>
        <v>-0.17468491725634899</v>
      </c>
      <c r="F206" s="170">
        <f t="shared" si="934"/>
        <v>0.9702825458462544</v>
      </c>
      <c r="G206" s="170">
        <f t="shared" si="934"/>
        <v>-0.16744241072456531</v>
      </c>
      <c r="H206" s="139"/>
      <c r="I206" s="86"/>
      <c r="J206" s="79">
        <f t="shared" si="930"/>
        <v>5.117</v>
      </c>
      <c r="AL206">
        <v>-3.2277656958933969</v>
      </c>
      <c r="AM206">
        <v>-1.5257567101646266</v>
      </c>
      <c r="AN206">
        <v>-0.1143003447298398</v>
      </c>
      <c r="AO206">
        <v>0.30572307113547376</v>
      </c>
      <c r="AP206">
        <v>-0.92086838472960086</v>
      </c>
      <c r="AQ206">
        <v>0.24193970691267258</v>
      </c>
      <c r="AR206">
        <v>0.314</v>
      </c>
      <c r="AS206">
        <v>0.52</v>
      </c>
      <c r="AT206">
        <v>5.1139999999999999</v>
      </c>
    </row>
    <row r="207" spans="5:46" x14ac:dyDescent="0.25">
      <c r="E207" s="170">
        <f t="shared" si="934"/>
        <v>-9.2297720449069157E-2</v>
      </c>
      <c r="F207" s="170">
        <f t="shared" si="934"/>
        <v>0.9939376329733266</v>
      </c>
      <c r="G207" s="170">
        <f t="shared" si="934"/>
        <v>-5.9742050176457694E-2</v>
      </c>
      <c r="H207" s="139"/>
      <c r="I207" s="86"/>
      <c r="J207" s="79">
        <f t="shared" si="930"/>
        <v>5.12</v>
      </c>
      <c r="AL207">
        <v>-3.8975542892176867</v>
      </c>
      <c r="AM207">
        <v>-1.7549006042301651</v>
      </c>
      <c r="AN207">
        <v>-0.45110136052170269</v>
      </c>
      <c r="AO207">
        <v>0.17468491725634899</v>
      </c>
      <c r="AP207">
        <v>-0.9702825458462544</v>
      </c>
      <c r="AQ207">
        <v>0.16744241072456531</v>
      </c>
      <c r="AR207">
        <v>0.314</v>
      </c>
      <c r="AS207">
        <v>0.52</v>
      </c>
      <c r="AT207">
        <v>5.117</v>
      </c>
    </row>
    <row r="208" spans="5:46" x14ac:dyDescent="0.25">
      <c r="E208" s="170">
        <f t="shared" si="934"/>
        <v>8.4157371370243303E-2</v>
      </c>
      <c r="F208" s="170">
        <f t="shared" si="934"/>
        <v>0.99593563050993872</v>
      </c>
      <c r="G208" s="170">
        <f t="shared" si="934"/>
        <v>-3.2089822760834177E-2</v>
      </c>
      <c r="H208" s="139"/>
      <c r="I208" s="86"/>
      <c r="J208" s="79">
        <f t="shared" si="930"/>
        <v>5.1230000000000002</v>
      </c>
      <c r="AL208">
        <v>-4.3834119905302442</v>
      </c>
      <c r="AM208">
        <v>-1.8905153980834035</v>
      </c>
      <c r="AN208">
        <v>-1.0321031128229881</v>
      </c>
      <c r="AO208">
        <v>9.2297720449069157E-2</v>
      </c>
      <c r="AP208">
        <v>-0.9939376329733266</v>
      </c>
      <c r="AQ208">
        <v>5.9742050176457694E-2</v>
      </c>
      <c r="AR208">
        <v>0.314</v>
      </c>
      <c r="AS208">
        <v>0.52</v>
      </c>
      <c r="AT208">
        <v>5.12</v>
      </c>
    </row>
    <row r="209" spans="5:46" x14ac:dyDescent="0.25">
      <c r="E209" s="170">
        <f t="shared" si="934"/>
        <v>0.17024812522031946</v>
      </c>
      <c r="F209" s="170">
        <f t="shared" si="934"/>
        <v>0.98534566297506621</v>
      </c>
      <c r="G209" s="170">
        <f t="shared" si="934"/>
        <v>-1.0464239828763803E-2</v>
      </c>
      <c r="H209" s="139"/>
      <c r="I209" s="86"/>
      <c r="J209" s="79">
        <f t="shared" si="930"/>
        <v>5.1260000000000003</v>
      </c>
      <c r="AL209">
        <v>-4.6277084540606541</v>
      </c>
      <c r="AM209">
        <v>-1.9320158381750077</v>
      </c>
      <c r="AN209">
        <v>-1.7450052629358734</v>
      </c>
      <c r="AO209">
        <v>-8.4157371370243303E-2</v>
      </c>
      <c r="AP209">
        <v>-0.99593563050993872</v>
      </c>
      <c r="AQ209">
        <v>3.2089822760834177E-2</v>
      </c>
      <c r="AR209">
        <v>0.314</v>
      </c>
      <c r="AS209">
        <v>0.52</v>
      </c>
      <c r="AT209">
        <v>5.1230000000000002</v>
      </c>
    </row>
    <row r="210" spans="5:46" x14ac:dyDescent="0.25">
      <c r="E210" s="170">
        <f t="shared" si="934"/>
        <v>-8.5903779660606625E-2</v>
      </c>
      <c r="F210" s="170">
        <f t="shared" si="934"/>
        <v>0.95132169720485138</v>
      </c>
      <c r="G210" s="170">
        <f t="shared" si="934"/>
        <v>-0.29598575821701834</v>
      </c>
      <c r="H210" s="139"/>
      <c r="I210" s="86"/>
      <c r="J210" s="79">
        <f t="shared" si="930"/>
        <v>5.2130000000000001</v>
      </c>
      <c r="AL210">
        <v>-4.724791722328316</v>
      </c>
      <c r="AM210">
        <v>-1.9532079099271225</v>
      </c>
      <c r="AN210">
        <v>-2.4583071825611604</v>
      </c>
      <c r="AO210">
        <v>-0.17024812522031946</v>
      </c>
      <c r="AP210">
        <v>-0.98534566297506621</v>
      </c>
      <c r="AQ210">
        <v>1.0464239828763803E-2</v>
      </c>
      <c r="AR210">
        <v>0.26600000000000001</v>
      </c>
      <c r="AS210">
        <v>0.52</v>
      </c>
      <c r="AT210">
        <v>5.1260000000000003</v>
      </c>
    </row>
    <row r="211" spans="5:46" x14ac:dyDescent="0.25">
      <c r="E211" s="170">
        <f t="shared" si="934"/>
        <v>3.2138056924191923E-2</v>
      </c>
      <c r="F211" s="170">
        <f t="shared" si="934"/>
        <v>0.97108889711434143</v>
      </c>
      <c r="G211" s="170">
        <f t="shared" si="934"/>
        <v>-0.23654492004350738</v>
      </c>
      <c r="H211" s="139"/>
      <c r="I211" s="86"/>
      <c r="J211" s="79">
        <f t="shared" si="930"/>
        <v>5.2160000000000002</v>
      </c>
      <c r="AL211">
        <v>-3.2657709161668955</v>
      </c>
      <c r="AM211">
        <v>-0.54650178400219451</v>
      </c>
      <c r="AN211">
        <v>-6.9605532930688913E-2</v>
      </c>
      <c r="AO211">
        <v>8.5903779660606625E-2</v>
      </c>
      <c r="AP211">
        <v>-0.95132169720485138</v>
      </c>
      <c r="AQ211">
        <v>0.29598575821701834</v>
      </c>
      <c r="AR211">
        <v>0.26600000000000001</v>
      </c>
      <c r="AS211">
        <v>0.52</v>
      </c>
      <c r="AT211">
        <v>5.2130000000000001</v>
      </c>
    </row>
    <row r="212" spans="5:46" x14ac:dyDescent="0.25">
      <c r="E212" s="170">
        <f t="shared" si="934"/>
        <v>0.12684800768345289</v>
      </c>
      <c r="F212" s="170">
        <f t="shared" si="934"/>
        <v>0.9835691683330603</v>
      </c>
      <c r="G212" s="170">
        <f t="shared" si="934"/>
        <v>-0.12845728492908004</v>
      </c>
      <c r="H212" s="139"/>
      <c r="I212" s="86"/>
      <c r="J212" s="79">
        <f t="shared" si="930"/>
        <v>5.2190000000000003</v>
      </c>
      <c r="AL212">
        <v>-3.9820703388503658</v>
      </c>
      <c r="AM212">
        <v>-0.77908504729873718</v>
      </c>
      <c r="AN212">
        <v>-0.30748075896795685</v>
      </c>
      <c r="AO212">
        <v>-3.2138056924191923E-2</v>
      </c>
      <c r="AP212">
        <v>-0.97108889711434143</v>
      </c>
      <c r="AQ212">
        <v>0.23654492004350738</v>
      </c>
      <c r="AR212">
        <v>0.26600000000000001</v>
      </c>
      <c r="AS212">
        <v>0.52</v>
      </c>
      <c r="AT212">
        <v>5.2160000000000002</v>
      </c>
    </row>
    <row r="213" spans="5:46" x14ac:dyDescent="0.25">
      <c r="E213" s="170">
        <f t="shared" si="934"/>
        <v>0.27370172451157743</v>
      </c>
      <c r="F213" s="170">
        <f t="shared" si="934"/>
        <v>0.95862629741291605</v>
      </c>
      <c r="G213" s="170">
        <f t="shared" si="934"/>
        <v>-7.8249523371022658E-2</v>
      </c>
      <c r="H213" s="139"/>
      <c r="I213" s="86"/>
      <c r="J213" s="79">
        <f t="shared" si="930"/>
        <v>5.2220000000000004</v>
      </c>
      <c r="AL213">
        <v>-4.5495540571092805</v>
      </c>
      <c r="AM213">
        <v>-0.91404494688419624</v>
      </c>
      <c r="AN213">
        <v>-0.82522397311464457</v>
      </c>
      <c r="AO213">
        <v>-0.12684800768345289</v>
      </c>
      <c r="AP213">
        <v>-0.9835691683330603</v>
      </c>
      <c r="AQ213">
        <v>0.12845728492908004</v>
      </c>
      <c r="AR213">
        <v>0.26600000000000001</v>
      </c>
      <c r="AS213">
        <v>0.52</v>
      </c>
      <c r="AT213">
        <v>5.2190000000000003</v>
      </c>
    </row>
    <row r="214" spans="5:46" x14ac:dyDescent="0.25">
      <c r="E214" s="170">
        <f t="shared" ref="E214:G233" si="935">E69*-1</f>
        <v>0.53663975313870449</v>
      </c>
      <c r="F214" s="170">
        <f t="shared" si="935"/>
        <v>0.80313790605538171</v>
      </c>
      <c r="G214" s="170">
        <f t="shared" si="935"/>
        <v>-0.25881900859134599</v>
      </c>
      <c r="H214" s="139"/>
      <c r="I214" s="86"/>
      <c r="J214" s="79">
        <f t="shared" si="930"/>
        <v>6.109</v>
      </c>
      <c r="AL214">
        <v>-4.8741843927275639</v>
      </c>
      <c r="AM214">
        <v>-0.96246130699304744</v>
      </c>
      <c r="AN214">
        <v>-1.5043944606526234</v>
      </c>
      <c r="AO214">
        <v>-0.27370172451157743</v>
      </c>
      <c r="AP214">
        <v>-0.95862629741291605</v>
      </c>
      <c r="AQ214">
        <v>7.8249523371022658E-2</v>
      </c>
      <c r="AR214">
        <v>0.26600000000000001</v>
      </c>
      <c r="AS214">
        <v>0.52</v>
      </c>
      <c r="AT214">
        <v>5.2220000000000004</v>
      </c>
    </row>
    <row r="215" spans="5:46" x14ac:dyDescent="0.25">
      <c r="E215" s="170">
        <f t="shared" si="935"/>
        <v>0.56470902390232636</v>
      </c>
      <c r="F215" s="170">
        <f t="shared" si="935"/>
        <v>0.78368830950820612</v>
      </c>
      <c r="G215" s="170">
        <f t="shared" si="935"/>
        <v>-0.25872060579600564</v>
      </c>
      <c r="H215" s="139"/>
      <c r="I215" s="86"/>
      <c r="J215" s="79">
        <f t="shared" si="930"/>
        <v>6.1120000000000001</v>
      </c>
      <c r="AL215">
        <v>-1.9059002170148389</v>
      </c>
      <c r="AM215">
        <v>1.273482193100868</v>
      </c>
      <c r="AN215">
        <v>-0.21730065537877663</v>
      </c>
      <c r="AO215">
        <v>-0.53663975313870449</v>
      </c>
      <c r="AP215">
        <v>-0.80313790605538171</v>
      </c>
      <c r="AQ215">
        <v>0.25881900859134599</v>
      </c>
      <c r="AR215">
        <v>0.314</v>
      </c>
      <c r="AS215">
        <v>0.52</v>
      </c>
      <c r="AT215">
        <v>6.109</v>
      </c>
    </row>
    <row r="216" spans="5:46" x14ac:dyDescent="0.25">
      <c r="E216" s="170">
        <f t="shared" si="935"/>
        <v>0.68471429987099941</v>
      </c>
      <c r="F216" s="170">
        <f t="shared" si="935"/>
        <v>0.69390889510642606</v>
      </c>
      <c r="G216" s="170">
        <f t="shared" si="935"/>
        <v>-0.22283799685948133</v>
      </c>
      <c r="H216" s="139"/>
      <c r="I216" s="86"/>
      <c r="J216" s="79">
        <f t="shared" si="930"/>
        <v>6.1150000000000002</v>
      </c>
      <c r="AL216">
        <v>-2.525638518739608</v>
      </c>
      <c r="AM216">
        <v>1.7125590473905623</v>
      </c>
      <c r="AN216">
        <v>-6.3900192722981294E-2</v>
      </c>
      <c r="AO216">
        <v>-0.56470902390232636</v>
      </c>
      <c r="AP216">
        <v>-0.78368830950820612</v>
      </c>
      <c r="AQ216">
        <v>0.25872060579600564</v>
      </c>
      <c r="AR216">
        <v>0.314</v>
      </c>
      <c r="AS216">
        <v>0.52</v>
      </c>
      <c r="AT216">
        <v>6.1120000000000001</v>
      </c>
    </row>
    <row r="217" spans="5:46" x14ac:dyDescent="0.25">
      <c r="E217" s="170">
        <f t="shared" si="935"/>
        <v>0.77935529562070971</v>
      </c>
      <c r="F217" s="170">
        <f t="shared" si="935"/>
        <v>0.61223735846442373</v>
      </c>
      <c r="G217" s="170">
        <f t="shared" si="935"/>
        <v>-0.13330693938599297</v>
      </c>
      <c r="H217" s="139"/>
      <c r="I217" s="86"/>
      <c r="J217" s="79">
        <f t="shared" si="930"/>
        <v>6.1180000000000003</v>
      </c>
      <c r="AL217">
        <v>-3.1282126535648174</v>
      </c>
      <c r="AM217">
        <v>2.1936549724362333</v>
      </c>
      <c r="AN217">
        <v>-0.19310058239135661</v>
      </c>
      <c r="AO217">
        <v>-0.68471429987099941</v>
      </c>
      <c r="AP217">
        <v>-0.69390889510642606</v>
      </c>
      <c r="AQ217">
        <v>0.22283799685948133</v>
      </c>
      <c r="AR217">
        <v>0.314</v>
      </c>
      <c r="AS217">
        <v>0.52</v>
      </c>
      <c r="AT217">
        <v>6.1150000000000002</v>
      </c>
    </row>
    <row r="218" spans="5:46" x14ac:dyDescent="0.25">
      <c r="E218" s="170">
        <f t="shared" si="935"/>
        <v>0.85767067606685754</v>
      </c>
      <c r="F218" s="170">
        <f t="shared" si="935"/>
        <v>0.50858872354146123</v>
      </c>
      <c r="G218" s="170">
        <f t="shared" si="935"/>
        <v>-7.5753030972277119E-2</v>
      </c>
      <c r="H218" s="139"/>
      <c r="I218" s="86"/>
      <c r="J218" s="79">
        <f t="shared" si="930"/>
        <v>6.1210000000000004</v>
      </c>
      <c r="AL218">
        <v>-3.6109981159487909</v>
      </c>
      <c r="AM218">
        <v>2.6331858828080374</v>
      </c>
      <c r="AN218">
        <v>-0.62370188108487434</v>
      </c>
      <c r="AO218">
        <v>-0.77935529562070971</v>
      </c>
      <c r="AP218">
        <v>-0.61223735846442373</v>
      </c>
      <c r="AQ218">
        <v>0.13330693938599297</v>
      </c>
      <c r="AR218">
        <v>0.314</v>
      </c>
      <c r="AS218">
        <v>0.52</v>
      </c>
      <c r="AT218">
        <v>6.1180000000000003</v>
      </c>
    </row>
    <row r="219" spans="5:46" x14ac:dyDescent="0.25">
      <c r="E219" s="170">
        <f t="shared" si="935"/>
        <v>0.90638559733487589</v>
      </c>
      <c r="F219" s="170">
        <f t="shared" si="935"/>
        <v>0.42214880361845997</v>
      </c>
      <c r="G219" s="170">
        <f t="shared" si="935"/>
        <v>1.5985510545595619E-2</v>
      </c>
      <c r="H219" s="139"/>
      <c r="I219" s="86"/>
      <c r="J219" s="79">
        <f t="shared" ref="J219:J282" si="936">J74</f>
        <v>6.1239999999999997</v>
      </c>
      <c r="AL219">
        <v>-3.9090943189947076</v>
      </c>
      <c r="AM219">
        <v>2.932898679927018</v>
      </c>
      <c r="AN219">
        <v>-1.2559037878058237</v>
      </c>
      <c r="AO219">
        <v>-0.85767067606685754</v>
      </c>
      <c r="AP219">
        <v>-0.50858872354146123</v>
      </c>
      <c r="AQ219">
        <v>7.5753030972277119E-2</v>
      </c>
      <c r="AR219">
        <v>0.314</v>
      </c>
      <c r="AS219">
        <v>0.52</v>
      </c>
      <c r="AT219">
        <v>6.1210000000000004</v>
      </c>
    </row>
    <row r="220" spans="5:46" x14ac:dyDescent="0.25">
      <c r="E220" s="170">
        <f t="shared" si="935"/>
        <v>0.93845838605722587</v>
      </c>
      <c r="F220" s="170">
        <f t="shared" si="935"/>
        <v>0.34523377199178124</v>
      </c>
      <c r="G220" s="170">
        <f t="shared" si="935"/>
        <v>-1.0464239828763893E-2</v>
      </c>
      <c r="H220" s="139"/>
      <c r="I220" s="86"/>
      <c r="J220" s="79">
        <f t="shared" si="936"/>
        <v>6.1269999999999998</v>
      </c>
      <c r="AL220">
        <v>-4.0105757478815223</v>
      </c>
      <c r="AM220">
        <v>3.0685364638693877</v>
      </c>
      <c r="AN220">
        <v>-1.9915060063821151</v>
      </c>
      <c r="AO220">
        <v>-0.90638559733487589</v>
      </c>
      <c r="AP220">
        <v>-0.42214880361845997</v>
      </c>
      <c r="AQ220">
        <v>-1.5985510545595619E-2</v>
      </c>
      <c r="AR220">
        <v>0.314</v>
      </c>
      <c r="AS220">
        <v>0.52</v>
      </c>
      <c r="AT220">
        <v>6.1239999999999997</v>
      </c>
    </row>
    <row r="221" spans="5:46" x14ac:dyDescent="0.25">
      <c r="E221" s="170">
        <f t="shared" si="935"/>
        <v>0.80467422430057145</v>
      </c>
      <c r="F221" s="170">
        <f t="shared" si="935"/>
        <v>0.52186273516254056</v>
      </c>
      <c r="G221" s="170">
        <f t="shared" si="935"/>
        <v>-0.28312307994041352</v>
      </c>
      <c r="H221" s="139"/>
      <c r="I221" s="86"/>
      <c r="J221" s="79">
        <f t="shared" si="936"/>
        <v>6.2140000000000004</v>
      </c>
      <c r="AL221">
        <v>-4.0539240347785794</v>
      </c>
      <c r="AM221">
        <v>3.1151851759156393</v>
      </c>
      <c r="AN221">
        <v>-2.6650080376642422</v>
      </c>
      <c r="AO221">
        <v>-0.93845838605722587</v>
      </c>
      <c r="AP221">
        <v>-0.34523377199178124</v>
      </c>
      <c r="AQ221">
        <v>1.0464239828763893E-2</v>
      </c>
      <c r="AR221">
        <v>0.26600000000000001</v>
      </c>
      <c r="AS221">
        <v>0.52</v>
      </c>
      <c r="AT221">
        <v>6.1269999999999998</v>
      </c>
    </row>
    <row r="222" spans="5:46" x14ac:dyDescent="0.25">
      <c r="E222" s="170">
        <f t="shared" si="935"/>
        <v>0.87867819744767062</v>
      </c>
      <c r="F222" s="170">
        <f t="shared" si="935"/>
        <v>0.43135406557259437</v>
      </c>
      <c r="G222" s="170">
        <f t="shared" si="935"/>
        <v>-0.20459299949926549</v>
      </c>
      <c r="H222" s="139"/>
      <c r="I222" s="86"/>
      <c r="J222" s="79">
        <f t="shared" si="936"/>
        <v>6.2169999999999996</v>
      </c>
      <c r="AL222">
        <v>-2.3138156317907166</v>
      </c>
      <c r="AM222">
        <v>2.7187247309430624</v>
      </c>
      <c r="AN222">
        <v>-0.11529231471950852</v>
      </c>
      <c r="AO222">
        <v>-0.80467422430057145</v>
      </c>
      <c r="AP222">
        <v>-0.52186273516254056</v>
      </c>
      <c r="AQ222">
        <v>0.28312307994041352</v>
      </c>
      <c r="AR222">
        <v>0.26600000000000001</v>
      </c>
      <c r="AS222">
        <v>0.52</v>
      </c>
      <c r="AT222">
        <v>6.2140000000000004</v>
      </c>
    </row>
    <row r="223" spans="5:46" x14ac:dyDescent="0.25">
      <c r="E223" s="170">
        <f t="shared" si="935"/>
        <v>0.92553056998050831</v>
      </c>
      <c r="F223" s="170">
        <f t="shared" si="935"/>
        <v>0.36785973624890089</v>
      </c>
      <c r="G223" s="170">
        <f t="shared" si="935"/>
        <v>-8.9846416057874162E-2</v>
      </c>
      <c r="H223" s="139"/>
      <c r="I223" s="86"/>
      <c r="J223" s="79">
        <f t="shared" si="936"/>
        <v>6.22</v>
      </c>
      <c r="AL223">
        <v>-2.8264238040404592</v>
      </c>
      <c r="AM223">
        <v>3.2059491745614088</v>
      </c>
      <c r="AN223">
        <v>-0.45200249924625457</v>
      </c>
      <c r="AO223">
        <v>-0.87867819744767062</v>
      </c>
      <c r="AP223">
        <v>-0.43135406557259437</v>
      </c>
      <c r="AQ223">
        <v>0.20459299949926549</v>
      </c>
      <c r="AR223">
        <v>0.26600000000000001</v>
      </c>
      <c r="AS223">
        <v>0.52</v>
      </c>
      <c r="AT223">
        <v>6.2169999999999996</v>
      </c>
    </row>
    <row r="224" spans="5:46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  <c r="AL224">
        <v>-3.159583052954678</v>
      </c>
      <c r="AM224">
        <v>3.5775457747635531</v>
      </c>
      <c r="AN224">
        <v>-1.0328388977216103</v>
      </c>
      <c r="AO224">
        <v>-0.92553056998050831</v>
      </c>
      <c r="AP224">
        <v>-0.36785973624890089</v>
      </c>
      <c r="AQ224">
        <v>8.9846416057874162E-2</v>
      </c>
      <c r="AR224">
        <v>0.26600000000000001</v>
      </c>
      <c r="AS224">
        <v>0.52</v>
      </c>
      <c r="AT224">
        <v>6.22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6372349E-A1FA-4242-87D2-91F8C398377B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20962CD3-F66E-4C93-B7B2-79C020590FC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10.625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1.1279999999999999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1.212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1.2150000000000001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1.218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1.2210000000000001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2.1110000000000002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2.1139999999999999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2.117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2.1230000000000002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2.1259999999999999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2.2130000000000001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2.2160000000000002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2.2189999999999999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2.222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3.1030000000000002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3.1059999999999999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3.109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3.1120000000000001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3.1150000000000002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3.1179999999999999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3.121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3.1240000000000001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3.1269999999999998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3.214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3.2170000000000001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3.22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4.1100000000000003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4.1130000000000004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4.1159999999999997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4.1189999999999998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4.1219999999999999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4.125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4.1280000000000001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4.2119999999999997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4.2149999999999999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4.218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4.2210000000000001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5.1020000000000003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5.1050000000000004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5.1079999999999997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5.1109999999999998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5.1139999999999999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5.117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5.12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5.1230000000000002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5.1260000000000003</v>
      </c>
      <c r="N219" s="869">
        <f>Assy.Model!K64</f>
        <v>1313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5.2130000000000001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5.2160000000000002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5.2190000000000003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5.2220000000000004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6.109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6.1120000000000001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6.1150000000000002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6.1180000000000003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6.1210000000000004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6.1239999999999997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6.1269999999999998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6.2140000000000004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6.2169999999999996</v>
      </c>
      <c r="N232" s="869">
        <f>Assy.Model!K77</f>
        <v>1313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6.22</v>
      </c>
      <c r="N233" s="869">
        <f>Assy.Model!K78</f>
        <v>1313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2023-03-29T12:40:30Z</dcterms:modified>
</cp:coreProperties>
</file>