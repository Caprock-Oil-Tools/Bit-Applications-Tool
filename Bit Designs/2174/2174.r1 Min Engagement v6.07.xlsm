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74\"/>
    </mc:Choice>
  </mc:AlternateContent>
  <xr:revisionPtr revIDLastSave="0" documentId="13_ncr:1_{CC3B866A-523A-4526-B9E9-74E59ED2F232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R38" i="1"/>
  <c r="IN38" i="1"/>
  <c r="IW38" i="1"/>
  <c r="IK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V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 a="1"/>
  <c r="JA9" i="1" s="1"/>
  <c r="JB10" i="1" a="1"/>
  <c r="JB10" i="1" s="1"/>
  <c r="JA23" i="1" a="1"/>
  <c r="JA23" i="1" s="1"/>
  <c r="IF85" i="1"/>
  <c r="IF129" i="1"/>
  <c r="IF73" i="1"/>
  <c r="IF138" i="1"/>
  <c r="IF10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37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4" i="1"/>
  <c r="IF12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JB15" i="1" l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Q57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IQ19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V49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20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Q38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IQ50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54" i="1" l="1"/>
  <c r="IV50" i="1"/>
  <c r="IV43" i="1"/>
  <c r="IQ49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8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U49" i="1" s="1"/>
  <c r="IE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P57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20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IP50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U43" i="1" l="1"/>
  <c r="IE43" i="1" s="1"/>
  <c r="IP49" i="1"/>
  <c r="IP28" i="1"/>
  <c r="IP54" i="1"/>
  <c r="IU50" i="1"/>
  <c r="IE50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IL16" i="1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46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50" i="1" l="1"/>
  <c r="IL49" i="1"/>
  <c r="IL57" i="1"/>
  <c r="IL38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IT57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Y49" i="1" s="1"/>
  <c r="AK50" i="1"/>
  <c r="AL50" i="1"/>
  <c r="AN50" i="1" s="1"/>
  <c r="IY50" i="1" s="1"/>
  <c r="U50" i="1"/>
  <c r="T50" i="1"/>
  <c r="T49" i="1"/>
  <c r="AK49" i="1"/>
  <c r="AO49" i="1" s="1"/>
  <c r="IX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IT50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IY38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T38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X43" i="1" l="1"/>
  <c r="IF43" i="1" s="1"/>
  <c r="IS49" i="1"/>
  <c r="IF49" i="1"/>
  <c r="IY43" i="1"/>
  <c r="IT49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AP55" i="1"/>
  <c r="AO53" i="1"/>
  <c r="IS57" i="1" s="1"/>
  <c r="AP53" i="1"/>
  <c r="AP54" i="1"/>
  <c r="AO54" i="1"/>
  <c r="IS58" i="1" s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IS50" i="1" s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AO38" i="1"/>
  <c r="IX38" i="1" s="1"/>
  <c r="IF38" i="1" s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IS38" i="1" s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20" i="1" l="1"/>
  <c r="IS54" i="1"/>
  <c r="IX50" i="1"/>
  <c r="IF50" i="1" s="1"/>
  <c r="IT60" i="1"/>
  <c r="IY57" i="1"/>
  <c r="IF57" i="1" s="1"/>
  <c r="IS51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<sst xmlns="http://schemas.openxmlformats.org/spreadsheetml/2006/main" count="734" uniqueCount="391">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</sst>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8.75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4.375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N1" sqref="N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8.75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36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1.111's θ about Z Axis</v>
      </c>
      <c r="U5" s="1136"/>
      <c r="V5" s="1137"/>
      <c r="W5" s="1136" t="str">
        <f>CONCATENATE("Relative to ",M8,"'s θ about Z Axis")</f>
        <v>Relative to 1.111's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1.111's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>Inactive Element</v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1.111</v>
      </c>
      <c r="N8" s="608"/>
      <c r="O8" s="609"/>
      <c r="P8" s="619"/>
      <c r="Q8" s="611">
        <f>IFERROR(INDEX(Q$9:Q$150,MATCH($M$8,$M$9:$M$150,0)),"")</f>
        <v>89.474400075887246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-8.050024278873226E-2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0.34350103599912457</v>
      </c>
      <c r="D9" s="704">
        <v>-0.20130060712263112</v>
      </c>
      <c r="E9" s="705">
        <v>-0.86602544158358574</v>
      </c>
      <c r="F9" s="703">
        <v>-4.3577859391853796E-2</v>
      </c>
      <c r="G9" s="706">
        <v>0.49809728437402601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0.34350103599912457</v>
      </c>
      <c r="P9" s="625">
        <f t="shared" ref="P9:P40" si="4">IF(M9="","",D9)</f>
        <v>-0.20130060712263112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0.34350103599912457</v>
      </c>
      <c r="S9" s="626">
        <f>IF(M9="","",P9)</f>
        <v>-0.20130060712263112</v>
      </c>
      <c r="T9" s="627">
        <f>IF(M9="","",X9*COS(RADIANS(W9)))</f>
        <v>0.3434865829215773</v>
      </c>
      <c r="U9" s="624">
        <f>IF(M9="","",X9*SIN(RADIANS(W9)))</f>
        <v>3.1510451171476886E-3</v>
      </c>
      <c r="V9" s="628">
        <f>IF(M9="","",Y9)</f>
        <v>-0.20130060712263112</v>
      </c>
      <c r="W9" s="583">
        <f t="shared" ref="W9:W14" si="5">IF(M9="","",IF(Q9-$Q$8&lt;0,360+Q9-$Q$8,Q9-$Q$8))</f>
        <v>0.52559992411275402</v>
      </c>
      <c r="X9" s="629">
        <f>IF(M9="","",R9)</f>
        <v>0.34350103599912457</v>
      </c>
      <c r="Y9" s="630">
        <f>IF(M9="","",S9)</f>
        <v>-0.20130060712263112</v>
      </c>
      <c r="Z9" s="623">
        <f t="shared" ref="Z9:Z40" si="6">IF(M9="","",-E9)</f>
        <v>0.86602544158358574</v>
      </c>
      <c r="AA9" s="624">
        <f t="shared" ref="AA9:AA40" si="7">IF(M9="","",-F9)</f>
        <v>4.3577859391853796E-2</v>
      </c>
      <c r="AB9" s="624">
        <f t="shared" ref="AB9:AB40" si="8">IF(M9="","",-G9)</f>
        <v>-0.49809728437402601</v>
      </c>
      <c r="AC9" s="628">
        <f>IF(M9="","",SQRT(Z9^2+AA9^2+AB9^2))</f>
        <v>1</v>
      </c>
      <c r="AD9" s="631">
        <f>IF(M9="","",Z9*(1/SQRT(Z9^2+AA9^2+AB9^2)))</f>
        <v>0.86602544158358574</v>
      </c>
      <c r="AE9" s="624">
        <f>IF(M9="","",AA9*(1/SQRT(Z9^2+AA9^2+AB9^2)))</f>
        <v>4.3577859391853796E-2</v>
      </c>
      <c r="AF9" s="625">
        <f>IF(M9="","",AB9*(1/SQRT(Z9^2+AA9^2+AB9^2)))</f>
        <v>-0.49809728437402601</v>
      </c>
      <c r="AG9" s="599">
        <f>IF(M9="","",DEGREES(ATAN2(-AF9,AE9)))</f>
        <v>4.9999992780894225</v>
      </c>
      <c r="AH9" s="600">
        <f>IF(M9="","",DEGREES(ACOS(AD9)))</f>
        <v>29.99999566853651</v>
      </c>
      <c r="AI9" s="583">
        <f>IF(M9="","",DEGREES(-ACOS(-AF9)))</f>
        <v>-60.125803014995498</v>
      </c>
      <c r="AJ9" s="601">
        <f>IF(M9="","",DEGREES(ATAN2(-AE9,AD9)))</f>
        <v>92.880658170166853</v>
      </c>
      <c r="AK9" s="627">
        <f>IF(M9="","",(COS(RADIANS((90-$Q$8)-W9))*AD9)+(-SIN(RADIANS((90-$Q$8)-W9))*AE9))</f>
        <v>0.86602544158358574</v>
      </c>
      <c r="AL9" s="624">
        <f>IF(M9="","",(SIN(RADIANS((90-$Q$8)-W9))*AD9)+(COS(RADIANS((90-$Q$8)-W9))*AE9))</f>
        <v>4.3577859391853796E-2</v>
      </c>
      <c r="AM9" s="626">
        <f>IF(M9="","",AF9)</f>
        <v>-0.49809728437402601</v>
      </c>
      <c r="AN9" s="581">
        <f>IF(M9="","",DEGREES(ATAN2(-AM9,AL9)))</f>
        <v>4.9999992780894225</v>
      </c>
      <c r="AO9" s="582">
        <f>IF(ROUND(IF(M9="",0,DEGREES(ACOS(AK9))),4)=90,0,IF(M9="","",DEGREES(ACOS(AK9))))</f>
        <v>29.99999566853651</v>
      </c>
      <c r="AP9" s="781">
        <f>IF(M9="","",DEGREES(ATAN2(AK9,AL9)))</f>
        <v>2.8806581701668588</v>
      </c>
      <c r="AQ9" s="584">
        <f t="shared" ref="AQ9:AQ40" si="9">IF(M9="","",DEGREES(ATAN(($AS$5*SIN(RADIANS(90)))/(($X9*2*PI())-($AS$5*COS(RADIANS(90)))))))</f>
        <v>6.6072931178142698</v>
      </c>
      <c r="AS9" s="51">
        <f>IF(M9="","",W9)</f>
        <v>0.52559992411275402</v>
      </c>
      <c r="AT9" s="71">
        <f t="shared" ref="AT9:AT40" si="10">IF(M9="","",Y9+(((AS9-$AS$9)*$AS$6)*-1))</f>
        <v>-0.20130060712263112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26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7.2564712331706995E-17</v>
      </c>
      <c r="C10" s="708">
        <v>1.1103033486748999</v>
      </c>
      <c r="D10" s="709">
        <v>-0.15730047441823086</v>
      </c>
      <c r="E10" s="710">
        <v>-0.93969263802333458</v>
      </c>
      <c r="F10" s="708">
        <v>-2.9809011205603912E-2</v>
      </c>
      <c r="G10" s="711">
        <v>0.34071860661796938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7.2564712331706995E-17</v>
      </c>
      <c r="O10" s="629">
        <f t="shared" si="3"/>
        <v>1.1103033486748999</v>
      </c>
      <c r="P10" s="633">
        <f t="shared" si="4"/>
        <v>-0.15730047441823086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1.1103033486748999</v>
      </c>
      <c r="S10" s="634">
        <f t="shared" ref="S10:S105" si="80">IF(M10="","",P10)</f>
        <v>-0.15730047441823086</v>
      </c>
      <c r="T10" s="635">
        <f t="shared" ref="T10:T105" si="81">IF(M10="","",X10*COS(RADIANS(W10)))</f>
        <v>1.1102566317840681</v>
      </c>
      <c r="U10" s="629">
        <f t="shared" ref="U10:U105" si="82">IF(M10="","",X10*SIN(RADIANS(W10)))</f>
        <v>1.0185168540230216E-2</v>
      </c>
      <c r="V10" s="636">
        <f>IF(M10="","",Y10)</f>
        <v>-0.15730047441823086</v>
      </c>
      <c r="W10" s="585">
        <f t="shared" si="5"/>
        <v>0.52559992411275402</v>
      </c>
      <c r="X10" s="629">
        <f t="shared" ref="X10:X105" si="83">IF(M10="","",R10)</f>
        <v>1.1103033486748999</v>
      </c>
      <c r="Y10" s="630">
        <f>IF(M10="","",S10)</f>
        <v>-0.15730047441823086</v>
      </c>
      <c r="Z10" s="632">
        <f t="shared" si="6"/>
        <v>0.93969263802333458</v>
      </c>
      <c r="AA10" s="629">
        <f t="shared" si="7"/>
        <v>2.9809011205603912E-2</v>
      </c>
      <c r="AB10" s="629">
        <f t="shared" si="8"/>
        <v>-0.34071860661796938</v>
      </c>
      <c r="AC10" s="636">
        <f t="shared" ref="AC10:AC105" si="84">IF(M10="","",SQRT(Z10^2+AA10^2+AB10^2))</f>
        <v>1</v>
      </c>
      <c r="AD10" s="637">
        <f>IF(M10="","",Z10*(1/SQRT(Z10^2+AA10^2+AB10^2)))</f>
        <v>0.93969263802333458</v>
      </c>
      <c r="AE10" s="629">
        <f t="shared" ref="AE10:AE105" si="85">IF(M10="","",AA10*(1/SQRT(Z10^2+AA10^2+AB10^2)))</f>
        <v>2.9809011205603912E-2</v>
      </c>
      <c r="AF10" s="633">
        <f t="shared" ref="AF10:AF105" si="86">IF(M10="","",AB10*(1/SQRT(Z10^2+AA10^2+AB10^2)))</f>
        <v>-0.34071860661796938</v>
      </c>
      <c r="AG10" s="602">
        <f t="shared" ref="AG10:AG105" si="87">IF(M10="","",DEGREES(ATAN2(-AF10,AE10)))</f>
        <v>4.9999992780894233</v>
      </c>
      <c r="AH10" s="603">
        <f t="shared" ref="AH10:AH105" si="88">IF(M10="","",DEGREES(ACOS(AD10)))</f>
        <v>19.999997112357679</v>
      </c>
      <c r="AI10" s="585">
        <f t="shared" ref="AI10:AI105" si="89">IF(M10="","",DEGREES(-ACOS(-AF10)))</f>
        <v>-70.079338493247803</v>
      </c>
      <c r="AJ10" s="586">
        <f t="shared" ref="AJ10:AJ105" si="90">IF(M10="","",DEGREES(ATAN2(-AE10,AD10)))</f>
        <v>91.816932386741939</v>
      </c>
      <c r="AK10" s="635">
        <f>IF(M10="","",(COS(RADIANS((90-$Q$8)-W10))*AD10)+(-SIN(RADIANS((90-$Q$8)-W10))*AE10))</f>
        <v>0.93969263802333458</v>
      </c>
      <c r="AL10" s="629">
        <f t="shared" ref="AL10:AL105" si="91">IF(M10="","",(SIN(RADIANS((90-$Q$8)-W10))*AD10)+(COS(RADIANS((90-$Q$8)-W10))*AE10))</f>
        <v>2.9809011205603912E-2</v>
      </c>
      <c r="AM10" s="634">
        <f t="shared" ref="AM10:AM105" si="92">IF(M10="","",AF10)</f>
        <v>-0.34071860661796938</v>
      </c>
      <c r="AN10" s="581">
        <f t="shared" ref="AN10:AN105" si="93">IF(M10="","",DEGREES(ATAN2(-AM10,AL10)))</f>
        <v>4.9999992780894233</v>
      </c>
      <c r="AO10" s="582">
        <f t="shared" ref="AO10:AO54" si="94">IF(ROUND(IF(M10="",0,DEGREES(ACOS(AK10))),4)=90,0,IF(M10="","",DEGREES(ACOS(AK10))))</f>
        <v>19.999997112357679</v>
      </c>
      <c r="AP10" s="585">
        <f t="shared" ref="AP10:AP105" si="95">IF(M10="","",DEGREES(ATAN2(AK10,AL10)))</f>
        <v>1.8169323867419496</v>
      </c>
      <c r="AQ10" s="586">
        <f t="shared" si="9"/>
        <v>2.0523683921617635</v>
      </c>
      <c r="AS10" s="52">
        <f>IF($M10="","",IF(AND($W10&lt;($AS$9+180),$W10&gt;($AS$9-180)),$W10,IF($W10&gt;($AS$9+180),$W10-360,IF($W10&lt;($AS$9-180),$W10+360,"Error"))))</f>
        <v>0.52559992411275402</v>
      </c>
      <c r="AT10" s="72">
        <f t="shared" si="10"/>
        <v>-0.15730047441823086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10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8.963876229210864E-17</v>
      </c>
      <c r="C11" s="708">
        <v>1.8754056562234589</v>
      </c>
      <c r="D11" s="709">
        <v>-9.0300272345621463E-2</v>
      </c>
      <c r="E11" s="710">
        <v>-0.93969263802333458</v>
      </c>
      <c r="F11" s="708">
        <v>-2.9809011205603902E-2</v>
      </c>
      <c r="G11" s="711">
        <v>0.34071860661796938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8.963876229210864E-17</v>
      </c>
      <c r="O11" s="629">
        <f t="shared" si="3"/>
        <v>1.8754056562234589</v>
      </c>
      <c r="P11" s="633">
        <f t="shared" si="4"/>
        <v>-9.0300272345621463E-2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1.8754056562234589</v>
      </c>
      <c r="S11" s="634">
        <f t="shared" si="80"/>
        <v>-9.0300272345621463E-2</v>
      </c>
      <c r="T11" s="635">
        <f t="shared" si="81"/>
        <v>1.8753267470484016</v>
      </c>
      <c r="U11" s="629">
        <f t="shared" si="82"/>
        <v>1.7203697271321032E-2</v>
      </c>
      <c r="V11" s="636">
        <f t="shared" ref="V11:V105" si="114">IF(M11="","",Y11)</f>
        <v>-9.0300272345621463E-2</v>
      </c>
      <c r="W11" s="585">
        <f t="shared" si="5"/>
        <v>0.52559992411275402</v>
      </c>
      <c r="X11" s="629">
        <f>IF(M11="","",R11)</f>
        <v>1.8754056562234589</v>
      </c>
      <c r="Y11" s="630">
        <f>IF(M11="","",S11)</f>
        <v>-9.0300272345621463E-2</v>
      </c>
      <c r="Z11" s="632">
        <f t="shared" si="6"/>
        <v>0.93969263802333458</v>
      </c>
      <c r="AA11" s="629">
        <f t="shared" si="7"/>
        <v>2.9809011205603902E-2</v>
      </c>
      <c r="AB11" s="629">
        <f t="shared" si="8"/>
        <v>-0.34071860661796938</v>
      </c>
      <c r="AC11" s="636">
        <f t="shared" si="84"/>
        <v>1</v>
      </c>
      <c r="AD11" s="637">
        <f t="shared" ref="AD11:AD105" si="115">IF(M11="","",Z11*(1/SQRT(Z11^2+AA11^2+AB11^2)))</f>
        <v>0.93969263802333458</v>
      </c>
      <c r="AE11" s="629">
        <f t="shared" si="85"/>
        <v>2.9809011205603902E-2</v>
      </c>
      <c r="AF11" s="633">
        <f t="shared" si="86"/>
        <v>-0.34071860661796938</v>
      </c>
      <c r="AG11" s="602">
        <f>IF(M11="","",DEGREES(ATAN2(-AF11,AE11)))</f>
        <v>4.9999992780894216</v>
      </c>
      <c r="AH11" s="603">
        <f t="shared" si="88"/>
        <v>19.999997112357679</v>
      </c>
      <c r="AI11" s="585">
        <f t="shared" si="89"/>
        <v>-70.079338493247803</v>
      </c>
      <c r="AJ11" s="586">
        <f t="shared" si="90"/>
        <v>91.816932386741939</v>
      </c>
      <c r="AK11" s="635">
        <f>IF(M11="","",(COS(RADIANS((90-$Q$8)-W11))*AD11)+(-SIN(RADIANS((90-$Q$8)-W11))*AE11))</f>
        <v>0.93969263802333458</v>
      </c>
      <c r="AL11" s="629">
        <f t="shared" si="91"/>
        <v>2.9809011205603902E-2</v>
      </c>
      <c r="AM11" s="634">
        <f t="shared" si="92"/>
        <v>-0.34071860661796938</v>
      </c>
      <c r="AN11" s="581">
        <f>IF(M11="","",DEGREES(ATAN2(-AM11,AL11)))</f>
        <v>4.9999992780894216</v>
      </c>
      <c r="AO11" s="582">
        <f>IF(ROUND(IF(M11="",0,DEGREES(ACOS(AK11))),4)=90,0,IF(M11="","",DEGREES(ACOS(AK11))))</f>
        <v>19.999997112357679</v>
      </c>
      <c r="AP11" s="585">
        <f t="shared" si="95"/>
        <v>1.8169323867419493</v>
      </c>
      <c r="AQ11" s="586">
        <f t="shared" si="9"/>
        <v>1.215408871862381</v>
      </c>
      <c r="AS11" s="52">
        <f t="shared" ref="AS11:AS42" si="116">IF(G11="","",IF(AND(W11&lt;(AS10+180),W11&gt;(AS10-180)),W11,IF(W11&gt;(AS10+180),W11-360,IF(W11&lt;(AS10-180),W11+360,"Error"))))</f>
        <v>0.52559992411275402</v>
      </c>
      <c r="AT11" s="72">
        <f t="shared" si="10"/>
        <v>-9.0300272345621463E-2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2.4586407927159666E-2</v>
      </c>
      <c r="C12" s="708">
        <v>2.6800953116343851</v>
      </c>
      <c r="D12" s="709">
        <v>-8.050024278873226E-2</v>
      </c>
      <c r="E12" s="710">
        <v>-0.93753720940127794</v>
      </c>
      <c r="F12" s="708">
        <v>9.6748212868361411E-2</v>
      </c>
      <c r="G12" s="711">
        <v>0.33416128485335156</v>
      </c>
      <c r="H12" s="710">
        <v>0.314</v>
      </c>
      <c r="I12" s="708">
        <v>0.52</v>
      </c>
      <c r="J12" s="570">
        <v>1.111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1.111</v>
      </c>
      <c r="N12" s="632">
        <f t="shared" si="2"/>
        <v>2.4586407927159666E-2</v>
      </c>
      <c r="O12" s="629">
        <f t="shared" si="3"/>
        <v>2.6800953116343851</v>
      </c>
      <c r="P12" s="633">
        <f t="shared" si="4"/>
        <v>-8.050024278873226E-2</v>
      </c>
      <c r="Q12" s="585">
        <f>IF(M12="","",IF(DEGREES(ATAN2(N12,O12))&lt;0,DEGREES(ATAN2(N12,O12))+360,IF(DEGREES(ATAN2(N12,O12))&gt;360,DEGREES(ATAN2(N12,O12))-360,DEGREES(ATAN2(N12,O12)))))</f>
        <v>89.474400075887246</v>
      </c>
      <c r="R12" s="629">
        <f t="shared" si="79"/>
        <v>2.6802080835075794</v>
      </c>
      <c r="S12" s="634">
        <f t="shared" si="80"/>
        <v>-8.050024278873226E-2</v>
      </c>
      <c r="T12" s="635">
        <f>IF(M12="","",X12*COS(RADIANS(W12)))</f>
        <v>2.6802080835075794</v>
      </c>
      <c r="U12" s="629">
        <f t="shared" si="82"/>
        <v>0</v>
      </c>
      <c r="V12" s="636">
        <f t="shared" si="114"/>
        <v>-8.050024278873226E-2</v>
      </c>
      <c r="W12" s="585">
        <f>IF(M12="","",IF(Q12-$Q$8&lt;0,360+Q12-$Q$8,Q12-$Q$8))</f>
        <v>0</v>
      </c>
      <c r="X12" s="629">
        <f t="shared" si="83"/>
        <v>2.6802080835075794</v>
      </c>
      <c r="Y12" s="630">
        <f>IF(M12="","",S12)</f>
        <v>-8.050024278873226E-2</v>
      </c>
      <c r="Z12" s="632">
        <f t="shared" si="6"/>
        <v>0.93753720940127794</v>
      </c>
      <c r="AA12" s="629">
        <f t="shared" si="7"/>
        <v>-9.6748212868361411E-2</v>
      </c>
      <c r="AB12" s="629">
        <f t="shared" si="8"/>
        <v>-0.33416128485335156</v>
      </c>
      <c r="AC12" s="636">
        <f t="shared" si="84"/>
        <v>1</v>
      </c>
      <c r="AD12" s="637">
        <f t="shared" si="115"/>
        <v>0.93753720940127794</v>
      </c>
      <c r="AE12" s="629">
        <f t="shared" si="85"/>
        <v>-9.6748212868361411E-2</v>
      </c>
      <c r="AF12" s="633">
        <f t="shared" si="86"/>
        <v>-0.33416128485335156</v>
      </c>
      <c r="AG12" s="602">
        <f t="shared" si="87"/>
        <v>-16.147077996658105</v>
      </c>
      <c r="AH12" s="603">
        <f t="shared" si="88"/>
        <v>20.358007395221424</v>
      </c>
      <c r="AI12" s="585">
        <f t="shared" si="89"/>
        <v>-70.478455812835321</v>
      </c>
      <c r="AJ12" s="586">
        <f t="shared" si="90"/>
        <v>84.108274051535773</v>
      </c>
      <c r="AK12" s="635">
        <f t="shared" ref="AK12:AK105" si="211">IF(M12="","",(COS(RADIANS((90-$Q$8)-W12))*AD12)+(-SIN(RADIANS((90-$Q$8)-W12))*AE12))</f>
        <v>0.93838526415288404</v>
      </c>
      <c r="AL12" s="629">
        <f>IF(M12="","",(SIN(RADIANS((90-$Q$8)-W12))*AD12)+(COS(RADIANS((90-$Q$8)-W12))*AE12))</f>
        <v>-8.8143812748709818E-2</v>
      </c>
      <c r="AM12" s="634">
        <f t="shared" si="92"/>
        <v>-0.33416128485335156</v>
      </c>
      <c r="AN12" s="581">
        <f>IF(M12="","",DEGREES(ATAN2(-AM12,AL12)))</f>
        <v>-14.776692646140621</v>
      </c>
      <c r="AO12" s="582">
        <f t="shared" si="94"/>
        <v>20.217872949488047</v>
      </c>
      <c r="AP12" s="585">
        <f t="shared" si="95"/>
        <v>-5.3661260243514812</v>
      </c>
      <c r="AQ12" s="586">
        <f t="shared" si="9"/>
        <v>0.85051574731517909</v>
      </c>
      <c r="AS12" s="52">
        <f t="shared" si="116"/>
        <v>0</v>
      </c>
      <c r="AT12" s="72">
        <f>IF(M12="","",Y12+(((AS12-$AS$9)*$AS$6)*-1))</f>
        <v>-8.0135242841431739E-2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7.7573208556105805E-2</v>
      </c>
      <c r="C13" s="708">
        <v>3.4047266729413876</v>
      </c>
      <c r="D13" s="709">
        <v>-0.40130121032445004</v>
      </c>
      <c r="E13" s="710">
        <v>-0.93002384951953188</v>
      </c>
      <c r="F13" s="708">
        <v>0.25414552480302521</v>
      </c>
      <c r="G13" s="711">
        <v>0.26545374653122911</v>
      </c>
      <c r="H13" s="710">
        <v>0.314</v>
      </c>
      <c r="I13" s="708">
        <v>0.52</v>
      </c>
      <c r="J13" s="570">
        <v>1.1160000000000001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140</v>
      </c>
      <c r="M13" s="168">
        <f t="shared" si="1"/>
        <v>1.1160000000000001</v>
      </c>
      <c r="N13" s="632">
        <f t="shared" si="2"/>
        <v>7.7573208556105805E-2</v>
      </c>
      <c r="O13" s="629">
        <f t="shared" si="3"/>
        <v>3.4047266729413876</v>
      </c>
      <c r="P13" s="633">
        <f t="shared" si="4"/>
        <v>-0.40130121032445004</v>
      </c>
      <c r="Q13" s="585">
        <f t="shared" si="113"/>
        <v>88.69480018844753</v>
      </c>
      <c r="R13" s="629">
        <f t="shared" si="79"/>
        <v>3.4056102713205778</v>
      </c>
      <c r="S13" s="634">
        <f t="shared" si="80"/>
        <v>-0.40130121032445004</v>
      </c>
      <c r="T13" s="635">
        <f>IF(M13="","",X13*COS(RADIANS(W13)))</f>
        <v>3.4052950202852115</v>
      </c>
      <c r="U13" s="629">
        <f t="shared" si="82"/>
        <v>-4.6337295399735204E-2</v>
      </c>
      <c r="V13" s="636">
        <f t="shared" si="114"/>
        <v>-0.40130121032445004</v>
      </c>
      <c r="W13" s="585">
        <f t="shared" si="5"/>
        <v>359.22040011256024</v>
      </c>
      <c r="X13" s="629">
        <f t="shared" si="83"/>
        <v>3.4056102713205778</v>
      </c>
      <c r="Y13" s="630">
        <f>IF(M13="","",S13)</f>
        <v>-0.40130121032445004</v>
      </c>
      <c r="Z13" s="632">
        <f t="shared" si="6"/>
        <v>0.93002384951953188</v>
      </c>
      <c r="AA13" s="629">
        <f t="shared" si="7"/>
        <v>-0.25414552480302521</v>
      </c>
      <c r="AB13" s="629">
        <f t="shared" si="8"/>
        <v>-0.26545374653122911</v>
      </c>
      <c r="AC13" s="636">
        <f t="shared" si="84"/>
        <v>1</v>
      </c>
      <c r="AD13" s="637">
        <f>IF(M13="","",Z13*(1/SQRT(Z13^2+AA13^2+AB13^2)))</f>
        <v>0.93002384951953188</v>
      </c>
      <c r="AE13" s="629">
        <f t="shared" si="85"/>
        <v>-0.25414552480302521</v>
      </c>
      <c r="AF13" s="633">
        <f t="shared" si="86"/>
        <v>-0.26545374653122911</v>
      </c>
      <c r="AG13" s="602">
        <f>IF(M13="","",DEGREES(ATAN2(-AF13,AE13)))</f>
        <v>-43.753248608480085</v>
      </c>
      <c r="AH13" s="603">
        <f t="shared" si="88"/>
        <v>21.561467007866764</v>
      </c>
      <c r="AI13" s="585">
        <f t="shared" si="89"/>
        <v>-74.606083773360893</v>
      </c>
      <c r="AJ13" s="586">
        <f t="shared" si="90"/>
        <v>74.716062060598674</v>
      </c>
      <c r="AK13" s="635">
        <f t="shared" si="211"/>
        <v>0.93557149435493947</v>
      </c>
      <c r="AL13" s="629">
        <f t="shared" si="91"/>
        <v>-0.23289544307048926</v>
      </c>
      <c r="AM13" s="634">
        <f t="shared" si="92"/>
        <v>-0.26545374653122911</v>
      </c>
      <c r="AN13" s="581">
        <f t="shared" si="93"/>
        <v>-41.262046612584854</v>
      </c>
      <c r="AO13" s="582">
        <f t="shared" si="94"/>
        <v>20.679329193168499</v>
      </c>
      <c r="AP13" s="585">
        <f t="shared" si="95"/>
        <v>-13.978738127848844</v>
      </c>
      <c r="AQ13" s="586">
        <f t="shared" si="9"/>
        <v>0.66937280892748019</v>
      </c>
      <c r="AS13" s="52">
        <f t="shared" si="116"/>
        <v>-0.77959988743975828</v>
      </c>
      <c r="AT13" s="72">
        <f t="shared" si="10"/>
        <v>-0.40039482156642747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1.1160000000000001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0.13177634437723443</v>
      </c>
      <c r="C14" s="708">
        <v>3.9050890356024817</v>
      </c>
      <c r="D14" s="709">
        <v>-1.0138030576300214</v>
      </c>
      <c r="E14" s="710">
        <v>-0.92107955675785325</v>
      </c>
      <c r="F14" s="708">
        <v>0.35984345565690035</v>
      </c>
      <c r="G14" s="711">
        <v>0.14874521015366157</v>
      </c>
      <c r="H14" s="710">
        <v>0.314</v>
      </c>
      <c r="I14" s="708">
        <v>0.52</v>
      </c>
      <c r="J14" s="570">
        <v>1.121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1.121</v>
      </c>
      <c r="N14" s="632">
        <f t="shared" si="2"/>
        <v>0.13177634437723443</v>
      </c>
      <c r="O14" s="629">
        <f t="shared" si="3"/>
        <v>3.9050890356024817</v>
      </c>
      <c r="P14" s="633">
        <f t="shared" si="4"/>
        <v>-1.0138030576300214</v>
      </c>
      <c r="Q14" s="585">
        <f t="shared" si="113"/>
        <v>88.067300279047316</v>
      </c>
      <c r="R14" s="629">
        <f t="shared" si="79"/>
        <v>3.9073117844523426</v>
      </c>
      <c r="S14" s="634">
        <f t="shared" si="80"/>
        <v>-1.0138030576300214</v>
      </c>
      <c r="T14" s="635">
        <f t="shared" si="81"/>
        <v>3.9061335525449161</v>
      </c>
      <c r="U14" s="629">
        <f t="shared" si="82"/>
        <v>-9.5948166230435228E-2</v>
      </c>
      <c r="V14" s="636">
        <f t="shared" si="114"/>
        <v>-1.0138030576300214</v>
      </c>
      <c r="W14" s="585">
        <f t="shared" si="5"/>
        <v>358.59290020316007</v>
      </c>
      <c r="X14" s="629">
        <f t="shared" si="83"/>
        <v>3.9073117844523426</v>
      </c>
      <c r="Y14" s="630">
        <f t="shared" ref="Y14:Y75" si="223">IF(M14="","",S14)</f>
        <v>-1.0138030576300214</v>
      </c>
      <c r="Z14" s="632">
        <f t="shared" si="6"/>
        <v>0.92107955675785325</v>
      </c>
      <c r="AA14" s="629">
        <f t="shared" si="7"/>
        <v>-0.35984345565690035</v>
      </c>
      <c r="AB14" s="629">
        <f t="shared" si="8"/>
        <v>-0.14874521015366157</v>
      </c>
      <c r="AC14" s="636">
        <f t="shared" si="84"/>
        <v>1</v>
      </c>
      <c r="AD14" s="637">
        <f>IF(M14="","",Z14*(1/SQRT(Z14^2+AA14^2+AB14^2)))</f>
        <v>0.92107955675785325</v>
      </c>
      <c r="AE14" s="629">
        <f t="shared" si="85"/>
        <v>-0.35984345565690035</v>
      </c>
      <c r="AF14" s="633">
        <f t="shared" si="86"/>
        <v>-0.14874521015366157</v>
      </c>
      <c r="AG14" s="602">
        <f t="shared" si="87"/>
        <v>-67.541712643237844</v>
      </c>
      <c r="AH14" s="603">
        <f t="shared" si="88"/>
        <v>22.915580481708901</v>
      </c>
      <c r="AI14" s="585">
        <f t="shared" si="89"/>
        <v>-81.445783342742388</v>
      </c>
      <c r="AJ14" s="586">
        <f t="shared" si="90"/>
        <v>68.660617454808119</v>
      </c>
      <c r="AK14" s="635">
        <f>IF(M14="","",(COS(RADIANS((90-$Q$8)-W14))*AD14)+(-SIN(RADIANS((90-$Q$8)-W14))*AE14))</f>
        <v>0.93269151124524841</v>
      </c>
      <c r="AL14" s="629">
        <f t="shared" si="91"/>
        <v>-0.32857481234476493</v>
      </c>
      <c r="AM14" s="634">
        <f t="shared" si="92"/>
        <v>-0.14874521015366157</v>
      </c>
      <c r="AN14" s="581">
        <f t="shared" si="93"/>
        <v>-65.643825164155501</v>
      </c>
      <c r="AO14" s="582">
        <f t="shared" si="94"/>
        <v>21.141663464210119</v>
      </c>
      <c r="AP14" s="585">
        <f>IF(M14="","",DEGREES(ATAN2(AK14,AL14)))</f>
        <v>-19.406682824239208</v>
      </c>
      <c r="AQ14" s="586">
        <f t="shared" si="9"/>
        <v>0.58343125983095934</v>
      </c>
      <c r="AS14" s="52">
        <f t="shared" si="116"/>
        <v>-1.4070997968399297</v>
      </c>
      <c r="AT14" s="72">
        <f t="shared" si="10"/>
        <v>-1.0124609050460265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0.1532672407298214</v>
      </c>
      <c r="C15" s="708">
        <v>4.0734298904512576</v>
      </c>
      <c r="D15" s="709">
        <v>-1.7543052909847572</v>
      </c>
      <c r="E15" s="710">
        <v>-0.88145486700289954</v>
      </c>
      <c r="F15" s="708">
        <v>0.4686926813547822</v>
      </c>
      <c r="G15" s="711">
        <v>5.8004205721356936E-2</v>
      </c>
      <c r="H15" s="710">
        <v>0.314</v>
      </c>
      <c r="I15" s="708">
        <v>0.52</v>
      </c>
      <c r="J15" s="570">
        <v>1.1259999999999999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120</v>
      </c>
      <c r="M15" s="168">
        <f t="shared" si="1"/>
        <v>1.1259999999999999</v>
      </c>
      <c r="N15" s="632">
        <f t="shared" si="2"/>
        <v>0.1532672407298214</v>
      </c>
      <c r="O15" s="629">
        <f t="shared" si="3"/>
        <v>4.0734298904512576</v>
      </c>
      <c r="P15" s="633">
        <f t="shared" si="4"/>
        <v>-1.7543052909847572</v>
      </c>
      <c r="Q15" s="585">
        <f t="shared" si="113"/>
        <v>87.845200311114581</v>
      </c>
      <c r="R15" s="629">
        <f t="shared" si="79"/>
        <v>4.07631229415788</v>
      </c>
      <c r="S15" s="634">
        <f t="shared" si="80"/>
        <v>-1.7543052909847572</v>
      </c>
      <c r="T15" s="635">
        <f t="shared" si="81"/>
        <v>4.0746644672006314</v>
      </c>
      <c r="U15" s="629">
        <f t="shared" si="82"/>
        <v>-0.11589391371109958</v>
      </c>
      <c r="V15" s="636">
        <f t="shared" si="114"/>
        <v>-1.7543052909847572</v>
      </c>
      <c r="W15" s="585">
        <f t="shared" ref="W15:W78" si="224">IF(M15="","",IF(Q15-$Q$8&lt;0,360+Q15-$Q$8,Q15-$Q$8))</f>
        <v>358.37080023522731</v>
      </c>
      <c r="X15" s="629">
        <f>IF(M15="","",R15)</f>
        <v>4.07631229415788</v>
      </c>
      <c r="Y15" s="630">
        <f>IF(M15="","",S15)</f>
        <v>-1.7543052909847572</v>
      </c>
      <c r="Z15" s="632">
        <f t="shared" si="6"/>
        <v>0.88145486700289954</v>
      </c>
      <c r="AA15" s="629">
        <f t="shared" si="7"/>
        <v>-0.4686926813547822</v>
      </c>
      <c r="AB15" s="629">
        <f t="shared" si="8"/>
        <v>-5.8004205721356936E-2</v>
      </c>
      <c r="AC15" s="636">
        <f t="shared" si="84"/>
        <v>1</v>
      </c>
      <c r="AD15" s="637">
        <f t="shared" si="115"/>
        <v>0.88145486700289954</v>
      </c>
      <c r="AE15" s="629">
        <f t="shared" si="85"/>
        <v>-0.4686926813547822</v>
      </c>
      <c r="AF15" s="633">
        <f t="shared" si="86"/>
        <v>-5.8004205721356936E-2</v>
      </c>
      <c r="AG15" s="602">
        <f t="shared" si="87"/>
        <v>-82.945092578583129</v>
      </c>
      <c r="AH15" s="603">
        <f t="shared" si="88"/>
        <v>28.181635770413997</v>
      </c>
      <c r="AI15" s="585">
        <f t="shared" si="89"/>
        <v>-86.674737403289484</v>
      </c>
      <c r="AJ15" s="586">
        <f t="shared" si="90"/>
        <v>61.999249258179837</v>
      </c>
      <c r="AK15" s="635">
        <f t="shared" si="211"/>
        <v>0.89845418409274869</v>
      </c>
      <c r="AL15" s="629">
        <f t="shared" si="91"/>
        <v>-0.43521901521517642</v>
      </c>
      <c r="AM15" s="634">
        <f t="shared" si="92"/>
        <v>-5.8004205721356936E-2</v>
      </c>
      <c r="AN15" s="581">
        <f>IF(M15="","",DEGREES(ATAN2(-AM15,AL15)))</f>
        <v>-82.40858989364024</v>
      </c>
      <c r="AO15" s="582">
        <f t="shared" si="94"/>
        <v>26.0443852660351</v>
      </c>
      <c r="AP15" s="585">
        <f t="shared" si="95"/>
        <v>-25.845951052934712</v>
      </c>
      <c r="AQ15" s="586">
        <f t="shared" si="9"/>
        <v>0.55924425563980218</v>
      </c>
      <c r="AS15" s="52">
        <f t="shared" si="116"/>
        <v>-1.629199764772693</v>
      </c>
      <c r="AT15" s="72">
        <f t="shared" si="10"/>
        <v>-1.75280890231192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1.1259999999999999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36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0.16521796698588057</v>
      </c>
      <c r="C16" s="708">
        <v>4.1619344915999381</v>
      </c>
      <c r="D16" s="709">
        <v>-2.3982072329930153</v>
      </c>
      <c r="E16" s="710">
        <v>-0.78814852919696077</v>
      </c>
      <c r="F16" s="708">
        <v>0.60434855672005183</v>
      </c>
      <c r="G16" s="711">
        <v>0.11655349808160206</v>
      </c>
      <c r="H16" s="710">
        <v>0.26600000000000001</v>
      </c>
      <c r="I16" s="708">
        <v>0.52</v>
      </c>
      <c r="J16" s="570">
        <v>1.131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1313</v>
      </c>
      <c r="L16" s="320"/>
      <c r="M16" s="168">
        <f t="shared" si="1"/>
        <v>1.131</v>
      </c>
      <c r="N16" s="632">
        <f t="shared" si="2"/>
        <v>0.16521796698588057</v>
      </c>
      <c r="O16" s="629">
        <f t="shared" si="3"/>
        <v>4.1619344915999381</v>
      </c>
      <c r="P16" s="633">
        <f t="shared" si="4"/>
        <v>-2.3982072329930153</v>
      </c>
      <c r="Q16" s="585">
        <f>IF(M16="","",IF(DEGREES(ATAN2(N16,O16))&lt;0,DEGREES(ATAN2(N16,O16))+360,IF(DEGREES(ATAN2(N16,O16))&gt;360,DEGREES(ATAN2(N16,O16))-360,DEGREES(ATAN2(N16,O16)))))</f>
        <v>87.72670032822387</v>
      </c>
      <c r="R16" s="629">
        <f t="shared" si="79"/>
        <v>4.1652125622810878</v>
      </c>
      <c r="S16" s="634">
        <f t="shared" si="80"/>
        <v>-2.3982072329930153</v>
      </c>
      <c r="T16" s="635">
        <f t="shared" si="81"/>
        <v>4.163274972291191</v>
      </c>
      <c r="U16" s="629">
        <f t="shared" si="82"/>
        <v>-0.12703225605321775</v>
      </c>
      <c r="V16" s="636">
        <f t="shared" si="114"/>
        <v>-2.3982072329930153</v>
      </c>
      <c r="W16" s="585">
        <f>IF(M16="","",IF(Q16-$Q$8&lt;0,360+Q16-$Q$8,Q16-$Q$8))</f>
        <v>358.25230025233657</v>
      </c>
      <c r="X16" s="629">
        <f t="shared" si="83"/>
        <v>4.1652125622810878</v>
      </c>
      <c r="Y16" s="630">
        <f t="shared" si="223"/>
        <v>-2.3982072329930153</v>
      </c>
      <c r="Z16" s="632">
        <f t="shared" si="6"/>
        <v>0.78814852919696077</v>
      </c>
      <c r="AA16" s="629">
        <f t="shared" si="7"/>
        <v>-0.60434855672005183</v>
      </c>
      <c r="AB16" s="629">
        <f t="shared" si="8"/>
        <v>-0.11655349808160206</v>
      </c>
      <c r="AC16" s="636">
        <f t="shared" si="84"/>
        <v>1</v>
      </c>
      <c r="AD16" s="637">
        <f t="shared" si="115"/>
        <v>0.78814852919696077</v>
      </c>
      <c r="AE16" s="629">
        <f t="shared" si="85"/>
        <v>-0.60434855672005183</v>
      </c>
      <c r="AF16" s="633">
        <f t="shared" si="86"/>
        <v>-0.11655349808160206</v>
      </c>
      <c r="AG16" s="602">
        <f t="shared" si="87"/>
        <v>-79.084066185038495</v>
      </c>
      <c r="AH16" s="603">
        <f t="shared" si="88"/>
        <v>37.987176246873538</v>
      </c>
      <c r="AI16" s="585">
        <f t="shared" si="89"/>
        <v>-83.306763444283021</v>
      </c>
      <c r="AJ16" s="586">
        <f t="shared" si="90"/>
        <v>52.519180353753725</v>
      </c>
      <c r="AK16" s="635">
        <f t="shared" si="211"/>
        <v>0.8115004306550031</v>
      </c>
      <c r="AL16" s="629">
        <f t="shared" si="91"/>
        <v>-0.572610105684214</v>
      </c>
      <c r="AM16" s="634">
        <f t="shared" si="92"/>
        <v>-0.11655349808160206</v>
      </c>
      <c r="AN16" s="581">
        <f t="shared" si="93"/>
        <v>-78.494748612456846</v>
      </c>
      <c r="AO16" s="582">
        <f t="shared" si="94"/>
        <v>35.757212346865472</v>
      </c>
      <c r="AP16" s="585">
        <f t="shared" si="95"/>
        <v>-35.207519974470102</v>
      </c>
      <c r="AQ16" s="586">
        <f t="shared" si="9"/>
        <v>0.54730875264837042</v>
      </c>
      <c r="AS16" s="52">
        <f t="shared" si="116"/>
        <v>-1.7476997476634324</v>
      </c>
      <c r="AT16" s="72">
        <f t="shared" si="10"/>
        <v>-2.3966285526653928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1313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0.16521796698588112</v>
      </c>
      <c r="C17" s="708">
        <v>4.161934491599939</v>
      </c>
      <c r="D17" s="709">
        <v>-3.0022090546625093</v>
      </c>
      <c r="E17" s="710">
        <v>-0.78814852919696077</v>
      </c>
      <c r="F17" s="708">
        <v>0.60434855672005183</v>
      </c>
      <c r="G17" s="711">
        <v>0.11655349808160209</v>
      </c>
      <c r="H17" s="710">
        <v>0.26600000000000001</v>
      </c>
      <c r="I17" s="708">
        <v>0.52</v>
      </c>
      <c r="J17" s="570">
        <v>1.1359999999999999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1313</v>
      </c>
      <c r="M17" s="168">
        <f t="shared" si="1"/>
        <v>1.1359999999999999</v>
      </c>
      <c r="N17" s="632">
        <f t="shared" si="2"/>
        <v>0.16521796698588112</v>
      </c>
      <c r="O17" s="629">
        <f t="shared" si="3"/>
        <v>4.161934491599939</v>
      </c>
      <c r="P17" s="633">
        <f t="shared" si="4"/>
        <v>-3.0022090546625093</v>
      </c>
      <c r="Q17" s="585">
        <f>IF(M17="","",IF(DEGREES(ATAN2(N17,O17))&lt;0,DEGREES(ATAN2(N17,O17))+360,IF(DEGREES(ATAN2(N17,O17))&gt;360,DEGREES(ATAN2(N17,O17))-360,DEGREES(ATAN2(N17,O17)))))</f>
        <v>87.726700328223856</v>
      </c>
      <c r="R17" s="629">
        <f>IF(M17="","",SQRT(N17^2+O17^2))</f>
        <v>4.1652125622810887</v>
      </c>
      <c r="S17" s="634">
        <f>IF(M17="","",P17)</f>
        <v>-3.0022090546625093</v>
      </c>
      <c r="T17" s="635">
        <f>IF(M17="","",X17*COS(RADIANS(W17)))</f>
        <v>4.1632749722911919</v>
      </c>
      <c r="U17" s="629">
        <f>IF(M17="","",X17*SIN(RADIANS(W17)))</f>
        <v>-0.12703225605321777</v>
      </c>
      <c r="V17" s="636">
        <f>IF(M17="","",Y17)</f>
        <v>-3.0022090546625093</v>
      </c>
      <c r="W17" s="585">
        <f t="shared" si="224"/>
        <v>358.25230025233657</v>
      </c>
      <c r="X17" s="629">
        <f>IF(M17="","",R17)</f>
        <v>4.1652125622810887</v>
      </c>
      <c r="Y17" s="630">
        <f t="shared" si="223"/>
        <v>-3.0022090546625093</v>
      </c>
      <c r="Z17" s="632">
        <f t="shared" si="6"/>
        <v>0.78814852919696077</v>
      </c>
      <c r="AA17" s="629">
        <f t="shared" si="7"/>
        <v>-0.60434855672005183</v>
      </c>
      <c r="AB17" s="629">
        <f t="shared" si="8"/>
        <v>-0.11655349808160209</v>
      </c>
      <c r="AC17" s="636">
        <f>IF(M17="","",SQRT(Z17^2+AA17^2+AB17^2))</f>
        <v>1</v>
      </c>
      <c r="AD17" s="637">
        <f>IF(M17="","",Z17*(1/SQRT(Z17^2+AA17^2+AB17^2)))</f>
        <v>0.78814852919696077</v>
      </c>
      <c r="AE17" s="629">
        <f>IF(M17="","",AA17*(1/SQRT(Z17^2+AA17^2+AB17^2)))</f>
        <v>-0.60434855672005183</v>
      </c>
      <c r="AF17" s="633">
        <f>IF(M17="","",AB17*(1/SQRT(Z17^2+AA17^2+AB17^2)))</f>
        <v>-0.11655349808160209</v>
      </c>
      <c r="AG17" s="602">
        <f>IF(M17="","",DEGREES(ATAN2(-AF17,AE17)))</f>
        <v>-79.084066185038495</v>
      </c>
      <c r="AH17" s="603">
        <f>IF(M17="","",DEGREES(ACOS(AD17)))</f>
        <v>37.987176246873538</v>
      </c>
      <c r="AI17" s="585">
        <f>IF(M17="","",DEGREES(-ACOS(-AF17)))</f>
        <v>-83.306763444283021</v>
      </c>
      <c r="AJ17" s="586">
        <f>IF(M17="","",DEGREES(ATAN2(-AE17,AD17)))</f>
        <v>52.519180353753725</v>
      </c>
      <c r="AK17" s="635">
        <f>IF(M17="","",(COS(RADIANS((90-$Q$8)-W17))*AD17)+(-SIN(RADIANS((90-$Q$8)-W17))*AE17))</f>
        <v>0.8115004306550031</v>
      </c>
      <c r="AL17" s="629">
        <f>IF(M17="","",(SIN(RADIANS((90-$Q$8)-W17))*AD17)+(COS(RADIANS((90-$Q$8)-W17))*AE17))</f>
        <v>-0.572610105684214</v>
      </c>
      <c r="AM17" s="634">
        <f>IF(M17="","",AF17)</f>
        <v>-0.11655349808160209</v>
      </c>
      <c r="AN17" s="581">
        <f>IF(M17="","",DEGREES(ATAN2(-AM17,AL17)))</f>
        <v>-78.494748612456846</v>
      </c>
      <c r="AO17" s="582">
        <f t="shared" si="94"/>
        <v>35.757212346865472</v>
      </c>
      <c r="AP17" s="585">
        <f>IF(M17="","",DEGREES(ATAN2(AK17,AL17)))</f>
        <v>-35.207519974470102</v>
      </c>
      <c r="AQ17" s="586">
        <f t="shared" si="9"/>
        <v>0.54730875264837031</v>
      </c>
      <c r="AS17" s="52">
        <f t="shared" si="116"/>
        <v>-1.7476997476634324</v>
      </c>
      <c r="AT17" s="72">
        <f t="shared" si="10"/>
        <v>-3.0006303743348868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1.1359999999999999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1313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0.9923745923803774</v>
      </c>
      <c r="C18" s="708">
        <v>1.5881316108979657</v>
      </c>
      <c r="D18" s="709">
        <v>-0.10593159232328883</v>
      </c>
      <c r="E18" s="710">
        <v>-4.6185686791951265E-2</v>
      </c>
      <c r="F18" s="708">
        <v>-7.3912134603088875E-2</v>
      </c>
      <c r="G18" s="711">
        <v>0.99619469918985759</v>
      </c>
      <c r="H18" s="710">
        <v>0.26250000000000001</v>
      </c>
      <c r="I18" s="708">
        <v>0.40699999999999997</v>
      </c>
      <c r="J18" s="570">
        <v>1.2070000000000001</v>
      </c>
      <c r="K18" s="865" t="str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Inactive</v>
      </c>
      <c r="L18" s="779" t="s">
        <v>331</v>
      </c>
      <c r="M18" s="168">
        <f t="shared" si="1"/>
        <v>1.2070000000000001</v>
      </c>
      <c r="N18" s="632">
        <f t="shared" si="2"/>
        <v>0.9923745923803774</v>
      </c>
      <c r="O18" s="629">
        <f t="shared" si="3"/>
        <v>1.5881316108979657</v>
      </c>
      <c r="P18" s="633">
        <f t="shared" si="4"/>
        <v>-0.10593159232328883</v>
      </c>
      <c r="Q18" s="585">
        <f t="shared" si="113"/>
        <v>58.000004620227699</v>
      </c>
      <c r="R18" s="629">
        <f>IF(M18="","",SQRT(N18^2+O18^2))</f>
        <v>1.8726904029058</v>
      </c>
      <c r="S18" s="634">
        <f>IF(M18="","",P18)</f>
        <v>-0.10593159232328883</v>
      </c>
      <c r="T18" s="635">
        <f>IF(M18="","",X18*COS(RADIANS(W18)))</f>
        <v>1.597168159260463</v>
      </c>
      <c r="U18" s="629">
        <f>IF(M18="","",X18*SIN(RADIANS(W18)))</f>
        <v>-0.97776439707121254</v>
      </c>
      <c r="V18" s="636">
        <f>IF(M18="","",Y18)</f>
        <v>-0.10593159232328883</v>
      </c>
      <c r="W18" s="585">
        <f t="shared" si="224"/>
        <v>328.52560454434047</v>
      </c>
      <c r="X18" s="629">
        <f>IF(M18="","",R18)</f>
        <v>1.8726904029058</v>
      </c>
      <c r="Y18" s="630">
        <f t="shared" si="223"/>
        <v>-0.10593159232328883</v>
      </c>
      <c r="Z18" s="632">
        <f t="shared" si="6"/>
        <v>4.6185686791951265E-2</v>
      </c>
      <c r="AA18" s="629">
        <f t="shared" si="7"/>
        <v>7.3912134603088875E-2</v>
      </c>
      <c r="AB18" s="629">
        <f t="shared" si="8"/>
        <v>-0.99619469918985759</v>
      </c>
      <c r="AC18" s="636">
        <f>IF(M18="","",SQRT(Z18^2+AA18^2+AB18^2))</f>
        <v>1</v>
      </c>
      <c r="AD18" s="637">
        <f>IF(M18="","",Z18*(1/SQRT(Z18^2+AA18^2+AB18^2)))</f>
        <v>4.6185686791951265E-2</v>
      </c>
      <c r="AE18" s="629">
        <f>IF(M18="","",AA18*(1/SQRT(Z18^2+AA18^2+AB18^2)))</f>
        <v>7.3912134603088875E-2</v>
      </c>
      <c r="AF18" s="633">
        <f>IF(M18="","",AB18*(1/SQRT(Z18^2+AA18^2+AB18^2)))</f>
        <v>-0.99619469918985759</v>
      </c>
      <c r="AG18" s="602">
        <f>IF(M18="","",DEGREES(ATAN2(-AF18,AE18)))</f>
        <v>4.2432550945947076</v>
      </c>
      <c r="AH18" s="603">
        <f>IF(M18="","",DEGREES(ACOS(AD18)))</f>
        <v>87.352813376724384</v>
      </c>
      <c r="AI18" s="585">
        <f>IF(M18="","",DEGREES(-ACOS(-AF18)))</f>
        <v>-4.9999992781061904</v>
      </c>
      <c r="AJ18" s="586">
        <f>IF(M18="","",DEGREES(ATAN2(-AE18,AD18)))</f>
        <v>147.99985552629698</v>
      </c>
      <c r="AK18" s="635">
        <f>IF(M18="","",(COS(RADIANS((90-$Q$8)-W18))*AD18)+(-SIN(RADIANS((90-$Q$8)-W18))*AE18))</f>
        <v>2.2679489675853093E-7</v>
      </c>
      <c r="AL18" s="629">
        <f>IF(M18="","",(SIN(RADIANS((90-$Q$8)-W18))*AD18)+(COS(RADIANS((90-$Q$8)-W18))*AE18))</f>
        <v>8.7155730195885073E-2</v>
      </c>
      <c r="AM18" s="634">
        <f>IF(M18="","",AF18)</f>
        <v>-0.99619469918985759</v>
      </c>
      <c r="AN18" s="581">
        <f>IF(M18="","",DEGREES(ATAN2(-AM18,AL18)))</f>
        <v>4.9999992780894162</v>
      </c>
      <c r="AO18" s="582">
        <f t="shared" si="94"/>
        <v>0</v>
      </c>
      <c r="AP18" s="585">
        <f>IF(M18="","",DEGREES(ATAN2(AK18,AL18)))</f>
        <v>89.999850906069284</v>
      </c>
      <c r="AQ18" s="586">
        <f t="shared" si="9"/>
        <v>1.2171705890629743</v>
      </c>
      <c r="AS18" s="52">
        <f t="shared" si="116"/>
        <v>-31.474395455659533</v>
      </c>
      <c r="AT18" s="72">
        <f t="shared" si="10"/>
        <v>-8.3709373309558077E-2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Nose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1.2070000000000001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1.107</v>
      </c>
      <c r="II18" s="734" cm="1">
        <f t="array" ref="II18">IFERROR(ROUND(VALUE(IF($IH18&lt;1,$IH18+LARGE((IF($M$9:$M$150="",0,$M$9:$M$150)-MOD(IF($M$9:$M$150="",0,$M$9:$M$150),1)),1),$IH18)),4),"")</f>
        <v>1.107</v>
      </c>
      <c r="IJ18" s="533">
        <f t="shared" si="112"/>
        <v>1613</v>
      </c>
      <c r="IK18" s="533" t="str">
        <f t="shared" si="66"/>
        <v>Inactive</v>
      </c>
      <c r="IL18" s="727">
        <f t="shared" si="225"/>
        <v>31.999995379772258</v>
      </c>
      <c r="IM18" s="759">
        <v>4.7552513048282598E-2</v>
      </c>
      <c r="IN18" s="5">
        <f t="shared" si="226"/>
        <v>0.54</v>
      </c>
      <c r="IO18" s="771">
        <v>270</v>
      </c>
      <c r="IP18" s="9">
        <f t="shared" si="227"/>
        <v>-1.8754056562234589</v>
      </c>
      <c r="IQ18" s="5">
        <f t="shared" si="228"/>
        <v>-9.0300272345621463E-2</v>
      </c>
      <c r="IR18" s="5">
        <f t="shared" si="71"/>
        <v>0.314</v>
      </c>
      <c r="IS18" s="5">
        <f t="shared" si="229"/>
        <v>0.29506348833932705</v>
      </c>
      <c r="IT18" s="727">
        <f t="shared" si="230"/>
        <v>-4.9999992780894216</v>
      </c>
      <c r="IU18" s="9">
        <f t="shared" si="231"/>
        <v>-1.8726904029058</v>
      </c>
      <c r="IV18" s="5">
        <f t="shared" si="232"/>
        <v>-0.10593159232328883</v>
      </c>
      <c r="IW18" s="5">
        <f t="shared" si="76"/>
        <v>0.26250000000000001</v>
      </c>
      <c r="IX18" s="5">
        <f t="shared" si="233"/>
        <v>0.26250000000000001</v>
      </c>
      <c r="IY18" s="762">
        <f t="shared" si="234"/>
        <v>-4.9999992780894162</v>
      </c>
    </row>
    <row r="19" spans="1:269" ht="15" customHeight="1" thickBot="1" x14ac:dyDescent="0.3">
      <c r="A19" s="79"/>
      <c r="B19" s="707">
        <v>1.0485129954445225</v>
      </c>
      <c r="C19" s="708">
        <v>2.470142218963856</v>
      </c>
      <c r="D19" s="709">
        <v>-8.8245653384859707E-2</v>
      </c>
      <c r="E19" s="710">
        <v>4.0842304193927294E-2</v>
      </c>
      <c r="F19" s="708">
        <v>9.6219034903312919E-2</v>
      </c>
      <c r="G19" s="711">
        <v>0.99452189694868243</v>
      </c>
      <c r="H19" s="710">
        <v>0.26250000000000001</v>
      </c>
      <c r="I19" s="708">
        <v>0.40699999999999997</v>
      </c>
      <c r="J19" s="570">
        <v>1.2110000000000001</v>
      </c>
      <c r="K19" s="865" t="str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Inactive</v>
      </c>
      <c r="L19" s="775" t="s">
        <v>366</v>
      </c>
      <c r="M19" s="168">
        <f t="shared" si="1"/>
        <v>1.2110000000000001</v>
      </c>
      <c r="N19" s="632">
        <f t="shared" si="2"/>
        <v>1.0485129954445225</v>
      </c>
      <c r="O19" s="629">
        <f t="shared" si="3"/>
        <v>2.470142218963856</v>
      </c>
      <c r="P19" s="633">
        <f t="shared" si="4"/>
        <v>-8.8245653384859707E-2</v>
      </c>
      <c r="Q19" s="585">
        <f t="shared" si="113"/>
        <v>67.000003320788664</v>
      </c>
      <c r="R19" s="629">
        <f>IF(M19="","",SQRT(N19^2+O19^2))</f>
        <v>2.6834645672197217</v>
      </c>
      <c r="S19" s="634">
        <f>IF(M19="","",P19)</f>
        <v>-8.8245653384859707E-2</v>
      </c>
      <c r="T19" s="635">
        <f>IF(M19="","",X19*COS(RADIANS(W19)))</f>
        <v>2.4796566316002302</v>
      </c>
      <c r="U19" s="629">
        <f>IF(M19="","",X19*SIN(RADIANS(W19)))</f>
        <v>-1.0258094720194042</v>
      </c>
      <c r="V19" s="636">
        <f>IF(M19="","",Y19)</f>
        <v>-8.8245653384859707E-2</v>
      </c>
      <c r="W19" s="585">
        <f t="shared" si="224"/>
        <v>337.52560324490139</v>
      </c>
      <c r="X19" s="629">
        <f>IF(M19="","",R19)</f>
        <v>2.6834645672197217</v>
      </c>
      <c r="Y19" s="630">
        <f t="shared" si="223"/>
        <v>-8.8245653384859707E-2</v>
      </c>
      <c r="Z19" s="632">
        <f t="shared" si="6"/>
        <v>-4.0842304193927294E-2</v>
      </c>
      <c r="AA19" s="629">
        <f t="shared" si="7"/>
        <v>-9.6219034903312919E-2</v>
      </c>
      <c r="AB19" s="629">
        <f t="shared" si="8"/>
        <v>-0.99452189694868243</v>
      </c>
      <c r="AC19" s="636">
        <f>IF(M19="","",SQRT(Z19^2+AA19^2+AB19^2))</f>
        <v>1</v>
      </c>
      <c r="AD19" s="637">
        <f>IF(M19="","",Z19*(1/SQRT(Z19^2+AA19^2+AB19^2)))</f>
        <v>-4.0842304193927294E-2</v>
      </c>
      <c r="AE19" s="629">
        <f>IF(M19="","",AA19*(1/SQRT(Z19^2+AA19^2+AB19^2)))</f>
        <v>-9.6219034903312919E-2</v>
      </c>
      <c r="AF19" s="633">
        <f>IF(M19="","",AB19*(1/SQRT(Z19^2+AA19^2+AB19^2)))</f>
        <v>-0.99452189694868243</v>
      </c>
      <c r="AG19" s="602">
        <f>IF(M19="","",DEGREES(ATAN2(-AF19,AE19)))</f>
        <v>-5.5261121061664262</v>
      </c>
      <c r="AH19" s="603">
        <f>IF(M19="","",DEGREES(ACOS(AD19)))</f>
        <v>92.340742726809708</v>
      </c>
      <c r="AI19" s="585">
        <f>IF(M19="","",DEGREES(-ACOS(-AF19)))</f>
        <v>-5.999999133721337</v>
      </c>
      <c r="AJ19" s="586">
        <f>IF(M19="","",DEGREES(ATAN2(-AE19,AD19)))</f>
        <v>-22.999872364820224</v>
      </c>
      <c r="AK19" s="635">
        <f>IF(M19="","",(COS(RADIANS((90-$Q$8)-W19))*AD19)+(-SIN(RADIANS((90-$Q$8)-W19))*AE19))</f>
        <v>2.2679489673771425E-7</v>
      </c>
      <c r="AL19" s="629">
        <f>IF(M19="","",(SIN(RADIANS((90-$Q$8)-W19))*AD19)+(COS(RADIANS((90-$Q$8)-W19))*AE19))</f>
        <v>-0.10452844823081803</v>
      </c>
      <c r="AM19" s="634">
        <f>IF(M19="","",AF19)</f>
        <v>-0.99452189694868243</v>
      </c>
      <c r="AN19" s="581">
        <f>IF(M19="","",DEGREES(ATAN2(-AM19,AL19)))</f>
        <v>-5.9999991337073046</v>
      </c>
      <c r="AO19" s="582">
        <f t="shared" si="94"/>
        <v>0</v>
      </c>
      <c r="AP19" s="585">
        <f>IF(M19="","",DEGREES(ATAN2(AK19,AL19)))</f>
        <v>-89.99987568560887</v>
      </c>
      <c r="AQ19" s="586">
        <f t="shared" si="9"/>
        <v>0.84948376627230304</v>
      </c>
      <c r="AS19" s="52">
        <f t="shared" si="116"/>
        <v>-22.47439675509861</v>
      </c>
      <c r="AT19" s="72">
        <f t="shared" si="10"/>
        <v>-7.2273433468740711E-2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Nose</v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1.2110000000000001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1.111</v>
      </c>
      <c r="II19" s="734" cm="1">
        <f t="array" ref="II19">IFERROR(ROUND(VALUE(IF($IH19&lt;1,$IH19+LARGE((IF($M$9:$M$150="",0,$M$9:$M$150)-MOD(IF($M$9:$M$150="",0,$M$9:$M$150),1)),1),$IH19)),4),"")</f>
        <v>1.111</v>
      </c>
      <c r="IJ19" s="533">
        <f t="shared" si="112"/>
        <v>1613</v>
      </c>
      <c r="IK19" s="533" t="str">
        <f t="shared" si="66"/>
        <v>Inactive</v>
      </c>
      <c r="IL19" s="727">
        <f t="shared" si="225"/>
        <v>22.47439675509861</v>
      </c>
      <c r="IM19" s="759">
        <v>3.84282032054395E-2</v>
      </c>
      <c r="IN19" s="5">
        <f t="shared" si="226"/>
        <v>0.62</v>
      </c>
      <c r="IO19" s="771">
        <v>310</v>
      </c>
      <c r="IP19" s="9">
        <f t="shared" si="227"/>
        <v>-2.6802080835075794</v>
      </c>
      <c r="IQ19" s="5">
        <f t="shared" si="228"/>
        <v>-8.050024278873226E-2</v>
      </c>
      <c r="IR19" s="5">
        <f t="shared" si="71"/>
        <v>0.314</v>
      </c>
      <c r="IS19" s="5">
        <f t="shared" si="229"/>
        <v>0.29465297294400561</v>
      </c>
      <c r="IT19" s="727">
        <f t="shared" si="230"/>
        <v>14.776692646140621</v>
      </c>
      <c r="IU19" s="9">
        <f t="shared" si="231"/>
        <v>-2.6834645672197217</v>
      </c>
      <c r="IV19" s="5">
        <f t="shared" si="232"/>
        <v>-8.8245653384859707E-2</v>
      </c>
      <c r="IW19" s="5">
        <f t="shared" si="76"/>
        <v>0.26250000000000001</v>
      </c>
      <c r="IX19" s="5">
        <f t="shared" si="233"/>
        <v>0.26250000000000001</v>
      </c>
      <c r="IY19" s="762">
        <f t="shared" si="234"/>
        <v>5.9999991337073046</v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1.0121116681412043</v>
      </c>
      <c r="C20" s="708">
        <v>3.276405545001476</v>
      </c>
      <c r="D20" s="709">
        <v>-0.36600064106097985</v>
      </c>
      <c r="E20" s="710">
        <v>-0.78305181959912606</v>
      </c>
      <c r="F20" s="708">
        <v>0.52233144195569681</v>
      </c>
      <c r="G20" s="711">
        <v>0.33763843467084809</v>
      </c>
      <c r="H20" s="710">
        <v>0.26600000000000001</v>
      </c>
      <c r="I20" s="708">
        <v>0.52</v>
      </c>
      <c r="J20" s="570">
        <v>1.216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>
        <f>IF($L19=$JH$22,$JH$30,IF($L19=$JI$22,$JI$30,""))</f>
        <v>270</v>
      </c>
      <c r="M20" s="168">
        <f t="shared" si="1"/>
        <v>1.216</v>
      </c>
      <c r="N20" s="632">
        <f t="shared" si="2"/>
        <v>1.0121116681412043</v>
      </c>
      <c r="O20" s="629">
        <f t="shared" si="3"/>
        <v>3.276405545001476</v>
      </c>
      <c r="P20" s="633">
        <f t="shared" si="4"/>
        <v>-0.36600064106097985</v>
      </c>
      <c r="Q20" s="585">
        <f t="shared" si="113"/>
        <v>72.833602478521144</v>
      </c>
      <c r="R20" s="629">
        <f>IF(M20="","",SQRT(N20^2+O20^2))</f>
        <v>3.42916948022462</v>
      </c>
      <c r="S20" s="634">
        <f>IF(M20="","",P20)</f>
        <v>-0.36600064106097985</v>
      </c>
      <c r="T20" s="635">
        <f>IF(M20="","",X20*COS(RADIANS(W20)))</f>
        <v>3.2855521124269496</v>
      </c>
      <c r="U20" s="629">
        <f>IF(M20="","",X20*SIN(RADIANS(W20)))</f>
        <v>-0.98201356438228571</v>
      </c>
      <c r="V20" s="636">
        <f>IF(M20="","",Y20)</f>
        <v>-0.36600064106097985</v>
      </c>
      <c r="W20" s="585">
        <f t="shared" si="224"/>
        <v>343.35920240263385</v>
      </c>
      <c r="X20" s="629">
        <f>IF(M20="","",R20)</f>
        <v>3.42916948022462</v>
      </c>
      <c r="Y20" s="630">
        <f t="shared" si="223"/>
        <v>-0.36600064106097985</v>
      </c>
      <c r="Z20" s="632">
        <f t="shared" si="6"/>
        <v>0.78305181959912606</v>
      </c>
      <c r="AA20" s="629">
        <f t="shared" si="7"/>
        <v>-0.52233144195569681</v>
      </c>
      <c r="AB20" s="629">
        <f t="shared" si="8"/>
        <v>-0.33763843467084809</v>
      </c>
      <c r="AC20" s="636">
        <f>IF(M20="","",SQRT(Z20^2+AA20^2+AB20^2))</f>
        <v>1</v>
      </c>
      <c r="AD20" s="637">
        <f>IF(M20="","",Z20*(1/SQRT(Z20^2+AA20^2+AB20^2)))</f>
        <v>0.78305181959912606</v>
      </c>
      <c r="AE20" s="629">
        <f>IF(M20="","",AA20*(1/SQRT(Z20^2+AA20^2+AB20^2)))</f>
        <v>-0.52233144195569681</v>
      </c>
      <c r="AF20" s="633">
        <f>IF(M20="","",AB20*(1/SQRT(Z20^2+AA20^2+AB20^2)))</f>
        <v>-0.33763843467084809</v>
      </c>
      <c r="AG20" s="602">
        <f>IF(M20="","",DEGREES(ATAN2(-AF20,AE20)))</f>
        <v>-57.121110357364387</v>
      </c>
      <c r="AH20" s="603">
        <f>IF(M20="","",DEGREES(ACOS(AD20)))</f>
        <v>38.459147300814834</v>
      </c>
      <c r="AI20" s="585">
        <f>IF(M20="","",DEGREES(-ACOS(-AF20)))</f>
        <v>-70.266940098560468</v>
      </c>
      <c r="AJ20" s="586">
        <f>IF(M20="","",DEGREES(ATAN2(-AE20,AD20)))</f>
        <v>56.294895550806288</v>
      </c>
      <c r="AK20" s="635">
        <f>IF(M20="","",(COS(RADIANS((90-$Q$8)-W20))*AD20)+(-SIN(RADIANS((90-$Q$8)-W20))*AE20))</f>
        <v>0.90233308346013019</v>
      </c>
      <c r="AL20" s="629">
        <f>IF(M20="","",(SIN(RADIANS((90-$Q$8)-W20))*AD20)+(COS(RADIANS((90-$Q$8)-W20))*AE20))</f>
        <v>-0.26794643854015598</v>
      </c>
      <c r="AM20" s="634">
        <f>IF(M20="","",AF20)</f>
        <v>-0.33763843467084809</v>
      </c>
      <c r="AN20" s="581">
        <f>IF(M20="","",DEGREES(ATAN2(-AM20,AL20)))</f>
        <v>-38.435159451953105</v>
      </c>
      <c r="AO20" s="582">
        <f t="shared" si="94"/>
        <v>25.533544279509812</v>
      </c>
      <c r="AP20" s="585">
        <f>IF(M20="","",DEGREES(ATAN2(AK20,AL20)))</f>
        <v>-16.538706927714866</v>
      </c>
      <c r="AQ20" s="586">
        <f t="shared" si="9"/>
        <v>0.66477447285819091</v>
      </c>
      <c r="AS20" s="52">
        <f t="shared" si="116"/>
        <v>-16.640797597366145</v>
      </c>
      <c r="AT20" s="72">
        <f t="shared" si="10"/>
        <v>-0.35407953167106393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Taper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1.216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1.1160000000000001</v>
      </c>
      <c r="II20" s="734" cm="1">
        <f t="array" ref="II20">IFERROR(ROUND(VALUE(IF($IH20&lt;1,$IH20+LARGE((IF($M$9:$M$150="",0,$M$9:$M$150)-MOD(IF($M$9:$M$150="",0,$M$9:$M$150),1)),1),$IH20)),4),"")</f>
        <v>1.1160000000000001</v>
      </c>
      <c r="IJ20" s="533">
        <f t="shared" si="112"/>
        <v>1613</v>
      </c>
      <c r="IK20" s="533">
        <f t="shared" si="66"/>
        <v>1313</v>
      </c>
      <c r="IL20" s="727">
        <f t="shared" si="225"/>
        <v>15.861197709926387</v>
      </c>
      <c r="IM20" s="759">
        <v>1.1469778747818999E-2</v>
      </c>
      <c r="IN20" s="5">
        <f t="shared" si="226"/>
        <v>0.26</v>
      </c>
      <c r="IO20" s="771">
        <v>130</v>
      </c>
      <c r="IP20" s="9">
        <f t="shared" si="227"/>
        <v>-3.4056102713205778</v>
      </c>
      <c r="IQ20" s="5">
        <f t="shared" si="228"/>
        <v>-0.40130121032445004</v>
      </c>
      <c r="IR20" s="5">
        <f t="shared" si="71"/>
        <v>0.314</v>
      </c>
      <c r="IS20" s="5">
        <f t="shared" si="229"/>
        <v>0.29376944922745102</v>
      </c>
      <c r="IT20" s="727">
        <f t="shared" si="230"/>
        <v>41.262046612584854</v>
      </c>
      <c r="IU20" s="9">
        <f t="shared" si="231"/>
        <v>-3.42916948022462</v>
      </c>
      <c r="IV20" s="5">
        <f t="shared" si="232"/>
        <v>-0.36600064106097985</v>
      </c>
      <c r="IW20" s="5">
        <f t="shared" si="76"/>
        <v>0.26600000000000001</v>
      </c>
      <c r="IX20" s="5">
        <f t="shared" si="233"/>
        <v>0.24002060020039467</v>
      </c>
      <c r="IY20" s="762">
        <f t="shared" si="234"/>
        <v>38.435159451953105</v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1.0691736128185156</v>
      </c>
      <c r="C21" s="708">
        <v>3.798438416552826</v>
      </c>
      <c r="D21" s="709">
        <v>-0.98775855055239281</v>
      </c>
      <c r="E21" s="710">
        <v>-0.76131429787229465</v>
      </c>
      <c r="F21" s="708">
        <v>0.61531650455770692</v>
      </c>
      <c r="G21" s="711">
        <v>0.20441658218965597</v>
      </c>
      <c r="H21" s="710">
        <v>0.26600000000000001</v>
      </c>
      <c r="I21" s="708">
        <v>0.52</v>
      </c>
      <c r="J21" s="570">
        <v>1.2210000000000001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1313</v>
      </c>
      <c r="L21" s="776" t="s">
        <v>367</v>
      </c>
      <c r="M21" s="168">
        <f t="shared" si="1"/>
        <v>1.2210000000000001</v>
      </c>
      <c r="N21" s="632">
        <f t="shared" si="2"/>
        <v>1.0691736128185156</v>
      </c>
      <c r="O21" s="629">
        <f t="shared" si="3"/>
        <v>3.798438416552826</v>
      </c>
      <c r="P21" s="633">
        <f t="shared" si="4"/>
        <v>-0.98775855055239281</v>
      </c>
      <c r="Q21" s="585">
        <f t="shared" si="113"/>
        <v>74.279302269787934</v>
      </c>
      <c r="R21" s="629">
        <f>IF(M21="","",SQRT(N21^2+O21^2))</f>
        <v>3.9460444268522545</v>
      </c>
      <c r="S21" s="634">
        <f>IF(M21="","",P21)</f>
        <v>-0.98775855055239281</v>
      </c>
      <c r="T21" s="635">
        <f>IF(M21="","",X21*COS(RADIANS(W21)))</f>
        <v>3.8080864665431919</v>
      </c>
      <c r="U21" s="629">
        <f>IF(M21="","",X21*SIN(RADIANS(W21)))</f>
        <v>-1.0342843332576992</v>
      </c>
      <c r="V21" s="636">
        <f>IF(M21="","",Y21)</f>
        <v>-0.98775855055239281</v>
      </c>
      <c r="W21" s="585">
        <f t="shared" si="224"/>
        <v>344.80490219390072</v>
      </c>
      <c r="X21" s="629">
        <f>IF(M21="","",R21)</f>
        <v>3.9460444268522545</v>
      </c>
      <c r="Y21" s="630">
        <f t="shared" si="223"/>
        <v>-0.98775855055239281</v>
      </c>
      <c r="Z21" s="632">
        <f t="shared" si="6"/>
        <v>0.76131429787229465</v>
      </c>
      <c r="AA21" s="629">
        <f t="shared" si="7"/>
        <v>-0.61531650455770692</v>
      </c>
      <c r="AB21" s="629">
        <f t="shared" si="8"/>
        <v>-0.20441658218965597</v>
      </c>
      <c r="AC21" s="636">
        <f>IF(M21="","",SQRT(Z21^2+AA21^2+AB21^2))</f>
        <v>1</v>
      </c>
      <c r="AD21" s="637">
        <f>IF(M21="","",Z21*(1/SQRT(Z21^2+AA21^2+AB21^2)))</f>
        <v>0.76131429787229465</v>
      </c>
      <c r="AE21" s="629">
        <f>IF(M21="","",AA21*(1/SQRT(Z21^2+AA21^2+AB21^2)))</f>
        <v>-0.61531650455770692</v>
      </c>
      <c r="AF21" s="633">
        <f>IF(M21="","",AB21*(1/SQRT(Z21^2+AA21^2+AB21^2)))</f>
        <v>-0.20441658218965597</v>
      </c>
      <c r="AG21" s="602">
        <f>IF(M21="","",DEGREES(ATAN2(-AF21,AE21)))</f>
        <v>-71.622804994878052</v>
      </c>
      <c r="AH21" s="603">
        <f>IF(M21="","",DEGREES(ACOS(AD21)))</f>
        <v>40.4197991196353</v>
      </c>
      <c r="AI21" s="585">
        <f>IF(M21="","",DEGREES(-ACOS(-AF21)))</f>
        <v>-78.20465153616486</v>
      </c>
      <c r="AJ21" s="586">
        <f>IF(M21="","",DEGREES(ATAN2(-AE21,AD21)))</f>
        <v>51.0538418956097</v>
      </c>
      <c r="AK21" s="635">
        <f>IF(M21="","",(COS(RADIANS((90-$Q$8)-W21))*AD21)+(-SIN(RADIANS((90-$Q$8)-W21))*AE21))</f>
        <v>0.89955541862600363</v>
      </c>
      <c r="AL21" s="629">
        <f>IF(M21="","",(SIN(RADIANS((90-$Q$8)-W21))*AD21)+(COS(RADIANS((90-$Q$8)-W21))*AE21))</f>
        <v>-0.38602319845638144</v>
      </c>
      <c r="AM21" s="634">
        <f>IF(M21="","",AF21)</f>
        <v>-0.20441658218965597</v>
      </c>
      <c r="AN21" s="581">
        <f>IF(M21="","",DEGREES(ATAN2(-AM21,AL21)))</f>
        <v>-62.096775062031107</v>
      </c>
      <c r="AO21" s="582">
        <f>IF(ROUND(IF(M21="",0,DEGREES(ACOS(AK21))),4)=90,0,IF(M21="","",DEGREES(ACOS(AK21))))</f>
        <v>25.900309605297434</v>
      </c>
      <c r="AP21" s="585">
        <f>IF(M21="","",DEGREES(ATAN2(AK21,AL21)))</f>
        <v>-23.225460374178269</v>
      </c>
      <c r="AQ21" s="586">
        <f t="shared" si="9"/>
        <v>0.57770494437203956</v>
      </c>
      <c r="AS21" s="52">
        <f t="shared" si="116"/>
        <v>-15.195097806099284</v>
      </c>
      <c r="AT21" s="72">
        <f t="shared" si="10"/>
        <v>-0.97684139935085668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Taper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1.2210000000000001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1.121</v>
      </c>
      <c r="II21" s="734" cm="1">
        <f t="array" ref="II21">IFERROR(ROUND(VALUE(IF($IH21&lt;1,$IH21+LARGE((IF($M$9:$M$150="",0,$M$9:$M$150)-MOD(IF($M$9:$M$150="",0,$M$9:$M$150),1)),1),$IH21)),4),"")</f>
        <v>1.121</v>
      </c>
      <c r="IJ21" s="533">
        <f t="shared" si="112"/>
        <v>1613</v>
      </c>
      <c r="IK21" s="533">
        <f t="shared" si="66"/>
        <v>1313</v>
      </c>
      <c r="IL21" s="727">
        <f t="shared" si="225"/>
        <v>13.787998009259354</v>
      </c>
      <c r="IM21" s="759">
        <v>7.1833252223299903E-3</v>
      </c>
      <c r="IN21" s="5">
        <f t="shared" si="226"/>
        <v>0.24</v>
      </c>
      <c r="IO21" s="771">
        <v>120</v>
      </c>
      <c r="IP21" s="9">
        <f t="shared" si="227"/>
        <v>-3.9073117844523426</v>
      </c>
      <c r="IQ21" s="5">
        <f t="shared" si="228"/>
        <v>-1.0138030576300214</v>
      </c>
      <c r="IR21" s="5">
        <f t="shared" si="71"/>
        <v>0.314</v>
      </c>
      <c r="IS21" s="5">
        <f t="shared" si="229"/>
        <v>0.29286513453100799</v>
      </c>
      <c r="IT21" s="727">
        <f t="shared" si="230"/>
        <v>65.643825164155501</v>
      </c>
      <c r="IU21" s="9">
        <f t="shared" si="231"/>
        <v>-3.9460444268522545</v>
      </c>
      <c r="IV21" s="5">
        <f t="shared" si="232"/>
        <v>-0.98775855055239281</v>
      </c>
      <c r="IW21" s="5">
        <f t="shared" si="76"/>
        <v>0.26600000000000001</v>
      </c>
      <c r="IX21" s="5">
        <f t="shared" si="233"/>
        <v>0.23928174135451699</v>
      </c>
      <c r="IY21" s="762">
        <f t="shared" si="234"/>
        <v>62.096775062031107</v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2.351682470959112</v>
      </c>
      <c r="C22" s="708">
        <v>0.85594047363782</v>
      </c>
      <c r="D22" s="709">
        <v>-5.8000174928527673E-2</v>
      </c>
      <c r="E22" s="710">
        <v>-0.32139316544059976</v>
      </c>
      <c r="F22" s="708">
        <v>0.8830224726264474</v>
      </c>
      <c r="G22" s="711">
        <v>0.34202009596622585</v>
      </c>
      <c r="H22" s="710">
        <v>0.314</v>
      </c>
      <c r="I22" s="708">
        <v>0.52</v>
      </c>
      <c r="J22" s="570">
        <v>2.11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1313" t="str">
        <f>IF($L21=$JH$22,$JH$30,IF($L21=$JI$22,$JI$30,""))</f>
        <v/>
      </c>
      <c r="M22" s="168">
        <f t="shared" si="1"/>
        <v>2.11</v>
      </c>
      <c r="N22" s="632">
        <f t="shared" si="2"/>
        <v>2.351682470959112</v>
      </c>
      <c r="O22" s="629">
        <f t="shared" si="3"/>
        <v>0.85594047363782</v>
      </c>
      <c r="P22" s="633">
        <f t="shared" si="4"/>
        <v>-5.8000174928527673E-2</v>
      </c>
      <c r="Q22" s="585">
        <f t="shared" si="113"/>
        <v>19.999958129186496</v>
      </c>
      <c r="R22" s="629">
        <f t="shared" si="79"/>
        <v>2.5026075478643648</v>
      </c>
      <c r="S22" s="634">
        <f t="shared" si="80"/>
        <v>-5.8000174928527673E-2</v>
      </c>
      <c r="T22" s="635">
        <f t="shared" si="81"/>
        <v>0.87747719643587019</v>
      </c>
      <c r="U22" s="629">
        <f t="shared" si="82"/>
        <v>-2.3437317057126514</v>
      </c>
      <c r="V22" s="636">
        <f t="shared" si="114"/>
        <v>-5.8000174928527673E-2</v>
      </c>
      <c r="W22" s="585">
        <f t="shared" si="224"/>
        <v>290.52555805329928</v>
      </c>
      <c r="X22" s="629">
        <f t="shared" si="83"/>
        <v>2.5026075478643648</v>
      </c>
      <c r="Y22" s="630">
        <f t="shared" si="223"/>
        <v>-5.8000174928527673E-2</v>
      </c>
      <c r="Z22" s="632">
        <f t="shared" si="6"/>
        <v>0.32139316544059976</v>
      </c>
      <c r="AA22" s="629">
        <f t="shared" si="7"/>
        <v>-0.8830224726264474</v>
      </c>
      <c r="AB22" s="629">
        <f t="shared" si="8"/>
        <v>-0.34202009596622585</v>
      </c>
      <c r="AC22" s="636">
        <f t="shared" si="84"/>
        <v>1</v>
      </c>
      <c r="AD22" s="637">
        <f t="shared" si="115"/>
        <v>0.32139316544059976</v>
      </c>
      <c r="AE22" s="629">
        <f t="shared" si="85"/>
        <v>-0.8830224726264474</v>
      </c>
      <c r="AF22" s="633">
        <f t="shared" si="86"/>
        <v>-0.34202009596622585</v>
      </c>
      <c r="AG22" s="602">
        <f t="shared" si="87"/>
        <v>-68.827175973655756</v>
      </c>
      <c r="AH22" s="603">
        <f t="shared" si="88"/>
        <v>71.252801436579944</v>
      </c>
      <c r="AI22" s="585">
        <f t="shared" si="89"/>
        <v>-70.00000288764231</v>
      </c>
      <c r="AJ22" s="586">
        <f t="shared" si="90"/>
        <v>19.999958129186496</v>
      </c>
      <c r="AK22" s="635">
        <f t="shared" si="211"/>
        <v>0.93969263802333458</v>
      </c>
      <c r="AL22" s="629">
        <f t="shared" si="91"/>
        <v>-9.4368957093138306E-16</v>
      </c>
      <c r="AM22" s="634">
        <f t="shared" si="92"/>
        <v>-0.34202009596622585</v>
      </c>
      <c r="AN22" s="581">
        <f t="shared" si="93"/>
        <v>-1.5808845802504859E-13</v>
      </c>
      <c r="AO22" s="582">
        <f t="shared" si="94"/>
        <v>19.999997112357679</v>
      </c>
      <c r="AP22" s="585">
        <f t="shared" si="95"/>
        <v>-5.7539484079194332E-14</v>
      </c>
      <c r="AQ22" s="586">
        <f t="shared" si="9"/>
        <v>0.91086378156511394</v>
      </c>
      <c r="AS22" s="52">
        <f t="shared" si="116"/>
        <v>-69.474441946700722</v>
      </c>
      <c r="AT22" s="72">
        <f t="shared" si="10"/>
        <v>-9.389034740462758E-3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2.11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3.0995830597428107</v>
      </c>
      <c r="C23" s="708">
        <v>1.0581042486070462</v>
      </c>
      <c r="D23" s="709">
        <v>-0.31020093556602196</v>
      </c>
      <c r="E23" s="710">
        <v>-0.10648814692690316</v>
      </c>
      <c r="F23" s="708">
        <v>0.95288991580115956</v>
      </c>
      <c r="G23" s="711">
        <v>0.28400894867685672</v>
      </c>
      <c r="H23" s="710">
        <v>0.314</v>
      </c>
      <c r="I23" s="708">
        <v>0.52</v>
      </c>
      <c r="J23" s="570">
        <v>2.1150000000000002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2.1150000000000002</v>
      </c>
      <c r="N23" s="632">
        <f t="shared" si="2"/>
        <v>3.0995830597428107</v>
      </c>
      <c r="O23" s="629">
        <f t="shared" si="3"/>
        <v>1.0581042486070462</v>
      </c>
      <c r="P23" s="633">
        <f t="shared" si="4"/>
        <v>-0.31020093556602196</v>
      </c>
      <c r="Q23" s="585">
        <f t="shared" si="113"/>
        <v>18.84835829545694</v>
      </c>
      <c r="R23" s="629">
        <f t="shared" si="79"/>
        <v>3.2752098780329919</v>
      </c>
      <c r="S23" s="634">
        <f t="shared" si="80"/>
        <v>-0.31020093556602196</v>
      </c>
      <c r="T23" s="635">
        <f t="shared" si="81"/>
        <v>1.0864931970551146</v>
      </c>
      <c r="U23" s="629">
        <f t="shared" si="82"/>
        <v>-3.0897463128738969</v>
      </c>
      <c r="V23" s="636">
        <f t="shared" si="114"/>
        <v>-0.31020093556602196</v>
      </c>
      <c r="W23" s="585">
        <f t="shared" si="224"/>
        <v>289.37395821956966</v>
      </c>
      <c r="X23" s="629">
        <f t="shared" si="83"/>
        <v>3.2752098780329919</v>
      </c>
      <c r="Y23" s="630">
        <f t="shared" si="223"/>
        <v>-0.31020093556602196</v>
      </c>
      <c r="Z23" s="632">
        <f t="shared" si="6"/>
        <v>0.10648814692690316</v>
      </c>
      <c r="AA23" s="629">
        <f t="shared" si="7"/>
        <v>-0.95288991580115956</v>
      </c>
      <c r="AB23" s="629">
        <f t="shared" si="8"/>
        <v>-0.28400894867685672</v>
      </c>
      <c r="AC23" s="636">
        <f t="shared" si="84"/>
        <v>1</v>
      </c>
      <c r="AD23" s="637">
        <f t="shared" si="115"/>
        <v>0.10648814692690316</v>
      </c>
      <c r="AE23" s="629">
        <f t="shared" si="85"/>
        <v>-0.95288991580115956</v>
      </c>
      <c r="AF23" s="633">
        <f t="shared" si="86"/>
        <v>-0.28400894867685672</v>
      </c>
      <c r="AG23" s="602">
        <f t="shared" si="87"/>
        <v>-73.403306287936672</v>
      </c>
      <c r="AH23" s="603">
        <f t="shared" si="88"/>
        <v>83.887088152049202</v>
      </c>
      <c r="AI23" s="585">
        <f t="shared" si="89"/>
        <v>-73.500382204267538</v>
      </c>
      <c r="AJ23" s="586">
        <f t="shared" si="90"/>
        <v>6.3765087076527491</v>
      </c>
      <c r="AK23" s="635">
        <f t="shared" si="211"/>
        <v>0.93619557698335332</v>
      </c>
      <c r="AL23" s="629">
        <f t="shared" si="91"/>
        <v>-0.20706703916430785</v>
      </c>
      <c r="AM23" s="634">
        <f t="shared" si="92"/>
        <v>-0.28400894867685672</v>
      </c>
      <c r="AN23" s="581">
        <f t="shared" si="93"/>
        <v>-36.095278310756846</v>
      </c>
      <c r="AO23" s="582">
        <f t="shared" si="94"/>
        <v>20.577834907935504</v>
      </c>
      <c r="AP23" s="585">
        <f t="shared" si="95"/>
        <v>-12.471849587804201</v>
      </c>
      <c r="AQ23" s="586">
        <f t="shared" si="9"/>
        <v>0.69602088894349279</v>
      </c>
      <c r="AS23" s="52">
        <f t="shared" si="116"/>
        <v>-70.626041780430342</v>
      </c>
      <c r="AT23" s="72">
        <f t="shared" si="10"/>
        <v>-0.26079007327120035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2.1150000000000002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10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2</v>
      </c>
      <c r="JG23" s="801">
        <v>8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140</v>
      </c>
      <c r="JI23" s="801">
        <v>120</v>
      </c>
    </row>
    <row r="24" spans="1:269" ht="15" customHeight="1" x14ac:dyDescent="0.25">
      <c r="A24" s="79"/>
      <c r="B24" s="707">
        <v>3.6408472475357851</v>
      </c>
      <c r="C24" s="708">
        <v>1.1945757098255982</v>
      </c>
      <c r="D24" s="709">
        <v>-0.87360263478554634</v>
      </c>
      <c r="E24" s="710">
        <v>7.7643716500288016E-3</v>
      </c>
      <c r="F24" s="708">
        <v>0.98466647915935968</v>
      </c>
      <c r="G24" s="711">
        <v>0.17427460903066369</v>
      </c>
      <c r="H24" s="710">
        <v>0.314</v>
      </c>
      <c r="I24" s="708">
        <v>0.52</v>
      </c>
      <c r="J24" s="570">
        <v>2.12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2.12</v>
      </c>
      <c r="N24" s="632">
        <f t="shared" si="2"/>
        <v>3.6408472475357851</v>
      </c>
      <c r="O24" s="629">
        <f t="shared" si="3"/>
        <v>1.1945757098255982</v>
      </c>
      <c r="P24" s="633">
        <f t="shared" si="4"/>
        <v>-0.87360263478554634</v>
      </c>
      <c r="Q24" s="585">
        <f t="shared" si="113"/>
        <v>18.164858394142122</v>
      </c>
      <c r="R24" s="629">
        <f t="shared" si="79"/>
        <v>3.8318115567436553</v>
      </c>
      <c r="S24" s="634">
        <f t="shared" si="80"/>
        <v>-0.87360263478554634</v>
      </c>
      <c r="T24" s="635">
        <f t="shared" si="81"/>
        <v>1.2279241060333062</v>
      </c>
      <c r="U24" s="629">
        <f t="shared" si="82"/>
        <v>-3.6297358300868865</v>
      </c>
      <c r="V24" s="636">
        <f t="shared" si="114"/>
        <v>-0.87360263478554634</v>
      </c>
      <c r="W24" s="585">
        <f t="shared" si="224"/>
        <v>288.69045831825485</v>
      </c>
      <c r="X24" s="629">
        <f t="shared" si="83"/>
        <v>3.8318115567436553</v>
      </c>
      <c r="Y24" s="630">
        <f t="shared" si="223"/>
        <v>-0.87360263478554634</v>
      </c>
      <c r="Z24" s="632">
        <f t="shared" si="6"/>
        <v>-7.7643716500288016E-3</v>
      </c>
      <c r="AA24" s="629">
        <f t="shared" si="7"/>
        <v>-0.98466647915935968</v>
      </c>
      <c r="AB24" s="629">
        <f t="shared" si="8"/>
        <v>-0.17427460903066369</v>
      </c>
      <c r="AC24" s="636">
        <f t="shared" si="84"/>
        <v>1</v>
      </c>
      <c r="AD24" s="637">
        <f t="shared" si="115"/>
        <v>-7.7643716500288016E-3</v>
      </c>
      <c r="AE24" s="629">
        <f t="shared" si="85"/>
        <v>-0.98466647915935968</v>
      </c>
      <c r="AF24" s="633">
        <f t="shared" si="86"/>
        <v>-0.17427460903066369</v>
      </c>
      <c r="AG24" s="602">
        <f t="shared" si="87"/>
        <v>-79.96324671749386</v>
      </c>
      <c r="AH24" s="603">
        <f t="shared" si="88"/>
        <v>90.444870196061956</v>
      </c>
      <c r="AI24" s="585">
        <f t="shared" si="89"/>
        <v>-79.963552390136229</v>
      </c>
      <c r="AJ24" s="586">
        <f t="shared" si="90"/>
        <v>-0.45178394475850897</v>
      </c>
      <c r="AK24" s="635">
        <f>IF(M24="","",(COS(RADIANS((90-$Q$8)-W24))*AD24)+(-SIN(RADIANS((90-$Q$8)-W24))*AE24))</f>
        <v>0.93317352841110457</v>
      </c>
      <c r="AL24" s="629">
        <f t="shared" si="91"/>
        <v>-0.31434937015998438</v>
      </c>
      <c r="AM24" s="634">
        <f t="shared" si="92"/>
        <v>-0.17427460903066369</v>
      </c>
      <c r="AN24" s="581">
        <f t="shared" si="93"/>
        <v>-60.996109026132906</v>
      </c>
      <c r="AO24" s="582">
        <f t="shared" si="94"/>
        <v>21.064958851446931</v>
      </c>
      <c r="AP24" s="585">
        <f t="shared" si="95"/>
        <v>-18.616642338900633</v>
      </c>
      <c r="AQ24" s="586">
        <f t="shared" si="9"/>
        <v>0.59492609898208026</v>
      </c>
      <c r="AS24" s="52">
        <f t="shared" si="116"/>
        <v>-71.309541681745145</v>
      </c>
      <c r="AT24" s="72">
        <f t="shared" si="10"/>
        <v>-0.82371711978147832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2.12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 t="str">
        <v>Inactive</v>
      </c>
      <c r="JB24" s="856" cm="1">
        <f t="array" ref="JB24">IF($JA24="","",COUNT(IF(IF($II$9:$II$150&lt;&gt;"",$IK$9:$IK$150,"")=$JA24,$IG$9:$IG$150,"")))</f>
        <v>4</v>
      </c>
      <c r="JC24" s="5"/>
      <c r="JD24" s="5"/>
      <c r="JE24" s="10"/>
      <c r="JF24" s="247">
        <v>4</v>
      </c>
      <c r="JG24" s="803" t="str">
        <v/>
      </c>
      <c r="JH24" s="787">
        <v>270</v>
      </c>
      <c r="JI24" s="803" t="str">
        <v/>
      </c>
    </row>
    <row r="25" spans="1:269" ht="15" customHeight="1" x14ac:dyDescent="0.25">
      <c r="A25" s="79"/>
      <c r="B25" s="707">
        <v>3.874212677066299</v>
      </c>
      <c r="C25" s="708">
        <v>1.2478397744133645</v>
      </c>
      <c r="D25" s="709">
        <v>-1.5925048029944862</v>
      </c>
      <c r="E25" s="710">
        <v>9.5727379056885067E-2</v>
      </c>
      <c r="F25" s="708">
        <v>0.99308515886409165</v>
      </c>
      <c r="G25" s="711">
        <v>6.7956869724710614E-2</v>
      </c>
      <c r="H25" s="710">
        <v>0.314</v>
      </c>
      <c r="I25" s="708">
        <v>0.52</v>
      </c>
      <c r="J25" s="570">
        <v>2.125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2.125</v>
      </c>
      <c r="N25" s="632">
        <f t="shared" si="2"/>
        <v>3.874212677066299</v>
      </c>
      <c r="O25" s="629">
        <f t="shared" si="3"/>
        <v>1.2478397744133645</v>
      </c>
      <c r="P25" s="633">
        <f t="shared" si="4"/>
        <v>-1.5925048029944862</v>
      </c>
      <c r="Q25" s="585">
        <f t="shared" si="113"/>
        <v>17.853158439146018</v>
      </c>
      <c r="R25" s="629">
        <f>IF(M25="","",SQRT(N25^2+O25^2))</f>
        <v>4.0702122757602233</v>
      </c>
      <c r="S25" s="634">
        <f>IF(M25="","",P25)</f>
        <v>-1.5925048029944862</v>
      </c>
      <c r="T25" s="635">
        <f>IF(M25="","",X25*COS(RADIANS(W25)))</f>
        <v>1.2833266653870066</v>
      </c>
      <c r="U25" s="629">
        <f>IF(M25="","",X25*SIN(RADIANS(W25)))</f>
        <v>-3.8626028322435482</v>
      </c>
      <c r="V25" s="636">
        <f>IF(M25="","",Y25)</f>
        <v>-1.5925048029944862</v>
      </c>
      <c r="W25" s="585">
        <f t="shared" si="224"/>
        <v>288.37875836325873</v>
      </c>
      <c r="X25" s="629">
        <f>IF(M25="","",R25)</f>
        <v>4.0702122757602233</v>
      </c>
      <c r="Y25" s="630">
        <f t="shared" si="223"/>
        <v>-1.5925048029944862</v>
      </c>
      <c r="Z25" s="632">
        <f t="shared" si="6"/>
        <v>-9.5727379056885067E-2</v>
      </c>
      <c r="AA25" s="629">
        <f t="shared" si="7"/>
        <v>-0.99308515886409165</v>
      </c>
      <c r="AB25" s="629">
        <f t="shared" si="8"/>
        <v>-6.7956869724710614E-2</v>
      </c>
      <c r="AC25" s="636">
        <f>IF(M25="","",SQRT(Z25^2+AA25^2+AB25^2))</f>
        <v>1</v>
      </c>
      <c r="AD25" s="637">
        <f>IF(M25="","",Z25*(1/SQRT(Z25^2+AA25^2+AB25^2)))</f>
        <v>-9.5727379056885067E-2</v>
      </c>
      <c r="AE25" s="629">
        <f>IF(M25="","",AA25*(1/SQRT(Z25^2+AA25^2+AB25^2)))</f>
        <v>-0.99308515886409165</v>
      </c>
      <c r="AF25" s="633">
        <f>IF(M25="","",AB25*(1/SQRT(Z25^2+AA25^2+AB25^2)))</f>
        <v>-6.7956869724710614E-2</v>
      </c>
      <c r="AG25" s="602">
        <f>IF(M25="","",DEGREES(ATAN2(-AF25,AE25)))</f>
        <v>-86.085349520411668</v>
      </c>
      <c r="AH25" s="603">
        <f>IF(M25="","",DEGREES(ACOS(AD25)))</f>
        <v>95.493186370359979</v>
      </c>
      <c r="AI25" s="585">
        <f>IF(M25="","",DEGREES(-ACOS(-AF25)))</f>
        <v>-86.103355035976605</v>
      </c>
      <c r="AJ25" s="586">
        <f>IF(M25="","",DEGREES(ATAN2(-AE25,AD25)))</f>
        <v>-5.5059538937734418</v>
      </c>
      <c r="AK25" s="635">
        <f>IF(M25="","",(COS(RADIANS((90-$Q$8)-W25))*AD25)+(-SIN(RADIANS((90-$Q$8)-W25))*AE25))</f>
        <v>0.91591554155337962</v>
      </c>
      <c r="AL25" s="629">
        <f>IF(M25="","",(SIN(RADIANS((90-$Q$8)-W25))*AD25)+(COS(RADIANS((90-$Q$8)-W25))*AE25))</f>
        <v>-0.39557626900282838</v>
      </c>
      <c r="AM25" s="634">
        <f>IF(M25="","",AF25)</f>
        <v>-6.7956869724710614E-2</v>
      </c>
      <c r="AN25" s="581">
        <f>IF(M25="","",DEGREES(ATAN2(-AM25,AL25)))</f>
        <v>-80.252189812816198</v>
      </c>
      <c r="AO25" s="582">
        <f>IF(ROUND(IF(M25="",0,DEGREES(ACOS(AK25))),4)=90,0,IF(M25="","",DEGREES(ACOS(AK25))))</f>
        <v>23.663917527871504</v>
      </c>
      <c r="AP25" s="585">
        <f>IF(M25="","",DEGREES(ATAN2(AK25,AL25)))</f>
        <v>-23.359112332919413</v>
      </c>
      <c r="AQ25" s="586">
        <f t="shared" si="9"/>
        <v>0.56008234045300276</v>
      </c>
      <c r="AS25" s="52">
        <f t="shared" si="116"/>
        <v>-71.621241636741274</v>
      </c>
      <c r="AT25" s="72">
        <f t="shared" si="10"/>
        <v>-1.5424028296883374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2.125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3.9674479294862244</v>
      </c>
      <c r="C26" s="708">
        <v>1.2682084275858057</v>
      </c>
      <c r="D26" s="709">
        <v>-2.2352067413835321</v>
      </c>
      <c r="E26" s="710">
        <v>0.29833989849800119</v>
      </c>
      <c r="F26" s="708">
        <v>0.94731651893606539</v>
      </c>
      <c r="G26" s="711">
        <v>0.11655349808160187</v>
      </c>
      <c r="H26" s="710">
        <v>0.26600000000000001</v>
      </c>
      <c r="I26" s="708">
        <v>0.52</v>
      </c>
      <c r="J26" s="570">
        <v>2.13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320"/>
      <c r="M26" s="168">
        <f t="shared" si="1"/>
        <v>2.13</v>
      </c>
      <c r="N26" s="632">
        <f t="shared" si="2"/>
        <v>3.9674479294862244</v>
      </c>
      <c r="O26" s="629">
        <f t="shared" si="3"/>
        <v>1.2682084275858057</v>
      </c>
      <c r="P26" s="633">
        <f t="shared" si="4"/>
        <v>-2.2352067413835321</v>
      </c>
      <c r="Q26" s="585">
        <f t="shared" si="113"/>
        <v>17.726658457410363</v>
      </c>
      <c r="R26" s="629">
        <f>IF(M26="","",SQRT(N26^2+O26^2))</f>
        <v>4.1652125622810887</v>
      </c>
      <c r="S26" s="634">
        <f>IF(M26="","",P26)</f>
        <v>-2.2352067413835321</v>
      </c>
      <c r="T26" s="635">
        <f>IF(M26="","",X26*COS(RADIANS(W26)))</f>
        <v>1.3045497383905471</v>
      </c>
      <c r="U26" s="629">
        <f>IF(M26="","",X26*SIN(RADIANS(W26)))</f>
        <v>-3.9556473135315473</v>
      </c>
      <c r="V26" s="636">
        <f>IF(M26="","",Y26)</f>
        <v>-2.2352067413835321</v>
      </c>
      <c r="W26" s="585">
        <f t="shared" si="224"/>
        <v>288.25225838152312</v>
      </c>
      <c r="X26" s="629">
        <f>IF(M26="","",R26)</f>
        <v>4.1652125622810887</v>
      </c>
      <c r="Y26" s="630">
        <f t="shared" si="223"/>
        <v>-2.2352067413835321</v>
      </c>
      <c r="Z26" s="632">
        <f t="shared" si="6"/>
        <v>-0.29833989849800119</v>
      </c>
      <c r="AA26" s="629">
        <f t="shared" si="7"/>
        <v>-0.94731651893606539</v>
      </c>
      <c r="AB26" s="629">
        <f t="shared" si="8"/>
        <v>-0.11655349808160187</v>
      </c>
      <c r="AC26" s="636">
        <f>IF(M26="","",SQRT(Z26^2+AA26^2+AB26^2))</f>
        <v>1</v>
      </c>
      <c r="AD26" s="637">
        <f>IF(M26="","",Z26*(1/SQRT(Z26^2+AA26^2+AB26^2)))</f>
        <v>-0.29833989849800119</v>
      </c>
      <c r="AE26" s="629">
        <f>IF(M26="","",AA26*(1/SQRT(Z26^2+AA26^2+AB26^2)))</f>
        <v>-0.94731651893606539</v>
      </c>
      <c r="AF26" s="633">
        <f>IF(M26="","",AB26*(1/SQRT(Z26^2+AA26^2+AB26^2)))</f>
        <v>-0.11655349808160187</v>
      </c>
      <c r="AG26" s="602">
        <f>IF(M26="","",DEGREES(ATAN2(-AF26,AE26)))</f>
        <v>-82.985840001755435</v>
      </c>
      <c r="AH26" s="603">
        <f>IF(M26="","",DEGREES(ACOS(AD26)))</f>
        <v>107.35792083410256</v>
      </c>
      <c r="AI26" s="585">
        <f>IF(M26="","",DEGREES(-ACOS(-AF26)))</f>
        <v>-83.306763444283021</v>
      </c>
      <c r="AJ26" s="586">
        <f>IF(M26="","",DEGREES(ATAN2(-AE26,AD26)))</f>
        <v>-17.480861517059768</v>
      </c>
      <c r="AK26" s="635">
        <f>IF(M26="","",(COS(RADIANS((90-$Q$8)-W26))*AD26)+(-SIN(RADIANS((90-$Q$8)-W26))*AE26))</f>
        <v>0.81150043065500255</v>
      </c>
      <c r="AL26" s="629">
        <f>IF(M26="","",(SIN(RADIANS((90-$Q$8)-W26))*AD26)+(COS(RADIANS((90-$Q$8)-W26))*AE26))</f>
        <v>-0.572610105684215</v>
      </c>
      <c r="AM26" s="634">
        <f>IF(M26="","",AF26)</f>
        <v>-0.11655349808160187</v>
      </c>
      <c r="AN26" s="581">
        <f>IF(M26="","",DEGREES(ATAN2(-AM26,AL26)))</f>
        <v>-78.494748612456888</v>
      </c>
      <c r="AO26" s="582">
        <f t="shared" si="94"/>
        <v>35.757212346865529</v>
      </c>
      <c r="AP26" s="585">
        <f>IF(M26="","",DEGREES(ATAN2(AK26,AL26)))</f>
        <v>-35.207519974470173</v>
      </c>
      <c r="AQ26" s="586">
        <f t="shared" si="9"/>
        <v>0.54730875264837031</v>
      </c>
      <c r="AS26" s="52">
        <f t="shared" si="116"/>
        <v>-71.74774161847688</v>
      </c>
      <c r="AT26" s="72">
        <f t="shared" si="10"/>
        <v>-2.1850169208678447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2.13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1313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3.9674479294862239</v>
      </c>
      <c r="C27" s="708">
        <v>1.2682084275858054</v>
      </c>
      <c r="D27" s="709">
        <v>-2.8393085633546278</v>
      </c>
      <c r="E27" s="710">
        <v>0.29833989849800119</v>
      </c>
      <c r="F27" s="708">
        <v>0.94731651893606539</v>
      </c>
      <c r="G27" s="711">
        <v>0.1165534980816018</v>
      </c>
      <c r="H27" s="710">
        <v>0.26600000000000001</v>
      </c>
      <c r="I27" s="708">
        <v>0.52</v>
      </c>
      <c r="J27" s="570">
        <v>2.1349999999999998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1313</v>
      </c>
      <c r="L27" s="320"/>
      <c r="M27" s="168">
        <f t="shared" si="1"/>
        <v>2.1349999999999998</v>
      </c>
      <c r="N27" s="632">
        <f t="shared" si="2"/>
        <v>3.9674479294862239</v>
      </c>
      <c r="O27" s="629">
        <f t="shared" si="3"/>
        <v>1.2682084275858054</v>
      </c>
      <c r="P27" s="633">
        <f t="shared" si="4"/>
        <v>-2.8393085633546278</v>
      </c>
      <c r="Q27" s="585">
        <f t="shared" si="113"/>
        <v>17.726658457410363</v>
      </c>
      <c r="R27" s="629">
        <f t="shared" si="79"/>
        <v>4.1652125622810878</v>
      </c>
      <c r="S27" s="634">
        <f t="shared" si="80"/>
        <v>-2.8393085633546278</v>
      </c>
      <c r="T27" s="635">
        <f t="shared" si="81"/>
        <v>1.3045497383905469</v>
      </c>
      <c r="U27" s="629">
        <f t="shared" si="82"/>
        <v>-3.9556473135315469</v>
      </c>
      <c r="V27" s="636">
        <f t="shared" si="114"/>
        <v>-2.8393085633546278</v>
      </c>
      <c r="W27" s="585">
        <f t="shared" si="224"/>
        <v>288.25225838152312</v>
      </c>
      <c r="X27" s="629">
        <f t="shared" si="83"/>
        <v>4.1652125622810878</v>
      </c>
      <c r="Y27" s="630">
        <f t="shared" si="223"/>
        <v>-2.8393085633546278</v>
      </c>
      <c r="Z27" s="632">
        <f t="shared" si="6"/>
        <v>-0.29833989849800119</v>
      </c>
      <c r="AA27" s="629">
        <f t="shared" si="7"/>
        <v>-0.94731651893606539</v>
      </c>
      <c r="AB27" s="629">
        <f t="shared" si="8"/>
        <v>-0.1165534980816018</v>
      </c>
      <c r="AC27" s="636">
        <f t="shared" si="84"/>
        <v>1</v>
      </c>
      <c r="AD27" s="637">
        <f t="shared" si="115"/>
        <v>-0.29833989849800119</v>
      </c>
      <c r="AE27" s="629">
        <f t="shared" si="85"/>
        <v>-0.94731651893606539</v>
      </c>
      <c r="AF27" s="633">
        <f t="shared" si="86"/>
        <v>-0.1165534980816018</v>
      </c>
      <c r="AG27" s="602">
        <f t="shared" si="87"/>
        <v>-82.985840001755435</v>
      </c>
      <c r="AH27" s="603">
        <f t="shared" si="88"/>
        <v>107.35792083410256</v>
      </c>
      <c r="AI27" s="585">
        <f t="shared" si="89"/>
        <v>-83.306763444283021</v>
      </c>
      <c r="AJ27" s="586">
        <f t="shared" si="90"/>
        <v>-17.480861517059768</v>
      </c>
      <c r="AK27" s="635">
        <f t="shared" si="211"/>
        <v>0.81150043065500255</v>
      </c>
      <c r="AL27" s="629">
        <f t="shared" si="91"/>
        <v>-0.572610105684215</v>
      </c>
      <c r="AM27" s="634">
        <f t="shared" si="92"/>
        <v>-0.1165534980816018</v>
      </c>
      <c r="AN27" s="581">
        <f t="shared" si="93"/>
        <v>-78.494748612456902</v>
      </c>
      <c r="AO27" s="582">
        <f t="shared" si="94"/>
        <v>35.757212346865529</v>
      </c>
      <c r="AP27" s="585">
        <f t="shared" si="95"/>
        <v>-35.207519974470173</v>
      </c>
      <c r="AQ27" s="586">
        <f t="shared" si="9"/>
        <v>0.54730875264837042</v>
      </c>
      <c r="AS27" s="52">
        <f t="shared" si="116"/>
        <v>-71.74774161847688</v>
      </c>
      <c r="AT27" s="72">
        <f t="shared" si="10"/>
        <v>-2.7891187428389403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2.1349999999999998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1313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3.2925836913749555</v>
      </c>
      <c r="C28" s="708">
        <v>0.13444037640172873</v>
      </c>
      <c r="D28" s="709">
        <v>-0.27391598201101136</v>
      </c>
      <c r="E28" s="710">
        <v>0.19998265025373427</v>
      </c>
      <c r="F28" s="708">
        <v>0.9118529096642557</v>
      </c>
      <c r="G28" s="711">
        <v>0.3585124973195824</v>
      </c>
      <c r="H28" s="710">
        <v>0.26600000000000001</v>
      </c>
      <c r="I28" s="708">
        <v>0.52</v>
      </c>
      <c r="J28" s="570">
        <v>2.2149999999999999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320"/>
      <c r="M28" s="168">
        <f t="shared" si="1"/>
        <v>2.2149999999999999</v>
      </c>
      <c r="N28" s="632">
        <f t="shared" si="2"/>
        <v>3.2925836913749555</v>
      </c>
      <c r="O28" s="629">
        <f t="shared" si="3"/>
        <v>0.13444037640172873</v>
      </c>
      <c r="P28" s="633">
        <f t="shared" si="4"/>
        <v>-0.27391598201101136</v>
      </c>
      <c r="Q28" s="585">
        <f t="shared" si="113"/>
        <v>2.3381606792345551</v>
      </c>
      <c r="R28" s="629">
        <f t="shared" si="79"/>
        <v>3.2953272340566371</v>
      </c>
      <c r="S28" s="634">
        <f t="shared" si="80"/>
        <v>-0.27391598201101136</v>
      </c>
      <c r="T28" s="635">
        <f t="shared" si="81"/>
        <v>0.16463864540010034</v>
      </c>
      <c r="U28" s="629">
        <f t="shared" si="82"/>
        <v>-3.2912118886446962</v>
      </c>
      <c r="V28" s="636">
        <f t="shared" si="114"/>
        <v>-0.27391598201101136</v>
      </c>
      <c r="W28" s="585">
        <f t="shared" si="224"/>
        <v>272.86376060334726</v>
      </c>
      <c r="X28" s="629">
        <f t="shared" si="83"/>
        <v>3.2953272340566371</v>
      </c>
      <c r="Y28" s="630">
        <f t="shared" si="223"/>
        <v>-0.27391598201101136</v>
      </c>
      <c r="Z28" s="632">
        <f t="shared" si="6"/>
        <v>-0.19998265025373427</v>
      </c>
      <c r="AA28" s="629">
        <f t="shared" si="7"/>
        <v>-0.9118529096642557</v>
      </c>
      <c r="AB28" s="629">
        <f t="shared" si="8"/>
        <v>-0.3585124973195824</v>
      </c>
      <c r="AC28" s="636">
        <f t="shared" si="84"/>
        <v>1</v>
      </c>
      <c r="AD28" s="637">
        <f t="shared" si="115"/>
        <v>-0.19998265025373427</v>
      </c>
      <c r="AE28" s="629">
        <f t="shared" si="85"/>
        <v>-0.9118529096642557</v>
      </c>
      <c r="AF28" s="633">
        <f t="shared" si="86"/>
        <v>-0.3585124973195824</v>
      </c>
      <c r="AG28" s="602">
        <f t="shared" si="87"/>
        <v>-68.536775290842655</v>
      </c>
      <c r="AH28" s="603">
        <f t="shared" si="88"/>
        <v>101.5359444690241</v>
      </c>
      <c r="AI28" s="585">
        <f t="shared" si="89"/>
        <v>-68.99112853768807</v>
      </c>
      <c r="AJ28" s="586">
        <f t="shared" si="90"/>
        <v>-12.369955211175835</v>
      </c>
      <c r="AK28" s="635">
        <f t="shared" si="211"/>
        <v>0.90293499406325195</v>
      </c>
      <c r="AL28" s="629">
        <f t="shared" si="91"/>
        <v>-0.2370172689102461</v>
      </c>
      <c r="AM28" s="634">
        <f t="shared" si="92"/>
        <v>-0.3585124973195824</v>
      </c>
      <c r="AN28" s="581">
        <f t="shared" si="93"/>
        <v>-33.469208633507918</v>
      </c>
      <c r="AO28" s="582">
        <f t="shared" si="94"/>
        <v>25.453418195212077</v>
      </c>
      <c r="AP28" s="585">
        <f t="shared" si="95"/>
        <v>-14.708115890410356</v>
      </c>
      <c r="AQ28" s="586">
        <f t="shared" si="9"/>
        <v>0.69177222587442244</v>
      </c>
      <c r="AS28" s="52">
        <f t="shared" si="116"/>
        <v>-87.136239396652741</v>
      </c>
      <c r="AT28" s="72">
        <f t="shared" si="10"/>
        <v>-0.21303970470492423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>Taper</v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2.2149999999999999</v>
      </c>
      <c r="IH28" s="731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2.1150000000000002</v>
      </c>
      <c r="II28" s="734" cm="1">
        <f t="array" ref="II28">IFERROR(ROUND(VALUE(IF($IH28&lt;1,$IH28+LARGE((IF($M$9:$M$150="",0,$M$9:$M$150)-MOD(IF($M$9:$M$150="",0,$M$9:$M$150),1)),1),$IH28)),4),"")</f>
        <v>2.1150000000000002</v>
      </c>
      <c r="IJ28" s="533">
        <f t="shared" si="112"/>
        <v>1613</v>
      </c>
      <c r="IK28" s="533">
        <f t="shared" si="66"/>
        <v>1313</v>
      </c>
      <c r="IL28" s="727">
        <f t="shared" si="225"/>
        <v>16.510197616222399</v>
      </c>
      <c r="IM28" s="759">
        <v>1.24412270938704E-2</v>
      </c>
      <c r="IN28" s="5">
        <f t="shared" si="226"/>
        <v>0.28000000000000003</v>
      </c>
      <c r="IO28" s="771">
        <v>140</v>
      </c>
      <c r="IP28" s="9">
        <f t="shared" si="227"/>
        <v>-3.2752098780329919</v>
      </c>
      <c r="IQ28" s="5">
        <f t="shared" si="228"/>
        <v>-0.31020093556602196</v>
      </c>
      <c r="IR28" s="5">
        <f t="shared" si="71"/>
        <v>0.314</v>
      </c>
      <c r="IS28" s="5">
        <f t="shared" si="229"/>
        <v>0.29396541117277292</v>
      </c>
      <c r="IT28" s="727">
        <f t="shared" si="230"/>
        <v>36.095278310756846</v>
      </c>
      <c r="IU28" s="9">
        <f t="shared" si="231"/>
        <v>-3.2953272340566371</v>
      </c>
      <c r="IV28" s="5">
        <f t="shared" si="232"/>
        <v>-0.27391598201101136</v>
      </c>
      <c r="IW28" s="5">
        <f t="shared" si="76"/>
        <v>0.26600000000000001</v>
      </c>
      <c r="IX28" s="5">
        <f t="shared" si="233"/>
        <v>0.24018070842082503</v>
      </c>
      <c r="IY28" s="762">
        <f t="shared" si="234"/>
        <v>33.469208633507918</v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3.8579263832971589</v>
      </c>
      <c r="C29" s="708">
        <v>0.27663167469870326</v>
      </c>
      <c r="D29" s="709">
        <v>-0.84517729143824438</v>
      </c>
      <c r="E29" s="710">
        <v>0.30248961008349762</v>
      </c>
      <c r="F29" s="708">
        <v>0.92402104827441023</v>
      </c>
      <c r="G29" s="711">
        <v>0.2338485367441793</v>
      </c>
      <c r="H29" s="710">
        <v>0.26600000000000001</v>
      </c>
      <c r="I29" s="708">
        <v>0.52</v>
      </c>
      <c r="J29" s="570">
        <v>2.2200000000000002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320"/>
      <c r="M29" s="168">
        <f t="shared" si="1"/>
        <v>2.2200000000000002</v>
      </c>
      <c r="N29" s="632">
        <f t="shared" si="2"/>
        <v>3.8579263832971589</v>
      </c>
      <c r="O29" s="629">
        <f t="shared" si="3"/>
        <v>0.27663167469870326</v>
      </c>
      <c r="P29" s="633">
        <f t="shared" si="4"/>
        <v>-0.84517729143824438</v>
      </c>
      <c r="Q29" s="585">
        <f t="shared" si="113"/>
        <v>4.1013604246600002</v>
      </c>
      <c r="R29" s="629">
        <f>IF(M29="","",SQRT(N29^2+O29^2))</f>
        <v>3.8678315710985798</v>
      </c>
      <c r="S29" s="634">
        <f>IF(M29="","",P29)</f>
        <v>-0.84517729143824438</v>
      </c>
      <c r="T29" s="635">
        <f>IF(M29="","",X29*COS(RADIANS(W29)))</f>
        <v>0.31201003062712102</v>
      </c>
      <c r="U29" s="629">
        <f>IF(M29="","",X29*SIN(RADIANS(W29)))</f>
        <v>-3.8552264269657326</v>
      </c>
      <c r="V29" s="636">
        <f>IF(M29="","",Y29)</f>
        <v>-0.84517729143824438</v>
      </c>
      <c r="W29" s="585">
        <f t="shared" si="224"/>
        <v>274.62696034877274</v>
      </c>
      <c r="X29" s="629">
        <f>IF(M29="","",R29)</f>
        <v>3.8678315710985798</v>
      </c>
      <c r="Y29" s="630">
        <f t="shared" si="223"/>
        <v>-0.84517729143824438</v>
      </c>
      <c r="Z29" s="632">
        <f t="shared" si="6"/>
        <v>-0.30248961008349762</v>
      </c>
      <c r="AA29" s="629">
        <f t="shared" si="7"/>
        <v>-0.92402104827441023</v>
      </c>
      <c r="AB29" s="629">
        <f t="shared" si="8"/>
        <v>-0.2338485367441793</v>
      </c>
      <c r="AC29" s="636">
        <f>IF(M29="","",SQRT(Z29^2+AA29^2+AB29^2))</f>
        <v>1</v>
      </c>
      <c r="AD29" s="637">
        <f>IF(M29="","",Z29*(1/SQRT(Z29^2+AA29^2+AB29^2)))</f>
        <v>-0.30248961008349762</v>
      </c>
      <c r="AE29" s="629">
        <f>IF(M29="","",AA29*(1/SQRT(Z29^2+AA29^2+AB29^2)))</f>
        <v>-0.92402104827441023</v>
      </c>
      <c r="AF29" s="633">
        <f>IF(M29="","",AB29*(1/SQRT(Z29^2+AA29^2+AB29^2)))</f>
        <v>-0.2338485367441793</v>
      </c>
      <c r="AG29" s="602">
        <f>IF(M29="","",DEGREES(ATAN2(-AF29,AE29)))</f>
        <v>-75.797944855058589</v>
      </c>
      <c r="AH29" s="603">
        <f>IF(M29="","",DEGREES(ACOS(AD29)))</f>
        <v>107.6071964082448</v>
      </c>
      <c r="AI29" s="585">
        <f>IF(M29="","",DEGREES(-ACOS(-AF29)))</f>
        <v>-76.476242317930229</v>
      </c>
      <c r="AJ29" s="586">
        <f>IF(M29="","",DEGREES(ATAN2(-AE29,AD29)))</f>
        <v>-18.126493204242639</v>
      </c>
      <c r="AK29" s="635">
        <f>IF(M29="","",(COS(RADIANS((90-$Q$8)-W29))*AD29)+(-SIN(RADIANS((90-$Q$8)-W29))*AE29))</f>
        <v>0.90002031098128843</v>
      </c>
      <c r="AL29" s="629">
        <f>IF(M29="","",(SIN(RADIANS((90-$Q$8)-W29))*AD29)+(COS(RADIANS((90-$Q$8)-W29))*AE29))</f>
        <v>-0.36780198705791561</v>
      </c>
      <c r="AM29" s="634">
        <f>IF(M29="","",AF29)</f>
        <v>-0.2338485367441793</v>
      </c>
      <c r="AN29" s="581">
        <f>IF(M29="","",DEGREES(ATAN2(-AM29,AL29)))</f>
        <v>-57.551795593948711</v>
      </c>
      <c r="AO29" s="582">
        <f t="shared" si="94"/>
        <v>25.839262846961613</v>
      </c>
      <c r="AP29" s="585">
        <f>IF(M29="","",DEGREES(ATAN2(AK29,AL29)))</f>
        <v>-22.22785362890264</v>
      </c>
      <c r="AQ29" s="586">
        <f t="shared" si="9"/>
        <v>0.58938611425333254</v>
      </c>
      <c r="AS29" s="52">
        <f t="shared" si="116"/>
        <v>-85.373039651227259</v>
      </c>
      <c r="AT29" s="72">
        <f t="shared" si="10"/>
        <v>-0.7855254583998138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Taper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2.2200000000000002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2.12</v>
      </c>
      <c r="II29" s="734" cm="1">
        <f t="array" ref="II29">IFERROR(ROUND(VALUE(IF($IH29&lt;1,$IH29+LARGE((IF($M$9:$M$150="",0,$M$9:$M$150)-MOD(IF($M$9:$M$150="",0,$M$9:$M$150),1)),1),$IH29)),4),"")</f>
        <v>2.12</v>
      </c>
      <c r="IJ29" s="533">
        <f t="shared" si="112"/>
        <v>1613</v>
      </c>
      <c r="IK29" s="533">
        <f t="shared" si="66"/>
        <v>1313</v>
      </c>
      <c r="IL29" s="727">
        <f t="shared" si="225"/>
        <v>14.063497969482114</v>
      </c>
      <c r="IM29" s="759">
        <v>7.9782019586171794E-3</v>
      </c>
      <c r="IN29" s="5">
        <f t="shared" si="226"/>
        <v>0.26</v>
      </c>
      <c r="IO29" s="771">
        <v>130</v>
      </c>
      <c r="IP29" s="9">
        <f t="shared" si="227"/>
        <v>-3.8318115567436553</v>
      </c>
      <c r="IQ29" s="5">
        <f t="shared" si="228"/>
        <v>-0.87360263478554634</v>
      </c>
      <c r="IR29" s="5">
        <f t="shared" si="71"/>
        <v>0.314</v>
      </c>
      <c r="IS29" s="5">
        <f t="shared" si="229"/>
        <v>0.29301648792108681</v>
      </c>
      <c r="IT29" s="727">
        <f t="shared" si="230"/>
        <v>60.996109026132906</v>
      </c>
      <c r="IU29" s="9">
        <f t="shared" si="231"/>
        <v>-3.8678315710985798</v>
      </c>
      <c r="IV29" s="5">
        <f t="shared" si="232"/>
        <v>-0.84517729143824438</v>
      </c>
      <c r="IW29" s="5">
        <f t="shared" si="76"/>
        <v>0.26600000000000001</v>
      </c>
      <c r="IX29" s="5">
        <f t="shared" si="233"/>
        <v>0.23940540272102276</v>
      </c>
      <c r="IY29" s="762">
        <f t="shared" si="234"/>
        <v>57.551795593948711</v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10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140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120</v>
      </c>
    </row>
    <row r="30" spans="1:269" ht="15" customHeight="1" x14ac:dyDescent="0.25">
      <c r="A30" s="79"/>
      <c r="B30" s="707">
        <v>0.49058102601557491</v>
      </c>
      <c r="C30" s="708">
        <v>-0.70062312234983204</v>
      </c>
      <c r="D30" s="709">
        <v>-0.17960054167523373</v>
      </c>
      <c r="E30" s="710">
        <v>0.75265370426679923</v>
      </c>
      <c r="F30" s="708">
        <v>0.56340325927152313</v>
      </c>
      <c r="G30" s="711">
        <v>0.34071860661796938</v>
      </c>
      <c r="H30" s="710">
        <v>0.314</v>
      </c>
      <c r="I30" s="708">
        <v>0.52</v>
      </c>
      <c r="J30" s="570">
        <v>3.1030000000000002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3.1030000000000002</v>
      </c>
      <c r="N30" s="632">
        <f t="shared" si="2"/>
        <v>0.49058102601557491</v>
      </c>
      <c r="O30" s="629">
        <f t="shared" si="3"/>
        <v>-0.70062312234983204</v>
      </c>
      <c r="P30" s="633">
        <f t="shared" si="4"/>
        <v>-0.17960054167523373</v>
      </c>
      <c r="Q30" s="585">
        <f t="shared" si="113"/>
        <v>304.99996895784517</v>
      </c>
      <c r="R30" s="629">
        <f>IF(M30="","",SQRT(N30^2+O30^2))</f>
        <v>0.85530257959258016</v>
      </c>
      <c r="S30" s="634">
        <f>IF(M30="","",P30)</f>
        <v>-0.17960054167523373</v>
      </c>
      <c r="T30" s="635">
        <f>IF(M30="","",X30*COS(RADIANS(W30)))</f>
        <v>-0.69609338606422044</v>
      </c>
      <c r="U30" s="629">
        <f>IF(M30="","",X30*SIN(RADIANS(W30)))</f>
        <v>-0.49698742492679837</v>
      </c>
      <c r="V30" s="636">
        <f>IF(M30="","",Y30)</f>
        <v>-0.17960054167523373</v>
      </c>
      <c r="W30" s="585">
        <f t="shared" si="224"/>
        <v>215.52556888195792</v>
      </c>
      <c r="X30" s="629">
        <f>IF(M30="","",R30)</f>
        <v>0.85530257959258016</v>
      </c>
      <c r="Y30" s="630">
        <f t="shared" si="223"/>
        <v>-0.17960054167523373</v>
      </c>
      <c r="Z30" s="632">
        <f t="shared" si="6"/>
        <v>-0.75265370426679923</v>
      </c>
      <c r="AA30" s="629">
        <f t="shared" si="7"/>
        <v>-0.56340325927152313</v>
      </c>
      <c r="AB30" s="629">
        <f t="shared" si="8"/>
        <v>-0.34071860661796938</v>
      </c>
      <c r="AC30" s="636">
        <f>IF(M30="","",SQRT(Z30^2+AA30^2+AB30^2))</f>
        <v>1</v>
      </c>
      <c r="AD30" s="637">
        <f>IF(M30="","",Z30*(1/SQRT(Z30^2+AA30^2+AB30^2)))</f>
        <v>-0.75265370426679923</v>
      </c>
      <c r="AE30" s="629">
        <f>IF(M30="","",AA30*(1/SQRT(Z30^2+AA30^2+AB30^2)))</f>
        <v>-0.56340325927152313</v>
      </c>
      <c r="AF30" s="633">
        <f>IF(M30="","",AB30*(1/SQRT(Z30^2+AA30^2+AB30^2)))</f>
        <v>-0.34071860661796938</v>
      </c>
      <c r="AG30" s="602">
        <f>IF(M30="","",DEGREES(ATAN2(-AF30,AE30)))</f>
        <v>-58.836512662909314</v>
      </c>
      <c r="AH30" s="603">
        <f>IF(M30="","",DEGREES(ACOS(AD30)))</f>
        <v>138.8207758013327</v>
      </c>
      <c r="AI30" s="585">
        <f>IF(M30="","",DEGREES(-ACOS(-AF30)))</f>
        <v>-70.079338493247803</v>
      </c>
      <c r="AJ30" s="586">
        <f>IF(M30="","",DEGREES(ATAN2(-AE30,AD30)))</f>
        <v>-53.183098655412891</v>
      </c>
      <c r="AK30" s="635">
        <f>IF(M30="","",(COS(RADIANS((90-$Q$8)-W30))*AD30)+(-SIN(RADIANS((90-$Q$8)-W30))*AE30))</f>
        <v>0.93969263802333458</v>
      </c>
      <c r="AL30" s="629">
        <f>IF(M30="","",(SIN(RADIANS((90-$Q$8)-W30))*AD30)+(COS(RADIANS((90-$Q$8)-W30))*AE30))</f>
        <v>2.9809011205603864E-2</v>
      </c>
      <c r="AM30" s="634">
        <f>IF(M30="","",AF30)</f>
        <v>-0.34071860661796938</v>
      </c>
      <c r="AN30" s="581">
        <f>IF(M30="","",DEGREES(ATAN2(-AM30,AL30)))</f>
        <v>4.9999992780894154</v>
      </c>
      <c r="AO30" s="582">
        <f>IF(ROUND(IF(M30="",0,DEGREES(ACOS(AK30))),4)=90,0,IF(M30="","",DEGREES(ACOS(AK30))))</f>
        <v>19.999997112357679</v>
      </c>
      <c r="AP30" s="585">
        <f>IF(M30="","",DEGREES(ATAN2(AK30,AL30)))</f>
        <v>1.8169323867419469</v>
      </c>
      <c r="AQ30" s="586">
        <f t="shared" si="9"/>
        <v>2.6634834113003905</v>
      </c>
      <c r="AS30" s="52">
        <f t="shared" si="116"/>
        <v>-144.47443111804208</v>
      </c>
      <c r="AT30" s="72">
        <f t="shared" si="10"/>
        <v>-7.8906075673737322E-2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3.1030000000000002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4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270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0.92942534146572875</v>
      </c>
      <c r="C31" s="708">
        <v>-1.3273584794290514</v>
      </c>
      <c r="D31" s="709">
        <v>-0.11270033990422498</v>
      </c>
      <c r="E31" s="710">
        <v>0.75265370426679912</v>
      </c>
      <c r="F31" s="708">
        <v>0.56340325927152324</v>
      </c>
      <c r="G31" s="711">
        <v>0.34071860661796943</v>
      </c>
      <c r="H31" s="710">
        <v>0.314</v>
      </c>
      <c r="I31" s="708">
        <v>0.52</v>
      </c>
      <c r="J31" s="570">
        <v>3.1059999999999999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3.1059999999999999</v>
      </c>
      <c r="N31" s="632">
        <f t="shared" si="2"/>
        <v>0.92942534146572875</v>
      </c>
      <c r="O31" s="629">
        <f t="shared" si="3"/>
        <v>-1.3273584794290514</v>
      </c>
      <c r="P31" s="633">
        <f t="shared" si="4"/>
        <v>-0.11270033990422498</v>
      </c>
      <c r="Q31" s="585">
        <f t="shared" si="113"/>
        <v>304.99996895784517</v>
      </c>
      <c r="R31" s="629">
        <f>IF(M31="","",SQRT(N31^2+O31^2))</f>
        <v>1.6204048871411398</v>
      </c>
      <c r="S31" s="634">
        <f>IF(M31="","",P31)</f>
        <v>-0.11270033990422498</v>
      </c>
      <c r="T31" s="635">
        <f>IF(M31="","",X31*COS(RADIANS(W31)))</f>
        <v>-1.318776713174866</v>
      </c>
      <c r="U31" s="629">
        <f>IF(M31="","",X31*SIN(RADIANS(W31)))</f>
        <v>-0.94156251999460316</v>
      </c>
      <c r="V31" s="636">
        <f>IF(M31="","",Y31)</f>
        <v>-0.11270033990422498</v>
      </c>
      <c r="W31" s="585">
        <f t="shared" si="224"/>
        <v>215.52556888195792</v>
      </c>
      <c r="X31" s="629">
        <f>IF(M31="","",R31)</f>
        <v>1.6204048871411398</v>
      </c>
      <c r="Y31" s="630">
        <f t="shared" si="223"/>
        <v>-0.11270033990422498</v>
      </c>
      <c r="Z31" s="632">
        <f t="shared" si="6"/>
        <v>-0.75265370426679912</v>
      </c>
      <c r="AA31" s="629">
        <f t="shared" si="7"/>
        <v>-0.56340325927152324</v>
      </c>
      <c r="AB31" s="629">
        <f t="shared" si="8"/>
        <v>-0.34071860661796943</v>
      </c>
      <c r="AC31" s="636">
        <f>IF(M31="","",SQRT(Z31^2+AA31^2+AB31^2))</f>
        <v>1</v>
      </c>
      <c r="AD31" s="637">
        <f>IF(M31="","",Z31*(1/SQRT(Z31^2+AA31^2+AB31^2)))</f>
        <v>-0.75265370426679912</v>
      </c>
      <c r="AE31" s="629">
        <f>IF(M31="","",AA31*(1/SQRT(Z31^2+AA31^2+AB31^2)))</f>
        <v>-0.56340325927152324</v>
      </c>
      <c r="AF31" s="633">
        <f>IF(M31="","",AB31*(1/SQRT(Z31^2+AA31^2+AB31^2)))</f>
        <v>-0.34071860661796943</v>
      </c>
      <c r="AG31" s="602">
        <f>IF(M31="","",DEGREES(ATAN2(-AF31,AE31)))</f>
        <v>-58.836512662909314</v>
      </c>
      <c r="AH31" s="603">
        <f>IF(M31="","",DEGREES(ACOS(AD31)))</f>
        <v>138.8207758013327</v>
      </c>
      <c r="AI31" s="585">
        <f>IF(M31="","",DEGREES(-ACOS(-AF31)))</f>
        <v>-70.079338493247803</v>
      </c>
      <c r="AJ31" s="586">
        <f>IF(M31="","",DEGREES(ATAN2(-AE31,AD31)))</f>
        <v>-53.183098655412884</v>
      </c>
      <c r="AK31" s="635">
        <f>IF(M31="","",(COS(RADIANS((90-$Q$8)-W31))*AD31)+(-SIN(RADIANS((90-$Q$8)-W31))*AE31))</f>
        <v>0.93969263802333458</v>
      </c>
      <c r="AL31" s="629">
        <f>IF(M31="","",(SIN(RADIANS((90-$Q$8)-W31))*AD31)+(COS(RADIANS((90-$Q$8)-W31))*AE31))</f>
        <v>2.980901120560403E-2</v>
      </c>
      <c r="AM31" s="634">
        <f>IF(M31="","",AF31)</f>
        <v>-0.34071860661796943</v>
      </c>
      <c r="AN31" s="581">
        <f>IF(M31="","",DEGREES(ATAN2(-AM31,AL31)))</f>
        <v>4.9999992780894429</v>
      </c>
      <c r="AO31" s="582">
        <f t="shared" si="94"/>
        <v>19.999997112357679</v>
      </c>
      <c r="AP31" s="585">
        <f>IF(M31="","",DEGREES(ATAN2(AK31,AL31)))</f>
        <v>1.8169323867419571</v>
      </c>
      <c r="AQ31" s="586">
        <f t="shared" si="9"/>
        <v>1.4066043846304443</v>
      </c>
      <c r="AS31" s="52">
        <f t="shared" si="116"/>
        <v>-144.47443111804208</v>
      </c>
      <c r="AT31" s="72">
        <f t="shared" si="10"/>
        <v>-1.2005873902728573E-2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3.1059999999999999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1.3398775596543699</v>
      </c>
      <c r="C32" s="708">
        <v>-1.913545672640252</v>
      </c>
      <c r="D32" s="709">
        <v>-5.3600161658087529E-2</v>
      </c>
      <c r="E32" s="710">
        <v>0.76119442648529523</v>
      </c>
      <c r="F32" s="708">
        <v>0.55120582979398092</v>
      </c>
      <c r="G32" s="711">
        <v>0.34169456871430004</v>
      </c>
      <c r="H32" s="710">
        <v>0.314</v>
      </c>
      <c r="I32" s="708">
        <v>0.52</v>
      </c>
      <c r="J32" s="570">
        <v>3.109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3.109</v>
      </c>
      <c r="N32" s="632">
        <f t="shared" si="2"/>
        <v>1.3398775596543699</v>
      </c>
      <c r="O32" s="629">
        <f t="shared" si="3"/>
        <v>-1.913545672640252</v>
      </c>
      <c r="P32" s="633">
        <f t="shared" si="4"/>
        <v>-5.3600161658087529E-2</v>
      </c>
      <c r="Q32" s="585">
        <f t="shared" si="113"/>
        <v>304.99996895784517</v>
      </c>
      <c r="R32" s="629">
        <f t="shared" si="79"/>
        <v>2.3360070453972486</v>
      </c>
      <c r="S32" s="634">
        <f t="shared" si="80"/>
        <v>-5.3600161658087529E-2</v>
      </c>
      <c r="T32" s="635">
        <f t="shared" si="81"/>
        <v>-1.9011740323231832</v>
      </c>
      <c r="U32" s="629">
        <f t="shared" si="82"/>
        <v>-1.3573747511153988</v>
      </c>
      <c r="V32" s="636">
        <f t="shared" si="114"/>
        <v>-5.3600161658087529E-2</v>
      </c>
      <c r="W32" s="585">
        <f t="shared" si="224"/>
        <v>215.52556888195792</v>
      </c>
      <c r="X32" s="629">
        <f t="shared" si="83"/>
        <v>2.3360070453972486</v>
      </c>
      <c r="Y32" s="630">
        <f t="shared" si="223"/>
        <v>-5.3600161658087529E-2</v>
      </c>
      <c r="Z32" s="632">
        <f t="shared" si="6"/>
        <v>-0.76119442648529523</v>
      </c>
      <c r="AA32" s="629">
        <f t="shared" si="7"/>
        <v>-0.55120582979398092</v>
      </c>
      <c r="AB32" s="629">
        <f t="shared" si="8"/>
        <v>-0.34169456871430004</v>
      </c>
      <c r="AC32" s="636">
        <f t="shared" si="84"/>
        <v>1</v>
      </c>
      <c r="AD32" s="637">
        <f t="shared" si="115"/>
        <v>-0.76119442648529523</v>
      </c>
      <c r="AE32" s="629">
        <f t="shared" si="85"/>
        <v>-0.55120582979398092</v>
      </c>
      <c r="AF32" s="633">
        <f t="shared" si="86"/>
        <v>-0.34169456871430004</v>
      </c>
      <c r="AG32" s="602">
        <f t="shared" si="87"/>
        <v>-58.205070233575512</v>
      </c>
      <c r="AH32" s="603">
        <f t="shared" si="88"/>
        <v>139.56960933324726</v>
      </c>
      <c r="AI32" s="585">
        <f t="shared" si="89"/>
        <v>-70.019849975488739</v>
      </c>
      <c r="AJ32" s="586">
        <f t="shared" si="90"/>
        <v>-54.0904708449834</v>
      </c>
      <c r="AK32" s="635">
        <f t="shared" si="211"/>
        <v>0.93969263802333458</v>
      </c>
      <c r="AL32" s="629">
        <f t="shared" si="91"/>
        <v>1.4918704900053037E-2</v>
      </c>
      <c r="AM32" s="634">
        <f t="shared" si="92"/>
        <v>-0.34169456871430004</v>
      </c>
      <c r="AN32" s="581">
        <f t="shared" si="93"/>
        <v>2.4999996390447414</v>
      </c>
      <c r="AO32" s="582">
        <f t="shared" si="94"/>
        <v>19.999997112357679</v>
      </c>
      <c r="AP32" s="585">
        <f t="shared" si="95"/>
        <v>0.90956019717143566</v>
      </c>
      <c r="AQ32" s="586">
        <f t="shared" si="9"/>
        <v>0.97581307082702762</v>
      </c>
      <c r="AS32" s="52">
        <f t="shared" si="116"/>
        <v>-144.47443111804208</v>
      </c>
      <c r="AT32" s="72">
        <f t="shared" si="10"/>
        <v>4.7094304343408881E-2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3.109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1.7539504532008925</v>
      </c>
      <c r="C33" s="708">
        <v>-2.5996563483784998</v>
      </c>
      <c r="D33" s="709">
        <v>-0.23240070092051379</v>
      </c>
      <c r="E33" s="710">
        <v>0.87688729756706185</v>
      </c>
      <c r="F33" s="708">
        <v>0.37528092121590284</v>
      </c>
      <c r="G33" s="711">
        <v>0.3003879117688969</v>
      </c>
      <c r="H33" s="710">
        <v>0.314</v>
      </c>
      <c r="I33" s="708">
        <v>0.52</v>
      </c>
      <c r="J33" s="570">
        <v>3.1139999999999999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3.1139999999999999</v>
      </c>
      <c r="N33" s="632">
        <f t="shared" si="2"/>
        <v>1.7539504532008925</v>
      </c>
      <c r="O33" s="629">
        <f t="shared" si="3"/>
        <v>-2.5996563483784998</v>
      </c>
      <c r="P33" s="633">
        <f t="shared" si="4"/>
        <v>-0.23240070092051379</v>
      </c>
      <c r="Q33" s="585">
        <f t="shared" si="113"/>
        <v>304.00696910121661</v>
      </c>
      <c r="R33" s="629">
        <f t="shared" si="79"/>
        <v>3.1360094582045268</v>
      </c>
      <c r="S33" s="634">
        <f t="shared" si="80"/>
        <v>-0.23240070092051379</v>
      </c>
      <c r="T33" s="635">
        <f t="shared" si="81"/>
        <v>-2.5834574160233399</v>
      </c>
      <c r="U33" s="629">
        <f t="shared" si="82"/>
        <v>-1.7777241353883504</v>
      </c>
      <c r="V33" s="636">
        <f t="shared" si="114"/>
        <v>-0.23240070092051379</v>
      </c>
      <c r="W33" s="585">
        <f t="shared" si="224"/>
        <v>214.53256902532937</v>
      </c>
      <c r="X33" s="629">
        <f t="shared" si="83"/>
        <v>3.1360094582045268</v>
      </c>
      <c r="Y33" s="630">
        <f t="shared" si="223"/>
        <v>-0.23240070092051379</v>
      </c>
      <c r="Z33" s="632">
        <f t="shared" si="6"/>
        <v>-0.87688729756706185</v>
      </c>
      <c r="AA33" s="629">
        <f t="shared" si="7"/>
        <v>-0.37528092121590284</v>
      </c>
      <c r="AB33" s="629">
        <f t="shared" si="8"/>
        <v>-0.3003879117688969</v>
      </c>
      <c r="AC33" s="636">
        <f t="shared" si="84"/>
        <v>1</v>
      </c>
      <c r="AD33" s="637">
        <f t="shared" si="115"/>
        <v>-0.87688729756706185</v>
      </c>
      <c r="AE33" s="629">
        <f t="shared" si="85"/>
        <v>-0.37528092121590284</v>
      </c>
      <c r="AF33" s="633">
        <f t="shared" si="86"/>
        <v>-0.3003879117688969</v>
      </c>
      <c r="AG33" s="602">
        <f t="shared" si="87"/>
        <v>-51.32500435181494</v>
      </c>
      <c r="AH33" s="603">
        <f t="shared" si="88"/>
        <v>151.26912970023264</v>
      </c>
      <c r="AI33" s="585">
        <f t="shared" si="89"/>
        <v>-72.519096513856724</v>
      </c>
      <c r="AJ33" s="586">
        <f t="shared" si="90"/>
        <v>-66.830557582127298</v>
      </c>
      <c r="AK33" s="635">
        <f t="shared" si="211"/>
        <v>0.93680513752626515</v>
      </c>
      <c r="AL33" s="629">
        <f t="shared" si="91"/>
        <v>-0.17934111845172906</v>
      </c>
      <c r="AM33" s="634">
        <f t="shared" si="92"/>
        <v>-0.3003879117688969</v>
      </c>
      <c r="AN33" s="581">
        <f t="shared" si="93"/>
        <v>-30.838542307494457</v>
      </c>
      <c r="AO33" s="582">
        <f t="shared" si="94"/>
        <v>20.478237904383178</v>
      </c>
      <c r="AP33" s="585">
        <f t="shared" si="95"/>
        <v>-10.83752668334391</v>
      </c>
      <c r="AQ33" s="586">
        <f t="shared" si="9"/>
        <v>0.72691244902523133</v>
      </c>
      <c r="AS33" s="52">
        <f t="shared" si="116"/>
        <v>-145.46743097467063</v>
      </c>
      <c r="AT33" s="72">
        <f t="shared" si="10"/>
        <v>-0.13101665168524756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3.1139999999999999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2.0537185657480825</v>
      </c>
      <c r="C34" s="708">
        <v>-3.1290376144541012</v>
      </c>
      <c r="D34" s="709">
        <v>-0.74110223516434137</v>
      </c>
      <c r="E34" s="710">
        <v>0.94389321617295119</v>
      </c>
      <c r="F34" s="708">
        <v>0.26355023555045209</v>
      </c>
      <c r="G34" s="711">
        <v>0.19901474770474659</v>
      </c>
      <c r="H34" s="710">
        <v>0.314</v>
      </c>
      <c r="I34" s="708">
        <v>0.52</v>
      </c>
      <c r="J34" s="570">
        <v>3.1190000000000002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3.1190000000000002</v>
      </c>
      <c r="N34" s="632">
        <f t="shared" si="2"/>
        <v>2.0537185657480825</v>
      </c>
      <c r="O34" s="629">
        <f t="shared" si="3"/>
        <v>-3.1290376144541012</v>
      </c>
      <c r="P34" s="633">
        <f t="shared" si="4"/>
        <v>-0.74110223516434137</v>
      </c>
      <c r="Q34" s="585">
        <f t="shared" si="113"/>
        <v>303.27856920638453</v>
      </c>
      <c r="R34" s="629">
        <f>IF(M34="","",SQRT(N34^2+O34^2))</f>
        <v>3.7428112883188454</v>
      </c>
      <c r="S34" s="634">
        <f>IF(M34="","",P34)</f>
        <v>-0.74110223516434137</v>
      </c>
      <c r="T34" s="635">
        <f>IF(M34="","",X34*COS(RADIANS(W34)))</f>
        <v>-3.1100665389726792</v>
      </c>
      <c r="U34" s="629">
        <f>IF(M34="","",X34*SIN(RADIANS(W34)))</f>
        <v>-2.0823358190093826</v>
      </c>
      <c r="V34" s="636">
        <f>IF(M34="","",Y34)</f>
        <v>-0.74110223516434137</v>
      </c>
      <c r="W34" s="585">
        <f t="shared" si="224"/>
        <v>213.80416913049729</v>
      </c>
      <c r="X34" s="629">
        <f>IF(M34="","",R34)</f>
        <v>3.7428112883188454</v>
      </c>
      <c r="Y34" s="630">
        <f t="shared" si="223"/>
        <v>-0.74110223516434137</v>
      </c>
      <c r="Z34" s="632">
        <f t="shared" si="6"/>
        <v>-0.94389321617295119</v>
      </c>
      <c r="AA34" s="629">
        <f t="shared" si="7"/>
        <v>-0.26355023555045209</v>
      </c>
      <c r="AB34" s="629">
        <f t="shared" si="8"/>
        <v>-0.19901474770474659</v>
      </c>
      <c r="AC34" s="636">
        <f>IF(M34="","",SQRT(Z34^2+AA34^2+AB34^2))</f>
        <v>1</v>
      </c>
      <c r="AD34" s="637">
        <f>IF(M34="","",Z34*(1/SQRT(Z34^2+AA34^2+AB34^2)))</f>
        <v>-0.94389321617295119</v>
      </c>
      <c r="AE34" s="629">
        <f>IF(M34="","",AA34*(1/SQRT(Z34^2+AA34^2+AB34^2)))</f>
        <v>-0.26355023555045209</v>
      </c>
      <c r="AF34" s="633">
        <f>IF(M34="","",AB34*(1/SQRT(Z34^2+AA34^2+AB34^2)))</f>
        <v>-0.19901474770474659</v>
      </c>
      <c r="AG34" s="602">
        <f>IF(M34="","",DEGREES(ATAN2(-AF34,AE34)))</f>
        <v>-52.942443518307755</v>
      </c>
      <c r="AH34" s="603">
        <f>IF(M34="","",DEGREES(ACOS(AD34)))</f>
        <v>160.71600075653541</v>
      </c>
      <c r="AI34" s="585">
        <f>IF(M34="","",DEGREES(-ACOS(-AF34)))</f>
        <v>-78.520649919791126</v>
      </c>
      <c r="AJ34" s="586">
        <f>IF(M34="","",DEGREES(ATAN2(-AE34,AD34)))</f>
        <v>-74.399407923192314</v>
      </c>
      <c r="AK34" s="635">
        <f>IF(M34="","",(COS(RADIANS((90-$Q$8)-W34))*AD34)+(-SIN(RADIANS((90-$Q$8)-W34))*AE34))</f>
        <v>0.93371936760407481</v>
      </c>
      <c r="AL34" s="629">
        <f>IF(M34="","",(SIN(RADIANS((90-$Q$8)-W34))*AD34)+(COS(RADIANS((90-$Q$8)-W34))*AE34))</f>
        <v>-0.29759246085387164</v>
      </c>
      <c r="AM34" s="634">
        <f>IF(M34="","",AF34)</f>
        <v>-0.19901474770474659</v>
      </c>
      <c r="AN34" s="581">
        <f>IF(M34="","",DEGREES(ATAN2(-AM34,AL34)))</f>
        <v>-56.227401773657533</v>
      </c>
      <c r="AO34" s="582">
        <f t="shared" si="94"/>
        <v>20.977774900073129</v>
      </c>
      <c r="AP34" s="585">
        <f>IF(M34="","",DEGREES(ATAN2(AK34,AL34)))</f>
        <v>-17.677977129576849</v>
      </c>
      <c r="AQ34" s="586">
        <f t="shared" si="9"/>
        <v>0.6090717867865576</v>
      </c>
      <c r="AS34" s="52">
        <f t="shared" si="116"/>
        <v>-146.19583086950271</v>
      </c>
      <c r="AT34" s="72">
        <f t="shared" si="10"/>
        <v>-0.63921235266877507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3.1190000000000002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2.2003009870808579</v>
      </c>
      <c r="C35" s="708">
        <v>-3.4043555818481228</v>
      </c>
      <c r="D35" s="709">
        <v>-1.4421043493867176</v>
      </c>
      <c r="E35" s="710">
        <v>0.98088459398409</v>
      </c>
      <c r="F35" s="708">
        <v>0.1699127048109153</v>
      </c>
      <c r="G35" s="711">
        <v>9.4842427365107951E-2</v>
      </c>
      <c r="H35" s="710">
        <v>0.314</v>
      </c>
      <c r="I35" s="708">
        <v>0.52</v>
      </c>
      <c r="J35" s="570">
        <v>3.1240000000000001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3.1240000000000001</v>
      </c>
      <c r="N35" s="632">
        <f t="shared" si="2"/>
        <v>2.2003009870808579</v>
      </c>
      <c r="O35" s="629">
        <f t="shared" si="3"/>
        <v>-3.4043555818481228</v>
      </c>
      <c r="P35" s="633">
        <f t="shared" si="4"/>
        <v>-1.4421043493867176</v>
      </c>
      <c r="Q35" s="585">
        <f t="shared" si="113"/>
        <v>302.87536926459939</v>
      </c>
      <c r="R35" s="629">
        <f>IF(M35="","",SQRT(N35^2+O35^2))</f>
        <v>4.0535122253928719</v>
      </c>
      <c r="S35" s="634">
        <f>IF(M35="","",P35)</f>
        <v>-1.4421043493867176</v>
      </c>
      <c r="T35" s="635">
        <f>IF(M35="","",X35*COS(RADIANS(W35)))</f>
        <v>-3.3840282746057748</v>
      </c>
      <c r="U35" s="629">
        <f>IF(M35="","",X35*SIN(RADIANS(W35)))</f>
        <v>-2.231437652742764</v>
      </c>
      <c r="V35" s="636">
        <f>IF(M35="","",Y35)</f>
        <v>-1.4421043493867176</v>
      </c>
      <c r="W35" s="585">
        <f t="shared" si="224"/>
        <v>213.40096918871214</v>
      </c>
      <c r="X35" s="629">
        <f>IF(M35="","",R35)</f>
        <v>4.0535122253928719</v>
      </c>
      <c r="Y35" s="630">
        <f t="shared" si="223"/>
        <v>-1.4421043493867176</v>
      </c>
      <c r="Z35" s="632">
        <f t="shared" si="6"/>
        <v>-0.98088459398409</v>
      </c>
      <c r="AA35" s="629">
        <f t="shared" si="7"/>
        <v>-0.1699127048109153</v>
      </c>
      <c r="AB35" s="629">
        <f t="shared" si="8"/>
        <v>-9.4842427365107951E-2</v>
      </c>
      <c r="AC35" s="636">
        <f>IF(M35="","",SQRT(Z35^2+AA35^2+AB35^2))</f>
        <v>1</v>
      </c>
      <c r="AD35" s="637">
        <f>IF(M35="","",Z35*(1/SQRT(Z35^2+AA35^2+AB35^2)))</f>
        <v>-0.98088459398409</v>
      </c>
      <c r="AE35" s="629">
        <f>IF(M35="","",AA35*(1/SQRT(Z35^2+AA35^2+AB35^2)))</f>
        <v>-0.1699127048109153</v>
      </c>
      <c r="AF35" s="633">
        <f>IF(M35="","",AB35*(1/SQRT(Z35^2+AA35^2+AB35^2)))</f>
        <v>-9.4842427365107951E-2</v>
      </c>
      <c r="AG35" s="602">
        <f>IF(M35="","",DEGREES(ATAN2(-AF35,AE35)))</f>
        <v>-60.830476487542668</v>
      </c>
      <c r="AH35" s="603">
        <f>IF(M35="","",DEGREES(ACOS(AD35)))</f>
        <v>168.77920467439316</v>
      </c>
      <c r="AI35" s="585">
        <f>IF(M35="","",DEGREES(-ACOS(-AF35)))</f>
        <v>-84.557749383881685</v>
      </c>
      <c r="AJ35" s="586">
        <f>IF(M35="","",DEGREES(ATAN2(-AE35,AD35)))</f>
        <v>-80.172520494974094</v>
      </c>
      <c r="AK35" s="635">
        <f>IF(M35="","",(COS(RADIANS((90-$Q$8)-W35))*AD35)+(-SIN(RADIANS((90-$Q$8)-W35))*AE35))</f>
        <v>0.91603005697897466</v>
      </c>
      <c r="AL35" s="629">
        <f>IF(M35="","",(SIN(RADIANS((90-$Q$8)-W35))*AD35)+(COS(RADIANS((90-$Q$8)-W35))*AE35))</f>
        <v>-0.38973561382377009</v>
      </c>
      <c r="AM35" s="634">
        <f>IF(M35="","",AF35)</f>
        <v>-9.4842427365107951E-2</v>
      </c>
      <c r="AN35" s="581">
        <f>IF(M35="","",DEGREES(ATAN2(-AM35,AL35)))</f>
        <v>-76.322881107052908</v>
      </c>
      <c r="AO35" s="582">
        <f t="shared" si="94"/>
        <v>23.647565107954854</v>
      </c>
      <c r="AP35" s="585">
        <f>IF(M35="","",DEGREES(ATAN2(AK35,AL35)))</f>
        <v>-23.047889759573476</v>
      </c>
      <c r="AQ35" s="586">
        <f t="shared" si="9"/>
        <v>0.56238967376048121</v>
      </c>
      <c r="AS35" s="52">
        <f t="shared" si="116"/>
        <v>-146.59903081128786</v>
      </c>
      <c r="AT35" s="72">
        <f t="shared" si="10"/>
        <v>-1.3399344669315782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3.1240000000000001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2.2518470201717564</v>
      </c>
      <c r="C36" s="708">
        <v>-3.5040234997396587</v>
      </c>
      <c r="D36" s="709">
        <v>-2.0835062838549523</v>
      </c>
      <c r="E36" s="710">
        <v>0.99225354708087166</v>
      </c>
      <c r="F36" s="708">
        <v>-4.2990468599102175E-2</v>
      </c>
      <c r="G36" s="711">
        <v>0.11655349808160216</v>
      </c>
      <c r="H36" s="710">
        <v>0.26600000000000001</v>
      </c>
      <c r="I36" s="708">
        <v>0.52</v>
      </c>
      <c r="J36" s="570">
        <v>3.129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1313</v>
      </c>
      <c r="L36" s="320"/>
      <c r="M36" s="168">
        <f t="shared" si="1"/>
        <v>3.129</v>
      </c>
      <c r="N36" s="632">
        <f t="shared" si="2"/>
        <v>2.2518470201717564</v>
      </c>
      <c r="O36" s="629">
        <f t="shared" si="3"/>
        <v>-3.5040234997396587</v>
      </c>
      <c r="P36" s="633">
        <f t="shared" si="4"/>
        <v>-2.0835062838549523</v>
      </c>
      <c r="Q36" s="585">
        <f t="shared" si="113"/>
        <v>302.72666928606901</v>
      </c>
      <c r="R36" s="629">
        <f>IF(M36="","",SQRT(N36^2+O36^2))</f>
        <v>4.1652125622810878</v>
      </c>
      <c r="S36" s="634">
        <f>IF(M36="","",P36)</f>
        <v>-2.0835062838549523</v>
      </c>
      <c r="T36" s="635">
        <f>IF(M36="","",X36*COS(RADIANS(W36)))</f>
        <v>-3.4832191506055761</v>
      </c>
      <c r="U36" s="629">
        <f>IF(M36="","",X36*SIN(RADIANS(W36)))</f>
        <v>-2.2838958027543104</v>
      </c>
      <c r="V36" s="636">
        <f>IF(M36="","",Y36)</f>
        <v>-2.0835062838549523</v>
      </c>
      <c r="W36" s="585">
        <f t="shared" si="224"/>
        <v>213.25226921018177</v>
      </c>
      <c r="X36" s="629">
        <f>IF(M36="","",R36)</f>
        <v>4.1652125622810878</v>
      </c>
      <c r="Y36" s="630">
        <f t="shared" si="223"/>
        <v>-2.0835062838549523</v>
      </c>
      <c r="Z36" s="632">
        <f t="shared" si="6"/>
        <v>-0.99225354708087166</v>
      </c>
      <c r="AA36" s="629">
        <f t="shared" si="7"/>
        <v>4.2990468599102175E-2</v>
      </c>
      <c r="AB36" s="629">
        <f t="shared" si="8"/>
        <v>-0.11655349808160216</v>
      </c>
      <c r="AC36" s="636">
        <f>IF(M36="","",SQRT(Z36^2+AA36^2+AB36^2))</f>
        <v>1</v>
      </c>
      <c r="AD36" s="637">
        <f>IF(M36="","",Z36*(1/SQRT(Z36^2+AA36^2+AB36^2)))</f>
        <v>-0.99225354708087166</v>
      </c>
      <c r="AE36" s="629">
        <f>IF(M36="","",AA36*(1/SQRT(Z36^2+AA36^2+AB36^2)))</f>
        <v>4.2990468599102175E-2</v>
      </c>
      <c r="AF36" s="633">
        <f>IF(M36="","",AB36*(1/SQRT(Z36^2+AA36^2+AB36^2)))</f>
        <v>-0.11655349808160216</v>
      </c>
      <c r="AG36" s="602">
        <f>IF(M36="","",DEGREES(ATAN2(-AF36,AE36)))</f>
        <v>20.246370930256933</v>
      </c>
      <c r="AH36" s="603">
        <f>IF(M36="","",DEGREES(ACOS(AD36)))</f>
        <v>172.86375378656018</v>
      </c>
      <c r="AI36" s="585">
        <f>IF(M36="","",DEGREES(-ACOS(-AF36)))</f>
        <v>-83.306763444283021</v>
      </c>
      <c r="AJ36" s="586">
        <f>IF(M36="","",DEGREES(ATAN2(-AE36,AD36)))</f>
        <v>-92.480850688401105</v>
      </c>
      <c r="AK36" s="635">
        <f>IF(M36="","",(COS(RADIANS((90-$Q$8)-W36))*AD36)+(-SIN(RADIANS((90-$Q$8)-W36))*AE36))</f>
        <v>0.81150043065500299</v>
      </c>
      <c r="AL36" s="629">
        <f>IF(M36="","",(SIN(RADIANS((90-$Q$8)-W36))*AD36)+(COS(RADIANS((90-$Q$8)-W36))*AE36))</f>
        <v>-0.572610105684214</v>
      </c>
      <c r="AM36" s="634">
        <f>IF(M36="","",AF36)</f>
        <v>-0.11655349808160216</v>
      </c>
      <c r="AN36" s="581">
        <f>IF(M36="","",DEGREES(ATAN2(-AM36,AL36)))</f>
        <v>-78.494748612456846</v>
      </c>
      <c r="AO36" s="582">
        <f t="shared" si="94"/>
        <v>35.757212346865479</v>
      </c>
      <c r="AP36" s="585">
        <f>IF(M36="","",DEGREES(ATAN2(AK36,AL36)))</f>
        <v>-35.20751997447011</v>
      </c>
      <c r="AQ36" s="586">
        <f t="shared" si="9"/>
        <v>0.54730875264837042</v>
      </c>
      <c r="AS36" s="52">
        <f t="shared" si="116"/>
        <v>-146.74773078981823</v>
      </c>
      <c r="AT36" s="72">
        <f t="shared" si="10"/>
        <v>-1.9812331375258336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3.129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1313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2.2518470201717569</v>
      </c>
      <c r="C37" s="708">
        <v>-3.5040234997396587</v>
      </c>
      <c r="D37" s="709">
        <v>-2.6876081058260484</v>
      </c>
      <c r="E37" s="710">
        <v>0.99225354708087166</v>
      </c>
      <c r="F37" s="708">
        <v>-4.2990468599102036E-2</v>
      </c>
      <c r="G37" s="711">
        <v>0.1165534980816022</v>
      </c>
      <c r="H37" s="710">
        <v>0.26600000000000001</v>
      </c>
      <c r="I37" s="708">
        <v>0.52</v>
      </c>
      <c r="J37" s="570">
        <v>3.1339999999999999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1313</v>
      </c>
      <c r="L37" s="320"/>
      <c r="M37" s="168">
        <f t="shared" si="1"/>
        <v>3.1339999999999999</v>
      </c>
      <c r="N37" s="632">
        <f t="shared" si="2"/>
        <v>2.2518470201717569</v>
      </c>
      <c r="O37" s="629">
        <f t="shared" si="3"/>
        <v>-3.5040234997396587</v>
      </c>
      <c r="P37" s="633">
        <f t="shared" si="4"/>
        <v>-2.6876081058260484</v>
      </c>
      <c r="Q37" s="585">
        <f t="shared" si="113"/>
        <v>302.72666928606901</v>
      </c>
      <c r="R37" s="629">
        <f t="shared" si="79"/>
        <v>4.1652125622810878</v>
      </c>
      <c r="S37" s="634">
        <f t="shared" si="80"/>
        <v>-2.6876081058260484</v>
      </c>
      <c r="T37" s="635">
        <f t="shared" si="81"/>
        <v>-3.4832191506055761</v>
      </c>
      <c r="U37" s="629">
        <f t="shared" si="82"/>
        <v>-2.2838958027543104</v>
      </c>
      <c r="V37" s="636">
        <f t="shared" si="114"/>
        <v>-2.6876081058260484</v>
      </c>
      <c r="W37" s="585">
        <f t="shared" si="224"/>
        <v>213.25226921018177</v>
      </c>
      <c r="X37" s="629">
        <f t="shared" si="83"/>
        <v>4.1652125622810878</v>
      </c>
      <c r="Y37" s="630">
        <f t="shared" si="223"/>
        <v>-2.6876081058260484</v>
      </c>
      <c r="Z37" s="632">
        <f t="shared" si="6"/>
        <v>-0.99225354708087166</v>
      </c>
      <c r="AA37" s="629">
        <f t="shared" si="7"/>
        <v>4.2990468599102036E-2</v>
      </c>
      <c r="AB37" s="629">
        <f t="shared" si="8"/>
        <v>-0.1165534980816022</v>
      </c>
      <c r="AC37" s="636">
        <f t="shared" si="84"/>
        <v>1</v>
      </c>
      <c r="AD37" s="637">
        <f t="shared" si="115"/>
        <v>-0.99225354708087166</v>
      </c>
      <c r="AE37" s="629">
        <f t="shared" si="85"/>
        <v>4.2990468599102036E-2</v>
      </c>
      <c r="AF37" s="633">
        <f t="shared" si="86"/>
        <v>-0.1165534980816022</v>
      </c>
      <c r="AG37" s="602">
        <f t="shared" si="87"/>
        <v>20.246370930256866</v>
      </c>
      <c r="AH37" s="603">
        <f t="shared" si="88"/>
        <v>172.86375378656018</v>
      </c>
      <c r="AI37" s="585">
        <f t="shared" si="89"/>
        <v>-83.306763444283007</v>
      </c>
      <c r="AJ37" s="586">
        <f t="shared" si="90"/>
        <v>-92.480850688401091</v>
      </c>
      <c r="AK37" s="635">
        <f t="shared" si="211"/>
        <v>0.81150043065500299</v>
      </c>
      <c r="AL37" s="629">
        <f t="shared" si="91"/>
        <v>-0.57261010568421389</v>
      </c>
      <c r="AM37" s="634">
        <f t="shared" si="92"/>
        <v>-0.1165534980816022</v>
      </c>
      <c r="AN37" s="581">
        <f t="shared" si="93"/>
        <v>-78.494748612456831</v>
      </c>
      <c r="AO37" s="582">
        <f t="shared" si="94"/>
        <v>35.757212346865479</v>
      </c>
      <c r="AP37" s="585">
        <f t="shared" si="95"/>
        <v>-35.207519974470102</v>
      </c>
      <c r="AQ37" s="586">
        <f t="shared" si="9"/>
        <v>0.54730875264837042</v>
      </c>
      <c r="AS37" s="52">
        <f t="shared" si="116"/>
        <v>-146.74773078981823</v>
      </c>
      <c r="AT37" s="72">
        <f t="shared" si="10"/>
        <v>-2.5853349594969295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3.1339999999999999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1313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0.38729607789218506</v>
      </c>
      <c r="C38" s="708">
        <v>-2.3022996367194692</v>
      </c>
      <c r="D38" s="709">
        <v>-6.3685066396765549E-2</v>
      </c>
      <c r="E38" s="710">
        <v>-7.2358197690892655E-3</v>
      </c>
      <c r="F38" s="708">
        <v>4.3015035945341687E-2</v>
      </c>
      <c r="G38" s="711">
        <v>0.99904822185662812</v>
      </c>
      <c r="H38" s="710">
        <v>0.26250000000000001</v>
      </c>
      <c r="I38" s="708">
        <v>0.40699999999999997</v>
      </c>
      <c r="J38" s="570">
        <v>3.2090000000000001</v>
      </c>
      <c r="K38" s="865" t="str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Inactive</v>
      </c>
      <c r="L38" s="320"/>
      <c r="M38" s="168">
        <f t="shared" si="1"/>
        <v>3.2090000000000001</v>
      </c>
      <c r="N38" s="632">
        <f t="shared" si="2"/>
        <v>0.38729607789218506</v>
      </c>
      <c r="O38" s="629">
        <f t="shared" si="3"/>
        <v>-2.3022996367194692</v>
      </c>
      <c r="P38" s="633">
        <f t="shared" si="4"/>
        <v>-6.3685066396765549E-2</v>
      </c>
      <c r="Q38" s="585">
        <f t="shared" si="113"/>
        <v>279.54897263251439</v>
      </c>
      <c r="R38" s="629">
        <f t="shared" si="79"/>
        <v>2.3346481253476443</v>
      </c>
      <c r="S38" s="634">
        <f t="shared" si="80"/>
        <v>-6.3685066396765549E-2</v>
      </c>
      <c r="T38" s="635">
        <f t="shared" si="81"/>
        <v>-2.2986499745672933</v>
      </c>
      <c r="U38" s="629">
        <f t="shared" si="82"/>
        <v>-0.40839951470472097</v>
      </c>
      <c r="V38" s="636">
        <f t="shared" si="114"/>
        <v>-6.3685066396765549E-2</v>
      </c>
      <c r="W38" s="585">
        <f t="shared" si="224"/>
        <v>190.07457255662715</v>
      </c>
      <c r="X38" s="629">
        <f t="shared" si="83"/>
        <v>2.3346481253476443</v>
      </c>
      <c r="Y38" s="630">
        <f t="shared" si="223"/>
        <v>-6.3685066396765549E-2</v>
      </c>
      <c r="Z38" s="632">
        <f t="shared" si="6"/>
        <v>7.2358197690892655E-3</v>
      </c>
      <c r="AA38" s="629">
        <f t="shared" si="7"/>
        <v>-4.3015035945341687E-2</v>
      </c>
      <c r="AB38" s="629">
        <f t="shared" si="8"/>
        <v>-0.99904822185662812</v>
      </c>
      <c r="AC38" s="636">
        <f t="shared" si="84"/>
        <v>1</v>
      </c>
      <c r="AD38" s="637">
        <f t="shared" si="115"/>
        <v>7.2358197690892655E-3</v>
      </c>
      <c r="AE38" s="629">
        <f t="shared" si="85"/>
        <v>-4.3015035945341687E-2</v>
      </c>
      <c r="AF38" s="633">
        <f t="shared" si="86"/>
        <v>-0.99904822185662812</v>
      </c>
      <c r="AG38" s="602">
        <f t="shared" si="87"/>
        <v>-2.4654052628785594</v>
      </c>
      <c r="AH38" s="603">
        <f t="shared" si="88"/>
        <v>89.585414448111493</v>
      </c>
      <c r="AI38" s="585">
        <f t="shared" si="89"/>
        <v>-2.4999996390783106</v>
      </c>
      <c r="AJ38" s="586">
        <f t="shared" si="90"/>
        <v>9.5486747284617195</v>
      </c>
      <c r="AK38" s="635">
        <f t="shared" si="211"/>
        <v>2.2679489669868297E-7</v>
      </c>
      <c r="AL38" s="629">
        <f t="shared" si="91"/>
        <v>4.3619381071472632E-2</v>
      </c>
      <c r="AM38" s="634">
        <f t="shared" si="92"/>
        <v>-0.99904822185662812</v>
      </c>
      <c r="AN38" s="581">
        <f t="shared" si="93"/>
        <v>2.4999996390447068</v>
      </c>
      <c r="AO38" s="582">
        <f t="shared" si="94"/>
        <v>0</v>
      </c>
      <c r="AP38" s="585">
        <f t="shared" si="95"/>
        <v>89.999702095947342</v>
      </c>
      <c r="AQ38" s="586">
        <f t="shared" si="9"/>
        <v>0.97638094882973647</v>
      </c>
      <c r="AS38" s="52">
        <f t="shared" si="116"/>
        <v>-169.92542744337285</v>
      </c>
      <c r="AT38" s="72">
        <f t="shared" si="10"/>
        <v>5.4683702608432791E-2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>Nose</v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3.2090000000000001</v>
      </c>
      <c r="IH38" s="731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3.109</v>
      </c>
      <c r="II38" s="734" cm="1">
        <f t="array" ref="II38">IFERROR(ROUND(VALUE(IF($IH38&lt;1,$IH38+LARGE((IF($M$9:$M$150="",0,$M$9:$M$150)-MOD(IF($M$9:$M$150="",0,$M$9:$M$150),1)),1),$IH38)),4),"")</f>
        <v>3.109</v>
      </c>
      <c r="IJ38" s="533">
        <f t="shared" si="112"/>
        <v>1613</v>
      </c>
      <c r="IK38" s="533" t="str">
        <f t="shared" si="66"/>
        <v>Inactive</v>
      </c>
      <c r="IL38" s="727">
        <f t="shared" si="225"/>
        <v>25.450996325330777</v>
      </c>
      <c r="IM38" s="759">
        <v>4.2538082559363297E-2</v>
      </c>
      <c r="IN38" s="5">
        <f t="shared" si="226"/>
        <v>0.57999999999999996</v>
      </c>
      <c r="IO38" s="771">
        <v>290</v>
      </c>
      <c r="IP38" s="9">
        <f t="shared" si="227"/>
        <v>-2.3360070453972486</v>
      </c>
      <c r="IQ38" s="5">
        <f t="shared" si="228"/>
        <v>-5.3600161658087529E-2</v>
      </c>
      <c r="IR38" s="5">
        <f t="shared" si="71"/>
        <v>0.314</v>
      </c>
      <c r="IS38" s="5">
        <f t="shared" si="229"/>
        <v>0.29506348833932705</v>
      </c>
      <c r="IT38" s="727">
        <f t="shared" si="230"/>
        <v>-2.4999996390447414</v>
      </c>
      <c r="IU38" s="9">
        <f t="shared" si="231"/>
        <v>-2.3346481253476443</v>
      </c>
      <c r="IV38" s="5">
        <f t="shared" si="232"/>
        <v>-6.3685066396765549E-2</v>
      </c>
      <c r="IW38" s="5">
        <f t="shared" si="76"/>
        <v>0.26250000000000001</v>
      </c>
      <c r="IX38" s="5">
        <f t="shared" si="233"/>
        <v>0.26250000000000001</v>
      </c>
      <c r="IY38" s="762">
        <f t="shared" si="234"/>
        <v>-2.4999996390447068</v>
      </c>
    </row>
    <row r="39" spans="1:267" ht="15" customHeight="1" x14ac:dyDescent="0.25">
      <c r="A39" s="79"/>
      <c r="B39" s="707">
        <v>0.90805120650928528</v>
      </c>
      <c r="C39" s="708">
        <v>-3.0189812013041117</v>
      </c>
      <c r="D39" s="709">
        <v>-0.19546475355501464</v>
      </c>
      <c r="E39" s="710">
        <v>0.92400148124934878</v>
      </c>
      <c r="F39" s="708">
        <v>6.4854710881882494E-2</v>
      </c>
      <c r="G39" s="711">
        <v>0.37684894735880176</v>
      </c>
      <c r="H39" s="710">
        <v>0.26600000000000001</v>
      </c>
      <c r="I39" s="708">
        <v>0.52</v>
      </c>
      <c r="J39" s="570">
        <v>3.214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3.214</v>
      </c>
      <c r="N39" s="632">
        <f t="shared" si="2"/>
        <v>0.90805120650928528</v>
      </c>
      <c r="O39" s="629">
        <f t="shared" si="3"/>
        <v>-3.0189812013041117</v>
      </c>
      <c r="P39" s="633">
        <f t="shared" si="4"/>
        <v>-0.19546475355501464</v>
      </c>
      <c r="Q39" s="585">
        <f t="shared" si="113"/>
        <v>286.74027159421928</v>
      </c>
      <c r="R39" s="629">
        <f t="shared" si="79"/>
        <v>3.1525869516114202</v>
      </c>
      <c r="S39" s="634">
        <f t="shared" si="80"/>
        <v>-0.19546475355501464</v>
      </c>
      <c r="T39" s="635">
        <f t="shared" si="81"/>
        <v>-3.0105243304787939</v>
      </c>
      <c r="U39" s="629">
        <f t="shared" si="82"/>
        <v>-0.93570708187220486</v>
      </c>
      <c r="V39" s="636">
        <f t="shared" si="114"/>
        <v>-0.19546475355501464</v>
      </c>
      <c r="W39" s="585">
        <f t="shared" si="224"/>
        <v>197.26587151833203</v>
      </c>
      <c r="X39" s="629">
        <f t="shared" si="83"/>
        <v>3.1525869516114202</v>
      </c>
      <c r="Y39" s="630">
        <f t="shared" si="223"/>
        <v>-0.19546475355501464</v>
      </c>
      <c r="Z39" s="632">
        <f t="shared" si="6"/>
        <v>-0.92400148124934878</v>
      </c>
      <c r="AA39" s="629">
        <f t="shared" si="7"/>
        <v>-6.4854710881882494E-2</v>
      </c>
      <c r="AB39" s="629">
        <f t="shared" si="8"/>
        <v>-0.37684894735880176</v>
      </c>
      <c r="AC39" s="636">
        <f t="shared" si="84"/>
        <v>1</v>
      </c>
      <c r="AD39" s="637">
        <f t="shared" si="115"/>
        <v>-0.92400148124934878</v>
      </c>
      <c r="AE39" s="629">
        <f t="shared" si="85"/>
        <v>-6.4854710881882494E-2</v>
      </c>
      <c r="AF39" s="633">
        <f t="shared" si="86"/>
        <v>-0.37684894735880176</v>
      </c>
      <c r="AG39" s="602">
        <f t="shared" si="87"/>
        <v>-9.7647994935333333</v>
      </c>
      <c r="AH39" s="603">
        <f t="shared" si="88"/>
        <v>157.51826532669136</v>
      </c>
      <c r="AI39" s="585">
        <f t="shared" si="89"/>
        <v>-67.861364741937166</v>
      </c>
      <c r="AJ39" s="586">
        <f t="shared" si="90"/>
        <v>-85.98505289655084</v>
      </c>
      <c r="AK39" s="635">
        <f t="shared" si="211"/>
        <v>0.90352289851262846</v>
      </c>
      <c r="AL39" s="629">
        <f t="shared" si="91"/>
        <v>-0.20403735623140612</v>
      </c>
      <c r="AM39" s="634">
        <f t="shared" si="92"/>
        <v>-0.37684894735880176</v>
      </c>
      <c r="AN39" s="581">
        <f t="shared" si="93"/>
        <v>-28.432447216355897</v>
      </c>
      <c r="AO39" s="582">
        <f t="shared" si="94"/>
        <v>25.37492868617327</v>
      </c>
      <c r="AP39" s="585">
        <f t="shared" si="95"/>
        <v>-12.725324490770136</v>
      </c>
      <c r="AQ39" s="586">
        <f t="shared" si="9"/>
        <v>0.72309047562758177</v>
      </c>
      <c r="AS39" s="52">
        <f t="shared" si="116"/>
        <v>-162.73412848166797</v>
      </c>
      <c r="AT39" s="72">
        <f t="shared" si="10"/>
        <v>-8.2089942162111351E-2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Nose</v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3.214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3.1139999999999999</v>
      </c>
      <c r="II39" s="734" cm="1">
        <f t="array" ref="II39">IFERROR(ROUND(VALUE(IF($IH39&lt;1,$IH39+LARGE((IF($M$9:$M$150="",0,$M$9:$M$150)-MOD(IF($M$9:$M$150="",0,$M$9:$M$150),1)),1),$IH39)),4),"")</f>
        <v>3.1139999999999999</v>
      </c>
      <c r="IJ39" s="533">
        <f t="shared" si="112"/>
        <v>1613</v>
      </c>
      <c r="IK39" s="533">
        <f t="shared" si="66"/>
        <v>1313</v>
      </c>
      <c r="IL39" s="727">
        <f t="shared" si="225"/>
        <v>17.266697506997332</v>
      </c>
      <c r="IM39" s="759">
        <v>1.3452927255401001E-2</v>
      </c>
      <c r="IN39" s="5">
        <f t="shared" si="226"/>
        <v>0.28000000000000003</v>
      </c>
      <c r="IO39" s="771">
        <v>140</v>
      </c>
      <c r="IP39" s="9">
        <f t="shared" si="227"/>
        <v>-3.1360094582045268</v>
      </c>
      <c r="IQ39" s="5">
        <f t="shared" si="228"/>
        <v>-0.23240070092051379</v>
      </c>
      <c r="IR39" s="5">
        <f t="shared" si="71"/>
        <v>0.314</v>
      </c>
      <c r="IS39" s="5">
        <f t="shared" si="229"/>
        <v>0.29415681318324727</v>
      </c>
      <c r="IT39" s="727">
        <f t="shared" si="230"/>
        <v>30.838542307494457</v>
      </c>
      <c r="IU39" s="9">
        <f t="shared" si="231"/>
        <v>-3.1525869516114202</v>
      </c>
      <c r="IV39" s="5">
        <f t="shared" si="232"/>
        <v>-0.19546475355501464</v>
      </c>
      <c r="IW39" s="5">
        <f t="shared" si="76"/>
        <v>0.26600000000000001</v>
      </c>
      <c r="IX39" s="5">
        <f t="shared" si="233"/>
        <v>0.24033709100435918</v>
      </c>
      <c r="IY39" s="762">
        <f t="shared" si="234"/>
        <v>28.432447216355897</v>
      </c>
    </row>
    <row r="40" spans="1:267" ht="15" customHeight="1" x14ac:dyDescent="0.25">
      <c r="A40" s="79"/>
      <c r="B40" s="707">
        <v>1.2215580674172968</v>
      </c>
      <c r="C40" s="708">
        <v>-3.5728899860640051</v>
      </c>
      <c r="D40" s="709">
        <v>-0.71054513792836194</v>
      </c>
      <c r="E40" s="710">
        <v>0.96430903340463192</v>
      </c>
      <c r="F40" s="708">
        <v>-3.6802746721540561E-2</v>
      </c>
      <c r="G40" s="711">
        <v>0.26220916446221831</v>
      </c>
      <c r="H40" s="710">
        <v>0.26600000000000001</v>
      </c>
      <c r="I40" s="708">
        <v>0.52</v>
      </c>
      <c r="J40" s="570">
        <v>3.2189999999999999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3.2189999999999999</v>
      </c>
      <c r="N40" s="632">
        <f t="shared" si="2"/>
        <v>1.2215580674172968</v>
      </c>
      <c r="O40" s="629">
        <f t="shared" si="3"/>
        <v>-3.5728899860640051</v>
      </c>
      <c r="P40" s="633">
        <f t="shared" si="4"/>
        <v>-0.71054513792836194</v>
      </c>
      <c r="Q40" s="585">
        <f t="shared" si="113"/>
        <v>288.87537128594903</v>
      </c>
      <c r="R40" s="629">
        <f t="shared" si="79"/>
        <v>3.7759431887395669</v>
      </c>
      <c r="S40" s="634">
        <f t="shared" si="80"/>
        <v>-0.71054513792836194</v>
      </c>
      <c r="T40" s="635">
        <f t="shared" si="81"/>
        <v>-3.5615339101548362</v>
      </c>
      <c r="U40" s="629">
        <f t="shared" si="82"/>
        <v>-1.2542819345768836</v>
      </c>
      <c r="V40" s="636">
        <f t="shared" si="114"/>
        <v>-0.71054513792836194</v>
      </c>
      <c r="W40" s="585">
        <f t="shared" si="224"/>
        <v>199.40097121006178</v>
      </c>
      <c r="X40" s="629">
        <f t="shared" si="83"/>
        <v>3.7759431887395669</v>
      </c>
      <c r="Y40" s="630">
        <f t="shared" si="223"/>
        <v>-0.71054513792836194</v>
      </c>
      <c r="Z40" s="632">
        <f t="shared" si="6"/>
        <v>-0.96430903340463192</v>
      </c>
      <c r="AA40" s="629">
        <f t="shared" si="7"/>
        <v>3.6802746721540561E-2</v>
      </c>
      <c r="AB40" s="629">
        <f t="shared" si="8"/>
        <v>-0.26220916446221831</v>
      </c>
      <c r="AC40" s="636">
        <f t="shared" si="84"/>
        <v>1</v>
      </c>
      <c r="AD40" s="637">
        <f t="shared" si="115"/>
        <v>-0.96430903340463192</v>
      </c>
      <c r="AE40" s="629">
        <f t="shared" si="85"/>
        <v>3.6802746721540561E-2</v>
      </c>
      <c r="AF40" s="633">
        <f t="shared" si="86"/>
        <v>-0.26220916446221831</v>
      </c>
      <c r="AG40" s="602">
        <f t="shared" si="87"/>
        <v>7.9896397334984961</v>
      </c>
      <c r="AH40" s="603">
        <f t="shared" si="88"/>
        <v>164.64615965041563</v>
      </c>
      <c r="AI40" s="585">
        <f t="shared" si="89"/>
        <v>-74.798813381489339</v>
      </c>
      <c r="AJ40" s="586">
        <f t="shared" si="90"/>
        <v>-92.185626283097889</v>
      </c>
      <c r="AK40" s="635">
        <f t="shared" si="211"/>
        <v>0.90054675793380656</v>
      </c>
      <c r="AL40" s="629">
        <f t="shared" si="91"/>
        <v>-0.34678796237317028</v>
      </c>
      <c r="AM40" s="634">
        <f t="shared" si="92"/>
        <v>-0.26220916446221831</v>
      </c>
      <c r="AN40" s="581">
        <f t="shared" si="93"/>
        <v>-52.906780908573459</v>
      </c>
      <c r="AO40" s="582">
        <f t="shared" si="94"/>
        <v>25.76997054750386</v>
      </c>
      <c r="AP40" s="585">
        <f t="shared" si="95"/>
        <v>-21.060997569046908</v>
      </c>
      <c r="AQ40" s="586">
        <f t="shared" si="9"/>
        <v>0.60372790195776838</v>
      </c>
      <c r="AS40" s="52">
        <f t="shared" si="116"/>
        <v>-160.59902878993822</v>
      </c>
      <c r="AT40" s="72">
        <f t="shared" si="10"/>
        <v>-0.59865303465471542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Taper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3.2189999999999999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3.1190000000000002</v>
      </c>
      <c r="II40" s="734" cm="1">
        <f t="array" ref="II40">IFERROR(ROUND(VALUE(IF($IH40&lt;1,$IH40+LARGE((IF($M$9:$M$150="",0,$M$9:$M$150)-MOD(IF($M$9:$M$150="",0,$M$9:$M$150),1)),1),$IH40)),4),"")</f>
        <v>3.1190000000000002</v>
      </c>
      <c r="IJ40" s="533">
        <f t="shared" si="112"/>
        <v>1613</v>
      </c>
      <c r="IK40" s="533">
        <f t="shared" si="66"/>
        <v>1313</v>
      </c>
      <c r="IL40" s="727">
        <f t="shared" si="225"/>
        <v>14.403197920435503</v>
      </c>
      <c r="IM40" s="759">
        <v>8.8037809222299805E-3</v>
      </c>
      <c r="IN40" s="5">
        <f t="shared" si="226"/>
        <v>0.26</v>
      </c>
      <c r="IO40" s="771">
        <v>130</v>
      </c>
      <c r="IP40" s="9">
        <f t="shared" si="227"/>
        <v>-3.7428112883188454</v>
      </c>
      <c r="IQ40" s="5">
        <f t="shared" si="228"/>
        <v>-0.74110223516434137</v>
      </c>
      <c r="IR40" s="5">
        <f t="shared" si="71"/>
        <v>0.314</v>
      </c>
      <c r="IS40" s="5">
        <f t="shared" si="229"/>
        <v>0.29318788142767949</v>
      </c>
      <c r="IT40" s="727">
        <f t="shared" si="230"/>
        <v>56.227401773657533</v>
      </c>
      <c r="IU40" s="9">
        <f t="shared" si="231"/>
        <v>-3.7759431887395669</v>
      </c>
      <c r="IV40" s="5">
        <f t="shared" si="232"/>
        <v>-0.71054513792836194</v>
      </c>
      <c r="IW40" s="5">
        <f t="shared" si="76"/>
        <v>0.26600000000000001</v>
      </c>
      <c r="IX40" s="5">
        <f t="shared" si="233"/>
        <v>0.23954543761039257</v>
      </c>
      <c r="IY40" s="762">
        <f t="shared" si="234"/>
        <v>52.906780908573459</v>
      </c>
    </row>
    <row r="41" spans="1:267" ht="15" customHeight="1" x14ac:dyDescent="0.25">
      <c r="A41" s="79"/>
      <c r="B41" s="707">
        <v>-0.42377051621995188</v>
      </c>
      <c r="C41" s="708">
        <v>-0.42377022789307928</v>
      </c>
      <c r="D41" s="709">
        <v>-0.19150057756574171</v>
      </c>
      <c r="E41" s="710">
        <v>0.66690147880474759</v>
      </c>
      <c r="F41" s="708">
        <v>-0.61481134068008614</v>
      </c>
      <c r="G41" s="711">
        <v>0.42101001524808856</v>
      </c>
      <c r="H41" s="710">
        <v>0.314</v>
      </c>
      <c r="I41" s="708">
        <v>0.52</v>
      </c>
      <c r="J41" s="570">
        <v>4.1020000000000003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4.1020000000000003</v>
      </c>
      <c r="N41" s="632">
        <f t="shared" ref="N41:N72" si="240">IF(M41="","",B41)</f>
        <v>-0.42377051621995188</v>
      </c>
      <c r="O41" s="629">
        <f t="shared" ref="O41:O72" si="241">IF(M41="","",C41)</f>
        <v>-0.42377022789307928</v>
      </c>
      <c r="P41" s="633">
        <f t="shared" ref="P41:P72" si="242">IF(M41="","",D41)</f>
        <v>-0.19150057756574171</v>
      </c>
      <c r="Q41" s="585">
        <f t="shared" si="113"/>
        <v>224.99998050841444</v>
      </c>
      <c r="R41" s="629">
        <f t="shared" si="79"/>
        <v>0.59930180749425144</v>
      </c>
      <c r="S41" s="634">
        <f t="shared" si="80"/>
        <v>-0.19150057756574171</v>
      </c>
      <c r="T41" s="635">
        <f t="shared" si="81"/>
        <v>-0.42763978021653537</v>
      </c>
      <c r="U41" s="629">
        <f t="shared" si="82"/>
        <v>0.41986530559481827</v>
      </c>
      <c r="V41" s="636">
        <f t="shared" si="114"/>
        <v>-0.19150057756574171</v>
      </c>
      <c r="W41" s="585">
        <f t="shared" si="224"/>
        <v>135.52558043252719</v>
      </c>
      <c r="X41" s="629">
        <f t="shared" si="83"/>
        <v>0.59930180749425144</v>
      </c>
      <c r="Y41" s="630">
        <f t="shared" si="223"/>
        <v>-0.19150057756574171</v>
      </c>
      <c r="Z41" s="632">
        <f t="shared" ref="Z41:Z72" si="243">IF(M41="","",-E41)</f>
        <v>-0.66690147880474759</v>
      </c>
      <c r="AA41" s="629">
        <f t="shared" ref="AA41:AA72" si="244">IF(M41="","",-F41)</f>
        <v>0.61481134068008614</v>
      </c>
      <c r="AB41" s="629">
        <f t="shared" ref="AB41:AB72" si="245">IF(M41="","",-G41)</f>
        <v>-0.42101001524808856</v>
      </c>
      <c r="AC41" s="636">
        <f t="shared" si="84"/>
        <v>1</v>
      </c>
      <c r="AD41" s="637">
        <f t="shared" si="115"/>
        <v>-0.66690147880474759</v>
      </c>
      <c r="AE41" s="629">
        <f t="shared" si="85"/>
        <v>0.61481134068008614</v>
      </c>
      <c r="AF41" s="633">
        <f t="shared" si="86"/>
        <v>-0.42101001524808856</v>
      </c>
      <c r="AG41" s="602">
        <f t="shared" si="87"/>
        <v>55.597468278017004</v>
      </c>
      <c r="AH41" s="603">
        <f t="shared" si="88"/>
        <v>131.82836753216222</v>
      </c>
      <c r="AI41" s="585">
        <f t="shared" si="89"/>
        <v>-65.101629594133072</v>
      </c>
      <c r="AJ41" s="586">
        <f t="shared" si="90"/>
        <v>-132.67272085836694</v>
      </c>
      <c r="AK41" s="635">
        <f t="shared" si="211"/>
        <v>0.90630781366099955</v>
      </c>
      <c r="AL41" s="629">
        <f t="shared" si="91"/>
        <v>3.6833598219874142E-2</v>
      </c>
      <c r="AM41" s="634">
        <f t="shared" si="92"/>
        <v>-0.42101001524808856</v>
      </c>
      <c r="AN41" s="581">
        <f t="shared" si="93"/>
        <v>4.9999992780893798</v>
      </c>
      <c r="AO41" s="582">
        <f t="shared" si="94"/>
        <v>24.999996390447112</v>
      </c>
      <c r="AP41" s="585">
        <f t="shared" si="95"/>
        <v>2.3272986332186272</v>
      </c>
      <c r="AQ41" s="586">
        <f t="shared" ref="AQ41:AQ72" si="246">IF(M41="","",DEGREES(ATAN(($AS$5*SIN(RADIANS(90)))/(($X41*2*PI())-($AS$5*COS(RADIANS(90)))))))</f>
        <v>3.7983964879416225</v>
      </c>
      <c r="AS41" s="52">
        <f t="shared" si="116"/>
        <v>-224.47441956747281</v>
      </c>
      <c r="AT41" s="72">
        <f t="shared" ref="AT41:AT72" si="247">IF(M41="","",Y41+(((AS41-$AS$9)*$AS$6)*-1))</f>
        <v>-3.5250564029918385E-2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4.1020000000000003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-0.96541612847505542</v>
      </c>
      <c r="C42" s="708">
        <v>-0.96541547162092589</v>
      </c>
      <c r="D42" s="709">
        <v>-0.13500040716122796</v>
      </c>
      <c r="E42" s="710">
        <v>0.68554097166667238</v>
      </c>
      <c r="F42" s="708">
        <v>-0.64338511582925539</v>
      </c>
      <c r="G42" s="711">
        <v>0.34071860661796943</v>
      </c>
      <c r="H42" s="710">
        <v>0.314</v>
      </c>
      <c r="I42" s="708">
        <v>0.52</v>
      </c>
      <c r="J42" s="570">
        <v>4.1050000000000004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4.1050000000000004</v>
      </c>
      <c r="N42" s="632">
        <f t="shared" si="240"/>
        <v>-0.96541612847505542</v>
      </c>
      <c r="O42" s="629">
        <f t="shared" si="241"/>
        <v>-0.96541547162092589</v>
      </c>
      <c r="P42" s="633">
        <f t="shared" si="242"/>
        <v>-0.13500040716122796</v>
      </c>
      <c r="Q42" s="585">
        <f t="shared" si="113"/>
        <v>224.99998050841441</v>
      </c>
      <c r="R42" s="629">
        <f t="shared" ref="R42:R47" si="385">IF(M42="","",SQRT(N42^2+O42^2))</f>
        <v>1.3653041177572194</v>
      </c>
      <c r="S42" s="634">
        <f t="shared" ref="S42:S47" si="386">IF(M42="","",P42)</f>
        <v>-0.13500040716122796</v>
      </c>
      <c r="T42" s="635">
        <f t="shared" ref="T42:T47" si="387">IF(M42="","",X42*COS(RADIANS(W42)))</f>
        <v>-0.97423092262578936</v>
      </c>
      <c r="U42" s="629">
        <f t="shared" ref="U42:U47" si="388">IF(M42="","",X42*SIN(RADIANS(W42)))</f>
        <v>0.95651944223027807</v>
      </c>
      <c r="V42" s="636">
        <f t="shared" ref="V42:V47" si="389">IF(M42="","",Y42)</f>
        <v>-0.13500040716122796</v>
      </c>
      <c r="W42" s="585">
        <f t="shared" si="224"/>
        <v>135.52558043252716</v>
      </c>
      <c r="X42" s="629">
        <f t="shared" ref="X42:X47" si="390">IF(M42="","",R42)</f>
        <v>1.3653041177572194</v>
      </c>
      <c r="Y42" s="630">
        <f t="shared" si="223"/>
        <v>-0.13500040716122796</v>
      </c>
      <c r="Z42" s="632">
        <f t="shared" si="243"/>
        <v>-0.68554097166667238</v>
      </c>
      <c r="AA42" s="629">
        <f t="shared" si="244"/>
        <v>0.64338511582925539</v>
      </c>
      <c r="AB42" s="629">
        <f t="shared" si="245"/>
        <v>-0.34071860661796943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-0.68554097166667238</v>
      </c>
      <c r="AE42" s="629">
        <f t="shared" ref="AE42:AE47" si="393">IF(M42="","",AA42*(1/SQRT(Z42^2+AA42^2+AB42^2)))</f>
        <v>0.64338511582925539</v>
      </c>
      <c r="AF42" s="633">
        <f t="shared" ref="AF42:AF47" si="394">IF(M42="","",AB42*(1/SQRT(Z42^2+AA42^2+AB42^2)))</f>
        <v>-0.34071860661796943</v>
      </c>
      <c r="AG42" s="602">
        <f t="shared" ref="AG42:AG47" si="395">IF(M42="","",DEGREES(ATAN2(-AF42,AE42)))</f>
        <v>62.095567944875071</v>
      </c>
      <c r="AH42" s="603">
        <f t="shared" ref="AH42:AH47" si="396">IF(M42="","",DEGREES(ACOS(AD42)))</f>
        <v>133.27816636755389</v>
      </c>
      <c r="AI42" s="585">
        <f t="shared" ref="AI42:AI47" si="397">IF(M42="","",DEGREES(-ACOS(-AF42)))</f>
        <v>-70.079338493247803</v>
      </c>
      <c r="AJ42" s="586">
        <f t="shared" ref="AJ42:AJ47" si="398">IF(M42="","",DEGREES(ATAN2(-AE42,AD42)))</f>
        <v>-133.18308710484362</v>
      </c>
      <c r="AK42" s="635">
        <f t="shared" ref="AK42:AK47" si="399">IF(M42="","",(COS(RADIANS((90-$Q$8)-W42))*AD42)+(-SIN(RADIANS((90-$Q$8)-W42))*AE42))</f>
        <v>0.93969263802333458</v>
      </c>
      <c r="AL42" s="629">
        <f t="shared" ref="AL42:AL47" si="400">IF(M42="","",(SIN(RADIANS((90-$Q$8)-W42))*AD42)+(COS(RADIANS((90-$Q$8)-W42))*AE42))</f>
        <v>2.9809011205603919E-2</v>
      </c>
      <c r="AM42" s="634">
        <f t="shared" ref="AM42:AM47" si="401">IF(M42="","",AF42)</f>
        <v>-0.34071860661796943</v>
      </c>
      <c r="AN42" s="581">
        <f t="shared" ref="AN42:AN47" si="402">IF(M42="","",DEGREES(ATAN2(-AM42,AL42)))</f>
        <v>4.9999992780894242</v>
      </c>
      <c r="AO42" s="582">
        <f t="shared" si="94"/>
        <v>19.999997112357679</v>
      </c>
      <c r="AP42" s="585">
        <f t="shared" ref="AP42:AP47" si="403">IF(M42="","",DEGREES(ATAN2(AK42,AL42)))</f>
        <v>1.8169323867419505</v>
      </c>
      <c r="AQ42" s="586">
        <f t="shared" si="246"/>
        <v>1.6692849159765022</v>
      </c>
      <c r="AS42" s="52">
        <f t="shared" si="116"/>
        <v>-224.47441956747284</v>
      </c>
      <c r="AT42" s="72">
        <f t="shared" si="247"/>
        <v>2.1249606374595359E-2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4.1050000000000004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-1.5064253424912166</v>
      </c>
      <c r="C43" s="708">
        <v>-1.5064243175428254</v>
      </c>
      <c r="D43" s="709">
        <v>-6.8000205088618731E-2</v>
      </c>
      <c r="E43" s="710">
        <v>0.68554097166667227</v>
      </c>
      <c r="F43" s="708">
        <v>-0.64338511582925539</v>
      </c>
      <c r="G43" s="711">
        <v>0.34071860661796938</v>
      </c>
      <c r="H43" s="710">
        <v>0.314</v>
      </c>
      <c r="I43" s="708">
        <v>0.52</v>
      </c>
      <c r="J43" s="570">
        <v>4.1079999999999997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4.1079999999999997</v>
      </c>
      <c r="N43" s="632">
        <f t="shared" si="240"/>
        <v>-1.5064253424912166</v>
      </c>
      <c r="O43" s="629">
        <f t="shared" si="241"/>
        <v>-1.5064243175428254</v>
      </c>
      <c r="P43" s="633">
        <f t="shared" si="242"/>
        <v>-6.8000205088618731E-2</v>
      </c>
      <c r="Q43" s="585">
        <f t="shared" si="113"/>
        <v>224.99998050841441</v>
      </c>
      <c r="R43" s="629">
        <f t="shared" si="385"/>
        <v>2.1304064253057788</v>
      </c>
      <c r="S43" s="634">
        <f t="shared" si="386"/>
        <v>-6.8000205088618731E-2</v>
      </c>
      <c r="T43" s="635">
        <f t="shared" si="387"/>
        <v>-1.5201798561209854</v>
      </c>
      <c r="U43" s="629">
        <f t="shared" si="388"/>
        <v>1.4925430452848341</v>
      </c>
      <c r="V43" s="636">
        <f t="shared" si="389"/>
        <v>-6.8000205088618731E-2</v>
      </c>
      <c r="W43" s="585">
        <f t="shared" si="224"/>
        <v>135.52558043252716</v>
      </c>
      <c r="X43" s="629">
        <f t="shared" si="390"/>
        <v>2.1304064253057788</v>
      </c>
      <c r="Y43" s="630">
        <f t="shared" si="223"/>
        <v>-6.8000205088618731E-2</v>
      </c>
      <c r="Z43" s="632">
        <f t="shared" si="243"/>
        <v>-0.68554097166667227</v>
      </c>
      <c r="AA43" s="629">
        <f t="shared" si="244"/>
        <v>0.64338511582925539</v>
      </c>
      <c r="AB43" s="629">
        <f t="shared" si="245"/>
        <v>-0.34071860661796938</v>
      </c>
      <c r="AC43" s="636">
        <f t="shared" si="391"/>
        <v>1</v>
      </c>
      <c r="AD43" s="637">
        <f t="shared" si="392"/>
        <v>-0.68554097166667227</v>
      </c>
      <c r="AE43" s="629">
        <f t="shared" si="393"/>
        <v>0.64338511582925539</v>
      </c>
      <c r="AF43" s="633">
        <f t="shared" si="394"/>
        <v>-0.34071860661796938</v>
      </c>
      <c r="AG43" s="602">
        <f t="shared" si="395"/>
        <v>62.095567944875071</v>
      </c>
      <c r="AH43" s="603">
        <f t="shared" si="396"/>
        <v>133.27816636755389</v>
      </c>
      <c r="AI43" s="585">
        <f t="shared" si="397"/>
        <v>-70.079338493247803</v>
      </c>
      <c r="AJ43" s="586">
        <f t="shared" si="398"/>
        <v>-133.18308710484362</v>
      </c>
      <c r="AK43" s="635">
        <f t="shared" si="399"/>
        <v>0.93969263802333458</v>
      </c>
      <c r="AL43" s="629">
        <f t="shared" si="400"/>
        <v>2.9809011205603864E-2</v>
      </c>
      <c r="AM43" s="634">
        <f t="shared" si="401"/>
        <v>-0.34071860661796938</v>
      </c>
      <c r="AN43" s="581">
        <f t="shared" si="402"/>
        <v>4.9999992780894154</v>
      </c>
      <c r="AO43" s="582">
        <f t="shared" si="94"/>
        <v>19.999997112357679</v>
      </c>
      <c r="AP43" s="585">
        <f t="shared" si="403"/>
        <v>1.8169323867419469</v>
      </c>
      <c r="AQ43" s="586">
        <f t="shared" si="246"/>
        <v>1.0699656143542282</v>
      </c>
      <c r="AS43" s="52">
        <f t="shared" ref="AS43:AS74" si="406">IF(G43="","",IF(AND(W43&lt;(AS42+180),W43&gt;(AS42-180)),W43,IF(W43&gt;(AS42+180),W43-360,IF(W43&lt;(AS42-180),W43+360,"Error"))))</f>
        <v>-224.47441956747284</v>
      </c>
      <c r="AT43" s="72">
        <f t="shared" si="247"/>
        <v>8.8249808447204592E-2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4.1079999999999997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-2.1445622106762752</v>
      </c>
      <c r="C44" s="708">
        <v>-2.0830777543446484</v>
      </c>
      <c r="D44" s="709">
        <v>-0.16770050578472537</v>
      </c>
      <c r="E44" s="710">
        <v>0.54553893430396416</v>
      </c>
      <c r="F44" s="708">
        <v>-0.77689621104562767</v>
      </c>
      <c r="G44" s="711">
        <v>0.31435576727879966</v>
      </c>
      <c r="H44" s="710">
        <v>0.314</v>
      </c>
      <c r="I44" s="708">
        <v>0.52</v>
      </c>
      <c r="J44" s="570">
        <v>4.1130000000000004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4.1130000000000004</v>
      </c>
      <c r="N44" s="632">
        <f t="shared" si="240"/>
        <v>-2.1445622106762752</v>
      </c>
      <c r="O44" s="629">
        <f t="shared" si="241"/>
        <v>-2.0830777543446484</v>
      </c>
      <c r="P44" s="633">
        <f t="shared" si="242"/>
        <v>-0.16770050578472537</v>
      </c>
      <c r="Q44" s="585">
        <f t="shared" si="113"/>
        <v>224.16678062871358</v>
      </c>
      <c r="R44" s="629">
        <f t="shared" si="385"/>
        <v>2.9897090169623959</v>
      </c>
      <c r="S44" s="634">
        <f t="shared" si="386"/>
        <v>-0.16770050578472537</v>
      </c>
      <c r="T44" s="635">
        <f t="shared" si="387"/>
        <v>-2.1026628638290559</v>
      </c>
      <c r="U44" s="629">
        <f t="shared" si="388"/>
        <v>2.1253632365269817</v>
      </c>
      <c r="V44" s="636">
        <f t="shared" si="389"/>
        <v>-0.16770050578472537</v>
      </c>
      <c r="W44" s="585">
        <f t="shared" si="224"/>
        <v>134.69238055282634</v>
      </c>
      <c r="X44" s="629">
        <f t="shared" si="390"/>
        <v>2.9897090169623959</v>
      </c>
      <c r="Y44" s="630">
        <f t="shared" si="223"/>
        <v>-0.16770050578472537</v>
      </c>
      <c r="Z44" s="632">
        <f t="shared" si="243"/>
        <v>-0.54553893430396416</v>
      </c>
      <c r="AA44" s="629">
        <f t="shared" si="244"/>
        <v>0.77689621104562767</v>
      </c>
      <c r="AB44" s="629">
        <f t="shared" si="245"/>
        <v>-0.31435576727879966</v>
      </c>
      <c r="AC44" s="636">
        <f t="shared" si="391"/>
        <v>1</v>
      </c>
      <c r="AD44" s="637">
        <f t="shared" si="392"/>
        <v>-0.54553893430396416</v>
      </c>
      <c r="AE44" s="629">
        <f t="shared" si="393"/>
        <v>0.77689621104562767</v>
      </c>
      <c r="AF44" s="633">
        <f t="shared" si="394"/>
        <v>-0.31435576727879966</v>
      </c>
      <c r="AG44" s="602">
        <f t="shared" si="395"/>
        <v>67.970251006357415</v>
      </c>
      <c r="AH44" s="603">
        <f t="shared" si="396"/>
        <v>123.06150021211158</v>
      </c>
      <c r="AI44" s="585">
        <f t="shared" si="397"/>
        <v>-71.678073558013878</v>
      </c>
      <c r="AJ44" s="586">
        <f t="shared" si="398"/>
        <v>-144.92335013180602</v>
      </c>
      <c r="AK44" s="635">
        <f t="shared" si="399"/>
        <v>0.93738295536563809</v>
      </c>
      <c r="AL44" s="629">
        <f t="shared" si="400"/>
        <v>-0.14997882039987953</v>
      </c>
      <c r="AM44" s="634">
        <f t="shared" si="401"/>
        <v>-0.31435576727879966</v>
      </c>
      <c r="AN44" s="581">
        <f t="shared" si="402"/>
        <v>-25.505762487064178</v>
      </c>
      <c r="AO44" s="582">
        <f t="shared" si="94"/>
        <v>20.383397483690793</v>
      </c>
      <c r="AP44" s="585">
        <f t="shared" si="403"/>
        <v>-9.0901307605195854</v>
      </c>
      <c r="AQ44" s="586">
        <f t="shared" si="246"/>
        <v>0.76247957238017383</v>
      </c>
      <c r="AS44" s="52">
        <f t="shared" si="406"/>
        <v>-225.30761944717366</v>
      </c>
      <c r="AT44" s="72">
        <f t="shared" si="247"/>
        <v>-1.0871881221332008E-2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4.1130000000000004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-2.6457137592279065</v>
      </c>
      <c r="C45" s="708">
        <v>-2.5024503173591097</v>
      </c>
      <c r="D45" s="709">
        <v>-0.61740186208401615</v>
      </c>
      <c r="E45" s="710">
        <v>0.4397860283903246</v>
      </c>
      <c r="F45" s="708">
        <v>-0.87006671832910643</v>
      </c>
      <c r="G45" s="711">
        <v>0.22264805161663576</v>
      </c>
      <c r="H45" s="710">
        <v>0.314</v>
      </c>
      <c r="I45" s="708">
        <v>0.52</v>
      </c>
      <c r="J45" s="570">
        <v>4.1180000000000003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4.1180000000000003</v>
      </c>
      <c r="N45" s="632">
        <f t="shared" si="240"/>
        <v>-2.6457137592279065</v>
      </c>
      <c r="O45" s="629">
        <f t="shared" si="241"/>
        <v>-2.5024503173591097</v>
      </c>
      <c r="P45" s="633">
        <f t="shared" si="242"/>
        <v>-0.61740186208401615</v>
      </c>
      <c r="Q45" s="585">
        <f t="shared" si="113"/>
        <v>223.40598073855949</v>
      </c>
      <c r="R45" s="629">
        <f t="shared" si="385"/>
        <v>3.6417109834003258</v>
      </c>
      <c r="S45" s="634">
        <f t="shared" si="386"/>
        <v>-0.61740186208401615</v>
      </c>
      <c r="T45" s="635">
        <f t="shared" si="387"/>
        <v>-2.52661500521732</v>
      </c>
      <c r="U45" s="629">
        <f t="shared" si="388"/>
        <v>2.6226466597750546</v>
      </c>
      <c r="V45" s="636">
        <f t="shared" si="389"/>
        <v>-0.61740186208401615</v>
      </c>
      <c r="W45" s="585">
        <f t="shared" si="224"/>
        <v>133.93158066267225</v>
      </c>
      <c r="X45" s="629">
        <f t="shared" si="390"/>
        <v>3.6417109834003258</v>
      </c>
      <c r="Y45" s="630">
        <f t="shared" si="223"/>
        <v>-0.61740186208401615</v>
      </c>
      <c r="Z45" s="632">
        <f t="shared" si="243"/>
        <v>-0.4397860283903246</v>
      </c>
      <c r="AA45" s="629">
        <f t="shared" si="244"/>
        <v>0.87006671832910643</v>
      </c>
      <c r="AB45" s="629">
        <f t="shared" si="245"/>
        <v>-0.22264805161663576</v>
      </c>
      <c r="AC45" s="636">
        <f t="shared" si="391"/>
        <v>1</v>
      </c>
      <c r="AD45" s="637">
        <f t="shared" si="392"/>
        <v>-0.4397860283903246</v>
      </c>
      <c r="AE45" s="629">
        <f t="shared" si="393"/>
        <v>0.87006671832910643</v>
      </c>
      <c r="AF45" s="633">
        <f t="shared" si="394"/>
        <v>-0.22264805161663576</v>
      </c>
      <c r="AG45" s="602">
        <f t="shared" si="395"/>
        <v>75.646165709133271</v>
      </c>
      <c r="AH45" s="603">
        <f t="shared" si="396"/>
        <v>116.09022970625631</v>
      </c>
      <c r="AI45" s="585">
        <f t="shared" si="397"/>
        <v>-77.13538642246219</v>
      </c>
      <c r="AJ45" s="586">
        <f t="shared" si="398"/>
        <v>-153.18511742627359</v>
      </c>
      <c r="AK45" s="635">
        <f t="shared" si="399"/>
        <v>0.93431087473836194</v>
      </c>
      <c r="AL45" s="629">
        <f t="shared" si="400"/>
        <v>-0.27837211508510179</v>
      </c>
      <c r="AM45" s="634">
        <f t="shared" si="401"/>
        <v>-0.22264805161663576</v>
      </c>
      <c r="AN45" s="581">
        <f t="shared" si="402"/>
        <v>-51.34642229834963</v>
      </c>
      <c r="AO45" s="582">
        <f t="shared" si="94"/>
        <v>20.882904323024608</v>
      </c>
      <c r="AP45" s="585">
        <f t="shared" si="403"/>
        <v>-16.591098164833074</v>
      </c>
      <c r="AQ45" s="586">
        <f t="shared" si="246"/>
        <v>0.62597936397625464</v>
      </c>
      <c r="AS45" s="52">
        <f t="shared" si="406"/>
        <v>-226.06841933732775</v>
      </c>
      <c r="AT45" s="72">
        <f t="shared" si="247"/>
        <v>-0.46004490426357136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4.1180000000000003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-2.9432480124347742</v>
      </c>
      <c r="C46" s="708">
        <v>-2.7370343838684987</v>
      </c>
      <c r="D46" s="709">
        <v>-1.2946039045253765</v>
      </c>
      <c r="E46" s="710">
        <v>0.3445759717448153</v>
      </c>
      <c r="F46" s="708">
        <v>-0.93078716783968085</v>
      </c>
      <c r="G46" s="711">
        <v>0.12207640181911554</v>
      </c>
      <c r="H46" s="710">
        <v>0.314</v>
      </c>
      <c r="I46" s="708">
        <v>0.52</v>
      </c>
      <c r="J46" s="570">
        <v>4.1230000000000002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4.1230000000000002</v>
      </c>
      <c r="N46" s="632">
        <f t="shared" si="240"/>
        <v>-2.9432480124347742</v>
      </c>
      <c r="O46" s="629">
        <f t="shared" si="241"/>
        <v>-2.7370343838684987</v>
      </c>
      <c r="P46" s="633">
        <f t="shared" si="242"/>
        <v>-1.2946039045253765</v>
      </c>
      <c r="Q46" s="585">
        <f t="shared" si="113"/>
        <v>222.92088080859929</v>
      </c>
      <c r="R46" s="629">
        <f t="shared" si="385"/>
        <v>4.0192121219437595</v>
      </c>
      <c r="S46" s="634">
        <f t="shared" si="386"/>
        <v>-1.2946039045253765</v>
      </c>
      <c r="T46" s="635">
        <f t="shared" si="387"/>
        <v>-2.7639185785000442</v>
      </c>
      <c r="U46" s="629">
        <f t="shared" si="388"/>
        <v>2.9180164791518832</v>
      </c>
      <c r="V46" s="636">
        <f t="shared" si="389"/>
        <v>-1.2946039045253765</v>
      </c>
      <c r="W46" s="585">
        <f t="shared" si="224"/>
        <v>133.44648073271205</v>
      </c>
      <c r="X46" s="629">
        <f t="shared" si="390"/>
        <v>4.0192121219437595</v>
      </c>
      <c r="Y46" s="630">
        <f t="shared" si="223"/>
        <v>-1.2946039045253765</v>
      </c>
      <c r="Z46" s="632">
        <f t="shared" si="243"/>
        <v>-0.3445759717448153</v>
      </c>
      <c r="AA46" s="629">
        <f t="shared" si="244"/>
        <v>0.93078716783968085</v>
      </c>
      <c r="AB46" s="629">
        <f t="shared" si="245"/>
        <v>-0.12207640181911554</v>
      </c>
      <c r="AC46" s="636">
        <f t="shared" si="391"/>
        <v>1</v>
      </c>
      <c r="AD46" s="637">
        <f t="shared" si="392"/>
        <v>-0.3445759717448153</v>
      </c>
      <c r="AE46" s="629">
        <f t="shared" si="393"/>
        <v>0.93078716783968085</v>
      </c>
      <c r="AF46" s="633">
        <f t="shared" si="394"/>
        <v>-0.12207640181911554</v>
      </c>
      <c r="AG46" s="602">
        <f t="shared" si="395"/>
        <v>82.528080540457921</v>
      </c>
      <c r="AH46" s="603">
        <f t="shared" si="396"/>
        <v>110.15591366167817</v>
      </c>
      <c r="AI46" s="585">
        <f t="shared" si="397"/>
        <v>-82.98804718023122</v>
      </c>
      <c r="AJ46" s="586">
        <f t="shared" si="398"/>
        <v>-159.68552548390088</v>
      </c>
      <c r="AK46" s="635">
        <f t="shared" si="399"/>
        <v>0.91626260384669567</v>
      </c>
      <c r="AL46" s="629">
        <f t="shared" si="400"/>
        <v>-0.38152351554127201</v>
      </c>
      <c r="AM46" s="634">
        <f t="shared" si="401"/>
        <v>-0.12207640181911554</v>
      </c>
      <c r="AN46" s="581">
        <f t="shared" si="402"/>
        <v>-72.256843657924364</v>
      </c>
      <c r="AO46" s="582">
        <f t="shared" si="94"/>
        <v>23.614325349761714</v>
      </c>
      <c r="AP46" s="585">
        <f t="shared" si="403"/>
        <v>-22.606406292500179</v>
      </c>
      <c r="AQ46" s="586">
        <f t="shared" si="246"/>
        <v>0.56718881561325929</v>
      </c>
      <c r="AS46" s="52">
        <f t="shared" si="406"/>
        <v>-226.55351926728795</v>
      </c>
      <c r="AT46" s="72">
        <f t="shared" si="247"/>
        <v>-1.1369100717535705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4.1230000000000002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-3.0597598081133057</v>
      </c>
      <c r="C47" s="708">
        <v>-2.8261043161282298</v>
      </c>
      <c r="D47" s="709">
        <v>-1.9450058661376923</v>
      </c>
      <c r="E47" s="710">
        <v>0.12996587195191928</v>
      </c>
      <c r="F47" s="708">
        <v>-0.98464417644787794</v>
      </c>
      <c r="G47" s="711">
        <v>0.11655349808160147</v>
      </c>
      <c r="H47" s="710">
        <v>0.26600000000000001</v>
      </c>
      <c r="I47" s="708">
        <v>0.52</v>
      </c>
      <c r="J47" s="570">
        <v>4.1280000000000001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1313</v>
      </c>
      <c r="L47" s="320"/>
      <c r="M47" s="168">
        <f t="shared" si="239"/>
        <v>4.1280000000000001</v>
      </c>
      <c r="N47" s="632">
        <f t="shared" si="240"/>
        <v>-3.0597598081133057</v>
      </c>
      <c r="O47" s="629">
        <f t="shared" si="241"/>
        <v>-2.8261043161282298</v>
      </c>
      <c r="P47" s="633">
        <f t="shared" si="242"/>
        <v>-1.9450058661376923</v>
      </c>
      <c r="Q47" s="585">
        <f t="shared" si="113"/>
        <v>222.72668083663825</v>
      </c>
      <c r="R47" s="629">
        <f t="shared" si="385"/>
        <v>4.1652125622810878</v>
      </c>
      <c r="S47" s="634">
        <f t="shared" si="386"/>
        <v>-1.9450058661376923</v>
      </c>
      <c r="T47" s="635">
        <f t="shared" si="387"/>
        <v>-2.854053563123184</v>
      </c>
      <c r="U47" s="629">
        <f t="shared" si="388"/>
        <v>3.0337063054633422</v>
      </c>
      <c r="V47" s="636">
        <f t="shared" si="389"/>
        <v>-1.9450058661376923</v>
      </c>
      <c r="W47" s="585">
        <f t="shared" si="224"/>
        <v>133.25228076075101</v>
      </c>
      <c r="X47" s="629">
        <f t="shared" si="390"/>
        <v>4.1652125622810878</v>
      </c>
      <c r="Y47" s="630">
        <f t="shared" si="223"/>
        <v>-1.9450058661376923</v>
      </c>
      <c r="Z47" s="632">
        <f t="shared" si="243"/>
        <v>-0.12996587195191928</v>
      </c>
      <c r="AA47" s="629">
        <f t="shared" si="244"/>
        <v>0.98464417644787794</v>
      </c>
      <c r="AB47" s="629">
        <f t="shared" si="245"/>
        <v>-0.11655349808160147</v>
      </c>
      <c r="AC47" s="636">
        <f t="shared" si="391"/>
        <v>1</v>
      </c>
      <c r="AD47" s="637">
        <f t="shared" si="392"/>
        <v>-0.12996587195191928</v>
      </c>
      <c r="AE47" s="629">
        <f t="shared" si="393"/>
        <v>0.98464417644787794</v>
      </c>
      <c r="AF47" s="633">
        <f t="shared" si="394"/>
        <v>-0.11655349808160147</v>
      </c>
      <c r="AG47" s="602">
        <f t="shared" si="395"/>
        <v>83.249243665250333</v>
      </c>
      <c r="AH47" s="603">
        <f t="shared" si="396"/>
        <v>97.467620192252951</v>
      </c>
      <c r="AI47" s="585">
        <f t="shared" si="397"/>
        <v>-83.30676344428305</v>
      </c>
      <c r="AJ47" s="586">
        <f t="shared" si="398"/>
        <v>-172.48083913783188</v>
      </c>
      <c r="AK47" s="635">
        <f t="shared" si="399"/>
        <v>0.81150043065500299</v>
      </c>
      <c r="AL47" s="629">
        <f t="shared" si="400"/>
        <v>-0.57261010568421433</v>
      </c>
      <c r="AM47" s="634">
        <f t="shared" si="401"/>
        <v>-0.11655349808160147</v>
      </c>
      <c r="AN47" s="581">
        <f t="shared" si="402"/>
        <v>-78.494748612456917</v>
      </c>
      <c r="AO47" s="582">
        <f t="shared" si="94"/>
        <v>35.757212346865479</v>
      </c>
      <c r="AP47" s="585">
        <f t="shared" si="403"/>
        <v>-35.207519974470124</v>
      </c>
      <c r="AQ47" s="586">
        <f t="shared" si="246"/>
        <v>0.54730875264837042</v>
      </c>
      <c r="AS47" s="52">
        <f t="shared" si="406"/>
        <v>-226.74771923924899</v>
      </c>
      <c r="AT47" s="72">
        <f t="shared" si="247"/>
        <v>-1.7871771722742467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4.1280000000000001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1313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-3.0597598081133062</v>
      </c>
      <c r="C48" s="708">
        <v>-2.8261043161282298</v>
      </c>
      <c r="D48" s="709">
        <v>-2.549107688108788</v>
      </c>
      <c r="E48" s="710">
        <v>0.12996587195191933</v>
      </c>
      <c r="F48" s="708">
        <v>-0.98464417644787783</v>
      </c>
      <c r="G48" s="711">
        <v>0.11655349808160154</v>
      </c>
      <c r="H48" s="710">
        <v>0.26600000000000001</v>
      </c>
      <c r="I48" s="708">
        <v>0.52</v>
      </c>
      <c r="J48" s="570">
        <v>4.133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1313</v>
      </c>
      <c r="L48" s="320"/>
      <c r="M48" s="168">
        <f t="shared" si="239"/>
        <v>4.133</v>
      </c>
      <c r="N48" s="632">
        <f t="shared" si="240"/>
        <v>-3.0597598081133062</v>
      </c>
      <c r="O48" s="629">
        <f t="shared" si="241"/>
        <v>-2.8261043161282298</v>
      </c>
      <c r="P48" s="633">
        <f t="shared" si="242"/>
        <v>-2.549107688108788</v>
      </c>
      <c r="Q48" s="585">
        <f t="shared" si="113"/>
        <v>222.72668083663825</v>
      </c>
      <c r="R48" s="629">
        <f t="shared" si="79"/>
        <v>4.1652125622810878</v>
      </c>
      <c r="S48" s="634">
        <f t="shared" si="80"/>
        <v>-2.549107688108788</v>
      </c>
      <c r="T48" s="635">
        <f t="shared" si="81"/>
        <v>-2.854053563123184</v>
      </c>
      <c r="U48" s="629">
        <f t="shared" si="82"/>
        <v>3.0337063054633422</v>
      </c>
      <c r="V48" s="636">
        <f t="shared" si="114"/>
        <v>-2.549107688108788</v>
      </c>
      <c r="W48" s="585">
        <f t="shared" si="224"/>
        <v>133.25228076075101</v>
      </c>
      <c r="X48" s="629">
        <f t="shared" si="83"/>
        <v>4.1652125622810878</v>
      </c>
      <c r="Y48" s="630">
        <f t="shared" si="223"/>
        <v>-2.549107688108788</v>
      </c>
      <c r="Z48" s="632">
        <f t="shared" si="243"/>
        <v>-0.12996587195191933</v>
      </c>
      <c r="AA48" s="629">
        <f t="shared" si="244"/>
        <v>0.98464417644787783</v>
      </c>
      <c r="AB48" s="629">
        <f t="shared" si="245"/>
        <v>-0.11655349808160154</v>
      </c>
      <c r="AC48" s="636">
        <f t="shared" si="84"/>
        <v>1</v>
      </c>
      <c r="AD48" s="637">
        <f t="shared" si="115"/>
        <v>-0.12996587195191933</v>
      </c>
      <c r="AE48" s="629">
        <f t="shared" si="85"/>
        <v>0.98464417644787783</v>
      </c>
      <c r="AF48" s="633">
        <f t="shared" si="86"/>
        <v>-0.11655349808160154</v>
      </c>
      <c r="AG48" s="602">
        <f t="shared" si="87"/>
        <v>83.249243665250319</v>
      </c>
      <c r="AH48" s="603">
        <f t="shared" si="88"/>
        <v>97.467620192252966</v>
      </c>
      <c r="AI48" s="585">
        <f t="shared" si="89"/>
        <v>-83.306763444283035</v>
      </c>
      <c r="AJ48" s="586">
        <f t="shared" si="90"/>
        <v>-172.48083913783185</v>
      </c>
      <c r="AK48" s="635">
        <f t="shared" si="211"/>
        <v>0.81150043065500288</v>
      </c>
      <c r="AL48" s="629">
        <f t="shared" si="91"/>
        <v>-0.57261010568421422</v>
      </c>
      <c r="AM48" s="634">
        <f t="shared" si="92"/>
        <v>-0.11655349808160154</v>
      </c>
      <c r="AN48" s="581">
        <f t="shared" si="93"/>
        <v>-78.494748612456902</v>
      </c>
      <c r="AO48" s="582">
        <f t="shared" si="94"/>
        <v>35.757212346865494</v>
      </c>
      <c r="AP48" s="585">
        <f t="shared" si="95"/>
        <v>-35.207519974470124</v>
      </c>
      <c r="AQ48" s="586">
        <f t="shared" si="246"/>
        <v>0.54730875264837042</v>
      </c>
      <c r="AS48" s="52">
        <f t="shared" si="406"/>
        <v>-226.74771923924899</v>
      </c>
      <c r="AT48" s="72">
        <f t="shared" si="247"/>
        <v>-2.3912789942453423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4.133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1313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-2.0348353219495272</v>
      </c>
      <c r="C49" s="708">
        <v>-0.6217032538942826</v>
      </c>
      <c r="D49" s="709">
        <v>-8.030693170597912E-2</v>
      </c>
      <c r="E49" s="710">
        <v>8.3352180827211547E-2</v>
      </c>
      <c r="F49" s="708">
        <v>2.5466355400355044E-2</v>
      </c>
      <c r="G49" s="711">
        <v>0.99619469918985748</v>
      </c>
      <c r="H49" s="710">
        <v>0.26250000000000001</v>
      </c>
      <c r="I49" s="708">
        <v>0.40699999999999997</v>
      </c>
      <c r="J49" s="570">
        <v>4.2080000000000002</v>
      </c>
      <c r="K49" s="865" t="str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Inactive</v>
      </c>
      <c r="L49" s="320"/>
      <c r="M49" s="168">
        <f t="shared" si="239"/>
        <v>4.2080000000000002</v>
      </c>
      <c r="N49" s="632">
        <f t="shared" si="240"/>
        <v>-2.0348353219495272</v>
      </c>
      <c r="O49" s="629">
        <f t="shared" si="241"/>
        <v>-0.6217032538942826</v>
      </c>
      <c r="P49" s="633">
        <f t="shared" si="242"/>
        <v>-8.030693170597912E-2</v>
      </c>
      <c r="Q49" s="585">
        <f t="shared" si="113"/>
        <v>196.98948455262965</v>
      </c>
      <c r="R49" s="629">
        <f t="shared" si="79"/>
        <v>2.1276911719881189</v>
      </c>
      <c r="S49" s="634">
        <f t="shared" si="80"/>
        <v>-8.030693170597912E-2</v>
      </c>
      <c r="T49" s="635">
        <f t="shared" si="81"/>
        <v>-0.6403432919409362</v>
      </c>
      <c r="U49" s="629">
        <f t="shared" si="82"/>
        <v>2.0290466214018887</v>
      </c>
      <c r="V49" s="636">
        <f t="shared" si="114"/>
        <v>-8.030693170597912E-2</v>
      </c>
      <c r="W49" s="585">
        <f t="shared" si="224"/>
        <v>107.5150844767424</v>
      </c>
      <c r="X49" s="629">
        <f t="shared" si="83"/>
        <v>2.1276911719881189</v>
      </c>
      <c r="Y49" s="630">
        <f t="shared" si="223"/>
        <v>-8.030693170597912E-2</v>
      </c>
      <c r="Z49" s="632">
        <f t="shared" si="243"/>
        <v>-8.3352180827211547E-2</v>
      </c>
      <c r="AA49" s="629">
        <f t="shared" si="244"/>
        <v>-2.5466355400355044E-2</v>
      </c>
      <c r="AB49" s="629">
        <f t="shared" si="245"/>
        <v>-0.99619469918985748</v>
      </c>
      <c r="AC49" s="636">
        <f t="shared" si="84"/>
        <v>1</v>
      </c>
      <c r="AD49" s="637">
        <f t="shared" si="115"/>
        <v>-8.3352180827211547E-2</v>
      </c>
      <c r="AE49" s="629">
        <f t="shared" si="85"/>
        <v>-2.5466355400355044E-2</v>
      </c>
      <c r="AF49" s="633">
        <f t="shared" si="86"/>
        <v>-0.99619469918985748</v>
      </c>
      <c r="AG49" s="602">
        <f t="shared" si="87"/>
        <v>-1.4643693309065675</v>
      </c>
      <c r="AH49" s="603">
        <f t="shared" si="88"/>
        <v>94.781275499142396</v>
      </c>
      <c r="AI49" s="585">
        <f t="shared" si="89"/>
        <v>-4.9999992781062668</v>
      </c>
      <c r="AJ49" s="586">
        <f t="shared" si="90"/>
        <v>-73.010664541301011</v>
      </c>
      <c r="AK49" s="635">
        <f t="shared" si="211"/>
        <v>2.2679489666485586E-7</v>
      </c>
      <c r="AL49" s="629">
        <f t="shared" si="91"/>
        <v>8.7155730195885156E-2</v>
      </c>
      <c r="AM49" s="634">
        <f t="shared" si="92"/>
        <v>-0.99619469918985748</v>
      </c>
      <c r="AN49" s="581">
        <f t="shared" si="93"/>
        <v>4.9999992780894216</v>
      </c>
      <c r="AO49" s="582">
        <f t="shared" si="94"/>
        <v>0</v>
      </c>
      <c r="AP49" s="585">
        <f t="shared" si="95"/>
        <v>89.999850906069355</v>
      </c>
      <c r="AQ49" s="586">
        <f t="shared" si="246"/>
        <v>1.0713307330527932</v>
      </c>
      <c r="AS49" s="52">
        <f t="shared" si="406"/>
        <v>-252.4849155232576</v>
      </c>
      <c r="AT49" s="72">
        <f t="shared" si="247"/>
        <v>9.5394815132472513E-2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>Nose</v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4.2080000000000002</v>
      </c>
      <c r="IH49" s="731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4.1079999999999997</v>
      </c>
      <c r="II49" s="734" cm="1">
        <f t="array" ref="II49">IFERROR(ROUND(VALUE(IF($IH49&lt;1,$IH49+LARGE((IF($M$9:$M$150="",0,$M$9:$M$150)-MOD(IF($M$9:$M$150="",0,$M$9:$M$150),1)),1),$IH49)),4),"")</f>
        <v>4.1079999999999997</v>
      </c>
      <c r="IJ49" s="533">
        <f t="shared" si="112"/>
        <v>1613</v>
      </c>
      <c r="IK49" s="533" t="str">
        <f t="shared" si="382"/>
        <v>Inactive</v>
      </c>
      <c r="IL49" s="727">
        <f t="shared" si="225"/>
        <v>28.010495955784762</v>
      </c>
      <c r="IM49" s="759">
        <v>4.4322356273001802E-2</v>
      </c>
      <c r="IN49" s="5">
        <f t="shared" si="226"/>
        <v>0.56000000000000005</v>
      </c>
      <c r="IO49" s="771">
        <v>280</v>
      </c>
      <c r="IP49" s="9">
        <f t="shared" si="227"/>
        <v>-2.1304064253057788</v>
      </c>
      <c r="IQ49" s="5">
        <f t="shared" si="228"/>
        <v>-6.8000205088618731E-2</v>
      </c>
      <c r="IR49" s="5">
        <f t="shared" si="383"/>
        <v>0.314</v>
      </c>
      <c r="IS49" s="5">
        <f t="shared" si="229"/>
        <v>0.29506348833932705</v>
      </c>
      <c r="IT49" s="727">
        <f t="shared" si="230"/>
        <v>-4.9999992780894154</v>
      </c>
      <c r="IU49" s="9">
        <f t="shared" si="231"/>
        <v>-2.1276911719881189</v>
      </c>
      <c r="IV49" s="5">
        <f t="shared" si="232"/>
        <v>-8.030693170597912E-2</v>
      </c>
      <c r="IW49" s="5">
        <f t="shared" si="384"/>
        <v>0.26250000000000001</v>
      </c>
      <c r="IX49" s="5">
        <f t="shared" si="233"/>
        <v>0.26250000000000001</v>
      </c>
      <c r="IY49" s="762">
        <f t="shared" si="234"/>
        <v>-4.9999992780894216</v>
      </c>
    </row>
    <row r="50" spans="1:259" ht="15" customHeight="1" x14ac:dyDescent="0.25">
      <c r="A50" s="79"/>
      <c r="B50" s="707">
        <v>-2.6982339028406113</v>
      </c>
      <c r="C50" s="708">
        <v>-1.3173975162131086</v>
      </c>
      <c r="D50" s="709">
        <v>-0.13046353136658687</v>
      </c>
      <c r="E50" s="710">
        <v>0.24452952673308403</v>
      </c>
      <c r="F50" s="708">
        <v>-0.88669412355058297</v>
      </c>
      <c r="G50" s="711">
        <v>0.39240137845904366</v>
      </c>
      <c r="H50" s="710">
        <v>0.26600000000000001</v>
      </c>
      <c r="I50" s="708">
        <v>0.52</v>
      </c>
      <c r="J50" s="570">
        <v>4.2130000000000001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1313</v>
      </c>
      <c r="L50" s="320"/>
      <c r="M50" s="168">
        <f t="shared" si="239"/>
        <v>4.2130000000000001</v>
      </c>
      <c r="N50" s="632">
        <f t="shared" si="240"/>
        <v>-2.6982339028406113</v>
      </c>
      <c r="O50" s="629">
        <f t="shared" si="241"/>
        <v>-1.3173975162131086</v>
      </c>
      <c r="P50" s="633">
        <f t="shared" si="242"/>
        <v>-0.13046353136658687</v>
      </c>
      <c r="Q50" s="585">
        <f t="shared" si="113"/>
        <v>206.02368324825275</v>
      </c>
      <c r="R50" s="629">
        <f t="shared" si="79"/>
        <v>3.0026658838710221</v>
      </c>
      <c r="S50" s="634">
        <f t="shared" si="80"/>
        <v>-0.13046353136658687</v>
      </c>
      <c r="T50" s="635">
        <f t="shared" si="81"/>
        <v>-1.3420938502178403</v>
      </c>
      <c r="U50" s="629">
        <f t="shared" si="82"/>
        <v>2.686035462790914</v>
      </c>
      <c r="V50" s="636">
        <f t="shared" si="114"/>
        <v>-0.13046353136658687</v>
      </c>
      <c r="W50" s="585">
        <f t="shared" si="224"/>
        <v>116.54928317236551</v>
      </c>
      <c r="X50" s="629">
        <f t="shared" si="83"/>
        <v>3.0026658838710221</v>
      </c>
      <c r="Y50" s="630">
        <f t="shared" si="223"/>
        <v>-0.13046353136658687</v>
      </c>
      <c r="Z50" s="632">
        <f t="shared" si="243"/>
        <v>-0.24452952673308403</v>
      </c>
      <c r="AA50" s="629">
        <f t="shared" si="244"/>
        <v>0.88669412355058297</v>
      </c>
      <c r="AB50" s="629">
        <f t="shared" si="245"/>
        <v>-0.39240137845904366</v>
      </c>
      <c r="AC50" s="636">
        <f t="shared" si="84"/>
        <v>1</v>
      </c>
      <c r="AD50" s="637">
        <f t="shared" si="115"/>
        <v>-0.24452952673308403</v>
      </c>
      <c r="AE50" s="629">
        <f t="shared" si="85"/>
        <v>0.88669412355058297</v>
      </c>
      <c r="AF50" s="633">
        <f t="shared" si="86"/>
        <v>-0.39240137845904366</v>
      </c>
      <c r="AG50" s="602">
        <f t="shared" si="87"/>
        <v>66.128490179807784</v>
      </c>
      <c r="AH50" s="603">
        <f t="shared" si="88"/>
        <v>104.15403193441047</v>
      </c>
      <c r="AI50" s="585">
        <f t="shared" si="89"/>
        <v>-66.895997062497869</v>
      </c>
      <c r="AJ50" s="586">
        <f t="shared" si="90"/>
        <v>-164.58238731616851</v>
      </c>
      <c r="AK50" s="635">
        <f t="shared" si="211"/>
        <v>0.9040801879937912</v>
      </c>
      <c r="AL50" s="629">
        <f t="shared" si="91"/>
        <v>-0.16929315361394209</v>
      </c>
      <c r="AM50" s="634">
        <f t="shared" si="92"/>
        <v>-0.39240137845904366</v>
      </c>
      <c r="AN50" s="581">
        <f t="shared" si="93"/>
        <v>-23.33674594067956</v>
      </c>
      <c r="AO50" s="582">
        <f t="shared" si="94"/>
        <v>25.300316626349069</v>
      </c>
      <c r="AP50" s="585">
        <f t="shared" si="95"/>
        <v>-10.60607056442125</v>
      </c>
      <c r="AQ50" s="586">
        <f t="shared" si="246"/>
        <v>0.75918976662116711</v>
      </c>
      <c r="AS50" s="52">
        <f t="shared" si="406"/>
        <v>-243.45071682763449</v>
      </c>
      <c r="AT50" s="72">
        <f t="shared" si="247"/>
        <v>3.8964466377682055E-2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>Nose</v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4.2130000000000001</v>
      </c>
      <c r="IH50" s="731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4.1130000000000004</v>
      </c>
      <c r="II50" s="734" cm="1">
        <f t="array" ref="II50">IFERROR(ROUND(VALUE(IF($IH50&lt;1,$IH50+LARGE((IF($M$9:$M$150="",0,$M$9:$M$150)-MOD(IF($M$9:$M$150="",0,$M$9:$M$150),1)),1),$IH50)),4),"")</f>
        <v>4.1130000000000004</v>
      </c>
      <c r="IJ50" s="533">
        <f t="shared" si="112"/>
        <v>1613</v>
      </c>
      <c r="IK50" s="533">
        <f t="shared" si="382"/>
        <v>1313</v>
      </c>
      <c r="IL50" s="727">
        <f t="shared" si="225"/>
        <v>18.14309738046083</v>
      </c>
      <c r="IM50" s="759">
        <v>1.45328633279174E-2</v>
      </c>
      <c r="IN50" s="5">
        <f t="shared" si="226"/>
        <v>0.28000000000000003</v>
      </c>
      <c r="IO50" s="771">
        <v>140</v>
      </c>
      <c r="IP50" s="9">
        <f t="shared" si="227"/>
        <v>-2.9897090169623959</v>
      </c>
      <c r="IQ50" s="5">
        <f t="shared" si="228"/>
        <v>-0.16770050578472537</v>
      </c>
      <c r="IR50" s="5">
        <f t="shared" si="383"/>
        <v>0.314</v>
      </c>
      <c r="IS50" s="5">
        <f t="shared" si="229"/>
        <v>0.29433824798481034</v>
      </c>
      <c r="IT50" s="727">
        <f t="shared" si="230"/>
        <v>25.505762487064178</v>
      </c>
      <c r="IU50" s="9">
        <f t="shared" si="231"/>
        <v>-3.0026658838710221</v>
      </c>
      <c r="IV50" s="5">
        <f t="shared" si="232"/>
        <v>-0.13046353136658687</v>
      </c>
      <c r="IW50" s="5">
        <f t="shared" si="384"/>
        <v>0.26600000000000001</v>
      </c>
      <c r="IX50" s="5">
        <f t="shared" si="233"/>
        <v>0.24048533000634847</v>
      </c>
      <c r="IY50" s="762">
        <f t="shared" si="234"/>
        <v>23.33674594067956</v>
      </c>
    </row>
    <row r="51" spans="1:259" ht="15" customHeight="1" x14ac:dyDescent="0.25">
      <c r="A51" s="79"/>
      <c r="B51" s="707">
        <v>-3.2239136832369861</v>
      </c>
      <c r="C51" s="708">
        <v>-1.7573977927351285</v>
      </c>
      <c r="D51" s="709">
        <v>-0.58497677486418265</v>
      </c>
      <c r="E51" s="710">
        <v>0.14763319483753098</v>
      </c>
      <c r="F51" s="708">
        <v>-0.94582745708025528</v>
      </c>
      <c r="G51" s="711">
        <v>0.28916234404770219</v>
      </c>
      <c r="H51" s="710">
        <v>0.26600000000000001</v>
      </c>
      <c r="I51" s="708">
        <v>0.52</v>
      </c>
      <c r="J51" s="570">
        <v>4.218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4.218</v>
      </c>
      <c r="N51" s="632">
        <f t="shared" si="240"/>
        <v>-3.2239136832369861</v>
      </c>
      <c r="O51" s="629">
        <f t="shared" si="241"/>
        <v>-1.7573977927351285</v>
      </c>
      <c r="P51" s="633">
        <f t="shared" si="242"/>
        <v>-0.58497677486418265</v>
      </c>
      <c r="Q51" s="585">
        <f t="shared" si="113"/>
        <v>208.59538287694528</v>
      </c>
      <c r="R51" s="629">
        <f t="shared" si="79"/>
        <v>3.6717933545984001</v>
      </c>
      <c r="S51" s="634">
        <f t="shared" si="80"/>
        <v>-0.58497677486418265</v>
      </c>
      <c r="T51" s="635">
        <f t="shared" si="81"/>
        <v>-1.7868978425198851</v>
      </c>
      <c r="U51" s="629">
        <f t="shared" si="82"/>
        <v>3.2076568612104928</v>
      </c>
      <c r="V51" s="636">
        <f t="shared" si="114"/>
        <v>-0.58497677486418265</v>
      </c>
      <c r="W51" s="585">
        <f t="shared" si="224"/>
        <v>119.12098280105803</v>
      </c>
      <c r="X51" s="629">
        <f t="shared" si="83"/>
        <v>3.6717933545984001</v>
      </c>
      <c r="Y51" s="630">
        <f t="shared" si="223"/>
        <v>-0.58497677486418265</v>
      </c>
      <c r="Z51" s="632">
        <f t="shared" si="243"/>
        <v>-0.14763319483753098</v>
      </c>
      <c r="AA51" s="629">
        <f t="shared" si="244"/>
        <v>0.94582745708025528</v>
      </c>
      <c r="AB51" s="629">
        <f t="shared" si="245"/>
        <v>-0.28916234404770219</v>
      </c>
      <c r="AC51" s="636">
        <f t="shared" si="84"/>
        <v>1</v>
      </c>
      <c r="AD51" s="637">
        <f t="shared" si="115"/>
        <v>-0.14763319483753098</v>
      </c>
      <c r="AE51" s="629">
        <f t="shared" si="85"/>
        <v>0.94582745708025528</v>
      </c>
      <c r="AF51" s="633">
        <f t="shared" si="86"/>
        <v>-0.28916234404770219</v>
      </c>
      <c r="AG51" s="602">
        <f t="shared" si="87"/>
        <v>73.000339539302857</v>
      </c>
      <c r="AH51" s="603">
        <f t="shared" si="88"/>
        <v>98.489791553580147</v>
      </c>
      <c r="AI51" s="585">
        <f t="shared" si="89"/>
        <v>-73.192186566689927</v>
      </c>
      <c r="AJ51" s="586">
        <f t="shared" si="90"/>
        <v>-171.12834981654271</v>
      </c>
      <c r="AK51" s="635">
        <f t="shared" si="211"/>
        <v>0.90111725036500023</v>
      </c>
      <c r="AL51" s="629">
        <f t="shared" si="91"/>
        <v>-0.3230678564627873</v>
      </c>
      <c r="AM51" s="634">
        <f t="shared" si="92"/>
        <v>-0.28916234404770219</v>
      </c>
      <c r="AN51" s="581">
        <f t="shared" si="93"/>
        <v>-48.169821404295263</v>
      </c>
      <c r="AO51" s="582">
        <f t="shared" si="94"/>
        <v>25.694684357722828</v>
      </c>
      <c r="AP51" s="585">
        <f t="shared" si="95"/>
        <v>-19.723732693487985</v>
      </c>
      <c r="AQ51" s="586">
        <f t="shared" si="246"/>
        <v>0.62085122585035268</v>
      </c>
      <c r="AS51" s="52">
        <f t="shared" si="406"/>
        <v>-240.87901719894197</v>
      </c>
      <c r="AT51" s="72">
        <f t="shared" si="247"/>
        <v>-0.41733467963983906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>Taper</v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4.218</v>
      </c>
      <c r="IH51" s="731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4.1180000000000003</v>
      </c>
      <c r="II51" s="734" cm="1">
        <f t="array" ref="II51">IFERROR(ROUND(VALUE(IF($IH51&lt;1,$IH51+LARGE((IF($M$9:$M$150="",0,$M$9:$M$150)-MOD(IF($M$9:$M$150="",0,$M$9:$M$150),1)),1),$IH51)),4),"")</f>
        <v>4.1180000000000003</v>
      </c>
      <c r="IJ51" s="533">
        <f t="shared" si="112"/>
        <v>1613</v>
      </c>
      <c r="IK51" s="533">
        <f t="shared" si="382"/>
        <v>1313</v>
      </c>
      <c r="IL51" s="727">
        <f t="shared" si="225"/>
        <v>14.810597861614212</v>
      </c>
      <c r="IM51" s="759">
        <v>9.6628192426008609E-3</v>
      </c>
      <c r="IN51" s="5">
        <f t="shared" si="226"/>
        <v>0.26</v>
      </c>
      <c r="IO51" s="771">
        <v>130</v>
      </c>
      <c r="IP51" s="9">
        <f t="shared" si="227"/>
        <v>-3.6417109834003258</v>
      </c>
      <c r="IQ51" s="5">
        <f t="shared" si="228"/>
        <v>-0.61740186208401615</v>
      </c>
      <c r="IR51" s="5">
        <f t="shared" si="383"/>
        <v>0.314</v>
      </c>
      <c r="IS51" s="5">
        <f t="shared" si="229"/>
        <v>0.29337361466784567</v>
      </c>
      <c r="IT51" s="727">
        <f t="shared" si="230"/>
        <v>51.34642229834963</v>
      </c>
      <c r="IU51" s="9">
        <f t="shared" si="231"/>
        <v>-3.6717933545984001</v>
      </c>
      <c r="IV51" s="5">
        <f t="shared" si="232"/>
        <v>-0.58497677486418265</v>
      </c>
      <c r="IW51" s="5">
        <f t="shared" si="384"/>
        <v>0.26600000000000001</v>
      </c>
      <c r="IX51" s="5">
        <f t="shared" si="233"/>
        <v>0.23969718859709008</v>
      </c>
      <c r="IY51" s="762">
        <f t="shared" si="234"/>
        <v>48.169821404295263</v>
      </c>
    </row>
    <row r="52" spans="1:259" ht="15" customHeight="1" x14ac:dyDescent="0.25">
      <c r="A52" s="79"/>
      <c r="B52" s="707">
        <v>-2.5573416456696627</v>
      </c>
      <c r="C52" s="708">
        <v>1.2294138943520201</v>
      </c>
      <c r="D52" s="709">
        <v>-0.11690035257146345</v>
      </c>
      <c r="E52" s="710">
        <v>-0.51435777300109009</v>
      </c>
      <c r="F52" s="708">
        <v>-0.79339613337312598</v>
      </c>
      <c r="G52" s="711">
        <v>0.32551291357169243</v>
      </c>
      <c r="H52" s="710">
        <v>0.314</v>
      </c>
      <c r="I52" s="708">
        <v>0.52</v>
      </c>
      <c r="J52" s="570">
        <v>5.1120000000000001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5.1120000000000001</v>
      </c>
      <c r="N52" s="632">
        <f t="shared" si="240"/>
        <v>-2.5573416456696627</v>
      </c>
      <c r="O52" s="629">
        <f t="shared" si="241"/>
        <v>1.2294138943520201</v>
      </c>
      <c r="P52" s="633">
        <f t="shared" si="242"/>
        <v>-0.11690035257146345</v>
      </c>
      <c r="Q52" s="585">
        <f t="shared" si="113"/>
        <v>154.32459071267817</v>
      </c>
      <c r="R52" s="629">
        <f t="shared" si="79"/>
        <v>2.8375085579258115</v>
      </c>
      <c r="S52" s="634">
        <f t="shared" si="80"/>
        <v>-0.11690035257146345</v>
      </c>
      <c r="T52" s="635">
        <f t="shared" si="81"/>
        <v>1.2059028510844845</v>
      </c>
      <c r="U52" s="629">
        <f t="shared" si="82"/>
        <v>2.5685118512571692</v>
      </c>
      <c r="V52" s="636">
        <f t="shared" si="114"/>
        <v>-0.11690035257146345</v>
      </c>
      <c r="W52" s="585">
        <f t="shared" si="224"/>
        <v>64.850190636790927</v>
      </c>
      <c r="X52" s="629">
        <f t="shared" si="83"/>
        <v>2.8375085579258115</v>
      </c>
      <c r="Y52" s="630">
        <f t="shared" si="223"/>
        <v>-0.11690035257146345</v>
      </c>
      <c r="Z52" s="632">
        <f t="shared" si="243"/>
        <v>0.51435777300109009</v>
      </c>
      <c r="AA52" s="629">
        <f t="shared" si="244"/>
        <v>0.79339613337312598</v>
      </c>
      <c r="AB52" s="629">
        <f t="shared" si="245"/>
        <v>-0.32551291357169243</v>
      </c>
      <c r="AC52" s="636">
        <f t="shared" si="84"/>
        <v>1</v>
      </c>
      <c r="AD52" s="637">
        <f t="shared" si="115"/>
        <v>0.51435777300109009</v>
      </c>
      <c r="AE52" s="629">
        <f t="shared" si="85"/>
        <v>0.79339613337312598</v>
      </c>
      <c r="AF52" s="633">
        <f t="shared" si="86"/>
        <v>-0.32551291357169243</v>
      </c>
      <c r="AG52" s="602">
        <f t="shared" si="87"/>
        <v>67.692740190410959</v>
      </c>
      <c r="AH52" s="603">
        <f t="shared" si="88"/>
        <v>59.045462703292188</v>
      </c>
      <c r="AI52" s="585">
        <f t="shared" si="89"/>
        <v>-71.003347409392049</v>
      </c>
      <c r="AJ52" s="586">
        <f t="shared" si="90"/>
        <v>147.04470643909954</v>
      </c>
      <c r="AK52" s="635">
        <f t="shared" si="211"/>
        <v>0.93791560865962409</v>
      </c>
      <c r="AL52" s="629">
        <f t="shared" si="91"/>
        <v>-0.11981508306851424</v>
      </c>
      <c r="AM52" s="634">
        <f t="shared" si="92"/>
        <v>-0.32551291357169243</v>
      </c>
      <c r="AN52" s="581">
        <f t="shared" si="93"/>
        <v>-20.207696954314549</v>
      </c>
      <c r="AO52" s="582">
        <f t="shared" si="94"/>
        <v>20.295594372582507</v>
      </c>
      <c r="AP52" s="585">
        <f t="shared" si="95"/>
        <v>-7.2798842735786353</v>
      </c>
      <c r="AQ52" s="586">
        <f t="shared" si="246"/>
        <v>0.80337281227076551</v>
      </c>
      <c r="AS52" s="52">
        <f t="shared" si="406"/>
        <v>-295.1498093632091</v>
      </c>
      <c r="AT52" s="72">
        <f t="shared" si="247"/>
        <v>8.8429792766954507E-2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5.1120000000000001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-3.1591376990919282</v>
      </c>
      <c r="C53" s="708">
        <v>1.5719230461623332</v>
      </c>
      <c r="D53" s="709">
        <v>-0.50300151705257512</v>
      </c>
      <c r="E53" s="710">
        <v>-0.64635715161225071</v>
      </c>
      <c r="F53" s="708">
        <v>-0.72266577400563492</v>
      </c>
      <c r="G53" s="711">
        <v>0.24490122833610811</v>
      </c>
      <c r="H53" s="710">
        <v>0.314</v>
      </c>
      <c r="I53" s="708">
        <v>0.52</v>
      </c>
      <c r="J53" s="570">
        <v>5.117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5.117</v>
      </c>
      <c r="N53" s="632">
        <f t="shared" si="240"/>
        <v>-3.1591376990919282</v>
      </c>
      <c r="O53" s="629">
        <f t="shared" si="241"/>
        <v>1.5719230461623332</v>
      </c>
      <c r="P53" s="633">
        <f t="shared" si="242"/>
        <v>-0.50300151705257512</v>
      </c>
      <c r="Q53" s="585">
        <f t="shared" si="113"/>
        <v>153.54599082509409</v>
      </c>
      <c r="R53" s="629">
        <f t="shared" ref="R53:R58" si="410">IF(M53="","",SQRT(N53^2+O53^2))</f>
        <v>3.5286106422896975</v>
      </c>
      <c r="S53" s="634">
        <f t="shared" ref="S53:S58" si="411">IF(M53="","",P53)</f>
        <v>-0.50300151705257512</v>
      </c>
      <c r="T53" s="635">
        <f t="shared" ref="T53:T58" si="412">IF(M53="","",X53*COS(RADIANS(W53)))</f>
        <v>1.5428771234396108</v>
      </c>
      <c r="U53" s="629">
        <f t="shared" ref="U53:U58" si="413">IF(M53="","",X53*SIN(RADIANS(W53)))</f>
        <v>3.1734245298804291</v>
      </c>
      <c r="V53" s="636">
        <f t="shared" ref="V53:V58" si="414">IF(M53="","",Y53)</f>
        <v>-0.50300151705257512</v>
      </c>
      <c r="W53" s="585">
        <f t="shared" si="224"/>
        <v>64.071590749206848</v>
      </c>
      <c r="X53" s="629">
        <f t="shared" ref="X53:X58" si="415">IF(M53="","",R53)</f>
        <v>3.5286106422896975</v>
      </c>
      <c r="Y53" s="630">
        <f t="shared" si="223"/>
        <v>-0.50300151705257512</v>
      </c>
      <c r="Z53" s="632">
        <f t="shared" si="243"/>
        <v>0.64635715161225071</v>
      </c>
      <c r="AA53" s="629">
        <f t="shared" si="244"/>
        <v>0.72266577400563492</v>
      </c>
      <c r="AB53" s="629">
        <f t="shared" si="245"/>
        <v>-0.24490122833610811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0.64635715161225071</v>
      </c>
      <c r="AE53" s="629">
        <f t="shared" ref="AE53:AE58" si="418">IF(M53="","",AA53*(1/SQRT(Z53^2+AA53^2+AB53^2)))</f>
        <v>0.72266577400563492</v>
      </c>
      <c r="AF53" s="633">
        <f t="shared" ref="AF53:AF58" si="419">IF(M53="","",AB53*(1/SQRT(Z53^2+AA53^2+AB53^2)))</f>
        <v>-0.24490122833610811</v>
      </c>
      <c r="AG53" s="602">
        <f t="shared" ref="AG53:AG58" si="420">IF(M53="","",DEGREES(ATAN2(-AF53,AE53)))</f>
        <v>71.279205851250467</v>
      </c>
      <c r="AH53" s="603">
        <f t="shared" ref="AH53:AH58" si="421">IF(M53="","",DEGREES(ACOS(AD53)))</f>
        <v>49.732493540904088</v>
      </c>
      <c r="AI53" s="585">
        <f t="shared" ref="AI53:AI58" si="422">IF(M53="","",DEGREES(-ACOS(-AF53)))</f>
        <v>-75.824003292510767</v>
      </c>
      <c r="AJ53" s="586">
        <f t="shared" ref="AJ53:AJ58" si="423">IF(M53="","",DEGREES(ATAN2(-AE53,AD53)))</f>
        <v>138.19033553251586</v>
      </c>
      <c r="AK53" s="635">
        <f t="shared" ref="AK53:AK58" si="424">IF(M53="","",(COS(RADIANS((90-$Q$8)-W53))*AD53)+(-SIN(RADIANS((90-$Q$8)-W53))*AE53))</f>
        <v>0.93493579417282124</v>
      </c>
      <c r="AL53" s="629">
        <f t="shared" ref="AL53:AL58" si="425">IF(M53="","",(SIN(RADIANS((90-$Q$8)-W53))*AD53)+(COS(RADIANS((90-$Q$8)-W53))*AE53))</f>
        <v>-0.25674588435630596</v>
      </c>
      <c r="AM53" s="634">
        <f t="shared" ref="AM53:AM58" si="426">IF(M53="","",AF53)</f>
        <v>-0.24490122833610811</v>
      </c>
      <c r="AN53" s="581">
        <f t="shared" ref="AN53:AN58" si="427">IF(M53="","",DEGREES(ATAN2(-AM53,AL53)))</f>
        <v>-46.352589715334602</v>
      </c>
      <c r="AO53" s="582">
        <f t="shared" si="94"/>
        <v>20.782225464475545</v>
      </c>
      <c r="AP53" s="585">
        <f t="shared" ref="AP53:AP58" si="428">IF(M53="","",DEGREES(ATAN2(AK53,AL53)))</f>
        <v>-15.355655292578236</v>
      </c>
      <c r="AQ53" s="586">
        <f t="shared" si="246"/>
        <v>0.64604181327948029</v>
      </c>
      <c r="AS53" s="52">
        <f t="shared" si="406"/>
        <v>-295.92840925079315</v>
      </c>
      <c r="AT53" s="72">
        <f t="shared" si="247"/>
        <v>-0.29713067734777937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5.117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1613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-3.5348922012172617</v>
      </c>
      <c r="C54" s="708">
        <v>1.8020198045047415</v>
      </c>
      <c r="D54" s="709">
        <v>-1.1524034756488828</v>
      </c>
      <c r="E54" s="710">
        <v>-0.72615346660975189</v>
      </c>
      <c r="F54" s="708">
        <v>-0.67626656839572385</v>
      </c>
      <c r="G54" s="711">
        <v>0.12395431174796555</v>
      </c>
      <c r="H54" s="710">
        <v>0.314</v>
      </c>
      <c r="I54" s="708">
        <v>0.52</v>
      </c>
      <c r="J54" s="570">
        <v>5.1219999999999999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1613</v>
      </c>
      <c r="L54" s="320"/>
      <c r="M54" s="168">
        <f t="shared" si="239"/>
        <v>5.1219999999999999</v>
      </c>
      <c r="N54" s="632">
        <f t="shared" si="240"/>
        <v>-3.5348922012172617</v>
      </c>
      <c r="O54" s="629">
        <f t="shared" si="241"/>
        <v>1.8020198045047415</v>
      </c>
      <c r="P54" s="633">
        <f t="shared" si="242"/>
        <v>-1.1524034756488828</v>
      </c>
      <c r="Q54" s="585">
        <f t="shared" si="113"/>
        <v>152.98839090560153</v>
      </c>
      <c r="R54" s="629">
        <f t="shared" si="410"/>
        <v>3.9677119666192913</v>
      </c>
      <c r="S54" s="634">
        <f t="shared" si="411"/>
        <v>-1.1524034756488828</v>
      </c>
      <c r="T54" s="635">
        <f t="shared" si="412"/>
        <v>1.769517283777865</v>
      </c>
      <c r="U54" s="629">
        <f t="shared" si="413"/>
        <v>3.5512739731630578</v>
      </c>
      <c r="V54" s="636">
        <f t="shared" si="414"/>
        <v>-1.1524034756488828</v>
      </c>
      <c r="W54" s="585">
        <f t="shared" si="224"/>
        <v>63.513990829714288</v>
      </c>
      <c r="X54" s="629">
        <f t="shared" si="415"/>
        <v>3.9677119666192913</v>
      </c>
      <c r="Y54" s="630">
        <f t="shared" si="223"/>
        <v>-1.1524034756488828</v>
      </c>
      <c r="Z54" s="632">
        <f t="shared" si="243"/>
        <v>0.72615346660975189</v>
      </c>
      <c r="AA54" s="629">
        <f t="shared" si="244"/>
        <v>0.67626656839572385</v>
      </c>
      <c r="AB54" s="629">
        <f t="shared" si="245"/>
        <v>-0.12395431174796555</v>
      </c>
      <c r="AC54" s="636">
        <f t="shared" si="416"/>
        <v>1</v>
      </c>
      <c r="AD54" s="637">
        <f t="shared" si="417"/>
        <v>0.72615346660975189</v>
      </c>
      <c r="AE54" s="629">
        <f t="shared" si="418"/>
        <v>0.67626656839572385</v>
      </c>
      <c r="AF54" s="633">
        <f t="shared" si="419"/>
        <v>-0.12395431174796555</v>
      </c>
      <c r="AG54" s="602">
        <f t="shared" si="420"/>
        <v>79.613428507124638</v>
      </c>
      <c r="AH54" s="603">
        <f t="shared" si="421"/>
        <v>43.43511258188633</v>
      </c>
      <c r="AI54" s="585">
        <f t="shared" si="422"/>
        <v>-82.879627376562226</v>
      </c>
      <c r="AJ54" s="586">
        <f t="shared" si="423"/>
        <v>132.96273301873012</v>
      </c>
      <c r="AK54" s="635">
        <f t="shared" si="424"/>
        <v>0.93229356808840214</v>
      </c>
      <c r="AL54" s="629">
        <f t="shared" si="425"/>
        <v>-0.33979998749276663</v>
      </c>
      <c r="AM54" s="634">
        <f t="shared" si="426"/>
        <v>-0.12395431174796555</v>
      </c>
      <c r="AN54" s="581">
        <f t="shared" si="427"/>
        <v>-69.958733438348773</v>
      </c>
      <c r="AO54" s="582">
        <f t="shared" si="94"/>
        <v>21.204789619083758</v>
      </c>
      <c r="AP54" s="585">
        <f t="shared" si="428"/>
        <v>-20.025657886871418</v>
      </c>
      <c r="AQ54" s="586">
        <f t="shared" si="246"/>
        <v>0.57455032943711093</v>
      </c>
      <c r="AS54" s="52">
        <f t="shared" si="406"/>
        <v>-296.48600917028568</v>
      </c>
      <c r="AT54" s="72">
        <f t="shared" si="247"/>
        <v>-0.94614541377777273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5.1219999999999999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1613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-3.7021691962280054</v>
      </c>
      <c r="C55" s="708">
        <v>1.9086484567579891</v>
      </c>
      <c r="D55" s="709">
        <v>-1.8008054312291804</v>
      </c>
      <c r="E55" s="710">
        <v>-0.88081183960798115</v>
      </c>
      <c r="F55" s="708">
        <v>-0.45889626855243271</v>
      </c>
      <c r="G55" s="711">
        <v>0.11655349808160147</v>
      </c>
      <c r="H55" s="710">
        <v>0.26600000000000001</v>
      </c>
      <c r="I55" s="708">
        <v>0.52</v>
      </c>
      <c r="J55" s="570">
        <v>5.1269999999999998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1313</v>
      </c>
      <c r="L55" s="320"/>
      <c r="M55" s="168">
        <f t="shared" si="239"/>
        <v>5.1269999999999998</v>
      </c>
      <c r="N55" s="632">
        <f t="shared" si="240"/>
        <v>-3.7021691962280054</v>
      </c>
      <c r="O55" s="629">
        <f t="shared" si="241"/>
        <v>1.9086484567579891</v>
      </c>
      <c r="P55" s="633">
        <f t="shared" si="242"/>
        <v>-1.8008054312291804</v>
      </c>
      <c r="Q55" s="585">
        <f t="shared" si="113"/>
        <v>152.72669094338636</v>
      </c>
      <c r="R55" s="629">
        <f t="shared" si="410"/>
        <v>4.1652125622810861</v>
      </c>
      <c r="S55" s="634">
        <f t="shared" si="411"/>
        <v>-1.8008054312291804</v>
      </c>
      <c r="T55" s="635">
        <f t="shared" si="412"/>
        <v>1.874606964048154</v>
      </c>
      <c r="U55" s="629">
        <f t="shared" si="413"/>
        <v>3.7195220686704271</v>
      </c>
      <c r="V55" s="636">
        <f t="shared" si="414"/>
        <v>-1.8008054312291804</v>
      </c>
      <c r="W55" s="585">
        <f t="shared" si="224"/>
        <v>63.252290867499113</v>
      </c>
      <c r="X55" s="629">
        <f t="shared" si="415"/>
        <v>4.1652125622810861</v>
      </c>
      <c r="Y55" s="630">
        <f t="shared" si="223"/>
        <v>-1.8008054312291804</v>
      </c>
      <c r="Z55" s="632">
        <f t="shared" si="243"/>
        <v>0.88081183960798115</v>
      </c>
      <c r="AA55" s="629">
        <f t="shared" si="244"/>
        <v>0.45889626855243271</v>
      </c>
      <c r="AB55" s="629">
        <f t="shared" si="245"/>
        <v>-0.11655349808160147</v>
      </c>
      <c r="AC55" s="636">
        <f t="shared" si="416"/>
        <v>1</v>
      </c>
      <c r="AD55" s="637">
        <f t="shared" si="417"/>
        <v>0.88081183960798115</v>
      </c>
      <c r="AE55" s="629">
        <f t="shared" si="418"/>
        <v>0.45889626855243271</v>
      </c>
      <c r="AF55" s="633">
        <f t="shared" si="419"/>
        <v>-0.11655349808160147</v>
      </c>
      <c r="AG55" s="602">
        <f t="shared" si="420"/>
        <v>75.748980424470417</v>
      </c>
      <c r="AH55" s="603">
        <f t="shared" si="421"/>
        <v>28.259549266571597</v>
      </c>
      <c r="AI55" s="585">
        <f t="shared" si="422"/>
        <v>-83.30676344428305</v>
      </c>
      <c r="AJ55" s="586">
        <f t="shared" si="423"/>
        <v>117.51917096891623</v>
      </c>
      <c r="AK55" s="635">
        <f t="shared" si="424"/>
        <v>0.81150043065500299</v>
      </c>
      <c r="AL55" s="629">
        <f t="shared" si="425"/>
        <v>-0.57261010568421422</v>
      </c>
      <c r="AM55" s="634">
        <f t="shared" si="426"/>
        <v>-0.11655349808160147</v>
      </c>
      <c r="AN55" s="581">
        <f t="shared" si="427"/>
        <v>-78.494748612456902</v>
      </c>
      <c r="AO55" s="582">
        <f>IF(ROUND(IF(M55="",0,DEGREES(ACOS(AK55))),4)=90,0,IF(M55="","",DEGREES(ACOS(AK55))))</f>
        <v>35.757212346865479</v>
      </c>
      <c r="AP55" s="585">
        <f t="shared" si="428"/>
        <v>-35.207519974470124</v>
      </c>
      <c r="AQ55" s="586">
        <f t="shared" si="246"/>
        <v>0.54730875264837064</v>
      </c>
      <c r="AS55" s="52">
        <f t="shared" si="406"/>
        <v>-296.74770913250086</v>
      </c>
      <c r="AT55" s="72">
        <f t="shared" si="247"/>
        <v>-1.5943656332731986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5.1269999999999998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1313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-3.7021691962280054</v>
      </c>
      <c r="C56" s="708">
        <v>1.9086484567579893</v>
      </c>
      <c r="D56" s="709">
        <v>-2.4049072532002751</v>
      </c>
      <c r="E56" s="710">
        <v>-0.88081183960798115</v>
      </c>
      <c r="F56" s="708">
        <v>-0.45889626855243271</v>
      </c>
      <c r="G56" s="711">
        <v>0.11655349808160156</v>
      </c>
      <c r="H56" s="710">
        <v>0.26600000000000001</v>
      </c>
      <c r="I56" s="708">
        <v>0.52</v>
      </c>
      <c r="J56" s="570">
        <v>5.1319999999999997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1313</v>
      </c>
      <c r="L56" s="320"/>
      <c r="M56" s="168">
        <f t="shared" si="239"/>
        <v>5.1319999999999997</v>
      </c>
      <c r="N56" s="632">
        <f t="shared" si="240"/>
        <v>-3.7021691962280054</v>
      </c>
      <c r="O56" s="629">
        <f t="shared" si="241"/>
        <v>1.9086484567579893</v>
      </c>
      <c r="P56" s="633">
        <f t="shared" si="242"/>
        <v>-2.4049072532002751</v>
      </c>
      <c r="Q56" s="585">
        <f t="shared" si="113"/>
        <v>152.72669094338636</v>
      </c>
      <c r="R56" s="629">
        <f t="shared" si="410"/>
        <v>4.1652125622810861</v>
      </c>
      <c r="S56" s="634">
        <f t="shared" si="411"/>
        <v>-2.4049072532002751</v>
      </c>
      <c r="T56" s="635">
        <f t="shared" si="412"/>
        <v>1.874606964048154</v>
      </c>
      <c r="U56" s="629">
        <f t="shared" si="413"/>
        <v>3.7195220686704271</v>
      </c>
      <c r="V56" s="636">
        <f t="shared" si="414"/>
        <v>-2.4049072532002751</v>
      </c>
      <c r="W56" s="585">
        <f t="shared" si="224"/>
        <v>63.252290867499113</v>
      </c>
      <c r="X56" s="629">
        <f t="shared" si="415"/>
        <v>4.1652125622810861</v>
      </c>
      <c r="Y56" s="630">
        <f t="shared" si="223"/>
        <v>-2.4049072532002751</v>
      </c>
      <c r="Z56" s="632">
        <f t="shared" si="243"/>
        <v>0.88081183960798115</v>
      </c>
      <c r="AA56" s="629">
        <f t="shared" si="244"/>
        <v>0.45889626855243271</v>
      </c>
      <c r="AB56" s="629">
        <f t="shared" si="245"/>
        <v>-0.11655349808160156</v>
      </c>
      <c r="AC56" s="636">
        <f t="shared" si="416"/>
        <v>1</v>
      </c>
      <c r="AD56" s="637">
        <f t="shared" si="417"/>
        <v>0.88081183960798115</v>
      </c>
      <c r="AE56" s="629">
        <f t="shared" si="418"/>
        <v>0.45889626855243271</v>
      </c>
      <c r="AF56" s="633">
        <f t="shared" si="419"/>
        <v>-0.11655349808160156</v>
      </c>
      <c r="AG56" s="602">
        <f t="shared" si="420"/>
        <v>75.748980424470417</v>
      </c>
      <c r="AH56" s="603">
        <f t="shared" si="421"/>
        <v>28.259549266571597</v>
      </c>
      <c r="AI56" s="585">
        <f t="shared" si="422"/>
        <v>-83.306763444283035</v>
      </c>
      <c r="AJ56" s="586">
        <f t="shared" si="423"/>
        <v>117.51917096891623</v>
      </c>
      <c r="AK56" s="635">
        <f t="shared" si="424"/>
        <v>0.81150043065500299</v>
      </c>
      <c r="AL56" s="629">
        <f t="shared" si="425"/>
        <v>-0.57261010568421422</v>
      </c>
      <c r="AM56" s="634">
        <f t="shared" si="426"/>
        <v>-0.11655349808160156</v>
      </c>
      <c r="AN56" s="581">
        <f t="shared" si="427"/>
        <v>-78.494748612456902</v>
      </c>
      <c r="AO56" s="582">
        <f t="shared" ref="AO56:AO119" si="461">IF(ROUND(IF(M56="",0,DEGREES(ACOS(AK56))),4)=90,0,IF(M56="","",DEGREES(ACOS(AK56))))</f>
        <v>35.757212346865479</v>
      </c>
      <c r="AP56" s="585">
        <f t="shared" si="428"/>
        <v>-35.207519974470124</v>
      </c>
      <c r="AQ56" s="586">
        <f t="shared" si="246"/>
        <v>0.54730875264837064</v>
      </c>
      <c r="AS56" s="52">
        <f t="shared" si="406"/>
        <v>-296.74770913250086</v>
      </c>
      <c r="AT56" s="72">
        <f t="shared" si="247"/>
        <v>-2.1984674552442933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5.1319999999999997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1313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-2.6526333405333862</v>
      </c>
      <c r="C57" s="708">
        <v>2.3675081312044401</v>
      </c>
      <c r="D57" s="709">
        <v>-0.46899095845213484</v>
      </c>
      <c r="E57" s="710">
        <v>-0.82180294248188213</v>
      </c>
      <c r="F57" s="708">
        <v>-0.47516458706927978</v>
      </c>
      <c r="G57" s="711">
        <v>0.31441777768345303</v>
      </c>
      <c r="H57" s="710">
        <v>0.26600000000000001</v>
      </c>
      <c r="I57" s="708">
        <v>0.52</v>
      </c>
      <c r="J57" s="570">
        <v>5.2169999999999996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1313</v>
      </c>
      <c r="L57" s="320"/>
      <c r="M57" s="168">
        <f t="shared" si="239"/>
        <v>5.2169999999999996</v>
      </c>
      <c r="N57" s="632">
        <f t="shared" si="240"/>
        <v>-2.6526333405333862</v>
      </c>
      <c r="O57" s="629">
        <f t="shared" si="241"/>
        <v>2.3675081312044401</v>
      </c>
      <c r="P57" s="633">
        <f t="shared" si="242"/>
        <v>-0.46899095845213484</v>
      </c>
      <c r="Q57" s="585">
        <f t="shared" si="113"/>
        <v>138.25069303346186</v>
      </c>
      <c r="R57" s="629">
        <f t="shared" si="410"/>
        <v>3.5554969259765157</v>
      </c>
      <c r="S57" s="634">
        <f t="shared" si="411"/>
        <v>-0.46899095845213484</v>
      </c>
      <c r="T57" s="635">
        <f t="shared" si="412"/>
        <v>2.3430750604584571</v>
      </c>
      <c r="U57" s="629">
        <f t="shared" si="413"/>
        <v>2.6742396399137549</v>
      </c>
      <c r="V57" s="636">
        <f t="shared" si="414"/>
        <v>-0.46899095845213484</v>
      </c>
      <c r="W57" s="585">
        <f t="shared" si="224"/>
        <v>48.776292957574611</v>
      </c>
      <c r="X57" s="629">
        <f t="shared" si="415"/>
        <v>3.5554969259765157</v>
      </c>
      <c r="Y57" s="630">
        <f t="shared" si="223"/>
        <v>-0.46899095845213484</v>
      </c>
      <c r="Z57" s="632">
        <f t="shared" si="243"/>
        <v>0.82180294248188213</v>
      </c>
      <c r="AA57" s="629">
        <f t="shared" si="244"/>
        <v>0.47516458706927978</v>
      </c>
      <c r="AB57" s="629">
        <f t="shared" si="245"/>
        <v>-0.31441777768345303</v>
      </c>
      <c r="AC57" s="636">
        <f t="shared" si="416"/>
        <v>1</v>
      </c>
      <c r="AD57" s="637">
        <f t="shared" si="417"/>
        <v>0.82180294248188213</v>
      </c>
      <c r="AE57" s="629">
        <f t="shared" si="418"/>
        <v>0.47516458706927978</v>
      </c>
      <c r="AF57" s="633">
        <f t="shared" si="419"/>
        <v>-0.31441777768345303</v>
      </c>
      <c r="AG57" s="602">
        <f t="shared" si="420"/>
        <v>56.50727874385678</v>
      </c>
      <c r="AH57" s="603">
        <f t="shared" si="421"/>
        <v>34.734315409613828</v>
      </c>
      <c r="AI57" s="585">
        <f t="shared" si="422"/>
        <v>-71.674330849423072</v>
      </c>
      <c r="AJ57" s="586">
        <f t="shared" si="423"/>
        <v>120.03640312337454</v>
      </c>
      <c r="AK57" s="635">
        <f t="shared" si="424"/>
        <v>0.90171996804463483</v>
      </c>
      <c r="AL57" s="629">
        <f t="shared" si="425"/>
        <v>-0.29671966619383588</v>
      </c>
      <c r="AM57" s="634">
        <f t="shared" si="426"/>
        <v>-0.31441777768345303</v>
      </c>
      <c r="AN57" s="581">
        <f t="shared" si="427"/>
        <v>-43.341218038268543</v>
      </c>
      <c r="AO57" s="582">
        <f t="shared" si="461"/>
        <v>25.614921498421914</v>
      </c>
      <c r="AP57" s="585">
        <f t="shared" si="428"/>
        <v>-18.214289910087306</v>
      </c>
      <c r="AQ57" s="586">
        <f t="shared" si="246"/>
        <v>0.64115692425049065</v>
      </c>
      <c r="AS57" s="52">
        <f t="shared" si="406"/>
        <v>-311.22370704242542</v>
      </c>
      <c r="AT57" s="72">
        <f t="shared" si="247"/>
        <v>-0.25249838416981668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Taper</v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5.2169999999999996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0.11700000000000001</v>
      </c>
      <c r="II57" s="734" cm="1">
        <f t="array" ref="II57">IFERROR(ROUND(VALUE(IF($IH57&lt;1,$IH57+LARGE((IF($M$9:$M$150="",0,$M$9:$M$150)-MOD(IF($M$9:$M$150="",0,$M$9:$M$150),1)),1),$IH57)),4),"")</f>
        <v>5.117</v>
      </c>
      <c r="IJ57" s="533">
        <f t="shared" si="112"/>
        <v>1613</v>
      </c>
      <c r="IK57" s="533">
        <f t="shared" si="382"/>
        <v>1313</v>
      </c>
      <c r="IL57" s="727">
        <f t="shared" si="225"/>
        <v>15.295297791632237</v>
      </c>
      <c r="IM57" s="759">
        <v>1.0543006293653E-2</v>
      </c>
      <c r="IN57" s="5">
        <f t="shared" si="226"/>
        <v>0.26</v>
      </c>
      <c r="IO57" s="771">
        <v>130</v>
      </c>
      <c r="IP57" s="9">
        <f t="shared" si="227"/>
        <v>-3.5286106422896975</v>
      </c>
      <c r="IQ57" s="5">
        <f t="shared" si="228"/>
        <v>-0.50300151705257512</v>
      </c>
      <c r="IR57" s="5">
        <f t="shared" si="383"/>
        <v>0.314</v>
      </c>
      <c r="IS57" s="5">
        <f t="shared" si="229"/>
        <v>0.29356983937026593</v>
      </c>
      <c r="IT57" s="727">
        <f t="shared" si="230"/>
        <v>46.352589715334602</v>
      </c>
      <c r="IU57" s="9">
        <f t="shared" si="231"/>
        <v>-3.5554969259765157</v>
      </c>
      <c r="IV57" s="5">
        <f t="shared" si="232"/>
        <v>-0.46899095845213484</v>
      </c>
      <c r="IW57" s="5">
        <f t="shared" si="384"/>
        <v>0.26600000000000001</v>
      </c>
      <c r="IX57" s="5">
        <f t="shared" si="233"/>
        <v>0.23985751149987289</v>
      </c>
      <c r="IY57" s="762">
        <f t="shared" si="234"/>
        <v>43.341218038268543</v>
      </c>
    </row>
    <row r="58" spans="1:259" ht="15" customHeight="1" x14ac:dyDescent="0.25">
      <c r="A58" s="79"/>
      <c r="B58" s="707">
        <v>-3.0443985928906612</v>
      </c>
      <c r="C58" s="708">
        <v>2.6081586596156678</v>
      </c>
      <c r="D58" s="709">
        <v>-1.1288312022014466</v>
      </c>
      <c r="E58" s="710">
        <v>-0.88936627653159894</v>
      </c>
      <c r="F58" s="708">
        <v>-0.42209751543268681</v>
      </c>
      <c r="G58" s="711">
        <v>0.1756738843251105</v>
      </c>
      <c r="H58" s="710">
        <v>0.26600000000000001</v>
      </c>
      <c r="I58" s="708">
        <v>0.52</v>
      </c>
      <c r="J58" s="570">
        <v>5.2220000000000004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1313</v>
      </c>
      <c r="L58" s="320"/>
      <c r="M58" s="168">
        <f t="shared" si="239"/>
        <v>5.2220000000000004</v>
      </c>
      <c r="N58" s="632">
        <f t="shared" si="240"/>
        <v>-3.0443985928906612</v>
      </c>
      <c r="O58" s="629">
        <f t="shared" si="241"/>
        <v>2.6081586596156678</v>
      </c>
      <c r="P58" s="633">
        <f t="shared" si="242"/>
        <v>-1.1288312022014466</v>
      </c>
      <c r="Q58" s="585">
        <f t="shared" si="113"/>
        <v>139.41309286563208</v>
      </c>
      <c r="R58" s="629">
        <f t="shared" si="410"/>
        <v>4.0088470145570332</v>
      </c>
      <c r="S58" s="634">
        <f t="shared" si="411"/>
        <v>-1.1288312022014466</v>
      </c>
      <c r="T58" s="635">
        <f t="shared" si="412"/>
        <v>2.5801216750629727</v>
      </c>
      <c r="U58" s="629">
        <f t="shared" si="413"/>
        <v>3.0681959728793529</v>
      </c>
      <c r="V58" s="636">
        <f t="shared" si="414"/>
        <v>-1.1288312022014466</v>
      </c>
      <c r="W58" s="585">
        <f t="shared" si="224"/>
        <v>49.938692789744834</v>
      </c>
      <c r="X58" s="629">
        <f t="shared" si="415"/>
        <v>4.0088470145570332</v>
      </c>
      <c r="Y58" s="630">
        <f t="shared" si="223"/>
        <v>-1.1288312022014466</v>
      </c>
      <c r="Z58" s="632">
        <f t="shared" si="243"/>
        <v>0.88936627653159894</v>
      </c>
      <c r="AA58" s="629">
        <f t="shared" si="244"/>
        <v>0.42209751543268681</v>
      </c>
      <c r="AB58" s="629">
        <f t="shared" si="245"/>
        <v>-0.1756738843251105</v>
      </c>
      <c r="AC58" s="636">
        <f t="shared" si="416"/>
        <v>1</v>
      </c>
      <c r="AD58" s="637">
        <f t="shared" si="417"/>
        <v>0.88936627653159894</v>
      </c>
      <c r="AE58" s="629">
        <f t="shared" si="418"/>
        <v>0.42209751543268681</v>
      </c>
      <c r="AF58" s="633">
        <f t="shared" si="419"/>
        <v>-0.1756738843251105</v>
      </c>
      <c r="AG58" s="602">
        <f t="shared" si="420"/>
        <v>67.403280379137286</v>
      </c>
      <c r="AH58" s="603">
        <f t="shared" si="421"/>
        <v>27.206278800985039</v>
      </c>
      <c r="AI58" s="585">
        <f t="shared" si="422"/>
        <v>-79.882123613112597</v>
      </c>
      <c r="AJ58" s="586">
        <f t="shared" si="423"/>
        <v>115.38924099704678</v>
      </c>
      <c r="AK58" s="635">
        <f t="shared" si="424"/>
        <v>0.89917161334984286</v>
      </c>
      <c r="AL58" s="629">
        <f t="shared" si="425"/>
        <v>-0.4007855986833464</v>
      </c>
      <c r="AM58" s="634">
        <f t="shared" si="426"/>
        <v>-0.1756738843251105</v>
      </c>
      <c r="AN58" s="581">
        <f t="shared" si="427"/>
        <v>-66.33101486103206</v>
      </c>
      <c r="AO58" s="582">
        <f t="shared" si="461"/>
        <v>25.950607752861767</v>
      </c>
      <c r="AP58" s="585">
        <f t="shared" si="428"/>
        <v>-24.023851868585293</v>
      </c>
      <c r="AQ58" s="586">
        <f t="shared" si="246"/>
        <v>0.56865521914502515</v>
      </c>
      <c r="AS58" s="52">
        <f t="shared" si="406"/>
        <v>-310.06130721025517</v>
      </c>
      <c r="AT58" s="72">
        <f t="shared" si="247"/>
        <v>-0.9131458500248022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>Taper</v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5.2220000000000004</v>
      </c>
      <c r="IH58" s="731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0.122</v>
      </c>
      <c r="II58" s="734" cm="1">
        <f t="array" ref="II58">IFERROR(ROUND(VALUE(IF($IH58&lt;1,$IH58+LARGE((IF($M$9:$M$150="",0,$M$9:$M$150)-MOD(IF($M$9:$M$150="",0,$M$9:$M$150),1)),1),$IH58)),4),"")</f>
        <v>5.1219999999999999</v>
      </c>
      <c r="IJ58" s="533">
        <f t="shared" si="112"/>
        <v>1613</v>
      </c>
      <c r="IK58" s="533">
        <f t="shared" si="382"/>
        <v>1313</v>
      </c>
      <c r="IL58" s="727">
        <f t="shared" si="225"/>
        <v>13.575298039969454</v>
      </c>
      <c r="IM58" s="759">
        <v>6.44418107574343E-3</v>
      </c>
      <c r="IN58" s="5">
        <f t="shared" si="226"/>
        <v>0.24</v>
      </c>
      <c r="IO58" s="771">
        <v>120</v>
      </c>
      <c r="IP58" s="9">
        <f t="shared" si="227"/>
        <v>-3.9677119666192913</v>
      </c>
      <c r="IQ58" s="5">
        <f t="shared" si="228"/>
        <v>-1.1524034756488828</v>
      </c>
      <c r="IR58" s="5">
        <f t="shared" si="383"/>
        <v>0.314</v>
      </c>
      <c r="IS58" s="5">
        <f t="shared" si="229"/>
        <v>0.2927401803797583</v>
      </c>
      <c r="IT58" s="727">
        <f t="shared" si="230"/>
        <v>69.958733438348773</v>
      </c>
      <c r="IU58" s="9">
        <f t="shared" si="231"/>
        <v>-4.0088470145570332</v>
      </c>
      <c r="IV58" s="5">
        <f t="shared" si="232"/>
        <v>-1.1288312022014466</v>
      </c>
      <c r="IW58" s="5">
        <f t="shared" si="384"/>
        <v>0.26600000000000001</v>
      </c>
      <c r="IX58" s="5">
        <f t="shared" si="233"/>
        <v>0.23917964915105824</v>
      </c>
      <c r="IY58" s="762">
        <f t="shared" si="234"/>
        <v>66.33101486103206</v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0.86602544158358574</v>
      </c>
      <c r="F154" s="170">
        <f t="shared" si="929"/>
        <v>4.3577859391853796E-2</v>
      </c>
      <c r="G154" s="170">
        <f t="shared" si="929"/>
        <v>-0.49809728437402601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0.93969263802333458</v>
      </c>
      <c r="F155" s="170">
        <f t="shared" si="929"/>
        <v>2.9809011205603912E-2</v>
      </c>
      <c r="G155" s="170">
        <f t="shared" si="929"/>
        <v>-0.34071860661796938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0.93969263802333458</v>
      </c>
      <c r="F156" s="170">
        <f t="shared" si="929"/>
        <v>2.9809011205603902E-2</v>
      </c>
      <c r="G156" s="170">
        <f t="shared" si="929"/>
        <v>-0.34071860661796938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0.93753720940127794</v>
      </c>
      <c r="F157" s="170">
        <f t="shared" si="929"/>
        <v>-9.6748212868361411E-2</v>
      </c>
      <c r="G157" s="170">
        <f t="shared" si="929"/>
        <v>-0.33416128485335156</v>
      </c>
      <c r="H157" s="139"/>
      <c r="I157" s="86"/>
      <c r="J157" s="79">
        <f t="shared" si="930"/>
        <v>1.111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0.93002384951953188</v>
      </c>
      <c r="F158" s="170">
        <f t="shared" si="929"/>
        <v>-0.25414552480302521</v>
      </c>
      <c r="G158" s="170">
        <f t="shared" si="929"/>
        <v>-0.26545374653122911</v>
      </c>
      <c r="H158" s="139"/>
      <c r="I158" s="86"/>
      <c r="J158" s="79">
        <f t="shared" si="930"/>
        <v>1.1160000000000001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0.92107955675785325</v>
      </c>
      <c r="F159" s="170">
        <f t="shared" si="929"/>
        <v>-0.35984345565690035</v>
      </c>
      <c r="G159" s="170">
        <f t="shared" si="929"/>
        <v>-0.14874521015366157</v>
      </c>
      <c r="H159" s="139"/>
      <c r="I159" s="86"/>
      <c r="J159" s="79">
        <f t="shared" si="930"/>
        <v>1.121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0.88145486700289954</v>
      </c>
      <c r="F160" s="170">
        <f t="shared" si="929"/>
        <v>-0.4686926813547822</v>
      </c>
      <c r="G160" s="170">
        <f t="shared" si="929"/>
        <v>-5.8004205721356936E-2</v>
      </c>
      <c r="H160" s="139"/>
      <c r="I160" s="86"/>
      <c r="J160" s="79">
        <f t="shared" si="930"/>
        <v>1.1259999999999999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0.78814852919696077</v>
      </c>
      <c r="F161" s="170">
        <f t="shared" si="929"/>
        <v>-0.60434855672005183</v>
      </c>
      <c r="G161" s="170">
        <f t="shared" si="929"/>
        <v>-0.11655349808160206</v>
      </c>
      <c r="H161" s="139"/>
      <c r="I161" s="86"/>
      <c r="J161" s="79">
        <f t="shared" si="930"/>
        <v>1.131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0.78814852919696077</v>
      </c>
      <c r="F162" s="170">
        <f t="shared" si="929"/>
        <v>-0.60434855672005183</v>
      </c>
      <c r="G162" s="170">
        <f t="shared" si="929"/>
        <v>-0.11655349808160209</v>
      </c>
      <c r="H162" s="139"/>
      <c r="I162" s="86"/>
      <c r="J162" s="79">
        <f t="shared" si="930"/>
        <v>1.1359999999999999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4.6185686791951265E-2</v>
      </c>
      <c r="F163" s="170">
        <f t="shared" si="929"/>
        <v>7.3912134603088875E-2</v>
      </c>
      <c r="G163" s="170">
        <f t="shared" si="929"/>
        <v>-0.99619469918985759</v>
      </c>
      <c r="H163" s="139"/>
      <c r="I163" s="86"/>
      <c r="J163" s="79">
        <f t="shared" si="930"/>
        <v>1.2070000000000001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-4.0842304193927294E-2</v>
      </c>
      <c r="F164" s="170">
        <f t="shared" si="929"/>
        <v>-9.6219034903312919E-2</v>
      </c>
      <c r="G164" s="170">
        <f t="shared" si="929"/>
        <v>-0.99452189694868243</v>
      </c>
      <c r="H164" s="139"/>
      <c r="I164" s="86"/>
      <c r="J164" s="79">
        <f t="shared" si="930"/>
        <v>1.2110000000000001</v>
      </c>
    </row>
    <row r="165" spans="5:16" x14ac:dyDescent="0.25">
      <c r="E165" s="170">
        <f t="shared" si="929"/>
        <v>0.78305181959912606</v>
      </c>
      <c r="F165" s="170">
        <f t="shared" si="929"/>
        <v>-0.52233144195569681</v>
      </c>
      <c r="G165" s="170">
        <f t="shared" si="929"/>
        <v>-0.33763843467084809</v>
      </c>
      <c r="H165" s="139"/>
      <c r="I165" s="86"/>
      <c r="J165" s="79">
        <f t="shared" si="930"/>
        <v>1.216</v>
      </c>
    </row>
    <row r="166" spans="5:16" x14ac:dyDescent="0.25">
      <c r="E166" s="170">
        <f t="shared" si="929"/>
        <v>0.76131429787229465</v>
      </c>
      <c r="F166" s="170">
        <f t="shared" si="929"/>
        <v>-0.61531650455770692</v>
      </c>
      <c r="G166" s="170">
        <f t="shared" si="929"/>
        <v>-0.20441658218965597</v>
      </c>
      <c r="H166" s="139"/>
      <c r="I166" s="86"/>
      <c r="J166" s="79">
        <f t="shared" si="930"/>
        <v>1.2210000000000001</v>
      </c>
    </row>
    <row r="167" spans="5:16" x14ac:dyDescent="0.25">
      <c r="E167" s="170">
        <f t="shared" si="929"/>
        <v>0.32139316544059976</v>
      </c>
      <c r="F167" s="170">
        <f t="shared" si="929"/>
        <v>-0.8830224726264474</v>
      </c>
      <c r="G167" s="170">
        <f t="shared" si="929"/>
        <v>-0.34202009596622585</v>
      </c>
      <c r="H167" s="139"/>
      <c r="I167" s="86"/>
      <c r="J167" s="79">
        <f t="shared" si="930"/>
        <v>2.11</v>
      </c>
    </row>
    <row r="168" spans="5:16" x14ac:dyDescent="0.25">
      <c r="E168" s="170">
        <f t="shared" si="929"/>
        <v>0.10648814692690316</v>
      </c>
      <c r="F168" s="170">
        <f t="shared" si="929"/>
        <v>-0.95288991580115956</v>
      </c>
      <c r="G168" s="170">
        <f t="shared" si="929"/>
        <v>-0.28400894867685672</v>
      </c>
      <c r="H168" s="139"/>
      <c r="I168" s="86"/>
      <c r="J168" s="79">
        <f t="shared" si="930"/>
        <v>2.1150000000000002</v>
      </c>
    </row>
    <row r="169" spans="5:16" x14ac:dyDescent="0.25">
      <c r="E169" s="170">
        <f t="shared" si="929"/>
        <v>-7.7643716500288016E-3</v>
      </c>
      <c r="F169" s="170">
        <f t="shared" si="929"/>
        <v>-0.98466647915935968</v>
      </c>
      <c r="G169" s="170">
        <f t="shared" si="929"/>
        <v>-0.17427460903066369</v>
      </c>
      <c r="H169" s="139"/>
      <c r="I169" s="86"/>
      <c r="J169" s="79">
        <f t="shared" si="930"/>
        <v>2.12</v>
      </c>
    </row>
    <row r="170" spans="5:16" x14ac:dyDescent="0.25">
      <c r="E170" s="170">
        <f t="shared" si="929"/>
        <v>-9.5727379056885067E-2</v>
      </c>
      <c r="F170" s="170">
        <f t="shared" si="929"/>
        <v>-0.99308515886409165</v>
      </c>
      <c r="G170" s="170">
        <f t="shared" si="929"/>
        <v>-6.7956869724710614E-2</v>
      </c>
      <c r="H170" s="139"/>
      <c r="I170" s="86"/>
      <c r="J170" s="79">
        <f t="shared" si="930"/>
        <v>2.125</v>
      </c>
    </row>
    <row r="171" spans="5:16" x14ac:dyDescent="0.25">
      <c r="E171" s="170">
        <f t="shared" si="929"/>
        <v>-0.29833989849800119</v>
      </c>
      <c r="F171" s="170">
        <f t="shared" si="929"/>
        <v>-0.94731651893606539</v>
      </c>
      <c r="G171" s="170">
        <f t="shared" si="929"/>
        <v>-0.11655349808160187</v>
      </c>
      <c r="H171" s="139"/>
      <c r="I171" s="86"/>
      <c r="J171" s="79">
        <f t="shared" si="930"/>
        <v>2.13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-0.29833989849800119</v>
      </c>
      <c r="F172" s="170">
        <f t="shared" si="929"/>
        <v>-0.94731651893606539</v>
      </c>
      <c r="G172" s="170">
        <f t="shared" si="929"/>
        <v>-0.1165534980816018</v>
      </c>
      <c r="H172" s="139"/>
      <c r="I172" s="86"/>
      <c r="J172" s="79">
        <f t="shared" si="930"/>
        <v>2.1349999999999998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-0.19998265025373427</v>
      </c>
      <c r="F173" s="170">
        <f t="shared" si="929"/>
        <v>-0.9118529096642557</v>
      </c>
      <c r="G173" s="170">
        <f t="shared" si="929"/>
        <v>-0.3585124973195824</v>
      </c>
      <c r="H173" s="139"/>
      <c r="I173" s="86"/>
      <c r="J173" s="79">
        <f t="shared" si="930"/>
        <v>2.2149999999999999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-0.30248961008349762</v>
      </c>
      <c r="F174" s="170">
        <f t="shared" si="933"/>
        <v>-0.92402104827441023</v>
      </c>
      <c r="G174" s="170">
        <f t="shared" si="933"/>
        <v>-0.2338485367441793</v>
      </c>
      <c r="H174" s="139"/>
      <c r="I174" s="86"/>
      <c r="J174" s="79">
        <f t="shared" si="930"/>
        <v>2.2200000000000002</v>
      </c>
    </row>
    <row r="175" spans="5:16" x14ac:dyDescent="0.25">
      <c r="E175" s="170">
        <f t="shared" si="933"/>
        <v>-0.75265370426679923</v>
      </c>
      <c r="F175" s="170">
        <f t="shared" si="933"/>
        <v>-0.56340325927152313</v>
      </c>
      <c r="G175" s="170">
        <f t="shared" si="933"/>
        <v>-0.34071860661796938</v>
      </c>
      <c r="H175" s="139"/>
      <c r="I175" s="86"/>
      <c r="J175" s="79">
        <f t="shared" si="930"/>
        <v>3.1030000000000002</v>
      </c>
    </row>
    <row r="176" spans="5:16" x14ac:dyDescent="0.25">
      <c r="E176" s="170">
        <f t="shared" si="933"/>
        <v>-0.75265370426679912</v>
      </c>
      <c r="F176" s="170">
        <f t="shared" si="933"/>
        <v>-0.56340325927152324</v>
      </c>
      <c r="G176" s="170">
        <f t="shared" si="933"/>
        <v>-0.34071860661796943</v>
      </c>
      <c r="H176" s="139"/>
      <c r="I176" s="86"/>
      <c r="J176" s="79">
        <f t="shared" si="930"/>
        <v>3.1059999999999999</v>
      </c>
    </row>
    <row r="177" spans="5:10" x14ac:dyDescent="0.25">
      <c r="E177" s="170">
        <f t="shared" si="933"/>
        <v>-0.76119442648529523</v>
      </c>
      <c r="F177" s="170">
        <f t="shared" si="933"/>
        <v>-0.55120582979398092</v>
      </c>
      <c r="G177" s="170">
        <f t="shared" si="933"/>
        <v>-0.34169456871430004</v>
      </c>
      <c r="H177" s="139"/>
      <c r="I177" s="86"/>
      <c r="J177" s="79">
        <f t="shared" si="930"/>
        <v>3.109</v>
      </c>
    </row>
    <row r="178" spans="5:10" x14ac:dyDescent="0.25">
      <c r="E178" s="170">
        <f t="shared" si="933"/>
        <v>-0.87688729756706185</v>
      </c>
      <c r="F178" s="170">
        <f t="shared" si="933"/>
        <v>-0.37528092121590284</v>
      </c>
      <c r="G178" s="170">
        <f t="shared" si="933"/>
        <v>-0.3003879117688969</v>
      </c>
      <c r="H178" s="139"/>
      <c r="I178" s="86"/>
      <c r="J178" s="79">
        <f t="shared" si="930"/>
        <v>3.1139999999999999</v>
      </c>
    </row>
    <row r="179" spans="5:10" x14ac:dyDescent="0.25">
      <c r="E179" s="170">
        <f t="shared" si="933"/>
        <v>-0.94389321617295119</v>
      </c>
      <c r="F179" s="170">
        <f t="shared" si="933"/>
        <v>-0.26355023555045209</v>
      </c>
      <c r="G179" s="170">
        <f t="shared" si="933"/>
        <v>-0.19901474770474659</v>
      </c>
      <c r="H179" s="139"/>
      <c r="I179" s="86"/>
      <c r="J179" s="79">
        <f t="shared" si="930"/>
        <v>3.1190000000000002</v>
      </c>
    </row>
    <row r="180" spans="5:10" x14ac:dyDescent="0.25">
      <c r="E180" s="170">
        <f t="shared" si="933"/>
        <v>-0.98088459398409</v>
      </c>
      <c r="F180" s="170">
        <f t="shared" si="933"/>
        <v>-0.1699127048109153</v>
      </c>
      <c r="G180" s="170">
        <f t="shared" si="933"/>
        <v>-9.4842427365107951E-2</v>
      </c>
      <c r="H180" s="139"/>
      <c r="I180" s="86"/>
      <c r="J180" s="79">
        <f t="shared" si="930"/>
        <v>3.1240000000000001</v>
      </c>
    </row>
    <row r="181" spans="5:10" x14ac:dyDescent="0.25">
      <c r="E181" s="170">
        <f t="shared" si="933"/>
        <v>-0.99225354708087166</v>
      </c>
      <c r="F181" s="170">
        <f t="shared" si="933"/>
        <v>4.2990468599102175E-2</v>
      </c>
      <c r="G181" s="170">
        <f t="shared" si="933"/>
        <v>-0.11655349808160216</v>
      </c>
      <c r="H181" s="139"/>
      <c r="I181" s="86"/>
      <c r="J181" s="79">
        <f t="shared" si="930"/>
        <v>3.129</v>
      </c>
    </row>
    <row r="182" spans="5:10" x14ac:dyDescent="0.25">
      <c r="E182" s="170">
        <f t="shared" si="933"/>
        <v>-0.99225354708087166</v>
      </c>
      <c r="F182" s="170">
        <f t="shared" si="933"/>
        <v>4.2990468599102036E-2</v>
      </c>
      <c r="G182" s="170">
        <f t="shared" si="933"/>
        <v>-0.1165534980816022</v>
      </c>
      <c r="H182" s="139"/>
      <c r="I182" s="86"/>
      <c r="J182" s="79">
        <f t="shared" si="930"/>
        <v>3.1339999999999999</v>
      </c>
    </row>
    <row r="183" spans="5:10" x14ac:dyDescent="0.25">
      <c r="E183" s="170">
        <f t="shared" si="933"/>
        <v>7.2358197690892655E-3</v>
      </c>
      <c r="F183" s="170">
        <f t="shared" si="933"/>
        <v>-4.3015035945341687E-2</v>
      </c>
      <c r="G183" s="170">
        <f t="shared" si="933"/>
        <v>-0.99904822185662812</v>
      </c>
      <c r="H183" s="139"/>
      <c r="I183" s="86"/>
      <c r="J183" s="79">
        <f t="shared" si="930"/>
        <v>3.2090000000000001</v>
      </c>
    </row>
    <row r="184" spans="5:10" x14ac:dyDescent="0.25">
      <c r="E184" s="170">
        <f t="shared" si="933"/>
        <v>-0.92400148124934878</v>
      </c>
      <c r="F184" s="170">
        <f t="shared" si="933"/>
        <v>-6.4854710881882494E-2</v>
      </c>
      <c r="G184" s="170">
        <f t="shared" si="933"/>
        <v>-0.37684894735880176</v>
      </c>
      <c r="H184" s="139"/>
      <c r="I184" s="86"/>
      <c r="J184" s="79">
        <f t="shared" si="930"/>
        <v>3.214</v>
      </c>
    </row>
    <row r="185" spans="5:10" x14ac:dyDescent="0.25">
      <c r="E185" s="170">
        <f t="shared" si="933"/>
        <v>-0.96430903340463192</v>
      </c>
      <c r="F185" s="170">
        <f t="shared" si="933"/>
        <v>3.6802746721540561E-2</v>
      </c>
      <c r="G185" s="170">
        <f t="shared" si="933"/>
        <v>-0.26220916446221831</v>
      </c>
      <c r="H185" s="139"/>
      <c r="I185" s="86"/>
      <c r="J185" s="79">
        <f t="shared" si="930"/>
        <v>3.2189999999999999</v>
      </c>
    </row>
    <row r="186" spans="5:10" x14ac:dyDescent="0.25">
      <c r="E186" s="170">
        <f t="shared" si="933"/>
        <v>-0.66690147880474759</v>
      </c>
      <c r="F186" s="170">
        <f t="shared" si="933"/>
        <v>0.61481134068008614</v>
      </c>
      <c r="G186" s="170">
        <f t="shared" si="933"/>
        <v>-0.42101001524808856</v>
      </c>
      <c r="H186" s="139"/>
      <c r="I186" s="86"/>
      <c r="J186" s="79">
        <f t="shared" si="930"/>
        <v>4.1020000000000003</v>
      </c>
    </row>
    <row r="187" spans="5:10" x14ac:dyDescent="0.25">
      <c r="E187" s="170">
        <f t="shared" si="933"/>
        <v>-0.68554097166667238</v>
      </c>
      <c r="F187" s="170">
        <f t="shared" si="933"/>
        <v>0.64338511582925539</v>
      </c>
      <c r="G187" s="170">
        <f t="shared" si="933"/>
        <v>-0.34071860661796943</v>
      </c>
      <c r="H187" s="139"/>
      <c r="I187" s="86"/>
      <c r="J187" s="79">
        <f t="shared" si="930"/>
        <v>4.1050000000000004</v>
      </c>
    </row>
    <row r="188" spans="5:10" x14ac:dyDescent="0.25">
      <c r="E188" s="170">
        <f t="shared" si="933"/>
        <v>-0.68554097166667227</v>
      </c>
      <c r="F188" s="170">
        <f t="shared" si="933"/>
        <v>0.64338511582925539</v>
      </c>
      <c r="G188" s="170">
        <f t="shared" si="933"/>
        <v>-0.34071860661796938</v>
      </c>
      <c r="H188" s="139"/>
      <c r="I188" s="86"/>
      <c r="J188" s="79">
        <f t="shared" si="930"/>
        <v>4.1079999999999997</v>
      </c>
    </row>
    <row r="189" spans="5:10" x14ac:dyDescent="0.25">
      <c r="E189" s="170">
        <f t="shared" si="933"/>
        <v>-0.54553893430396416</v>
      </c>
      <c r="F189" s="170">
        <f t="shared" si="933"/>
        <v>0.77689621104562767</v>
      </c>
      <c r="G189" s="170">
        <f t="shared" si="933"/>
        <v>-0.31435576727879966</v>
      </c>
      <c r="H189" s="139"/>
      <c r="I189" s="86"/>
      <c r="J189" s="79">
        <f t="shared" si="930"/>
        <v>4.1130000000000004</v>
      </c>
    </row>
    <row r="190" spans="5:10" x14ac:dyDescent="0.25">
      <c r="E190" s="170">
        <f t="shared" si="933"/>
        <v>-0.4397860283903246</v>
      </c>
      <c r="F190" s="170">
        <f t="shared" si="933"/>
        <v>0.87006671832910643</v>
      </c>
      <c r="G190" s="170">
        <f t="shared" si="933"/>
        <v>-0.22264805161663576</v>
      </c>
      <c r="H190" s="139"/>
      <c r="I190" s="86"/>
      <c r="J190" s="79">
        <f t="shared" si="930"/>
        <v>4.1180000000000003</v>
      </c>
    </row>
    <row r="191" spans="5:10" x14ac:dyDescent="0.25">
      <c r="E191" s="170">
        <f t="shared" si="933"/>
        <v>-0.3445759717448153</v>
      </c>
      <c r="F191" s="170">
        <f t="shared" si="933"/>
        <v>0.93078716783968085</v>
      </c>
      <c r="G191" s="170">
        <f t="shared" si="933"/>
        <v>-0.12207640181911554</v>
      </c>
      <c r="H191" s="139"/>
      <c r="I191" s="86"/>
      <c r="J191" s="79">
        <f t="shared" si="930"/>
        <v>4.1230000000000002</v>
      </c>
    </row>
    <row r="192" spans="5:10" x14ac:dyDescent="0.25">
      <c r="E192" s="170">
        <f t="shared" si="933"/>
        <v>-0.12996587195191928</v>
      </c>
      <c r="F192" s="170">
        <f t="shared" si="933"/>
        <v>0.98464417644787794</v>
      </c>
      <c r="G192" s="170">
        <f t="shared" si="933"/>
        <v>-0.11655349808160147</v>
      </c>
      <c r="H192" s="139"/>
      <c r="I192" s="86"/>
      <c r="J192" s="79">
        <f t="shared" si="930"/>
        <v>4.1280000000000001</v>
      </c>
    </row>
    <row r="193" spans="5:10" x14ac:dyDescent="0.25">
      <c r="E193" s="170">
        <f t="shared" si="933"/>
        <v>-0.12996587195191933</v>
      </c>
      <c r="F193" s="170">
        <f t="shared" si="933"/>
        <v>0.98464417644787783</v>
      </c>
      <c r="G193" s="170">
        <f t="shared" si="933"/>
        <v>-0.11655349808160154</v>
      </c>
      <c r="H193" s="139"/>
      <c r="I193" s="86"/>
      <c r="J193" s="79">
        <f t="shared" si="930"/>
        <v>4.133</v>
      </c>
    </row>
    <row r="194" spans="5:10" x14ac:dyDescent="0.25">
      <c r="E194" s="170">
        <f t="shared" ref="E194:G213" si="934">E49*-1</f>
        <v>-8.3352180827211547E-2</v>
      </c>
      <c r="F194" s="170">
        <f t="shared" si="934"/>
        <v>-2.5466355400355044E-2</v>
      </c>
      <c r="G194" s="170">
        <f t="shared" si="934"/>
        <v>-0.99619469918985748</v>
      </c>
      <c r="H194" s="139"/>
      <c r="I194" s="86"/>
      <c r="J194" s="79">
        <f t="shared" si="930"/>
        <v>4.2080000000000002</v>
      </c>
    </row>
    <row r="195" spans="5:10" x14ac:dyDescent="0.25">
      <c r="E195" s="170">
        <f t="shared" si="934"/>
        <v>-0.24452952673308403</v>
      </c>
      <c r="F195" s="170">
        <f t="shared" si="934"/>
        <v>0.88669412355058297</v>
      </c>
      <c r="G195" s="170">
        <f t="shared" si="934"/>
        <v>-0.39240137845904366</v>
      </c>
      <c r="H195" s="139"/>
      <c r="I195" s="86"/>
      <c r="J195" s="79">
        <f t="shared" si="930"/>
        <v>4.2130000000000001</v>
      </c>
    </row>
    <row r="196" spans="5:10" x14ac:dyDescent="0.25">
      <c r="E196" s="170">
        <f t="shared" si="934"/>
        <v>-0.14763319483753098</v>
      </c>
      <c r="F196" s="170">
        <f t="shared" si="934"/>
        <v>0.94582745708025528</v>
      </c>
      <c r="G196" s="170">
        <f t="shared" si="934"/>
        <v>-0.28916234404770219</v>
      </c>
      <c r="H196" s="139"/>
      <c r="I196" s="86"/>
      <c r="J196" s="79">
        <f t="shared" si="930"/>
        <v>4.218</v>
      </c>
    </row>
    <row r="197" spans="5:10" x14ac:dyDescent="0.25">
      <c r="E197" s="170">
        <f t="shared" si="934"/>
        <v>0.51435777300109009</v>
      </c>
      <c r="F197" s="170">
        <f t="shared" si="934"/>
        <v>0.79339613337312598</v>
      </c>
      <c r="G197" s="170">
        <f t="shared" si="934"/>
        <v>-0.32551291357169243</v>
      </c>
      <c r="H197" s="139"/>
      <c r="I197" s="86"/>
      <c r="J197" s="79">
        <f t="shared" si="930"/>
        <v>5.1120000000000001</v>
      </c>
    </row>
    <row r="198" spans="5:10" x14ac:dyDescent="0.25">
      <c r="E198" s="170">
        <f t="shared" si="934"/>
        <v>0.64635715161225071</v>
      </c>
      <c r="F198" s="170">
        <f t="shared" si="934"/>
        <v>0.72266577400563492</v>
      </c>
      <c r="G198" s="170">
        <f t="shared" si="934"/>
        <v>-0.24490122833610811</v>
      </c>
      <c r="H198" s="139"/>
      <c r="I198" s="86"/>
      <c r="J198" s="79">
        <f t="shared" si="930"/>
        <v>5.117</v>
      </c>
    </row>
    <row r="199" spans="5:10" x14ac:dyDescent="0.25">
      <c r="E199" s="170">
        <f t="shared" si="934"/>
        <v>0.72615346660975189</v>
      </c>
      <c r="F199" s="170">
        <f t="shared" si="934"/>
        <v>0.67626656839572385</v>
      </c>
      <c r="G199" s="170">
        <f t="shared" si="934"/>
        <v>-0.12395431174796555</v>
      </c>
      <c r="H199" s="139"/>
      <c r="I199" s="86"/>
      <c r="J199" s="79">
        <f t="shared" si="930"/>
        <v>5.1219999999999999</v>
      </c>
    </row>
    <row r="200" spans="5:10" x14ac:dyDescent="0.25">
      <c r="E200" s="170">
        <f t="shared" si="934"/>
        <v>0.88081183960798115</v>
      </c>
      <c r="F200" s="170">
        <f t="shared" si="934"/>
        <v>0.45889626855243271</v>
      </c>
      <c r="G200" s="170">
        <f t="shared" si="934"/>
        <v>-0.11655349808160147</v>
      </c>
      <c r="H200" s="139"/>
      <c r="I200" s="86"/>
      <c r="J200" s="79">
        <f t="shared" si="930"/>
        <v>5.1269999999999998</v>
      </c>
    </row>
    <row r="201" spans="5:10" x14ac:dyDescent="0.25">
      <c r="E201" s="170">
        <f t="shared" si="934"/>
        <v>0.88081183960798115</v>
      </c>
      <c r="F201" s="170">
        <f t="shared" si="934"/>
        <v>0.45889626855243271</v>
      </c>
      <c r="G201" s="170">
        <f t="shared" si="934"/>
        <v>-0.11655349808160156</v>
      </c>
      <c r="H201" s="139"/>
      <c r="I201" s="86"/>
      <c r="J201" s="79">
        <f t="shared" si="930"/>
        <v>5.1319999999999997</v>
      </c>
    </row>
    <row r="202" spans="5:10" x14ac:dyDescent="0.25">
      <c r="E202" s="170">
        <f t="shared" si="934"/>
        <v>0.82180294248188213</v>
      </c>
      <c r="F202" s="170">
        <f t="shared" si="934"/>
        <v>0.47516458706927978</v>
      </c>
      <c r="G202" s="170">
        <f t="shared" si="934"/>
        <v>-0.31441777768345303</v>
      </c>
      <c r="H202" s="139"/>
      <c r="I202" s="86"/>
      <c r="J202" s="79">
        <f t="shared" si="930"/>
        <v>5.2169999999999996</v>
      </c>
    </row>
    <row r="203" spans="5:10" x14ac:dyDescent="0.25">
      <c r="E203" s="170">
        <f t="shared" si="934"/>
        <v>0.88936627653159894</v>
      </c>
      <c r="F203" s="170">
        <f t="shared" si="934"/>
        <v>0.42209751543268681</v>
      </c>
      <c r="G203" s="170">
        <f t="shared" si="934"/>
        <v>-0.1756738843251105</v>
      </c>
      <c r="H203" s="139"/>
      <c r="I203" s="86"/>
      <c r="J203" s="79">
        <f t="shared" si="930"/>
        <v>5.2220000000000004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883B6AF5-BF7A-4244-B9BA-E4B3C9812A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DDE54774-305C-43FD-876E-57DF8F618D6A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8.75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1.1160000000000001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1.1259999999999999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1.131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1.1359999999999999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1.2070000000000001</v>
      </c>
      <c r="N173" s="869" t="str">
        <f>Assy.Model!K18</f>
        <v>Inactive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1.2110000000000001</v>
      </c>
      <c r="N174" s="869" t="str">
        <f>Assy.Model!K19</f>
        <v>Inactive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1.216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1.2210000000000001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2.11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2.1150000000000002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2.12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2.125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2.13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2.1349999999999998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2.2149999999999999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2.2200000000000002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3.1030000000000002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3.1059999999999999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3.109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3.1139999999999999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3.1190000000000002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3.1240000000000001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3.129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3.1339999999999999</v>
      </c>
      <c r="N192" s="869">
        <f>Assy.Model!K37</f>
        <v>1313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3.2090000000000001</v>
      </c>
      <c r="N193" s="869" t="str">
        <f>Assy.Model!K38</f>
        <v>Inactive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3.214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3.2189999999999999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4.1020000000000003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4.1050000000000004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4.1079999999999997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4.1130000000000004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4.1180000000000003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4.1230000000000002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4.1280000000000001</v>
      </c>
      <c r="N202" s="869">
        <f>Assy.Model!K47</f>
        <v>1313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4.133</v>
      </c>
      <c r="N203" s="869">
        <f>Assy.Model!K48</f>
        <v>1313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4.2080000000000002</v>
      </c>
      <c r="N204" s="869" t="str">
        <f>Assy.Model!K49</f>
        <v>Inactive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4.2130000000000001</v>
      </c>
      <c r="N205" s="869">
        <f>Assy.Model!K50</f>
        <v>1313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4.218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5.1120000000000001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5.117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5.1219999999999999</v>
      </c>
      <c r="N209" s="869">
        <f>Assy.Model!K54</f>
        <v>1613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5.1269999999999998</v>
      </c>
      <c r="N210" s="869">
        <f>Assy.Model!K55</f>
        <v>1313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5.1319999999999997</v>
      </c>
      <c r="N211" s="869">
        <f>Assy.Model!K56</f>
        <v>1313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5.2169999999999996</v>
      </c>
      <c r="N212" s="869">
        <f>Assy.Model!K57</f>
        <v>1313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5.2220000000000004</v>
      </c>
      <c r="N213" s="869">
        <f>Assy.Model!K58</f>
        <v>1313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2023-03-29T12:26:06Z</dcterms:modified>
</cp:coreProperties>
</file>