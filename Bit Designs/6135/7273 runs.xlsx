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ngineering\01_Designs\6135\"/>
    </mc:Choice>
  </mc:AlternateContent>
  <xr:revisionPtr revIDLastSave="0" documentId="8_{F04A8270-3D20-40D1-BC87-77E425909DA0}" xr6:coauthVersionLast="47" xr6:coauthVersionMax="47" xr10:uidLastSave="{00000000-0000-0000-0000-000000000000}"/>
  <bookViews>
    <workbookView xWindow="-120" yWindow="-120" windowWidth="29040" windowHeight="15840" xr2:uid="{FB4220DA-8FB2-4E6A-A29B-355ADFC8E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G14" i="1"/>
  <c r="D12" i="1" l="1"/>
  <c r="G12" i="1"/>
  <c r="G9" i="1"/>
  <c r="G11" i="1" s="1"/>
  <c r="E12" i="1"/>
  <c r="C12" i="1"/>
  <c r="C19" i="1"/>
  <c r="C13" i="1"/>
  <c r="D13" i="1"/>
  <c r="E9" i="1"/>
  <c r="E11" i="1" s="1"/>
  <c r="D9" i="1"/>
  <c r="D11" i="1" s="1"/>
  <c r="C9" i="1"/>
  <c r="C11" i="1" s="1"/>
</calcChain>
</file>

<file path=xl/sharedStrings.xml><?xml version="1.0" encoding="utf-8"?>
<sst xmlns="http://schemas.openxmlformats.org/spreadsheetml/2006/main" count="13" uniqueCount="12">
  <si>
    <t>in</t>
  </si>
  <si>
    <t>out</t>
  </si>
  <si>
    <t>footage</t>
  </si>
  <si>
    <t>hrs</t>
  </si>
  <si>
    <t>ft/hr</t>
  </si>
  <si>
    <t>Diamante</t>
  </si>
  <si>
    <t>Caprock</t>
  </si>
  <si>
    <t>rotary</t>
  </si>
  <si>
    <t>motor</t>
  </si>
  <si>
    <t>total rpm</t>
  </si>
  <si>
    <t>Target</t>
  </si>
  <si>
    <t>in/rev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</si>
</sst>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F0E3-3DD4-41A8-8BAE-92B90E4D25DC}">
  <dimension ref="B6:G19"/>
  <sheetViews>
    <sheetView tabSelected="1" workbookViewId="0">
      <selection activeCell="B2" sqref="B2"/>
    </sheetView>
  </sheetViews>
  <sheetFormatPr defaultRowHeight="15" x14ac:dyDescent="0.25"/>
  <sheetData>
    <row r="6" spans="2:7" x14ac:dyDescent="0.25">
      <c r="C6" t="s">
        <v>5</v>
      </c>
      <c r="D6" t="s">
        <v>5</v>
      </c>
      <c r="E6" t="s">
        <v>6</v>
      </c>
      <c r="G6" t="s">
        <v>10</v>
      </c>
    </row>
    <row r="7" spans="2:7" x14ac:dyDescent="0.25">
      <c r="B7" t="s">
        <v>0</v>
      </c>
      <c r="C7">
        <v>120</v>
      </c>
      <c r="D7">
        <v>120</v>
      </c>
      <c r="E7">
        <v>115</v>
      </c>
      <c r="G7">
        <v>120</v>
      </c>
    </row>
    <row r="8" spans="2:7" x14ac:dyDescent="0.25">
      <c r="B8" t="s">
        <v>1</v>
      </c>
      <c r="C8">
        <v>2985</v>
      </c>
      <c r="D8">
        <v>2988</v>
      </c>
      <c r="E8">
        <v>2989</v>
      </c>
      <c r="G8">
        <v>2985</v>
      </c>
    </row>
    <row r="9" spans="2:7" x14ac:dyDescent="0.25">
      <c r="B9" t="s">
        <v>2</v>
      </c>
      <c r="C9" s="1">
        <f>C8-C7</f>
        <v>2865</v>
      </c>
      <c r="D9" s="1">
        <f>D8-D7</f>
        <v>2868</v>
      </c>
      <c r="E9" s="1">
        <f>E8-E7</f>
        <v>2874</v>
      </c>
      <c r="G9" s="1">
        <f>G8-G7</f>
        <v>2865</v>
      </c>
    </row>
    <row r="10" spans="2:7" x14ac:dyDescent="0.25">
      <c r="B10" t="s">
        <v>3</v>
      </c>
      <c r="C10">
        <v>35</v>
      </c>
      <c r="D10">
        <v>32.5</v>
      </c>
      <c r="E10">
        <v>40.5</v>
      </c>
      <c r="G10">
        <v>26</v>
      </c>
    </row>
    <row r="11" spans="2:7" x14ac:dyDescent="0.25">
      <c r="B11" t="s">
        <v>4</v>
      </c>
      <c r="C11" s="2">
        <f>C9/C10</f>
        <v>81.857142857142861</v>
      </c>
      <c r="D11" s="2">
        <f>D9/D10</f>
        <v>88.246153846153845</v>
      </c>
      <c r="E11" s="2">
        <f>E9/E10</f>
        <v>70.962962962962962</v>
      </c>
      <c r="G11" s="2">
        <f>G9/G10</f>
        <v>110.19230769230769</v>
      </c>
    </row>
    <row r="12" spans="2:7" x14ac:dyDescent="0.25">
      <c r="B12" t="s">
        <v>11</v>
      </c>
      <c r="C12" s="4">
        <f>(((C11*12)/60)/$C$19)</f>
        <v>0.11290640394088672</v>
      </c>
      <c r="D12" s="4">
        <f>(((D11*12)/60)/$C$19)</f>
        <v>0.12171883289124669</v>
      </c>
      <c r="E12" s="4">
        <f>(((E11*12)/60)/$C$19)</f>
        <v>9.7879948914431678E-2</v>
      </c>
      <c r="F12" s="1"/>
      <c r="G12" s="4">
        <f>(((G11*12)/60)/$C$19)</f>
        <v>0.15198938992042441</v>
      </c>
    </row>
    <row r="13" spans="2:7" x14ac:dyDescent="0.25">
      <c r="C13" s="3">
        <f>C11/E11</f>
        <v>1.1535192365046227</v>
      </c>
      <c r="D13" s="3">
        <f>D11/E11</f>
        <v>1.2435522723622932</v>
      </c>
    </row>
    <row r="14" spans="2:7" x14ac:dyDescent="0.25">
      <c r="G14" s="3">
        <f>G12/D12</f>
        <v>1.2486924686192469</v>
      </c>
    </row>
    <row r="16" spans="2:7" x14ac:dyDescent="0.25">
      <c r="G16">
        <f>G12/2</f>
        <v>7.5994694960212203E-2</v>
      </c>
    </row>
    <row r="17" spans="3:7" x14ac:dyDescent="0.25">
      <c r="C17">
        <v>55</v>
      </c>
      <c r="D17" t="s">
        <v>7</v>
      </c>
      <c r="G17">
        <f>G16/2</f>
        <v>3.7997347480106101E-2</v>
      </c>
    </row>
    <row r="18" spans="3:7" x14ac:dyDescent="0.25">
      <c r="C18">
        <v>90</v>
      </c>
      <c r="D18" t="s">
        <v>8</v>
      </c>
    </row>
    <row r="19" spans="3:7" x14ac:dyDescent="0.25">
      <c r="C19">
        <f>C17+C18</f>
        <v>145</v>
      </c>
      <c r="D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B. Stephens</dc:creator>
  <cp:lastModifiedBy>Curtis B. Stephens</cp:lastModifiedBy>
  <dcterms:created xsi:type="dcterms:W3CDTF">2025-06-09T17:23:56Z</dcterms:created>
  <dcterms:modified xsi:type="dcterms:W3CDTF">2025-06-10T15:58:28Z</dcterms:modified>
</cp:coreProperties>
</file>